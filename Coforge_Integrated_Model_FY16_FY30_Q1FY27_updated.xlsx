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D1E0DE34-FF81-4801-AFA9-4A4632C5399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1" r:id="rId1"/>
    <sheet name="Summary" sheetId="2" r:id="rId2"/>
    <sheet name="Sources" sheetId="3" r:id="rId3"/>
    <sheet name="Assumptions" sheetId="4" r:id="rId4"/>
    <sheet name="Raw Financials" sheetId="5" r:id="rId5"/>
    <sheet name="Raw Operating" sheetId="6" r:id="rId6"/>
    <sheet name="Quarterly P&amp;L" sheetId="7" r:id="rId7"/>
    <sheet name="Annual P&amp;L" sheetId="8" r:id="rId8"/>
    <sheet name="Annual Balance Sheet" sheetId="9" r:id="rId9"/>
    <sheet name="Annual Cash Flow" sheetId="10" r:id="rId10"/>
    <sheet name="Acquisition &amp; Debt" sheetId="11" r:id="rId11"/>
    <sheet name="Order Book &amp; Revenue" sheetId="12" r:id="rId12"/>
    <sheet name="Vertical &amp; Services" sheetId="13" r:id="rId13"/>
    <sheet name="Geography &amp; Delivery" sheetId="14" r:id="rId14"/>
    <sheet name="Client Metrics" sheetId="15" r:id="rId15"/>
    <sheet name="People &amp; AI" sheetId="16" r:id="rId16"/>
    <sheet name="Valuation" sheetId="17" r:id="rId17"/>
    <sheet name="COFORGE Prices" sheetId="18" r:id="rId18"/>
    <sheet name="Checks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4" i="19" l="1"/>
  <c r="B74" i="19"/>
  <c r="E73" i="19"/>
  <c r="B73" i="19"/>
  <c r="E72" i="19"/>
  <c r="B72" i="19"/>
  <c r="D71" i="19"/>
  <c r="C71" i="19"/>
  <c r="E71" i="19" s="1"/>
  <c r="B71" i="19" s="1"/>
  <c r="D69" i="19"/>
  <c r="D68" i="19"/>
  <c r="D66" i="19"/>
  <c r="D64" i="19"/>
  <c r="D63" i="19"/>
  <c r="D61" i="19"/>
  <c r="C61" i="19"/>
  <c r="E61" i="19" s="1"/>
  <c r="B61" i="19" s="1"/>
  <c r="D59" i="19"/>
  <c r="D58" i="19"/>
  <c r="D56" i="19"/>
  <c r="D54" i="19"/>
  <c r="D53" i="19"/>
  <c r="D40" i="19"/>
  <c r="C40" i="19"/>
  <c r="E40" i="19" s="1"/>
  <c r="B40" i="19" s="1"/>
  <c r="D39" i="19"/>
  <c r="D38" i="19"/>
  <c r="D37" i="19"/>
  <c r="Q31" i="17"/>
  <c r="P31" i="17"/>
  <c r="O31" i="17"/>
  <c r="N31" i="17"/>
  <c r="Q30" i="17"/>
  <c r="P30" i="17"/>
  <c r="O30" i="17"/>
  <c r="N30" i="17"/>
  <c r="Q29" i="17"/>
  <c r="P29" i="17"/>
  <c r="O29" i="17"/>
  <c r="N29" i="17"/>
  <c r="C56" i="19" s="1"/>
  <c r="E56" i="19" s="1"/>
  <c r="B56" i="19" s="1"/>
  <c r="Q26" i="17"/>
  <c r="P26" i="17"/>
  <c r="O26" i="17"/>
  <c r="N26" i="17"/>
  <c r="Q25" i="17"/>
  <c r="P25" i="17"/>
  <c r="O25" i="17"/>
  <c r="N25" i="17"/>
  <c r="Q21" i="17"/>
  <c r="P21" i="17"/>
  <c r="O21" i="17"/>
  <c r="N21" i="17"/>
  <c r="Q19" i="17"/>
  <c r="P19" i="17"/>
  <c r="O19" i="17"/>
  <c r="N19" i="17"/>
  <c r="M23" i="16"/>
  <c r="L23" i="16"/>
  <c r="K23" i="16"/>
  <c r="J23" i="16"/>
  <c r="I23" i="16"/>
  <c r="H23" i="16"/>
  <c r="G23" i="16"/>
  <c r="F23" i="16"/>
  <c r="E23" i="16"/>
  <c r="D23" i="16"/>
  <c r="C23" i="16"/>
  <c r="J22" i="16"/>
  <c r="M21" i="16"/>
  <c r="L21" i="16"/>
  <c r="K21" i="16"/>
  <c r="J21" i="16"/>
  <c r="I21" i="16"/>
  <c r="H21" i="16"/>
  <c r="G21" i="16"/>
  <c r="F21" i="16"/>
  <c r="E21" i="16"/>
  <c r="D21" i="16"/>
  <c r="C21" i="16"/>
  <c r="M20" i="16"/>
  <c r="M22" i="16" s="1"/>
  <c r="L20" i="16"/>
  <c r="L22" i="16" s="1"/>
  <c r="K20" i="16"/>
  <c r="K22" i="16" s="1"/>
  <c r="J20" i="16"/>
  <c r="I20" i="16"/>
  <c r="I22" i="16" s="1"/>
  <c r="H20" i="16"/>
  <c r="H22" i="16" s="1"/>
  <c r="G20" i="16"/>
  <c r="G22" i="16" s="1"/>
  <c r="F20" i="16"/>
  <c r="F22" i="16" s="1"/>
  <c r="E20" i="16"/>
  <c r="E22" i="16" s="1"/>
  <c r="D20" i="16"/>
  <c r="D22" i="16" s="1"/>
  <c r="C20" i="16"/>
  <c r="C22" i="16" s="1"/>
  <c r="M19" i="16"/>
  <c r="L19" i="16"/>
  <c r="K19" i="16"/>
  <c r="J19" i="16"/>
  <c r="I19" i="16"/>
  <c r="H19" i="16"/>
  <c r="G19" i="16"/>
  <c r="F19" i="16"/>
  <c r="E19" i="16"/>
  <c r="D19" i="16"/>
  <c r="C19" i="16"/>
  <c r="K16" i="16"/>
  <c r="J16" i="16"/>
  <c r="E16" i="16"/>
  <c r="D16" i="16"/>
  <c r="M14" i="16"/>
  <c r="L14" i="16"/>
  <c r="K14" i="16"/>
  <c r="J14" i="16"/>
  <c r="I14" i="16"/>
  <c r="H14" i="16"/>
  <c r="G14" i="16"/>
  <c r="F14" i="16"/>
  <c r="E14" i="16"/>
  <c r="D14" i="16"/>
  <c r="C14" i="16"/>
  <c r="N13" i="16"/>
  <c r="O13" i="16" s="1"/>
  <c r="P13" i="16" s="1"/>
  <c r="Q13" i="16" s="1"/>
  <c r="M13" i="16"/>
  <c r="L13" i="16"/>
  <c r="K13" i="16"/>
  <c r="J13" i="16"/>
  <c r="I13" i="16"/>
  <c r="H13" i="16"/>
  <c r="G13" i="16"/>
  <c r="F13" i="16"/>
  <c r="E13" i="16"/>
  <c r="D13" i="16"/>
  <c r="C13" i="16"/>
  <c r="M12" i="16"/>
  <c r="N12" i="16" s="1"/>
  <c r="O12" i="16" s="1"/>
  <c r="P12" i="16" s="1"/>
  <c r="Q12" i="16" s="1"/>
  <c r="L12" i="16"/>
  <c r="K12" i="16"/>
  <c r="J12" i="16"/>
  <c r="I12" i="16"/>
  <c r="H12" i="16"/>
  <c r="G12" i="16"/>
  <c r="F12" i="16"/>
  <c r="E12" i="16"/>
  <c r="D12" i="16"/>
  <c r="C12" i="16"/>
  <c r="M10" i="16"/>
  <c r="L10" i="16"/>
  <c r="K10" i="16"/>
  <c r="K11" i="16" s="1"/>
  <c r="J10" i="16"/>
  <c r="J11" i="16" s="1"/>
  <c r="I10" i="16"/>
  <c r="I11" i="16" s="1"/>
  <c r="H10" i="16"/>
  <c r="G10" i="16"/>
  <c r="F10" i="16"/>
  <c r="E10" i="16"/>
  <c r="E11" i="16" s="1"/>
  <c r="D10" i="16"/>
  <c r="D11" i="16" s="1"/>
  <c r="C10" i="16"/>
  <c r="C11" i="16" s="1"/>
  <c r="M9" i="16"/>
  <c r="L9" i="16"/>
  <c r="K9" i="16"/>
  <c r="J9" i="16"/>
  <c r="I9" i="16"/>
  <c r="H9" i="16"/>
  <c r="G9" i="16"/>
  <c r="F9" i="16"/>
  <c r="E9" i="16"/>
  <c r="D9" i="16"/>
  <c r="C9" i="16"/>
  <c r="M8" i="16"/>
  <c r="L8" i="16"/>
  <c r="K8" i="16"/>
  <c r="J8" i="16"/>
  <c r="I8" i="16"/>
  <c r="H8" i="16"/>
  <c r="G8" i="16"/>
  <c r="F8" i="16"/>
  <c r="E8" i="16"/>
  <c r="D8" i="16"/>
  <c r="C8" i="16"/>
  <c r="M7" i="16"/>
  <c r="M16" i="16" s="1"/>
  <c r="L7" i="16"/>
  <c r="L16" i="16" s="1"/>
  <c r="K7" i="16"/>
  <c r="J7" i="16"/>
  <c r="I7" i="16"/>
  <c r="I16" i="16" s="1"/>
  <c r="H7" i="16"/>
  <c r="H11" i="16" s="1"/>
  <c r="G7" i="16"/>
  <c r="G16" i="16" s="1"/>
  <c r="F7" i="16"/>
  <c r="F16" i="16" s="1"/>
  <c r="E7" i="16"/>
  <c r="D7" i="16"/>
  <c r="C7" i="16"/>
  <c r="M18" i="15"/>
  <c r="L18" i="15"/>
  <c r="K18" i="15"/>
  <c r="J18" i="15"/>
  <c r="I18" i="15"/>
  <c r="H18" i="15"/>
  <c r="G18" i="15"/>
  <c r="F18" i="15"/>
  <c r="E18" i="15"/>
  <c r="D18" i="15"/>
  <c r="C18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O16" i="15"/>
  <c r="P16" i="15" s="1"/>
  <c r="Q16" i="15" s="1"/>
  <c r="N16" i="15"/>
  <c r="M16" i="15"/>
  <c r="L16" i="15"/>
  <c r="K16" i="15"/>
  <c r="J16" i="15"/>
  <c r="I16" i="15"/>
  <c r="H16" i="15"/>
  <c r="G16" i="15"/>
  <c r="F16" i="15"/>
  <c r="E16" i="15"/>
  <c r="D16" i="15"/>
  <c r="C16" i="15"/>
  <c r="N15" i="15"/>
  <c r="O15" i="15" s="1"/>
  <c r="P15" i="15" s="1"/>
  <c r="Q15" i="15" s="1"/>
  <c r="M15" i="15"/>
  <c r="L15" i="15"/>
  <c r="K15" i="15"/>
  <c r="J15" i="15"/>
  <c r="I15" i="15"/>
  <c r="H15" i="15"/>
  <c r="G15" i="15"/>
  <c r="F15" i="15"/>
  <c r="E15" i="15"/>
  <c r="D15" i="15"/>
  <c r="C15" i="15"/>
  <c r="M13" i="15"/>
  <c r="L13" i="15"/>
  <c r="K13" i="15"/>
  <c r="J13" i="15"/>
  <c r="I13" i="15"/>
  <c r="H13" i="15"/>
  <c r="G13" i="15"/>
  <c r="F13" i="15"/>
  <c r="E13" i="15"/>
  <c r="D13" i="15"/>
  <c r="C13" i="15"/>
  <c r="M12" i="15"/>
  <c r="L12" i="15"/>
  <c r="K12" i="15"/>
  <c r="J12" i="15"/>
  <c r="I12" i="15"/>
  <c r="H12" i="15"/>
  <c r="G12" i="15"/>
  <c r="F12" i="15"/>
  <c r="E12" i="15"/>
  <c r="D12" i="15"/>
  <c r="C12" i="15"/>
  <c r="M11" i="15"/>
  <c r="L11" i="15"/>
  <c r="K11" i="15"/>
  <c r="J11" i="15"/>
  <c r="I11" i="15"/>
  <c r="H11" i="15"/>
  <c r="G11" i="15"/>
  <c r="F11" i="15"/>
  <c r="E11" i="15"/>
  <c r="D11" i="15"/>
  <c r="C11" i="15"/>
  <c r="M10" i="15"/>
  <c r="L10" i="15"/>
  <c r="K10" i="15"/>
  <c r="J10" i="15"/>
  <c r="I10" i="15"/>
  <c r="H10" i="15"/>
  <c r="G10" i="15"/>
  <c r="F10" i="15"/>
  <c r="E10" i="15"/>
  <c r="D10" i="15"/>
  <c r="C10" i="15"/>
  <c r="M9" i="15"/>
  <c r="L9" i="15"/>
  <c r="K9" i="15"/>
  <c r="J9" i="15"/>
  <c r="I9" i="15"/>
  <c r="H9" i="15"/>
  <c r="G9" i="15"/>
  <c r="F9" i="15"/>
  <c r="E9" i="15"/>
  <c r="D9" i="15"/>
  <c r="C9" i="15"/>
  <c r="M8" i="15"/>
  <c r="L8" i="15"/>
  <c r="K8" i="15"/>
  <c r="K14" i="15" s="1"/>
  <c r="J8" i="15"/>
  <c r="J14" i="15" s="1"/>
  <c r="I8" i="15"/>
  <c r="I14" i="15" s="1"/>
  <c r="H8" i="15"/>
  <c r="G8" i="15"/>
  <c r="F8" i="15"/>
  <c r="E8" i="15"/>
  <c r="E14" i="15" s="1"/>
  <c r="D8" i="15"/>
  <c r="D14" i="15" s="1"/>
  <c r="C8" i="15"/>
  <c r="C14" i="15" s="1"/>
  <c r="M7" i="15"/>
  <c r="M14" i="15" s="1"/>
  <c r="L7" i="15"/>
  <c r="L14" i="15" s="1"/>
  <c r="K7" i="15"/>
  <c r="J7" i="15"/>
  <c r="I7" i="15"/>
  <c r="H7" i="15"/>
  <c r="H14" i="15" s="1"/>
  <c r="G7" i="15"/>
  <c r="G14" i="15" s="1"/>
  <c r="F7" i="15"/>
  <c r="F14" i="15" s="1"/>
  <c r="E7" i="15"/>
  <c r="D7" i="15"/>
  <c r="C7" i="15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Q17" i="14"/>
  <c r="M17" i="14"/>
  <c r="L17" i="14"/>
  <c r="K17" i="14"/>
  <c r="J17" i="14"/>
  <c r="I17" i="14"/>
  <c r="H17" i="14"/>
  <c r="G17" i="14"/>
  <c r="F17" i="14"/>
  <c r="E17" i="14"/>
  <c r="D17" i="14"/>
  <c r="C17" i="14"/>
  <c r="O16" i="14"/>
  <c r="J16" i="14"/>
  <c r="D16" i="14"/>
  <c r="M15" i="14"/>
  <c r="L15" i="14"/>
  <c r="K15" i="14"/>
  <c r="J15" i="14"/>
  <c r="I15" i="14"/>
  <c r="H15" i="14"/>
  <c r="G15" i="14"/>
  <c r="F15" i="14"/>
  <c r="E15" i="14"/>
  <c r="D15" i="14"/>
  <c r="C15" i="14"/>
  <c r="O14" i="14"/>
  <c r="O15" i="14" s="1"/>
  <c r="N14" i="14"/>
  <c r="M14" i="14"/>
  <c r="M16" i="14" s="1"/>
  <c r="L14" i="14"/>
  <c r="K14" i="14"/>
  <c r="K16" i="14" s="1"/>
  <c r="J14" i="14"/>
  <c r="I14" i="14"/>
  <c r="I16" i="14" s="1"/>
  <c r="H14" i="14"/>
  <c r="H16" i="14" s="1"/>
  <c r="G14" i="14"/>
  <c r="G16" i="14" s="1"/>
  <c r="F14" i="14"/>
  <c r="E14" i="14"/>
  <c r="E16" i="14" s="1"/>
  <c r="D14" i="14"/>
  <c r="C14" i="14"/>
  <c r="C16" i="14" s="1"/>
  <c r="M11" i="14"/>
  <c r="L11" i="14"/>
  <c r="K11" i="14"/>
  <c r="J11" i="14"/>
  <c r="I11" i="14"/>
  <c r="H11" i="14"/>
  <c r="G11" i="14"/>
  <c r="F11" i="14"/>
  <c r="E11" i="14"/>
  <c r="D11" i="14"/>
  <c r="C11" i="14"/>
  <c r="M9" i="14"/>
  <c r="L9" i="14"/>
  <c r="K9" i="14"/>
  <c r="J9" i="14"/>
  <c r="I9" i="14"/>
  <c r="H9" i="14"/>
  <c r="G9" i="14"/>
  <c r="F9" i="14"/>
  <c r="E9" i="14"/>
  <c r="D9" i="14"/>
  <c r="C9" i="14"/>
  <c r="M7" i="14"/>
  <c r="L7" i="14"/>
  <c r="K7" i="14"/>
  <c r="K13" i="14" s="1"/>
  <c r="J7" i="14"/>
  <c r="J13" i="14" s="1"/>
  <c r="I7" i="14"/>
  <c r="I13" i="14" s="1"/>
  <c r="H7" i="14"/>
  <c r="H13" i="14" s="1"/>
  <c r="G7" i="14"/>
  <c r="F7" i="14"/>
  <c r="E7" i="14"/>
  <c r="E13" i="14" s="1"/>
  <c r="D7" i="14"/>
  <c r="D13" i="14" s="1"/>
  <c r="C7" i="14"/>
  <c r="C13" i="14" s="1"/>
  <c r="M37" i="13"/>
  <c r="N37" i="13" s="1"/>
  <c r="L37" i="13"/>
  <c r="K37" i="13"/>
  <c r="J37" i="13"/>
  <c r="I37" i="13"/>
  <c r="H37" i="13"/>
  <c r="G37" i="13"/>
  <c r="F37" i="13"/>
  <c r="E37" i="13"/>
  <c r="D37" i="13"/>
  <c r="C37" i="13"/>
  <c r="M35" i="13"/>
  <c r="N35" i="13" s="1"/>
  <c r="L35" i="13"/>
  <c r="K35" i="13"/>
  <c r="J35" i="13"/>
  <c r="I35" i="13"/>
  <c r="H35" i="13"/>
  <c r="G35" i="13"/>
  <c r="F35" i="13"/>
  <c r="E35" i="13"/>
  <c r="D35" i="13"/>
  <c r="C35" i="13"/>
  <c r="F34" i="13"/>
  <c r="M33" i="13"/>
  <c r="L33" i="13"/>
  <c r="K33" i="13"/>
  <c r="J33" i="13"/>
  <c r="I33" i="13"/>
  <c r="H33" i="13"/>
  <c r="G33" i="13"/>
  <c r="F33" i="13"/>
  <c r="E33" i="13"/>
  <c r="D33" i="13"/>
  <c r="C33" i="13"/>
  <c r="M31" i="13"/>
  <c r="N31" i="13" s="1"/>
  <c r="L31" i="13"/>
  <c r="K31" i="13"/>
  <c r="J31" i="13"/>
  <c r="I31" i="13"/>
  <c r="I32" i="13" s="1"/>
  <c r="H31" i="13"/>
  <c r="G31" i="13"/>
  <c r="F31" i="13"/>
  <c r="F39" i="13" s="1"/>
  <c r="E31" i="13"/>
  <c r="D31" i="13"/>
  <c r="C31" i="13"/>
  <c r="C32" i="13" s="1"/>
  <c r="O29" i="13"/>
  <c r="M29" i="13"/>
  <c r="N29" i="13" s="1"/>
  <c r="L29" i="13"/>
  <c r="K29" i="13"/>
  <c r="J29" i="13"/>
  <c r="I29" i="13"/>
  <c r="H29" i="13"/>
  <c r="H39" i="13" s="1"/>
  <c r="G29" i="13"/>
  <c r="F29" i="13"/>
  <c r="E29" i="13"/>
  <c r="D29" i="13"/>
  <c r="D39" i="13" s="1"/>
  <c r="C29" i="13"/>
  <c r="P20" i="13"/>
  <c r="O20" i="13"/>
  <c r="M20" i="13"/>
  <c r="N20" i="13" s="1"/>
  <c r="L20" i="13"/>
  <c r="K20" i="13"/>
  <c r="J20" i="13"/>
  <c r="I20" i="13"/>
  <c r="H20" i="13"/>
  <c r="G20" i="13"/>
  <c r="F20" i="13"/>
  <c r="E20" i="13"/>
  <c r="D20" i="13"/>
  <c r="C20" i="13"/>
  <c r="O18" i="13"/>
  <c r="M18" i="13"/>
  <c r="N18" i="13" s="1"/>
  <c r="L18" i="13"/>
  <c r="K18" i="13"/>
  <c r="J18" i="13"/>
  <c r="I18" i="13"/>
  <c r="H18" i="13"/>
  <c r="G18" i="13"/>
  <c r="F18" i="13"/>
  <c r="E18" i="13"/>
  <c r="D18" i="13"/>
  <c r="C18" i="13"/>
  <c r="F17" i="13"/>
  <c r="M16" i="13"/>
  <c r="L16" i="13"/>
  <c r="K16" i="13"/>
  <c r="J16" i="13"/>
  <c r="I16" i="13"/>
  <c r="H16" i="13"/>
  <c r="G16" i="13"/>
  <c r="F16" i="13"/>
  <c r="E16" i="13"/>
  <c r="D16" i="13"/>
  <c r="C16" i="13"/>
  <c r="P14" i="13"/>
  <c r="O14" i="13"/>
  <c r="M14" i="13"/>
  <c r="N14" i="13" s="1"/>
  <c r="L14" i="13"/>
  <c r="K14" i="13"/>
  <c r="J14" i="13"/>
  <c r="I14" i="13"/>
  <c r="H14" i="13"/>
  <c r="G14" i="13"/>
  <c r="F14" i="13"/>
  <c r="E14" i="13"/>
  <c r="D14" i="13"/>
  <c r="C14" i="13"/>
  <c r="O12" i="13"/>
  <c r="M12" i="13"/>
  <c r="N12" i="13" s="1"/>
  <c r="L12" i="13"/>
  <c r="K12" i="13"/>
  <c r="J12" i="13"/>
  <c r="I12" i="13"/>
  <c r="H12" i="13"/>
  <c r="G12" i="13"/>
  <c r="F12" i="13"/>
  <c r="E12" i="13"/>
  <c r="D12" i="13"/>
  <c r="C12" i="13"/>
  <c r="M10" i="13"/>
  <c r="L10" i="13"/>
  <c r="K10" i="13"/>
  <c r="J10" i="13"/>
  <c r="I10" i="13"/>
  <c r="H10" i="13"/>
  <c r="G10" i="13"/>
  <c r="F10" i="13"/>
  <c r="E10" i="13"/>
  <c r="D10" i="13"/>
  <c r="C10" i="13"/>
  <c r="P8" i="13"/>
  <c r="O8" i="13"/>
  <c r="M8" i="13"/>
  <c r="N8" i="13" s="1"/>
  <c r="L8" i="13"/>
  <c r="L22" i="13" s="1"/>
  <c r="K8" i="13"/>
  <c r="J8" i="13"/>
  <c r="I8" i="13"/>
  <c r="H8" i="13"/>
  <c r="H22" i="13" s="1"/>
  <c r="G8" i="13"/>
  <c r="F8" i="13"/>
  <c r="F22" i="13" s="1"/>
  <c r="E8" i="13"/>
  <c r="D8" i="13"/>
  <c r="C8" i="13"/>
  <c r="J35" i="12"/>
  <c r="F35" i="12"/>
  <c r="Q34" i="12"/>
  <c r="P34" i="12"/>
  <c r="O34" i="12"/>
  <c r="N34" i="12"/>
  <c r="M33" i="12"/>
  <c r="L33" i="12"/>
  <c r="L35" i="12" s="1"/>
  <c r="K33" i="12"/>
  <c r="K35" i="12" s="1"/>
  <c r="J33" i="12"/>
  <c r="I33" i="12"/>
  <c r="H33" i="12"/>
  <c r="G33" i="12"/>
  <c r="F33" i="12"/>
  <c r="E33" i="12"/>
  <c r="E35" i="12" s="1"/>
  <c r="D33" i="12"/>
  <c r="D35" i="12" s="1"/>
  <c r="C33" i="12"/>
  <c r="M32" i="12"/>
  <c r="L32" i="12"/>
  <c r="K32" i="12"/>
  <c r="J32" i="12"/>
  <c r="I32" i="12"/>
  <c r="H32" i="12"/>
  <c r="G32" i="12"/>
  <c r="F32" i="12"/>
  <c r="E32" i="12"/>
  <c r="D32" i="12"/>
  <c r="C32" i="12"/>
  <c r="M31" i="12"/>
  <c r="Q30" i="12"/>
  <c r="P30" i="12"/>
  <c r="O30" i="12"/>
  <c r="N30" i="12"/>
  <c r="N29" i="12"/>
  <c r="Q27" i="12"/>
  <c r="P27" i="12"/>
  <c r="O27" i="12"/>
  <c r="N27" i="12"/>
  <c r="Q25" i="12"/>
  <c r="P25" i="12"/>
  <c r="O25" i="12"/>
  <c r="N25" i="12"/>
  <c r="Q23" i="12"/>
  <c r="P23" i="12"/>
  <c r="O23" i="12"/>
  <c r="N23" i="12"/>
  <c r="Q22" i="12"/>
  <c r="P22" i="12"/>
  <c r="O22" i="12"/>
  <c r="N22" i="12"/>
  <c r="Q20" i="12"/>
  <c r="P20" i="12"/>
  <c r="O20" i="12"/>
  <c r="N20" i="12"/>
  <c r="Q18" i="12"/>
  <c r="P18" i="12"/>
  <c r="O18" i="12"/>
  <c r="N18" i="12"/>
  <c r="N17" i="12"/>
  <c r="N19" i="12" s="1"/>
  <c r="Q16" i="12"/>
  <c r="P16" i="12"/>
  <c r="O16" i="12"/>
  <c r="N16" i="12"/>
  <c r="P15" i="12"/>
  <c r="O15" i="12"/>
  <c r="O21" i="15" s="1"/>
  <c r="N15" i="12"/>
  <c r="N21" i="15" s="1"/>
  <c r="M15" i="12"/>
  <c r="M21" i="15" s="1"/>
  <c r="L15" i="12"/>
  <c r="L21" i="15" s="1"/>
  <c r="L22" i="15" s="1"/>
  <c r="K15" i="12"/>
  <c r="K21" i="15" s="1"/>
  <c r="J15" i="12"/>
  <c r="J21" i="15" s="1"/>
  <c r="J22" i="15" s="1"/>
  <c r="I15" i="12"/>
  <c r="I21" i="15" s="1"/>
  <c r="I22" i="15" s="1"/>
  <c r="H15" i="12"/>
  <c r="H21" i="15" s="1"/>
  <c r="H22" i="15" s="1"/>
  <c r="G15" i="12"/>
  <c r="G21" i="15" s="1"/>
  <c r="F15" i="12"/>
  <c r="F21" i="15" s="1"/>
  <c r="F22" i="15" s="1"/>
  <c r="E15" i="12"/>
  <c r="E21" i="15" s="1"/>
  <c r="D15" i="12"/>
  <c r="D21" i="15" s="1"/>
  <c r="D22" i="15" s="1"/>
  <c r="C15" i="12"/>
  <c r="C21" i="15" s="1"/>
  <c r="C22" i="15" s="1"/>
  <c r="Q13" i="12"/>
  <c r="P13" i="12"/>
  <c r="O13" i="12"/>
  <c r="N13" i="12"/>
  <c r="Q11" i="12"/>
  <c r="P11" i="12"/>
  <c r="O11" i="12"/>
  <c r="N11" i="12"/>
  <c r="N10" i="12"/>
  <c r="M10" i="12"/>
  <c r="M23" i="15" s="1"/>
  <c r="L10" i="12"/>
  <c r="L23" i="15" s="1"/>
  <c r="K10" i="12"/>
  <c r="K23" i="15" s="1"/>
  <c r="K24" i="15" s="1"/>
  <c r="J10" i="12"/>
  <c r="J23" i="15" s="1"/>
  <c r="J24" i="15" s="1"/>
  <c r="I10" i="12"/>
  <c r="I23" i="15" s="1"/>
  <c r="I24" i="15" s="1"/>
  <c r="H10" i="12"/>
  <c r="H23" i="15" s="1"/>
  <c r="H24" i="15" s="1"/>
  <c r="G10" i="12"/>
  <c r="G23" i="15" s="1"/>
  <c r="F10" i="12"/>
  <c r="F23" i="15" s="1"/>
  <c r="E10" i="12"/>
  <c r="E23" i="15" s="1"/>
  <c r="E24" i="15" s="1"/>
  <c r="D10" i="12"/>
  <c r="D23" i="15" s="1"/>
  <c r="D24" i="15" s="1"/>
  <c r="C10" i="12"/>
  <c r="C23" i="15" s="1"/>
  <c r="C24" i="15" s="1"/>
  <c r="Q8" i="12"/>
  <c r="P8" i="12"/>
  <c r="O8" i="12"/>
  <c r="N8" i="12"/>
  <c r="C45" i="11"/>
  <c r="D22" i="11"/>
  <c r="C22" i="11"/>
  <c r="F20" i="11"/>
  <c r="E20" i="11"/>
  <c r="C20" i="11"/>
  <c r="N29" i="10" s="1"/>
  <c r="F19" i="11"/>
  <c r="F22" i="11" s="1"/>
  <c r="E19" i="11"/>
  <c r="E22" i="11" s="1"/>
  <c r="D19" i="11"/>
  <c r="D20" i="11" s="1"/>
  <c r="C19" i="11"/>
  <c r="E17" i="11"/>
  <c r="F17" i="11" s="1"/>
  <c r="F21" i="11" s="1"/>
  <c r="D70" i="19" s="1"/>
  <c r="D17" i="11"/>
  <c r="D21" i="11" s="1"/>
  <c r="C17" i="11"/>
  <c r="C21" i="11" s="1"/>
  <c r="C7" i="11"/>
  <c r="C8" i="11" s="1"/>
  <c r="H44" i="10"/>
  <c r="C44" i="10"/>
  <c r="C45" i="10" s="1"/>
  <c r="L42" i="10"/>
  <c r="D26" i="19" s="1"/>
  <c r="M41" i="10"/>
  <c r="L41" i="10"/>
  <c r="K41" i="10"/>
  <c r="C24" i="19" s="1"/>
  <c r="J41" i="10"/>
  <c r="I41" i="10"/>
  <c r="C20" i="19" s="1"/>
  <c r="H41" i="10"/>
  <c r="C18" i="19" s="1"/>
  <c r="G41" i="10"/>
  <c r="F41" i="10"/>
  <c r="E41" i="10"/>
  <c r="C12" i="19" s="1"/>
  <c r="D41" i="10"/>
  <c r="C41" i="10"/>
  <c r="C8" i="19" s="1"/>
  <c r="J40" i="10"/>
  <c r="I40" i="10"/>
  <c r="H40" i="10"/>
  <c r="H39" i="10" s="1"/>
  <c r="H38" i="10" s="1"/>
  <c r="F40" i="10"/>
  <c r="C40" i="10"/>
  <c r="J39" i="10"/>
  <c r="I39" i="10"/>
  <c r="Q38" i="10"/>
  <c r="P38" i="10"/>
  <c r="O38" i="10"/>
  <c r="N38" i="10"/>
  <c r="C38" i="10"/>
  <c r="J37" i="10"/>
  <c r="J38" i="10" s="1"/>
  <c r="M36" i="10"/>
  <c r="L36" i="10"/>
  <c r="K36" i="10"/>
  <c r="J36" i="10"/>
  <c r="I36" i="10"/>
  <c r="H36" i="10"/>
  <c r="G36" i="10"/>
  <c r="F36" i="10"/>
  <c r="E36" i="10"/>
  <c r="D36" i="10"/>
  <c r="C36" i="10"/>
  <c r="Q35" i="10"/>
  <c r="P35" i="10"/>
  <c r="O35" i="10"/>
  <c r="N35" i="10"/>
  <c r="I35" i="10"/>
  <c r="O34" i="10"/>
  <c r="M34" i="10"/>
  <c r="L34" i="10"/>
  <c r="K34" i="10"/>
  <c r="J34" i="10"/>
  <c r="I34" i="10"/>
  <c r="H34" i="10"/>
  <c r="G34" i="10"/>
  <c r="F34" i="10"/>
  <c r="E34" i="10"/>
  <c r="D34" i="10"/>
  <c r="C34" i="10"/>
  <c r="M33" i="10"/>
  <c r="L33" i="10"/>
  <c r="K33" i="10"/>
  <c r="J33" i="10"/>
  <c r="I33" i="10"/>
  <c r="H33" i="10"/>
  <c r="G33" i="10"/>
  <c r="F33" i="10"/>
  <c r="E33" i="10"/>
  <c r="D33" i="10"/>
  <c r="C33" i="10"/>
  <c r="M32" i="10"/>
  <c r="L32" i="10"/>
  <c r="K32" i="10"/>
  <c r="J32" i="10"/>
  <c r="I32" i="10"/>
  <c r="H32" i="10"/>
  <c r="G32" i="10"/>
  <c r="F32" i="10"/>
  <c r="E32" i="10"/>
  <c r="D32" i="10"/>
  <c r="C32" i="10"/>
  <c r="M31" i="10"/>
  <c r="L31" i="10"/>
  <c r="K31" i="10"/>
  <c r="J31" i="10"/>
  <c r="I31" i="10"/>
  <c r="H31" i="10"/>
  <c r="G31" i="10"/>
  <c r="F31" i="10"/>
  <c r="E31" i="10"/>
  <c r="D31" i="10"/>
  <c r="C31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Q29" i="10"/>
  <c r="P29" i="10"/>
  <c r="O29" i="10"/>
  <c r="M29" i="10"/>
  <c r="L29" i="10"/>
  <c r="K29" i="10"/>
  <c r="J29" i="10"/>
  <c r="I29" i="10"/>
  <c r="H29" i="10"/>
  <c r="G29" i="10"/>
  <c r="F29" i="10"/>
  <c r="E29" i="10"/>
  <c r="D29" i="10"/>
  <c r="C29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Q27" i="10"/>
  <c r="P27" i="10"/>
  <c r="O27" i="10"/>
  <c r="N27" i="10"/>
  <c r="M27" i="10"/>
  <c r="M35" i="10" s="1"/>
  <c r="L27" i="10"/>
  <c r="L35" i="10" s="1"/>
  <c r="K27" i="10"/>
  <c r="K35" i="10" s="1"/>
  <c r="J27" i="10"/>
  <c r="I27" i="10"/>
  <c r="H27" i="10"/>
  <c r="G27" i="10"/>
  <c r="G35" i="10" s="1"/>
  <c r="F27" i="10"/>
  <c r="F35" i="10" s="1"/>
  <c r="E27" i="10"/>
  <c r="E35" i="10" s="1"/>
  <c r="D27" i="10"/>
  <c r="C27" i="10"/>
  <c r="C35" i="10" s="1"/>
  <c r="M26" i="10"/>
  <c r="L26" i="10"/>
  <c r="K26" i="10"/>
  <c r="J26" i="10"/>
  <c r="I26" i="10"/>
  <c r="H26" i="10"/>
  <c r="G26" i="10"/>
  <c r="F26" i="10"/>
  <c r="E26" i="10"/>
  <c r="D26" i="10"/>
  <c r="D37" i="10" s="1"/>
  <c r="C26" i="10"/>
  <c r="C37" i="10" s="1"/>
  <c r="C39" i="10" s="1"/>
  <c r="Q25" i="10"/>
  <c r="P25" i="10"/>
  <c r="O25" i="10"/>
  <c r="N25" i="10"/>
  <c r="M25" i="10"/>
  <c r="L25" i="10"/>
  <c r="F25" i="10"/>
  <c r="E25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M23" i="10"/>
  <c r="L23" i="10"/>
  <c r="K23" i="10"/>
  <c r="J23" i="10"/>
  <c r="I23" i="10"/>
  <c r="H23" i="10"/>
  <c r="G23" i="10"/>
  <c r="F23" i="10"/>
  <c r="E23" i="10"/>
  <c r="D23" i="10"/>
  <c r="C23" i="10"/>
  <c r="Q22" i="10"/>
  <c r="P22" i="10"/>
  <c r="O22" i="10"/>
  <c r="N22" i="10"/>
  <c r="M22" i="10"/>
  <c r="L22" i="10"/>
  <c r="K22" i="10"/>
  <c r="J22" i="10"/>
  <c r="I22" i="10"/>
  <c r="H22" i="10"/>
  <c r="G22" i="10"/>
  <c r="G25" i="10" s="1"/>
  <c r="F22" i="10"/>
  <c r="E22" i="10"/>
  <c r="D22" i="10"/>
  <c r="C22" i="10"/>
  <c r="M21" i="10"/>
  <c r="L21" i="10"/>
  <c r="K21" i="10"/>
  <c r="K25" i="10" s="1"/>
  <c r="J21" i="10"/>
  <c r="J25" i="10" s="1"/>
  <c r="I21" i="10"/>
  <c r="I25" i="10" s="1"/>
  <c r="H21" i="10"/>
  <c r="G21" i="10"/>
  <c r="F21" i="10"/>
  <c r="E21" i="10"/>
  <c r="D21" i="10"/>
  <c r="D25" i="10" s="1"/>
  <c r="C21" i="10"/>
  <c r="C25" i="10" s="1"/>
  <c r="C20" i="10"/>
  <c r="M19" i="10"/>
  <c r="M37" i="10" s="1"/>
  <c r="L19" i="10"/>
  <c r="L37" i="10" s="1"/>
  <c r="K19" i="10"/>
  <c r="K37" i="10" s="1"/>
  <c r="J19" i="10"/>
  <c r="I19" i="10"/>
  <c r="H19" i="10"/>
  <c r="H37" i="10" s="1"/>
  <c r="G19" i="10"/>
  <c r="G37" i="10" s="1"/>
  <c r="F19" i="10"/>
  <c r="E19" i="10"/>
  <c r="D19" i="10"/>
  <c r="C19" i="10"/>
  <c r="M17" i="10"/>
  <c r="L17" i="10"/>
  <c r="K17" i="10"/>
  <c r="J17" i="10"/>
  <c r="I17" i="10"/>
  <c r="H17" i="10"/>
  <c r="G17" i="10"/>
  <c r="F17" i="10"/>
  <c r="E17" i="10"/>
  <c r="D17" i="10"/>
  <c r="C17" i="10"/>
  <c r="M16" i="10"/>
  <c r="L16" i="10"/>
  <c r="K16" i="10"/>
  <c r="J16" i="10"/>
  <c r="I16" i="10"/>
  <c r="H16" i="10"/>
  <c r="G16" i="10"/>
  <c r="F16" i="10"/>
  <c r="E16" i="10"/>
  <c r="D16" i="10"/>
  <c r="C16" i="10"/>
  <c r="M15" i="10"/>
  <c r="L15" i="10"/>
  <c r="K15" i="10"/>
  <c r="J15" i="10"/>
  <c r="I15" i="10"/>
  <c r="H15" i="10"/>
  <c r="G15" i="10"/>
  <c r="F15" i="10"/>
  <c r="E15" i="10"/>
  <c r="D15" i="10"/>
  <c r="C15" i="10"/>
  <c r="M14" i="10"/>
  <c r="L14" i="10"/>
  <c r="K14" i="10"/>
  <c r="J14" i="10"/>
  <c r="I14" i="10"/>
  <c r="H14" i="10"/>
  <c r="G14" i="10"/>
  <c r="F14" i="10"/>
  <c r="E14" i="10"/>
  <c r="D14" i="10"/>
  <c r="C14" i="10"/>
  <c r="M13" i="10"/>
  <c r="L13" i="10"/>
  <c r="K13" i="10"/>
  <c r="J13" i="10"/>
  <c r="I13" i="10"/>
  <c r="H13" i="10"/>
  <c r="G13" i="10"/>
  <c r="F13" i="10"/>
  <c r="E13" i="10"/>
  <c r="D13" i="10"/>
  <c r="C13" i="10"/>
  <c r="M12" i="10"/>
  <c r="L12" i="10"/>
  <c r="K12" i="10"/>
  <c r="J12" i="10"/>
  <c r="I12" i="10"/>
  <c r="H12" i="10"/>
  <c r="G12" i="10"/>
  <c r="F12" i="10"/>
  <c r="E12" i="10"/>
  <c r="D12" i="10"/>
  <c r="C12" i="10"/>
  <c r="M11" i="10"/>
  <c r="L11" i="10"/>
  <c r="K11" i="10"/>
  <c r="J11" i="10"/>
  <c r="I11" i="10"/>
  <c r="H11" i="10"/>
  <c r="G11" i="10"/>
  <c r="F11" i="10"/>
  <c r="E11" i="10"/>
  <c r="D11" i="10"/>
  <c r="C11" i="10"/>
  <c r="M10" i="10"/>
  <c r="L10" i="10"/>
  <c r="K10" i="10"/>
  <c r="J10" i="10"/>
  <c r="I10" i="10"/>
  <c r="H10" i="10"/>
  <c r="G10" i="10"/>
  <c r="F10" i="10"/>
  <c r="E10" i="10"/>
  <c r="D10" i="10"/>
  <c r="C10" i="10"/>
  <c r="M9" i="10"/>
  <c r="L9" i="10"/>
  <c r="K9" i="10"/>
  <c r="J9" i="10"/>
  <c r="I9" i="10"/>
  <c r="H9" i="10"/>
  <c r="G9" i="10"/>
  <c r="F9" i="10"/>
  <c r="E9" i="10"/>
  <c r="D9" i="10"/>
  <c r="C9" i="10"/>
  <c r="M8" i="10"/>
  <c r="L8" i="10"/>
  <c r="K8" i="10"/>
  <c r="J8" i="10"/>
  <c r="I8" i="10"/>
  <c r="H8" i="10"/>
  <c r="G8" i="10"/>
  <c r="F8" i="10"/>
  <c r="E8" i="10"/>
  <c r="D8" i="10"/>
  <c r="C8" i="10"/>
  <c r="D7" i="10"/>
  <c r="M51" i="9"/>
  <c r="D27" i="19" s="1"/>
  <c r="H51" i="9"/>
  <c r="D17" i="19" s="1"/>
  <c r="G51" i="9"/>
  <c r="D15" i="19" s="1"/>
  <c r="M50" i="9"/>
  <c r="L50" i="9"/>
  <c r="K50" i="9"/>
  <c r="J50" i="9"/>
  <c r="I50" i="9"/>
  <c r="H50" i="9"/>
  <c r="G50" i="9"/>
  <c r="F50" i="9"/>
  <c r="E50" i="9"/>
  <c r="D50" i="9"/>
  <c r="C50" i="9"/>
  <c r="M49" i="9"/>
  <c r="L49" i="9"/>
  <c r="K49" i="9"/>
  <c r="J49" i="9"/>
  <c r="I49" i="9"/>
  <c r="H49" i="9"/>
  <c r="G49" i="9"/>
  <c r="F49" i="9"/>
  <c r="E49" i="9"/>
  <c r="D49" i="9"/>
  <c r="C49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M47" i="9"/>
  <c r="L47" i="9"/>
  <c r="K47" i="9"/>
  <c r="J47" i="9"/>
  <c r="I47" i="9"/>
  <c r="H47" i="9"/>
  <c r="G47" i="9"/>
  <c r="F47" i="9"/>
  <c r="E47" i="9"/>
  <c r="D47" i="9"/>
  <c r="C47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M45" i="9"/>
  <c r="L45" i="9"/>
  <c r="K45" i="9"/>
  <c r="J45" i="9"/>
  <c r="I45" i="9"/>
  <c r="H45" i="9"/>
  <c r="G45" i="9"/>
  <c r="F45" i="9"/>
  <c r="E45" i="9"/>
  <c r="D45" i="9"/>
  <c r="C45" i="9"/>
  <c r="M44" i="9"/>
  <c r="L44" i="9"/>
  <c r="K44" i="9"/>
  <c r="J44" i="9"/>
  <c r="I44" i="9"/>
  <c r="H44" i="9"/>
  <c r="G44" i="9"/>
  <c r="F44" i="9"/>
  <c r="E44" i="9"/>
  <c r="D44" i="9"/>
  <c r="C44" i="9"/>
  <c r="M43" i="9"/>
  <c r="L43" i="9"/>
  <c r="K43" i="9"/>
  <c r="J43" i="9"/>
  <c r="I43" i="9"/>
  <c r="H43" i="9"/>
  <c r="G43" i="9"/>
  <c r="F43" i="9"/>
  <c r="E43" i="9"/>
  <c r="D43" i="9"/>
  <c r="C43" i="9"/>
  <c r="Q42" i="9"/>
  <c r="M42" i="9"/>
  <c r="L42" i="9"/>
  <c r="K42" i="9"/>
  <c r="J42" i="9"/>
  <c r="I42" i="9"/>
  <c r="H42" i="9"/>
  <c r="G42" i="9"/>
  <c r="F42" i="9"/>
  <c r="E42" i="9"/>
  <c r="D42" i="9"/>
  <c r="C42" i="9"/>
  <c r="M41" i="9"/>
  <c r="L41" i="9"/>
  <c r="K41" i="9"/>
  <c r="J41" i="9"/>
  <c r="I41" i="9"/>
  <c r="H41" i="9"/>
  <c r="G41" i="9"/>
  <c r="F41" i="9"/>
  <c r="E41" i="9"/>
  <c r="D41" i="9"/>
  <c r="C41" i="9"/>
  <c r="Q40" i="9"/>
  <c r="P40" i="9"/>
  <c r="P34" i="10" s="1"/>
  <c r="O40" i="9"/>
  <c r="N40" i="9"/>
  <c r="N34" i="10" s="1"/>
  <c r="M40" i="9"/>
  <c r="L40" i="9"/>
  <c r="K40" i="9"/>
  <c r="J40" i="9"/>
  <c r="I40" i="9"/>
  <c r="H40" i="9"/>
  <c r="G40" i="9"/>
  <c r="F40" i="9"/>
  <c r="E40" i="9"/>
  <c r="D40" i="9"/>
  <c r="C40" i="9"/>
  <c r="M39" i="9"/>
  <c r="L39" i="9"/>
  <c r="K39" i="9"/>
  <c r="J39" i="9"/>
  <c r="I39" i="9"/>
  <c r="H39" i="9"/>
  <c r="G39" i="9"/>
  <c r="F39" i="9"/>
  <c r="E39" i="9"/>
  <c r="D39" i="9"/>
  <c r="C39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Q35" i="9"/>
  <c r="P35" i="9"/>
  <c r="O35" i="9"/>
  <c r="N35" i="9"/>
  <c r="M35" i="9"/>
  <c r="L35" i="9"/>
  <c r="L11" i="17" s="1"/>
  <c r="K35" i="9"/>
  <c r="J35" i="9"/>
  <c r="I35" i="9"/>
  <c r="I11" i="17" s="1"/>
  <c r="H35" i="9"/>
  <c r="H11" i="17" s="1"/>
  <c r="G35" i="9"/>
  <c r="F35" i="9"/>
  <c r="F11" i="17" s="1"/>
  <c r="E35" i="9"/>
  <c r="D35" i="9"/>
  <c r="C35" i="9"/>
  <c r="C11" i="17" s="1"/>
  <c r="M34" i="9"/>
  <c r="L34" i="9"/>
  <c r="L51" i="9" s="1"/>
  <c r="D25" i="19" s="1"/>
  <c r="K34" i="9"/>
  <c r="K51" i="9" s="1"/>
  <c r="D23" i="19" s="1"/>
  <c r="J34" i="9"/>
  <c r="J51" i="9" s="1"/>
  <c r="D21" i="19" s="1"/>
  <c r="I34" i="9"/>
  <c r="I51" i="9" s="1"/>
  <c r="D19" i="19" s="1"/>
  <c r="H34" i="9"/>
  <c r="G34" i="9"/>
  <c r="F34" i="9"/>
  <c r="F51" i="9" s="1"/>
  <c r="D13" i="19" s="1"/>
  <c r="E34" i="9"/>
  <c r="E51" i="9" s="1"/>
  <c r="D11" i="19" s="1"/>
  <c r="D34" i="9"/>
  <c r="D51" i="9" s="1"/>
  <c r="D9" i="19" s="1"/>
  <c r="C34" i="9"/>
  <c r="C51" i="9" s="1"/>
  <c r="D7" i="19" s="1"/>
  <c r="M33" i="9"/>
  <c r="L33" i="9"/>
  <c r="K33" i="9"/>
  <c r="J33" i="9"/>
  <c r="I33" i="9"/>
  <c r="H33" i="9"/>
  <c r="G33" i="9"/>
  <c r="F33" i="9"/>
  <c r="E33" i="9"/>
  <c r="D33" i="9"/>
  <c r="C33" i="9"/>
  <c r="M32" i="9"/>
  <c r="L32" i="9"/>
  <c r="K32" i="9"/>
  <c r="J32" i="9"/>
  <c r="I32" i="9"/>
  <c r="H32" i="9"/>
  <c r="G32" i="9"/>
  <c r="F32" i="9"/>
  <c r="E32" i="9"/>
  <c r="D32" i="9"/>
  <c r="C32" i="9"/>
  <c r="M31" i="9"/>
  <c r="L31" i="9"/>
  <c r="K31" i="9"/>
  <c r="J31" i="9"/>
  <c r="I31" i="9"/>
  <c r="H31" i="9"/>
  <c r="G31" i="9"/>
  <c r="F31" i="9"/>
  <c r="E31" i="9"/>
  <c r="D31" i="9"/>
  <c r="C31" i="9"/>
  <c r="P30" i="9"/>
  <c r="N30" i="9"/>
  <c r="O30" i="9" s="1"/>
  <c r="M30" i="9"/>
  <c r="L30" i="9"/>
  <c r="K30" i="9"/>
  <c r="J30" i="9"/>
  <c r="I30" i="9"/>
  <c r="H30" i="9"/>
  <c r="G30" i="9"/>
  <c r="F30" i="9"/>
  <c r="E30" i="9"/>
  <c r="D30" i="9"/>
  <c r="C30" i="9"/>
  <c r="M29" i="9"/>
  <c r="L29" i="9"/>
  <c r="C25" i="19" s="1"/>
  <c r="K29" i="9"/>
  <c r="C23" i="19" s="1"/>
  <c r="J29" i="9"/>
  <c r="C21" i="19" s="1"/>
  <c r="I29" i="9"/>
  <c r="C19" i="19" s="1"/>
  <c r="H29" i="9"/>
  <c r="G29" i="9"/>
  <c r="F29" i="9"/>
  <c r="C13" i="19" s="1"/>
  <c r="E29" i="9"/>
  <c r="C11" i="19" s="1"/>
  <c r="D29" i="9"/>
  <c r="C9" i="19" s="1"/>
  <c r="C29" i="9"/>
  <c r="C7" i="19" s="1"/>
  <c r="M28" i="9"/>
  <c r="L28" i="9"/>
  <c r="K28" i="9"/>
  <c r="J28" i="9"/>
  <c r="I28" i="9"/>
  <c r="H28" i="9"/>
  <c r="G28" i="9"/>
  <c r="F28" i="9"/>
  <c r="E28" i="9"/>
  <c r="D28" i="9"/>
  <c r="C28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M26" i="9"/>
  <c r="L26" i="9"/>
  <c r="K26" i="9"/>
  <c r="J26" i="9"/>
  <c r="I26" i="9"/>
  <c r="H26" i="9"/>
  <c r="G26" i="9"/>
  <c r="F26" i="9"/>
  <c r="E26" i="9"/>
  <c r="D26" i="9"/>
  <c r="C26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M23" i="9"/>
  <c r="L23" i="9"/>
  <c r="K23" i="9"/>
  <c r="J23" i="9"/>
  <c r="I23" i="9"/>
  <c r="H23" i="9"/>
  <c r="G23" i="9"/>
  <c r="F23" i="9"/>
  <c r="E23" i="9"/>
  <c r="D23" i="9"/>
  <c r="C23" i="9"/>
  <c r="Q22" i="9"/>
  <c r="P22" i="9"/>
  <c r="O22" i="9"/>
  <c r="N22" i="9"/>
  <c r="M21" i="9"/>
  <c r="M53" i="9" s="1"/>
  <c r="L21" i="9"/>
  <c r="K21" i="9"/>
  <c r="J21" i="9"/>
  <c r="I21" i="9"/>
  <c r="H21" i="9"/>
  <c r="G21" i="9"/>
  <c r="G53" i="9" s="1"/>
  <c r="F21" i="9"/>
  <c r="E21" i="9"/>
  <c r="D21" i="9"/>
  <c r="C21" i="9"/>
  <c r="M20" i="9"/>
  <c r="L20" i="9"/>
  <c r="K20" i="9"/>
  <c r="J20" i="9"/>
  <c r="I20" i="9"/>
  <c r="H20" i="9"/>
  <c r="G20" i="9"/>
  <c r="F20" i="9"/>
  <c r="E20" i="9"/>
  <c r="D20" i="9"/>
  <c r="C20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M18" i="9"/>
  <c r="L18" i="9"/>
  <c r="K18" i="9"/>
  <c r="J18" i="9"/>
  <c r="I18" i="9"/>
  <c r="H18" i="9"/>
  <c r="G18" i="9"/>
  <c r="F18" i="9"/>
  <c r="E18" i="9"/>
  <c r="D18" i="9"/>
  <c r="C18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M16" i="9"/>
  <c r="L16" i="9"/>
  <c r="K16" i="9"/>
  <c r="J16" i="9"/>
  <c r="I16" i="9"/>
  <c r="H16" i="9"/>
  <c r="G16" i="9"/>
  <c r="F16" i="9"/>
  <c r="E16" i="9"/>
  <c r="D16" i="9"/>
  <c r="C16" i="9"/>
  <c r="M15" i="9"/>
  <c r="L15" i="9"/>
  <c r="K15" i="9"/>
  <c r="J15" i="9"/>
  <c r="I15" i="9"/>
  <c r="H15" i="9"/>
  <c r="G15" i="9"/>
  <c r="F15" i="9"/>
  <c r="E15" i="9"/>
  <c r="D15" i="9"/>
  <c r="C15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M13" i="9"/>
  <c r="L13" i="9"/>
  <c r="K13" i="9"/>
  <c r="J13" i="9"/>
  <c r="I13" i="9"/>
  <c r="H13" i="9"/>
  <c r="G13" i="9"/>
  <c r="F13" i="9"/>
  <c r="E13" i="9"/>
  <c r="D13" i="9"/>
  <c r="C13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M11" i="9"/>
  <c r="L11" i="9"/>
  <c r="K11" i="9"/>
  <c r="J11" i="9"/>
  <c r="I11" i="9"/>
  <c r="H11" i="9"/>
  <c r="G11" i="9"/>
  <c r="F11" i="9"/>
  <c r="E11" i="9"/>
  <c r="D11" i="9"/>
  <c r="C11" i="9"/>
  <c r="Q10" i="9"/>
  <c r="N10" i="9"/>
  <c r="O10" i="9" s="1"/>
  <c r="P10" i="9" s="1"/>
  <c r="M10" i="9"/>
  <c r="L10" i="9"/>
  <c r="K10" i="9"/>
  <c r="J10" i="9"/>
  <c r="I10" i="9"/>
  <c r="H10" i="9"/>
  <c r="G10" i="9"/>
  <c r="F10" i="9"/>
  <c r="E10" i="9"/>
  <c r="D10" i="9"/>
  <c r="C10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M7" i="9"/>
  <c r="L7" i="9"/>
  <c r="K7" i="9"/>
  <c r="J7" i="9"/>
  <c r="I7" i="9"/>
  <c r="H7" i="9"/>
  <c r="G7" i="9"/>
  <c r="F7" i="9"/>
  <c r="E7" i="9"/>
  <c r="D7" i="9"/>
  <c r="C7" i="9"/>
  <c r="K37" i="8"/>
  <c r="K17" i="17" s="1"/>
  <c r="K18" i="17" s="1"/>
  <c r="E37" i="8"/>
  <c r="E17" i="17" s="1"/>
  <c r="E18" i="17" s="1"/>
  <c r="M36" i="8"/>
  <c r="L36" i="8"/>
  <c r="K36" i="8"/>
  <c r="J36" i="8"/>
  <c r="I36" i="8"/>
  <c r="H36" i="8"/>
  <c r="G36" i="8"/>
  <c r="F36" i="8"/>
  <c r="E36" i="8"/>
  <c r="D36" i="8"/>
  <c r="C36" i="8"/>
  <c r="M35" i="8"/>
  <c r="M13" i="17" s="1"/>
  <c r="M14" i="17" s="1"/>
  <c r="L35" i="8"/>
  <c r="L13" i="17" s="1"/>
  <c r="L14" i="17" s="1"/>
  <c r="K35" i="8"/>
  <c r="K13" i="17" s="1"/>
  <c r="K14" i="17" s="1"/>
  <c r="J35" i="8"/>
  <c r="J13" i="17" s="1"/>
  <c r="J14" i="17" s="1"/>
  <c r="I35" i="8"/>
  <c r="I13" i="17" s="1"/>
  <c r="I14" i="17" s="1"/>
  <c r="H35" i="8"/>
  <c r="H13" i="17" s="1"/>
  <c r="H14" i="17" s="1"/>
  <c r="G35" i="8"/>
  <c r="G13" i="17" s="1"/>
  <c r="G14" i="17" s="1"/>
  <c r="F35" i="8"/>
  <c r="F13" i="17" s="1"/>
  <c r="F14" i="17" s="1"/>
  <c r="E35" i="8"/>
  <c r="E13" i="17" s="1"/>
  <c r="E14" i="17" s="1"/>
  <c r="D35" i="8"/>
  <c r="D13" i="17" s="1"/>
  <c r="D14" i="17" s="1"/>
  <c r="C35" i="8"/>
  <c r="C13" i="17" s="1"/>
  <c r="C14" i="17" s="1"/>
  <c r="M34" i="8"/>
  <c r="L34" i="8"/>
  <c r="K34" i="8"/>
  <c r="J34" i="8"/>
  <c r="I34" i="8"/>
  <c r="H34" i="8"/>
  <c r="G34" i="8"/>
  <c r="F34" i="8"/>
  <c r="E34" i="8"/>
  <c r="D34" i="8"/>
  <c r="C34" i="8"/>
  <c r="Q33" i="8"/>
  <c r="P33" i="8"/>
  <c r="P8" i="17" s="1"/>
  <c r="O33" i="8"/>
  <c r="O8" i="17" s="1"/>
  <c r="N33" i="8"/>
  <c r="N8" i="17" s="1"/>
  <c r="J33" i="8"/>
  <c r="J8" i="17" s="1"/>
  <c r="J9" i="17" s="1"/>
  <c r="I33" i="8"/>
  <c r="I8" i="17" s="1"/>
  <c r="I9" i="17" s="1"/>
  <c r="D33" i="8"/>
  <c r="D8" i="17" s="1"/>
  <c r="D9" i="17" s="1"/>
  <c r="C33" i="8"/>
  <c r="C8" i="17" s="1"/>
  <c r="C9" i="17" s="1"/>
  <c r="N32" i="8"/>
  <c r="H32" i="8"/>
  <c r="K31" i="8"/>
  <c r="E31" i="8"/>
  <c r="M30" i="8"/>
  <c r="M32" i="8" s="1"/>
  <c r="L30" i="8"/>
  <c r="L32" i="8" s="1"/>
  <c r="K30" i="8"/>
  <c r="K32" i="8" s="1"/>
  <c r="J30" i="8"/>
  <c r="J32" i="8" s="1"/>
  <c r="J37" i="8" s="1"/>
  <c r="J17" i="17" s="1"/>
  <c r="J18" i="17" s="1"/>
  <c r="I30" i="8"/>
  <c r="I32" i="8" s="1"/>
  <c r="I37" i="8" s="1"/>
  <c r="I17" i="17" s="1"/>
  <c r="I18" i="17" s="1"/>
  <c r="H30" i="8"/>
  <c r="G30" i="8"/>
  <c r="G32" i="8" s="1"/>
  <c r="F30" i="8"/>
  <c r="F32" i="8" s="1"/>
  <c r="E30" i="8"/>
  <c r="E32" i="8" s="1"/>
  <c r="D30" i="8"/>
  <c r="D32" i="8" s="1"/>
  <c r="D37" i="8" s="1"/>
  <c r="D17" i="17" s="1"/>
  <c r="D18" i="17" s="1"/>
  <c r="C30" i="8"/>
  <c r="C32" i="8" s="1"/>
  <c r="C37" i="8" s="1"/>
  <c r="C17" i="17" s="1"/>
  <c r="C18" i="17" s="1"/>
  <c r="M29" i="8"/>
  <c r="L29" i="8"/>
  <c r="K29" i="8"/>
  <c r="J29" i="8"/>
  <c r="I29" i="8"/>
  <c r="H29" i="8"/>
  <c r="G29" i="8"/>
  <c r="F29" i="8"/>
  <c r="E29" i="8"/>
  <c r="D29" i="8"/>
  <c r="C29" i="8"/>
  <c r="M28" i="8"/>
  <c r="M7" i="10" s="1"/>
  <c r="M18" i="10" s="1"/>
  <c r="L28" i="8"/>
  <c r="L7" i="10" s="1"/>
  <c r="K28" i="8"/>
  <c r="K7" i="10" s="1"/>
  <c r="K18" i="10" s="1"/>
  <c r="J28" i="8"/>
  <c r="J7" i="10" s="1"/>
  <c r="I28" i="8"/>
  <c r="I7" i="10" s="1"/>
  <c r="H28" i="8"/>
  <c r="H7" i="10" s="1"/>
  <c r="G28" i="8"/>
  <c r="G7" i="10" s="1"/>
  <c r="G18" i="10" s="1"/>
  <c r="F28" i="8"/>
  <c r="F7" i="10" s="1"/>
  <c r="F18" i="10" s="1"/>
  <c r="E28" i="8"/>
  <c r="E7" i="10" s="1"/>
  <c r="E18" i="10" s="1"/>
  <c r="D28" i="8"/>
  <c r="C28" i="8"/>
  <c r="C7" i="10" s="1"/>
  <c r="C18" i="10" s="1"/>
  <c r="E27" i="8"/>
  <c r="M26" i="8"/>
  <c r="M27" i="8" s="1"/>
  <c r="L26" i="8"/>
  <c r="L27" i="8" s="1"/>
  <c r="K26" i="8"/>
  <c r="J26" i="8"/>
  <c r="I26" i="8"/>
  <c r="H26" i="8"/>
  <c r="H27" i="8" s="1"/>
  <c r="G26" i="8"/>
  <c r="G27" i="8" s="1"/>
  <c r="F26" i="8"/>
  <c r="F27" i="8" s="1"/>
  <c r="E26" i="8"/>
  <c r="D26" i="8"/>
  <c r="C26" i="8"/>
  <c r="M25" i="8"/>
  <c r="L25" i="8"/>
  <c r="K25" i="8"/>
  <c r="K27" i="8" s="1"/>
  <c r="J25" i="8"/>
  <c r="J27" i="8" s="1"/>
  <c r="I25" i="8"/>
  <c r="I27" i="8" s="1"/>
  <c r="H25" i="8"/>
  <c r="G25" i="8"/>
  <c r="F25" i="8"/>
  <c r="E25" i="8"/>
  <c r="D25" i="8"/>
  <c r="D27" i="8" s="1"/>
  <c r="C25" i="8"/>
  <c r="C27" i="8" s="1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M23" i="8"/>
  <c r="L23" i="8"/>
  <c r="K23" i="8"/>
  <c r="J23" i="8"/>
  <c r="I23" i="8"/>
  <c r="H23" i="8"/>
  <c r="G23" i="8"/>
  <c r="F23" i="8"/>
  <c r="E23" i="8"/>
  <c r="D23" i="8"/>
  <c r="C23" i="8"/>
  <c r="Q22" i="8"/>
  <c r="Q10" i="10" s="1"/>
  <c r="P22" i="8"/>
  <c r="P10" i="10" s="1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M21" i="8"/>
  <c r="L21" i="8"/>
  <c r="K21" i="8"/>
  <c r="J21" i="8"/>
  <c r="I21" i="8"/>
  <c r="H21" i="8"/>
  <c r="G21" i="8"/>
  <c r="F21" i="8"/>
  <c r="E21" i="8"/>
  <c r="D21" i="8"/>
  <c r="C21" i="8"/>
  <c r="M18" i="8"/>
  <c r="L18" i="8"/>
  <c r="K18" i="8"/>
  <c r="J18" i="8"/>
  <c r="I18" i="8"/>
  <c r="H18" i="8"/>
  <c r="G18" i="8"/>
  <c r="F18" i="8"/>
  <c r="E18" i="8"/>
  <c r="D18" i="8"/>
  <c r="C18" i="8"/>
  <c r="M15" i="8"/>
  <c r="L15" i="8"/>
  <c r="K15" i="8"/>
  <c r="J15" i="8"/>
  <c r="I15" i="8"/>
  <c r="H15" i="8"/>
  <c r="G15" i="8"/>
  <c r="F15" i="8"/>
  <c r="E15" i="8"/>
  <c r="D15" i="8"/>
  <c r="C15" i="8"/>
  <c r="K13" i="8"/>
  <c r="J12" i="8"/>
  <c r="I12" i="8"/>
  <c r="H12" i="8"/>
  <c r="G12" i="8"/>
  <c r="F12" i="8"/>
  <c r="E12" i="8"/>
  <c r="D12" i="8"/>
  <c r="C12" i="8"/>
  <c r="K11" i="8"/>
  <c r="M10" i="8"/>
  <c r="K10" i="8"/>
  <c r="K12" i="8" s="1"/>
  <c r="H10" i="8"/>
  <c r="G10" i="8"/>
  <c r="G13" i="8" s="1"/>
  <c r="K9" i="8"/>
  <c r="J9" i="8"/>
  <c r="I9" i="8"/>
  <c r="H9" i="8"/>
  <c r="G9" i="8"/>
  <c r="F9" i="8"/>
  <c r="E9" i="8"/>
  <c r="E10" i="8" s="1"/>
  <c r="E13" i="8" s="1"/>
  <c r="D9" i="8"/>
  <c r="C9" i="8"/>
  <c r="M8" i="8"/>
  <c r="M17" i="16" s="1"/>
  <c r="M18" i="16" s="1"/>
  <c r="L8" i="8"/>
  <c r="L17" i="16" s="1"/>
  <c r="L18" i="16" s="1"/>
  <c r="H8" i="8"/>
  <c r="H17" i="16" s="1"/>
  <c r="G8" i="8"/>
  <c r="G17" i="16" s="1"/>
  <c r="G18" i="16" s="1"/>
  <c r="F8" i="8"/>
  <c r="F17" i="16" s="1"/>
  <c r="F18" i="16" s="1"/>
  <c r="M7" i="8"/>
  <c r="M13" i="8" s="1"/>
  <c r="L7" i="8"/>
  <c r="L13" i="8" s="1"/>
  <c r="K7" i="8"/>
  <c r="J7" i="8"/>
  <c r="I7" i="8"/>
  <c r="I31" i="8" s="1"/>
  <c r="H7" i="8"/>
  <c r="H21" i="13" s="1"/>
  <c r="G7" i="8"/>
  <c r="F7" i="8"/>
  <c r="E7" i="8"/>
  <c r="D7" i="8"/>
  <c r="C7" i="8"/>
  <c r="C31" i="8" s="1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AH29" i="7"/>
  <c r="AU28" i="7"/>
  <c r="C39" i="19" s="1"/>
  <c r="E39" i="19" s="1"/>
  <c r="B39" i="19" s="1"/>
  <c r="AT28" i="7"/>
  <c r="AS28" i="7"/>
  <c r="AR28" i="7"/>
  <c r="AQ28" i="7"/>
  <c r="AQ29" i="7" s="1"/>
  <c r="AP28" i="7"/>
  <c r="AO28" i="7"/>
  <c r="AO29" i="7" s="1"/>
  <c r="AN28" i="7"/>
  <c r="AM28" i="7"/>
  <c r="AL28" i="7"/>
  <c r="AK28" i="7"/>
  <c r="AK29" i="7" s="1"/>
  <c r="AJ28" i="7"/>
  <c r="AI28" i="7"/>
  <c r="AI29" i="7" s="1"/>
  <c r="AH28" i="7"/>
  <c r="AG28" i="7"/>
  <c r="AF28" i="7"/>
  <c r="AE28" i="7"/>
  <c r="AE29" i="7" s="1"/>
  <c r="AD28" i="7"/>
  <c r="AC28" i="7"/>
  <c r="AC29" i="7" s="1"/>
  <c r="AB28" i="7"/>
  <c r="AA28" i="7"/>
  <c r="Z28" i="7"/>
  <c r="Y28" i="7"/>
  <c r="Y29" i="7" s="1"/>
  <c r="X28" i="7"/>
  <c r="W28" i="7"/>
  <c r="W29" i="7" s="1"/>
  <c r="V28" i="7"/>
  <c r="U28" i="7"/>
  <c r="T28" i="7"/>
  <c r="S28" i="7"/>
  <c r="S29" i="7" s="1"/>
  <c r="R28" i="7"/>
  <c r="Q28" i="7"/>
  <c r="Q29" i="7" s="1"/>
  <c r="P28" i="7"/>
  <c r="O28" i="7"/>
  <c r="N28" i="7"/>
  <c r="M28" i="7"/>
  <c r="M29" i="7" s="1"/>
  <c r="L28" i="7"/>
  <c r="K28" i="7"/>
  <c r="K29" i="7" s="1"/>
  <c r="J28" i="7"/>
  <c r="I28" i="7"/>
  <c r="H28" i="7"/>
  <c r="G28" i="7"/>
  <c r="G29" i="7" s="1"/>
  <c r="F28" i="7"/>
  <c r="E28" i="7"/>
  <c r="E29" i="7" s="1"/>
  <c r="D28" i="7"/>
  <c r="C28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AU24" i="7"/>
  <c r="C38" i="19" s="1"/>
  <c r="E38" i="19" s="1"/>
  <c r="B38" i="19" s="1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AR19" i="7"/>
  <c r="AF19" i="7"/>
  <c r="T19" i="7"/>
  <c r="H19" i="7"/>
  <c r="AU18" i="7"/>
  <c r="AT18" i="7"/>
  <c r="AS18" i="7"/>
  <c r="AR18" i="7"/>
  <c r="AQ18" i="7"/>
  <c r="AQ19" i="7" s="1"/>
  <c r="AP18" i="7"/>
  <c r="AP19" i="7" s="1"/>
  <c r="AO18" i="7"/>
  <c r="AN18" i="7"/>
  <c r="AM18" i="7"/>
  <c r="AL18" i="7"/>
  <c r="AK18" i="7"/>
  <c r="AK19" i="7" s="1"/>
  <c r="AJ18" i="7"/>
  <c r="AJ19" i="7" s="1"/>
  <c r="AI18" i="7"/>
  <c r="AH18" i="7"/>
  <c r="AG18" i="7"/>
  <c r="AF18" i="7"/>
  <c r="AE18" i="7"/>
  <c r="AE19" i="7" s="1"/>
  <c r="AD18" i="7"/>
  <c r="AD19" i="7" s="1"/>
  <c r="AC18" i="7"/>
  <c r="AB18" i="7"/>
  <c r="AA18" i="7"/>
  <c r="Z18" i="7"/>
  <c r="Y18" i="7"/>
  <c r="Y19" i="7" s="1"/>
  <c r="X18" i="7"/>
  <c r="X19" i="7" s="1"/>
  <c r="W18" i="7"/>
  <c r="V18" i="7"/>
  <c r="U18" i="7"/>
  <c r="T18" i="7"/>
  <c r="S18" i="7"/>
  <c r="S19" i="7" s="1"/>
  <c r="R18" i="7"/>
  <c r="R19" i="7" s="1"/>
  <c r="Q18" i="7"/>
  <c r="P18" i="7"/>
  <c r="O18" i="7"/>
  <c r="N18" i="7"/>
  <c r="M18" i="7"/>
  <c r="M19" i="7" s="1"/>
  <c r="L18" i="7"/>
  <c r="L19" i="7" s="1"/>
  <c r="K18" i="7"/>
  <c r="J18" i="7"/>
  <c r="I18" i="7"/>
  <c r="H18" i="7"/>
  <c r="G18" i="7"/>
  <c r="G19" i="7" s="1"/>
  <c r="F18" i="7"/>
  <c r="F19" i="7" s="1"/>
  <c r="E18" i="7"/>
  <c r="D18" i="7"/>
  <c r="C18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AJ16" i="7"/>
  <c r="X16" i="7"/>
  <c r="L16" i="7"/>
  <c r="AU15" i="7"/>
  <c r="AT15" i="7"/>
  <c r="AS15" i="7"/>
  <c r="AR15" i="7"/>
  <c r="AQ15" i="7"/>
  <c r="AQ16" i="7" s="1"/>
  <c r="AP15" i="7"/>
  <c r="AO15" i="7"/>
  <c r="AN15" i="7"/>
  <c r="AM15" i="7"/>
  <c r="AL15" i="7"/>
  <c r="AK15" i="7"/>
  <c r="AK16" i="7" s="1"/>
  <c r="AJ15" i="7"/>
  <c r="AI15" i="7"/>
  <c r="AH15" i="7"/>
  <c r="AG15" i="7"/>
  <c r="AF15" i="7"/>
  <c r="AE15" i="7"/>
  <c r="AE16" i="7" s="1"/>
  <c r="AD15" i="7"/>
  <c r="AC15" i="7"/>
  <c r="AB15" i="7"/>
  <c r="AA15" i="7"/>
  <c r="Z15" i="7"/>
  <c r="Y15" i="7"/>
  <c r="Y16" i="7" s="1"/>
  <c r="X15" i="7"/>
  <c r="W15" i="7"/>
  <c r="V15" i="7"/>
  <c r="U15" i="7"/>
  <c r="T15" i="7"/>
  <c r="S15" i="7"/>
  <c r="S16" i="7" s="1"/>
  <c r="R15" i="7"/>
  <c r="Q15" i="7"/>
  <c r="P15" i="7"/>
  <c r="O15" i="7"/>
  <c r="N15" i="7"/>
  <c r="M15" i="7"/>
  <c r="M16" i="7" s="1"/>
  <c r="L15" i="7"/>
  <c r="K15" i="7"/>
  <c r="J15" i="7"/>
  <c r="I15" i="7"/>
  <c r="H15" i="7"/>
  <c r="G15" i="7"/>
  <c r="G16" i="7" s="1"/>
  <c r="F15" i="7"/>
  <c r="E15" i="7"/>
  <c r="D15" i="7"/>
  <c r="C15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T13" i="7"/>
  <c r="AR13" i="7"/>
  <c r="AF13" i="7"/>
  <c r="Z13" i="7"/>
  <c r="Y13" i="7"/>
  <c r="T13" i="7"/>
  <c r="N13" i="7"/>
  <c r="M13" i="7"/>
  <c r="J13" i="7"/>
  <c r="H13" i="7"/>
  <c r="AU12" i="7"/>
  <c r="AT12" i="7"/>
  <c r="AS12" i="7"/>
  <c r="AS13" i="7" s="1"/>
  <c r="AR12" i="7"/>
  <c r="AQ12" i="7"/>
  <c r="AQ13" i="7" s="1"/>
  <c r="AP12" i="7"/>
  <c r="AP13" i="7" s="1"/>
  <c r="AO12" i="7"/>
  <c r="AN12" i="7"/>
  <c r="AN13" i="7" s="1"/>
  <c r="AM12" i="7"/>
  <c r="AL12" i="7"/>
  <c r="AK12" i="7"/>
  <c r="AK13" i="7" s="1"/>
  <c r="AJ12" i="7"/>
  <c r="AJ13" i="7" s="1"/>
  <c r="AI12" i="7"/>
  <c r="AH12" i="7"/>
  <c r="AG12" i="7"/>
  <c r="AG13" i="7" s="1"/>
  <c r="AF12" i="7"/>
  <c r="AE12" i="7"/>
  <c r="AE13" i="7" s="1"/>
  <c r="AD12" i="7"/>
  <c r="AD13" i="7" s="1"/>
  <c r="AC12" i="7"/>
  <c r="AB12" i="7"/>
  <c r="AB13" i="7" s="1"/>
  <c r="AA12" i="7"/>
  <c r="Z12" i="7"/>
  <c r="Y12" i="7"/>
  <c r="X12" i="7"/>
  <c r="X13" i="7" s="1"/>
  <c r="W12" i="7"/>
  <c r="V12" i="7"/>
  <c r="V13" i="7" s="1"/>
  <c r="U12" i="7"/>
  <c r="U13" i="7" s="1"/>
  <c r="T12" i="7"/>
  <c r="S12" i="7"/>
  <c r="S13" i="7" s="1"/>
  <c r="R12" i="7"/>
  <c r="R13" i="7" s="1"/>
  <c r="Q12" i="7"/>
  <c r="P12" i="7"/>
  <c r="P13" i="7" s="1"/>
  <c r="O12" i="7"/>
  <c r="O13" i="7" s="1"/>
  <c r="N12" i="7"/>
  <c r="M12" i="7"/>
  <c r="L12" i="7"/>
  <c r="L13" i="7" s="1"/>
  <c r="K12" i="7"/>
  <c r="J12" i="7"/>
  <c r="I12" i="7"/>
  <c r="I13" i="7" s="1"/>
  <c r="H12" i="7"/>
  <c r="G12" i="7"/>
  <c r="G13" i="7" s="1"/>
  <c r="F12" i="7"/>
  <c r="F13" i="7" s="1"/>
  <c r="E12" i="7"/>
  <c r="D12" i="7"/>
  <c r="D13" i="7" s="1"/>
  <c r="C12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AR7" i="7"/>
  <c r="AL7" i="7"/>
  <c r="AK7" i="7"/>
  <c r="AF7" i="7"/>
  <c r="AD7" i="7"/>
  <c r="Z7" i="7"/>
  <c r="Y7" i="7"/>
  <c r="T7" i="7"/>
  <c r="H7" i="7"/>
  <c r="AU6" i="7"/>
  <c r="AT6" i="7"/>
  <c r="AT19" i="7" s="1"/>
  <c r="AS6" i="7"/>
  <c r="AT7" i="7" s="1"/>
  <c r="AR6" i="7"/>
  <c r="AR29" i="7" s="1"/>
  <c r="AQ6" i="7"/>
  <c r="AP6" i="7"/>
  <c r="AQ7" i="7" s="1"/>
  <c r="AO6" i="7"/>
  <c r="AO7" i="7" s="1"/>
  <c r="AN6" i="7"/>
  <c r="AN7" i="7" s="1"/>
  <c r="AM6" i="7"/>
  <c r="AL6" i="7"/>
  <c r="AL29" i="7" s="1"/>
  <c r="AK6" i="7"/>
  <c r="AJ6" i="7"/>
  <c r="AJ7" i="7" s="1"/>
  <c r="AI6" i="7"/>
  <c r="AH6" i="7"/>
  <c r="AH19" i="7" s="1"/>
  <c r="AG6" i="7"/>
  <c r="AG29" i="7" s="1"/>
  <c r="AF6" i="7"/>
  <c r="AF29" i="7" s="1"/>
  <c r="AE6" i="7"/>
  <c r="AD6" i="7"/>
  <c r="AD16" i="7" s="1"/>
  <c r="AC6" i="7"/>
  <c r="AC7" i="7" s="1"/>
  <c r="AB6" i="7"/>
  <c r="AB29" i="7" s="1"/>
  <c r="AA6" i="7"/>
  <c r="AA19" i="7" s="1"/>
  <c r="Z6" i="7"/>
  <c r="Z29" i="7" s="1"/>
  <c r="Y6" i="7"/>
  <c r="X6" i="7"/>
  <c r="X7" i="7" s="1"/>
  <c r="W6" i="7"/>
  <c r="V6" i="7"/>
  <c r="V29" i="7" s="1"/>
  <c r="U6" i="7"/>
  <c r="U29" i="7" s="1"/>
  <c r="T6" i="7"/>
  <c r="T29" i="7" s="1"/>
  <c r="S6" i="7"/>
  <c r="R6" i="7"/>
  <c r="R16" i="7" s="1"/>
  <c r="Q6" i="7"/>
  <c r="Q7" i="7" s="1"/>
  <c r="P6" i="7"/>
  <c r="P29" i="7" s="1"/>
  <c r="O6" i="7"/>
  <c r="O7" i="7" s="1"/>
  <c r="N6" i="7"/>
  <c r="N29" i="7" s="1"/>
  <c r="M6" i="7"/>
  <c r="L6" i="7"/>
  <c r="M7" i="7" s="1"/>
  <c r="K6" i="7"/>
  <c r="J6" i="7"/>
  <c r="J19" i="7" s="1"/>
  <c r="I6" i="7"/>
  <c r="I29" i="7" s="1"/>
  <c r="H6" i="7"/>
  <c r="H29" i="7" s="1"/>
  <c r="G6" i="7"/>
  <c r="F6" i="7"/>
  <c r="G7" i="7" s="1"/>
  <c r="E6" i="7"/>
  <c r="E7" i="7" s="1"/>
  <c r="D6" i="7"/>
  <c r="D7" i="7" s="1"/>
  <c r="C6" i="7"/>
  <c r="C13" i="7" s="1"/>
  <c r="F55" i="4"/>
  <c r="Q7" i="17" s="1"/>
  <c r="E55" i="4"/>
  <c r="P7" i="17" s="1"/>
  <c r="D55" i="4"/>
  <c r="O7" i="17" s="1"/>
  <c r="C55" i="4"/>
  <c r="N7" i="17" s="1"/>
  <c r="L32" i="2"/>
  <c r="K32" i="2"/>
  <c r="J32" i="2"/>
  <c r="I32" i="2"/>
  <c r="H32" i="2"/>
  <c r="G32" i="2"/>
  <c r="F32" i="2"/>
  <c r="E32" i="2"/>
  <c r="D32" i="2"/>
  <c r="C32" i="2"/>
  <c r="B32" i="2"/>
  <c r="L31" i="2"/>
  <c r="K31" i="2"/>
  <c r="J31" i="2"/>
  <c r="I31" i="2"/>
  <c r="H31" i="2"/>
  <c r="G31" i="2"/>
  <c r="F31" i="2"/>
  <c r="E31" i="2"/>
  <c r="D31" i="2"/>
  <c r="C31" i="2"/>
  <c r="B31" i="2"/>
  <c r="L30" i="2"/>
  <c r="K30" i="2"/>
  <c r="J30" i="2"/>
  <c r="I30" i="2"/>
  <c r="H30" i="2"/>
  <c r="G30" i="2"/>
  <c r="F30" i="2"/>
  <c r="E30" i="2"/>
  <c r="D30" i="2"/>
  <c r="C30" i="2"/>
  <c r="B30" i="2"/>
  <c r="L28" i="2"/>
  <c r="K28" i="2"/>
  <c r="J28" i="2"/>
  <c r="I28" i="2"/>
  <c r="H28" i="2"/>
  <c r="G28" i="2"/>
  <c r="F28" i="2"/>
  <c r="E28" i="2"/>
  <c r="D28" i="2"/>
  <c r="C28" i="2"/>
  <c r="B28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L26" i="2"/>
  <c r="K26" i="2"/>
  <c r="J26" i="2"/>
  <c r="I26" i="2"/>
  <c r="H26" i="2"/>
  <c r="G26" i="2"/>
  <c r="F26" i="2"/>
  <c r="E26" i="2"/>
  <c r="D26" i="2"/>
  <c r="C26" i="2"/>
  <c r="B26" i="2"/>
  <c r="L25" i="2"/>
  <c r="K25" i="2"/>
  <c r="J25" i="2"/>
  <c r="I25" i="2"/>
  <c r="H25" i="2"/>
  <c r="G25" i="2"/>
  <c r="F25" i="2"/>
  <c r="E25" i="2"/>
  <c r="D25" i="2"/>
  <c r="C25" i="2"/>
  <c r="B25" i="2"/>
  <c r="L24" i="2"/>
  <c r="K24" i="2"/>
  <c r="J24" i="2"/>
  <c r="I24" i="2"/>
  <c r="H24" i="2"/>
  <c r="G24" i="2"/>
  <c r="F24" i="2"/>
  <c r="E24" i="2"/>
  <c r="D24" i="2"/>
  <c r="C24" i="2"/>
  <c r="B24" i="2"/>
  <c r="L23" i="2"/>
  <c r="K23" i="2"/>
  <c r="J23" i="2"/>
  <c r="I23" i="2"/>
  <c r="H23" i="2"/>
  <c r="G23" i="2"/>
  <c r="F23" i="2"/>
  <c r="E23" i="2"/>
  <c r="D23" i="2"/>
  <c r="C23" i="2"/>
  <c r="B23" i="2"/>
  <c r="L22" i="2"/>
  <c r="K22" i="2"/>
  <c r="J22" i="2"/>
  <c r="I22" i="2"/>
  <c r="H22" i="2"/>
  <c r="G22" i="2"/>
  <c r="F22" i="2"/>
  <c r="E22" i="2"/>
  <c r="D22" i="2"/>
  <c r="C22" i="2"/>
  <c r="B22" i="2"/>
  <c r="P21" i="2"/>
  <c r="O21" i="2"/>
  <c r="N21" i="2"/>
  <c r="M21" i="2"/>
  <c r="L20" i="2"/>
  <c r="K20" i="2"/>
  <c r="J20" i="2"/>
  <c r="I20" i="2"/>
  <c r="H20" i="2"/>
  <c r="G20" i="2"/>
  <c r="F20" i="2"/>
  <c r="E20" i="2"/>
  <c r="D20" i="2"/>
  <c r="C20" i="2"/>
  <c r="B20" i="2"/>
  <c r="G19" i="2"/>
  <c r="B19" i="2"/>
  <c r="L18" i="2"/>
  <c r="K18" i="2"/>
  <c r="J18" i="2"/>
  <c r="I18" i="2"/>
  <c r="H18" i="2"/>
  <c r="G18" i="2"/>
  <c r="F18" i="2"/>
  <c r="E18" i="2"/>
  <c r="D18" i="2"/>
  <c r="C18" i="2"/>
  <c r="B18" i="2"/>
  <c r="L17" i="2"/>
  <c r="K17" i="2"/>
  <c r="J17" i="2"/>
  <c r="I17" i="2"/>
  <c r="H17" i="2"/>
  <c r="G17" i="2"/>
  <c r="F17" i="2"/>
  <c r="E17" i="2"/>
  <c r="D17" i="2"/>
  <c r="C17" i="2"/>
  <c r="B17" i="2"/>
  <c r="L16" i="2"/>
  <c r="K16" i="2"/>
  <c r="J16" i="2"/>
  <c r="I16" i="2"/>
  <c r="H16" i="2"/>
  <c r="G16" i="2"/>
  <c r="F16" i="2"/>
  <c r="E16" i="2"/>
  <c r="D16" i="2"/>
  <c r="C16" i="2"/>
  <c r="B16" i="2"/>
  <c r="J12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M10" i="2"/>
  <c r="L10" i="2"/>
  <c r="K10" i="2"/>
  <c r="J10" i="2"/>
  <c r="I10" i="2"/>
  <c r="H10" i="2"/>
  <c r="G10" i="2"/>
  <c r="F10" i="2"/>
  <c r="E10" i="2"/>
  <c r="D10" i="2"/>
  <c r="C10" i="2"/>
  <c r="B10" i="2"/>
  <c r="L9" i="2"/>
  <c r="K9" i="2"/>
  <c r="J9" i="2"/>
  <c r="I9" i="2"/>
  <c r="H9" i="2"/>
  <c r="G9" i="2"/>
  <c r="F9" i="2"/>
  <c r="E9" i="2"/>
  <c r="D9" i="2"/>
  <c r="C9" i="2"/>
  <c r="B9" i="2"/>
  <c r="L8" i="2"/>
  <c r="K8" i="2"/>
  <c r="G8" i="2"/>
  <c r="F8" i="2"/>
  <c r="E8" i="2"/>
  <c r="B8" i="2"/>
  <c r="L7" i="2"/>
  <c r="K7" i="2"/>
  <c r="J7" i="2"/>
  <c r="I7" i="2"/>
  <c r="H7" i="2"/>
  <c r="G7" i="2"/>
  <c r="F7" i="2"/>
  <c r="E7" i="2"/>
  <c r="D7" i="2"/>
  <c r="C7" i="2"/>
  <c r="B7" i="2"/>
  <c r="E16" i="8" l="1"/>
  <c r="E14" i="8"/>
  <c r="D13" i="2" s="1"/>
  <c r="C50" i="19"/>
  <c r="AM29" i="7"/>
  <c r="C19" i="7"/>
  <c r="I7" i="7"/>
  <c r="P7" i="7"/>
  <c r="AE7" i="7"/>
  <c r="AS7" i="7"/>
  <c r="D16" i="7"/>
  <c r="D19" i="7"/>
  <c r="P19" i="7"/>
  <c r="AB19" i="7"/>
  <c r="AN19" i="7"/>
  <c r="F29" i="7"/>
  <c r="L29" i="7"/>
  <c r="R29" i="7"/>
  <c r="X29" i="7"/>
  <c r="AD29" i="7"/>
  <c r="AJ29" i="7"/>
  <c r="AP29" i="7"/>
  <c r="D29" i="7"/>
  <c r="AN29" i="7"/>
  <c r="D42" i="19"/>
  <c r="D41" i="13"/>
  <c r="D24" i="13"/>
  <c r="D8" i="14"/>
  <c r="D38" i="13"/>
  <c r="D32" i="13"/>
  <c r="D21" i="13"/>
  <c r="D15" i="13"/>
  <c r="D9" i="13"/>
  <c r="D31" i="12"/>
  <c r="D10" i="14"/>
  <c r="D12" i="14"/>
  <c r="D31" i="8"/>
  <c r="E8" i="8"/>
  <c r="D10" i="8"/>
  <c r="D8" i="8"/>
  <c r="D48" i="19"/>
  <c r="J41" i="13"/>
  <c r="J8" i="14"/>
  <c r="J10" i="14"/>
  <c r="J12" i="14"/>
  <c r="J24" i="13"/>
  <c r="J31" i="12"/>
  <c r="J38" i="13"/>
  <c r="J32" i="13"/>
  <c r="J21" i="13"/>
  <c r="J15" i="13"/>
  <c r="J9" i="13"/>
  <c r="J30" i="13"/>
  <c r="J19" i="13"/>
  <c r="J13" i="13"/>
  <c r="J36" i="13"/>
  <c r="J31" i="8"/>
  <c r="K8" i="8"/>
  <c r="J10" i="8"/>
  <c r="J8" i="8"/>
  <c r="M12" i="8"/>
  <c r="K33" i="8"/>
  <c r="K8" i="17" s="1"/>
  <c r="K9" i="17" s="1"/>
  <c r="AM19" i="7"/>
  <c r="N9" i="17"/>
  <c r="C43" i="19"/>
  <c r="E43" i="19" s="1"/>
  <c r="B43" i="19" s="1"/>
  <c r="K7" i="7"/>
  <c r="C46" i="19"/>
  <c r="W7" i="7"/>
  <c r="C49" i="19"/>
  <c r="AI7" i="7"/>
  <c r="C37" i="19"/>
  <c r="E37" i="19" s="1"/>
  <c r="B37" i="19" s="1"/>
  <c r="AU7" i="7"/>
  <c r="J7" i="7"/>
  <c r="R7" i="7"/>
  <c r="AM7" i="7"/>
  <c r="AA13" i="7"/>
  <c r="AH13" i="7"/>
  <c r="E16" i="7"/>
  <c r="Q16" i="7"/>
  <c r="AC16" i="7"/>
  <c r="AO16" i="7"/>
  <c r="J29" i="7"/>
  <c r="AT29" i="7"/>
  <c r="H20" i="10"/>
  <c r="H18" i="10"/>
  <c r="H33" i="8"/>
  <c r="H8" i="17" s="1"/>
  <c r="H9" i="17" s="1"/>
  <c r="H12" i="17" s="1"/>
  <c r="H31" i="8"/>
  <c r="Q30" i="9"/>
  <c r="C44" i="19"/>
  <c r="O29" i="7"/>
  <c r="AM13" i="7"/>
  <c r="O9" i="17"/>
  <c r="L7" i="7"/>
  <c r="S7" i="7"/>
  <c r="AG7" i="7"/>
  <c r="H16" i="7"/>
  <c r="N16" i="7"/>
  <c r="T16" i="7"/>
  <c r="Z16" i="7"/>
  <c r="AF16" i="7"/>
  <c r="AL16" i="7"/>
  <c r="AR16" i="7"/>
  <c r="F16" i="7"/>
  <c r="AP16" i="7"/>
  <c r="I19" i="7"/>
  <c r="U19" i="7"/>
  <c r="AG19" i="7"/>
  <c r="L16" i="8"/>
  <c r="L14" i="8"/>
  <c r="K13" i="2" s="1"/>
  <c r="E11" i="8"/>
  <c r="D12" i="2" s="1"/>
  <c r="F37" i="8"/>
  <c r="F17" i="17" s="1"/>
  <c r="F18" i="17" s="1"/>
  <c r="L37" i="8"/>
  <c r="L17" i="17" s="1"/>
  <c r="L18" i="17" s="1"/>
  <c r="H10" i="17"/>
  <c r="H42" i="10"/>
  <c r="D18" i="19" s="1"/>
  <c r="E18" i="19" s="1"/>
  <c r="B18" i="19" s="1"/>
  <c r="H53" i="9"/>
  <c r="C41" i="19"/>
  <c r="C29" i="7"/>
  <c r="C47" i="19"/>
  <c r="AA29" i="7"/>
  <c r="V7" i="7"/>
  <c r="O19" i="7"/>
  <c r="F7" i="7"/>
  <c r="AA7" i="7"/>
  <c r="AH7" i="7"/>
  <c r="AP7" i="7"/>
  <c r="C16" i="7"/>
  <c r="I16" i="7"/>
  <c r="O16" i="7"/>
  <c r="U16" i="7"/>
  <c r="AA16" i="7"/>
  <c r="AG16" i="7"/>
  <c r="AM16" i="7"/>
  <c r="AS16" i="7"/>
  <c r="V19" i="7"/>
  <c r="M16" i="8"/>
  <c r="M14" i="8"/>
  <c r="L13" i="2" s="1"/>
  <c r="G16" i="8"/>
  <c r="G14" i="8"/>
  <c r="F13" i="2" s="1"/>
  <c r="K16" i="8"/>
  <c r="K14" i="8"/>
  <c r="J13" i="2" s="1"/>
  <c r="J18" i="10"/>
  <c r="J20" i="10"/>
  <c r="E33" i="8"/>
  <c r="E8" i="17" s="1"/>
  <c r="E9" i="17" s="1"/>
  <c r="G37" i="8"/>
  <c r="G17" i="17" s="1"/>
  <c r="G18" i="17" s="1"/>
  <c r="M37" i="8"/>
  <c r="M17" i="17" s="1"/>
  <c r="M18" i="17" s="1"/>
  <c r="M34" i="12"/>
  <c r="AS29" i="7"/>
  <c r="AS19" i="7"/>
  <c r="D18" i="10"/>
  <c r="D20" i="10"/>
  <c r="N7" i="7"/>
  <c r="U7" i="7"/>
  <c r="AB7" i="7"/>
  <c r="E13" i="7"/>
  <c r="K13" i="7"/>
  <c r="Q13" i="7"/>
  <c r="W13" i="7"/>
  <c r="AC13" i="7"/>
  <c r="AI13" i="7"/>
  <c r="AO13" i="7"/>
  <c r="AU13" i="7"/>
  <c r="AL13" i="7"/>
  <c r="J16" i="7"/>
  <c r="P16" i="7"/>
  <c r="V16" i="7"/>
  <c r="AB16" i="7"/>
  <c r="AH16" i="7"/>
  <c r="AN16" i="7"/>
  <c r="AT16" i="7"/>
  <c r="K16" i="7"/>
  <c r="W16" i="7"/>
  <c r="AI16" i="7"/>
  <c r="AU16" i="7"/>
  <c r="E19" i="7"/>
  <c r="K19" i="7"/>
  <c r="Q19" i="7"/>
  <c r="W19" i="7"/>
  <c r="AC19" i="7"/>
  <c r="AI19" i="7"/>
  <c r="AO19" i="7"/>
  <c r="AU19" i="7"/>
  <c r="N19" i="7"/>
  <c r="Z19" i="7"/>
  <c r="AL19" i="7"/>
  <c r="H13" i="8"/>
  <c r="H11" i="8"/>
  <c r="G12" i="2" s="1"/>
  <c r="N31" i="10"/>
  <c r="Q8" i="17"/>
  <c r="Q9" i="17" s="1"/>
  <c r="Q32" i="8"/>
  <c r="H37" i="8"/>
  <c r="H17" i="17" s="1"/>
  <c r="H18" i="17" s="1"/>
  <c r="N10" i="10"/>
  <c r="P9" i="17"/>
  <c r="C42" i="19"/>
  <c r="C45" i="19"/>
  <c r="C48" i="19"/>
  <c r="E48" i="19" s="1"/>
  <c r="B48" i="19" s="1"/>
  <c r="C51" i="19"/>
  <c r="AU29" i="7"/>
  <c r="D43" i="19"/>
  <c r="E41" i="13"/>
  <c r="E24" i="13"/>
  <c r="E31" i="12"/>
  <c r="D49" i="19"/>
  <c r="K41" i="13"/>
  <c r="K24" i="13"/>
  <c r="K31" i="12"/>
  <c r="I8" i="8"/>
  <c r="L9" i="8"/>
  <c r="C10" i="8"/>
  <c r="I10" i="8"/>
  <c r="O31" i="10"/>
  <c r="O10" i="10"/>
  <c r="I20" i="10"/>
  <c r="I18" i="10"/>
  <c r="F31" i="8"/>
  <c r="L31" i="8"/>
  <c r="O32" i="8"/>
  <c r="F33" i="8"/>
  <c r="F8" i="17" s="1"/>
  <c r="F9" i="17" s="1"/>
  <c r="L33" i="8"/>
  <c r="L8" i="17" s="1"/>
  <c r="L9" i="17" s="1"/>
  <c r="C10" i="17"/>
  <c r="C42" i="10"/>
  <c r="C53" i="9"/>
  <c r="I10" i="17"/>
  <c r="I42" i="10"/>
  <c r="D20" i="19" s="1"/>
  <c r="I53" i="9"/>
  <c r="C70" i="19"/>
  <c r="E70" i="19" s="1"/>
  <c r="B70" i="19" s="1"/>
  <c r="I44" i="10"/>
  <c r="H35" i="10"/>
  <c r="M42" i="10"/>
  <c r="D28" i="19" s="1"/>
  <c r="D44" i="10"/>
  <c r="L13" i="13"/>
  <c r="D44" i="19"/>
  <c r="F41" i="13"/>
  <c r="F31" i="12"/>
  <c r="F32" i="13"/>
  <c r="F36" i="13"/>
  <c r="F30" i="13"/>
  <c r="F19" i="13"/>
  <c r="F13" i="13"/>
  <c r="D50" i="19"/>
  <c r="L24" i="13"/>
  <c r="L31" i="12"/>
  <c r="M36" i="12" s="1"/>
  <c r="L41" i="13"/>
  <c r="M9" i="8"/>
  <c r="G11" i="8"/>
  <c r="F12" i="2" s="1"/>
  <c r="M11" i="8"/>
  <c r="L12" i="2" s="1"/>
  <c r="G31" i="8"/>
  <c r="M31" i="8"/>
  <c r="P32" i="8"/>
  <c r="G33" i="8"/>
  <c r="G8" i="17" s="1"/>
  <c r="G9" i="17" s="1"/>
  <c r="M33" i="8"/>
  <c r="M8" i="17" s="1"/>
  <c r="M9" i="17" s="1"/>
  <c r="D10" i="17"/>
  <c r="D53" i="9"/>
  <c r="J10" i="17"/>
  <c r="J12" i="17" s="1"/>
  <c r="J42" i="10"/>
  <c r="J53" i="9"/>
  <c r="G11" i="17"/>
  <c r="M11" i="17"/>
  <c r="D52" i="9"/>
  <c r="C14" i="19"/>
  <c r="F39" i="10"/>
  <c r="C26" i="19"/>
  <c r="E26" i="19" s="1"/>
  <c r="B26" i="19" s="1"/>
  <c r="M40" i="10"/>
  <c r="M39" i="10" s="1"/>
  <c r="M38" i="10" s="1"/>
  <c r="L39" i="10"/>
  <c r="L38" i="10" s="1"/>
  <c r="D8" i="11"/>
  <c r="D7" i="11"/>
  <c r="G22" i="15"/>
  <c r="M22" i="15"/>
  <c r="H9" i="13"/>
  <c r="G11" i="13"/>
  <c r="G22" i="13"/>
  <c r="N10" i="13"/>
  <c r="M11" i="13"/>
  <c r="E30" i="13"/>
  <c r="E39" i="13"/>
  <c r="K30" i="13"/>
  <c r="K39" i="13"/>
  <c r="D45" i="19"/>
  <c r="G21" i="13"/>
  <c r="G15" i="13"/>
  <c r="G9" i="13"/>
  <c r="G19" i="13"/>
  <c r="G13" i="13"/>
  <c r="G24" i="13"/>
  <c r="G41" i="13"/>
  <c r="D51" i="19"/>
  <c r="M41" i="13"/>
  <c r="E10" i="17"/>
  <c r="E42" i="10"/>
  <c r="E53" i="9"/>
  <c r="K10" i="17"/>
  <c r="K42" i="10"/>
  <c r="K53" i="9"/>
  <c r="E52" i="9"/>
  <c r="E44" i="10"/>
  <c r="E20" i="10"/>
  <c r="E37" i="10"/>
  <c r="K44" i="10"/>
  <c r="K20" i="10"/>
  <c r="L20" i="10"/>
  <c r="D35" i="10"/>
  <c r="J35" i="10"/>
  <c r="P31" i="10"/>
  <c r="N40" i="10"/>
  <c r="C16" i="19"/>
  <c r="C28" i="19"/>
  <c r="E28" i="19" s="1"/>
  <c r="B28" i="19" s="1"/>
  <c r="M43" i="10"/>
  <c r="J44" i="10"/>
  <c r="D55" i="19"/>
  <c r="N42" i="9"/>
  <c r="F11" i="13"/>
  <c r="L30" i="13"/>
  <c r="F38" i="13"/>
  <c r="L38" i="13"/>
  <c r="D46" i="19"/>
  <c r="H12" i="14"/>
  <c r="H10" i="14"/>
  <c r="H8" i="14"/>
  <c r="H41" i="13"/>
  <c r="H24" i="13"/>
  <c r="H36" i="13"/>
  <c r="H30" i="13"/>
  <c r="H19" i="13"/>
  <c r="H13" i="13"/>
  <c r="H34" i="13"/>
  <c r="H17" i="13"/>
  <c r="H11" i="13"/>
  <c r="H31" i="12"/>
  <c r="H38" i="13"/>
  <c r="F10" i="8"/>
  <c r="L10" i="8"/>
  <c r="L18" i="10"/>
  <c r="C12" i="17"/>
  <c r="I12" i="17"/>
  <c r="F10" i="17"/>
  <c r="F53" i="9"/>
  <c r="L10" i="17"/>
  <c r="L53" i="9"/>
  <c r="C15" i="19"/>
  <c r="E15" i="19" s="1"/>
  <c r="B15" i="19" s="1"/>
  <c r="G52" i="9"/>
  <c r="C27" i="19"/>
  <c r="E27" i="19" s="1"/>
  <c r="B27" i="19" s="1"/>
  <c r="M52" i="9"/>
  <c r="J52" i="9"/>
  <c r="F37" i="10"/>
  <c r="F44" i="10"/>
  <c r="F20" i="10"/>
  <c r="Q31" i="10"/>
  <c r="D42" i="10"/>
  <c r="L44" i="10"/>
  <c r="D60" i="19"/>
  <c r="O42" i="9"/>
  <c r="L19" i="13"/>
  <c r="F24" i="13"/>
  <c r="L36" i="13"/>
  <c r="F8" i="14"/>
  <c r="F13" i="14"/>
  <c r="L8" i="14"/>
  <c r="L13" i="14"/>
  <c r="D41" i="19"/>
  <c r="C41" i="13"/>
  <c r="C24" i="13"/>
  <c r="C8" i="14"/>
  <c r="C31" i="12"/>
  <c r="C34" i="12" s="1"/>
  <c r="C10" i="14"/>
  <c r="C30" i="13"/>
  <c r="C12" i="14"/>
  <c r="C19" i="13"/>
  <c r="C13" i="13"/>
  <c r="C36" i="13"/>
  <c r="D47" i="19"/>
  <c r="I41" i="13"/>
  <c r="I19" i="13"/>
  <c r="I13" i="13"/>
  <c r="I8" i="14"/>
  <c r="I10" i="14"/>
  <c r="I17" i="13"/>
  <c r="I11" i="13"/>
  <c r="I12" i="14"/>
  <c r="I24" i="13"/>
  <c r="I31" i="12"/>
  <c r="G10" i="17"/>
  <c r="G42" i="10"/>
  <c r="D16" i="19" s="1"/>
  <c r="M10" i="17"/>
  <c r="C17" i="19"/>
  <c r="E17" i="19" s="1"/>
  <c r="B17" i="19" s="1"/>
  <c r="H52" i="9"/>
  <c r="Q34" i="10"/>
  <c r="K52" i="9"/>
  <c r="G40" i="10"/>
  <c r="G39" i="10" s="1"/>
  <c r="G38" i="10" s="1"/>
  <c r="F42" i="10"/>
  <c r="D14" i="19" s="1"/>
  <c r="L43" i="10"/>
  <c r="G31" i="12"/>
  <c r="G15" i="16"/>
  <c r="G19" i="15"/>
  <c r="G35" i="12"/>
  <c r="G20" i="15"/>
  <c r="H35" i="12"/>
  <c r="M15" i="16"/>
  <c r="M19" i="15"/>
  <c r="M35" i="12"/>
  <c r="M20" i="15"/>
  <c r="N7" i="12"/>
  <c r="N9" i="12" s="1"/>
  <c r="H15" i="13"/>
  <c r="G17" i="13"/>
  <c r="N16" i="13"/>
  <c r="M17" i="13"/>
  <c r="M24" i="13"/>
  <c r="H32" i="13"/>
  <c r="G34" i="13"/>
  <c r="N33" i="13"/>
  <c r="M34" i="13"/>
  <c r="G36" i="13"/>
  <c r="G39" i="13"/>
  <c r="E7" i="19"/>
  <c r="B7" i="19" s="1"/>
  <c r="E19" i="19"/>
  <c r="B19" i="19" s="1"/>
  <c r="F52" i="9"/>
  <c r="L52" i="9"/>
  <c r="M20" i="10"/>
  <c r="M44" i="10"/>
  <c r="C11" i="13"/>
  <c r="F15" i="13"/>
  <c r="L15" i="13"/>
  <c r="C17" i="13"/>
  <c r="F21" i="13"/>
  <c r="L21" i="13"/>
  <c r="G30" i="13"/>
  <c r="C34" i="13"/>
  <c r="I34" i="13"/>
  <c r="G38" i="13"/>
  <c r="G10" i="14"/>
  <c r="M10" i="14"/>
  <c r="N9" i="14"/>
  <c r="M13" i="14"/>
  <c r="E9" i="19"/>
  <c r="B9" i="19" s="1"/>
  <c r="E21" i="19"/>
  <c r="B21" i="19" s="1"/>
  <c r="D11" i="17"/>
  <c r="D12" i="17" s="1"/>
  <c r="J11" i="17"/>
  <c r="G20" i="10"/>
  <c r="E20" i="19"/>
  <c r="B20" i="19" s="1"/>
  <c r="G44" i="10"/>
  <c r="N23" i="15"/>
  <c r="N12" i="12"/>
  <c r="N14" i="12" s="1"/>
  <c r="O10" i="12"/>
  <c r="D11" i="13"/>
  <c r="J11" i="13"/>
  <c r="D17" i="13"/>
  <c r="J17" i="13"/>
  <c r="L32" i="13"/>
  <c r="D34" i="13"/>
  <c r="J34" i="13"/>
  <c r="I36" i="13"/>
  <c r="D21" i="14"/>
  <c r="J21" i="14"/>
  <c r="D20" i="14"/>
  <c r="J20" i="14"/>
  <c r="P17" i="14"/>
  <c r="E11" i="19"/>
  <c r="B11" i="19" s="1"/>
  <c r="E23" i="19"/>
  <c r="B23" i="19" s="1"/>
  <c r="E11" i="17"/>
  <c r="K11" i="17"/>
  <c r="E39" i="10"/>
  <c r="E38" i="10" s="1"/>
  <c r="D40" i="10"/>
  <c r="D39" i="10" s="1"/>
  <c r="D38" i="10" s="1"/>
  <c r="L40" i="10"/>
  <c r="C10" i="19"/>
  <c r="E40" i="10"/>
  <c r="C22" i="19"/>
  <c r="K40" i="10"/>
  <c r="K39" i="10" s="1"/>
  <c r="K38" i="10" s="1"/>
  <c r="I43" i="10"/>
  <c r="H45" i="10"/>
  <c r="E21" i="11"/>
  <c r="P21" i="15"/>
  <c r="P17" i="12"/>
  <c r="P19" i="12" s="1"/>
  <c r="Q15" i="12"/>
  <c r="D13" i="13"/>
  <c r="D19" i="13"/>
  <c r="C39" i="13"/>
  <c r="G32" i="13"/>
  <c r="D36" i="13"/>
  <c r="C38" i="13"/>
  <c r="I38" i="13"/>
  <c r="E13" i="19"/>
  <c r="B13" i="19" s="1"/>
  <c r="E25" i="19"/>
  <c r="B25" i="19" s="1"/>
  <c r="C52" i="9"/>
  <c r="I52" i="9"/>
  <c r="H25" i="10"/>
  <c r="I37" i="10"/>
  <c r="I38" i="10" s="1"/>
  <c r="C22" i="13"/>
  <c r="C9" i="13"/>
  <c r="I22" i="13"/>
  <c r="I9" i="13"/>
  <c r="Q8" i="13"/>
  <c r="L11" i="13"/>
  <c r="E13" i="13"/>
  <c r="K13" i="13"/>
  <c r="C15" i="13"/>
  <c r="I15" i="13"/>
  <c r="Q14" i="13"/>
  <c r="L17" i="13"/>
  <c r="E19" i="13"/>
  <c r="K19" i="13"/>
  <c r="C21" i="13"/>
  <c r="I21" i="13"/>
  <c r="Q20" i="13"/>
  <c r="D42" i="13"/>
  <c r="L34" i="13"/>
  <c r="E36" i="13"/>
  <c r="K36" i="13"/>
  <c r="F24" i="15"/>
  <c r="L24" i="15"/>
  <c r="E22" i="15"/>
  <c r="K22" i="15"/>
  <c r="O17" i="12"/>
  <c r="O19" i="12" s="1"/>
  <c r="H15" i="16"/>
  <c r="H19" i="15"/>
  <c r="H20" i="15"/>
  <c r="D30" i="13"/>
  <c r="D40" i="13" s="1"/>
  <c r="G8" i="14"/>
  <c r="M8" i="14"/>
  <c r="N7" i="14"/>
  <c r="G13" i="14"/>
  <c r="F16" i="14"/>
  <c r="L16" i="14"/>
  <c r="E21" i="14"/>
  <c r="K21" i="14"/>
  <c r="E20" i="14"/>
  <c r="K20" i="14"/>
  <c r="G24" i="15"/>
  <c r="M24" i="15"/>
  <c r="C15" i="16"/>
  <c r="C19" i="15"/>
  <c r="C20" i="15"/>
  <c r="I15" i="16"/>
  <c r="I19" i="15"/>
  <c r="I20" i="15"/>
  <c r="E9" i="13"/>
  <c r="K9" i="13"/>
  <c r="M13" i="13"/>
  <c r="E15" i="13"/>
  <c r="K15" i="13"/>
  <c r="M19" i="13"/>
  <c r="E21" i="13"/>
  <c r="K21" i="13"/>
  <c r="J22" i="13"/>
  <c r="N23" i="16"/>
  <c r="N39" i="13"/>
  <c r="M30" i="13"/>
  <c r="E32" i="13"/>
  <c r="K32" i="13"/>
  <c r="M36" i="13"/>
  <c r="E38" i="13"/>
  <c r="K38" i="13"/>
  <c r="L39" i="13"/>
  <c r="F21" i="14"/>
  <c r="L21" i="14"/>
  <c r="L19" i="14"/>
  <c r="F20" i="14"/>
  <c r="L20" i="14"/>
  <c r="F19" i="14"/>
  <c r="D20" i="15"/>
  <c r="D15" i="16"/>
  <c r="D19" i="15"/>
  <c r="J20" i="15"/>
  <c r="J15" i="16"/>
  <c r="J19" i="15"/>
  <c r="L9" i="13"/>
  <c r="L23" i="13" s="1"/>
  <c r="L25" i="13" s="1"/>
  <c r="D22" i="13"/>
  <c r="K22" i="13"/>
  <c r="O23" i="16"/>
  <c r="O35" i="13"/>
  <c r="M39" i="13"/>
  <c r="E12" i="14"/>
  <c r="K12" i="14"/>
  <c r="G21" i="14"/>
  <c r="M21" i="14"/>
  <c r="M19" i="14"/>
  <c r="G20" i="14"/>
  <c r="M20" i="14"/>
  <c r="G19" i="14"/>
  <c r="E20" i="15"/>
  <c r="E15" i="16"/>
  <c r="E19" i="15"/>
  <c r="K20" i="15"/>
  <c r="K15" i="16"/>
  <c r="K19" i="15"/>
  <c r="N22" i="13"/>
  <c r="F9" i="13"/>
  <c r="M9" i="13"/>
  <c r="M23" i="13" s="1"/>
  <c r="E11" i="13"/>
  <c r="K11" i="13"/>
  <c r="P12" i="13"/>
  <c r="M15" i="13"/>
  <c r="E17" i="13"/>
  <c r="K17" i="13"/>
  <c r="P18" i="13"/>
  <c r="M21" i="13"/>
  <c r="E22" i="13"/>
  <c r="I39" i="13"/>
  <c r="P29" i="13"/>
  <c r="M32" i="13"/>
  <c r="E34" i="13"/>
  <c r="K34" i="13"/>
  <c r="M38" i="13"/>
  <c r="E10" i="14"/>
  <c r="K10" i="14"/>
  <c r="F12" i="14"/>
  <c r="L12" i="14"/>
  <c r="H21" i="14"/>
  <c r="H20" i="14"/>
  <c r="F20" i="15"/>
  <c r="F15" i="16"/>
  <c r="F19" i="15"/>
  <c r="L20" i="15"/>
  <c r="L15" i="16"/>
  <c r="L19" i="15"/>
  <c r="I35" i="12"/>
  <c r="M22" i="13"/>
  <c r="J39" i="13"/>
  <c r="I30" i="13"/>
  <c r="I40" i="13" s="1"/>
  <c r="O31" i="13"/>
  <c r="O37" i="13"/>
  <c r="F10" i="14"/>
  <c r="L10" i="14"/>
  <c r="G12" i="14"/>
  <c r="M12" i="14"/>
  <c r="N11" i="14"/>
  <c r="P14" i="14"/>
  <c r="C21" i="14"/>
  <c r="I21" i="14"/>
  <c r="C20" i="14"/>
  <c r="I20" i="14"/>
  <c r="O17" i="14"/>
  <c r="H16" i="16"/>
  <c r="H18" i="16" s="1"/>
  <c r="E8" i="14"/>
  <c r="K8" i="14"/>
  <c r="N15" i="14"/>
  <c r="N16" i="14" s="1"/>
  <c r="N17" i="14"/>
  <c r="H19" i="14"/>
  <c r="C19" i="14"/>
  <c r="I19" i="14"/>
  <c r="F11" i="16"/>
  <c r="L11" i="16"/>
  <c r="D19" i="14"/>
  <c r="J19" i="14"/>
  <c r="G11" i="16"/>
  <c r="M11" i="16"/>
  <c r="E19" i="14"/>
  <c r="K19" i="14"/>
  <c r="Q19" i="14"/>
  <c r="C68" i="19" s="1"/>
  <c r="E68" i="19" s="1"/>
  <c r="B68" i="19" s="1"/>
  <c r="C66" i="19"/>
  <c r="E66" i="19" s="1"/>
  <c r="B66" i="19" s="1"/>
  <c r="E36" i="12" l="1"/>
  <c r="E34" i="12"/>
  <c r="P23" i="16"/>
  <c r="Q29" i="13"/>
  <c r="F23" i="13"/>
  <c r="F25" i="13" s="1"/>
  <c r="O16" i="13"/>
  <c r="C40" i="13"/>
  <c r="D10" i="19"/>
  <c r="D43" i="10"/>
  <c r="L12" i="8"/>
  <c r="L11" i="8"/>
  <c r="K12" i="2" s="1"/>
  <c r="K45" i="10"/>
  <c r="J19" i="2"/>
  <c r="G23" i="13"/>
  <c r="H23" i="13"/>
  <c r="H25" i="13" s="1"/>
  <c r="L12" i="17"/>
  <c r="L16" i="17" s="1"/>
  <c r="K29" i="2" s="1"/>
  <c r="I17" i="16"/>
  <c r="I18" i="16" s="1"/>
  <c r="H8" i="2"/>
  <c r="E45" i="19"/>
  <c r="B45" i="19" s="1"/>
  <c r="H14" i="8"/>
  <c r="G13" i="2" s="1"/>
  <c r="H16" i="8"/>
  <c r="E12" i="17"/>
  <c r="E16" i="17" s="1"/>
  <c r="D29" i="2" s="1"/>
  <c r="G15" i="17"/>
  <c r="G19" i="8"/>
  <c r="G20" i="8" s="1"/>
  <c r="F15" i="2" s="1"/>
  <c r="G17" i="8"/>
  <c r="F14" i="2"/>
  <c r="L15" i="17"/>
  <c r="L19" i="8"/>
  <c r="L20" i="8" s="1"/>
  <c r="K15" i="2" s="1"/>
  <c r="L17" i="8"/>
  <c r="K14" i="2"/>
  <c r="J17" i="16"/>
  <c r="J18" i="16" s="1"/>
  <c r="I8" i="2"/>
  <c r="P31" i="13"/>
  <c r="Q21" i="15"/>
  <c r="Q17" i="12"/>
  <c r="Q19" i="12" s="1"/>
  <c r="P11" i="2"/>
  <c r="J45" i="10"/>
  <c r="I19" i="2"/>
  <c r="I42" i="13"/>
  <c r="K25" i="13"/>
  <c r="C42" i="13"/>
  <c r="M45" i="10"/>
  <c r="L19" i="2"/>
  <c r="O33" i="13"/>
  <c r="G36" i="12"/>
  <c r="G34" i="12"/>
  <c r="F13" i="8"/>
  <c r="F11" i="8"/>
  <c r="E12" i="2" s="1"/>
  <c r="L40" i="13"/>
  <c r="D24" i="19"/>
  <c r="E24" i="19" s="1"/>
  <c r="B24" i="19" s="1"/>
  <c r="K43" i="10"/>
  <c r="E40" i="13"/>
  <c r="E42" i="13" s="1"/>
  <c r="F36" i="12"/>
  <c r="F34" i="12"/>
  <c r="F12" i="17"/>
  <c r="K36" i="12"/>
  <c r="K34" i="12"/>
  <c r="E42" i="19"/>
  <c r="B42" i="19" s="1"/>
  <c r="E47" i="19"/>
  <c r="B47" i="19" s="1"/>
  <c r="E49" i="19"/>
  <c r="B49" i="19" s="1"/>
  <c r="J13" i="8"/>
  <c r="J11" i="8"/>
  <c r="I12" i="2" s="1"/>
  <c r="J40" i="13"/>
  <c r="J42" i="13" s="1"/>
  <c r="J34" i="12"/>
  <c r="J36" i="12"/>
  <c r="O23" i="15"/>
  <c r="P10" i="12"/>
  <c r="O12" i="12"/>
  <c r="O14" i="12" s="1"/>
  <c r="N10" i="2"/>
  <c r="M25" i="13"/>
  <c r="Q12" i="13"/>
  <c r="P35" i="13"/>
  <c r="K23" i="13"/>
  <c r="I23" i="13"/>
  <c r="D65" i="19"/>
  <c r="P42" i="9"/>
  <c r="E10" i="19"/>
  <c r="B10" i="19" s="1"/>
  <c r="G45" i="10"/>
  <c r="F19" i="2"/>
  <c r="O9" i="14"/>
  <c r="F43" i="10"/>
  <c r="M12" i="17"/>
  <c r="M16" i="17" s="1"/>
  <c r="L29" i="2" s="1"/>
  <c r="I45" i="10"/>
  <c r="H19" i="2"/>
  <c r="M15" i="17"/>
  <c r="M19" i="8"/>
  <c r="M20" i="8" s="1"/>
  <c r="L15" i="2" s="1"/>
  <c r="M17" i="8"/>
  <c r="L14" i="2"/>
  <c r="K17" i="16"/>
  <c r="K18" i="16" s="1"/>
  <c r="J8" i="2"/>
  <c r="J23" i="13"/>
  <c r="J25" i="13" s="1"/>
  <c r="D17" i="16"/>
  <c r="D18" i="16" s="1"/>
  <c r="C8" i="2"/>
  <c r="D36" i="12"/>
  <c r="D34" i="12"/>
  <c r="E50" i="19"/>
  <c r="B50" i="19" s="1"/>
  <c r="K40" i="13"/>
  <c r="K42" i="13" s="1"/>
  <c r="N19" i="14"/>
  <c r="C53" i="19" s="1"/>
  <c r="E53" i="19" s="1"/>
  <c r="B53" i="19" s="1"/>
  <c r="E23" i="13"/>
  <c r="E25" i="13" s="1"/>
  <c r="O7" i="14"/>
  <c r="N13" i="14"/>
  <c r="H43" i="10"/>
  <c r="I25" i="13"/>
  <c r="P19" i="14"/>
  <c r="C63" i="19" s="1"/>
  <c r="E63" i="19" s="1"/>
  <c r="B63" i="19" s="1"/>
  <c r="G40" i="13"/>
  <c r="G42" i="13" s="1"/>
  <c r="N19" i="16"/>
  <c r="N24" i="12"/>
  <c r="N20" i="16" s="1"/>
  <c r="N21" i="12"/>
  <c r="N28" i="12"/>
  <c r="N21" i="16" s="1"/>
  <c r="M25" i="2" s="1"/>
  <c r="N33" i="12"/>
  <c r="N24" i="15" s="1"/>
  <c r="N26" i="12"/>
  <c r="I34" i="12"/>
  <c r="I36" i="12"/>
  <c r="C60" i="19"/>
  <c r="E60" i="19" s="1"/>
  <c r="B60" i="19" s="1"/>
  <c r="H36" i="12"/>
  <c r="H34" i="12"/>
  <c r="H40" i="13"/>
  <c r="H42" i="13" s="1"/>
  <c r="C55" i="19"/>
  <c r="E55" i="19" s="1"/>
  <c r="B55" i="19" s="1"/>
  <c r="G43" i="10"/>
  <c r="E45" i="10"/>
  <c r="D19" i="2"/>
  <c r="O10" i="13"/>
  <c r="F38" i="10"/>
  <c r="G12" i="17"/>
  <c r="G16" i="17" s="1"/>
  <c r="F29" i="2" s="1"/>
  <c r="D8" i="19"/>
  <c r="E8" i="19" s="1"/>
  <c r="B8" i="19" s="1"/>
  <c r="C43" i="10"/>
  <c r="I13" i="8"/>
  <c r="I11" i="8"/>
  <c r="H12" i="2" s="1"/>
  <c r="E41" i="19"/>
  <c r="B41" i="19" s="1"/>
  <c r="E44" i="19"/>
  <c r="B44" i="19" s="1"/>
  <c r="E46" i="19"/>
  <c r="B46" i="19" s="1"/>
  <c r="D13" i="8"/>
  <c r="D11" i="8"/>
  <c r="C12" i="2" s="1"/>
  <c r="D23" i="13"/>
  <c r="D25" i="13" s="1"/>
  <c r="O11" i="14"/>
  <c r="L45" i="10"/>
  <c r="K19" i="2"/>
  <c r="L36" i="12"/>
  <c r="L34" i="12"/>
  <c r="D45" i="10"/>
  <c r="C19" i="2"/>
  <c r="O19" i="14"/>
  <c r="C58" i="19" s="1"/>
  <c r="E58" i="19" s="1"/>
  <c r="B58" i="19" s="1"/>
  <c r="P15" i="14"/>
  <c r="P16" i="14" s="1"/>
  <c r="Q14" i="14"/>
  <c r="P37" i="13"/>
  <c r="Q18" i="13"/>
  <c r="O39" i="13"/>
  <c r="L42" i="13"/>
  <c r="M40" i="13"/>
  <c r="M42" i="13" s="1"/>
  <c r="C23" i="13"/>
  <c r="C25" i="13" s="1"/>
  <c r="E19" i="2"/>
  <c r="F45" i="10"/>
  <c r="E16" i="19"/>
  <c r="B16" i="19" s="1"/>
  <c r="D12" i="19"/>
  <c r="E12" i="19" s="1"/>
  <c r="B12" i="19" s="1"/>
  <c r="E43" i="10"/>
  <c r="G25" i="13"/>
  <c r="O29" i="12"/>
  <c r="E7" i="11"/>
  <c r="E8" i="11"/>
  <c r="E14" i="19"/>
  <c r="B14" i="19" s="1"/>
  <c r="D22" i="19"/>
  <c r="E22" i="19" s="1"/>
  <c r="B22" i="19" s="1"/>
  <c r="J43" i="10"/>
  <c r="F40" i="13"/>
  <c r="F42" i="13" s="1"/>
  <c r="C13" i="8"/>
  <c r="C11" i="8"/>
  <c r="B12" i="2" s="1"/>
  <c r="E51" i="19"/>
  <c r="B51" i="19" s="1"/>
  <c r="K15" i="17"/>
  <c r="K17" i="8"/>
  <c r="K19" i="8"/>
  <c r="K20" i="8" s="1"/>
  <c r="J15" i="2" s="1"/>
  <c r="J14" i="2"/>
  <c r="K12" i="17"/>
  <c r="E17" i="16"/>
  <c r="E18" i="16" s="1"/>
  <c r="D8" i="2"/>
  <c r="E15" i="17"/>
  <c r="E17" i="8"/>
  <c r="E19" i="8"/>
  <c r="E20" i="8" s="1"/>
  <c r="D15" i="2" s="1"/>
  <c r="D14" i="2"/>
  <c r="C65" i="19" l="1"/>
  <c r="E65" i="19" s="1"/>
  <c r="B65" i="19" s="1"/>
  <c r="Q31" i="13"/>
  <c r="P7" i="14"/>
  <c r="O13" i="14"/>
  <c r="P9" i="14"/>
  <c r="F16" i="8"/>
  <c r="F14" i="8"/>
  <c r="E13" i="2" s="1"/>
  <c r="H15" i="17"/>
  <c r="H16" i="17" s="1"/>
  <c r="G29" i="2" s="1"/>
  <c r="H19" i="8"/>
  <c r="H20" i="8" s="1"/>
  <c r="G15" i="2" s="1"/>
  <c r="H17" i="8"/>
  <c r="G14" i="2"/>
  <c r="P23" i="15"/>
  <c r="P12" i="12"/>
  <c r="P14" i="12" s="1"/>
  <c r="Q10" i="12"/>
  <c r="O10" i="2"/>
  <c r="C16" i="8"/>
  <c r="C14" i="8"/>
  <c r="B13" i="2" s="1"/>
  <c r="K16" i="17"/>
  <c r="J29" i="2" s="1"/>
  <c r="Q15" i="14"/>
  <c r="Q16" i="14"/>
  <c r="P10" i="13"/>
  <c r="O22" i="13"/>
  <c r="I16" i="8"/>
  <c r="I14" i="8"/>
  <c r="H13" i="2" s="1"/>
  <c r="N22" i="16"/>
  <c r="M26" i="2"/>
  <c r="Q23" i="16"/>
  <c r="D16" i="8"/>
  <c r="D14" i="8"/>
  <c r="C13" i="2" s="1"/>
  <c r="J16" i="8"/>
  <c r="J14" i="8"/>
  <c r="I13" i="2" s="1"/>
  <c r="P33" i="13"/>
  <c r="P11" i="14"/>
  <c r="N35" i="12"/>
  <c r="N31" i="12"/>
  <c r="O7" i="12"/>
  <c r="O9" i="12" s="1"/>
  <c r="M9" i="2"/>
  <c r="N22" i="15"/>
  <c r="P29" i="12"/>
  <c r="F7" i="11"/>
  <c r="F8" i="11"/>
  <c r="Q29" i="12" s="1"/>
  <c r="Q37" i="13"/>
  <c r="Q35" i="13"/>
  <c r="P16" i="13"/>
  <c r="P39" i="13"/>
  <c r="C15" i="17" l="1"/>
  <c r="C16" i="17" s="1"/>
  <c r="B29" i="2" s="1"/>
  <c r="C19" i="8"/>
  <c r="C20" i="8" s="1"/>
  <c r="B15" i="2" s="1"/>
  <c r="C17" i="8"/>
  <c r="B14" i="2"/>
  <c r="O19" i="16"/>
  <c r="O24" i="12"/>
  <c r="O20" i="16" s="1"/>
  <c r="O21" i="12"/>
  <c r="O33" i="12" s="1"/>
  <c r="O28" i="12"/>
  <c r="O21" i="16" s="1"/>
  <c r="N25" i="2" s="1"/>
  <c r="O26" i="12"/>
  <c r="J15" i="17"/>
  <c r="J16" i="17" s="1"/>
  <c r="I29" i="2" s="1"/>
  <c r="J19" i="8"/>
  <c r="J20" i="8" s="1"/>
  <c r="I15" i="2" s="1"/>
  <c r="J17" i="8"/>
  <c r="I14" i="2"/>
  <c r="Q7" i="14"/>
  <c r="P13" i="14"/>
  <c r="C52" i="19"/>
  <c r="N32" i="12"/>
  <c r="N36" i="12"/>
  <c r="N7" i="8"/>
  <c r="Q10" i="13"/>
  <c r="P22" i="13"/>
  <c r="Q11" i="14"/>
  <c r="D15" i="17"/>
  <c r="D16" i="17" s="1"/>
  <c r="C29" i="2" s="1"/>
  <c r="D19" i="8"/>
  <c r="D20" i="8" s="1"/>
  <c r="C15" i="2" s="1"/>
  <c r="D17" i="8"/>
  <c r="C14" i="2"/>
  <c r="Q33" i="13"/>
  <c r="Q9" i="14"/>
  <c r="F15" i="17"/>
  <c r="F16" i="17" s="1"/>
  <c r="E29" i="2" s="1"/>
  <c r="F19" i="8"/>
  <c r="F20" i="8" s="1"/>
  <c r="E15" i="2" s="1"/>
  <c r="F17" i="8"/>
  <c r="E14" i="2"/>
  <c r="Q23" i="15"/>
  <c r="Q12" i="12"/>
  <c r="Q14" i="12" s="1"/>
  <c r="P10" i="2"/>
  <c r="Q16" i="13"/>
  <c r="I15" i="17"/>
  <c r="I16" i="17" s="1"/>
  <c r="H29" i="2" s="1"/>
  <c r="I19" i="8"/>
  <c r="I20" i="8" s="1"/>
  <c r="H15" i="2" s="1"/>
  <c r="I17" i="8"/>
  <c r="H14" i="2"/>
  <c r="O35" i="12" l="1"/>
  <c r="O31" i="12"/>
  <c r="P7" i="12"/>
  <c r="P9" i="12" s="1"/>
  <c r="N9" i="2"/>
  <c r="O22" i="15"/>
  <c r="O24" i="15"/>
  <c r="D52" i="19"/>
  <c r="N41" i="13"/>
  <c r="N24" i="13"/>
  <c r="N21" i="13"/>
  <c r="N15" i="13"/>
  <c r="N9" i="13"/>
  <c r="N19" i="13"/>
  <c r="N13" i="13"/>
  <c r="N21" i="10"/>
  <c r="N44" i="9"/>
  <c r="N17" i="10" s="1"/>
  <c r="N47" i="9"/>
  <c r="N15" i="10" s="1"/>
  <c r="N26" i="9"/>
  <c r="N39" i="9"/>
  <c r="N41" i="9" s="1"/>
  <c r="N20" i="9"/>
  <c r="N12" i="10" s="1"/>
  <c r="N18" i="9"/>
  <c r="N21" i="8"/>
  <c r="N15" i="8"/>
  <c r="N9" i="10" s="1"/>
  <c r="N9" i="8"/>
  <c r="N45" i="9"/>
  <c r="N16" i="10" s="1"/>
  <c r="N43" i="9"/>
  <c r="N23" i="9"/>
  <c r="N23" i="10" s="1"/>
  <c r="N8" i="8"/>
  <c r="N13" i="9"/>
  <c r="N11" i="10" s="1"/>
  <c r="N15" i="9"/>
  <c r="N14" i="10" s="1"/>
  <c r="N11" i="9"/>
  <c r="N12" i="8"/>
  <c r="N10" i="8"/>
  <c r="N18" i="8"/>
  <c r="N8" i="10" s="1"/>
  <c r="M7" i="2"/>
  <c r="N36" i="13"/>
  <c r="N20" i="14"/>
  <c r="N30" i="13"/>
  <c r="N40" i="13" s="1"/>
  <c r="N42" i="13" s="1"/>
  <c r="N38" i="13"/>
  <c r="N32" i="13"/>
  <c r="N34" i="13"/>
  <c r="N21" i="14"/>
  <c r="N8" i="14"/>
  <c r="N11" i="13"/>
  <c r="N10" i="14"/>
  <c r="N12" i="14"/>
  <c r="N17" i="13"/>
  <c r="Q13" i="14"/>
  <c r="Q22" i="13"/>
  <c r="E52" i="19"/>
  <c r="B52" i="19" s="1"/>
  <c r="O22" i="16"/>
  <c r="N26" i="2"/>
  <c r="Q39" i="13"/>
  <c r="N23" i="13" l="1"/>
  <c r="N25" i="13" s="1"/>
  <c r="C57" i="19"/>
  <c r="O32" i="12"/>
  <c r="O36" i="12"/>
  <c r="O7" i="8"/>
  <c r="N13" i="8"/>
  <c r="N11" i="8"/>
  <c r="M12" i="2" s="1"/>
  <c r="N7" i="16"/>
  <c r="N13" i="15"/>
  <c r="N11" i="15"/>
  <c r="N9" i="15"/>
  <c r="N7" i="15"/>
  <c r="N17" i="16"/>
  <c r="M8" i="2"/>
  <c r="N12" i="15"/>
  <c r="N10" i="15"/>
  <c r="N18" i="15"/>
  <c r="N8" i="15"/>
  <c r="N13" i="10"/>
  <c r="N26" i="10"/>
  <c r="N7" i="9"/>
  <c r="O30" i="10"/>
  <c r="O43" i="9"/>
  <c r="N11" i="17"/>
  <c r="N49" i="9"/>
  <c r="N50" i="9" s="1"/>
  <c r="P19" i="16"/>
  <c r="P28" i="12"/>
  <c r="P21" i="16" s="1"/>
  <c r="O25" i="2" s="1"/>
  <c r="P26" i="12"/>
  <c r="P24" i="12"/>
  <c r="P20" i="16" s="1"/>
  <c r="P21" i="12"/>
  <c r="P33" i="12" s="1"/>
  <c r="P35" i="12" l="1"/>
  <c r="P31" i="12"/>
  <c r="Q7" i="12"/>
  <c r="Q9" i="12" s="1"/>
  <c r="O9" i="2"/>
  <c r="P22" i="15"/>
  <c r="P24" i="15"/>
  <c r="D57" i="19"/>
  <c r="O41" i="13"/>
  <c r="O24" i="13"/>
  <c r="O21" i="10"/>
  <c r="O44" i="9"/>
  <c r="O17" i="10" s="1"/>
  <c r="O26" i="9"/>
  <c r="O47" i="9"/>
  <c r="O15" i="10" s="1"/>
  <c r="O45" i="9"/>
  <c r="O16" i="10" s="1"/>
  <c r="O39" i="9"/>
  <c r="O41" i="9" s="1"/>
  <c r="O20" i="9"/>
  <c r="O12" i="10" s="1"/>
  <c r="O18" i="9"/>
  <c r="O21" i="8"/>
  <c r="O15" i="8"/>
  <c r="O9" i="10" s="1"/>
  <c r="O21" i="13"/>
  <c r="O9" i="13"/>
  <c r="O23" i="9"/>
  <c r="O23" i="10" s="1"/>
  <c r="O15" i="9"/>
  <c r="O14" i="10" s="1"/>
  <c r="O13" i="9"/>
  <c r="O18" i="8"/>
  <c r="O12" i="8"/>
  <c r="O10" i="8"/>
  <c r="O8" i="8"/>
  <c r="O13" i="15" s="1"/>
  <c r="O15" i="13"/>
  <c r="N7" i="2"/>
  <c r="O13" i="13"/>
  <c r="O20" i="14"/>
  <c r="O19" i="13"/>
  <c r="O30" i="13"/>
  <c r="O40" i="13" s="1"/>
  <c r="O42" i="13" s="1"/>
  <c r="O32" i="13"/>
  <c r="O21" i="14"/>
  <c r="O38" i="13"/>
  <c r="O36" i="13"/>
  <c r="O8" i="14"/>
  <c r="O34" i="13"/>
  <c r="O17" i="13"/>
  <c r="O12" i="14"/>
  <c r="O10" i="14"/>
  <c r="O11" i="13"/>
  <c r="N16" i="9"/>
  <c r="N20" i="15"/>
  <c r="P22" i="16"/>
  <c r="O26" i="2"/>
  <c r="N10" i="16"/>
  <c r="N16" i="16"/>
  <c r="N18" i="16" s="1"/>
  <c r="M22" i="2"/>
  <c r="E57" i="19"/>
  <c r="B57" i="19" s="1"/>
  <c r="O10" i="15"/>
  <c r="P30" i="10"/>
  <c r="O11" i="17"/>
  <c r="O8" i="15"/>
  <c r="N14" i="15"/>
  <c r="N19" i="15" s="1"/>
  <c r="N16" i="8"/>
  <c r="N14" i="8"/>
  <c r="M13" i="2" s="1"/>
  <c r="O20" i="15" l="1"/>
  <c r="O18" i="15"/>
  <c r="C62" i="19"/>
  <c r="P36" i="12"/>
  <c r="P7" i="8"/>
  <c r="O11" i="15"/>
  <c r="O13" i="8"/>
  <c r="O11" i="8"/>
  <c r="N12" i="2" s="1"/>
  <c r="O23" i="13"/>
  <c r="O25" i="13" s="1"/>
  <c r="O26" i="10"/>
  <c r="O13" i="10"/>
  <c r="O50" i="9"/>
  <c r="O49" i="9"/>
  <c r="N15" i="17"/>
  <c r="N19" i="8"/>
  <c r="N17" i="8"/>
  <c r="M14" i="2"/>
  <c r="O8" i="10"/>
  <c r="O11" i="9"/>
  <c r="O9" i="8"/>
  <c r="O17" i="16"/>
  <c r="N8" i="2"/>
  <c r="O11" i="10"/>
  <c r="N11" i="16"/>
  <c r="N8" i="16"/>
  <c r="N14" i="16" s="1"/>
  <c r="M24" i="2" s="1"/>
  <c r="M23" i="2"/>
  <c r="N15" i="16"/>
  <c r="O12" i="15"/>
  <c r="O7" i="15"/>
  <c r="O7" i="16"/>
  <c r="O7" i="9"/>
  <c r="O9" i="15"/>
  <c r="Q19" i="16"/>
  <c r="Q28" i="12"/>
  <c r="Q21" i="16" s="1"/>
  <c r="P25" i="2" s="1"/>
  <c r="Q26" i="12"/>
  <c r="Q24" i="12"/>
  <c r="Q20" i="16" s="1"/>
  <c r="Q21" i="12"/>
  <c r="Q33" i="12" s="1"/>
  <c r="Q31" i="12" l="1"/>
  <c r="Q35" i="12"/>
  <c r="P9" i="2"/>
  <c r="Q22" i="15"/>
  <c r="Q24" i="15"/>
  <c r="P9" i="15"/>
  <c r="O16" i="9"/>
  <c r="O18" i="16"/>
  <c r="O16" i="8"/>
  <c r="O14" i="8"/>
  <c r="N13" i="2" s="1"/>
  <c r="P11" i="15"/>
  <c r="Q22" i="16"/>
  <c r="P26" i="2"/>
  <c r="O10" i="16"/>
  <c r="O16" i="16"/>
  <c r="P7" i="16"/>
  <c r="N22" i="2"/>
  <c r="N9" i="16"/>
  <c r="D62" i="19"/>
  <c r="E62" i="19" s="1"/>
  <c r="B62" i="19" s="1"/>
  <c r="P41" i="13"/>
  <c r="P24" i="13"/>
  <c r="P47" i="9"/>
  <c r="P15" i="10" s="1"/>
  <c r="P45" i="9"/>
  <c r="P16" i="10" s="1"/>
  <c r="P39" i="9"/>
  <c r="P41" i="9" s="1"/>
  <c r="P26" i="9"/>
  <c r="P20" i="9"/>
  <c r="P12" i="10" s="1"/>
  <c r="P18" i="9"/>
  <c r="P21" i="8"/>
  <c r="P15" i="8"/>
  <c r="P9" i="10" s="1"/>
  <c r="P21" i="10"/>
  <c r="P26" i="10" s="1"/>
  <c r="P23" i="9"/>
  <c r="P23" i="10" s="1"/>
  <c r="P15" i="9"/>
  <c r="P14" i="10" s="1"/>
  <c r="P13" i="9"/>
  <c r="P11" i="10" s="1"/>
  <c r="P18" i="8"/>
  <c r="P8" i="10" s="1"/>
  <c r="P12" i="8"/>
  <c r="P10" i="8"/>
  <c r="P8" i="8"/>
  <c r="P44" i="9"/>
  <c r="P17" i="10" s="1"/>
  <c r="O7" i="2"/>
  <c r="P21" i="13"/>
  <c r="P20" i="14"/>
  <c r="P9" i="13"/>
  <c r="P15" i="13"/>
  <c r="P19" i="13"/>
  <c r="P30" i="13"/>
  <c r="P40" i="13" s="1"/>
  <c r="P42" i="13" s="1"/>
  <c r="P21" i="14"/>
  <c r="P13" i="13"/>
  <c r="P38" i="13"/>
  <c r="P36" i="13"/>
  <c r="P32" i="13"/>
  <c r="P17" i="13"/>
  <c r="P8" i="14"/>
  <c r="P34" i="13"/>
  <c r="P12" i="14"/>
  <c r="P11" i="13"/>
  <c r="P10" i="14"/>
  <c r="P43" i="9"/>
  <c r="N23" i="8"/>
  <c r="N25" i="8" s="1"/>
  <c r="N20" i="8"/>
  <c r="M15" i="2" s="1"/>
  <c r="O14" i="15"/>
  <c r="O19" i="15" s="1"/>
  <c r="P7" i="15"/>
  <c r="P11" i="9"/>
  <c r="P32" i="12"/>
  <c r="P16" i="16" l="1"/>
  <c r="O22" i="2"/>
  <c r="C67" i="19"/>
  <c r="Q36" i="12"/>
  <c r="Q7" i="8"/>
  <c r="P17" i="16"/>
  <c r="P18" i="16" s="1"/>
  <c r="O8" i="2"/>
  <c r="P13" i="15"/>
  <c r="P8" i="15"/>
  <c r="P10" i="15"/>
  <c r="O15" i="17"/>
  <c r="O19" i="8"/>
  <c r="O17" i="8"/>
  <c r="N14" i="2"/>
  <c r="P12" i="15"/>
  <c r="Q30" i="10"/>
  <c r="Q43" i="9"/>
  <c r="P49" i="9"/>
  <c r="P11" i="17"/>
  <c r="N26" i="8"/>
  <c r="N27" i="8" s="1"/>
  <c r="N24" i="17" s="1"/>
  <c r="N28" i="8"/>
  <c r="P23" i="13"/>
  <c r="P25" i="13" s="1"/>
  <c r="P13" i="8"/>
  <c r="P11" i="8"/>
  <c r="O12" i="2" s="1"/>
  <c r="O11" i="16"/>
  <c r="P10" i="16" s="1"/>
  <c r="O9" i="16"/>
  <c r="O8" i="16"/>
  <c r="O14" i="16" s="1"/>
  <c r="N24" i="2" s="1"/>
  <c r="N23" i="2"/>
  <c r="O15" i="16"/>
  <c r="P18" i="15"/>
  <c r="P14" i="15"/>
  <c r="P19" i="15" s="1"/>
  <c r="P9" i="8"/>
  <c r="P50" i="9"/>
  <c r="P13" i="10"/>
  <c r="P7" i="9"/>
  <c r="P8" i="16" l="1"/>
  <c r="P14" i="16" s="1"/>
  <c r="O24" i="2" s="1"/>
  <c r="P11" i="16"/>
  <c r="P9" i="16"/>
  <c r="O23" i="2"/>
  <c r="P15" i="16"/>
  <c r="Q18" i="15"/>
  <c r="P16" i="8"/>
  <c r="P14" i="8"/>
  <c r="O13" i="2" s="1"/>
  <c r="O23" i="8"/>
  <c r="O25" i="8" s="1"/>
  <c r="O20" i="8"/>
  <c r="N15" i="2" s="1"/>
  <c r="E67" i="19"/>
  <c r="B67" i="19" s="1"/>
  <c r="Q11" i="17"/>
  <c r="D67" i="19"/>
  <c r="Q41" i="13"/>
  <c r="Q24" i="13"/>
  <c r="Q47" i="9"/>
  <c r="Q15" i="10" s="1"/>
  <c r="Q45" i="9"/>
  <c r="Q16" i="10" s="1"/>
  <c r="Q39" i="9"/>
  <c r="Q41" i="9" s="1"/>
  <c r="Q21" i="10"/>
  <c r="Q23" i="9"/>
  <c r="Q23" i="10" s="1"/>
  <c r="Q15" i="9"/>
  <c r="Q14" i="10" s="1"/>
  <c r="Q13" i="9"/>
  <c r="Q18" i="8"/>
  <c r="Q12" i="8"/>
  <c r="Q10" i="8"/>
  <c r="Q8" i="8"/>
  <c r="Q44" i="9"/>
  <c r="Q17" i="10" s="1"/>
  <c r="Q21" i="8"/>
  <c r="Q26" i="9"/>
  <c r="Q18" i="9"/>
  <c r="P7" i="2"/>
  <c r="Q20" i="9"/>
  <c r="Q12" i="10" s="1"/>
  <c r="Q9" i="8"/>
  <c r="Q15" i="8"/>
  <c r="Q9" i="10" s="1"/>
  <c r="Q20" i="14"/>
  <c r="Q21" i="14"/>
  <c r="Q9" i="13"/>
  <c r="Q15" i="13"/>
  <c r="Q21" i="13"/>
  <c r="Q30" i="13"/>
  <c r="Q19" i="13"/>
  <c r="Q13" i="13"/>
  <c r="Q32" i="13"/>
  <c r="Q36" i="13"/>
  <c r="Q38" i="13"/>
  <c r="Q8" i="14"/>
  <c r="Q12" i="14"/>
  <c r="Q17" i="13"/>
  <c r="Q10" i="14"/>
  <c r="Q34" i="13"/>
  <c r="Q11" i="13"/>
  <c r="P20" i="15"/>
  <c r="P16" i="9"/>
  <c r="Q7" i="9"/>
  <c r="N7" i="10"/>
  <c r="N29" i="8"/>
  <c r="Q32" i="12"/>
  <c r="Q12" i="15"/>
  <c r="Q17" i="16" l="1"/>
  <c r="P8" i="2"/>
  <c r="Q7" i="16"/>
  <c r="Q7" i="15"/>
  <c r="Q11" i="15"/>
  <c r="Q9" i="15"/>
  <c r="Q23" i="13"/>
  <c r="Q25" i="13" s="1"/>
  <c r="Q13" i="8"/>
  <c r="Q11" i="8"/>
  <c r="P12" i="2" s="1"/>
  <c r="Q26" i="10"/>
  <c r="O26" i="8"/>
  <c r="O27" i="8" s="1"/>
  <c r="O24" i="17" s="1"/>
  <c r="Q10" i="15"/>
  <c r="Q13" i="10"/>
  <c r="Q50" i="9"/>
  <c r="N33" i="10"/>
  <c r="N33" i="9"/>
  <c r="Q8" i="10"/>
  <c r="Q11" i="9"/>
  <c r="Q16" i="9" s="1"/>
  <c r="Q8" i="15"/>
  <c r="N30" i="8"/>
  <c r="Q13" i="15"/>
  <c r="Q20" i="15" s="1"/>
  <c r="Q40" i="13"/>
  <c r="Q42" i="13" s="1"/>
  <c r="Q11" i="10"/>
  <c r="Q49" i="9"/>
  <c r="P15" i="17"/>
  <c r="P19" i="8"/>
  <c r="P17" i="8"/>
  <c r="O14" i="2"/>
  <c r="Q14" i="15" l="1"/>
  <c r="Q19" i="15" s="1"/>
  <c r="O28" i="8"/>
  <c r="Q10" i="16"/>
  <c r="Q16" i="16"/>
  <c r="P22" i="2"/>
  <c r="Q16" i="8"/>
  <c r="Q14" i="8"/>
  <c r="P13" i="2" s="1"/>
  <c r="P23" i="8"/>
  <c r="P25" i="8" s="1"/>
  <c r="P20" i="8"/>
  <c r="O15" i="2" s="1"/>
  <c r="N35" i="8"/>
  <c r="N31" i="8"/>
  <c r="N36" i="8"/>
  <c r="N31" i="9" s="1"/>
  <c r="N34" i="8"/>
  <c r="M16" i="2"/>
  <c r="Q18" i="16"/>
  <c r="N32" i="9" l="1"/>
  <c r="N34" i="9" s="1"/>
  <c r="N51" i="9" s="1"/>
  <c r="O7" i="10"/>
  <c r="O29" i="8"/>
  <c r="O30" i="8"/>
  <c r="Q15" i="17"/>
  <c r="Q17" i="8"/>
  <c r="Q19" i="8"/>
  <c r="P14" i="2"/>
  <c r="Q8" i="16"/>
  <c r="Q14" i="16" s="1"/>
  <c r="P24" i="2" s="1"/>
  <c r="Q11" i="16"/>
  <c r="Q9" i="16"/>
  <c r="P23" i="2"/>
  <c r="Q15" i="16"/>
  <c r="N32" i="10"/>
  <c r="N36" i="10" s="1"/>
  <c r="N37" i="8"/>
  <c r="N17" i="17" s="1"/>
  <c r="N18" i="17" s="1"/>
  <c r="N13" i="17"/>
  <c r="M17" i="2"/>
  <c r="P26" i="8"/>
  <c r="P27" i="8" s="1"/>
  <c r="P24" i="17" s="1"/>
  <c r="O33" i="10" l="1"/>
  <c r="O33" i="9"/>
  <c r="O35" i="8"/>
  <c r="O31" i="8"/>
  <c r="O36" i="8"/>
  <c r="O34" i="8"/>
  <c r="N16" i="2"/>
  <c r="D29" i="19"/>
  <c r="N18" i="10"/>
  <c r="N19" i="10" s="1"/>
  <c r="N20" i="17"/>
  <c r="N14" i="17"/>
  <c r="M28" i="2" s="1"/>
  <c r="Q20" i="8"/>
  <c r="P15" i="2" s="1"/>
  <c r="Q23" i="8"/>
  <c r="Q25" i="8" s="1"/>
  <c r="P28" i="8"/>
  <c r="O31" i="9"/>
  <c r="Q26" i="8" l="1"/>
  <c r="Q27" i="8" s="1"/>
  <c r="Q24" i="17" s="1"/>
  <c r="N44" i="10"/>
  <c r="N39" i="10"/>
  <c r="N41" i="10" s="1"/>
  <c r="N37" i="10"/>
  <c r="N20" i="10"/>
  <c r="M18" i="2"/>
  <c r="P29" i="8"/>
  <c r="P33" i="10" s="1"/>
  <c r="P7" i="10"/>
  <c r="P30" i="8"/>
  <c r="O13" i="17"/>
  <c r="N17" i="2"/>
  <c r="O32" i="9"/>
  <c r="O34" i="9" s="1"/>
  <c r="O51" i="9" s="1"/>
  <c r="O32" i="10"/>
  <c r="O36" i="10" s="1"/>
  <c r="O37" i="8"/>
  <c r="O17" i="17" s="1"/>
  <c r="O18" i="17" s="1"/>
  <c r="D31" i="19" l="1"/>
  <c r="N45" i="10"/>
  <c r="M19" i="2"/>
  <c r="C54" i="19"/>
  <c r="E54" i="19" s="1"/>
  <c r="B54" i="19" s="1"/>
  <c r="C30" i="19"/>
  <c r="O40" i="10"/>
  <c r="O18" i="10" s="1"/>
  <c r="O19" i="10" s="1"/>
  <c r="M20" i="2"/>
  <c r="N21" i="9"/>
  <c r="P33" i="9"/>
  <c r="Q27" i="17"/>
  <c r="N27" i="17"/>
  <c r="O27" i="17"/>
  <c r="P27" i="17"/>
  <c r="P35" i="8"/>
  <c r="P31" i="8"/>
  <c r="P36" i="8"/>
  <c r="P34" i="8"/>
  <c r="O16" i="2"/>
  <c r="O20" i="17"/>
  <c r="O14" i="17"/>
  <c r="N28" i="2" s="1"/>
  <c r="Q28" i="8"/>
  <c r="O37" i="10" l="1"/>
  <c r="O39" i="10" s="1"/>
  <c r="O20" i="10"/>
  <c r="O44" i="10"/>
  <c r="N18" i="2"/>
  <c r="P13" i="17"/>
  <c r="O17" i="2"/>
  <c r="N10" i="17"/>
  <c r="N42" i="10"/>
  <c r="N53" i="9"/>
  <c r="N28" i="9"/>
  <c r="N29" i="9" s="1"/>
  <c r="N28" i="17"/>
  <c r="O41" i="10"/>
  <c r="P32" i="10"/>
  <c r="P36" i="10" s="1"/>
  <c r="P37" i="8"/>
  <c r="P17" i="17" s="1"/>
  <c r="P18" i="17" s="1"/>
  <c r="Q7" i="10"/>
  <c r="Q29" i="8"/>
  <c r="Q33" i="10" s="1"/>
  <c r="Q33" i="9"/>
  <c r="P31" i="9"/>
  <c r="C59" i="19" l="1"/>
  <c r="E59" i="19" s="1"/>
  <c r="B59" i="19" s="1"/>
  <c r="C32" i="19"/>
  <c r="P40" i="10"/>
  <c r="O21" i="9"/>
  <c r="N20" i="2"/>
  <c r="P20" i="17"/>
  <c r="P14" i="17"/>
  <c r="O28" i="2" s="1"/>
  <c r="C29" i="19"/>
  <c r="E29" i="19" s="1"/>
  <c r="B29" i="19" s="1"/>
  <c r="N52" i="9"/>
  <c r="Q30" i="8"/>
  <c r="O45" i="10"/>
  <c r="N19" i="2"/>
  <c r="P32" i="9"/>
  <c r="P34" i="9" s="1"/>
  <c r="P51" i="9" s="1"/>
  <c r="D30" i="19"/>
  <c r="E30" i="19" s="1"/>
  <c r="B30" i="19" s="1"/>
  <c r="N43" i="10"/>
  <c r="N12" i="17"/>
  <c r="N16" i="17" s="1"/>
  <c r="M29" i="2" s="1"/>
  <c r="N22" i="17"/>
  <c r="N32" i="17" s="1"/>
  <c r="Q36" i="8" l="1"/>
  <c r="Q34" i="8"/>
  <c r="Q35" i="8"/>
  <c r="Q31" i="8"/>
  <c r="P16" i="2"/>
  <c r="O10" i="17"/>
  <c r="O42" i="10"/>
  <c r="O53" i="9"/>
  <c r="O28" i="9"/>
  <c r="O29" i="9" s="1"/>
  <c r="D33" i="19"/>
  <c r="P18" i="10"/>
  <c r="P19" i="10" s="1"/>
  <c r="N33" i="17"/>
  <c r="M30" i="2"/>
  <c r="P37" i="10" l="1"/>
  <c r="P39" i="10" s="1"/>
  <c r="P41" i="10" s="1"/>
  <c r="P20" i="10"/>
  <c r="P44" i="10"/>
  <c r="O18" i="2"/>
  <c r="C31" i="19"/>
  <c r="E31" i="19" s="1"/>
  <c r="B31" i="19" s="1"/>
  <c r="O52" i="9"/>
  <c r="Q13" i="17"/>
  <c r="P17" i="2"/>
  <c r="O12" i="17"/>
  <c r="O16" i="17" s="1"/>
  <c r="N29" i="2" s="1"/>
  <c r="O22" i="17"/>
  <c r="O28" i="17"/>
  <c r="M31" i="2"/>
  <c r="N34" i="17"/>
  <c r="M32" i="2" s="1"/>
  <c r="D32" i="19"/>
  <c r="E32" i="19" s="1"/>
  <c r="B32" i="19" s="1"/>
  <c r="O43" i="10"/>
  <c r="Q32" i="10"/>
  <c r="Q36" i="10" s="1"/>
  <c r="Q37" i="8"/>
  <c r="Q17" i="17" s="1"/>
  <c r="Q18" i="17" s="1"/>
  <c r="Q31" i="9"/>
  <c r="Q32" i="9" s="1"/>
  <c r="Q34" i="9" s="1"/>
  <c r="Q51" i="9" s="1"/>
  <c r="P45" i="10" l="1"/>
  <c r="O19" i="2"/>
  <c r="D35" i="19"/>
  <c r="Q18" i="10"/>
  <c r="Q19" i="10" s="1"/>
  <c r="O32" i="17"/>
  <c r="Q20" i="17"/>
  <c r="Q14" i="17"/>
  <c r="P28" i="2" s="1"/>
  <c r="C64" i="19"/>
  <c r="E64" i="19" s="1"/>
  <c r="B64" i="19" s="1"/>
  <c r="C34" i="19"/>
  <c r="Q40" i="10"/>
  <c r="P21" i="9"/>
  <c r="O20" i="2"/>
  <c r="P10" i="17" l="1"/>
  <c r="P42" i="10"/>
  <c r="P53" i="9"/>
  <c r="P28" i="9"/>
  <c r="P29" i="9" s="1"/>
  <c r="O33" i="17"/>
  <c r="N30" i="2"/>
  <c r="Q44" i="10"/>
  <c r="Q20" i="10"/>
  <c r="Q37" i="10"/>
  <c r="Q39" i="10" s="1"/>
  <c r="Q41" i="10" s="1"/>
  <c r="P18" i="2"/>
  <c r="C69" i="19" l="1"/>
  <c r="E69" i="19" s="1"/>
  <c r="B69" i="19" s="1"/>
  <c r="C36" i="19"/>
  <c r="Q21" i="9"/>
  <c r="P20" i="2"/>
  <c r="N31" i="2"/>
  <c r="O34" i="17"/>
  <c r="N32" i="2" s="1"/>
  <c r="C33" i="19"/>
  <c r="E33" i="19" s="1"/>
  <c r="B33" i="19" s="1"/>
  <c r="P52" i="9"/>
  <c r="D34" i="19"/>
  <c r="E34" i="19" s="1"/>
  <c r="B34" i="19" s="1"/>
  <c r="P43" i="10"/>
  <c r="Q45" i="10"/>
  <c r="P19" i="2"/>
  <c r="P12" i="17"/>
  <c r="P16" i="17" s="1"/>
  <c r="O29" i="2" s="1"/>
  <c r="P22" i="17"/>
  <c r="P28" i="17"/>
  <c r="Q10" i="17" l="1"/>
  <c r="Q42" i="10"/>
  <c r="Q53" i="9"/>
  <c r="Q28" i="9"/>
  <c r="Q29" i="9" s="1"/>
  <c r="P32" i="17"/>
  <c r="P33" i="17" l="1"/>
  <c r="O30" i="2"/>
  <c r="C35" i="19"/>
  <c r="E35" i="19" s="1"/>
  <c r="B35" i="19" s="1"/>
  <c r="B6" i="19" s="1"/>
  <c r="B17" i="1" s="1"/>
  <c r="Q52" i="9"/>
  <c r="D36" i="19"/>
  <c r="E36" i="19" s="1"/>
  <c r="B36" i="19" s="1"/>
  <c r="Q43" i="10"/>
  <c r="Q12" i="17"/>
  <c r="Q16" i="17" s="1"/>
  <c r="P29" i="2" s="1"/>
  <c r="Q22" i="17"/>
  <c r="Q32" i="17" s="1"/>
  <c r="Q28" i="17"/>
  <c r="Q33" i="17" l="1"/>
  <c r="P30" i="2"/>
  <c r="O31" i="2"/>
  <c r="P34" i="17"/>
  <c r="O32" i="2" s="1"/>
  <c r="P31" i="2" l="1"/>
  <c r="Q34" i="17"/>
  <c r="P32" i="2" s="1"/>
</calcChain>
</file>

<file path=xl/sharedStrings.xml><?xml version="1.0" encoding="utf-8"?>
<sst xmlns="http://schemas.openxmlformats.org/spreadsheetml/2006/main" count="23574" uniqueCount="769">
  <si>
    <t>Coforge Integrated Financial Model</t>
  </si>
  <si>
    <t>Official-source build | Quarterly P&amp;L FY16–Q1FY27 | Annual three statements FY16–FY30E | INR million unless stated</t>
  </si>
  <si>
    <t>OUTPERFORM framework: order-book conversion, Encora, client mining, people productivity, AI uplift and acquisition deleveraging</t>
  </si>
  <si>
    <t>Model scope</t>
  </si>
  <si>
    <t>Quarterly P&amp;L only; annual P&amp;L, detailed balance sheet and cash flow</t>
  </si>
  <si>
    <t>Historical period</t>
  </si>
  <si>
    <t>FY16–FY26 plus Q1 FY27 actual</t>
  </si>
  <si>
    <t>Forecast period</t>
  </si>
  <si>
    <t>FY27E–FY30E</t>
  </si>
  <si>
    <t>Source policy</t>
  </si>
  <si>
    <t>Official Coforge annual reports, quarterly factsheets and investor presentations</t>
  </si>
  <si>
    <t>Revenue architecture</t>
  </si>
  <si>
    <t>Retained base + executable-order-book conversion + fresh-order realization + client farming + AI uplift − T&amp;M deflation + Encora − portfolio exits</t>
  </si>
  <si>
    <t>AI policy</t>
  </si>
  <si>
    <t>Service category “AI-led Engineering” is not treated as pure AI revenue; only incremental scenario uplift is modeled as AI revenue</t>
  </si>
  <si>
    <t>Acquisition policy</t>
  </si>
  <si>
    <t>Encora revenue, PPA, share consideration, acquisition debt, interest and principal are separated</t>
  </si>
  <si>
    <t>Cash policy</t>
  </si>
  <si>
    <t>Historical closing cash is anchored to the reported balance sheet; forecast cash is CFO + CFI + CFF</t>
  </si>
  <si>
    <t>Circularity policy</t>
  </si>
  <si>
    <t>One-way flow: assumptions / drivers → P&amp;L → non-cash BS schedules → cash flow → cash → balance sheet</t>
  </si>
  <si>
    <t>Formatting</t>
  </si>
  <si>
    <t>Aptos Narrow 10; hardcoded actuals medium blue; formulas black; forecast columns pale green</t>
  </si>
  <si>
    <t>House view</t>
  </si>
  <si>
    <t>OUTPERFORM</t>
  </si>
  <si>
    <t>Model status</t>
  </si>
  <si>
    <t>Coforge Financial Summary</t>
  </si>
  <si>
    <t>OUTPERFORM: operating momentum, Encora integration, cash generation, deleveraging and valuation</t>
  </si>
  <si>
    <t>Metric</t>
  </si>
  <si>
    <t>Units</t>
  </si>
  <si>
    <t>FY16A</t>
  </si>
  <si>
    <t>FY17A</t>
  </si>
  <si>
    <t>FY18A</t>
  </si>
  <si>
    <t>FY19A</t>
  </si>
  <si>
    <t>FY20A</t>
  </si>
  <si>
    <t>FY21A</t>
  </si>
  <si>
    <t>FY22A</t>
  </si>
  <si>
    <t>FY23A</t>
  </si>
  <si>
    <t>FY24A</t>
  </si>
  <si>
    <t>FY25A</t>
  </si>
  <si>
    <t>FY26A</t>
  </si>
  <si>
    <t>FY27E</t>
  </si>
  <si>
    <t>FY28E</t>
  </si>
  <si>
    <t>FY29E</t>
  </si>
  <si>
    <t>FY30E</t>
  </si>
  <si>
    <t>Revenue</t>
  </si>
  <si>
    <t>₹m</t>
  </si>
  <si>
    <t>Revenue growth</t>
  </si>
  <si>
    <t>%</t>
  </si>
  <si>
    <t>$m</t>
  </si>
  <si>
    <t>Executable order book</t>
  </si>
  <si>
    <t>Fresh order intake</t>
  </si>
  <si>
    <t>Gross margin</t>
  </si>
  <si>
    <t>Adjusted EBITDA margin</t>
  </si>
  <si>
    <t>EBITDA</t>
  </si>
  <si>
    <t>EBIT margin</t>
  </si>
  <si>
    <t>Net income</t>
  </si>
  <si>
    <t>Diluted EPS</t>
  </si>
  <si>
    <t>₹ / share</t>
  </si>
  <si>
    <t>CFO</t>
  </si>
  <si>
    <t>Free cash flow</t>
  </si>
  <si>
    <t>Closing cash</t>
  </si>
  <si>
    <t>Acquisition debt</t>
  </si>
  <si>
    <t>Headcount</t>
  </si>
  <si>
    <t>#</t>
  </si>
  <si>
    <t>Billable headcount</t>
  </si>
  <si>
    <t>Revenue / IT billable</t>
  </si>
  <si>
    <t>$ / FTE</t>
  </si>
  <si>
    <t>Incremental AI revenue</t>
  </si>
  <si>
    <t>T&amp;M AI deflation drag</t>
  </si>
  <si>
    <t>Reference market price</t>
  </si>
  <si>
    <t>P/E</t>
  </si>
  <si>
    <t>x</t>
  </si>
  <si>
    <t>EV / EBITDA</t>
  </si>
  <si>
    <t>Blended target price</t>
  </si>
  <si>
    <t>Upside / (downside)</t>
  </si>
  <si>
    <t>Rating</t>
  </si>
  <si>
    <t>text</t>
  </si>
  <si>
    <t>Sources &amp; Data Conventions</t>
  </si>
  <si>
    <t>Primary-source register; non-disclosed metrics remain blank and forecast assumptions are visibly editable</t>
  </si>
  <si>
    <t>ID</t>
  </si>
  <si>
    <t>Data / period</t>
  </si>
  <si>
    <t>Primary source</t>
  </si>
  <si>
    <t>Model use</t>
  </si>
  <si>
    <t>Status</t>
  </si>
  <si>
    <t>Notes</t>
  </si>
  <si>
    <t>S1</t>
  </si>
  <si>
    <t>Annual reports FY16–FY26</t>
  </si>
  <si>
    <t>https://investors.coforge.com/annual-report</t>
  </si>
  <si>
    <t>Audited P&amp;L, balance sheet and cash flow</t>
  </si>
  <si>
    <t>Loaded</t>
  </si>
  <si>
    <t>Latest comparative presentation used where applicable</t>
  </si>
  <si>
    <t>S2</t>
  </si>
  <si>
    <t>Quarterly factsheets FY16–FY25</t>
  </si>
  <si>
    <t>₹m / $m / % / #</t>
  </si>
  <si>
    <t>https://investors.coforge.com/quarter-reports</t>
  </si>
  <si>
    <t>Quarterly P&amp;L and operating KPI history</t>
  </si>
  <si>
    <t>Reported figures retained; annual restatement bridge shown separately</t>
  </si>
  <si>
    <t>S3</t>
  </si>
  <si>
    <t>Q4 FY26 presentation</t>
  </si>
  <si>
    <t>$m / ₹m / % / #</t>
  </si>
  <si>
    <t>https://investors.coforge.com/hubfs/Investor-Presentation-and-Factsheet-Q4FY26.pdf</t>
  </si>
  <si>
    <t>FY26 operations, order intake, order book, clients, people and mix</t>
  </si>
  <si>
    <t>FY26 revenue ₹164,027m / $1,870m</t>
  </si>
  <si>
    <t>S4</t>
  </si>
  <si>
    <t>Q1 FY27 presentation</t>
  </si>
  <si>
    <t>https://investors.coforge.com/hubfs/Investor-Presentation-Q1-FY27.pdf</t>
  </si>
  <si>
    <t>Q1 actuals, Encora, PPA, debt, operating metrics</t>
  </si>
  <si>
    <t>Encora consolidated from 1 May 2026</t>
  </si>
  <si>
    <t>S5</t>
  </si>
  <si>
    <t>Q1 FY27 results</t>
  </si>
  <si>
    <t>Q1 reported P&amp;L</t>
  </si>
  <si>
    <t>Revenue ₹55,277m; attributable PAT ₹5,186m</t>
  </si>
  <si>
    <t>S6</t>
  </si>
  <si>
    <t>Continuous NIIT Technologies / Coforge prices from listing</t>
  </si>
  <si>
    <t>https://finance.yahoo.com/quote/COFORGE.NS/history/</t>
  </si>
  <si>
    <t>Daily price history, FY05–FY26 year-end prices and valuation reference price</t>
  </si>
  <si>
    <t>Continuous backfilled listed-company series. NSE states NIITTECH traded from Aug-2004 to Aug-2020 and COFORGE since Aug-2020: https://nsearchives.nseindia.com/corporate/COFORGE_16112021040103_SEIntimation.pdf</t>
  </si>
  <si>
    <t>S7</t>
  </si>
  <si>
    <t>Historical AI revenue</t>
  </si>
  <si>
    <t>n/a</t>
  </si>
  <si>
    <t>Forecast policy</t>
  </si>
  <si>
    <t>Not disclosed</t>
  </si>
  <si>
    <t>AI-led Engineering mix is not equated to pure AI revenue</t>
  </si>
  <si>
    <t>S8</t>
  </si>
  <si>
    <t>Historical cash-flow residuals</t>
  </si>
  <si>
    <t>Audited CFS totals</t>
  </si>
  <si>
    <t>Line-by-line reconciliation</t>
  </si>
  <si>
    <t>Calculated</t>
  </si>
  <si>
    <t>Reported residual/reclassification is formula-derived; forecast residual is zero</t>
  </si>
  <si>
    <t>S9</t>
  </si>
  <si>
    <t>Assets / liabilities held for sale</t>
  </si>
  <si>
    <t>Audited balance-sheet totals</t>
  </si>
  <si>
    <t>Historical classification bridge</t>
  </si>
  <si>
    <t>Derived from reported subtotals when PDF extraction obscures the row</t>
  </si>
  <si>
    <t>Forecast Assumptions</t>
  </si>
  <si>
    <t>Blue text on yellow = editable; all forecast financials and valuations are calculated</t>
  </si>
  <si>
    <t>Driver</t>
  </si>
  <si>
    <t>Logic / interpretation</t>
  </si>
  <si>
    <t>Repeat / retained base</t>
  </si>
  <si>
    <t>Prior-year revenue retained before incremental drivers</t>
  </si>
  <si>
    <t>Executable order book growth</t>
  </si>
  <si>
    <t>Next-12-month executable order book</t>
  </si>
  <si>
    <t>Incremental order-book realization</t>
  </si>
  <si>
    <t>Current-year revenue from EOB expansion</t>
  </si>
  <si>
    <t>Fresh order intake growth</t>
  </si>
  <si>
    <t>Annual order-intake scenario</t>
  </si>
  <si>
    <t>Fresh order first-year realization</t>
  </si>
  <si>
    <t>Current-year revenue from incremental order intake</t>
  </si>
  <si>
    <t>Client farming / pricing uplift</t>
  </si>
  <si>
    <t>Mining, pricing and cross-sell uplift on retained base</t>
  </si>
  <si>
    <t>T&amp;M mix</t>
  </si>
  <si>
    <t>Q1 FY27 actual is 57%</t>
  </si>
  <si>
    <t>AI deflation on T&amp;M revenue</t>
  </si>
  <si>
    <t>Productivity / rate drag on the T&amp;M pool</t>
  </si>
  <si>
    <t>Outcome-pricing offset</t>
  </si>
  <si>
    <t>Value capture from fixed/outcome pricing</t>
  </si>
  <si>
    <t>Incremental AI uplift</t>
  </si>
  <si>
    <t>Incremental AI-led revenue; not a historical disclosure</t>
  </si>
  <si>
    <t>Portfolio exits</t>
  </si>
  <si>
    <t>$15m India Government portfolio + $4m data-center impact</t>
  </si>
  <si>
    <t>Encora monthly run-rate</t>
  </si>
  <si>
    <t>Q1 FY27 disclosed $100.7m for two months</t>
  </si>
  <si>
    <t>Encora growth</t>
  </si>
  <si>
    <t>Separate acquired-revenue growth</t>
  </si>
  <si>
    <t>Average INR / USD</t>
  </si>
  <si>
    <t>₹ / $</t>
  </si>
  <si>
    <t>Forecast translation rate</t>
  </si>
  <si>
    <t>Scale, offshore and portfolio mix</t>
  </si>
  <si>
    <t>SG&amp;A / revenue</t>
  </si>
  <si>
    <t>Selling / general administration</t>
  </si>
  <si>
    <t>SBC / revenue</t>
  </si>
  <si>
    <t>Share-based compensation</t>
  </si>
  <si>
    <t>D&amp;A / revenue</t>
  </si>
  <si>
    <t>Includes Encora intangible amortization</t>
  </si>
  <si>
    <t>Other income / revenue</t>
  </si>
  <si>
    <t>Non-operating income excluding financing cost</t>
  </si>
  <si>
    <t>Effective tax rate</t>
  </si>
  <si>
    <t>P&amp;L tax rate</t>
  </si>
  <si>
    <t>NCI share of post-tax profit</t>
  </si>
  <si>
    <t>Minority share</t>
  </si>
  <si>
    <t>Billed receivable days</t>
  </si>
  <si>
    <t>days</t>
  </si>
  <si>
    <t>Closing billed receivables</t>
  </si>
  <si>
    <t>Unbilled + contract asset days</t>
  </si>
  <si>
    <t>Q1 FY27: 24 unbilled + 15 contract asset days</t>
  </si>
  <si>
    <t>Contract cost / revenue</t>
  </si>
  <si>
    <t>Capitalized contract acquisition / fulfilment costs</t>
  </si>
  <si>
    <t>Other current assets / revenue</t>
  </si>
  <si>
    <t>Excludes cash, receivables and contract costs</t>
  </si>
  <si>
    <t>Other bank balances / revenue</t>
  </si>
  <si>
    <t>Deposits are transferred into reported cash in the forecast</t>
  </si>
  <si>
    <t>Other non-current assets / revenue</t>
  </si>
  <si>
    <t>Excludes fixed assets, goodwill, intangibles and DTA</t>
  </si>
  <si>
    <t>Deferred tax asset / revenue</t>
  </si>
  <si>
    <t>Closing balance</t>
  </si>
  <si>
    <t>Deferred revenue / revenue</t>
  </si>
  <si>
    <t>Contract liabilities, anchored to Q1 FY27</t>
  </si>
  <si>
    <t>Employee benefits / revenue</t>
  </si>
  <si>
    <t>Employee benefit obligations, anchored to Q1 FY27</t>
  </si>
  <si>
    <t>Trade and other liabilities / revenue</t>
  </si>
  <si>
    <t>Payables and operating liabilities, anchored to Q1 FY27</t>
  </si>
  <si>
    <t>Deferred tax liability / revenue</t>
  </si>
  <si>
    <t>Closing DTL after PPA</t>
  </si>
  <si>
    <t>Capex / revenue</t>
  </si>
  <si>
    <t>PPE and software additions</t>
  </si>
  <si>
    <t>Intangible share of capex</t>
  </si>
  <si>
    <t>Capex allocation</t>
  </si>
  <si>
    <t>PPE share of D&amp;A</t>
  </si>
  <si>
    <t>D&amp;A allocation</t>
  </si>
  <si>
    <t>Intangible share of D&amp;A</t>
  </si>
  <si>
    <t>Lease principal / opening lease</t>
  </si>
  <si>
    <t>Cash lease principal</t>
  </si>
  <si>
    <t>Lease additions / revenue</t>
  </si>
  <si>
    <t>Non-cash lease additions</t>
  </si>
  <si>
    <t>Dividend payout</t>
  </si>
  <si>
    <t>Dividend paid / attributable PAT</t>
  </si>
  <si>
    <t>NCI dividend payout</t>
  </si>
  <si>
    <t>Minority distribution</t>
  </si>
  <si>
    <t>Acquisition liability settlement</t>
  </si>
  <si>
    <t>Settlement of future acquisition consideration</t>
  </si>
  <si>
    <t>Diluted shares</t>
  </si>
  <si>
    <t>m</t>
  </si>
  <si>
    <t>Post-Encora diluted share count</t>
  </si>
  <si>
    <t>Target P/E</t>
  </si>
  <si>
    <t>Premium forward multiple consistent with the OUTPERFORM house view; target price remains EPS-driven</t>
  </si>
  <si>
    <t>Target EV / EBITDA</t>
  </si>
  <si>
    <t>Forward enterprise valuation</t>
  </si>
  <si>
    <t>WACC</t>
  </si>
  <si>
    <t>DCF discount rate</t>
  </si>
  <si>
    <t>Terminal growth</t>
  </si>
  <si>
    <t>DCF perpetual growth</t>
  </si>
  <si>
    <t>P/E valuation weight</t>
  </si>
  <si>
    <t>Blended target weight</t>
  </si>
  <si>
    <t>EV / EBITDA valuation weight</t>
  </si>
  <si>
    <t>DCF valuation weight</t>
  </si>
  <si>
    <t>User input; FY27–FY30 carried unless explicitly changed</t>
  </si>
  <si>
    <t>FY27 Q1 actual net cash change</t>
  </si>
  <si>
    <t>Reported balance-sheet cash movement: ₹13,883m − ₹10,936m</t>
  </si>
  <si>
    <t>FY27 Q1 actual CFO</t>
  </si>
  <si>
    <t>$57.6m translated at Q1 average rate</t>
  </si>
  <si>
    <t>FY27 Q1 acquisition cash flow</t>
  </si>
  <si>
    <t>$503.1m translated at Q1 average rate</t>
  </si>
  <si>
    <t>FY27 Q1 debt / credit-line inflow</t>
  </si>
  <si>
    <t>$498.9m translated at Q1 average rate</t>
  </si>
  <si>
    <t>FY27 Q1 lease principal</t>
  </si>
  <si>
    <t>$3.4m translated</t>
  </si>
  <si>
    <t>FY27 Q1 interest paid</t>
  </si>
  <si>
    <t>$7.8m translated</t>
  </si>
  <si>
    <t>FY27 Q1 capex</t>
  </si>
  <si>
    <t>$4.7m translated</t>
  </si>
  <si>
    <t>OCI / other reserve movement</t>
  </si>
  <si>
    <t>Editable reserve movement</t>
  </si>
  <si>
    <t>Raw Reported Financials — Source Layer</t>
  </si>
  <si>
    <t>Hardcoded official reported inputs only; calculations live downstream</t>
  </si>
  <si>
    <t>Annual reported P&amp;L</t>
  </si>
  <si>
    <t>Other income</t>
  </si>
  <si>
    <t>Total income</t>
  </si>
  <si>
    <t>Purchases / stock</t>
  </si>
  <si>
    <t>Employee benefits</t>
  </si>
  <si>
    <t>Professional charges</t>
  </si>
  <si>
    <t>Other production expenses</t>
  </si>
  <si>
    <t>Other expenses</t>
  </si>
  <si>
    <t>Finance costs</t>
  </si>
  <si>
    <t>D&amp;A</t>
  </si>
  <si>
    <t>PBT pre-exceptional</t>
  </si>
  <si>
    <t>Exceptional items</t>
  </si>
  <si>
    <t>PBT</t>
  </si>
  <si>
    <t>Current tax</t>
  </si>
  <si>
    <t>Deferred tax</t>
  </si>
  <si>
    <t>Tax</t>
  </si>
  <si>
    <t>Profit incl. NCI</t>
  </si>
  <si>
    <t>NCI</t>
  </si>
  <si>
    <t>Net income attributable</t>
  </si>
  <si>
    <t>Basic EPS</t>
  </si>
  <si>
    <t>Quarterly reported P&amp;L</t>
  </si>
  <si>
    <t>Q1 FY16A</t>
  </si>
  <si>
    <t>Q2 FY16A</t>
  </si>
  <si>
    <t>Q3 FY16A</t>
  </si>
  <si>
    <t>Q4 FY16A</t>
  </si>
  <si>
    <t>Q1 FY17A</t>
  </si>
  <si>
    <t>Q2 FY17A</t>
  </si>
  <si>
    <t>Q3 FY17A</t>
  </si>
  <si>
    <t>Q4 FY17A</t>
  </si>
  <si>
    <t>Q1 FY18A</t>
  </si>
  <si>
    <t>Q2 FY18A</t>
  </si>
  <si>
    <t>Q3 FY18A</t>
  </si>
  <si>
    <t>Q4 FY18A</t>
  </si>
  <si>
    <t>Q1 FY19A</t>
  </si>
  <si>
    <t>Q2 FY19A</t>
  </si>
  <si>
    <t>Q3 FY19A</t>
  </si>
  <si>
    <t>Q4 FY19A</t>
  </si>
  <si>
    <t>Q1 FY20A</t>
  </si>
  <si>
    <t>Q2 FY20A</t>
  </si>
  <si>
    <t>Q3 FY20A</t>
  </si>
  <si>
    <t>Q4 FY20A</t>
  </si>
  <si>
    <t>Q1 FY21A</t>
  </si>
  <si>
    <t>Q2 FY21A</t>
  </si>
  <si>
    <t>Q3 FY21A</t>
  </si>
  <si>
    <t>Q4 FY21A</t>
  </si>
  <si>
    <t>Q1 FY22A</t>
  </si>
  <si>
    <t>Q2 FY22A</t>
  </si>
  <si>
    <t>Q3 FY22A</t>
  </si>
  <si>
    <t>Q4 FY22A</t>
  </si>
  <si>
    <t>Q1 FY23A</t>
  </si>
  <si>
    <t>Q2 FY23A</t>
  </si>
  <si>
    <t>Q3 FY23A</t>
  </si>
  <si>
    <t>Q4 FY23A</t>
  </si>
  <si>
    <t>Q1 FY24A</t>
  </si>
  <si>
    <t>Q2 FY24A</t>
  </si>
  <si>
    <t>Q3 FY24A</t>
  </si>
  <si>
    <t>Q4 FY24A</t>
  </si>
  <si>
    <t>Q1 FY25A</t>
  </si>
  <si>
    <t>Q2 FY25A</t>
  </si>
  <si>
    <t>Q3 FY25A</t>
  </si>
  <si>
    <t>Q4 FY25A</t>
  </si>
  <si>
    <t>Q1 FY26A</t>
  </si>
  <si>
    <t>Q2 FY26A</t>
  </si>
  <si>
    <t>Q3 FY26A</t>
  </si>
  <si>
    <t>Q4 FY26A</t>
  </si>
  <si>
    <t>Q1 FY27A</t>
  </si>
  <si>
    <t>Cost of revenue</t>
  </si>
  <si>
    <t>Gross profit</t>
  </si>
  <si>
    <t>SG&amp;A</t>
  </si>
  <si>
    <t>Adjusted EBITDA</t>
  </si>
  <si>
    <t>ESOP</t>
  </si>
  <si>
    <t>EBIT</t>
  </si>
  <si>
    <t>Other income, net</t>
  </si>
  <si>
    <t>FX gain / loss</t>
  </si>
  <si>
    <t>Annual reported balance sheet</t>
  </si>
  <si>
    <t>PPE</t>
  </si>
  <si>
    <t>ROU assets</t>
  </si>
  <si>
    <t>CWIP</t>
  </si>
  <si>
    <t>Goodwill</t>
  </si>
  <si>
    <t>Intangibles</t>
  </si>
  <si>
    <t>Non-current investments</t>
  </si>
  <si>
    <t>Non-current receivables</t>
  </si>
  <si>
    <t>Other non-current financial assets</t>
  </si>
  <si>
    <t>Deferred tax assets</t>
  </si>
  <si>
    <t>Non-current tax assets</t>
  </si>
  <si>
    <t>Other non-current assets</t>
  </si>
  <si>
    <t>Total non-current assets</t>
  </si>
  <si>
    <t>Inventories</t>
  </si>
  <si>
    <t>Contract assets</t>
  </si>
  <si>
    <t>Current investments</t>
  </si>
  <si>
    <t>Trade receivables</t>
  </si>
  <si>
    <t>Cash &amp; equivalents</t>
  </si>
  <si>
    <t>Other bank balances</t>
  </si>
  <si>
    <t>Other current financial assets</t>
  </si>
  <si>
    <t>Current tax assets</t>
  </si>
  <si>
    <t>Other current assets</t>
  </si>
  <si>
    <t>Total current assets</t>
  </si>
  <si>
    <t>Assets held for sale</t>
  </si>
  <si>
    <t>Total assets</t>
  </si>
  <si>
    <t>Share capital</t>
  </si>
  <si>
    <t>Other equity</t>
  </si>
  <si>
    <t>Equity attributable</t>
  </si>
  <si>
    <t>Total equity</t>
  </si>
  <si>
    <t>Long-term borrowings</t>
  </si>
  <si>
    <t>Non-current lease liabilities</t>
  </si>
  <si>
    <t>Non-current trade payables</t>
  </si>
  <si>
    <t>Other NC financial liabilities</t>
  </si>
  <si>
    <t>Non-current provisions</t>
  </si>
  <si>
    <t>Deferred tax liabilities</t>
  </si>
  <si>
    <t>Other NC liabilities</t>
  </si>
  <si>
    <t>Total non-current liabilities</t>
  </si>
  <si>
    <t>Short-term borrowings</t>
  </si>
  <si>
    <t>Current lease liabilities</t>
  </si>
  <si>
    <t>Trade payables</t>
  </si>
  <si>
    <t>Other current financial liabilities</t>
  </si>
  <si>
    <t>Current provisions</t>
  </si>
  <si>
    <t>Current tax liabilities</t>
  </si>
  <si>
    <t>Other current liabilities</t>
  </si>
  <si>
    <t>Total current liabilities</t>
  </si>
  <si>
    <t>Liabilities held for sale</t>
  </si>
  <si>
    <t>Total liabilities</t>
  </si>
  <si>
    <t>Annual reported cash flow</t>
  </si>
  <si>
    <t>Share-based payments</t>
  </si>
  <si>
    <t>Finance cost adjustment</t>
  </si>
  <si>
    <t>Interest income adjustment</t>
  </si>
  <si>
    <t>Change in receivables</t>
  </si>
  <si>
    <t>Change in other assets</t>
  </si>
  <si>
    <t>Change in payables</t>
  </si>
  <si>
    <t>Change in other liabilities</t>
  </si>
  <si>
    <t>Tax paid</t>
  </si>
  <si>
    <t>Capex</t>
  </si>
  <si>
    <t>PPE proceeds</t>
  </si>
  <si>
    <t>Acquisitions</t>
  </si>
  <si>
    <t>Purchase of investments</t>
  </si>
  <si>
    <t>Sale of investments</t>
  </si>
  <si>
    <t>Interest received</t>
  </si>
  <si>
    <t>Dividends received</t>
  </si>
  <si>
    <t>CFI</t>
  </si>
  <si>
    <t>Equity issuance</t>
  </si>
  <si>
    <t>Borrowing proceeds</t>
  </si>
  <si>
    <t>Borrowing repayments</t>
  </si>
  <si>
    <t>Lease principal</t>
  </si>
  <si>
    <t>Interest paid</t>
  </si>
  <si>
    <t>Dividends paid</t>
  </si>
  <si>
    <t>NCI dividends</t>
  </si>
  <si>
    <t>CFF</t>
  </si>
  <si>
    <t>Net cash change</t>
  </si>
  <si>
    <t>Opening cash</t>
  </si>
  <si>
    <t>FX effect</t>
  </si>
  <si>
    <t>Raw Reported Operating KPIs</t>
  </si>
  <si>
    <t>Official disclosures; blanks mean the KPI was not disclosed in that period</t>
  </si>
  <si>
    <t>Executable order book (next 12m)</t>
  </si>
  <si>
    <t>BFS mix</t>
  </si>
  <si>
    <t>Insurance mix</t>
  </si>
  <si>
    <t>TTH mix</t>
  </si>
  <si>
    <t>Government mix</t>
  </si>
  <si>
    <t>Healthcare &amp; HiTech mix</t>
  </si>
  <si>
    <t>Manufacturing mix</t>
  </si>
  <si>
    <t>Others mix</t>
  </si>
  <si>
    <t>Americas mix</t>
  </si>
  <si>
    <t>EMEA mix</t>
  </si>
  <si>
    <t>ROW mix</t>
  </si>
  <si>
    <t>Onsite mix</t>
  </si>
  <si>
    <t>Offshore mix</t>
  </si>
  <si>
    <t>Fixed-price mix</t>
  </si>
  <si>
    <t>Repeat business</t>
  </si>
  <si>
    <t>Top 5 clients</t>
  </si>
  <si>
    <t>Top 10 clients</t>
  </si>
  <si>
    <t>New clients</t>
  </si>
  <si>
    <t>AI-led Engineering / Engineering mix</t>
  </si>
  <si>
    <t>Intelligent Automation mix</t>
  </si>
  <si>
    <t>Data mix</t>
  </si>
  <si>
    <t>Cloud mix</t>
  </si>
  <si>
    <t>BPM mix</t>
  </si>
  <si>
    <t>ADM mix</t>
  </si>
  <si>
    <t>IP Assets mix</t>
  </si>
  <si>
    <t>Managed Services mix</t>
  </si>
  <si>
    <t>SI &amp; PI mix</t>
  </si>
  <si>
    <t>Product Engineering mix</t>
  </si>
  <si>
    <t>Software Engineering mix</t>
  </si>
  <si>
    <t>IT billable</t>
  </si>
  <si>
    <t>BPS billable</t>
  </si>
  <si>
    <t>Total billable</t>
  </si>
  <si>
    <t>Revenue per IT billable</t>
  </si>
  <si>
    <t>Utilization</t>
  </si>
  <si>
    <t>Attrition</t>
  </si>
  <si>
    <t>Billed DSO</t>
  </si>
  <si>
    <t>Unbilled DSO</t>
  </si>
  <si>
    <t>Contract-asset DSO</t>
  </si>
  <si>
    <t>Clients $1–5m</t>
  </si>
  <si>
    <t>Clients $5–10m</t>
  </si>
  <si>
    <t>Clients $10–20m</t>
  </si>
  <si>
    <t>Clients $20–50m</t>
  </si>
  <si>
    <t>Clients $50–100m</t>
  </si>
  <si>
    <t>Clients &gt;$100m</t>
  </si>
  <si>
    <t>Clients &gt;$10m</t>
  </si>
  <si>
    <t>Quarterly Profit &amp; Loss</t>
  </si>
  <si>
    <t>Reported quarters only; annual restatement / classification differences are shown as a bridge, not forced into Q4</t>
  </si>
  <si>
    <t>Revenue growth QoQ</t>
  </si>
  <si>
    <t>EBITDA margin</t>
  </si>
  <si>
    <t>Net margin</t>
  </si>
  <si>
    <t>Annual Profit &amp; Loss</t>
  </si>
  <si>
    <t>Audited history and formula-driven FY27E–FY30E forecast</t>
  </si>
  <si>
    <t>Basic weighted shares</t>
  </si>
  <si>
    <t>Diluted weighted shares</t>
  </si>
  <si>
    <t>Dividend paid</t>
  </si>
  <si>
    <t>Dividend per share</t>
  </si>
  <si>
    <t>Annual Balance Sheet</t>
  </si>
  <si>
    <t>Historical reported statement; forecast rolls from the Q1 FY27 acquisition anchor with cash linked only from the cash flow statement</t>
  </si>
  <si>
    <t>PPE / fixed assets</t>
  </si>
  <si>
    <t>Non-current investments / receivables</t>
  </si>
  <si>
    <t>Contract / unbilled assets</t>
  </si>
  <si>
    <t>Cash held for sale</t>
  </si>
  <si>
    <t>Contract costs and other current assets</t>
  </si>
  <si>
    <t>Held for sale / reported classification residual</t>
  </si>
  <si>
    <t>Other equity / reserves</t>
  </si>
  <si>
    <t>Other non-current financial / trade liabilities</t>
  </si>
  <si>
    <t>Other non-current liabilities / acquisition consideration</t>
  </si>
  <si>
    <t>Trade payables and other financial liabilities</t>
  </si>
  <si>
    <t>Deferred revenue / other current liabilities</t>
  </si>
  <si>
    <t>Total equity &amp; liabilities</t>
  </si>
  <si>
    <t>Balance check</t>
  </si>
  <si>
    <t>Closing cash check</t>
  </si>
  <si>
    <t>Annual Cash Flow Statement</t>
  </si>
  <si>
    <t>Historical totals reconciled line by line; forecast cash rolls mechanically and anchors the balance sheet</t>
  </si>
  <si>
    <t>Net income incl. NCI</t>
  </si>
  <si>
    <t>Finance cost add-back</t>
  </si>
  <si>
    <t>Deferred tax / other non-cash</t>
  </si>
  <si>
    <t>Change in trade receivables</t>
  </si>
  <si>
    <t>Change in contract / unbilled assets</t>
  </si>
  <si>
    <t>Change in contract costs / other assets</t>
  </si>
  <si>
    <t>Change in deferred revenue</t>
  </si>
  <si>
    <t>Change in employee benefits</t>
  </si>
  <si>
    <t>Change in trade / other liabilities</t>
  </si>
  <si>
    <t>Other operating / integration / classification</t>
  </si>
  <si>
    <t>Cash flow from operations</t>
  </si>
  <si>
    <t>CFO / net income</t>
  </si>
  <si>
    <t>Change in investments / bank balances</t>
  </si>
  <si>
    <t>PPE sale / interest / dividends received</t>
  </si>
  <si>
    <t>Historical investing residual / reclassification</t>
  </si>
  <si>
    <t>Cash flow from investing</t>
  </si>
  <si>
    <t>Borrowing repayment</t>
  </si>
  <si>
    <t>Historical financing residual / reclassification</t>
  </si>
  <si>
    <t>Cash flow from financing</t>
  </si>
  <si>
    <t>Net cash change before FX</t>
  </si>
  <si>
    <t>Balance-sheet cash + held-for-sale cash</t>
  </si>
  <si>
    <t>Cash check</t>
  </si>
  <si>
    <t>FCF margin</t>
  </si>
  <si>
    <t>Encora Acquisition &amp; Debt Schedule</t>
  </si>
  <si>
    <t>Encora PPA, Q1 FY27 balance-sheet anchor and disclosed principal / interest repayment schedule</t>
  </si>
  <si>
    <t>Source / logic</t>
  </si>
  <si>
    <t>Encora two-month Q1 revenue</t>
  </si>
  <si>
    <t>Q1 FY27 investor presentation / disclosed schedule</t>
  </si>
  <si>
    <t>Encora annual contribution</t>
  </si>
  <si>
    <t>Share-swap consideration</t>
  </si>
  <si>
    <t>Cash consideration</t>
  </si>
  <si>
    <t>Total consideration</t>
  </si>
  <si>
    <t>Customer intangibles recognized</t>
  </si>
  <si>
    <t>Deferred tax liability recognized</t>
  </si>
  <si>
    <t>Goodwill recognized</t>
  </si>
  <si>
    <t>Acquisition debt principal</t>
  </si>
  <si>
    <t>Principal repayment</t>
  </si>
  <si>
    <t>Closing acquisition debt</t>
  </si>
  <si>
    <t>Interest payment</t>
  </si>
  <si>
    <t>Interest / finance cost</t>
  </si>
  <si>
    <t>Q1 FY27 fixed assets</t>
  </si>
  <si>
    <t>Q1 FY27 goodwill</t>
  </si>
  <si>
    <t>Q1 FY27 acquired intangibles</t>
  </si>
  <si>
    <t>Q1 FY27 cash</t>
  </si>
  <si>
    <t>Q1 FY27 other bank balances</t>
  </si>
  <si>
    <t>Q1 FY27 debtors</t>
  </si>
  <si>
    <t>Q1 FY27 unbilled / contract assets</t>
  </si>
  <si>
    <t>Q1 FY27 contract cost</t>
  </si>
  <si>
    <t>Q1 FY27 deferred tax asset</t>
  </si>
  <si>
    <t>Q1 FY27 other assets</t>
  </si>
  <si>
    <t>Q1 FY27 total assets</t>
  </si>
  <si>
    <t>Q1 FY27 share capital</t>
  </si>
  <si>
    <t>Q1 FY27 reserves</t>
  </si>
  <si>
    <t>Q1 FY27 NCI</t>
  </si>
  <si>
    <t>Q1 FY27 borrowings</t>
  </si>
  <si>
    <t>Q1 FY27 deferred revenue</t>
  </si>
  <si>
    <t>Q1 FY27 deferred tax liability</t>
  </si>
  <si>
    <t>Q1 FY27 future acquisition liability</t>
  </si>
  <si>
    <t>Q1 FY27 lease liabilities</t>
  </si>
  <si>
    <t>Q1 FY27 employee benefits</t>
  </si>
  <si>
    <t>Q1 FY27 trade payables / other</t>
  </si>
  <si>
    <t>Q1 FY27 total funding</t>
  </si>
  <si>
    <t>Q1 FY27 balance check</t>
  </si>
  <si>
    <t>Order Book &amp; Revenue Drivers</t>
  </si>
  <si>
    <t>Coforge-specific bridge: order-book conversion, fresh intake, mining, AI, T&amp;M deflation, outcome pricing, Encora and portfolio exits</t>
  </si>
  <si>
    <t>Prior-year revenue</t>
  </si>
  <si>
    <t>Retained organic revenue</t>
  </si>
  <si>
    <t>EOB expansion</t>
  </si>
  <si>
    <t>EOB expansion realization</t>
  </si>
  <si>
    <t>Revenue from EOB expansion</t>
  </si>
  <si>
    <t>Incremental fresh order intake</t>
  </si>
  <si>
    <t>First-year realization</t>
  </si>
  <si>
    <t>Revenue from fresh orders</t>
  </si>
  <si>
    <t>Client farming / pricing revenue</t>
  </si>
  <si>
    <t>AI deflation on T&amp;M</t>
  </si>
  <si>
    <t>Outcome-pricing uplift</t>
  </si>
  <si>
    <t>Encora revenue contribution</t>
  </si>
  <si>
    <t>Forecast / reported revenue</t>
  </si>
  <si>
    <t>Revenue-driver check</t>
  </si>
  <si>
    <t>Vertical and Service Mix</t>
  </si>
  <si>
    <t>Revenue absolutes are calculated from reported / forecast mix; taxonomy changes remain visible</t>
  </si>
  <si>
    <t>Industry verticals</t>
  </si>
  <si>
    <t>BFS revenue</t>
  </si>
  <si>
    <t>Insurance revenue</t>
  </si>
  <si>
    <t>Travel, Transport &amp; Hospitality mix</t>
  </si>
  <si>
    <t>Travel, Transport &amp; Hospitality revenue</t>
  </si>
  <si>
    <t>Healthcare &amp; HiTech revenue</t>
  </si>
  <si>
    <t>Government outside India mix</t>
  </si>
  <si>
    <t>Government outside India revenue</t>
  </si>
  <si>
    <t>Manufacturing revenue</t>
  </si>
  <si>
    <t>Others revenue</t>
  </si>
  <si>
    <t>Mix check</t>
  </si>
  <si>
    <t>Calculated vertical revenue</t>
  </si>
  <si>
    <t>Annual revenue</t>
  </si>
  <si>
    <t>Revenue check</t>
  </si>
  <si>
    <t>Service lines — disclosed taxonomy</t>
  </si>
  <si>
    <t>AI-led Engineering / Engineering revenue</t>
  </si>
  <si>
    <t>Intelligent Automation revenue</t>
  </si>
  <si>
    <t>Data revenue</t>
  </si>
  <si>
    <t>Cloud revenue</t>
  </si>
  <si>
    <t>BPM revenue</t>
  </si>
  <si>
    <t>Service mix check</t>
  </si>
  <si>
    <t>Calculated service revenue</t>
  </si>
  <si>
    <t>Important AI note</t>
  </si>
  <si>
    <t>“AI-led Engineering” is a company service classification, not disclosed pure AI revenue; incremental AI revenue is modeled only in People &amp; AI / Order Book &amp; Revenue.</t>
  </si>
  <si>
    <t>Geography, Delivery and Contract Mix</t>
  </si>
  <si>
    <t>Revenue is calculated from mix; delivery / contract mix drives the AI deflation and outcome-pricing scenario</t>
  </si>
  <si>
    <t>Americas revenue</t>
  </si>
  <si>
    <t>EMEA revenue</t>
  </si>
  <si>
    <t>Rest of World mix</t>
  </si>
  <si>
    <t>Rest of World revenue</t>
  </si>
  <si>
    <t>Geography mix check</t>
  </si>
  <si>
    <t>Delivery mix check</t>
  </si>
  <si>
    <t>Contract mix check</t>
  </si>
  <si>
    <t>T&amp;M revenue</t>
  </si>
  <si>
    <t>Fixed / outcome revenue</t>
  </si>
  <si>
    <t>Client Metrics</t>
  </si>
  <si>
    <t>Revenue-band disclosures, concentration, client farming and revenue per client</t>
  </si>
  <si>
    <t>Total disclosed band clients</t>
  </si>
  <si>
    <t>Top 5 contribution</t>
  </si>
  <si>
    <t>Top 10 contribution</t>
  </si>
  <si>
    <t>Revenue per disclosed client</t>
  </si>
  <si>
    <t>Revenue per &gt;$10m client</t>
  </si>
  <si>
    <t>Order intake</t>
  </si>
  <si>
    <t>Order intake / revenue</t>
  </si>
  <si>
    <t>EOB / revenue</t>
  </si>
  <si>
    <t>People, Productivity and AI</t>
  </si>
  <si>
    <t>Headcount is a capacity / margin constraint, not the sole revenue driver; AI uplift is separated from T&amp;M deflation</t>
  </si>
  <si>
    <t>Total headcount</t>
  </si>
  <si>
    <t>Billable / headcount</t>
  </si>
  <si>
    <t>Revenue per total billable</t>
  </si>
  <si>
    <t>Headcount growth</t>
  </si>
  <si>
    <t>Revenue growth less headcount growth</t>
  </si>
  <si>
    <t>ppt</t>
  </si>
  <si>
    <t>Net AI / productivity contribution</t>
  </si>
  <si>
    <t>AI-led Engineering service mix</t>
  </si>
  <si>
    <t>AI Mod Squad accounts in rollout</t>
  </si>
  <si>
    <t>AI Mod Squad programs</t>
  </si>
  <si>
    <t>AI agents live / in build</t>
  </si>
  <si>
    <t>Measured productivity gains</t>
  </si>
  <si>
    <t>range</t>
  </si>
  <si>
    <t>22%–50%</t>
  </si>
  <si>
    <t>Interpretation</t>
  </si>
  <si>
    <t>Coforge disclosed 40+ rollout accounts, 50+ programs and 150+ agents live / in build. These activity KPIs support the forecast AI uplift assumption; they are not booked as historical AI revenue.</t>
  </si>
  <si>
    <t>Valuation</t>
  </si>
  <si>
    <t>FY-end and latest market prices; forward P/E, EV/EBITDA and DCF calculate independently and blend into an OUTPERFORM target</t>
  </si>
  <si>
    <t>Market capitalization</t>
  </si>
  <si>
    <t>Cash + bank balances</t>
  </si>
  <si>
    <t>Debt + lease liabilities</t>
  </si>
  <si>
    <t>Enterprise value</t>
  </si>
  <si>
    <t>Dividend yield</t>
  </si>
  <si>
    <t>P/E implied equity value / share</t>
  </si>
  <si>
    <t>EV / EBITDA implied equity value / share</t>
  </si>
  <si>
    <t>FCFF</t>
  </si>
  <si>
    <t>DCF enterprise value</t>
  </si>
  <si>
    <t>DCF equity value / share</t>
  </si>
  <si>
    <t>P/E weight</t>
  </si>
  <si>
    <t>EV / EBITDA weight</t>
  </si>
  <si>
    <t>DCF weight</t>
  </si>
  <si>
    <t>Implied rating</t>
  </si>
  <si>
    <t>NIIT Technologies / Coforge Prices</t>
  </si>
  <si>
    <t>Continuous listed-company series from August 2004; daily close drives FY-end and reference-price valuation</t>
  </si>
  <si>
    <t>Corporate continuity: NIIT Technologies Limited was renamed Coforge Limited effective 3 Aug 2020. NSE symbol: NIITTECH from Aug-2004 through Aug-2020; COFORGE since Aug-2020.</t>
  </si>
  <si>
    <t>Date</t>
  </si>
  <si>
    <t>Company</t>
  </si>
  <si>
    <t>NSE symbol</t>
  </si>
  <si>
    <t>Close</t>
  </si>
  <si>
    <t>Adjusted close</t>
  </si>
  <si>
    <t>Volume</t>
  </si>
  <si>
    <t>Fiscal year</t>
  </si>
  <si>
    <t>Source</t>
  </si>
  <si>
    <t>FY-end date</t>
  </si>
  <si>
    <t>FY-end close</t>
  </si>
  <si>
    <t>Corporate identity</t>
  </si>
  <si>
    <t>NIIT Technologies Limited</t>
  </si>
  <si>
    <t>NIITTECH</t>
  </si>
  <si>
    <t>FY05</t>
  </si>
  <si>
    <t>FY05A</t>
  </si>
  <si>
    <t>NIITTECH — NIIT Technologies</t>
  </si>
  <si>
    <t>FY06A</t>
  </si>
  <si>
    <t>FY07A</t>
  </si>
  <si>
    <t>FY08A</t>
  </si>
  <si>
    <t>FY09A</t>
  </si>
  <si>
    <t>FY10A</t>
  </si>
  <si>
    <t>FY11A</t>
  </si>
  <si>
    <t>FY12A</t>
  </si>
  <si>
    <t>FY13A</t>
  </si>
  <si>
    <t>FY14A</t>
  </si>
  <si>
    <t>FY15A</t>
  </si>
  <si>
    <t>COFORGE — Coforge</t>
  </si>
  <si>
    <t>FY06</t>
  </si>
  <si>
    <t>FY07</t>
  </si>
  <si>
    <t>FY08</t>
  </si>
  <si>
    <t>FY09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</si>
  <si>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</si>
  <si>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</si>
  <si>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</si>
  <si>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</si>
  <si>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</si>
  <si>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</si>
  <si>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</si>
  <si>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</si>
  <si>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</si>
  <si>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</si>
  <si>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</si>
  <si>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</si>
  <si>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Coforge Limited</t>
  </si>
  <si>
    <t>COFORGE</t>
  </si>
  <si>
    <t>FY22</t>
  </si>
  <si>
    <t>FY23</t>
  </si>
  <si>
    <t>FY24</t>
  </si>
  <si>
    <t>FY25</t>
  </si>
  <si>
    <t>FY26</t>
  </si>
  <si>
    <t>FY27</t>
  </si>
  <si>
    <t>Model Checks</t>
  </si>
  <si>
    <t>Accounting, cash, spot-check, mix, forecast-driver, valuation and static circular-reference controls</t>
  </si>
  <si>
    <t>Check</t>
  </si>
  <si>
    <t>Control</t>
  </si>
  <si>
    <t>Difference</t>
  </si>
  <si>
    <t>Tolerance</t>
  </si>
  <si>
    <t>OVERALL MODEL STATUS</t>
  </si>
  <si>
    <t>FY16A balance sheet</t>
  </si>
  <si>
    <t>FY16A cash tie</t>
  </si>
  <si>
    <t>FY17A balance sheet</t>
  </si>
  <si>
    <t>FY17A cash tie</t>
  </si>
  <si>
    <t>FY18A balance sheet</t>
  </si>
  <si>
    <t>FY18A cash tie</t>
  </si>
  <si>
    <t>FY19A balance sheet</t>
  </si>
  <si>
    <t>FY19A cash tie</t>
  </si>
  <si>
    <t>FY20A balance sheet</t>
  </si>
  <si>
    <t>FY20A cash tie</t>
  </si>
  <si>
    <t>FY21A balance sheet</t>
  </si>
  <si>
    <t>FY21A cash tie</t>
  </si>
  <si>
    <t>FY22A balance sheet</t>
  </si>
  <si>
    <t>FY22A cash tie</t>
  </si>
  <si>
    <t>FY23A balance sheet</t>
  </si>
  <si>
    <t>FY23A cash tie</t>
  </si>
  <si>
    <t>FY24A balance sheet</t>
  </si>
  <si>
    <t>FY24A cash tie</t>
  </si>
  <si>
    <t>FY25A balance sheet</t>
  </si>
  <si>
    <t>FY25A cash tie</t>
  </si>
  <si>
    <t>FY26A balance sheet</t>
  </si>
  <si>
    <t>FY26A cash tie</t>
  </si>
  <si>
    <t>FY27E balance sheet</t>
  </si>
  <si>
    <t>FY27E cash tie</t>
  </si>
  <si>
    <t>FY28E balance sheet</t>
  </si>
  <si>
    <t>FY28E cash tie</t>
  </si>
  <si>
    <t>FY29E balance sheet</t>
  </si>
  <si>
    <t>FY29E cash tie</t>
  </si>
  <si>
    <t>FY30E balance sheet</t>
  </si>
  <si>
    <t>FY30E cash tie</t>
  </si>
  <si>
    <t>Q1 FY27 revenue spot check</t>
  </si>
  <si>
    <t>Q1 FY27 PBT spot check</t>
  </si>
  <si>
    <t>Q1 FY27 attributable NI spot check</t>
  </si>
  <si>
    <t>Q1 FY27 balance-sheet anchor</t>
  </si>
  <si>
    <t>FY16 quarterly revenue vs audited annual bridge</t>
  </si>
  <si>
    <t>FY17 quarterly revenue vs audited annual bridge</t>
  </si>
  <si>
    <t>FY18 quarterly revenue vs audited annual bridge</t>
  </si>
  <si>
    <t>FY19 quarterly revenue vs audited annual bridge</t>
  </si>
  <si>
    <t>FY20 quarterly revenue vs audited annual bridge</t>
  </si>
  <si>
    <t>FY21 quarterly revenue vs audited annual bridge</t>
  </si>
  <si>
    <t>FY22 quarterly revenue vs audited annual bridge</t>
  </si>
  <si>
    <t>FY23 quarterly revenue vs audited annual bridge</t>
  </si>
  <si>
    <t>FY24 quarterly revenue vs audited annual bridge</t>
  </si>
  <si>
    <t>FY25 quarterly revenue vs audited annual bridge</t>
  </si>
  <si>
    <t>FY26 quarterly revenue vs audited annual bridge</t>
  </si>
  <si>
    <t>FY27E revenue-driver tie</t>
  </si>
  <si>
    <t>FY27E contract mix</t>
  </si>
  <si>
    <t>FY27E non-negative cash</t>
  </si>
  <si>
    <t>FY27E debt schedule</t>
  </si>
  <si>
    <t>FY27E valuation weights</t>
  </si>
  <si>
    <t>FY28E revenue-driver tie</t>
  </si>
  <si>
    <t>FY28E contract mix</t>
  </si>
  <si>
    <t>FY28E non-negative cash</t>
  </si>
  <si>
    <t>FY28E debt schedule</t>
  </si>
  <si>
    <t>FY28E valuation weights</t>
  </si>
  <si>
    <t>FY29E revenue-driver tie</t>
  </si>
  <si>
    <t>FY29E contract mix</t>
  </si>
  <si>
    <t>FY29E non-negative cash</t>
  </si>
  <si>
    <t>FY29E debt schedule</t>
  </si>
  <si>
    <t>FY29E valuation weights</t>
  </si>
  <si>
    <t>FY30E revenue-driver tie</t>
  </si>
  <si>
    <t>FY30E contract mix</t>
  </si>
  <si>
    <t>FY30E non-negative cash</t>
  </si>
  <si>
    <t>FY30E debt schedule</t>
  </si>
  <si>
    <t>FY30E valuation weights</t>
  </si>
  <si>
    <t>Static circular-reference count</t>
  </si>
  <si>
    <t>INDIRECT / OFFSET formula count</t>
  </si>
  <si>
    <t>Formula error token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</si>
</sst>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;[Red]\(0.0%\);\-"/>
    <numFmt numFmtId="165" formatCode="\$#,##0.0;[Red]\(\$#,##0.0\);\-"/>
    <numFmt numFmtId="166" formatCode="#,##0.0;[Red]\(#,##0.0\);\-"/>
    <numFmt numFmtId="167" formatCode="0.0\x;[Red]\(0.0\x\);\-"/>
    <numFmt numFmtId="168" formatCode="0.00;[Red]\(0.00\);\-"/>
    <numFmt numFmtId="169" formatCode="#,##0;[Red]\(#,##0\);\-"/>
    <numFmt numFmtId="170" formatCode="yyyy\-mm\-dd"/>
  </numFmts>
  <fonts count="10">
    <font>
      <sz val="11"/>
      <name val="Carlito"/>
    </font>
    <font>
      <sz val="10"/>
      <color rgb="FF000000"/>
      <name val="Aptos Narrow"/>
    </font>
    <font>
      <b/>
      <sz val="16"/>
      <color rgb="FFFFFFFF"/>
      <name val="Aptos Narrow"/>
    </font>
    <font>
      <i/>
      <sz val="10"/>
      <color rgb="FF666666"/>
      <name val="Aptos Narrow"/>
    </font>
    <font>
      <b/>
      <sz val="13"/>
      <color rgb="FF000000"/>
      <name val="Aptos Narrow"/>
    </font>
    <font>
      <b/>
      <sz val="10"/>
      <color rgb="FF000000"/>
      <name val="Aptos Narrow"/>
    </font>
    <font>
      <b/>
      <sz val="10"/>
      <color rgb="FFFFFFFF"/>
      <name val="Aptos Narrow"/>
    </font>
    <font>
      <sz val="10"/>
      <color rgb="FF4472C4"/>
      <name val="Aptos Narrow"/>
    </font>
    <font>
      <i/>
      <sz val="10"/>
      <color rgb="FF4472C4"/>
      <name val="Aptos Narrow"/>
    </font>
    <font>
      <sz val="11"/>
      <color rgb="FF4472C4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 style="thin">
        <color rgb="FF7F7F7F"/>
      </top>
      <bottom/>
      <diagonal/>
    </border>
    <border>
      <left/>
      <right/>
      <top/>
      <bottom style="hair">
        <color rgb="FFBFBFB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wrapText="1"/>
    </xf>
    <xf numFmtId="0" fontId="6" fillId="4" borderId="0" xfId="0" applyFont="1" applyFill="1" applyAlignment="1">
      <alignment horizontal="center"/>
    </xf>
    <xf numFmtId="164" fontId="7" fillId="5" borderId="0" xfId="0" applyNumberFormat="1" applyFont="1" applyFill="1"/>
    <xf numFmtId="165" fontId="7" fillId="5" borderId="0" xfId="0" applyNumberFormat="1" applyFont="1" applyFill="1"/>
    <xf numFmtId="166" fontId="7" fillId="5" borderId="0" xfId="0" applyNumberFormat="1" applyFont="1" applyFill="1"/>
    <xf numFmtId="167" fontId="7" fillId="5" borderId="0" xfId="0" applyNumberFormat="1" applyFont="1" applyFill="1"/>
    <xf numFmtId="0" fontId="6" fillId="2" borderId="0" xfId="0" applyFont="1" applyFill="1"/>
    <xf numFmtId="0" fontId="7" fillId="0" borderId="0" xfId="0" applyFont="1"/>
    <xf numFmtId="169" fontId="7" fillId="0" borderId="0" xfId="0" applyNumberFormat="1" applyFont="1"/>
    <xf numFmtId="168" fontId="7" fillId="0" borderId="0" xfId="0" applyNumberFormat="1" applyFont="1"/>
    <xf numFmtId="164" fontId="7" fillId="0" borderId="0" xfId="0" applyNumberFormat="1" applyFont="1"/>
    <xf numFmtId="0" fontId="6" fillId="6" borderId="0" xfId="0" applyFont="1" applyFill="1" applyAlignment="1">
      <alignment horizontal="center"/>
    </xf>
    <xf numFmtId="165" fontId="7" fillId="0" borderId="0" xfId="0" applyNumberFormat="1" applyFont="1"/>
    <xf numFmtId="166" fontId="7" fillId="0" borderId="0" xfId="0" applyNumberFormat="1" applyFont="1"/>
    <xf numFmtId="0" fontId="1" fillId="6" borderId="0" xfId="0" applyFont="1" applyFill="1"/>
    <xf numFmtId="169" fontId="1" fillId="0" borderId="0" xfId="0" applyNumberFormat="1" applyFont="1"/>
    <xf numFmtId="164" fontId="1" fillId="0" borderId="0" xfId="0" applyNumberFormat="1" applyFont="1"/>
    <xf numFmtId="168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5" fontId="1" fillId="6" borderId="0" xfId="0" applyNumberFormat="1" applyFont="1" applyFill="1"/>
    <xf numFmtId="164" fontId="1" fillId="6" borderId="0" xfId="0" applyNumberFormat="1" applyFont="1" applyFill="1"/>
    <xf numFmtId="169" fontId="1" fillId="6" borderId="0" xfId="0" applyNumberFormat="1" applyFont="1" applyFill="1"/>
    <xf numFmtId="166" fontId="1" fillId="6" borderId="0" xfId="0" applyNumberFormat="1" applyFont="1" applyFill="1"/>
    <xf numFmtId="0" fontId="1" fillId="0" borderId="1" xfId="0" applyFont="1" applyBorder="1"/>
    <xf numFmtId="169" fontId="1" fillId="0" borderId="1" xfId="0" applyNumberFormat="1" applyFont="1" applyBorder="1"/>
    <xf numFmtId="0" fontId="5" fillId="0" borderId="1" xfId="0" applyFont="1" applyBorder="1"/>
    <xf numFmtId="169" fontId="1" fillId="6" borderId="1" xfId="0" applyNumberFormat="1" applyFont="1" applyFill="1" applyBorder="1"/>
    <xf numFmtId="168" fontId="1" fillId="6" borderId="0" xfId="0" applyNumberFormat="1" applyFont="1" applyFill="1"/>
    <xf numFmtId="167" fontId="1" fillId="0" borderId="0" xfId="0" applyNumberFormat="1" applyFont="1"/>
    <xf numFmtId="167" fontId="1" fillId="6" borderId="0" xfId="0" applyNumberFormat="1" applyFont="1" applyFill="1"/>
    <xf numFmtId="0" fontId="7" fillId="7" borderId="0" xfId="0" applyFont="1" applyFill="1"/>
    <xf numFmtId="0" fontId="9" fillId="7" borderId="0" xfId="0" applyFont="1" applyFill="1"/>
    <xf numFmtId="170" fontId="7" fillId="7" borderId="0" xfId="0" applyNumberFormat="1" applyFont="1" applyFill="1"/>
    <xf numFmtId="170" fontId="9" fillId="7" borderId="0" xfId="0" applyNumberFormat="1" applyFont="1" applyFill="1"/>
    <xf numFmtId="168" fontId="7" fillId="7" borderId="0" xfId="0" applyNumberFormat="1" applyFont="1" applyFill="1"/>
    <xf numFmtId="168" fontId="9" fillId="7" borderId="0" xfId="0" applyNumberFormat="1" applyFont="1" applyFill="1"/>
    <xf numFmtId="3" fontId="7" fillId="7" borderId="0" xfId="0" applyNumberFormat="1" applyFont="1" applyFill="1"/>
    <xf numFmtId="3" fontId="9" fillId="7" borderId="0" xfId="0" applyNumberFormat="1" applyFont="1" applyFill="1"/>
    <xf numFmtId="170" fontId="7" fillId="0" borderId="0" xfId="0" applyNumberFormat="1" applyFont="1"/>
    <xf numFmtId="168" fontId="1" fillId="5" borderId="0" xfId="0" applyNumberFormat="1" applyFont="1" applyFill="1"/>
    <xf numFmtId="165" fontId="1" fillId="0" borderId="1" xfId="0" applyNumberFormat="1" applyFont="1" applyBorder="1"/>
    <xf numFmtId="164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165" fontId="1" fillId="6" borderId="1" xfId="0" applyNumberFormat="1" applyFont="1" applyFill="1" applyBorder="1"/>
    <xf numFmtId="164" fontId="1" fillId="6" borderId="1" xfId="0" applyNumberFormat="1" applyFont="1" applyFill="1" applyBorder="1"/>
    <xf numFmtId="166" fontId="1" fillId="6" borderId="1" xfId="0" applyNumberFormat="1" applyFont="1" applyFill="1" applyBorder="1"/>
    <xf numFmtId="168" fontId="1" fillId="6" borderId="1" xfId="0" applyNumberFormat="1" applyFont="1" applyFill="1" applyBorder="1"/>
    <xf numFmtId="0" fontId="5" fillId="2" borderId="0" xfId="0" applyFont="1" applyFill="1"/>
    <xf numFmtId="0" fontId="1" fillId="0" borderId="2" xfId="0" applyFont="1" applyBorder="1"/>
    <xf numFmtId="0" fontId="1" fillId="6" borderId="2" xfId="0" applyFont="1" applyFill="1" applyBorder="1"/>
    <xf numFmtId="164" fontId="1" fillId="0" borderId="2" xfId="0" applyNumberFormat="1" applyFont="1" applyBorder="1"/>
    <xf numFmtId="164" fontId="1" fillId="6" borderId="2" xfId="0" applyNumberFormat="1" applyFont="1" applyFill="1" applyBorder="1"/>
    <xf numFmtId="169" fontId="1" fillId="0" borderId="2" xfId="0" applyNumberFormat="1" applyFont="1" applyBorder="1"/>
    <xf numFmtId="169" fontId="1" fillId="6" borderId="2" xfId="0" applyNumberFormat="1" applyFont="1" applyFill="1" applyBorder="1"/>
    <xf numFmtId="0" fontId="2" fillId="2" borderId="0" xfId="0" applyFont="1" applyFill="1"/>
    <xf numFmtId="0" fontId="3" fillId="0" borderId="0" xfId="0" applyFont="1" applyAlignment="1">
      <alignment wrapText="1"/>
    </xf>
    <xf numFmtId="0" fontId="4" fillId="3" borderId="0" xfId="0" applyFont="1" applyFill="1"/>
    <xf numFmtId="0" fontId="6" fillId="2" borderId="0" xfId="0" applyFont="1" applyFill="1"/>
    <xf numFmtId="0" fontId="6" fillId="6" borderId="0" xfId="0" applyFont="1" applyFill="1"/>
    <xf numFmtId="0" fontId="8" fillId="5" borderId="0" xfId="0" applyFont="1" applyFill="1" applyAlignment="1">
      <alignment wrapText="1"/>
    </xf>
    <xf numFmtId="0" fontId="8" fillId="6" borderId="0" xfId="0" applyFont="1" applyFill="1" applyAlignment="1">
      <alignment wrapText="1"/>
    </xf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60"/>
  <sheetViews>
    <sheetView showGridLines="0" workbookViewId="0">
      <selection sqref="A1:H1"/>
    </sheetView>
  </sheetViews>
  <sheetFormatPr defaultRowHeight="13.8"/>
  <cols>
    <col min="1" max="1" width="28" customWidth="1"/>
    <col min="2" max="2" width="86" customWidth="1"/>
  </cols>
  <sheetData>
    <row r="1" spans="1:47" ht="25.95" customHeight="1">
      <c r="A1" s="59" t="s">
        <v>0</v>
      </c>
      <c r="B1" s="59"/>
      <c r="C1" s="59"/>
      <c r="D1" s="59"/>
      <c r="E1" s="59"/>
      <c r="F1" s="59"/>
      <c r="G1" s="59"/>
      <c r="H1" s="5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60" t="s">
        <v>1</v>
      </c>
      <c r="B2" s="60"/>
      <c r="C2" s="60"/>
      <c r="D2" s="60"/>
      <c r="E2" s="60"/>
      <c r="F2" s="60"/>
      <c r="G2" s="60"/>
      <c r="H2" s="6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7.399999999999999">
      <c r="A4" s="61" t="s">
        <v>2</v>
      </c>
      <c r="B4" s="61"/>
      <c r="C4" s="61"/>
      <c r="D4" s="61"/>
      <c r="E4" s="61"/>
      <c r="F4" s="61"/>
      <c r="G4" s="61"/>
      <c r="H4" s="6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4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2" t="s">
        <v>3</v>
      </c>
      <c r="B6" s="3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2" t="s">
        <v>5</v>
      </c>
      <c r="B7" s="3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2" t="s">
        <v>7</v>
      </c>
      <c r="B8" s="3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2" t="s">
        <v>9</v>
      </c>
      <c r="B9" s="3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27.6">
      <c r="A10" s="2" t="s">
        <v>11</v>
      </c>
      <c r="B10" s="3" t="s">
        <v>12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27.6">
      <c r="A11" s="2" t="s">
        <v>13</v>
      </c>
      <c r="B11" s="3" t="s">
        <v>14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2" t="s">
        <v>15</v>
      </c>
      <c r="B12" s="3" t="s">
        <v>16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2" t="s">
        <v>17</v>
      </c>
      <c r="B13" s="3" t="s">
        <v>18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2" t="s">
        <v>19</v>
      </c>
      <c r="B14" s="3" t="s">
        <v>20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2" t="s">
        <v>21</v>
      </c>
      <c r="B15" s="3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2" t="s">
        <v>23</v>
      </c>
      <c r="B16" s="3" t="s">
        <v>24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2" t="s">
        <v>25</v>
      </c>
      <c r="B17" s="3" t="str">
        <f>Checks!B6</f>
        <v>OK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3">
    <mergeCell ref="A1:H1"/>
    <mergeCell ref="A2:H2"/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260"/>
  <sheetViews>
    <sheetView showGridLines="0" tabSelected="1" workbookViewId="0">
      <selection activeCell="B3" sqref="B1:B1048576"/>
    </sheetView>
  </sheetViews>
  <sheetFormatPr defaultRowHeight="13.8"/>
  <cols>
    <col min="1" max="1" width="43" customWidth="1"/>
    <col min="2" max="16" width="11.5" customWidth="1"/>
  </cols>
  <sheetData>
    <row r="1" spans="1:46" ht="25.95" customHeight="1">
      <c r="A1" s="59" t="s">
        <v>26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60" t="s">
        <v>27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4" t="s">
        <v>28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37</v>
      </c>
      <c r="J5" s="4" t="s">
        <v>38</v>
      </c>
      <c r="K5" s="4" t="s">
        <v>39</v>
      </c>
      <c r="L5" s="4" t="s">
        <v>40</v>
      </c>
      <c r="M5" s="14" t="s">
        <v>41</v>
      </c>
      <c r="N5" s="14" t="s">
        <v>42</v>
      </c>
      <c r="O5" s="14" t="s">
        <v>43</v>
      </c>
      <c r="P5" s="14" t="s">
        <v>44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29" t="s">
        <v>45</v>
      </c>
      <c r="B7" s="28">
        <f>'Annual P&amp;L'!C7</f>
        <v>26824.048783999999</v>
      </c>
      <c r="C7" s="28">
        <f>'Annual P&amp;L'!D7</f>
        <v>28021</v>
      </c>
      <c r="D7" s="28">
        <f>'Annual P&amp;L'!E7</f>
        <v>29914</v>
      </c>
      <c r="E7" s="28">
        <f>'Annual P&amp;L'!F7</f>
        <v>36762</v>
      </c>
      <c r="F7" s="28">
        <f>'Annual P&amp;L'!G7</f>
        <v>41839</v>
      </c>
      <c r="G7" s="28">
        <f>'Annual P&amp;L'!H7</f>
        <v>46628</v>
      </c>
      <c r="H7" s="28">
        <f>'Annual P&amp;L'!I7</f>
        <v>64320</v>
      </c>
      <c r="I7" s="28">
        <f>'Annual P&amp;L'!J7</f>
        <v>80146</v>
      </c>
      <c r="J7" s="28">
        <f>'Annual P&amp;L'!K7</f>
        <v>91790</v>
      </c>
      <c r="K7" s="28">
        <f>'Annual P&amp;L'!L7</f>
        <v>120733</v>
      </c>
      <c r="L7" s="28">
        <f>'Annual P&amp;L'!M7</f>
        <v>164027</v>
      </c>
      <c r="M7" s="30">
        <f>'Annual P&amp;L'!N7</f>
        <v>228523.774026</v>
      </c>
      <c r="N7" s="30">
        <f>'Annual P&amp;L'!O7</f>
        <v>293835.96054016938</v>
      </c>
      <c r="O7" s="30">
        <f>'Annual P&amp;L'!P7</f>
        <v>369616.09205215255</v>
      </c>
      <c r="P7" s="30">
        <f>'Annual P&amp;L'!Q7</f>
        <v>457101.52226333285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47</v>
      </c>
      <c r="B8" s="19">
        <f>'Annual P&amp;L'!C8</f>
        <v>0</v>
      </c>
      <c r="C8" s="19">
        <f>'Annual P&amp;L'!D8</f>
        <v>4.462231729588706E-2</v>
      </c>
      <c r="D8" s="19">
        <f>'Annual P&amp;L'!E8</f>
        <v>6.7556475500517577E-2</v>
      </c>
      <c r="E8" s="19">
        <f>'Annual P&amp;L'!F8</f>
        <v>0.22892291234873308</v>
      </c>
      <c r="F8" s="19">
        <f>'Annual P&amp;L'!G8</f>
        <v>0.13810456449594688</v>
      </c>
      <c r="G8" s="19">
        <f>'Annual P&amp;L'!H8</f>
        <v>0.11446258275771415</v>
      </c>
      <c r="H8" s="19">
        <f>'Annual P&amp;L'!I8</f>
        <v>0.37942866946898857</v>
      </c>
      <c r="I8" s="19">
        <f>'Annual P&amp;L'!J8</f>
        <v>0.24605099502487571</v>
      </c>
      <c r="J8" s="19">
        <f>'Annual P&amp;L'!K8</f>
        <v>0.14528485513937062</v>
      </c>
      <c r="K8" s="19">
        <f>'Annual P&amp;L'!L8</f>
        <v>0.31531757272033989</v>
      </c>
      <c r="L8" s="19">
        <f>'Annual P&amp;L'!M8</f>
        <v>0.35859292819693045</v>
      </c>
      <c r="M8" s="24">
        <f>'Annual P&amp;L'!N8</f>
        <v>0.39320827684466586</v>
      </c>
      <c r="N8" s="24">
        <f>'Annual P&amp;L'!O8</f>
        <v>0.28580040213557201</v>
      </c>
      <c r="O8" s="24">
        <f>'Annual P&amp;L'!P8</f>
        <v>0.25789944625114569</v>
      </c>
      <c r="P8" s="24">
        <f>'Annual P&amp;L'!Q8</f>
        <v>0.23669269843055463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45</v>
      </c>
      <c r="B9" s="21">
        <f>'Order Book &amp; Revenue'!C33</f>
        <v>0</v>
      </c>
      <c r="C9" s="21">
        <f>'Order Book &amp; Revenue'!D33</f>
        <v>0</v>
      </c>
      <c r="D9" s="21">
        <f>'Order Book &amp; Revenue'!E33</f>
        <v>0</v>
      </c>
      <c r="E9" s="21">
        <f>'Order Book &amp; Revenue'!F33</f>
        <v>0</v>
      </c>
      <c r="F9" s="21">
        <f>'Order Book &amp; Revenue'!G33</f>
        <v>0</v>
      </c>
      <c r="G9" s="21">
        <f>'Order Book &amp; Revenue'!H33</f>
        <v>0</v>
      </c>
      <c r="H9" s="21">
        <f>'Order Book &amp; Revenue'!I33</f>
        <v>866.5</v>
      </c>
      <c r="I9" s="21">
        <f>'Order Book &amp; Revenue'!J33</f>
        <v>1001.7</v>
      </c>
      <c r="J9" s="21">
        <f>'Order Book &amp; Revenue'!K33</f>
        <v>1118.7</v>
      </c>
      <c r="K9" s="21">
        <f>'Order Book &amp; Revenue'!L33</f>
        <v>1448</v>
      </c>
      <c r="L9" s="21">
        <f>'Order Book &amp; Revenue'!M33</f>
        <v>1870</v>
      </c>
      <c r="M9" s="23">
        <f>'Order Book &amp; Revenue'!N33</f>
        <v>2431.103979</v>
      </c>
      <c r="N9" s="23">
        <f>'Order Book &amp; Revenue'!O33</f>
        <v>3093.0101109491516</v>
      </c>
      <c r="O9" s="23">
        <f>'Order Book &amp; Revenue'!P33</f>
        <v>3850.1676255432558</v>
      </c>
      <c r="P9" s="23">
        <f>'Order Book &amp; Revenue'!Q33</f>
        <v>4712.3868274570395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29" t="s">
        <v>50</v>
      </c>
      <c r="B10" s="44">
        <f>'Order Book &amp; Revenue'!C10</f>
        <v>301</v>
      </c>
      <c r="C10" s="44">
        <f>'Order Book &amp; Revenue'!D10</f>
        <v>320</v>
      </c>
      <c r="D10" s="44">
        <f>'Order Book &amp; Revenue'!E10</f>
        <v>339</v>
      </c>
      <c r="E10" s="44">
        <f>'Order Book &amp; Revenue'!F10</f>
        <v>390</v>
      </c>
      <c r="F10" s="44">
        <f>'Order Book &amp; Revenue'!G10</f>
        <v>468</v>
      </c>
      <c r="G10" s="44">
        <f>'Order Book &amp; Revenue'!H10</f>
        <v>520</v>
      </c>
      <c r="H10" s="44">
        <f>'Order Book &amp; Revenue'!I10</f>
        <v>720</v>
      </c>
      <c r="I10" s="44">
        <f>'Order Book &amp; Revenue'!J10</f>
        <v>869</v>
      </c>
      <c r="J10" s="44">
        <f>'Order Book &amp; Revenue'!K10</f>
        <v>1019</v>
      </c>
      <c r="K10" s="44">
        <f>'Order Book &amp; Revenue'!L10</f>
        <v>1505</v>
      </c>
      <c r="L10" s="44">
        <f>'Order Book &amp; Revenue'!M10</f>
        <v>1752</v>
      </c>
      <c r="M10" s="48">
        <f>'Order Book &amp; Revenue'!N10</f>
        <v>2242</v>
      </c>
      <c r="N10" s="48">
        <f>'Order Book &amp; Revenue'!O10</f>
        <v>2466.2000000000003</v>
      </c>
      <c r="O10" s="48">
        <f>'Order Book &amp; Revenue'!P10</f>
        <v>2688.1580000000004</v>
      </c>
      <c r="P10" s="48">
        <f>'Order Book &amp; Revenue'!Q10</f>
        <v>2903.2106400000007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51</v>
      </c>
      <c r="B11" s="21">
        <f>'Order Book &amp; Revenue'!C15</f>
        <v>420</v>
      </c>
      <c r="C11" s="21">
        <f>'Order Book &amp; Revenue'!D15</f>
        <v>457</v>
      </c>
      <c r="D11" s="21">
        <f>'Order Book &amp; Revenue'!E15</f>
        <v>507</v>
      </c>
      <c r="E11" s="21">
        <f>'Order Book &amp; Revenue'!F15</f>
        <v>646</v>
      </c>
      <c r="F11" s="21">
        <f>'Order Book &amp; Revenue'!G15</f>
        <v>748</v>
      </c>
      <c r="G11" s="21">
        <f>'Order Book &amp; Revenue'!H15</f>
        <v>781</v>
      </c>
      <c r="H11" s="21">
        <f>'Order Book &amp; Revenue'!I15</f>
        <v>1151</v>
      </c>
      <c r="I11" s="21">
        <f>'Order Book &amp; Revenue'!J15</f>
        <v>1265</v>
      </c>
      <c r="J11" s="21">
        <f>'Order Book &amp; Revenue'!K15</f>
        <v>1973</v>
      </c>
      <c r="K11" s="21">
        <f>'Order Book &amp; Revenue'!L15</f>
        <v>3456</v>
      </c>
      <c r="L11" s="21">
        <f>'Order Book &amp; Revenue'!M15</f>
        <v>2262</v>
      </c>
      <c r="M11" s="23">
        <f>'Order Book &amp; Revenue'!N15</f>
        <v>2488.2000000000003</v>
      </c>
      <c r="N11" s="23">
        <f>'Order Book &amp; Revenue'!O15</f>
        <v>2737.0200000000004</v>
      </c>
      <c r="O11" s="23">
        <f>'Order Book &amp; Revenue'!P15</f>
        <v>2983.3518000000008</v>
      </c>
      <c r="P11" s="23">
        <f>'Order Book &amp; Revenue'!Q15</f>
        <v>3222.019944000001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29" t="s">
        <v>52</v>
      </c>
      <c r="B12" s="45">
        <f>'Annual P&amp;L'!C11</f>
        <v>0.41489825389962642</v>
      </c>
      <c r="C12" s="45">
        <f>'Annual P&amp;L'!D11</f>
        <v>0.40566004068377287</v>
      </c>
      <c r="D12" s="45">
        <f>'Annual P&amp;L'!E11</f>
        <v>0.4010162465735107</v>
      </c>
      <c r="E12" s="45">
        <f>'Annual P&amp;L'!F11</f>
        <v>0.40637070888417387</v>
      </c>
      <c r="F12" s="45">
        <f>'Annual P&amp;L'!G11</f>
        <v>0.37517627094337819</v>
      </c>
      <c r="G12" s="45">
        <f>'Annual P&amp;L'!H11</f>
        <v>0.35461525263789995</v>
      </c>
      <c r="H12" s="45">
        <f>'Annual P&amp;L'!I11</f>
        <v>0.37702114427860695</v>
      </c>
      <c r="I12" s="45">
        <f>'Annual P&amp;L'!J11</f>
        <v>0.39072442791904771</v>
      </c>
      <c r="J12" s="45">
        <f>'Annual P&amp;L'!K11</f>
        <v>0.32600000000000001</v>
      </c>
      <c r="K12" s="45">
        <f>'Annual P&amp;L'!L11</f>
        <v>0.33700000000000002</v>
      </c>
      <c r="L12" s="45">
        <f>'Annual P&amp;L'!M11</f>
        <v>0.33800000000000002</v>
      </c>
      <c r="M12" s="49">
        <f>'Annual P&amp;L'!N11</f>
        <v>0.34300000000000003</v>
      </c>
      <c r="N12" s="49">
        <f>'Annual P&amp;L'!O11</f>
        <v>0.34699999999999998</v>
      </c>
      <c r="O12" s="49">
        <f>'Annual P&amp;L'!P11</f>
        <v>0.35</v>
      </c>
      <c r="P12" s="49">
        <f>'Annual P&amp;L'!Q11</f>
        <v>0.35299999999999998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53</v>
      </c>
      <c r="B13" s="19">
        <f>'Annual P&amp;L'!C14</f>
        <v>0.18049929453185259</v>
      </c>
      <c r="C13" s="19">
        <f>'Annual P&amp;L'!D14</f>
        <v>0.17108597123585881</v>
      </c>
      <c r="D13" s="19">
        <f>'Annual P&amp;L'!E14</f>
        <v>0.16758039713846359</v>
      </c>
      <c r="E13" s="19">
        <f>'Annual P&amp;L'!F14</f>
        <v>0.17640498340677874</v>
      </c>
      <c r="F13" s="19">
        <f>'Annual P&amp;L'!G14</f>
        <v>0.17287698080738068</v>
      </c>
      <c r="G13" s="19">
        <f>'Annual P&amp;L'!H14</f>
        <v>0.16717423007634896</v>
      </c>
      <c r="H13" s="19">
        <f>'Annual P&amp;L'!I14</f>
        <v>0.17131529850746269</v>
      </c>
      <c r="I13" s="19">
        <f>'Annual P&amp;L'!J14</f>
        <v>0.15979587253262795</v>
      </c>
      <c r="J13" s="19">
        <f>'Annual P&amp;L'!K14</f>
        <v>0.17599999999999999</v>
      </c>
      <c r="K13" s="19">
        <f>'Annual P&amp;L'!L14</f>
        <v>0.14299999999999999</v>
      </c>
      <c r="L13" s="19">
        <f>'Annual P&amp;L'!M14</f>
        <v>0.186</v>
      </c>
      <c r="M13" s="24">
        <f>'Annual P&amp;L'!N14</f>
        <v>0.20500000000000002</v>
      </c>
      <c r="N13" s="24">
        <f>'Annual P&amp;L'!O14</f>
        <v>0.21199999999999997</v>
      </c>
      <c r="O13" s="24">
        <f>'Annual P&amp;L'!P14</f>
        <v>0.21799999999999997</v>
      </c>
      <c r="P13" s="24">
        <f>'Annual P&amp;L'!Q14</f>
        <v>0.22299999999999995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29" t="s">
        <v>54</v>
      </c>
      <c r="B14" s="28">
        <f>'Annual P&amp;L'!C16</f>
        <v>4841.721881999998</v>
      </c>
      <c r="C14" s="28">
        <f>'Annual P&amp;L'!D16</f>
        <v>4794</v>
      </c>
      <c r="D14" s="28">
        <f>'Annual P&amp;L'!E16</f>
        <v>5013</v>
      </c>
      <c r="E14" s="28">
        <f>'Annual P&amp;L'!F16</f>
        <v>6485</v>
      </c>
      <c r="F14" s="28">
        <f>'Annual P&amp;L'!G16</f>
        <v>7233</v>
      </c>
      <c r="G14" s="28">
        <f>'Annual P&amp;L'!H16</f>
        <v>7795</v>
      </c>
      <c r="H14" s="28">
        <f>'Annual P&amp;L'!I16</f>
        <v>11019</v>
      </c>
      <c r="I14" s="28">
        <f>'Annual P&amp;L'!J16</f>
        <v>12807</v>
      </c>
      <c r="J14" s="28">
        <f>'Annual P&amp;L'!K16</f>
        <v>16155.039999999999</v>
      </c>
      <c r="K14" s="28">
        <f>'Annual P&amp;L'!L16</f>
        <v>17264.819</v>
      </c>
      <c r="L14" s="28">
        <f>'Annual P&amp;L'!M16</f>
        <v>30509.022000000001</v>
      </c>
      <c r="M14" s="30">
        <f>'Annual P&amp;L'!N16</f>
        <v>45476.231031174</v>
      </c>
      <c r="N14" s="30">
        <f>'Annual P&amp;L'!O16</f>
        <v>60530.207871274884</v>
      </c>
      <c r="O14" s="30">
        <f>'Annual P&amp;L'!P16</f>
        <v>78358.611515056327</v>
      </c>
      <c r="P14" s="30">
        <f>'Annual P&amp;L'!Q16</f>
        <v>99191.030331143207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55</v>
      </c>
      <c r="B15" s="19">
        <f>'Annual P&amp;L'!C20</f>
        <v>0.13944309317805476</v>
      </c>
      <c r="C15" s="19">
        <f>'Annual P&amp;L'!D20</f>
        <v>0.12551300810106705</v>
      </c>
      <c r="D15" s="19">
        <f>'Annual P&amp;L'!E20</f>
        <v>0.12499164270909942</v>
      </c>
      <c r="E15" s="19">
        <f>'Annual P&amp;L'!F20</f>
        <v>0.14245688482672325</v>
      </c>
      <c r="F15" s="19">
        <f>'Annual P&amp;L'!G20</f>
        <v>0.13152800019120917</v>
      </c>
      <c r="G15" s="19">
        <f>'Annual P&amp;L'!H20</f>
        <v>0.12779874753367076</v>
      </c>
      <c r="H15" s="19">
        <f>'Annual P&amp;L'!I20</f>
        <v>0.13599191542288558</v>
      </c>
      <c r="I15" s="19">
        <f>'Annual P&amp;L'!J20</f>
        <v>0.12754223542035784</v>
      </c>
      <c r="J15" s="19">
        <f>'Annual P&amp;L'!K20</f>
        <v>0.14129033663797799</v>
      </c>
      <c r="K15" s="19">
        <f>'Annual P&amp;L'!L20</f>
        <v>0.10758300547489087</v>
      </c>
      <c r="L15" s="19">
        <f>'Annual P&amp;L'!M20</f>
        <v>0.14442757594786224</v>
      </c>
      <c r="M15" s="24">
        <f>'Annual P&amp;L'!N20</f>
        <v>0.15</v>
      </c>
      <c r="N15" s="24">
        <f>'Annual P&amp;L'!O20</f>
        <v>0.15999999999999998</v>
      </c>
      <c r="O15" s="24">
        <f>'Annual P&amp;L'!P20</f>
        <v>0.16899999999999996</v>
      </c>
      <c r="P15" s="24">
        <f>'Annual P&amp;L'!Q20</f>
        <v>0.17699999999999994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29" t="s">
        <v>56</v>
      </c>
      <c r="B16" s="28">
        <f>'Annual P&amp;L'!C30</f>
        <v>2799.6307740000002</v>
      </c>
      <c r="C16" s="28">
        <f>'Annual P&amp;L'!D30</f>
        <v>2501</v>
      </c>
      <c r="D16" s="28">
        <f>'Annual P&amp;L'!E30</f>
        <v>2802</v>
      </c>
      <c r="E16" s="28">
        <f>'Annual P&amp;L'!F30</f>
        <v>4033</v>
      </c>
      <c r="F16" s="28">
        <f>'Annual P&amp;L'!G30</f>
        <v>4440</v>
      </c>
      <c r="G16" s="28">
        <f>'Annual P&amp;L'!H30</f>
        <v>4556</v>
      </c>
      <c r="H16" s="28">
        <f>'Annual P&amp;L'!I30</f>
        <v>6617</v>
      </c>
      <c r="I16" s="28">
        <f>'Annual P&amp;L'!J30</f>
        <v>6938</v>
      </c>
      <c r="J16" s="28">
        <f>'Annual P&amp;L'!K30</f>
        <v>8080</v>
      </c>
      <c r="K16" s="28">
        <f>'Annual P&amp;L'!L30</f>
        <v>8121</v>
      </c>
      <c r="L16" s="28">
        <f>'Annual P&amp;L'!M30</f>
        <v>15557</v>
      </c>
      <c r="M16" s="30">
        <f>'Annual P&amp;L'!N30</f>
        <v>24404.046955912047</v>
      </c>
      <c r="N16" s="30">
        <f>'Annual P&amp;L'!O30</f>
        <v>34476.305240093265</v>
      </c>
      <c r="O16" s="30">
        <f>'Annual P&amp;L'!P30</f>
        <v>47203.695012677847</v>
      </c>
      <c r="P16" s="30">
        <f>'Annual P&amp;L'!Q30</f>
        <v>61734.402961055457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57</v>
      </c>
      <c r="B17" s="20">
        <f>'Annual P&amp;L'!C35</f>
        <v>9.11</v>
      </c>
      <c r="C17" s="20">
        <f>'Annual P&amp;L'!D35</f>
        <v>8.1419999999999995</v>
      </c>
      <c r="D17" s="20">
        <f>'Annual P&amp;L'!E35</f>
        <v>9.0680000000000014</v>
      </c>
      <c r="E17" s="20">
        <f>'Annual P&amp;L'!F35</f>
        <v>12.946000000000002</v>
      </c>
      <c r="F17" s="20">
        <f>'Annual P&amp;L'!G35</f>
        <v>14.193999999999999</v>
      </c>
      <c r="G17" s="20">
        <f>'Annual P&amp;L'!H35</f>
        <v>14.658000000000001</v>
      </c>
      <c r="H17" s="20">
        <f>'Annual P&amp;L'!I35</f>
        <v>21.303999999999998</v>
      </c>
      <c r="I17" s="20">
        <f>'Annual P&amp;L'!J35</f>
        <v>22.306000000000001</v>
      </c>
      <c r="J17" s="20">
        <f>'Annual P&amp;L'!K35</f>
        <v>25.917999999999999</v>
      </c>
      <c r="K17" s="20">
        <f>'Annual P&amp;L'!L35</f>
        <v>24.41</v>
      </c>
      <c r="L17" s="20">
        <f>'Annual P&amp;L'!M35</f>
        <v>45.9</v>
      </c>
      <c r="M17" s="31">
        <f>'Annual P&amp;L'!N35</f>
        <v>57.421286955087169</v>
      </c>
      <c r="N17" s="31">
        <f>'Annual P&amp;L'!O35</f>
        <v>81.120718211984155</v>
      </c>
      <c r="O17" s="31">
        <f>'Annual P&amp;L'!P35</f>
        <v>111.06751767688905</v>
      </c>
      <c r="P17" s="31">
        <f>'Annual P&amp;L'!Q35</f>
        <v>145.2574187318952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29" t="s">
        <v>59</v>
      </c>
      <c r="B18" s="28">
        <f>'Annual Cash Flow'!C19</f>
        <v>3602.9215859999999</v>
      </c>
      <c r="C18" s="28">
        <f>'Annual Cash Flow'!D19</f>
        <v>4723</v>
      </c>
      <c r="D18" s="28">
        <f>'Annual Cash Flow'!E19</f>
        <v>3824</v>
      </c>
      <c r="E18" s="28">
        <f>'Annual Cash Flow'!F19</f>
        <v>4527</v>
      </c>
      <c r="F18" s="28">
        <f>'Annual Cash Flow'!G19</f>
        <v>2969</v>
      </c>
      <c r="G18" s="28">
        <f>'Annual Cash Flow'!H19</f>
        <v>7623</v>
      </c>
      <c r="H18" s="28">
        <f>'Annual Cash Flow'!I19</f>
        <v>7656</v>
      </c>
      <c r="I18" s="28">
        <f>'Annual Cash Flow'!J19</f>
        <v>9505</v>
      </c>
      <c r="J18" s="28">
        <f>'Annual Cash Flow'!K19</f>
        <v>9034</v>
      </c>
      <c r="K18" s="28">
        <f>'Annual Cash Flow'!L19</f>
        <v>12371</v>
      </c>
      <c r="L18" s="28">
        <f>'Annual Cash Flow'!M19</f>
        <v>17917</v>
      </c>
      <c r="M18" s="30">
        <f>'Annual Cash Flow'!N19</f>
        <v>24789.334963289901</v>
      </c>
      <c r="N18" s="30">
        <f>'Annual Cash Flow'!O19</f>
        <v>41518.649740332396</v>
      </c>
      <c r="O18" s="30">
        <f>'Annual Cash Flow'!P19</f>
        <v>53291.130057790557</v>
      </c>
      <c r="P18" s="30">
        <f>'Annual Cash Flow'!Q19</f>
        <v>67071.39738513164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60</v>
      </c>
      <c r="B19" s="18">
        <f>'Annual Cash Flow'!C44</f>
        <v>1993.8050479999999</v>
      </c>
      <c r="C19" s="18">
        <f>'Annual Cash Flow'!D44</f>
        <v>4723</v>
      </c>
      <c r="D19" s="18">
        <f>'Annual Cash Flow'!E44</f>
        <v>3824</v>
      </c>
      <c r="E19" s="18">
        <f>'Annual Cash Flow'!F44</f>
        <v>4527</v>
      </c>
      <c r="F19" s="18">
        <f>'Annual Cash Flow'!G44</f>
        <v>2969</v>
      </c>
      <c r="G19" s="18">
        <f>'Annual Cash Flow'!H44</f>
        <v>7623</v>
      </c>
      <c r="H19" s="18">
        <f>'Annual Cash Flow'!I44</f>
        <v>6115</v>
      </c>
      <c r="I19" s="18">
        <f>'Annual Cash Flow'!J44</f>
        <v>7923</v>
      </c>
      <c r="J19" s="18">
        <f>'Annual Cash Flow'!K44</f>
        <v>6379</v>
      </c>
      <c r="K19" s="18">
        <f>'Annual Cash Flow'!L44</f>
        <v>6227</v>
      </c>
      <c r="L19" s="18">
        <f>'Annual Cash Flow'!M44</f>
        <v>10492</v>
      </c>
      <c r="M19" s="25">
        <f>'Annual Cash Flow'!N44</f>
        <v>18287.6978723799</v>
      </c>
      <c r="N19" s="25">
        <f>'Annual Cash Flow'!O44</f>
        <v>32115.899003046976</v>
      </c>
      <c r="O19" s="25">
        <f>'Annual Cash Flow'!P44</f>
        <v>42202.64729622598</v>
      </c>
      <c r="P19" s="25">
        <f>'Annual Cash Flow'!Q44</f>
        <v>53358.351717231657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29" t="s">
        <v>61</v>
      </c>
      <c r="B20" s="28">
        <f>'Annual Cash Flow'!C41</f>
        <v>2878.627262</v>
      </c>
      <c r="C20" s="28">
        <f>'Annual Cash Flow'!D41</f>
        <v>3502</v>
      </c>
      <c r="D20" s="28">
        <f>'Annual Cash Flow'!E41</f>
        <v>4102</v>
      </c>
      <c r="E20" s="28">
        <f>'Annual Cash Flow'!F41</f>
        <v>5194</v>
      </c>
      <c r="F20" s="28">
        <f>'Annual Cash Flow'!G41</f>
        <v>8195</v>
      </c>
      <c r="G20" s="28">
        <f>'Annual Cash Flow'!H41</f>
        <v>7999</v>
      </c>
      <c r="H20" s="28">
        <f>'Annual Cash Flow'!I41</f>
        <v>4468</v>
      </c>
      <c r="I20" s="28">
        <f>'Annual Cash Flow'!J41</f>
        <v>5699</v>
      </c>
      <c r="J20" s="28">
        <f>'Annual Cash Flow'!K41</f>
        <v>3213</v>
      </c>
      <c r="K20" s="28">
        <f>'Annual Cash Flow'!L41</f>
        <v>7956</v>
      </c>
      <c r="L20" s="28">
        <f>'Annual Cash Flow'!M41</f>
        <v>10936</v>
      </c>
      <c r="M20" s="30">
        <f>'Annual Cash Flow'!N41</f>
        <v>13436.218905427551</v>
      </c>
      <c r="N20" s="30">
        <f>'Annual Cash Flow'!O41</f>
        <v>8327.861789081715</v>
      </c>
      <c r="O20" s="30">
        <f>'Annual Cash Flow'!P41</f>
        <v>3716.7486665003271</v>
      </c>
      <c r="P20" s="30">
        <f>'Annual Cash Flow'!Q41</f>
        <v>29969.931113009337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62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3">
        <f>'Acquisition &amp; Debt'!C17</f>
        <v>490</v>
      </c>
      <c r="N21" s="23">
        <f>'Acquisition &amp; Debt'!D17</f>
        <v>270</v>
      </c>
      <c r="O21" s="23">
        <f>'Acquisition &amp; Debt'!E17</f>
        <v>0</v>
      </c>
      <c r="P21" s="23">
        <f>'Acquisition &amp; Debt'!F17</f>
        <v>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29" t="s">
        <v>63</v>
      </c>
      <c r="B22" s="46">
        <f>'People &amp; AI'!C7</f>
        <v>9476</v>
      </c>
      <c r="C22" s="46">
        <f>'People &amp; AI'!D7</f>
        <v>8853</v>
      </c>
      <c r="D22" s="46">
        <f>'People &amp; AI'!E7</f>
        <v>9423</v>
      </c>
      <c r="E22" s="46">
        <f>'People &amp; AI'!F7</f>
        <v>10263</v>
      </c>
      <c r="F22" s="46">
        <f>'People &amp; AI'!G7</f>
        <v>11156</v>
      </c>
      <c r="G22" s="46">
        <f>'People &amp; AI'!H7</f>
        <v>12391</v>
      </c>
      <c r="H22" s="46">
        <f>'People &amp; AI'!I7</f>
        <v>22500</v>
      </c>
      <c r="I22" s="46">
        <f>'People &amp; AI'!J7</f>
        <v>23224</v>
      </c>
      <c r="J22" s="46">
        <f>'People &amp; AI'!K7</f>
        <v>24726</v>
      </c>
      <c r="K22" s="46">
        <f>'People &amp; AI'!L7</f>
        <v>33497</v>
      </c>
      <c r="L22" s="46">
        <f>'People &amp; AI'!M7</f>
        <v>35777</v>
      </c>
      <c r="M22" s="50">
        <f>'People &amp; AI'!N7</f>
        <v>42107.515634302224</v>
      </c>
      <c r="N22" s="50">
        <f>'People &amp; AI'!O7</f>
        <v>47522.970839848284</v>
      </c>
      <c r="O22" s="50">
        <f>'People &amp; AI'!P7</f>
        <v>53038.237378561083</v>
      </c>
      <c r="P22" s="50">
        <f>'People &amp; AI'!Q7</f>
        <v>58687.430964870444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65</v>
      </c>
      <c r="B23" s="22">
        <f>'People &amp; AI'!C10</f>
        <v>8743</v>
      </c>
      <c r="C23" s="22">
        <f>'People &amp; AI'!D10</f>
        <v>8066</v>
      </c>
      <c r="D23" s="22">
        <f>'People &amp; AI'!E10</f>
        <v>8588</v>
      </c>
      <c r="E23" s="22">
        <f>'People &amp; AI'!F10</f>
        <v>9363</v>
      </c>
      <c r="F23" s="22">
        <f>'People &amp; AI'!G10</f>
        <v>10274</v>
      </c>
      <c r="G23" s="22">
        <f>'People &amp; AI'!H10</f>
        <v>11469</v>
      </c>
      <c r="H23" s="22">
        <f>'People &amp; AI'!I10</f>
        <v>21294</v>
      </c>
      <c r="I23" s="22">
        <f>'People &amp; AI'!J10</f>
        <v>21815</v>
      </c>
      <c r="J23" s="22">
        <f>'People &amp; AI'!K10</f>
        <v>23243</v>
      </c>
      <c r="K23" s="22">
        <f>'People &amp; AI'!L10</f>
        <v>31354</v>
      </c>
      <c r="L23" s="22">
        <f>'People &amp; AI'!M10</f>
        <v>33643</v>
      </c>
      <c r="M23" s="26">
        <f>'People &amp; AI'!N10</f>
        <v>39595.91772604829</v>
      </c>
      <c r="N23" s="26">
        <f>'People &amp; AI'!O10</f>
        <v>44688.355870112522</v>
      </c>
      <c r="O23" s="26">
        <f>'People &amp; AI'!P10</f>
        <v>49874.651874861796</v>
      </c>
      <c r="P23" s="26">
        <f>'People &amp; AI'!Q10</f>
        <v>55186.886545857291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66</v>
      </c>
      <c r="B24" s="22">
        <f>'People &amp; AI'!C14</f>
        <v>0</v>
      </c>
      <c r="C24" s="22">
        <f>'People &amp; AI'!D14</f>
        <v>0</v>
      </c>
      <c r="D24" s="22">
        <f>'People &amp; AI'!E14</f>
        <v>0</v>
      </c>
      <c r="E24" s="22">
        <f>'People &amp; AI'!F14</f>
        <v>0</v>
      </c>
      <c r="F24" s="22">
        <f>'People &amp; AI'!G14</f>
        <v>0</v>
      </c>
      <c r="G24" s="22">
        <f>'People &amp; AI'!H14</f>
        <v>0</v>
      </c>
      <c r="H24" s="22">
        <f>'People &amp; AI'!I14</f>
        <v>0</v>
      </c>
      <c r="I24" s="22">
        <f>'People &amp; AI'!J14</f>
        <v>0</v>
      </c>
      <c r="J24" s="22">
        <f>'People &amp; AI'!K14</f>
        <v>0</v>
      </c>
      <c r="K24" s="22">
        <f>'People &amp; AI'!L14</f>
        <v>0</v>
      </c>
      <c r="L24" s="22">
        <f>'People &amp; AI'!M14</f>
        <v>71795</v>
      </c>
      <c r="M24" s="26">
        <f>'People &amp; AI'!N14</f>
        <v>81863.791980444192</v>
      </c>
      <c r="N24" s="26">
        <f>'People &amp; AI'!O14</f>
        <v>92283.848912500864</v>
      </c>
      <c r="O24" s="26">
        <f>'People &amp; AI'!P14</f>
        <v>102929.17626649399</v>
      </c>
      <c r="P24" s="26">
        <f>'People &amp; AI'!Q14</f>
        <v>113852.81594728859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29" t="s">
        <v>68</v>
      </c>
      <c r="B25" s="44">
        <f>'People &amp; AI'!C21</f>
        <v>0</v>
      </c>
      <c r="C25" s="44">
        <f>'People &amp; AI'!D21</f>
        <v>0</v>
      </c>
      <c r="D25" s="44">
        <f>'People &amp; AI'!E21</f>
        <v>0</v>
      </c>
      <c r="E25" s="44">
        <f>'People &amp; AI'!F21</f>
        <v>0</v>
      </c>
      <c r="F25" s="44">
        <f>'People &amp; AI'!G21</f>
        <v>0</v>
      </c>
      <c r="G25" s="44">
        <f>'People &amp; AI'!H21</f>
        <v>0</v>
      </c>
      <c r="H25" s="44">
        <f>'People &amp; AI'!I21</f>
        <v>0</v>
      </c>
      <c r="I25" s="44">
        <f>'People &amp; AI'!J21</f>
        <v>0</v>
      </c>
      <c r="J25" s="44">
        <f>'People &amp; AI'!K21</f>
        <v>0</v>
      </c>
      <c r="K25" s="44">
        <f>'People &amp; AI'!L21</f>
        <v>0</v>
      </c>
      <c r="L25" s="44">
        <f>'People &amp; AI'!M21</f>
        <v>0</v>
      </c>
      <c r="M25" s="48">
        <f>'People &amp; AI'!N21</f>
        <v>35.716999999999999</v>
      </c>
      <c r="N25" s="48">
        <f>'People &amp; AI'!O21</f>
        <v>69.796995237090002</v>
      </c>
      <c r="O25" s="48">
        <f>'People &amp; AI'!P21</f>
        <v>103.92513972789151</v>
      </c>
      <c r="P25" s="48">
        <f>'People &amp; AI'!Q21</f>
        <v>148.15445023090447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69</v>
      </c>
      <c r="B26" s="21">
        <f>'People &amp; AI'!C20</f>
        <v>0</v>
      </c>
      <c r="C26" s="21">
        <f>'People &amp; AI'!D20</f>
        <v>0</v>
      </c>
      <c r="D26" s="21">
        <f>'People &amp; AI'!E20</f>
        <v>0</v>
      </c>
      <c r="E26" s="21">
        <f>'People &amp; AI'!F20</f>
        <v>0</v>
      </c>
      <c r="F26" s="21">
        <f>'People &amp; AI'!G20</f>
        <v>0</v>
      </c>
      <c r="G26" s="21">
        <f>'People &amp; AI'!H20</f>
        <v>0</v>
      </c>
      <c r="H26" s="21">
        <f>'People &amp; AI'!I20</f>
        <v>0</v>
      </c>
      <c r="I26" s="21">
        <f>'People &amp; AI'!J20</f>
        <v>0</v>
      </c>
      <c r="J26" s="21">
        <f>'People &amp; AI'!K20</f>
        <v>0</v>
      </c>
      <c r="K26" s="21">
        <f>'People &amp; AI'!L20</f>
        <v>0</v>
      </c>
      <c r="L26" s="21">
        <f>'People &amp; AI'!M20</f>
        <v>0</v>
      </c>
      <c r="M26" s="23">
        <f>'People &amp; AI'!N20</f>
        <v>-10.179344999999998</v>
      </c>
      <c r="N26" s="23">
        <f>'People &amp; AI'!O20</f>
        <v>-13.028772444256802</v>
      </c>
      <c r="O26" s="23">
        <f>'People &amp; AI'!P20</f>
        <v>-13.064874708649219</v>
      </c>
      <c r="P26" s="23">
        <f>'People &amp; AI'!Q20</f>
        <v>-10.000425390586052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29" t="s">
        <v>70</v>
      </c>
      <c r="B27" s="47">
        <f>Valuation!C7</f>
        <v>99.339996337890625</v>
      </c>
      <c r="C27" s="47">
        <f>Valuation!D7</f>
        <v>87.120002746582031</v>
      </c>
      <c r="D27" s="47">
        <f>Valuation!E7</f>
        <v>173</v>
      </c>
      <c r="E27" s="47">
        <f>Valuation!F7</f>
        <v>266.79000854492188</v>
      </c>
      <c r="F27" s="47">
        <f>Valuation!G7</f>
        <v>229.55000305175781</v>
      </c>
      <c r="G27" s="47">
        <f>Valuation!H7</f>
        <v>585.3900146484375</v>
      </c>
      <c r="H27" s="47">
        <f>Valuation!I7</f>
        <v>891.5</v>
      </c>
      <c r="I27" s="47">
        <f>Valuation!J7</f>
        <v>762.82000732421875</v>
      </c>
      <c r="J27" s="47">
        <f>Valuation!K7</f>
        <v>1100.489990234375</v>
      </c>
      <c r="K27" s="47">
        <f>Valuation!L7</f>
        <v>1621.8399658203125</v>
      </c>
      <c r="L27" s="47">
        <f>Valuation!M7</f>
        <v>1114.699951171875</v>
      </c>
      <c r="M27" s="51">
        <f>Valuation!N7</f>
        <v>1981.5</v>
      </c>
      <c r="N27" s="51">
        <f>Valuation!O7</f>
        <v>1981.5</v>
      </c>
      <c r="O27" s="51">
        <f>Valuation!P7</f>
        <v>1981.5</v>
      </c>
      <c r="P27" s="51">
        <f>Valuation!Q7</f>
        <v>1981.5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71</v>
      </c>
      <c r="B28" s="32">
        <f>Valuation!C14</f>
        <v>10.904500146859565</v>
      </c>
      <c r="C28" s="32">
        <f>Valuation!D14</f>
        <v>10.700074029302632</v>
      </c>
      <c r="D28" s="32">
        <f>Valuation!E14</f>
        <v>19.07807675341861</v>
      </c>
      <c r="E28" s="32">
        <f>Valuation!F14</f>
        <v>20.607910439125742</v>
      </c>
      <c r="F28" s="32">
        <f>Valuation!G14</f>
        <v>16.172326550074526</v>
      </c>
      <c r="G28" s="32">
        <f>Valuation!H14</f>
        <v>39.936554417276398</v>
      </c>
      <c r="H28" s="32">
        <f>Valuation!I14</f>
        <v>41.846601577168613</v>
      </c>
      <c r="I28" s="32">
        <f>Valuation!J14</f>
        <v>34.197973967731492</v>
      </c>
      <c r="J28" s="32">
        <f>Valuation!K14</f>
        <v>42.460451818596148</v>
      </c>
      <c r="K28" s="32">
        <f>Valuation!L14</f>
        <v>66.44162088571538</v>
      </c>
      <c r="L28" s="32">
        <f>Valuation!M14</f>
        <v>24.28540198631536</v>
      </c>
      <c r="M28" s="33">
        <f>Valuation!N14</f>
        <v>34.508108492062476</v>
      </c>
      <c r="N28" s="33">
        <f>Valuation!O14</f>
        <v>24.426558882552747</v>
      </c>
      <c r="O28" s="33">
        <f>Valuation!P14</f>
        <v>17.840499557795653</v>
      </c>
      <c r="P28" s="33">
        <f>Valuation!Q14</f>
        <v>13.641299819992657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73</v>
      </c>
      <c r="B29" s="32">
        <f>Valuation!C16</f>
        <v>5.624117799799631</v>
      </c>
      <c r="C29" s="32">
        <f>Valuation!D16</f>
        <v>4.7475772105310572</v>
      </c>
      <c r="D29" s="32">
        <f>Valuation!E16</f>
        <v>9.8649054584238876</v>
      </c>
      <c r="E29" s="32">
        <f>Valuation!F16</f>
        <v>11.971581002466325</v>
      </c>
      <c r="F29" s="32">
        <f>Valuation!G16</f>
        <v>8.6850725677216793</v>
      </c>
      <c r="G29" s="32">
        <f>Valuation!H16</f>
        <v>22.30069813022595</v>
      </c>
      <c r="H29" s="32">
        <f>Valuation!I16</f>
        <v>25.039383123343743</v>
      </c>
      <c r="I29" s="32">
        <f>Valuation!J16</f>
        <v>18.339466181628886</v>
      </c>
      <c r="J29" s="32">
        <f>Valuation!K16</f>
        <v>21.41959727083665</v>
      </c>
      <c r="K29" s="32">
        <f>Valuation!L16</f>
        <v>31.361139853994107</v>
      </c>
      <c r="L29" s="32">
        <f>Valuation!M16</f>
        <v>12.261749940758772</v>
      </c>
      <c r="M29" s="33">
        <f>Valuation!N16</f>
        <v>19.326121141442659</v>
      </c>
      <c r="N29" s="33">
        <f>Valuation!O16</f>
        <v>14.274149223205349</v>
      </c>
      <c r="O29" s="33">
        <f>Valuation!P16</f>
        <v>10.766998056405361</v>
      </c>
      <c r="P29" s="33">
        <f>Valuation!Q16</f>
        <v>8.2507740234164366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29" t="s">
        <v>74</v>
      </c>
      <c r="B30" s="47">
        <f>Valuation!C32</f>
        <v>0</v>
      </c>
      <c r="C30" s="47">
        <f>Valuation!D32</f>
        <v>0</v>
      </c>
      <c r="D30" s="47">
        <f>Valuation!E32</f>
        <v>0</v>
      </c>
      <c r="E30" s="47">
        <f>Valuation!F32</f>
        <v>0</v>
      </c>
      <c r="F30" s="47">
        <f>Valuation!G32</f>
        <v>0</v>
      </c>
      <c r="G30" s="47">
        <f>Valuation!H32</f>
        <v>0</v>
      </c>
      <c r="H30" s="47">
        <f>Valuation!I32</f>
        <v>0</v>
      </c>
      <c r="I30" s="47">
        <f>Valuation!J32</f>
        <v>0</v>
      </c>
      <c r="J30" s="47">
        <f>Valuation!K32</f>
        <v>0</v>
      </c>
      <c r="K30" s="47">
        <f>Valuation!L32</f>
        <v>0</v>
      </c>
      <c r="L30" s="47">
        <f>Valuation!M32</f>
        <v>0</v>
      </c>
      <c r="M30" s="51">
        <f>Valuation!N32</f>
        <v>2302.0838514176858</v>
      </c>
      <c r="N30" s="51">
        <f>Valuation!O32</f>
        <v>2801.2504787605658</v>
      </c>
      <c r="O30" s="51">
        <f>Valuation!P32</f>
        <v>3353.8315642135781</v>
      </c>
      <c r="P30" s="51">
        <f>Valuation!Q32</f>
        <v>3981.1948092396919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75</v>
      </c>
      <c r="B31" s="19">
        <f>Valuation!C33</f>
        <v>0</v>
      </c>
      <c r="C31" s="19">
        <f>Valuation!D33</f>
        <v>0</v>
      </c>
      <c r="D31" s="19">
        <f>Valuation!E33</f>
        <v>0</v>
      </c>
      <c r="E31" s="19">
        <f>Valuation!F33</f>
        <v>0</v>
      </c>
      <c r="F31" s="19">
        <f>Valuation!G33</f>
        <v>0</v>
      </c>
      <c r="G31" s="19">
        <f>Valuation!H33</f>
        <v>0</v>
      </c>
      <c r="H31" s="19">
        <f>Valuation!I33</f>
        <v>0</v>
      </c>
      <c r="I31" s="19">
        <f>Valuation!J33</f>
        <v>0</v>
      </c>
      <c r="J31" s="19">
        <f>Valuation!K33</f>
        <v>0</v>
      </c>
      <c r="K31" s="19">
        <f>Valuation!L33</f>
        <v>0</v>
      </c>
      <c r="L31" s="19">
        <f>Valuation!M33</f>
        <v>0</v>
      </c>
      <c r="M31" s="24">
        <f>Valuation!N33</f>
        <v>0.16178846904753263</v>
      </c>
      <c r="N31" s="24">
        <f>Valuation!O33</f>
        <v>0.41370198272044711</v>
      </c>
      <c r="O31" s="24">
        <f>Valuation!P33</f>
        <v>0.69257207378934038</v>
      </c>
      <c r="P31" s="24">
        <f>Valuation!Q33</f>
        <v>1.009182341276655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76</v>
      </c>
      <c r="B32" s="1">
        <f>Valuation!C34</f>
        <v>0</v>
      </c>
      <c r="C32" s="1">
        <f>Valuation!D34</f>
        <v>0</v>
      </c>
      <c r="D32" s="1">
        <f>Valuation!E34</f>
        <v>0</v>
      </c>
      <c r="E32" s="1">
        <f>Valuation!F34</f>
        <v>0</v>
      </c>
      <c r="F32" s="1">
        <f>Valuation!G34</f>
        <v>0</v>
      </c>
      <c r="G32" s="1">
        <f>Valuation!H34</f>
        <v>0</v>
      </c>
      <c r="H32" s="1">
        <f>Valuation!I34</f>
        <v>0</v>
      </c>
      <c r="I32" s="1">
        <f>Valuation!J34</f>
        <v>0</v>
      </c>
      <c r="J32" s="1">
        <f>Valuation!K34</f>
        <v>0</v>
      </c>
      <c r="K32" s="1">
        <f>Valuation!L34</f>
        <v>0</v>
      </c>
      <c r="L32" s="1">
        <f>Valuation!M34</f>
        <v>0</v>
      </c>
      <c r="M32" s="17" t="str">
        <f>Valuation!N34</f>
        <v>OUTPERFORM</v>
      </c>
      <c r="N32" s="17" t="str">
        <f>Valuation!O34</f>
        <v>OUTPERFORM</v>
      </c>
      <c r="O32" s="17" t="str">
        <f>Valuation!P34</f>
        <v>OUTPERFORM</v>
      </c>
      <c r="P32" s="17" t="str">
        <f>Valuation!Q34</f>
        <v>OUTPERFORM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7"/>
      <c r="N33" s="17"/>
      <c r="O33" s="17"/>
      <c r="P33" s="17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7"/>
      <c r="N34" s="17"/>
      <c r="O34" s="17"/>
      <c r="P34" s="17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7"/>
      <c r="N35" s="17"/>
      <c r="O35" s="17"/>
      <c r="P35" s="17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7"/>
      <c r="N36" s="17"/>
      <c r="O36" s="17"/>
      <c r="P36" s="17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7"/>
      <c r="N37" s="17"/>
      <c r="O37" s="17"/>
      <c r="P37" s="17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7"/>
      <c r="N38" s="17"/>
      <c r="O38" s="17"/>
      <c r="P38" s="17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7"/>
      <c r="N39" s="17"/>
      <c r="O39" s="17"/>
      <c r="P39" s="17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7"/>
      <c r="N40" s="17"/>
      <c r="O40" s="17"/>
      <c r="P40" s="17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7"/>
      <c r="N41" s="17"/>
      <c r="O41" s="17"/>
      <c r="P41" s="17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7"/>
      <c r="N42" s="17"/>
      <c r="O42" s="17"/>
      <c r="P42" s="17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7"/>
      <c r="N43" s="17"/>
      <c r="O43" s="17"/>
      <c r="P43" s="17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7"/>
      <c r="N44" s="17"/>
      <c r="O44" s="17"/>
      <c r="P44" s="17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7"/>
      <c r="N45" s="17"/>
      <c r="O45" s="17"/>
      <c r="P45" s="17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7"/>
      <c r="N46" s="17"/>
      <c r="O46" s="17"/>
      <c r="P46" s="17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7"/>
      <c r="N47" s="17"/>
      <c r="O47" s="17"/>
      <c r="P47" s="17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7"/>
      <c r="N48" s="17"/>
      <c r="O48" s="17"/>
      <c r="P48" s="17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7"/>
      <c r="N49" s="17"/>
      <c r="O49" s="17"/>
      <c r="P49" s="17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7"/>
      <c r="N50" s="17"/>
      <c r="O50" s="17"/>
      <c r="P50" s="17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7"/>
      <c r="N51" s="17"/>
      <c r="O51" s="17"/>
      <c r="P51" s="17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7"/>
      <c r="N52" s="17"/>
      <c r="O52" s="17"/>
      <c r="P52" s="17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7"/>
      <c r="N53" s="17"/>
      <c r="O53" s="17"/>
      <c r="P53" s="17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7"/>
      <c r="N54" s="17"/>
      <c r="O54" s="17"/>
      <c r="P54" s="17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7"/>
      <c r="N55" s="17"/>
      <c r="O55" s="17"/>
      <c r="P55" s="17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7"/>
      <c r="N56" s="17"/>
      <c r="O56" s="17"/>
      <c r="P56" s="17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7"/>
      <c r="N57" s="17"/>
      <c r="O57" s="17"/>
      <c r="P57" s="17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7"/>
      <c r="N58" s="17"/>
      <c r="O58" s="17"/>
      <c r="P58" s="17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"/>
      <c r="N59" s="17"/>
      <c r="O59" s="17"/>
      <c r="P59" s="17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7"/>
      <c r="N60" s="17"/>
      <c r="O60" s="17"/>
      <c r="P60" s="17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7"/>
      <c r="N61" s="17"/>
      <c r="O61" s="17"/>
      <c r="P61" s="17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7"/>
      <c r="N62" s="17"/>
      <c r="O62" s="17"/>
      <c r="P62" s="17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7"/>
      <c r="N63" s="17"/>
      <c r="O63" s="17"/>
      <c r="P63" s="17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7"/>
      <c r="N64" s="17"/>
      <c r="O64" s="17"/>
      <c r="P64" s="17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7"/>
      <c r="N65" s="17"/>
      <c r="O65" s="17"/>
      <c r="P65" s="17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7"/>
      <c r="N66" s="17"/>
      <c r="O66" s="17"/>
      <c r="P66" s="17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7"/>
      <c r="N67" s="17"/>
      <c r="O67" s="17"/>
      <c r="P67" s="17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7"/>
      <c r="N68" s="17"/>
      <c r="O68" s="17"/>
      <c r="P68" s="17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7"/>
      <c r="N69" s="17"/>
      <c r="O69" s="17"/>
      <c r="P69" s="17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7"/>
      <c r="N70" s="17"/>
      <c r="O70" s="17"/>
      <c r="P70" s="17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7"/>
      <c r="N71" s="17"/>
      <c r="O71" s="17"/>
      <c r="P71" s="17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7"/>
      <c r="N72" s="17"/>
      <c r="O72" s="17"/>
      <c r="P72" s="17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7"/>
      <c r="N73" s="17"/>
      <c r="O73" s="17"/>
      <c r="P73" s="17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7"/>
      <c r="N74" s="17"/>
      <c r="O74" s="17"/>
      <c r="P74" s="17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7"/>
      <c r="N75" s="17"/>
      <c r="O75" s="17"/>
      <c r="P75" s="17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7"/>
      <c r="N76" s="17"/>
      <c r="O76" s="17"/>
      <c r="P76" s="17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7"/>
      <c r="N77" s="17"/>
      <c r="O77" s="17"/>
      <c r="P77" s="17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7"/>
      <c r="N78" s="17"/>
      <c r="O78" s="17"/>
      <c r="P78" s="17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7"/>
      <c r="N79" s="17"/>
      <c r="O79" s="17"/>
      <c r="P79" s="17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7"/>
      <c r="N80" s="17"/>
      <c r="O80" s="17"/>
      <c r="P80" s="17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7"/>
      <c r="N81" s="17"/>
      <c r="O81" s="17"/>
      <c r="P81" s="17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7"/>
      <c r="N82" s="17"/>
      <c r="O82" s="17"/>
      <c r="P82" s="17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7"/>
      <c r="N83" s="17"/>
      <c r="O83" s="17"/>
      <c r="P83" s="17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7"/>
      <c r="N84" s="17"/>
      <c r="O84" s="17"/>
      <c r="P84" s="17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"/>
      <c r="N85" s="17"/>
      <c r="O85" s="17"/>
      <c r="P85" s="17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7"/>
      <c r="N86" s="17"/>
      <c r="O86" s="17"/>
      <c r="P86" s="17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7"/>
      <c r="N87" s="17"/>
      <c r="O87" s="17"/>
      <c r="P87" s="17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7"/>
      <c r="N88" s="17"/>
      <c r="O88" s="17"/>
      <c r="P88" s="17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7"/>
      <c r="N89" s="17"/>
      <c r="O89" s="17"/>
      <c r="P89" s="17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7"/>
      <c r="N90" s="17"/>
      <c r="O90" s="17"/>
      <c r="P90" s="17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7"/>
      <c r="N91" s="17"/>
      <c r="O91" s="17"/>
      <c r="P91" s="17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7"/>
      <c r="N92" s="17"/>
      <c r="O92" s="17"/>
      <c r="P92" s="17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7"/>
      <c r="N93" s="17"/>
      <c r="O93" s="17"/>
      <c r="P93" s="17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7"/>
      <c r="N94" s="17"/>
      <c r="O94" s="17"/>
      <c r="P94" s="17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7"/>
      <c r="N95" s="17"/>
      <c r="O95" s="17"/>
      <c r="P95" s="17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7"/>
      <c r="N96" s="17"/>
      <c r="O96" s="17"/>
      <c r="P96" s="17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7"/>
      <c r="N97" s="17"/>
      <c r="O97" s="17"/>
      <c r="P97" s="17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7"/>
      <c r="N98" s="17"/>
      <c r="O98" s="17"/>
      <c r="P98" s="17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7"/>
      <c r="N99" s="17"/>
      <c r="O99" s="17"/>
      <c r="P99" s="17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7"/>
      <c r="N100" s="17"/>
      <c r="O100" s="17"/>
      <c r="P100" s="17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7"/>
      <c r="N101" s="17"/>
      <c r="O101" s="17"/>
      <c r="P101" s="17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7"/>
      <c r="N102" s="17"/>
      <c r="O102" s="17"/>
      <c r="P102" s="17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7"/>
      <c r="N103" s="17"/>
      <c r="O103" s="17"/>
      <c r="P103" s="17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7"/>
      <c r="N104" s="17"/>
      <c r="O104" s="17"/>
      <c r="P104" s="17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7"/>
      <c r="N105" s="17"/>
      <c r="O105" s="17"/>
      <c r="P105" s="17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7"/>
      <c r="N106" s="17"/>
      <c r="O106" s="17"/>
      <c r="P106" s="17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7"/>
      <c r="N107" s="17"/>
      <c r="O107" s="17"/>
      <c r="P107" s="17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7"/>
      <c r="N108" s="17"/>
      <c r="O108" s="17"/>
      <c r="P108" s="17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7"/>
      <c r="N109" s="17"/>
      <c r="O109" s="17"/>
      <c r="P109" s="17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7"/>
      <c r="N110" s="17"/>
      <c r="O110" s="17"/>
      <c r="P110" s="17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7"/>
      <c r="N111" s="17"/>
      <c r="O111" s="17"/>
      <c r="P111" s="17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7"/>
      <c r="N112" s="17"/>
      <c r="O112" s="17"/>
      <c r="P112" s="17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7"/>
      <c r="N113" s="17"/>
      <c r="O113" s="17"/>
      <c r="P113" s="17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7"/>
      <c r="N114" s="17"/>
      <c r="O114" s="17"/>
      <c r="P114" s="17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7"/>
      <c r="N115" s="17"/>
      <c r="O115" s="17"/>
      <c r="P115" s="17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7"/>
      <c r="N116" s="17"/>
      <c r="O116" s="17"/>
      <c r="P116" s="17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7"/>
      <c r="N117" s="17"/>
      <c r="O117" s="17"/>
      <c r="P117" s="17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7"/>
      <c r="N118" s="17"/>
      <c r="O118" s="17"/>
      <c r="P118" s="17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7"/>
      <c r="N119" s="17"/>
      <c r="O119" s="17"/>
      <c r="P119" s="17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7"/>
      <c r="N120" s="17"/>
      <c r="O120" s="17"/>
      <c r="P120" s="17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7"/>
      <c r="N121" s="17"/>
      <c r="O121" s="17"/>
      <c r="P121" s="17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7"/>
      <c r="N122" s="17"/>
      <c r="O122" s="17"/>
      <c r="P122" s="17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7"/>
      <c r="N123" s="17"/>
      <c r="O123" s="17"/>
      <c r="P123" s="17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7"/>
      <c r="N124" s="17"/>
      <c r="O124" s="17"/>
      <c r="P124" s="17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7"/>
      <c r="N125" s="17"/>
      <c r="O125" s="17"/>
      <c r="P125" s="17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7"/>
      <c r="N126" s="17"/>
      <c r="O126" s="17"/>
      <c r="P126" s="17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7"/>
      <c r="N127" s="17"/>
      <c r="O127" s="17"/>
      <c r="P127" s="17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"/>
      <c r="N128" s="17"/>
      <c r="O128" s="17"/>
      <c r="P128" s="17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"/>
      <c r="N129" s="17"/>
      <c r="O129" s="17"/>
      <c r="P129" s="17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"/>
      <c r="N130" s="17"/>
      <c r="O130" s="17"/>
      <c r="P130" s="17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7"/>
      <c r="N131" s="17"/>
      <c r="O131" s="17"/>
      <c r="P131" s="17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7"/>
      <c r="N132" s="17"/>
      <c r="O132" s="17"/>
      <c r="P132" s="17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7"/>
      <c r="N133" s="17"/>
      <c r="O133" s="17"/>
      <c r="P133" s="17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7"/>
      <c r="N134" s="17"/>
      <c r="O134" s="17"/>
      <c r="P134" s="17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7"/>
      <c r="N135" s="17"/>
      <c r="O135" s="17"/>
      <c r="P135" s="17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7"/>
      <c r="N136" s="17"/>
      <c r="O136" s="17"/>
      <c r="P136" s="17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7"/>
      <c r="N137" s="17"/>
      <c r="O137" s="17"/>
      <c r="P137" s="17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7"/>
      <c r="N138" s="17"/>
      <c r="O138" s="17"/>
      <c r="P138" s="17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7"/>
      <c r="N139" s="17"/>
      <c r="O139" s="17"/>
      <c r="P139" s="17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7"/>
      <c r="N140" s="17"/>
      <c r="O140" s="17"/>
      <c r="P140" s="17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7"/>
      <c r="N141" s="17"/>
      <c r="O141" s="17"/>
      <c r="P141" s="17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7"/>
      <c r="N142" s="17"/>
      <c r="O142" s="17"/>
      <c r="P142" s="17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"/>
      <c r="N143" s="17"/>
      <c r="O143" s="17"/>
      <c r="P143" s="17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"/>
      <c r="N144" s="17"/>
      <c r="O144" s="17"/>
      <c r="P144" s="17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"/>
      <c r="N145" s="17"/>
      <c r="O145" s="17"/>
      <c r="P145" s="17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7"/>
      <c r="N146" s="17"/>
      <c r="O146" s="17"/>
      <c r="P146" s="17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7"/>
      <c r="N147" s="17"/>
      <c r="O147" s="17"/>
      <c r="P147" s="17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7"/>
      <c r="N148" s="17"/>
      <c r="O148" s="17"/>
      <c r="P148" s="17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7"/>
      <c r="N149" s="17"/>
      <c r="O149" s="17"/>
      <c r="P149" s="17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7"/>
      <c r="N150" s="17"/>
      <c r="O150" s="17"/>
      <c r="P150" s="17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7"/>
      <c r="N151" s="17"/>
      <c r="O151" s="17"/>
      <c r="P151" s="17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7"/>
      <c r="N152" s="17"/>
      <c r="O152" s="17"/>
      <c r="P152" s="17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7"/>
      <c r="N153" s="17"/>
      <c r="O153" s="17"/>
      <c r="P153" s="17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7"/>
      <c r="N154" s="17"/>
      <c r="O154" s="17"/>
      <c r="P154" s="17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7"/>
      <c r="N155" s="17"/>
      <c r="O155" s="17"/>
      <c r="P155" s="17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7"/>
      <c r="N156" s="17"/>
      <c r="O156" s="17"/>
      <c r="P156" s="17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7"/>
      <c r="N157" s="17"/>
      <c r="O157" s="17"/>
      <c r="P157" s="17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7"/>
      <c r="N158" s="17"/>
      <c r="O158" s="17"/>
      <c r="P158" s="17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7"/>
      <c r="N159" s="17"/>
      <c r="O159" s="17"/>
      <c r="P159" s="17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7"/>
      <c r="N160" s="17"/>
      <c r="O160" s="17"/>
      <c r="P160" s="17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7"/>
      <c r="N161" s="17"/>
      <c r="O161" s="17"/>
      <c r="P161" s="17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7"/>
      <c r="N162" s="17"/>
      <c r="O162" s="17"/>
      <c r="P162" s="17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7"/>
      <c r="N163" s="17"/>
      <c r="O163" s="17"/>
      <c r="P163" s="17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7"/>
      <c r="N164" s="17"/>
      <c r="O164" s="17"/>
      <c r="P164" s="17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7"/>
      <c r="N165" s="17"/>
      <c r="O165" s="17"/>
      <c r="P165" s="17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7"/>
      <c r="N166" s="17"/>
      <c r="O166" s="17"/>
      <c r="P166" s="17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7"/>
      <c r="N167" s="17"/>
      <c r="O167" s="17"/>
      <c r="P167" s="17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7"/>
      <c r="N168" s="17"/>
      <c r="O168" s="17"/>
      <c r="P168" s="17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7"/>
      <c r="N169" s="17"/>
      <c r="O169" s="17"/>
      <c r="P169" s="17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7"/>
      <c r="N170" s="17"/>
      <c r="O170" s="17"/>
      <c r="P170" s="17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7"/>
      <c r="N171" s="17"/>
      <c r="O171" s="17"/>
      <c r="P171" s="17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7"/>
      <c r="N172" s="17"/>
      <c r="O172" s="17"/>
      <c r="P172" s="17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7"/>
      <c r="N173" s="17"/>
      <c r="O173" s="17"/>
      <c r="P173" s="17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7"/>
      <c r="N174" s="17"/>
      <c r="O174" s="17"/>
      <c r="P174" s="17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7"/>
      <c r="N175" s="17"/>
      <c r="O175" s="17"/>
      <c r="P175" s="17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7"/>
      <c r="N176" s="17"/>
      <c r="O176" s="17"/>
      <c r="P176" s="17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7"/>
      <c r="N177" s="17"/>
      <c r="O177" s="17"/>
      <c r="P177" s="17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7"/>
      <c r="N178" s="17"/>
      <c r="O178" s="17"/>
      <c r="P178" s="17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7"/>
      <c r="N179" s="17"/>
      <c r="O179" s="17"/>
      <c r="P179" s="17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7"/>
      <c r="N180" s="17"/>
      <c r="O180" s="17"/>
      <c r="P180" s="17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7"/>
      <c r="N181" s="17"/>
      <c r="O181" s="17"/>
      <c r="P181" s="17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7"/>
      <c r="N182" s="17"/>
      <c r="O182" s="17"/>
      <c r="P182" s="17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7"/>
      <c r="N183" s="17"/>
      <c r="O183" s="17"/>
      <c r="P183" s="17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7"/>
      <c r="N184" s="17"/>
      <c r="O184" s="17"/>
      <c r="P184" s="17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7"/>
      <c r="N185" s="17"/>
      <c r="O185" s="17"/>
      <c r="P185" s="17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7"/>
      <c r="N186" s="17"/>
      <c r="O186" s="17"/>
      <c r="P186" s="17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7"/>
      <c r="N187" s="17"/>
      <c r="O187" s="17"/>
      <c r="P187" s="17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7"/>
      <c r="N188" s="17"/>
      <c r="O188" s="17"/>
      <c r="P188" s="17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7"/>
      <c r="N189" s="17"/>
      <c r="O189" s="17"/>
      <c r="P189" s="17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7"/>
      <c r="N190" s="17"/>
      <c r="O190" s="17"/>
      <c r="P190" s="17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7"/>
      <c r="N191" s="17"/>
      <c r="O191" s="17"/>
      <c r="P191" s="17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7"/>
      <c r="N192" s="17"/>
      <c r="O192" s="17"/>
      <c r="P192" s="17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7"/>
      <c r="N193" s="17"/>
      <c r="O193" s="17"/>
      <c r="P193" s="17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7"/>
      <c r="N194" s="17"/>
      <c r="O194" s="17"/>
      <c r="P194" s="17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7"/>
      <c r="N195" s="17"/>
      <c r="O195" s="17"/>
      <c r="P195" s="17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7"/>
      <c r="N196" s="17"/>
      <c r="O196" s="17"/>
      <c r="P196" s="17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7"/>
      <c r="N197" s="17"/>
      <c r="O197" s="17"/>
      <c r="P197" s="17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7"/>
      <c r="N198" s="17"/>
      <c r="O198" s="17"/>
      <c r="P198" s="17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7"/>
      <c r="N199" s="17"/>
      <c r="O199" s="17"/>
      <c r="P199" s="17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7"/>
      <c r="N200" s="17"/>
      <c r="O200" s="17"/>
      <c r="P200" s="17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7"/>
      <c r="N201" s="17"/>
      <c r="O201" s="17"/>
      <c r="P201" s="17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7"/>
      <c r="N202" s="17"/>
      <c r="O202" s="17"/>
      <c r="P202" s="17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7"/>
      <c r="N203" s="17"/>
      <c r="O203" s="17"/>
      <c r="P203" s="17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7"/>
      <c r="N204" s="17"/>
      <c r="O204" s="17"/>
      <c r="P204" s="17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7"/>
      <c r="N205" s="17"/>
      <c r="O205" s="17"/>
      <c r="P205" s="17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7"/>
      <c r="N206" s="17"/>
      <c r="O206" s="17"/>
      <c r="P206" s="17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7"/>
      <c r="N207" s="17"/>
      <c r="O207" s="17"/>
      <c r="P207" s="17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7"/>
      <c r="N208" s="17"/>
      <c r="O208" s="17"/>
      <c r="P208" s="17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7"/>
      <c r="N209" s="17"/>
      <c r="O209" s="17"/>
      <c r="P209" s="17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7"/>
      <c r="N210" s="17"/>
      <c r="O210" s="17"/>
      <c r="P210" s="17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7"/>
      <c r="N211" s="17"/>
      <c r="O211" s="17"/>
      <c r="P211" s="17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7"/>
      <c r="N212" s="17"/>
      <c r="O212" s="17"/>
      <c r="P212" s="17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7"/>
      <c r="N213" s="17"/>
      <c r="O213" s="17"/>
      <c r="P213" s="17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7"/>
      <c r="N214" s="17"/>
      <c r="O214" s="17"/>
      <c r="P214" s="17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7"/>
      <c r="N215" s="17"/>
      <c r="O215" s="17"/>
      <c r="P215" s="17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7"/>
      <c r="N216" s="17"/>
      <c r="O216" s="17"/>
      <c r="P216" s="17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7"/>
      <c r="N217" s="17"/>
      <c r="O217" s="17"/>
      <c r="P217" s="17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7"/>
      <c r="N218" s="17"/>
      <c r="O218" s="17"/>
      <c r="P218" s="17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7"/>
      <c r="N219" s="17"/>
      <c r="O219" s="17"/>
      <c r="P219" s="17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7"/>
      <c r="N220" s="17"/>
      <c r="O220" s="17"/>
      <c r="P220" s="17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7"/>
      <c r="N221" s="17"/>
      <c r="O221" s="17"/>
      <c r="P221" s="17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7"/>
      <c r="N222" s="17"/>
      <c r="O222" s="17"/>
      <c r="P222" s="17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7"/>
      <c r="N223" s="17"/>
      <c r="O223" s="17"/>
      <c r="P223" s="17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7"/>
      <c r="N224" s="17"/>
      <c r="O224" s="17"/>
      <c r="P224" s="17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7"/>
      <c r="N225" s="17"/>
      <c r="O225" s="17"/>
      <c r="P225" s="17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7"/>
      <c r="N226" s="17"/>
      <c r="O226" s="17"/>
      <c r="P226" s="17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7"/>
      <c r="N227" s="17"/>
      <c r="O227" s="17"/>
      <c r="P227" s="17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7"/>
      <c r="N228" s="17"/>
      <c r="O228" s="17"/>
      <c r="P228" s="17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7"/>
      <c r="N229" s="17"/>
      <c r="O229" s="17"/>
      <c r="P229" s="17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7"/>
      <c r="N230" s="17"/>
      <c r="O230" s="17"/>
      <c r="P230" s="17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</sheetData>
  <mergeCells count="2">
    <mergeCell ref="A1:P1"/>
    <mergeCell ref="A2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60"/>
  <sheetViews>
    <sheetView showGridLines="0" workbookViewId="0"/>
  </sheetViews>
  <sheetFormatPr defaultRowHeight="13.8"/>
  <cols>
    <col min="1" max="1" width="8" customWidth="1"/>
    <col min="2" max="2" width="29" customWidth="1"/>
    <col min="3" max="3" width="15" customWidth="1"/>
    <col min="4" max="4" width="68" customWidth="1"/>
    <col min="5" max="5" width="37" customWidth="1"/>
    <col min="6" max="6" width="14" customWidth="1"/>
    <col min="7" max="7" width="55" customWidth="1"/>
  </cols>
  <sheetData>
    <row r="1" spans="1:47" ht="25.95" customHeight="1">
      <c r="A1" s="59" t="s">
        <v>78</v>
      </c>
      <c r="B1" s="59"/>
      <c r="C1" s="59"/>
      <c r="D1" s="59"/>
      <c r="E1" s="59"/>
      <c r="F1" s="59"/>
      <c r="G1" s="5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60" t="s">
        <v>79</v>
      </c>
      <c r="B2" s="60"/>
      <c r="C2" s="60"/>
      <c r="D2" s="60"/>
      <c r="E2" s="60"/>
      <c r="F2" s="60"/>
      <c r="G2" s="6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80</v>
      </c>
      <c r="B5" s="4" t="s">
        <v>81</v>
      </c>
      <c r="C5" s="4" t="s">
        <v>29</v>
      </c>
      <c r="D5" s="4" t="s">
        <v>82</v>
      </c>
      <c r="E5" s="4" t="s">
        <v>83</v>
      </c>
      <c r="F5" s="4" t="s">
        <v>84</v>
      </c>
      <c r="G5" s="4" t="s">
        <v>85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37.950000000000003" customHeight="1">
      <c r="A6" s="3" t="s">
        <v>86</v>
      </c>
      <c r="B6" s="3" t="s">
        <v>87</v>
      </c>
      <c r="C6" s="3" t="s">
        <v>46</v>
      </c>
      <c r="D6" s="3" t="s">
        <v>88</v>
      </c>
      <c r="E6" s="3" t="s">
        <v>89</v>
      </c>
      <c r="F6" s="3" t="s">
        <v>90</v>
      </c>
      <c r="G6" s="3" t="s">
        <v>91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37.950000000000003" customHeight="1">
      <c r="A7" s="3" t="s">
        <v>92</v>
      </c>
      <c r="B7" s="3" t="s">
        <v>93</v>
      </c>
      <c r="C7" s="3" t="s">
        <v>94</v>
      </c>
      <c r="D7" s="3" t="s">
        <v>95</v>
      </c>
      <c r="E7" s="3" t="s">
        <v>96</v>
      </c>
      <c r="F7" s="3" t="s">
        <v>90</v>
      </c>
      <c r="G7" s="3" t="s">
        <v>97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37.950000000000003" customHeight="1">
      <c r="A8" s="3" t="s">
        <v>98</v>
      </c>
      <c r="B8" s="3" t="s">
        <v>99</v>
      </c>
      <c r="C8" s="3" t="s">
        <v>100</v>
      </c>
      <c r="D8" s="3" t="s">
        <v>101</v>
      </c>
      <c r="E8" s="3" t="s">
        <v>102</v>
      </c>
      <c r="F8" s="3" t="s">
        <v>90</v>
      </c>
      <c r="G8" s="3" t="s">
        <v>103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37.950000000000003" customHeight="1">
      <c r="A9" s="3" t="s">
        <v>104</v>
      </c>
      <c r="B9" s="3" t="s">
        <v>105</v>
      </c>
      <c r="C9" s="3" t="s">
        <v>100</v>
      </c>
      <c r="D9" s="3" t="s">
        <v>106</v>
      </c>
      <c r="E9" s="3" t="s">
        <v>107</v>
      </c>
      <c r="F9" s="3" t="s">
        <v>90</v>
      </c>
      <c r="G9" s="3" t="s">
        <v>108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37.950000000000003" customHeight="1">
      <c r="A10" s="3" t="s">
        <v>109</v>
      </c>
      <c r="B10" s="3" t="s">
        <v>110</v>
      </c>
      <c r="C10" s="3" t="s">
        <v>46</v>
      </c>
      <c r="D10" s="3" t="s">
        <v>95</v>
      </c>
      <c r="E10" s="3" t="s">
        <v>111</v>
      </c>
      <c r="F10" s="3" t="s">
        <v>90</v>
      </c>
      <c r="G10" s="3" t="s">
        <v>112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37.950000000000003" customHeight="1">
      <c r="A11" s="3" t="s">
        <v>113</v>
      </c>
      <c r="B11" s="3" t="s">
        <v>114</v>
      </c>
      <c r="C11" s="3" t="s">
        <v>58</v>
      </c>
      <c r="D11" s="3" t="s">
        <v>115</v>
      </c>
      <c r="E11" s="3" t="s">
        <v>116</v>
      </c>
      <c r="F11" s="3" t="s">
        <v>90</v>
      </c>
      <c r="G11" s="3" t="s">
        <v>117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37.950000000000003" customHeight="1">
      <c r="A12" s="3" t="s">
        <v>118</v>
      </c>
      <c r="B12" s="3" t="s">
        <v>119</v>
      </c>
      <c r="C12" s="3" t="s">
        <v>120</v>
      </c>
      <c r="D12" s="3" t="s">
        <v>120</v>
      </c>
      <c r="E12" s="3" t="s">
        <v>121</v>
      </c>
      <c r="F12" s="3" t="s">
        <v>122</v>
      </c>
      <c r="G12" s="3" t="s">
        <v>123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37.950000000000003" customHeight="1">
      <c r="A13" s="3" t="s">
        <v>124</v>
      </c>
      <c r="B13" s="3" t="s">
        <v>125</v>
      </c>
      <c r="C13" s="3" t="s">
        <v>46</v>
      </c>
      <c r="D13" s="3" t="s">
        <v>126</v>
      </c>
      <c r="E13" s="3" t="s">
        <v>127</v>
      </c>
      <c r="F13" s="3" t="s">
        <v>128</v>
      </c>
      <c r="G13" s="3" t="s">
        <v>129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37.950000000000003" customHeight="1">
      <c r="A14" s="3" t="s">
        <v>130</v>
      </c>
      <c r="B14" s="3" t="s">
        <v>131</v>
      </c>
      <c r="C14" s="3" t="s">
        <v>46</v>
      </c>
      <c r="D14" s="3" t="s">
        <v>132</v>
      </c>
      <c r="E14" s="3" t="s">
        <v>133</v>
      </c>
      <c r="F14" s="3" t="s">
        <v>128</v>
      </c>
      <c r="G14" s="3" t="s">
        <v>134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260"/>
  <sheetViews>
    <sheetView showGridLines="0" workbookViewId="0"/>
  </sheetViews>
  <sheetFormatPr defaultRowHeight="13.8"/>
  <cols>
    <col min="1" max="1" width="52" customWidth="1"/>
    <col min="2" max="6" width="13" customWidth="1"/>
    <col min="7" max="7" width="52" customWidth="1"/>
  </cols>
  <sheetData>
    <row r="1" spans="1:47" ht="25.95" customHeight="1">
      <c r="A1" s="59" t="s">
        <v>135</v>
      </c>
      <c r="B1" s="59"/>
      <c r="C1" s="59"/>
      <c r="D1" s="59"/>
      <c r="E1" s="59"/>
      <c r="F1" s="59"/>
      <c r="G1" s="5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60" t="s">
        <v>136</v>
      </c>
      <c r="B2" s="60"/>
      <c r="C2" s="60"/>
      <c r="D2" s="60"/>
      <c r="E2" s="60"/>
      <c r="F2" s="60"/>
      <c r="G2" s="6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137</v>
      </c>
      <c r="B5" s="4" t="s">
        <v>29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138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 t="s">
        <v>139</v>
      </c>
      <c r="B6" s="1" t="s">
        <v>48</v>
      </c>
      <c r="C6" s="5">
        <v>0.95499999999999996</v>
      </c>
      <c r="D6" s="5">
        <v>0.95699999999999996</v>
      </c>
      <c r="E6" s="5">
        <v>0.96</v>
      </c>
      <c r="F6" s="5">
        <v>0.96199999999999997</v>
      </c>
      <c r="G6" s="3" t="s">
        <v>140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141</v>
      </c>
      <c r="B7" s="1" t="s">
        <v>48</v>
      </c>
      <c r="C7" s="5">
        <v>0.12</v>
      </c>
      <c r="D7" s="5">
        <v>0.1</v>
      </c>
      <c r="E7" s="5">
        <v>0.09</v>
      </c>
      <c r="F7" s="5">
        <v>0.08</v>
      </c>
      <c r="G7" s="3" t="s">
        <v>142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143</v>
      </c>
      <c r="B8" s="1" t="s">
        <v>48</v>
      </c>
      <c r="C8" s="5">
        <v>0.04</v>
      </c>
      <c r="D8" s="5">
        <v>4.2000000000000003E-2</v>
      </c>
      <c r="E8" s="5">
        <v>4.3999999999999997E-2</v>
      </c>
      <c r="F8" s="5">
        <v>4.4999999999999998E-2</v>
      </c>
      <c r="G8" s="3" t="s">
        <v>144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145</v>
      </c>
      <c r="B9" s="1" t="s">
        <v>48</v>
      </c>
      <c r="C9" s="5">
        <v>0.1</v>
      </c>
      <c r="D9" s="5">
        <v>0.1</v>
      </c>
      <c r="E9" s="5">
        <v>0.09</v>
      </c>
      <c r="F9" s="5">
        <v>0.08</v>
      </c>
      <c r="G9" s="3" t="s">
        <v>146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147</v>
      </c>
      <c r="B10" s="1" t="s">
        <v>48</v>
      </c>
      <c r="C10" s="5">
        <v>0.06</v>
      </c>
      <c r="D10" s="5">
        <v>6.2E-2</v>
      </c>
      <c r="E10" s="5">
        <v>6.5000000000000002E-2</v>
      </c>
      <c r="F10" s="5">
        <v>6.7000000000000004E-2</v>
      </c>
      <c r="G10" s="3" t="s">
        <v>148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149</v>
      </c>
      <c r="B11" s="1" t="s">
        <v>48</v>
      </c>
      <c r="C11" s="5">
        <v>0.01</v>
      </c>
      <c r="D11" s="5">
        <v>1.4999999999999999E-2</v>
      </c>
      <c r="E11" s="5">
        <v>1.4999999999999999E-2</v>
      </c>
      <c r="F11" s="5">
        <v>1.4999999999999999E-2</v>
      </c>
      <c r="G11" s="3" t="s">
        <v>150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151</v>
      </c>
      <c r="B12" s="1" t="s">
        <v>48</v>
      </c>
      <c r="C12" s="5">
        <v>0.56999999999999995</v>
      </c>
      <c r="D12" s="5">
        <v>0.56000000000000005</v>
      </c>
      <c r="E12" s="5">
        <v>0.55000000000000004</v>
      </c>
      <c r="F12" s="5">
        <v>0.54</v>
      </c>
      <c r="G12" s="3" t="s">
        <v>152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153</v>
      </c>
      <c r="B13" s="1" t="s">
        <v>48</v>
      </c>
      <c r="C13" s="5">
        <v>0.01</v>
      </c>
      <c r="D13" s="5">
        <v>0.01</v>
      </c>
      <c r="E13" s="5">
        <v>8.0000000000000002E-3</v>
      </c>
      <c r="F13" s="5">
        <v>5.0000000000000001E-3</v>
      </c>
      <c r="G13" s="3" t="s">
        <v>154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155</v>
      </c>
      <c r="B14" s="1" t="s">
        <v>48</v>
      </c>
      <c r="C14" s="5">
        <v>8.0000000000000002E-3</v>
      </c>
      <c r="D14" s="5">
        <v>0.01</v>
      </c>
      <c r="E14" s="5">
        <v>1.2E-2</v>
      </c>
      <c r="F14" s="5">
        <v>1.2999999999999999E-2</v>
      </c>
      <c r="G14" s="3" t="s">
        <v>156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157</v>
      </c>
      <c r="B15" s="1" t="s">
        <v>48</v>
      </c>
      <c r="C15" s="5">
        <v>0.02</v>
      </c>
      <c r="D15" s="5">
        <v>0.03</v>
      </c>
      <c r="E15" s="5">
        <v>3.5000000000000003E-2</v>
      </c>
      <c r="F15" s="5">
        <v>0.04</v>
      </c>
      <c r="G15" s="3" t="s">
        <v>158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159</v>
      </c>
      <c r="B16" s="1" t="s">
        <v>49</v>
      </c>
      <c r="C16" s="6">
        <v>19</v>
      </c>
      <c r="D16" s="6">
        <v>0</v>
      </c>
      <c r="E16" s="6">
        <v>0</v>
      </c>
      <c r="F16" s="6">
        <v>0</v>
      </c>
      <c r="G16" s="3" t="s">
        <v>160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161</v>
      </c>
      <c r="B17" s="1" t="s">
        <v>49</v>
      </c>
      <c r="C17" s="6">
        <v>50.35</v>
      </c>
      <c r="D17" s="6"/>
      <c r="E17" s="6"/>
      <c r="F17" s="6"/>
      <c r="G17" s="3" t="s">
        <v>162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163</v>
      </c>
      <c r="B18" s="1" t="s">
        <v>48</v>
      </c>
      <c r="C18" s="5">
        <v>0.05</v>
      </c>
      <c r="D18" s="5">
        <v>0.1</v>
      </c>
      <c r="E18" s="5">
        <v>0.1</v>
      </c>
      <c r="F18" s="5">
        <v>0.09</v>
      </c>
      <c r="G18" s="3" t="s">
        <v>164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165</v>
      </c>
      <c r="B19" s="1" t="s">
        <v>166</v>
      </c>
      <c r="C19" s="7">
        <v>94</v>
      </c>
      <c r="D19" s="7">
        <v>95</v>
      </c>
      <c r="E19" s="7">
        <v>96</v>
      </c>
      <c r="F19" s="7">
        <v>97</v>
      </c>
      <c r="G19" s="3" t="s">
        <v>167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52</v>
      </c>
      <c r="B20" s="1" t="s">
        <v>48</v>
      </c>
      <c r="C20" s="5">
        <v>0.34300000000000003</v>
      </c>
      <c r="D20" s="5">
        <v>0.34699999999999998</v>
      </c>
      <c r="E20" s="5">
        <v>0.35</v>
      </c>
      <c r="F20" s="5">
        <v>0.35299999999999998</v>
      </c>
      <c r="G20" s="3" t="s">
        <v>168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169</v>
      </c>
      <c r="B21" s="1" t="s">
        <v>48</v>
      </c>
      <c r="C21" s="5">
        <v>0.13800000000000001</v>
      </c>
      <c r="D21" s="5">
        <v>0.13500000000000001</v>
      </c>
      <c r="E21" s="5">
        <v>0.13200000000000001</v>
      </c>
      <c r="F21" s="5">
        <v>0.13</v>
      </c>
      <c r="G21" s="3" t="s">
        <v>170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171</v>
      </c>
      <c r="B22" s="1" t="s">
        <v>48</v>
      </c>
      <c r="C22" s="5">
        <v>6.0000000000000001E-3</v>
      </c>
      <c r="D22" s="5">
        <v>6.0000000000000001E-3</v>
      </c>
      <c r="E22" s="5">
        <v>6.0000000000000001E-3</v>
      </c>
      <c r="F22" s="5">
        <v>6.0000000000000001E-3</v>
      </c>
      <c r="G22" s="3" t="s">
        <v>172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173</v>
      </c>
      <c r="B23" s="1" t="s">
        <v>48</v>
      </c>
      <c r="C23" s="5">
        <v>4.9000000000000002E-2</v>
      </c>
      <c r="D23" s="5">
        <v>4.5999999999999999E-2</v>
      </c>
      <c r="E23" s="5">
        <v>4.2999999999999997E-2</v>
      </c>
      <c r="F23" s="5">
        <v>0.04</v>
      </c>
      <c r="G23" s="3" t="s">
        <v>174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175</v>
      </c>
      <c r="B24" s="1" t="s">
        <v>48</v>
      </c>
      <c r="C24" s="5">
        <v>5.0000000000000001E-3</v>
      </c>
      <c r="D24" s="5">
        <v>5.0000000000000001E-3</v>
      </c>
      <c r="E24" s="5">
        <v>5.0000000000000001E-3</v>
      </c>
      <c r="F24" s="5">
        <v>5.0000000000000001E-3</v>
      </c>
      <c r="G24" s="3" t="s">
        <v>176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177</v>
      </c>
      <c r="B25" s="1" t="s">
        <v>48</v>
      </c>
      <c r="C25" s="5">
        <v>0.25</v>
      </c>
      <c r="D25" s="5">
        <v>0.25</v>
      </c>
      <c r="E25" s="5">
        <v>0.25</v>
      </c>
      <c r="F25" s="5">
        <v>0.25</v>
      </c>
      <c r="G25" s="3" t="s">
        <v>178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179</v>
      </c>
      <c r="B26" s="1" t="s">
        <v>48</v>
      </c>
      <c r="C26" s="5">
        <v>0.02</v>
      </c>
      <c r="D26" s="5">
        <v>1.4999999999999999E-2</v>
      </c>
      <c r="E26" s="5">
        <v>0.01</v>
      </c>
      <c r="F26" s="5">
        <v>0.01</v>
      </c>
      <c r="G26" s="3" t="s">
        <v>180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181</v>
      </c>
      <c r="B27" s="1" t="s">
        <v>182</v>
      </c>
      <c r="C27" s="7">
        <v>65</v>
      </c>
      <c r="D27" s="7">
        <v>64</v>
      </c>
      <c r="E27" s="7">
        <v>63</v>
      </c>
      <c r="F27" s="7">
        <v>62</v>
      </c>
      <c r="G27" s="3" t="s">
        <v>183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184</v>
      </c>
      <c r="B28" s="1" t="s">
        <v>182</v>
      </c>
      <c r="C28" s="7">
        <v>39</v>
      </c>
      <c r="D28" s="7">
        <v>37</v>
      </c>
      <c r="E28" s="7">
        <v>35</v>
      </c>
      <c r="F28" s="7">
        <v>33</v>
      </c>
      <c r="G28" s="3" t="s">
        <v>185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186</v>
      </c>
      <c r="B29" s="1" t="s">
        <v>48</v>
      </c>
      <c r="C29" s="5">
        <v>0.03</v>
      </c>
      <c r="D29" s="5">
        <v>2.8000000000000001E-2</v>
      </c>
      <c r="E29" s="5">
        <v>2.5999999999999999E-2</v>
      </c>
      <c r="F29" s="5">
        <v>2.4E-2</v>
      </c>
      <c r="G29" s="3" t="s">
        <v>187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188</v>
      </c>
      <c r="B30" s="1" t="s">
        <v>48</v>
      </c>
      <c r="C30" s="5">
        <v>2.5000000000000001E-2</v>
      </c>
      <c r="D30" s="5">
        <v>2.4E-2</v>
      </c>
      <c r="E30" s="5">
        <v>2.3E-2</v>
      </c>
      <c r="F30" s="5">
        <v>2.1999999999999999E-2</v>
      </c>
      <c r="G30" s="3" t="s">
        <v>189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190</v>
      </c>
      <c r="B31" s="1" t="s">
        <v>48</v>
      </c>
      <c r="C31" s="5">
        <v>0</v>
      </c>
      <c r="D31" s="5">
        <v>0</v>
      </c>
      <c r="E31" s="5">
        <v>0</v>
      </c>
      <c r="F31" s="5">
        <v>0</v>
      </c>
      <c r="G31" s="3" t="s">
        <v>191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192</v>
      </c>
      <c r="B32" s="1" t="s">
        <v>48</v>
      </c>
      <c r="C32" s="5">
        <v>2.5000000000000001E-2</v>
      </c>
      <c r="D32" s="5">
        <v>2.4E-2</v>
      </c>
      <c r="E32" s="5">
        <v>2.3E-2</v>
      </c>
      <c r="F32" s="5">
        <v>2.1999999999999999E-2</v>
      </c>
      <c r="G32" s="3" t="s">
        <v>193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194</v>
      </c>
      <c r="B33" s="1" t="s">
        <v>48</v>
      </c>
      <c r="C33" s="5">
        <v>0.04</v>
      </c>
      <c r="D33" s="5">
        <v>3.7999999999999999E-2</v>
      </c>
      <c r="E33" s="5">
        <v>3.5999999999999997E-2</v>
      </c>
      <c r="F33" s="5">
        <v>3.4000000000000002E-2</v>
      </c>
      <c r="G33" s="3" t="s">
        <v>195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196</v>
      </c>
      <c r="B34" s="1" t="s">
        <v>48</v>
      </c>
      <c r="C34" s="5">
        <v>2.3E-2</v>
      </c>
      <c r="D34" s="5">
        <v>2.1999999999999999E-2</v>
      </c>
      <c r="E34" s="5">
        <v>2.1000000000000001E-2</v>
      </c>
      <c r="F34" s="5">
        <v>0.02</v>
      </c>
      <c r="G34" s="3" t="s">
        <v>197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198</v>
      </c>
      <c r="B35" s="1" t="s">
        <v>48</v>
      </c>
      <c r="C35" s="5">
        <v>2.8000000000000001E-2</v>
      </c>
      <c r="D35" s="5">
        <v>2.5999999999999999E-2</v>
      </c>
      <c r="E35" s="5">
        <v>2.4E-2</v>
      </c>
      <c r="F35" s="5">
        <v>2.1999999999999999E-2</v>
      </c>
      <c r="G35" s="3" t="s">
        <v>199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200</v>
      </c>
      <c r="B36" s="1" t="s">
        <v>48</v>
      </c>
      <c r="C36" s="5">
        <v>0.155</v>
      </c>
      <c r="D36" s="5">
        <v>0.14000000000000001</v>
      </c>
      <c r="E36" s="5">
        <v>0.125</v>
      </c>
      <c r="F36" s="5">
        <v>0.11</v>
      </c>
      <c r="G36" s="3" t="s">
        <v>201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202</v>
      </c>
      <c r="B37" s="1" t="s">
        <v>48</v>
      </c>
      <c r="C37" s="5">
        <v>4.2000000000000003E-2</v>
      </c>
      <c r="D37" s="5">
        <v>3.7999999999999999E-2</v>
      </c>
      <c r="E37" s="5">
        <v>3.4000000000000002E-2</v>
      </c>
      <c r="F37" s="5">
        <v>0.03</v>
      </c>
      <c r="G37" s="3" t="s">
        <v>203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 t="s">
        <v>204</v>
      </c>
      <c r="B38" s="1" t="s">
        <v>48</v>
      </c>
      <c r="C38" s="5">
        <v>3.5000000000000003E-2</v>
      </c>
      <c r="D38" s="5">
        <v>3.2000000000000001E-2</v>
      </c>
      <c r="E38" s="5">
        <v>0.03</v>
      </c>
      <c r="F38" s="5">
        <v>0.03</v>
      </c>
      <c r="G38" s="3" t="s">
        <v>205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 t="s">
        <v>206</v>
      </c>
      <c r="B39" s="1" t="s">
        <v>48</v>
      </c>
      <c r="C39" s="5">
        <v>0.2</v>
      </c>
      <c r="D39" s="5">
        <v>0.2</v>
      </c>
      <c r="E39" s="5">
        <v>0.2</v>
      </c>
      <c r="F39" s="5">
        <v>0.2</v>
      </c>
      <c r="G39" s="3" t="s">
        <v>207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 t="s">
        <v>208</v>
      </c>
      <c r="B40" s="1" t="s">
        <v>48</v>
      </c>
      <c r="C40" s="5">
        <v>0.45</v>
      </c>
      <c r="D40" s="5">
        <v>0.45</v>
      </c>
      <c r="E40" s="5">
        <v>0.45</v>
      </c>
      <c r="F40" s="5">
        <v>0.45</v>
      </c>
      <c r="G40" s="3" t="s">
        <v>209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 t="s">
        <v>210</v>
      </c>
      <c r="B41" s="1" t="s">
        <v>48</v>
      </c>
      <c r="C41" s="5">
        <v>0.55000000000000004</v>
      </c>
      <c r="D41" s="5">
        <v>0.55000000000000004</v>
      </c>
      <c r="E41" s="5">
        <v>0.55000000000000004</v>
      </c>
      <c r="F41" s="5">
        <v>0.55000000000000004</v>
      </c>
      <c r="G41" s="3" t="s">
        <v>209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 t="s">
        <v>211</v>
      </c>
      <c r="B42" s="1" t="s">
        <v>48</v>
      </c>
      <c r="C42" s="5">
        <v>0.25</v>
      </c>
      <c r="D42" s="5">
        <v>0.25</v>
      </c>
      <c r="E42" s="5">
        <v>0.25</v>
      </c>
      <c r="F42" s="5">
        <v>0.25</v>
      </c>
      <c r="G42" s="3" t="s">
        <v>212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 t="s">
        <v>213</v>
      </c>
      <c r="B43" s="1" t="s">
        <v>48</v>
      </c>
      <c r="C43" s="5">
        <v>5.0000000000000001E-3</v>
      </c>
      <c r="D43" s="5">
        <v>5.0000000000000001E-3</v>
      </c>
      <c r="E43" s="5">
        <v>5.0000000000000001E-3</v>
      </c>
      <c r="F43" s="5">
        <v>5.0000000000000001E-3</v>
      </c>
      <c r="G43" s="3" t="s">
        <v>214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 t="s">
        <v>215</v>
      </c>
      <c r="B44" s="1" t="s">
        <v>48</v>
      </c>
      <c r="C44" s="5">
        <v>0.35</v>
      </c>
      <c r="D44" s="5">
        <v>0.37</v>
      </c>
      <c r="E44" s="5">
        <v>0.39</v>
      </c>
      <c r="F44" s="5">
        <v>0.4</v>
      </c>
      <c r="G44" s="3" t="s">
        <v>216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 t="s">
        <v>217</v>
      </c>
      <c r="B45" s="1" t="s">
        <v>48</v>
      </c>
      <c r="C45" s="5">
        <v>0.3</v>
      </c>
      <c r="D45" s="5">
        <v>0.3</v>
      </c>
      <c r="E45" s="5">
        <v>0.3</v>
      </c>
      <c r="F45" s="5">
        <v>0.3</v>
      </c>
      <c r="G45" s="3" t="s">
        <v>218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 t="s">
        <v>219</v>
      </c>
      <c r="B46" s="1" t="s">
        <v>48</v>
      </c>
      <c r="C46" s="5">
        <v>0.25</v>
      </c>
      <c r="D46" s="5">
        <v>0.3</v>
      </c>
      <c r="E46" s="5">
        <v>0.35</v>
      </c>
      <c r="F46" s="5">
        <v>1</v>
      </c>
      <c r="G46" s="3" t="s">
        <v>220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 t="s">
        <v>221</v>
      </c>
      <c r="B47" s="1" t="s">
        <v>222</v>
      </c>
      <c r="C47" s="7">
        <v>425</v>
      </c>
      <c r="D47" s="7">
        <v>425</v>
      </c>
      <c r="E47" s="7">
        <v>425</v>
      </c>
      <c r="F47" s="7">
        <v>425</v>
      </c>
      <c r="G47" s="3" t="s">
        <v>223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27.6">
      <c r="A48" s="1" t="s">
        <v>224</v>
      </c>
      <c r="B48" s="1" t="s">
        <v>72</v>
      </c>
      <c r="C48" s="8">
        <v>39</v>
      </c>
      <c r="D48" s="8">
        <v>36</v>
      </c>
      <c r="E48" s="8">
        <v>33</v>
      </c>
      <c r="F48" s="8">
        <v>31</v>
      </c>
      <c r="G48" s="3" t="s">
        <v>225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 t="s">
        <v>226</v>
      </c>
      <c r="B49" s="1" t="s">
        <v>72</v>
      </c>
      <c r="C49" s="8">
        <v>22</v>
      </c>
      <c r="D49" s="8">
        <v>20</v>
      </c>
      <c r="E49" s="8">
        <v>18.5</v>
      </c>
      <c r="F49" s="8">
        <v>17.5</v>
      </c>
      <c r="G49" s="3" t="s">
        <v>227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 t="s">
        <v>228</v>
      </c>
      <c r="B50" s="1" t="s">
        <v>48</v>
      </c>
      <c r="C50" s="5">
        <v>0.105</v>
      </c>
      <c r="D50" s="5">
        <v>0.105</v>
      </c>
      <c r="E50" s="5">
        <v>0.105</v>
      </c>
      <c r="F50" s="5">
        <v>0.105</v>
      </c>
      <c r="G50" s="3" t="s">
        <v>229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 t="s">
        <v>230</v>
      </c>
      <c r="B51" s="1" t="s">
        <v>48</v>
      </c>
      <c r="C51" s="5">
        <v>5.5E-2</v>
      </c>
      <c r="D51" s="5">
        <v>5.5E-2</v>
      </c>
      <c r="E51" s="5">
        <v>5.5E-2</v>
      </c>
      <c r="F51" s="5">
        <v>5.5E-2</v>
      </c>
      <c r="G51" s="3" t="s">
        <v>231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 t="s">
        <v>232</v>
      </c>
      <c r="B52" s="1" t="s">
        <v>48</v>
      </c>
      <c r="C52" s="5">
        <v>0.4</v>
      </c>
      <c r="D52" s="5">
        <v>0.4</v>
      </c>
      <c r="E52" s="5">
        <v>0.4</v>
      </c>
      <c r="F52" s="5">
        <v>0.4</v>
      </c>
      <c r="G52" s="3" t="s">
        <v>233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 t="s">
        <v>234</v>
      </c>
      <c r="B53" s="1" t="s">
        <v>48</v>
      </c>
      <c r="C53" s="5">
        <v>0.3</v>
      </c>
      <c r="D53" s="5">
        <v>0.3</v>
      </c>
      <c r="E53" s="5">
        <v>0.3</v>
      </c>
      <c r="F53" s="5">
        <v>0.3</v>
      </c>
      <c r="G53" s="3" t="s">
        <v>233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 t="s">
        <v>235</v>
      </c>
      <c r="B54" s="1" t="s">
        <v>48</v>
      </c>
      <c r="C54" s="5">
        <v>0.3</v>
      </c>
      <c r="D54" s="5">
        <v>0.3</v>
      </c>
      <c r="E54" s="5">
        <v>0.3</v>
      </c>
      <c r="F54" s="5">
        <v>0.3</v>
      </c>
      <c r="G54" s="3" t="s">
        <v>233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 t="s">
        <v>70</v>
      </c>
      <c r="B55" s="1" t="s">
        <v>58</v>
      </c>
      <c r="C55" s="43">
        <f>'COFORGE Prices'!D5445</f>
        <v>1981.5</v>
      </c>
      <c r="D55" s="43">
        <f>'COFORGE Prices'!D5445</f>
        <v>1981.5</v>
      </c>
      <c r="E55" s="43">
        <f>'COFORGE Prices'!D5445</f>
        <v>1981.5</v>
      </c>
      <c r="F55" s="43">
        <f>'COFORGE Prices'!D5445</f>
        <v>1981.5</v>
      </c>
      <c r="G55" s="3" t="s">
        <v>236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 t="s">
        <v>237</v>
      </c>
      <c r="B56" s="1" t="s">
        <v>46</v>
      </c>
      <c r="C56" s="7">
        <v>2947</v>
      </c>
      <c r="D56" s="7"/>
      <c r="E56" s="7"/>
      <c r="F56" s="7"/>
      <c r="G56" s="3" t="s">
        <v>238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 t="s">
        <v>239</v>
      </c>
      <c r="B57" s="1" t="s">
        <v>46</v>
      </c>
      <c r="C57" s="7">
        <v>5374</v>
      </c>
      <c r="D57" s="7"/>
      <c r="E57" s="7"/>
      <c r="F57" s="7"/>
      <c r="G57" s="3" t="s">
        <v>240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 t="s">
        <v>241</v>
      </c>
      <c r="B58" s="1" t="s">
        <v>46</v>
      </c>
      <c r="C58" s="7">
        <v>-46939</v>
      </c>
      <c r="D58" s="7"/>
      <c r="E58" s="7"/>
      <c r="F58" s="7"/>
      <c r="G58" s="3" t="s">
        <v>242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 t="s">
        <v>243</v>
      </c>
      <c r="B59" s="1" t="s">
        <v>46</v>
      </c>
      <c r="C59" s="7">
        <v>46547</v>
      </c>
      <c r="D59" s="7"/>
      <c r="E59" s="7"/>
      <c r="F59" s="7"/>
      <c r="G59" s="3" t="s">
        <v>244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 t="s">
        <v>245</v>
      </c>
      <c r="B60" s="1" t="s">
        <v>46</v>
      </c>
      <c r="C60" s="7">
        <v>-317</v>
      </c>
      <c r="D60" s="7"/>
      <c r="E60" s="7"/>
      <c r="F60" s="7"/>
      <c r="G60" s="3" t="s">
        <v>246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 t="s">
        <v>247</v>
      </c>
      <c r="B61" s="1" t="s">
        <v>46</v>
      </c>
      <c r="C61" s="7">
        <v>-728</v>
      </c>
      <c r="D61" s="7"/>
      <c r="E61" s="7"/>
      <c r="F61" s="7"/>
      <c r="G61" s="3" t="s">
        <v>248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 t="s">
        <v>249</v>
      </c>
      <c r="B62" s="1" t="s">
        <v>46</v>
      </c>
      <c r="C62" s="7">
        <v>-438</v>
      </c>
      <c r="D62" s="7"/>
      <c r="E62" s="7"/>
      <c r="F62" s="7"/>
      <c r="G62" s="3" t="s">
        <v>250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 t="s">
        <v>251</v>
      </c>
      <c r="B63" s="1" t="s">
        <v>46</v>
      </c>
      <c r="C63" s="7">
        <v>0</v>
      </c>
      <c r="D63" s="7">
        <v>0</v>
      </c>
      <c r="E63" s="7">
        <v>0</v>
      </c>
      <c r="F63" s="7">
        <v>0</v>
      </c>
      <c r="G63" s="3" t="s">
        <v>252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260"/>
  <sheetViews>
    <sheetView showGridLines="0" workbookViewId="0"/>
  </sheetViews>
  <sheetFormatPr defaultRowHeight="13.8"/>
  <cols>
    <col min="1" max="1" width="40" customWidth="1"/>
    <col min="2" max="2" width="11" customWidth="1"/>
    <col min="3" max="47" width="10.5" customWidth="1"/>
  </cols>
  <sheetData>
    <row r="1" spans="1:47" ht="25.95" customHeight="1">
      <c r="A1" s="59" t="s">
        <v>253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</row>
    <row r="2" spans="1:47" ht="18" customHeight="1">
      <c r="A2" s="60" t="s">
        <v>254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8" customHeight="1">
      <c r="A4" s="62" t="s">
        <v>255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 t="s">
        <v>45</v>
      </c>
      <c r="B6" s="1" t="s">
        <v>46</v>
      </c>
      <c r="C6" s="11">
        <v>26824.048783999999</v>
      </c>
      <c r="D6" s="11">
        <v>28021</v>
      </c>
      <c r="E6" s="11">
        <v>29914</v>
      </c>
      <c r="F6" s="11">
        <v>36762</v>
      </c>
      <c r="G6" s="11">
        <v>41839</v>
      </c>
      <c r="H6" s="11">
        <v>46628</v>
      </c>
      <c r="I6" s="11">
        <v>64320</v>
      </c>
      <c r="J6" s="11">
        <v>80146</v>
      </c>
      <c r="K6" s="11">
        <v>91790</v>
      </c>
      <c r="L6" s="11">
        <v>120733</v>
      </c>
      <c r="M6" s="11">
        <v>164027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256</v>
      </c>
      <c r="B7" s="1" t="s">
        <v>46</v>
      </c>
      <c r="C7" s="11">
        <v>205.4828</v>
      </c>
      <c r="D7" s="11">
        <v>269</v>
      </c>
      <c r="E7" s="11">
        <v>391</v>
      </c>
      <c r="F7" s="11">
        <v>535</v>
      </c>
      <c r="G7" s="11">
        <v>677</v>
      </c>
      <c r="H7" s="11">
        <v>326</v>
      </c>
      <c r="I7" s="11">
        <v>518</v>
      </c>
      <c r="J7" s="11">
        <v>619</v>
      </c>
      <c r="K7" s="11">
        <v>614</v>
      </c>
      <c r="L7" s="11">
        <v>1647</v>
      </c>
      <c r="M7" s="11">
        <v>732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257</v>
      </c>
      <c r="B8" s="1" t="s">
        <v>46</v>
      </c>
      <c r="C8" s="11">
        <v>27029.531584</v>
      </c>
      <c r="D8" s="11">
        <v>28290</v>
      </c>
      <c r="E8" s="11">
        <v>30305</v>
      </c>
      <c r="F8" s="11">
        <v>37297</v>
      </c>
      <c r="G8" s="11">
        <v>42516</v>
      </c>
      <c r="H8" s="11">
        <v>46954</v>
      </c>
      <c r="I8" s="11">
        <v>64838</v>
      </c>
      <c r="J8" s="11">
        <v>80765</v>
      </c>
      <c r="K8" s="11">
        <v>92404</v>
      </c>
      <c r="L8" s="11">
        <v>122380</v>
      </c>
      <c r="M8" s="11">
        <v>164759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258</v>
      </c>
      <c r="B9" s="1" t="s">
        <v>46</v>
      </c>
      <c r="C9" s="11">
        <v>308.69553000000002</v>
      </c>
      <c r="D9" s="11">
        <v>141</v>
      </c>
      <c r="E9" s="11">
        <v>317</v>
      </c>
      <c r="F9" s="11">
        <v>291</v>
      </c>
      <c r="G9" s="11">
        <v>844</v>
      </c>
      <c r="H9" s="11">
        <v>1935</v>
      </c>
      <c r="I9" s="11">
        <v>1724</v>
      </c>
      <c r="J9" s="11">
        <v>551</v>
      </c>
      <c r="K9" s="11">
        <v>94</v>
      </c>
      <c r="L9" s="11">
        <v>101</v>
      </c>
      <c r="M9" s="11">
        <v>65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259</v>
      </c>
      <c r="B10" s="1" t="s">
        <v>46</v>
      </c>
      <c r="C10" s="11">
        <v>15386.102251</v>
      </c>
      <c r="D10" s="11">
        <v>16513</v>
      </c>
      <c r="E10" s="11">
        <v>17601</v>
      </c>
      <c r="F10" s="11">
        <v>21532</v>
      </c>
      <c r="G10" s="11">
        <v>25298</v>
      </c>
      <c r="H10" s="11">
        <v>28158</v>
      </c>
      <c r="I10" s="11">
        <v>38346</v>
      </c>
      <c r="J10" s="11">
        <v>48280</v>
      </c>
      <c r="K10" s="11">
        <v>55069</v>
      </c>
      <c r="L10" s="11">
        <v>72241</v>
      </c>
      <c r="M10" s="11">
        <v>92161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260</v>
      </c>
      <c r="B11" s="1" t="s">
        <v>46</v>
      </c>
      <c r="C11" s="11"/>
      <c r="D11" s="11"/>
      <c r="E11" s="11"/>
      <c r="F11" s="11"/>
      <c r="G11" s="11"/>
      <c r="H11" s="11"/>
      <c r="I11" s="11"/>
      <c r="J11" s="11"/>
      <c r="K11" s="11"/>
      <c r="L11" s="11">
        <v>13902</v>
      </c>
      <c r="M11" s="11">
        <v>21918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261</v>
      </c>
      <c r="B12" s="1" t="s">
        <v>46</v>
      </c>
      <c r="C12" s="11"/>
      <c r="D12" s="11"/>
      <c r="E12" s="11"/>
      <c r="F12" s="11"/>
      <c r="G12" s="11"/>
      <c r="H12" s="11"/>
      <c r="I12" s="11"/>
      <c r="J12" s="11"/>
      <c r="K12" s="11"/>
      <c r="L12" s="11">
        <v>9149</v>
      </c>
      <c r="M12" s="11">
        <v>12045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262</v>
      </c>
      <c r="B13" s="1" t="s">
        <v>46</v>
      </c>
      <c r="C13" s="11">
        <v>6287.5291209999996</v>
      </c>
      <c r="D13" s="11">
        <v>6573</v>
      </c>
      <c r="E13" s="11">
        <v>6983</v>
      </c>
      <c r="F13" s="11">
        <v>8454</v>
      </c>
      <c r="G13" s="11">
        <v>8464</v>
      </c>
      <c r="H13" s="11">
        <v>8740</v>
      </c>
      <c r="I13" s="11">
        <v>13231</v>
      </c>
      <c r="J13" s="11">
        <v>18508</v>
      </c>
      <c r="K13" s="11">
        <v>22350</v>
      </c>
      <c r="L13" s="11">
        <v>8122</v>
      </c>
      <c r="M13" s="11">
        <v>7374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263</v>
      </c>
      <c r="B14" s="1" t="s">
        <v>46</v>
      </c>
      <c r="C14" s="11">
        <v>48.795223</v>
      </c>
      <c r="D14" s="11">
        <v>60</v>
      </c>
      <c r="E14" s="11">
        <v>94</v>
      </c>
      <c r="F14" s="11">
        <v>92</v>
      </c>
      <c r="G14" s="11">
        <v>155</v>
      </c>
      <c r="H14" s="11">
        <v>143</v>
      </c>
      <c r="I14" s="11">
        <v>650</v>
      </c>
      <c r="J14" s="11">
        <v>806</v>
      </c>
      <c r="K14" s="11">
        <v>1256</v>
      </c>
      <c r="L14" s="11">
        <v>1347</v>
      </c>
      <c r="M14" s="11">
        <v>1686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264</v>
      </c>
      <c r="B15" s="1" t="s">
        <v>46</v>
      </c>
      <c r="C15" s="11">
        <v>1101.2935480000001</v>
      </c>
      <c r="D15" s="11">
        <v>1277</v>
      </c>
      <c r="E15" s="11">
        <v>1274</v>
      </c>
      <c r="F15" s="11">
        <v>1248</v>
      </c>
      <c r="G15" s="11">
        <v>1730</v>
      </c>
      <c r="H15" s="11">
        <v>1836</v>
      </c>
      <c r="I15" s="11">
        <v>2272</v>
      </c>
      <c r="J15" s="11">
        <v>2585</v>
      </c>
      <c r="K15" s="11">
        <v>3186</v>
      </c>
      <c r="L15" s="11">
        <v>4276</v>
      </c>
      <c r="M15" s="11">
        <v>6819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265</v>
      </c>
      <c r="B16" s="1" t="s">
        <v>46</v>
      </c>
      <c r="C16" s="11">
        <v>3814.532385</v>
      </c>
      <c r="D16" s="11">
        <v>3727</v>
      </c>
      <c r="E16" s="11">
        <v>4036</v>
      </c>
      <c r="F16" s="11">
        <v>5680</v>
      </c>
      <c r="G16" s="11">
        <v>6025</v>
      </c>
      <c r="H16" s="11">
        <v>6142</v>
      </c>
      <c r="I16" s="11">
        <v>8615</v>
      </c>
      <c r="J16" s="11">
        <v>10035</v>
      </c>
      <c r="K16" s="11">
        <v>10449</v>
      </c>
      <c r="L16" s="11">
        <v>12961</v>
      </c>
      <c r="M16" s="11">
        <v>21588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266</v>
      </c>
      <c r="B17" s="1" t="s">
        <v>46</v>
      </c>
      <c r="C17" s="11">
        <v>13.156528</v>
      </c>
      <c r="D17" s="11">
        <v>221</v>
      </c>
      <c r="E17" s="11">
        <v>0</v>
      </c>
      <c r="F17" s="11">
        <v>56</v>
      </c>
      <c r="G17" s="11">
        <v>71</v>
      </c>
      <c r="H17" s="11">
        <v>180</v>
      </c>
      <c r="I17" s="11">
        <v>0</v>
      </c>
      <c r="J17" s="11">
        <v>523</v>
      </c>
      <c r="K17" s="11">
        <v>0</v>
      </c>
      <c r="L17" s="11">
        <v>0</v>
      </c>
      <c r="M17" s="11">
        <v>2260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267</v>
      </c>
      <c r="B18" s="1" t="s">
        <v>46</v>
      </c>
      <c r="C18" s="11">
        <v>3801.375857</v>
      </c>
      <c r="D18" s="11">
        <v>3506</v>
      </c>
      <c r="E18" s="11">
        <v>4036</v>
      </c>
      <c r="F18" s="11">
        <v>5624</v>
      </c>
      <c r="G18" s="11">
        <v>5954</v>
      </c>
      <c r="H18" s="11">
        <v>5962</v>
      </c>
      <c r="I18" s="11">
        <v>8615</v>
      </c>
      <c r="J18" s="11">
        <v>9512</v>
      </c>
      <c r="K18" s="11">
        <v>10449</v>
      </c>
      <c r="L18" s="11">
        <v>12961</v>
      </c>
      <c r="M18" s="11">
        <v>19328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268</v>
      </c>
      <c r="B19" s="1" t="s">
        <v>46</v>
      </c>
      <c r="C19" s="11">
        <v>872.66633200000001</v>
      </c>
      <c r="D19" s="11">
        <v>922</v>
      </c>
      <c r="E19" s="11">
        <v>1084</v>
      </c>
      <c r="F19" s="11">
        <v>1387</v>
      </c>
      <c r="G19" s="11">
        <v>1551</v>
      </c>
      <c r="H19" s="11">
        <v>1608</v>
      </c>
      <c r="I19" s="11">
        <v>1774</v>
      </c>
      <c r="J19" s="11">
        <v>2492</v>
      </c>
      <c r="K19" s="11">
        <v>2493</v>
      </c>
      <c r="L19" s="11">
        <v>4033</v>
      </c>
      <c r="M19" s="11">
        <v>5024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269</v>
      </c>
      <c r="B20" s="1" t="s">
        <v>46</v>
      </c>
      <c r="C20" s="11">
        <v>-40.98601</v>
      </c>
      <c r="D20" s="11">
        <v>-137</v>
      </c>
      <c r="E20" s="11">
        <v>-135</v>
      </c>
      <c r="F20" s="11">
        <v>16</v>
      </c>
      <c r="G20" s="11">
        <v>-273</v>
      </c>
      <c r="H20" s="11">
        <v>-306</v>
      </c>
      <c r="I20" s="11">
        <v>-306</v>
      </c>
      <c r="J20" s="11">
        <v>-431</v>
      </c>
      <c r="K20" s="11">
        <v>-400</v>
      </c>
      <c r="L20" s="11">
        <v>-707</v>
      </c>
      <c r="M20" s="11">
        <v>-2441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270</v>
      </c>
      <c r="B21" s="1" t="s">
        <v>46</v>
      </c>
      <c r="C21" s="11">
        <v>831.68032200000005</v>
      </c>
      <c r="D21" s="11">
        <v>785</v>
      </c>
      <c r="E21" s="11">
        <v>949</v>
      </c>
      <c r="F21" s="11">
        <v>1403</v>
      </c>
      <c r="G21" s="11">
        <v>1278</v>
      </c>
      <c r="H21" s="11">
        <v>1302</v>
      </c>
      <c r="I21" s="11">
        <v>1468</v>
      </c>
      <c r="J21" s="11">
        <v>2061</v>
      </c>
      <c r="K21" s="11">
        <v>2093</v>
      </c>
      <c r="L21" s="11">
        <v>3326</v>
      </c>
      <c r="M21" s="11">
        <v>2583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271</v>
      </c>
      <c r="B22" s="1" t="s">
        <v>46</v>
      </c>
      <c r="C22" s="11">
        <v>2969.6955349999998</v>
      </c>
      <c r="D22" s="11">
        <v>2721</v>
      </c>
      <c r="E22" s="11">
        <v>3087</v>
      </c>
      <c r="F22" s="11">
        <v>4221</v>
      </c>
      <c r="G22" s="11">
        <v>4676</v>
      </c>
      <c r="H22" s="11">
        <v>4660</v>
      </c>
      <c r="I22" s="11">
        <v>7147</v>
      </c>
      <c r="J22" s="11">
        <v>7451</v>
      </c>
      <c r="K22" s="11">
        <v>8356</v>
      </c>
      <c r="L22" s="11">
        <v>9361</v>
      </c>
      <c r="M22" s="11">
        <v>17447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272</v>
      </c>
      <c r="B23" s="1" t="s">
        <v>46</v>
      </c>
      <c r="C23" s="11">
        <v>170.064761</v>
      </c>
      <c r="D23" s="11">
        <v>220</v>
      </c>
      <c r="E23" s="11">
        <v>285</v>
      </c>
      <c r="F23" s="11">
        <v>188</v>
      </c>
      <c r="G23" s="11">
        <v>236</v>
      </c>
      <c r="H23" s="11">
        <v>104</v>
      </c>
      <c r="I23" s="11">
        <v>530</v>
      </c>
      <c r="J23" s="11">
        <v>513</v>
      </c>
      <c r="K23" s="11">
        <v>276</v>
      </c>
      <c r="L23" s="11">
        <v>1240</v>
      </c>
      <c r="M23" s="11">
        <v>1890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273</v>
      </c>
      <c r="B24" s="1" t="s">
        <v>46</v>
      </c>
      <c r="C24" s="11">
        <v>2799.6307740000002</v>
      </c>
      <c r="D24" s="11">
        <v>2501</v>
      </c>
      <c r="E24" s="11">
        <v>2802</v>
      </c>
      <c r="F24" s="11">
        <v>4033</v>
      </c>
      <c r="G24" s="11">
        <v>4440</v>
      </c>
      <c r="H24" s="11">
        <v>4556</v>
      </c>
      <c r="I24" s="11">
        <v>6617</v>
      </c>
      <c r="J24" s="11">
        <v>6938</v>
      </c>
      <c r="K24" s="11">
        <v>8080</v>
      </c>
      <c r="L24" s="11">
        <v>8121</v>
      </c>
      <c r="M24" s="11">
        <v>15557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274</v>
      </c>
      <c r="B25" s="1" t="s">
        <v>58</v>
      </c>
      <c r="C25" s="12">
        <v>9.1639999999999997</v>
      </c>
      <c r="D25" s="12">
        <v>8.16</v>
      </c>
      <c r="E25" s="12">
        <v>9.1260000000000012</v>
      </c>
      <c r="F25" s="12">
        <v>13.097999999999999</v>
      </c>
      <c r="G25" s="12">
        <v>14.278</v>
      </c>
      <c r="H25" s="12">
        <v>14.936000000000002</v>
      </c>
      <c r="I25" s="12">
        <v>21.803999999999998</v>
      </c>
      <c r="J25" s="12">
        <v>22.753999999999998</v>
      </c>
      <c r="K25" s="12">
        <v>26.312000000000001</v>
      </c>
      <c r="L25" s="12">
        <v>24.6</v>
      </c>
      <c r="M25" s="12">
        <v>46.44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57</v>
      </c>
      <c r="B26" s="1" t="s">
        <v>58</v>
      </c>
      <c r="C26" s="12">
        <v>9.11</v>
      </c>
      <c r="D26" s="12">
        <v>8.1419999999999995</v>
      </c>
      <c r="E26" s="12">
        <v>9.0680000000000014</v>
      </c>
      <c r="F26" s="12">
        <v>12.946000000000002</v>
      </c>
      <c r="G26" s="12">
        <v>14.193999999999999</v>
      </c>
      <c r="H26" s="12">
        <v>14.658000000000001</v>
      </c>
      <c r="I26" s="12">
        <v>21.303999999999998</v>
      </c>
      <c r="J26" s="12">
        <v>22.306000000000001</v>
      </c>
      <c r="K26" s="12">
        <v>25.917999999999999</v>
      </c>
      <c r="L26" s="12">
        <v>24.41</v>
      </c>
      <c r="M26" s="12">
        <v>45.9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8" customHeight="1">
      <c r="A30" s="62" t="s">
        <v>275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</row>
    <row r="31" spans="1:47" ht="19.95" customHeight="1">
      <c r="A31" s="4" t="s">
        <v>28</v>
      </c>
      <c r="B31" s="4" t="s">
        <v>29</v>
      </c>
      <c r="C31" s="4" t="s">
        <v>276</v>
      </c>
      <c r="D31" s="4" t="s">
        <v>277</v>
      </c>
      <c r="E31" s="4" t="s">
        <v>278</v>
      </c>
      <c r="F31" s="4" t="s">
        <v>279</v>
      </c>
      <c r="G31" s="4" t="s">
        <v>280</v>
      </c>
      <c r="H31" s="4" t="s">
        <v>281</v>
      </c>
      <c r="I31" s="4" t="s">
        <v>282</v>
      </c>
      <c r="J31" s="4" t="s">
        <v>283</v>
      </c>
      <c r="K31" s="4" t="s">
        <v>284</v>
      </c>
      <c r="L31" s="4" t="s">
        <v>285</v>
      </c>
      <c r="M31" s="4" t="s">
        <v>286</v>
      </c>
      <c r="N31" s="4" t="s">
        <v>287</v>
      </c>
      <c r="O31" s="4" t="s">
        <v>288</v>
      </c>
      <c r="P31" s="4" t="s">
        <v>289</v>
      </c>
      <c r="Q31" s="4" t="s">
        <v>290</v>
      </c>
      <c r="R31" s="4" t="s">
        <v>291</v>
      </c>
      <c r="S31" s="4" t="s">
        <v>292</v>
      </c>
      <c r="T31" s="4" t="s">
        <v>293</v>
      </c>
      <c r="U31" s="4" t="s">
        <v>294</v>
      </c>
      <c r="V31" s="4" t="s">
        <v>295</v>
      </c>
      <c r="W31" s="4" t="s">
        <v>296</v>
      </c>
      <c r="X31" s="4" t="s">
        <v>297</v>
      </c>
      <c r="Y31" s="4" t="s">
        <v>298</v>
      </c>
      <c r="Z31" s="4" t="s">
        <v>299</v>
      </c>
      <c r="AA31" s="4" t="s">
        <v>300</v>
      </c>
      <c r="AB31" s="4" t="s">
        <v>301</v>
      </c>
      <c r="AC31" s="4" t="s">
        <v>302</v>
      </c>
      <c r="AD31" s="4" t="s">
        <v>303</v>
      </c>
      <c r="AE31" s="4" t="s">
        <v>304</v>
      </c>
      <c r="AF31" s="4" t="s">
        <v>305</v>
      </c>
      <c r="AG31" s="4" t="s">
        <v>306</v>
      </c>
      <c r="AH31" s="4" t="s">
        <v>307</v>
      </c>
      <c r="AI31" s="4" t="s">
        <v>308</v>
      </c>
      <c r="AJ31" s="4" t="s">
        <v>309</v>
      </c>
      <c r="AK31" s="4" t="s">
        <v>310</v>
      </c>
      <c r="AL31" s="4" t="s">
        <v>311</v>
      </c>
      <c r="AM31" s="4" t="s">
        <v>312</v>
      </c>
      <c r="AN31" s="4" t="s">
        <v>313</v>
      </c>
      <c r="AO31" s="4" t="s">
        <v>314</v>
      </c>
      <c r="AP31" s="4" t="s">
        <v>315</v>
      </c>
      <c r="AQ31" s="4" t="s">
        <v>316</v>
      </c>
      <c r="AR31" s="4" t="s">
        <v>317</v>
      </c>
      <c r="AS31" s="4" t="s">
        <v>318</v>
      </c>
      <c r="AT31" s="4" t="s">
        <v>319</v>
      </c>
      <c r="AU31" s="4" t="s">
        <v>320</v>
      </c>
    </row>
    <row r="32" spans="1:47" ht="14.4">
      <c r="A32" s="1" t="s">
        <v>45</v>
      </c>
      <c r="B32" s="1" t="s">
        <v>46</v>
      </c>
      <c r="C32" s="11">
        <v>6411</v>
      </c>
      <c r="D32" s="11">
        <v>6779</v>
      </c>
      <c r="E32" s="11">
        <v>6787</v>
      </c>
      <c r="F32" s="11">
        <v>6847</v>
      </c>
      <c r="G32" s="11">
        <v>6707</v>
      </c>
      <c r="H32" s="11">
        <v>6929</v>
      </c>
      <c r="I32" s="11">
        <v>6938</v>
      </c>
      <c r="J32" s="11">
        <v>7447</v>
      </c>
      <c r="K32" s="11">
        <v>7089</v>
      </c>
      <c r="L32" s="11">
        <v>7372</v>
      </c>
      <c r="M32" s="11">
        <v>7565</v>
      </c>
      <c r="N32" s="11">
        <v>7888</v>
      </c>
      <c r="O32" s="11">
        <v>8249</v>
      </c>
      <c r="P32" s="11">
        <v>9074</v>
      </c>
      <c r="Q32" s="11">
        <v>9717</v>
      </c>
      <c r="R32" s="11">
        <v>9722</v>
      </c>
      <c r="S32" s="11">
        <v>9597</v>
      </c>
      <c r="T32" s="11">
        <v>10385</v>
      </c>
      <c r="U32" s="11">
        <v>10734</v>
      </c>
      <c r="V32" s="11">
        <v>11093</v>
      </c>
      <c r="W32" s="11">
        <v>10570</v>
      </c>
      <c r="X32" s="11">
        <v>11537</v>
      </c>
      <c r="Y32" s="11">
        <v>11906</v>
      </c>
      <c r="Z32" s="11">
        <v>12615</v>
      </c>
      <c r="AA32" s="11">
        <v>14616</v>
      </c>
      <c r="AB32" s="11">
        <v>15694</v>
      </c>
      <c r="AC32" s="11">
        <v>16581</v>
      </c>
      <c r="AD32" s="11">
        <v>17429</v>
      </c>
      <c r="AE32" s="11">
        <v>18294</v>
      </c>
      <c r="AF32" s="11">
        <v>19594</v>
      </c>
      <c r="AG32" s="11">
        <v>20558</v>
      </c>
      <c r="AH32" s="11">
        <v>21700</v>
      </c>
      <c r="AI32" s="11">
        <v>22210</v>
      </c>
      <c r="AJ32" s="11">
        <v>22762</v>
      </c>
      <c r="AK32" s="11">
        <v>23233</v>
      </c>
      <c r="AL32" s="11">
        <v>23585</v>
      </c>
      <c r="AM32" s="11">
        <v>24008</v>
      </c>
      <c r="AN32" s="11">
        <v>30623</v>
      </c>
      <c r="AO32" s="11">
        <v>33182</v>
      </c>
      <c r="AP32" s="11">
        <v>34222</v>
      </c>
      <c r="AQ32" s="11">
        <v>36886</v>
      </c>
      <c r="AR32" s="11">
        <v>39857</v>
      </c>
      <c r="AS32" s="11">
        <v>41881</v>
      </c>
      <c r="AT32" s="11">
        <v>44504</v>
      </c>
      <c r="AU32" s="11">
        <v>55277</v>
      </c>
    </row>
    <row r="33" spans="1:47" ht="14.4">
      <c r="A33" s="1" t="s">
        <v>321</v>
      </c>
      <c r="B33" s="1" t="s">
        <v>46</v>
      </c>
      <c r="C33" s="11">
        <v>4081</v>
      </c>
      <c r="D33" s="11">
        <v>4256</v>
      </c>
      <c r="E33" s="11">
        <v>4255</v>
      </c>
      <c r="F33" s="11">
        <v>4304</v>
      </c>
      <c r="G33" s="11">
        <v>4356</v>
      </c>
      <c r="H33" s="11">
        <v>4481</v>
      </c>
      <c r="I33" s="11">
        <v>4441</v>
      </c>
      <c r="J33" s="11">
        <v>4625</v>
      </c>
      <c r="K33" s="11">
        <v>4577</v>
      </c>
      <c r="L33" s="11">
        <v>4790</v>
      </c>
      <c r="M33" s="11">
        <v>4812</v>
      </c>
      <c r="N33" s="11">
        <v>5000</v>
      </c>
      <c r="O33" s="11">
        <v>5438</v>
      </c>
      <c r="P33" s="11">
        <v>5897</v>
      </c>
      <c r="Q33" s="11">
        <v>6280</v>
      </c>
      <c r="R33" s="11">
        <v>6294</v>
      </c>
      <c r="S33" s="11">
        <v>6348</v>
      </c>
      <c r="T33" s="11">
        <v>6796</v>
      </c>
      <c r="U33" s="11">
        <v>7068</v>
      </c>
      <c r="V33" s="11">
        <v>7289</v>
      </c>
      <c r="W33" s="11">
        <v>7241</v>
      </c>
      <c r="X33" s="11">
        <v>7776</v>
      </c>
      <c r="Y33" s="11">
        <v>8096</v>
      </c>
      <c r="Z33" s="11">
        <v>8580</v>
      </c>
      <c r="AA33" s="11">
        <v>10250</v>
      </c>
      <c r="AB33" s="11">
        <v>10656</v>
      </c>
      <c r="AC33" s="11">
        <v>11210</v>
      </c>
      <c r="AD33" s="11">
        <v>11620</v>
      </c>
      <c r="AE33" s="11">
        <v>12739</v>
      </c>
      <c r="AF33" s="11">
        <v>13317</v>
      </c>
      <c r="AG33" s="11">
        <v>13698</v>
      </c>
      <c r="AH33" s="11">
        <v>14306</v>
      </c>
      <c r="AI33" s="11">
        <v>15391.529999999999</v>
      </c>
      <c r="AJ33" s="11">
        <v>15374</v>
      </c>
      <c r="AK33" s="11">
        <v>15542.877</v>
      </c>
      <c r="AL33" s="11">
        <v>15545</v>
      </c>
      <c r="AM33" s="11">
        <v>16097</v>
      </c>
      <c r="AN33" s="11">
        <v>20701.148000000001</v>
      </c>
      <c r="AO33" s="11">
        <v>22165.576000000001</v>
      </c>
      <c r="AP33" s="11">
        <v>22483</v>
      </c>
      <c r="AQ33" s="11">
        <v>24326</v>
      </c>
      <c r="AR33" s="11">
        <v>26299</v>
      </c>
      <c r="AS33" s="11">
        <v>28112</v>
      </c>
      <c r="AT33" s="11">
        <v>29204</v>
      </c>
      <c r="AU33" s="11">
        <v>36343</v>
      </c>
    </row>
    <row r="34" spans="1:47" ht="14.4">
      <c r="A34" s="1" t="s">
        <v>322</v>
      </c>
      <c r="B34" s="1" t="s">
        <v>46</v>
      </c>
      <c r="C34" s="11">
        <v>2330</v>
      </c>
      <c r="D34" s="11">
        <v>2523</v>
      </c>
      <c r="E34" s="11">
        <v>2532</v>
      </c>
      <c r="F34" s="11">
        <v>2543</v>
      </c>
      <c r="G34" s="11">
        <v>2351</v>
      </c>
      <c r="H34" s="11">
        <v>2448</v>
      </c>
      <c r="I34" s="11">
        <v>2497</v>
      </c>
      <c r="J34" s="11">
        <v>2822</v>
      </c>
      <c r="K34" s="11">
        <v>2512</v>
      </c>
      <c r="L34" s="11">
        <v>2582</v>
      </c>
      <c r="M34" s="11">
        <v>2753</v>
      </c>
      <c r="N34" s="11">
        <v>2888</v>
      </c>
      <c r="O34" s="11">
        <v>2811</v>
      </c>
      <c r="P34" s="11">
        <v>3177</v>
      </c>
      <c r="Q34" s="11">
        <v>3437</v>
      </c>
      <c r="R34" s="11">
        <v>3428</v>
      </c>
      <c r="S34" s="11">
        <v>3249</v>
      </c>
      <c r="T34" s="11">
        <v>3589</v>
      </c>
      <c r="U34" s="11">
        <v>3666</v>
      </c>
      <c r="V34" s="11">
        <v>3804</v>
      </c>
      <c r="W34" s="11">
        <v>3329</v>
      </c>
      <c r="X34" s="11">
        <v>3761</v>
      </c>
      <c r="Y34" s="11">
        <v>3810</v>
      </c>
      <c r="Z34" s="11">
        <v>4035</v>
      </c>
      <c r="AA34" s="11">
        <v>4366</v>
      </c>
      <c r="AB34" s="11">
        <v>5038</v>
      </c>
      <c r="AC34" s="11">
        <v>5371</v>
      </c>
      <c r="AD34" s="11">
        <v>5809</v>
      </c>
      <c r="AE34" s="11">
        <v>5555</v>
      </c>
      <c r="AF34" s="11">
        <v>6277</v>
      </c>
      <c r="AG34" s="11">
        <v>6860</v>
      </c>
      <c r="AH34" s="11">
        <v>7394</v>
      </c>
      <c r="AI34" s="11">
        <v>6818.47</v>
      </c>
      <c r="AJ34" s="11">
        <v>7388</v>
      </c>
      <c r="AK34" s="11">
        <v>7690.1230000000005</v>
      </c>
      <c r="AL34" s="11">
        <v>8040</v>
      </c>
      <c r="AM34" s="11">
        <v>7911</v>
      </c>
      <c r="AN34" s="11">
        <v>9921.8520000000008</v>
      </c>
      <c r="AO34" s="11">
        <v>11016.424000000001</v>
      </c>
      <c r="AP34" s="11">
        <v>11739</v>
      </c>
      <c r="AQ34" s="11">
        <v>12560</v>
      </c>
      <c r="AR34" s="11">
        <v>13558</v>
      </c>
      <c r="AS34" s="11">
        <v>13769</v>
      </c>
      <c r="AT34" s="11">
        <v>15300</v>
      </c>
      <c r="AU34" s="11">
        <v>18934</v>
      </c>
    </row>
    <row r="35" spans="1:47" ht="14.4">
      <c r="A35" s="1" t="s">
        <v>52</v>
      </c>
      <c r="B35" s="1" t="s">
        <v>48</v>
      </c>
      <c r="C35" s="13">
        <v>0.36399999999999999</v>
      </c>
      <c r="D35" s="13">
        <v>0.37200000000000005</v>
      </c>
      <c r="E35" s="13">
        <v>0.373</v>
      </c>
      <c r="F35" s="13">
        <v>0.371</v>
      </c>
      <c r="G35" s="13">
        <v>0.35100000000000003</v>
      </c>
      <c r="H35" s="13">
        <v>0.35299999999999998</v>
      </c>
      <c r="I35" s="13">
        <v>0.36</v>
      </c>
      <c r="J35" s="13">
        <v>0.379</v>
      </c>
      <c r="K35" s="13">
        <v>0.35399999999999998</v>
      </c>
      <c r="L35" s="13">
        <v>0.35</v>
      </c>
      <c r="M35" s="13">
        <v>0.36399999999999999</v>
      </c>
      <c r="N35" s="13">
        <v>0.36599999999999999</v>
      </c>
      <c r="O35" s="13">
        <v>0.34100000000000003</v>
      </c>
      <c r="P35" s="13">
        <v>0.35</v>
      </c>
      <c r="Q35" s="13">
        <v>0.35399999999999998</v>
      </c>
      <c r="R35" s="13">
        <v>0.35299999999999998</v>
      </c>
      <c r="S35" s="13">
        <v>0.33899999999999997</v>
      </c>
      <c r="T35" s="13">
        <v>0.34600000000000003</v>
      </c>
      <c r="U35" s="13">
        <v>0.34100000000000003</v>
      </c>
      <c r="V35" s="13">
        <v>0.34299999999999997</v>
      </c>
      <c r="W35" s="13">
        <v>0.315</v>
      </c>
      <c r="X35" s="13">
        <v>0.32600000000000001</v>
      </c>
      <c r="Y35" s="13">
        <v>0.32</v>
      </c>
      <c r="Z35" s="13">
        <v>0.32</v>
      </c>
      <c r="AA35" s="13">
        <v>0.29899999999999999</v>
      </c>
      <c r="AB35" s="13">
        <v>0.32100000000000001</v>
      </c>
      <c r="AC35" s="13">
        <v>0.32400000000000001</v>
      </c>
      <c r="AD35" s="13">
        <v>0.33299999999999996</v>
      </c>
      <c r="AE35" s="13">
        <v>0.30399999999999999</v>
      </c>
      <c r="AF35" s="13">
        <v>0.32</v>
      </c>
      <c r="AG35" s="13">
        <v>0.33399999999999996</v>
      </c>
      <c r="AH35" s="13">
        <v>0.34100000000000003</v>
      </c>
      <c r="AI35" s="13">
        <v>0.307</v>
      </c>
      <c r="AJ35" s="13">
        <v>0.32500000000000001</v>
      </c>
      <c r="AK35" s="13">
        <v>0.33100000000000002</v>
      </c>
      <c r="AL35" s="13">
        <v>0.34100000000000003</v>
      </c>
      <c r="AM35" s="13">
        <v>0.32951516161279576</v>
      </c>
      <c r="AN35" s="13">
        <v>0.32400000000000001</v>
      </c>
      <c r="AO35" s="13">
        <v>0.33200000000000002</v>
      </c>
      <c r="AP35" s="13">
        <v>0.34300000000000003</v>
      </c>
      <c r="AQ35" s="13">
        <v>0.34100000000000003</v>
      </c>
      <c r="AR35" s="13">
        <v>0.34</v>
      </c>
      <c r="AS35" s="13">
        <v>0.32899999999999996</v>
      </c>
      <c r="AT35" s="13">
        <v>0.34399999999999997</v>
      </c>
      <c r="AU35" s="13">
        <v>0.34299999999999997</v>
      </c>
    </row>
    <row r="36" spans="1:47" ht="14.4">
      <c r="A36" s="1" t="s">
        <v>323</v>
      </c>
      <c r="B36" s="1" t="s">
        <v>46</v>
      </c>
      <c r="C36" s="11">
        <v>1288</v>
      </c>
      <c r="D36" s="11">
        <v>1329</v>
      </c>
      <c r="E36" s="11">
        <v>1296</v>
      </c>
      <c r="F36" s="11">
        <v>1282</v>
      </c>
      <c r="G36" s="11">
        <v>1336</v>
      </c>
      <c r="H36" s="11">
        <v>1303</v>
      </c>
      <c r="I36" s="11">
        <v>1335</v>
      </c>
      <c r="J36" s="11">
        <v>1298</v>
      </c>
      <c r="K36" s="11">
        <v>1404</v>
      </c>
      <c r="L36" s="11">
        <v>1391</v>
      </c>
      <c r="M36" s="11">
        <v>1458</v>
      </c>
      <c r="N36" s="11">
        <v>1470</v>
      </c>
      <c r="O36" s="11">
        <v>1505</v>
      </c>
      <c r="P36" s="11">
        <v>1543</v>
      </c>
      <c r="Q36" s="11">
        <v>1632</v>
      </c>
      <c r="R36" s="11">
        <v>1722</v>
      </c>
      <c r="S36" s="11">
        <v>1843</v>
      </c>
      <c r="T36" s="11">
        <v>1691</v>
      </c>
      <c r="U36" s="11">
        <v>1725</v>
      </c>
      <c r="V36" s="11">
        <v>1816</v>
      </c>
      <c r="W36" s="11">
        <v>1523</v>
      </c>
      <c r="X36" s="11">
        <v>1589</v>
      </c>
      <c r="Y36" s="11">
        <v>1665</v>
      </c>
      <c r="Z36" s="11">
        <v>1767</v>
      </c>
      <c r="AA36" s="11">
        <v>2007</v>
      </c>
      <c r="AB36" s="11">
        <v>2115</v>
      </c>
      <c r="AC36" s="11">
        <v>2145</v>
      </c>
      <c r="AD36" s="11">
        <v>2260</v>
      </c>
      <c r="AE36" s="11">
        <v>2543</v>
      </c>
      <c r="AF36" s="11">
        <v>2682</v>
      </c>
      <c r="AG36" s="11">
        <v>3063</v>
      </c>
      <c r="AH36" s="11">
        <v>3150</v>
      </c>
      <c r="AI36" s="11">
        <v>3264</v>
      </c>
      <c r="AJ36" s="11">
        <v>3392</v>
      </c>
      <c r="AK36" s="11">
        <v>3508</v>
      </c>
      <c r="AL36" s="11">
        <v>3561</v>
      </c>
      <c r="AM36" s="11">
        <v>3625</v>
      </c>
      <c r="AN36" s="11">
        <v>4858.8520000000008</v>
      </c>
      <c r="AO36" s="11">
        <v>5126.4240000000009</v>
      </c>
      <c r="AP36" s="11">
        <v>5868</v>
      </c>
      <c r="AQ36" s="11">
        <v>6118</v>
      </c>
      <c r="AR36" s="11">
        <v>6276</v>
      </c>
      <c r="AS36" s="11">
        <v>6468</v>
      </c>
      <c r="AT36" s="11">
        <v>6132</v>
      </c>
      <c r="AU36" s="11">
        <v>7701</v>
      </c>
    </row>
    <row r="37" spans="1:47" ht="14.4">
      <c r="A37" s="1" t="s">
        <v>324</v>
      </c>
      <c r="B37" s="1" t="s">
        <v>46</v>
      </c>
      <c r="C37" s="11">
        <v>1042</v>
      </c>
      <c r="D37" s="11">
        <v>1194</v>
      </c>
      <c r="E37" s="11">
        <v>1236</v>
      </c>
      <c r="F37" s="11">
        <v>1261</v>
      </c>
      <c r="G37" s="11">
        <v>1015</v>
      </c>
      <c r="H37" s="11">
        <v>1145</v>
      </c>
      <c r="I37" s="11">
        <v>1162</v>
      </c>
      <c r="J37" s="11">
        <v>1523</v>
      </c>
      <c r="K37" s="11">
        <v>1108</v>
      </c>
      <c r="L37" s="11">
        <v>1191</v>
      </c>
      <c r="M37" s="11">
        <v>1295</v>
      </c>
      <c r="N37" s="11">
        <v>1417</v>
      </c>
      <c r="O37" s="11">
        <v>1306</v>
      </c>
      <c r="P37" s="11">
        <v>1634</v>
      </c>
      <c r="Q37" s="11">
        <v>1805</v>
      </c>
      <c r="R37" s="11">
        <v>1706</v>
      </c>
      <c r="S37" s="11">
        <v>1406</v>
      </c>
      <c r="T37" s="11">
        <v>1898</v>
      </c>
      <c r="U37" s="11">
        <v>1941</v>
      </c>
      <c r="V37" s="11">
        <v>1988</v>
      </c>
      <c r="W37" s="11">
        <v>1806</v>
      </c>
      <c r="X37" s="11">
        <v>2172</v>
      </c>
      <c r="Y37" s="11">
        <v>2145</v>
      </c>
      <c r="Z37" s="11">
        <v>2268</v>
      </c>
      <c r="AA37" s="11">
        <v>2359</v>
      </c>
      <c r="AB37" s="11">
        <v>2923</v>
      </c>
      <c r="AC37" s="11">
        <v>3226</v>
      </c>
      <c r="AD37" s="11">
        <v>3549</v>
      </c>
      <c r="AE37" s="11">
        <v>3012</v>
      </c>
      <c r="AF37" s="11">
        <v>3596</v>
      </c>
      <c r="AG37" s="11">
        <v>3797</v>
      </c>
      <c r="AH37" s="11">
        <v>4244</v>
      </c>
      <c r="AI37" s="11">
        <v>3545</v>
      </c>
      <c r="AJ37" s="11">
        <v>3997</v>
      </c>
      <c r="AK37" s="11">
        <v>4170</v>
      </c>
      <c r="AL37" s="11">
        <v>4473</v>
      </c>
      <c r="AM37" s="11">
        <v>4286</v>
      </c>
      <c r="AN37" s="11">
        <v>5063</v>
      </c>
      <c r="AO37" s="11">
        <v>5890</v>
      </c>
      <c r="AP37" s="11">
        <v>5871</v>
      </c>
      <c r="AQ37" s="11">
        <v>6442</v>
      </c>
      <c r="AR37" s="11">
        <v>7282</v>
      </c>
      <c r="AS37" s="11">
        <v>7301</v>
      </c>
      <c r="AT37" s="11">
        <v>9168</v>
      </c>
      <c r="AU37" s="11">
        <v>11233</v>
      </c>
    </row>
    <row r="38" spans="1:47" ht="14.4">
      <c r="A38" s="1" t="s">
        <v>325</v>
      </c>
      <c r="B38" s="1" t="s">
        <v>46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17</v>
      </c>
      <c r="W38" s="11">
        <v>120</v>
      </c>
      <c r="X38" s="11">
        <v>124</v>
      </c>
      <c r="Y38" s="11">
        <v>136</v>
      </c>
      <c r="Z38" s="11">
        <v>100</v>
      </c>
      <c r="AA38" s="11">
        <v>159</v>
      </c>
      <c r="AB38" s="11">
        <v>135</v>
      </c>
      <c r="AC38" s="11">
        <v>158</v>
      </c>
      <c r="AD38" s="11">
        <v>210</v>
      </c>
      <c r="AE38" s="11">
        <v>90</v>
      </c>
      <c r="AF38" s="11">
        <v>147</v>
      </c>
      <c r="AG38" s="11">
        <v>182</v>
      </c>
      <c r="AH38" s="11">
        <v>168</v>
      </c>
      <c r="AI38" s="11">
        <v>216</v>
      </c>
      <c r="AJ38" s="11">
        <v>519</v>
      </c>
      <c r="AK38" s="11">
        <v>0</v>
      </c>
      <c r="AL38" s="11">
        <v>222</v>
      </c>
      <c r="AM38" s="11">
        <v>199</v>
      </c>
      <c r="AN38" s="11">
        <v>222</v>
      </c>
      <c r="AO38" s="11">
        <v>700</v>
      </c>
      <c r="AP38" s="11">
        <v>616</v>
      </c>
      <c r="AQ38" s="11">
        <v>593</v>
      </c>
      <c r="AR38" s="11">
        <v>561</v>
      </c>
      <c r="AS38" s="11">
        <v>444</v>
      </c>
      <c r="AT38" s="11">
        <v>381</v>
      </c>
      <c r="AU38" s="11">
        <v>457</v>
      </c>
    </row>
    <row r="39" spans="1:47" ht="14.4">
      <c r="A39" s="1" t="s">
        <v>54</v>
      </c>
      <c r="B39" s="1" t="s">
        <v>46</v>
      </c>
      <c r="C39" s="11">
        <v>1042</v>
      </c>
      <c r="D39" s="11">
        <v>1194</v>
      </c>
      <c r="E39" s="11">
        <v>1236</v>
      </c>
      <c r="F39" s="11">
        <v>1261</v>
      </c>
      <c r="G39" s="11">
        <v>1015</v>
      </c>
      <c r="H39" s="11">
        <v>1145</v>
      </c>
      <c r="I39" s="11">
        <v>1162</v>
      </c>
      <c r="J39" s="11">
        <v>1523</v>
      </c>
      <c r="K39" s="11">
        <v>1108</v>
      </c>
      <c r="L39" s="11">
        <v>1191</v>
      </c>
      <c r="M39" s="11">
        <v>1295</v>
      </c>
      <c r="N39" s="11">
        <v>1417</v>
      </c>
      <c r="O39" s="11">
        <v>1306</v>
      </c>
      <c r="P39" s="11">
        <v>1634</v>
      </c>
      <c r="Q39" s="11">
        <v>1805</v>
      </c>
      <c r="R39" s="11">
        <v>1706</v>
      </c>
      <c r="S39" s="11">
        <v>1406</v>
      </c>
      <c r="T39" s="11">
        <v>1898</v>
      </c>
      <c r="U39" s="11">
        <v>1940</v>
      </c>
      <c r="V39" s="11">
        <v>1988</v>
      </c>
      <c r="W39" s="11">
        <v>1806</v>
      </c>
      <c r="X39" s="11">
        <v>2172</v>
      </c>
      <c r="Y39" s="11">
        <v>2145</v>
      </c>
      <c r="Z39" s="11">
        <v>2268</v>
      </c>
      <c r="AA39" s="11">
        <v>2359</v>
      </c>
      <c r="AB39" s="11">
        <v>2923</v>
      </c>
      <c r="AC39" s="11">
        <v>3020</v>
      </c>
      <c r="AD39" s="11">
        <v>3293</v>
      </c>
      <c r="AE39" s="11">
        <v>2918</v>
      </c>
      <c r="AF39" s="11">
        <v>3444</v>
      </c>
      <c r="AG39" s="11">
        <v>3615</v>
      </c>
      <c r="AH39" s="11">
        <v>4076</v>
      </c>
      <c r="AI39" s="11">
        <v>3316</v>
      </c>
      <c r="AJ39" s="11">
        <v>3474</v>
      </c>
      <c r="AK39" s="11">
        <v>4012</v>
      </c>
      <c r="AL39" s="11">
        <v>4251</v>
      </c>
      <c r="AM39" s="11">
        <v>4087</v>
      </c>
      <c r="AN39" s="11">
        <v>4841</v>
      </c>
      <c r="AO39" s="11">
        <v>5190</v>
      </c>
      <c r="AP39" s="11">
        <v>5871</v>
      </c>
      <c r="AQ39" s="11">
        <v>6442</v>
      </c>
      <c r="AR39" s="11">
        <v>7282</v>
      </c>
      <c r="AS39" s="11">
        <v>7302</v>
      </c>
      <c r="AT39" s="11">
        <v>9168</v>
      </c>
      <c r="AU39" s="11">
        <v>11233</v>
      </c>
    </row>
    <row r="40" spans="1:47" ht="14.4">
      <c r="A40" s="1" t="s">
        <v>264</v>
      </c>
      <c r="B40" s="1" t="s">
        <v>46</v>
      </c>
      <c r="C40" s="11">
        <v>276</v>
      </c>
      <c r="D40" s="11">
        <v>265</v>
      </c>
      <c r="E40" s="11">
        <v>273</v>
      </c>
      <c r="F40" s="11">
        <v>287</v>
      </c>
      <c r="G40" s="11">
        <v>326</v>
      </c>
      <c r="H40" s="11">
        <v>317</v>
      </c>
      <c r="I40" s="11">
        <v>321</v>
      </c>
      <c r="J40" s="11">
        <v>312</v>
      </c>
      <c r="K40" s="11">
        <v>316</v>
      </c>
      <c r="L40" s="11">
        <v>341</v>
      </c>
      <c r="M40" s="11">
        <v>311</v>
      </c>
      <c r="N40" s="11">
        <v>305</v>
      </c>
      <c r="O40" s="11">
        <v>312</v>
      </c>
      <c r="P40" s="11">
        <v>319</v>
      </c>
      <c r="Q40" s="11">
        <v>314</v>
      </c>
      <c r="R40" s="11">
        <v>303</v>
      </c>
      <c r="S40" s="11">
        <v>401</v>
      </c>
      <c r="T40" s="11">
        <v>447</v>
      </c>
      <c r="U40" s="11">
        <v>449</v>
      </c>
      <c r="V40" s="11">
        <v>433</v>
      </c>
      <c r="W40" s="11">
        <v>465</v>
      </c>
      <c r="X40" s="11">
        <v>460</v>
      </c>
      <c r="Y40" s="11">
        <v>462</v>
      </c>
      <c r="Z40" s="11">
        <v>449</v>
      </c>
      <c r="AA40" s="11">
        <v>524</v>
      </c>
      <c r="AB40" s="11">
        <v>598</v>
      </c>
      <c r="AC40" s="11">
        <v>566</v>
      </c>
      <c r="AD40" s="11">
        <v>584</v>
      </c>
      <c r="AE40" s="11">
        <v>630</v>
      </c>
      <c r="AF40" s="11">
        <v>614</v>
      </c>
      <c r="AG40" s="11">
        <v>624</v>
      </c>
      <c r="AH40" s="11">
        <v>717</v>
      </c>
      <c r="AI40" s="11">
        <v>757</v>
      </c>
      <c r="AJ40" s="11">
        <v>772</v>
      </c>
      <c r="AK40" s="11">
        <v>811</v>
      </c>
      <c r="AL40" s="11">
        <v>846</v>
      </c>
      <c r="AM40" s="11">
        <v>815</v>
      </c>
      <c r="AN40" s="11">
        <v>0</v>
      </c>
      <c r="AO40" s="11">
        <v>0</v>
      </c>
      <c r="AP40" s="11">
        <v>1254</v>
      </c>
      <c r="AQ40" s="11">
        <v>1592</v>
      </c>
      <c r="AR40" s="11">
        <v>1719</v>
      </c>
      <c r="AS40" s="11">
        <v>1708</v>
      </c>
      <c r="AT40" s="11">
        <v>1800</v>
      </c>
      <c r="AU40" s="11">
        <v>2411</v>
      </c>
    </row>
    <row r="41" spans="1:47" ht="14.4">
      <c r="A41" s="1" t="s">
        <v>326</v>
      </c>
      <c r="B41" s="1" t="s">
        <v>46</v>
      </c>
      <c r="C41" s="11">
        <v>766</v>
      </c>
      <c r="D41" s="11">
        <v>929</v>
      </c>
      <c r="E41" s="11">
        <v>963</v>
      </c>
      <c r="F41" s="11">
        <v>974</v>
      </c>
      <c r="G41" s="11">
        <v>689</v>
      </c>
      <c r="H41" s="11">
        <v>828</v>
      </c>
      <c r="I41" s="11">
        <v>841</v>
      </c>
      <c r="J41" s="11">
        <v>1211</v>
      </c>
      <c r="K41" s="11">
        <v>792</v>
      </c>
      <c r="L41" s="11">
        <v>850</v>
      </c>
      <c r="M41" s="11">
        <v>984</v>
      </c>
      <c r="N41" s="11">
        <v>1112</v>
      </c>
      <c r="O41" s="11">
        <v>994</v>
      </c>
      <c r="P41" s="11">
        <v>1315</v>
      </c>
      <c r="Q41" s="11">
        <v>1491</v>
      </c>
      <c r="R41" s="11">
        <v>1403</v>
      </c>
      <c r="S41" s="11">
        <v>1005</v>
      </c>
      <c r="T41" s="11">
        <v>1451</v>
      </c>
      <c r="U41" s="11">
        <v>1491</v>
      </c>
      <c r="V41" s="11">
        <v>1555</v>
      </c>
      <c r="W41" s="11">
        <v>1341</v>
      </c>
      <c r="X41" s="11">
        <v>1712</v>
      </c>
      <c r="Y41" s="11">
        <v>1683</v>
      </c>
      <c r="Z41" s="11">
        <v>1819</v>
      </c>
      <c r="AA41" s="11">
        <v>1835</v>
      </c>
      <c r="AB41" s="11">
        <v>2325</v>
      </c>
      <c r="AC41" s="11">
        <v>2454</v>
      </c>
      <c r="AD41" s="11">
        <v>2709</v>
      </c>
      <c r="AE41" s="11">
        <v>2288</v>
      </c>
      <c r="AF41" s="11">
        <v>2830</v>
      </c>
      <c r="AG41" s="11">
        <v>2991</v>
      </c>
      <c r="AH41" s="11">
        <v>3359</v>
      </c>
      <c r="AI41" s="11">
        <v>2559</v>
      </c>
      <c r="AJ41" s="11">
        <v>2702</v>
      </c>
      <c r="AK41" s="11">
        <v>3201</v>
      </c>
      <c r="AL41" s="11">
        <v>3405</v>
      </c>
      <c r="AM41" s="11">
        <v>3272</v>
      </c>
      <c r="AN41" s="11">
        <v>3598</v>
      </c>
      <c r="AO41" s="11">
        <v>3922</v>
      </c>
      <c r="AP41" s="11">
        <v>4195</v>
      </c>
      <c r="AQ41" s="11">
        <v>4858</v>
      </c>
      <c r="AR41" s="11">
        <v>5563</v>
      </c>
      <c r="AS41" s="11">
        <v>5594</v>
      </c>
      <c r="AT41" s="11">
        <v>7368</v>
      </c>
      <c r="AU41" s="11">
        <v>8822</v>
      </c>
    </row>
    <row r="42" spans="1:47" ht="14.4">
      <c r="A42" s="1" t="s">
        <v>327</v>
      </c>
      <c r="B42" s="1" t="s">
        <v>46</v>
      </c>
      <c r="C42" s="11">
        <v>79</v>
      </c>
      <c r="D42" s="11">
        <v>13</v>
      </c>
      <c r="E42" s="11">
        <v>52</v>
      </c>
      <c r="F42" s="11">
        <v>39</v>
      </c>
      <c r="G42" s="11">
        <v>83</v>
      </c>
      <c r="H42" s="11">
        <v>29</v>
      </c>
      <c r="I42" s="11">
        <v>59</v>
      </c>
      <c r="J42" s="11">
        <v>-12</v>
      </c>
      <c r="K42" s="11">
        <v>58</v>
      </c>
      <c r="L42" s="11">
        <v>87</v>
      </c>
      <c r="M42" s="11">
        <v>5</v>
      </c>
      <c r="N42" s="11">
        <v>148</v>
      </c>
      <c r="O42" s="11">
        <v>209</v>
      </c>
      <c r="P42" s="11">
        <v>215</v>
      </c>
      <c r="Q42" s="11">
        <v>5</v>
      </c>
      <c r="R42" s="11">
        <v>47</v>
      </c>
      <c r="S42" s="11">
        <v>171</v>
      </c>
      <c r="T42" s="11">
        <v>76</v>
      </c>
      <c r="U42" s="11">
        <v>130</v>
      </c>
      <c r="V42" s="11">
        <v>180</v>
      </c>
      <c r="W42" s="11">
        <v>48</v>
      </c>
      <c r="X42" s="11">
        <v>-63</v>
      </c>
      <c r="Y42" s="11">
        <v>19</v>
      </c>
      <c r="Z42" s="11">
        <v>109</v>
      </c>
      <c r="AA42" s="11">
        <v>52</v>
      </c>
      <c r="AB42" s="11">
        <v>-77</v>
      </c>
      <c r="AC42" s="11">
        <v>-122</v>
      </c>
      <c r="AD42" s="11">
        <v>-119</v>
      </c>
      <c r="AE42" s="11">
        <v>-76</v>
      </c>
      <c r="AF42" s="11">
        <v>-150</v>
      </c>
      <c r="AG42" s="11">
        <v>83</v>
      </c>
      <c r="AH42" s="11">
        <v>-487</v>
      </c>
      <c r="AI42" s="11">
        <v>-152</v>
      </c>
      <c r="AJ42" s="11">
        <v>-295</v>
      </c>
      <c r="AK42" s="11">
        <v>-257</v>
      </c>
      <c r="AL42" s="11">
        <v>-452</v>
      </c>
      <c r="AM42" s="11">
        <v>-272</v>
      </c>
      <c r="AN42" s="11"/>
      <c r="AO42" s="11">
        <v>-327</v>
      </c>
      <c r="AP42" s="11">
        <v>-92</v>
      </c>
      <c r="AQ42" s="11"/>
      <c r="AR42" s="11">
        <v>-292</v>
      </c>
      <c r="AS42" s="11">
        <v>-208</v>
      </c>
      <c r="AT42" s="11">
        <v>-179</v>
      </c>
      <c r="AU42" s="11">
        <v>-598</v>
      </c>
    </row>
    <row r="43" spans="1:47" ht="14.4">
      <c r="A43" s="1" t="s">
        <v>328</v>
      </c>
      <c r="B43" s="1" t="s">
        <v>46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>
        <v>-170</v>
      </c>
      <c r="AQ43" s="11">
        <v>-44</v>
      </c>
      <c r="AR43" s="11">
        <v>310</v>
      </c>
      <c r="AS43" s="11">
        <v>-68</v>
      </c>
      <c r="AT43" s="11">
        <v>-403</v>
      </c>
      <c r="AU43" s="11">
        <v>-653</v>
      </c>
    </row>
    <row r="44" spans="1:47" ht="14.4">
      <c r="A44" s="1" t="s">
        <v>265</v>
      </c>
      <c r="B44" s="1" t="s">
        <v>46</v>
      </c>
      <c r="C44" s="11">
        <v>845</v>
      </c>
      <c r="D44" s="11">
        <v>942</v>
      </c>
      <c r="E44" s="11">
        <v>1015</v>
      </c>
      <c r="F44" s="11">
        <v>1013</v>
      </c>
      <c r="G44" s="11">
        <v>772</v>
      </c>
      <c r="H44" s="11">
        <v>857</v>
      </c>
      <c r="I44" s="11">
        <v>900</v>
      </c>
      <c r="J44" s="11">
        <v>1199</v>
      </c>
      <c r="K44" s="11">
        <v>849</v>
      </c>
      <c r="L44" s="11">
        <v>937</v>
      </c>
      <c r="M44" s="11">
        <v>989</v>
      </c>
      <c r="N44" s="11">
        <v>1261</v>
      </c>
      <c r="O44" s="11">
        <v>1203</v>
      </c>
      <c r="P44" s="11">
        <v>1530</v>
      </c>
      <c r="Q44" s="11">
        <v>1496</v>
      </c>
      <c r="R44" s="11">
        <v>1451</v>
      </c>
      <c r="S44" s="11">
        <v>1176</v>
      </c>
      <c r="T44" s="11">
        <v>1527</v>
      </c>
      <c r="U44" s="11">
        <v>1621</v>
      </c>
      <c r="V44" s="11">
        <v>1718</v>
      </c>
      <c r="W44" s="11">
        <v>1269</v>
      </c>
      <c r="X44" s="11">
        <v>1525</v>
      </c>
      <c r="Y44" s="11">
        <v>1566</v>
      </c>
      <c r="Z44" s="11">
        <v>1782</v>
      </c>
      <c r="AA44" s="11">
        <v>1632</v>
      </c>
      <c r="AB44" s="11">
        <v>2248</v>
      </c>
      <c r="AC44" s="11">
        <v>2332</v>
      </c>
      <c r="AD44" s="11">
        <v>2590</v>
      </c>
      <c r="AE44" s="11">
        <v>2212</v>
      </c>
      <c r="AF44" s="11">
        <v>2680</v>
      </c>
      <c r="AG44" s="11">
        <v>3074</v>
      </c>
      <c r="AH44" s="11">
        <v>2872</v>
      </c>
      <c r="AI44" s="11">
        <v>2407</v>
      </c>
      <c r="AJ44" s="11">
        <v>2407</v>
      </c>
      <c r="AK44" s="11">
        <v>2944</v>
      </c>
      <c r="AL44" s="11">
        <v>2953</v>
      </c>
      <c r="AM44" s="11">
        <v>3000</v>
      </c>
      <c r="AN44" s="11">
        <v>3598</v>
      </c>
      <c r="AO44" s="11">
        <v>3595</v>
      </c>
      <c r="AP44" s="11">
        <v>3933</v>
      </c>
      <c r="AQ44" s="11">
        <v>4402</v>
      </c>
      <c r="AR44" s="11">
        <v>5582</v>
      </c>
      <c r="AS44" s="11">
        <v>5318</v>
      </c>
      <c r="AT44" s="11">
        <v>6786</v>
      </c>
      <c r="AU44" s="11">
        <v>7571</v>
      </c>
    </row>
    <row r="45" spans="1:47" ht="14.4">
      <c r="A45" s="1" t="s">
        <v>266</v>
      </c>
      <c r="B45" s="1" t="s">
        <v>46</v>
      </c>
      <c r="C45" s="11">
        <v>800</v>
      </c>
      <c r="D45" s="11">
        <v>0</v>
      </c>
      <c r="E45" s="11">
        <v>13</v>
      </c>
      <c r="F45" s="11">
        <v>13</v>
      </c>
      <c r="G45" s="11">
        <v>361</v>
      </c>
      <c r="H45" s="11">
        <v>361</v>
      </c>
      <c r="I45" s="11">
        <v>13</v>
      </c>
      <c r="J45" s="11">
        <v>-140</v>
      </c>
      <c r="K45" s="11">
        <v>-140</v>
      </c>
      <c r="L45" s="11">
        <v>0</v>
      </c>
      <c r="M45" s="11">
        <v>0</v>
      </c>
      <c r="N45" s="11">
        <v>-140</v>
      </c>
      <c r="O45" s="11">
        <v>0</v>
      </c>
      <c r="P45" s="11">
        <v>0</v>
      </c>
      <c r="Q45" s="11">
        <v>0</v>
      </c>
      <c r="R45" s="11">
        <v>56</v>
      </c>
      <c r="S45" s="11">
        <v>-57</v>
      </c>
      <c r="T45" s="11">
        <v>-57</v>
      </c>
      <c r="U45" s="11">
        <v>0</v>
      </c>
      <c r="V45" s="11">
        <v>128</v>
      </c>
      <c r="W45" s="11">
        <v>180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97</v>
      </c>
      <c r="AM45" s="11">
        <v>953</v>
      </c>
      <c r="AN45" s="11">
        <v>201</v>
      </c>
      <c r="AO45" s="11">
        <v>0</v>
      </c>
      <c r="AP45" s="11">
        <v>0</v>
      </c>
      <c r="AQ45" s="11">
        <v>248</v>
      </c>
      <c r="AR45" s="11">
        <v>0</v>
      </c>
      <c r="AS45" s="11">
        <v>1476</v>
      </c>
      <c r="AT45" s="11">
        <v>536</v>
      </c>
      <c r="AU45" s="11">
        <v>550</v>
      </c>
    </row>
    <row r="46" spans="1:47" ht="14.4">
      <c r="A46" s="1" t="s">
        <v>267</v>
      </c>
      <c r="B46" s="1" t="s">
        <v>46</v>
      </c>
      <c r="C46" s="11">
        <v>844</v>
      </c>
      <c r="D46" s="11">
        <v>942</v>
      </c>
      <c r="E46" s="11">
        <v>1002</v>
      </c>
      <c r="F46" s="11">
        <v>1013</v>
      </c>
      <c r="G46" s="11">
        <v>411</v>
      </c>
      <c r="H46" s="11">
        <v>856</v>
      </c>
      <c r="I46" s="11">
        <v>900</v>
      </c>
      <c r="J46" s="11">
        <v>1339</v>
      </c>
      <c r="K46" s="11">
        <v>849</v>
      </c>
      <c r="L46" s="11">
        <v>937</v>
      </c>
      <c r="M46" s="11">
        <v>989</v>
      </c>
      <c r="N46" s="11">
        <v>1261</v>
      </c>
      <c r="O46" s="11">
        <v>1203</v>
      </c>
      <c r="P46" s="11">
        <v>1530</v>
      </c>
      <c r="Q46" s="11">
        <v>1496</v>
      </c>
      <c r="R46" s="11">
        <v>1395</v>
      </c>
      <c r="S46" s="11">
        <v>1233</v>
      </c>
      <c r="T46" s="11">
        <v>1527</v>
      </c>
      <c r="U46" s="11">
        <v>1621</v>
      </c>
      <c r="V46" s="11">
        <v>1590</v>
      </c>
      <c r="W46" s="11">
        <v>1089</v>
      </c>
      <c r="X46" s="11">
        <v>1525</v>
      </c>
      <c r="Y46" s="11">
        <v>1566</v>
      </c>
      <c r="Z46" s="11">
        <v>1782</v>
      </c>
      <c r="AA46" s="11">
        <v>1632</v>
      </c>
      <c r="AB46" s="11">
        <v>2061</v>
      </c>
      <c r="AC46" s="11">
        <v>2332</v>
      </c>
      <c r="AD46" s="11">
        <v>2590</v>
      </c>
      <c r="AE46" s="11">
        <v>2212</v>
      </c>
      <c r="AF46" s="11">
        <v>2680</v>
      </c>
      <c r="AG46" s="11">
        <v>3074</v>
      </c>
      <c r="AH46" s="11">
        <v>2872</v>
      </c>
      <c r="AI46" s="11">
        <v>2242</v>
      </c>
      <c r="AJ46" s="11">
        <v>2407</v>
      </c>
      <c r="AK46" s="11">
        <v>2944</v>
      </c>
      <c r="AL46" s="11">
        <v>2856</v>
      </c>
      <c r="AM46" s="11">
        <v>2047</v>
      </c>
      <c r="AN46" s="11">
        <v>3135</v>
      </c>
      <c r="AO46" s="11">
        <v>3433</v>
      </c>
      <c r="AP46" s="11">
        <v>3933</v>
      </c>
      <c r="AQ46" s="11">
        <v>3654</v>
      </c>
      <c r="AR46" s="11">
        <v>5582</v>
      </c>
      <c r="AS46" s="11">
        <v>3842</v>
      </c>
      <c r="AT46" s="11">
        <v>6250</v>
      </c>
      <c r="AU46" s="11">
        <v>7021</v>
      </c>
    </row>
    <row r="47" spans="1:47" ht="14.4">
      <c r="A47" s="1" t="s">
        <v>270</v>
      </c>
      <c r="B47" s="1" t="s">
        <v>46</v>
      </c>
      <c r="C47" s="11">
        <v>219</v>
      </c>
      <c r="D47" s="11">
        <v>216</v>
      </c>
      <c r="E47" s="11">
        <v>212</v>
      </c>
      <c r="F47" s="11">
        <v>184</v>
      </c>
      <c r="G47" s="11">
        <v>80</v>
      </c>
      <c r="H47" s="11">
        <v>213</v>
      </c>
      <c r="I47" s="11">
        <v>228</v>
      </c>
      <c r="J47" s="11">
        <v>265</v>
      </c>
      <c r="K47" s="11">
        <v>295</v>
      </c>
      <c r="L47" s="11">
        <v>204</v>
      </c>
      <c r="M47" s="11">
        <v>163</v>
      </c>
      <c r="N47" s="11">
        <v>288</v>
      </c>
      <c r="O47" s="11">
        <v>300</v>
      </c>
      <c r="P47" s="11">
        <v>363</v>
      </c>
      <c r="Q47" s="11">
        <v>445</v>
      </c>
      <c r="R47" s="11">
        <v>296</v>
      </c>
      <c r="S47" s="11">
        <v>318</v>
      </c>
      <c r="T47" s="11">
        <v>276</v>
      </c>
      <c r="U47" s="11">
        <v>336</v>
      </c>
      <c r="V47" s="11">
        <v>348</v>
      </c>
      <c r="W47" s="11">
        <v>260</v>
      </c>
      <c r="X47" s="11">
        <v>303</v>
      </c>
      <c r="Y47" s="11">
        <v>331</v>
      </c>
      <c r="Z47" s="11">
        <v>408</v>
      </c>
      <c r="AA47" s="11">
        <v>320</v>
      </c>
      <c r="AB47" s="11">
        <v>446</v>
      </c>
      <c r="AC47" s="11">
        <v>360</v>
      </c>
      <c r="AD47" s="11">
        <v>342</v>
      </c>
      <c r="AE47" s="11">
        <v>493</v>
      </c>
      <c r="AF47" s="11">
        <v>474</v>
      </c>
      <c r="AG47" s="11">
        <v>715</v>
      </c>
      <c r="AH47" s="11">
        <v>526</v>
      </c>
      <c r="AI47" s="11">
        <v>485</v>
      </c>
      <c r="AJ47" s="11">
        <v>528</v>
      </c>
      <c r="AK47" s="11">
        <v>516</v>
      </c>
      <c r="AL47" s="11">
        <v>564</v>
      </c>
      <c r="AM47" s="11">
        <v>654</v>
      </c>
      <c r="AN47" s="11"/>
      <c r="AO47" s="11">
        <v>874</v>
      </c>
      <c r="AP47" s="11">
        <v>874</v>
      </c>
      <c r="AQ47" s="11">
        <v>792</v>
      </c>
      <c r="AR47" s="11">
        <v>1328</v>
      </c>
      <c r="AS47" s="11">
        <v>875</v>
      </c>
      <c r="AT47" s="11">
        <v>-412</v>
      </c>
      <c r="AU47" s="11">
        <v>1704</v>
      </c>
    </row>
    <row r="48" spans="1:47" ht="14.4">
      <c r="A48" s="1" t="s">
        <v>271</v>
      </c>
      <c r="B48" s="1" t="s">
        <v>46</v>
      </c>
      <c r="C48" s="11">
        <v>625</v>
      </c>
      <c r="D48" s="11">
        <v>726</v>
      </c>
      <c r="E48" s="11">
        <v>790</v>
      </c>
      <c r="F48" s="11">
        <v>829</v>
      </c>
      <c r="G48" s="11">
        <v>331</v>
      </c>
      <c r="H48" s="11">
        <v>643</v>
      </c>
      <c r="I48" s="11">
        <v>672</v>
      </c>
      <c r="J48" s="11">
        <v>1075</v>
      </c>
      <c r="K48" s="11">
        <v>555</v>
      </c>
      <c r="L48" s="11">
        <v>733</v>
      </c>
      <c r="M48" s="11">
        <v>826</v>
      </c>
      <c r="N48" s="11">
        <v>973</v>
      </c>
      <c r="O48" s="11">
        <v>904</v>
      </c>
      <c r="P48" s="11">
        <v>1167</v>
      </c>
      <c r="Q48" s="11">
        <v>1051</v>
      </c>
      <c r="R48" s="11">
        <v>1099</v>
      </c>
      <c r="S48" s="11">
        <v>914</v>
      </c>
      <c r="T48" s="11">
        <v>1251</v>
      </c>
      <c r="U48" s="11">
        <v>1285</v>
      </c>
      <c r="V48" s="11">
        <v>1242</v>
      </c>
      <c r="W48" s="11">
        <v>829</v>
      </c>
      <c r="X48" s="11">
        <v>1222</v>
      </c>
      <c r="Y48" s="11">
        <v>1235</v>
      </c>
      <c r="Z48" s="11">
        <v>1374</v>
      </c>
      <c r="AA48" s="11">
        <v>1312</v>
      </c>
      <c r="AB48" s="11">
        <v>1615</v>
      </c>
      <c r="AC48" s="11">
        <v>1972</v>
      </c>
      <c r="AD48" s="11">
        <v>2248</v>
      </c>
      <c r="AE48" s="11">
        <v>1719</v>
      </c>
      <c r="AF48" s="11">
        <v>2206</v>
      </c>
      <c r="AG48" s="11">
        <v>2359</v>
      </c>
      <c r="AH48" s="11">
        <v>2346</v>
      </c>
      <c r="AI48" s="11">
        <v>1757</v>
      </c>
      <c r="AJ48" s="11">
        <v>1879</v>
      </c>
      <c r="AK48" s="11">
        <v>2428</v>
      </c>
      <c r="AL48" s="11">
        <v>2292</v>
      </c>
      <c r="AM48" s="11">
        <v>1393</v>
      </c>
      <c r="AN48" s="11"/>
      <c r="AO48" s="11">
        <v>2559</v>
      </c>
      <c r="AP48" s="11">
        <v>3073</v>
      </c>
      <c r="AQ48" s="11">
        <v>3564</v>
      </c>
      <c r="AR48" s="11">
        <v>4254</v>
      </c>
      <c r="AS48" s="11">
        <v>2967</v>
      </c>
      <c r="AT48" s="11">
        <v>6662</v>
      </c>
      <c r="AU48" s="11">
        <v>5317</v>
      </c>
    </row>
    <row r="49" spans="1:47" ht="14.4">
      <c r="A49" s="1" t="s">
        <v>272</v>
      </c>
      <c r="B49" s="1" t="s">
        <v>46</v>
      </c>
      <c r="C49" s="11">
        <v>40</v>
      </c>
      <c r="D49" s="11">
        <v>43</v>
      </c>
      <c r="E49" s="11">
        <v>48</v>
      </c>
      <c r="F49" s="11">
        <v>39</v>
      </c>
      <c r="G49" s="11">
        <v>46</v>
      </c>
      <c r="H49" s="11">
        <v>54</v>
      </c>
      <c r="I49" s="11">
        <v>48</v>
      </c>
      <c r="J49" s="11">
        <v>72</v>
      </c>
      <c r="K49" s="11">
        <v>42</v>
      </c>
      <c r="L49" s="11">
        <v>61</v>
      </c>
      <c r="M49" s="11">
        <v>70</v>
      </c>
      <c r="N49" s="11">
        <v>112</v>
      </c>
      <c r="O49" s="11">
        <v>46</v>
      </c>
      <c r="P49" s="11">
        <v>49</v>
      </c>
      <c r="Q49" s="11">
        <v>49</v>
      </c>
      <c r="R49" s="11">
        <v>44</v>
      </c>
      <c r="S49" s="11">
        <v>24</v>
      </c>
      <c r="T49" s="11">
        <v>56</v>
      </c>
      <c r="U49" s="11">
        <v>52</v>
      </c>
      <c r="V49" s="11">
        <v>106</v>
      </c>
      <c r="W49" s="11">
        <v>30</v>
      </c>
      <c r="X49" s="11">
        <v>15</v>
      </c>
      <c r="Y49" s="11">
        <v>15</v>
      </c>
      <c r="Z49" s="11">
        <v>44</v>
      </c>
      <c r="AA49" s="11">
        <v>76</v>
      </c>
      <c r="AB49" s="11">
        <v>148</v>
      </c>
      <c r="AC49" s="11">
        <v>135</v>
      </c>
      <c r="AD49" s="11">
        <v>171</v>
      </c>
      <c r="AE49" s="11">
        <v>222</v>
      </c>
      <c r="AF49" s="11">
        <v>195</v>
      </c>
      <c r="AG49" s="11">
        <v>77</v>
      </c>
      <c r="AH49" s="11">
        <v>19</v>
      </c>
      <c r="AI49" s="11">
        <v>104</v>
      </c>
      <c r="AJ49" s="11">
        <v>69</v>
      </c>
      <c r="AK49" s="11">
        <v>48</v>
      </c>
      <c r="AL49" s="11">
        <v>55</v>
      </c>
      <c r="AM49" s="11">
        <v>61</v>
      </c>
      <c r="AN49" s="11">
        <v>314</v>
      </c>
      <c r="AO49" s="11">
        <v>404</v>
      </c>
      <c r="AP49" s="11">
        <v>461</v>
      </c>
      <c r="AQ49" s="11">
        <v>390</v>
      </c>
      <c r="AR49" s="11">
        <v>496</v>
      </c>
      <c r="AS49" s="11">
        <v>465</v>
      </c>
      <c r="AT49" s="11">
        <v>539</v>
      </c>
      <c r="AU49" s="11">
        <v>131</v>
      </c>
    </row>
    <row r="50" spans="1:47" ht="14.4">
      <c r="A50" s="1" t="s">
        <v>273</v>
      </c>
      <c r="B50" s="1" t="s">
        <v>46</v>
      </c>
      <c r="C50" s="11">
        <v>585</v>
      </c>
      <c r="D50" s="11">
        <v>683</v>
      </c>
      <c r="E50" s="11">
        <v>742</v>
      </c>
      <c r="F50" s="11">
        <v>790</v>
      </c>
      <c r="G50" s="11">
        <v>285</v>
      </c>
      <c r="H50" s="11">
        <v>589</v>
      </c>
      <c r="I50" s="11">
        <v>624</v>
      </c>
      <c r="J50" s="11">
        <v>1003</v>
      </c>
      <c r="K50" s="11">
        <v>513</v>
      </c>
      <c r="L50" s="11">
        <v>672</v>
      </c>
      <c r="M50" s="11">
        <v>756</v>
      </c>
      <c r="N50" s="11">
        <v>861</v>
      </c>
      <c r="O50" s="11">
        <v>858</v>
      </c>
      <c r="P50" s="11">
        <v>1118</v>
      </c>
      <c r="Q50" s="11">
        <v>1002</v>
      </c>
      <c r="R50" s="11">
        <v>1055</v>
      </c>
      <c r="S50" s="11">
        <v>890</v>
      </c>
      <c r="T50" s="11">
        <v>1195</v>
      </c>
      <c r="U50" s="11">
        <v>1233</v>
      </c>
      <c r="V50" s="11">
        <v>1136</v>
      </c>
      <c r="W50" s="11">
        <v>799</v>
      </c>
      <c r="X50" s="11">
        <v>1207</v>
      </c>
      <c r="Y50" s="11">
        <v>1220</v>
      </c>
      <c r="Z50" s="11">
        <v>1330</v>
      </c>
      <c r="AA50" s="11">
        <v>1236</v>
      </c>
      <c r="AB50" s="11">
        <v>1467</v>
      </c>
      <c r="AC50" s="11">
        <v>1837</v>
      </c>
      <c r="AD50" s="11">
        <v>2077</v>
      </c>
      <c r="AE50" s="11">
        <v>1497</v>
      </c>
      <c r="AF50" s="11">
        <v>2011</v>
      </c>
      <c r="AG50" s="11">
        <v>2282</v>
      </c>
      <c r="AH50" s="11">
        <v>2327</v>
      </c>
      <c r="AI50" s="11">
        <v>1653</v>
      </c>
      <c r="AJ50" s="11">
        <v>1810</v>
      </c>
      <c r="AK50" s="11">
        <v>2380</v>
      </c>
      <c r="AL50" s="11">
        <v>2237</v>
      </c>
      <c r="AM50" s="11">
        <v>1332</v>
      </c>
      <c r="AN50" s="11"/>
      <c r="AO50" s="11">
        <v>2155</v>
      </c>
      <c r="AP50" s="11">
        <v>2612</v>
      </c>
      <c r="AQ50" s="11">
        <v>3174</v>
      </c>
      <c r="AR50" s="11">
        <v>3758</v>
      </c>
      <c r="AS50" s="11">
        <v>2502</v>
      </c>
      <c r="AT50" s="11">
        <v>6123</v>
      </c>
      <c r="AU50" s="11">
        <v>5186</v>
      </c>
    </row>
    <row r="51" spans="1:47" ht="14.4">
      <c r="A51" s="1" t="s">
        <v>274</v>
      </c>
      <c r="B51" s="1" t="s">
        <v>58</v>
      </c>
      <c r="C51" s="12">
        <v>9.6</v>
      </c>
      <c r="D51" s="12">
        <v>11.2</v>
      </c>
      <c r="E51" s="12">
        <v>12.1</v>
      </c>
      <c r="F51" s="12">
        <v>12.9</v>
      </c>
      <c r="G51" s="12">
        <v>4.7</v>
      </c>
      <c r="H51" s="12">
        <v>9.6</v>
      </c>
      <c r="I51" s="12">
        <v>10.1</v>
      </c>
      <c r="J51" s="12">
        <v>16.3</v>
      </c>
      <c r="K51" s="12">
        <v>8.4</v>
      </c>
      <c r="L51" s="12">
        <v>11</v>
      </c>
      <c r="M51" s="12">
        <v>12.3</v>
      </c>
      <c r="N51" s="12">
        <v>14</v>
      </c>
      <c r="O51" s="12">
        <v>14</v>
      </c>
      <c r="P51" s="12">
        <v>18.2</v>
      </c>
      <c r="Q51" s="12">
        <v>16.3</v>
      </c>
      <c r="R51" s="12">
        <v>17.100000000000001</v>
      </c>
      <c r="S51" s="12">
        <v>14.4</v>
      </c>
      <c r="T51" s="12">
        <v>19.3</v>
      </c>
      <c r="U51" s="12">
        <v>19.8</v>
      </c>
      <c r="V51" s="12">
        <v>18.2</v>
      </c>
      <c r="W51" s="12">
        <v>12.8</v>
      </c>
      <c r="X51" s="12">
        <v>19.899999999999999</v>
      </c>
      <c r="Y51" s="12">
        <v>20.100000000000001</v>
      </c>
      <c r="Z51" s="12">
        <v>21.9</v>
      </c>
      <c r="AA51" s="12">
        <v>20.399999999999999</v>
      </c>
      <c r="AB51" s="12">
        <v>24.2</v>
      </c>
      <c r="AC51" s="12">
        <v>30.3</v>
      </c>
      <c r="AD51" s="12">
        <v>34.1</v>
      </c>
      <c r="AE51" s="12">
        <v>24.6</v>
      </c>
      <c r="AF51" s="12">
        <v>33</v>
      </c>
      <c r="AG51" s="12">
        <v>37.4</v>
      </c>
      <c r="AH51" s="12">
        <v>38.1</v>
      </c>
      <c r="AI51" s="12">
        <v>27</v>
      </c>
      <c r="AJ51" s="12">
        <v>29.6</v>
      </c>
      <c r="AK51" s="12">
        <v>38.6</v>
      </c>
      <c r="AL51" s="12">
        <v>36.200000000000003</v>
      </c>
      <c r="AM51" s="12">
        <v>20.9</v>
      </c>
      <c r="AN51" s="12">
        <v>30.3</v>
      </c>
      <c r="AO51" s="12">
        <v>32.299999999999997</v>
      </c>
      <c r="AP51" s="12">
        <v>7.5</v>
      </c>
      <c r="AQ51" s="12">
        <v>7.4</v>
      </c>
      <c r="AR51" s="12">
        <v>11.2</v>
      </c>
      <c r="AS51" s="12">
        <v>7.5</v>
      </c>
      <c r="AT51" s="12">
        <v>18.2</v>
      </c>
      <c r="AU51" s="12">
        <v>12.3</v>
      </c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8" customHeight="1">
      <c r="A55" s="62" t="s">
        <v>329</v>
      </c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9.95" customHeight="1">
      <c r="A56" s="4" t="s">
        <v>28</v>
      </c>
      <c r="B56" s="4" t="s">
        <v>29</v>
      </c>
      <c r="C56" s="4" t="s">
        <v>30</v>
      </c>
      <c r="D56" s="4" t="s">
        <v>31</v>
      </c>
      <c r="E56" s="4" t="s">
        <v>32</v>
      </c>
      <c r="F56" s="4" t="s">
        <v>33</v>
      </c>
      <c r="G56" s="4" t="s">
        <v>34</v>
      </c>
      <c r="H56" s="4" t="s">
        <v>35</v>
      </c>
      <c r="I56" s="4" t="s">
        <v>36</v>
      </c>
      <c r="J56" s="4" t="s">
        <v>37</v>
      </c>
      <c r="K56" s="4" t="s">
        <v>38</v>
      </c>
      <c r="L56" s="4" t="s">
        <v>39</v>
      </c>
      <c r="M56" s="4" t="s">
        <v>40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 t="s">
        <v>330</v>
      </c>
      <c r="B57" s="1" t="s">
        <v>46</v>
      </c>
      <c r="C57" s="11">
        <v>5067.2474819999998</v>
      </c>
      <c r="D57" s="11">
        <v>4802</v>
      </c>
      <c r="E57" s="11">
        <v>4500</v>
      </c>
      <c r="F57" s="11">
        <v>4191</v>
      </c>
      <c r="G57" s="11">
        <v>4013</v>
      </c>
      <c r="H57" s="11"/>
      <c r="I57" s="11">
        <v>4452</v>
      </c>
      <c r="J57" s="11">
        <v>4455</v>
      </c>
      <c r="K57" s="11">
        <v>4470</v>
      </c>
      <c r="L57" s="11">
        <v>7682</v>
      </c>
      <c r="M57" s="11">
        <v>9425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 t="s">
        <v>331</v>
      </c>
      <c r="B58" s="1" t="s">
        <v>46</v>
      </c>
      <c r="C58" s="11"/>
      <c r="D58" s="11">
        <v>0</v>
      </c>
      <c r="E58" s="11"/>
      <c r="F58" s="11"/>
      <c r="G58" s="11">
        <v>37</v>
      </c>
      <c r="H58" s="11">
        <v>614</v>
      </c>
      <c r="I58" s="11">
        <v>1476</v>
      </c>
      <c r="J58" s="11">
        <v>2365</v>
      </c>
      <c r="K58" s="11">
        <v>2927</v>
      </c>
      <c r="L58" s="11">
        <v>3554</v>
      </c>
      <c r="M58" s="11">
        <v>3056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 t="s">
        <v>332</v>
      </c>
      <c r="B59" s="1" t="s">
        <v>46</v>
      </c>
      <c r="C59" s="11">
        <v>167.30215100000001</v>
      </c>
      <c r="D59" s="11">
        <v>0</v>
      </c>
      <c r="E59" s="11">
        <v>3</v>
      </c>
      <c r="F59" s="11">
        <v>14</v>
      </c>
      <c r="G59" s="11">
        <v>3</v>
      </c>
      <c r="H59" s="11">
        <v>2</v>
      </c>
      <c r="I59" s="11">
        <v>86</v>
      </c>
      <c r="J59" s="11">
        <v>46</v>
      </c>
      <c r="K59" s="11">
        <v>232</v>
      </c>
      <c r="L59" s="11">
        <v>24</v>
      </c>
      <c r="M59" s="11">
        <v>33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 t="s">
        <v>333</v>
      </c>
      <c r="B60" s="1" t="s">
        <v>46</v>
      </c>
      <c r="C60" s="11">
        <v>0</v>
      </c>
      <c r="D60" s="11">
        <v>1848</v>
      </c>
      <c r="E60" s="11">
        <v>2430</v>
      </c>
      <c r="F60" s="11">
        <v>2448</v>
      </c>
      <c r="G60" s="11">
        <v>4091</v>
      </c>
      <c r="H60" s="11">
        <v>4226</v>
      </c>
      <c r="I60" s="11">
        <v>10708</v>
      </c>
      <c r="J60" s="11">
        <v>11665</v>
      </c>
      <c r="K60" s="11">
        <v>11738</v>
      </c>
      <c r="L60" s="11">
        <v>38430</v>
      </c>
      <c r="M60" s="11">
        <v>41671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 t="s">
        <v>334</v>
      </c>
      <c r="B61" s="1" t="s">
        <v>46</v>
      </c>
      <c r="C61" s="11">
        <v>3137.310309</v>
      </c>
      <c r="D61" s="11">
        <v>1826</v>
      </c>
      <c r="E61" s="11">
        <v>1863</v>
      </c>
      <c r="F61" s="11">
        <v>1548</v>
      </c>
      <c r="G61" s="11">
        <v>1897</v>
      </c>
      <c r="H61" s="11">
        <v>1464</v>
      </c>
      <c r="I61" s="11">
        <v>4031</v>
      </c>
      <c r="J61" s="11">
        <v>4634</v>
      </c>
      <c r="K61" s="11">
        <v>4395</v>
      </c>
      <c r="L61" s="11">
        <v>11296</v>
      </c>
      <c r="M61" s="11">
        <v>13443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 t="s">
        <v>335</v>
      </c>
      <c r="B62" s="1" t="s">
        <v>46</v>
      </c>
      <c r="C62" s="11">
        <v>1.2E-4</v>
      </c>
      <c r="D62" s="11">
        <v>0</v>
      </c>
      <c r="E62" s="11">
        <v>0</v>
      </c>
      <c r="F62" s="11">
        <v>0</v>
      </c>
      <c r="G62" s="11">
        <v>5</v>
      </c>
      <c r="H62" s="11">
        <v>0</v>
      </c>
      <c r="I62" s="11">
        <v>5</v>
      </c>
      <c r="J62" s="11">
        <v>0</v>
      </c>
      <c r="K62" s="11">
        <v>0</v>
      </c>
      <c r="L62" s="11"/>
      <c r="M62" s="1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 t="s">
        <v>336</v>
      </c>
      <c r="B63" s="1" t="s">
        <v>46</v>
      </c>
      <c r="C63" s="11"/>
      <c r="D63" s="11"/>
      <c r="E63" s="11">
        <v>53</v>
      </c>
      <c r="F63" s="11">
        <v>45</v>
      </c>
      <c r="G63" s="11">
        <v>5</v>
      </c>
      <c r="H63" s="11"/>
      <c r="I63" s="11">
        <v>1691</v>
      </c>
      <c r="J63" s="11">
        <v>1772</v>
      </c>
      <c r="K63" s="11">
        <v>1464</v>
      </c>
      <c r="L63" s="11">
        <v>3911</v>
      </c>
      <c r="M63" s="11">
        <v>8477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 t="s">
        <v>337</v>
      </c>
      <c r="B64" s="1" t="s">
        <v>46</v>
      </c>
      <c r="C64" s="11"/>
      <c r="D64" s="11">
        <v>205</v>
      </c>
      <c r="E64" s="11">
        <v>301</v>
      </c>
      <c r="F64" s="11">
        <v>243</v>
      </c>
      <c r="G64" s="11">
        <v>650</v>
      </c>
      <c r="H64" s="11">
        <v>1829</v>
      </c>
      <c r="I64" s="11">
        <v>421</v>
      </c>
      <c r="J64" s="11">
        <v>479</v>
      </c>
      <c r="K64" s="11">
        <v>590</v>
      </c>
      <c r="L64" s="11">
        <v>893</v>
      </c>
      <c r="M64" s="11">
        <v>980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 t="s">
        <v>338</v>
      </c>
      <c r="B65" s="1" t="s">
        <v>46</v>
      </c>
      <c r="C65" s="11">
        <v>258.73942499999998</v>
      </c>
      <c r="D65" s="11">
        <v>971</v>
      </c>
      <c r="E65" s="11">
        <v>1231</v>
      </c>
      <c r="F65" s="11">
        <v>1032</v>
      </c>
      <c r="G65" s="11">
        <v>1302</v>
      </c>
      <c r="H65" s="11"/>
      <c r="I65" s="11">
        <v>2736</v>
      </c>
      <c r="J65" s="11">
        <v>3757</v>
      </c>
      <c r="K65" s="11">
        <v>5583</v>
      </c>
      <c r="L65" s="11">
        <v>5470</v>
      </c>
      <c r="M65" s="11">
        <v>6870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 t="s">
        <v>339</v>
      </c>
      <c r="B66" s="1" t="s">
        <v>46</v>
      </c>
      <c r="C66" s="11"/>
      <c r="D66" s="11"/>
      <c r="E66" s="11"/>
      <c r="F66" s="11"/>
      <c r="G66" s="11"/>
      <c r="H66" s="11"/>
      <c r="I66" s="11">
        <v>607</v>
      </c>
      <c r="J66" s="11">
        <v>233</v>
      </c>
      <c r="K66" s="11">
        <v>285</v>
      </c>
      <c r="L66" s="11">
        <v>119</v>
      </c>
      <c r="M66" s="11">
        <v>7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 t="s">
        <v>340</v>
      </c>
      <c r="B67" s="1" t="s">
        <v>46</v>
      </c>
      <c r="C67" s="11">
        <v>1086.302533</v>
      </c>
      <c r="D67" s="11">
        <v>120</v>
      </c>
      <c r="E67" s="11">
        <v>134</v>
      </c>
      <c r="F67" s="11">
        <v>77</v>
      </c>
      <c r="G67" s="11">
        <v>140</v>
      </c>
      <c r="H67" s="11">
        <v>254</v>
      </c>
      <c r="I67" s="11">
        <v>1045</v>
      </c>
      <c r="J67" s="11">
        <v>1364</v>
      </c>
      <c r="K67" s="11">
        <v>3368</v>
      </c>
      <c r="L67" s="11">
        <v>5913</v>
      </c>
      <c r="M67" s="11">
        <v>5801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 t="s">
        <v>341</v>
      </c>
      <c r="B68" s="1" t="s">
        <v>46</v>
      </c>
      <c r="C68" s="11">
        <v>9716.9019000000008</v>
      </c>
      <c r="D68" s="11">
        <v>9772</v>
      </c>
      <c r="E68" s="11">
        <v>10519</v>
      </c>
      <c r="F68" s="11">
        <v>9598</v>
      </c>
      <c r="G68" s="11">
        <v>12888</v>
      </c>
      <c r="H68" s="11">
        <v>13839</v>
      </c>
      <c r="I68" s="11">
        <v>27335</v>
      </c>
      <c r="J68" s="11">
        <v>30770</v>
      </c>
      <c r="K68" s="11">
        <v>35052</v>
      </c>
      <c r="L68" s="11">
        <v>77292</v>
      </c>
      <c r="M68" s="11">
        <v>89756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 t="s">
        <v>342</v>
      </c>
      <c r="B69" s="1" t="s">
        <v>46</v>
      </c>
      <c r="C69" s="11">
        <v>2.5472130000000002</v>
      </c>
      <c r="D69" s="11">
        <v>3</v>
      </c>
      <c r="E69" s="11">
        <v>3</v>
      </c>
      <c r="F69" s="11">
        <v>8</v>
      </c>
      <c r="G69" s="11"/>
      <c r="H69" s="11"/>
      <c r="I69" s="11"/>
      <c r="J69" s="11"/>
      <c r="K69" s="11"/>
      <c r="L69" s="11"/>
      <c r="M69" s="1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 t="s">
        <v>343</v>
      </c>
      <c r="B70" s="1" t="s">
        <v>46</v>
      </c>
      <c r="C70" s="11"/>
      <c r="D70" s="11"/>
      <c r="E70" s="11"/>
      <c r="F70" s="11"/>
      <c r="G70" s="11"/>
      <c r="H70" s="11"/>
      <c r="I70" s="11">
        <v>1184</v>
      </c>
      <c r="J70" s="11">
        <v>1512</v>
      </c>
      <c r="K70" s="11">
        <v>1791</v>
      </c>
      <c r="L70" s="11">
        <v>2426</v>
      </c>
      <c r="M70" s="11">
        <v>3339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 t="s">
        <v>344</v>
      </c>
      <c r="B71" s="1" t="s">
        <v>46</v>
      </c>
      <c r="C71" s="11">
        <v>740</v>
      </c>
      <c r="D71" s="11">
        <v>3158</v>
      </c>
      <c r="E71" s="11">
        <v>3652</v>
      </c>
      <c r="F71" s="11">
        <v>3651</v>
      </c>
      <c r="G71" s="11">
        <v>137</v>
      </c>
      <c r="H71" s="11">
        <v>124</v>
      </c>
      <c r="I71" s="11">
        <v>5</v>
      </c>
      <c r="J71" s="11"/>
      <c r="K71" s="11"/>
      <c r="L71" s="11">
        <v>5</v>
      </c>
      <c r="M71" s="11">
        <v>5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 t="s">
        <v>345</v>
      </c>
      <c r="B72" s="1" t="s">
        <v>46</v>
      </c>
      <c r="C72" s="11">
        <v>5900.595542</v>
      </c>
      <c r="D72" s="11">
        <v>4903</v>
      </c>
      <c r="E72" s="11">
        <v>5858</v>
      </c>
      <c r="F72" s="11">
        <v>5877</v>
      </c>
      <c r="G72" s="11">
        <v>8565</v>
      </c>
      <c r="H72" s="11">
        <v>8895</v>
      </c>
      <c r="I72" s="11">
        <v>13894</v>
      </c>
      <c r="J72" s="11">
        <v>16131</v>
      </c>
      <c r="K72" s="11">
        <v>18039</v>
      </c>
      <c r="L72" s="11">
        <v>25771</v>
      </c>
      <c r="M72" s="11">
        <v>39700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 t="s">
        <v>346</v>
      </c>
      <c r="B73" s="1" t="s">
        <v>46</v>
      </c>
      <c r="C73" s="11">
        <v>2878.627262</v>
      </c>
      <c r="D73" s="11">
        <v>3502</v>
      </c>
      <c r="E73" s="11">
        <v>4102</v>
      </c>
      <c r="F73" s="11">
        <v>5079</v>
      </c>
      <c r="G73" s="11">
        <v>8195</v>
      </c>
      <c r="H73" s="11">
        <v>7999</v>
      </c>
      <c r="I73" s="11">
        <v>4468</v>
      </c>
      <c r="J73" s="11">
        <v>5699</v>
      </c>
      <c r="K73" s="11">
        <v>3213</v>
      </c>
      <c r="L73" s="11">
        <v>7956</v>
      </c>
      <c r="M73" s="11">
        <v>10936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 t="s">
        <v>347</v>
      </c>
      <c r="B74" s="1" t="s">
        <v>46</v>
      </c>
      <c r="C74" s="11">
        <v>483.324412</v>
      </c>
      <c r="D74" s="11">
        <v>573</v>
      </c>
      <c r="E74" s="11">
        <v>81</v>
      </c>
      <c r="F74" s="11">
        <v>497</v>
      </c>
      <c r="G74" s="11">
        <v>839</v>
      </c>
      <c r="H74" s="11">
        <v>123</v>
      </c>
      <c r="I74" s="11">
        <v>67</v>
      </c>
      <c r="J74" s="11">
        <v>88</v>
      </c>
      <c r="K74" s="11">
        <v>139</v>
      </c>
      <c r="L74" s="11">
        <v>876</v>
      </c>
      <c r="M74" s="11">
        <v>56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 t="s">
        <v>348</v>
      </c>
      <c r="B75" s="1" t="s">
        <v>46</v>
      </c>
      <c r="C75" s="11"/>
      <c r="D75" s="11">
        <v>1155</v>
      </c>
      <c r="E75" s="11">
        <v>828</v>
      </c>
      <c r="F75" s="11">
        <v>1549</v>
      </c>
      <c r="G75" s="11">
        <v>2427</v>
      </c>
      <c r="H75" s="11">
        <v>2717</v>
      </c>
      <c r="I75" s="11">
        <v>662</v>
      </c>
      <c r="J75" s="11">
        <v>187</v>
      </c>
      <c r="K75" s="11">
        <v>178</v>
      </c>
      <c r="L75" s="11">
        <v>535</v>
      </c>
      <c r="M75" s="11">
        <v>118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 t="s">
        <v>349</v>
      </c>
      <c r="B76" s="1" t="s">
        <v>46</v>
      </c>
      <c r="C76" s="11"/>
      <c r="D76" s="11">
        <v>624</v>
      </c>
      <c r="E76" s="11">
        <v>650</v>
      </c>
      <c r="F76" s="11">
        <v>203</v>
      </c>
      <c r="G76" s="11">
        <v>411</v>
      </c>
      <c r="H76" s="11">
        <v>358</v>
      </c>
      <c r="I76" s="11"/>
      <c r="J76" s="11"/>
      <c r="K76" s="11"/>
      <c r="L76" s="11"/>
      <c r="M76" s="1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 t="s">
        <v>350</v>
      </c>
      <c r="B77" s="1" t="s">
        <v>46</v>
      </c>
      <c r="C77" s="11">
        <v>2769.2552839999998</v>
      </c>
      <c r="D77" s="11">
        <v>958</v>
      </c>
      <c r="E77" s="11">
        <v>1005</v>
      </c>
      <c r="F77" s="11">
        <v>1136</v>
      </c>
      <c r="G77" s="11">
        <v>936</v>
      </c>
      <c r="H77" s="11">
        <v>1079</v>
      </c>
      <c r="I77" s="11">
        <v>1934</v>
      </c>
      <c r="J77" s="11">
        <v>2447</v>
      </c>
      <c r="K77" s="11">
        <v>2665</v>
      </c>
      <c r="L77" s="11">
        <v>4487</v>
      </c>
      <c r="M77" s="11">
        <v>4909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 t="s">
        <v>351</v>
      </c>
      <c r="B78" s="1" t="s">
        <v>46</v>
      </c>
      <c r="C78" s="11">
        <v>12774.349713</v>
      </c>
      <c r="D78" s="11">
        <v>14876</v>
      </c>
      <c r="E78" s="11">
        <v>16179</v>
      </c>
      <c r="F78" s="11">
        <v>17992</v>
      </c>
      <c r="G78" s="11">
        <v>21510</v>
      </c>
      <c r="H78" s="11">
        <v>21295</v>
      </c>
      <c r="I78" s="11">
        <v>22209</v>
      </c>
      <c r="J78" s="11">
        <v>26064</v>
      </c>
      <c r="K78" s="11">
        <v>26025</v>
      </c>
      <c r="L78" s="11">
        <v>43508</v>
      </c>
      <c r="M78" s="11">
        <v>59058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 t="s">
        <v>352</v>
      </c>
      <c r="B79" s="1" t="s">
        <v>46</v>
      </c>
      <c r="C79" s="11"/>
      <c r="D79" s="11"/>
      <c r="E79" s="11"/>
      <c r="F79" s="11">
        <v>34</v>
      </c>
      <c r="G79" s="11">
        <v>34</v>
      </c>
      <c r="H79" s="11"/>
      <c r="I79" s="11"/>
      <c r="J79" s="11"/>
      <c r="K79" s="11"/>
      <c r="L79" s="11">
        <v>32</v>
      </c>
      <c r="M79" s="11">
        <v>36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 t="s">
        <v>353</v>
      </c>
      <c r="B80" s="1" t="s">
        <v>46</v>
      </c>
      <c r="C80" s="11">
        <v>22491.251733000001</v>
      </c>
      <c r="D80" s="11">
        <v>24648</v>
      </c>
      <c r="E80" s="11">
        <v>26698</v>
      </c>
      <c r="F80" s="11">
        <v>28734</v>
      </c>
      <c r="G80" s="11">
        <v>34398</v>
      </c>
      <c r="H80" s="11">
        <v>35134</v>
      </c>
      <c r="I80" s="11">
        <v>49544</v>
      </c>
      <c r="J80" s="11">
        <v>56834</v>
      </c>
      <c r="K80" s="11">
        <v>61077</v>
      </c>
      <c r="L80" s="11">
        <v>124907</v>
      </c>
      <c r="M80" s="11">
        <v>148814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 t="s">
        <v>354</v>
      </c>
      <c r="B81" s="1" t="s">
        <v>46</v>
      </c>
      <c r="C81" s="11">
        <v>611.86523999999997</v>
      </c>
      <c r="D81" s="11">
        <v>614</v>
      </c>
      <c r="E81" s="11">
        <v>615</v>
      </c>
      <c r="F81" s="11">
        <v>618</v>
      </c>
      <c r="G81" s="11">
        <v>625</v>
      </c>
      <c r="H81" s="11">
        <v>606</v>
      </c>
      <c r="I81" s="11">
        <v>609</v>
      </c>
      <c r="J81" s="11">
        <v>611</v>
      </c>
      <c r="K81" s="11">
        <v>618</v>
      </c>
      <c r="L81" s="11">
        <v>669</v>
      </c>
      <c r="M81" s="11">
        <v>672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 t="s">
        <v>355</v>
      </c>
      <c r="B82" s="1" t="s">
        <v>46</v>
      </c>
      <c r="C82" s="11">
        <v>15295.606687</v>
      </c>
      <c r="D82" s="11">
        <v>16251</v>
      </c>
      <c r="E82" s="11">
        <v>17125</v>
      </c>
      <c r="F82" s="11">
        <v>105</v>
      </c>
      <c r="G82" s="11">
        <v>23340</v>
      </c>
      <c r="H82" s="11">
        <v>24041</v>
      </c>
      <c r="I82" s="11">
        <v>26722</v>
      </c>
      <c r="J82" s="11">
        <v>30214</v>
      </c>
      <c r="K82" s="11">
        <v>35648</v>
      </c>
      <c r="L82" s="11">
        <v>63123</v>
      </c>
      <c r="M82" s="11">
        <v>94704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 t="s">
        <v>356</v>
      </c>
      <c r="B83" s="1" t="s">
        <v>46</v>
      </c>
      <c r="C83" s="11">
        <v>15907.471927000001</v>
      </c>
      <c r="D83" s="11">
        <v>16865</v>
      </c>
      <c r="E83" s="11">
        <v>17740</v>
      </c>
      <c r="F83" s="11">
        <v>723</v>
      </c>
      <c r="G83" s="11">
        <v>23965</v>
      </c>
      <c r="H83" s="11">
        <v>24647</v>
      </c>
      <c r="I83" s="11">
        <v>27331</v>
      </c>
      <c r="J83" s="11">
        <v>30825</v>
      </c>
      <c r="K83" s="11">
        <v>36266</v>
      </c>
      <c r="L83" s="11">
        <v>63792</v>
      </c>
      <c r="M83" s="11">
        <v>95376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 t="s">
        <v>272</v>
      </c>
      <c r="B84" s="1" t="s">
        <v>46</v>
      </c>
      <c r="C84" s="11">
        <v>645.16793099999995</v>
      </c>
      <c r="D84" s="11">
        <v>237</v>
      </c>
      <c r="E84" s="11">
        <v>222</v>
      </c>
      <c r="F84" s="11">
        <v>75</v>
      </c>
      <c r="G84" s="11">
        <v>14</v>
      </c>
      <c r="H84" s="11">
        <v>14</v>
      </c>
      <c r="I84" s="11">
        <v>12</v>
      </c>
      <c r="J84" s="11">
        <v>874</v>
      </c>
      <c r="K84" s="11">
        <v>1003</v>
      </c>
      <c r="L84" s="11">
        <v>19498</v>
      </c>
      <c r="M84" s="11">
        <v>1430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 t="s">
        <v>357</v>
      </c>
      <c r="B85" s="1" t="s">
        <v>46</v>
      </c>
      <c r="C85" s="11">
        <v>16552.639857999999</v>
      </c>
      <c r="D85" s="11">
        <v>17102</v>
      </c>
      <c r="E85" s="11">
        <v>17962</v>
      </c>
      <c r="F85" s="11">
        <v>20798</v>
      </c>
      <c r="G85" s="11">
        <v>23965</v>
      </c>
      <c r="H85" s="11">
        <v>24661</v>
      </c>
      <c r="I85" s="11">
        <v>28314</v>
      </c>
      <c r="J85" s="11">
        <v>31699</v>
      </c>
      <c r="K85" s="11">
        <v>37269</v>
      </c>
      <c r="L85" s="11">
        <v>83290</v>
      </c>
      <c r="M85" s="11">
        <v>96806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 t="s">
        <v>358</v>
      </c>
      <c r="B86" s="1" t="s">
        <v>46</v>
      </c>
      <c r="C86" s="11">
        <v>63.791705999999998</v>
      </c>
      <c r="D86" s="11">
        <v>74</v>
      </c>
      <c r="E86" s="11">
        <v>179</v>
      </c>
      <c r="F86" s="11">
        <v>100</v>
      </c>
      <c r="G86" s="11">
        <v>48</v>
      </c>
      <c r="H86" s="11">
        <v>5</v>
      </c>
      <c r="I86" s="11">
        <v>3365</v>
      </c>
      <c r="J86" s="11">
        <v>3382</v>
      </c>
      <c r="K86" s="11">
        <v>3399</v>
      </c>
      <c r="L86" s="11">
        <v>67</v>
      </c>
      <c r="M86" s="11">
        <v>1167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 t="s">
        <v>359</v>
      </c>
      <c r="B87" s="1" t="s">
        <v>46</v>
      </c>
      <c r="C87" s="11"/>
      <c r="D87" s="11"/>
      <c r="E87" s="11"/>
      <c r="F87" s="11"/>
      <c r="G87" s="11"/>
      <c r="H87" s="11"/>
      <c r="I87" s="11"/>
      <c r="J87" s="11"/>
      <c r="K87" s="11">
        <v>2317</v>
      </c>
      <c r="L87" s="11">
        <v>2735</v>
      </c>
      <c r="M87" s="11">
        <v>2187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 t="s">
        <v>360</v>
      </c>
      <c r="B88" s="1" t="s">
        <v>46</v>
      </c>
      <c r="C88" s="11"/>
      <c r="D88" s="11">
        <v>140</v>
      </c>
      <c r="E88" s="11"/>
      <c r="F88" s="11"/>
      <c r="G88" s="11">
        <v>15</v>
      </c>
      <c r="H88" s="11">
        <v>325</v>
      </c>
      <c r="I88" s="11">
        <v>364</v>
      </c>
      <c r="J88" s="11">
        <v>332</v>
      </c>
      <c r="K88" s="11">
        <v>627</v>
      </c>
      <c r="L88" s="11">
        <v>1844</v>
      </c>
      <c r="M88" s="11">
        <v>2040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 t="s">
        <v>361</v>
      </c>
      <c r="B89" s="1" t="s">
        <v>46</v>
      </c>
      <c r="C89" s="11"/>
      <c r="D89" s="11">
        <v>1416</v>
      </c>
      <c r="E89" s="11">
        <v>1483</v>
      </c>
      <c r="F89" s="11">
        <v>538</v>
      </c>
      <c r="G89" s="11">
        <v>1247</v>
      </c>
      <c r="H89" s="11">
        <v>546</v>
      </c>
      <c r="I89" s="11">
        <v>13</v>
      </c>
      <c r="J89" s="11">
        <v>324</v>
      </c>
      <c r="K89" s="11">
        <v>253</v>
      </c>
      <c r="L89" s="11">
        <v>3653</v>
      </c>
      <c r="M89" s="11">
        <v>4534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 t="s">
        <v>362</v>
      </c>
      <c r="B90" s="1" t="s">
        <v>46</v>
      </c>
      <c r="C90" s="11"/>
      <c r="D90" s="11">
        <v>858</v>
      </c>
      <c r="E90" s="11">
        <v>741</v>
      </c>
      <c r="F90" s="11">
        <v>725</v>
      </c>
      <c r="G90" s="11">
        <v>593</v>
      </c>
      <c r="H90" s="11">
        <v>696</v>
      </c>
      <c r="I90" s="11">
        <v>14</v>
      </c>
      <c r="J90" s="11">
        <v>1276</v>
      </c>
      <c r="K90" s="11">
        <v>1304</v>
      </c>
      <c r="L90" s="11">
        <v>1743</v>
      </c>
      <c r="M90" s="11">
        <v>3189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 t="s">
        <v>363</v>
      </c>
      <c r="B91" s="1" t="s">
        <v>46</v>
      </c>
      <c r="C91" s="11"/>
      <c r="D91" s="11">
        <v>387</v>
      </c>
      <c r="E91" s="11">
        <v>455</v>
      </c>
      <c r="F91" s="11">
        <v>395</v>
      </c>
      <c r="G91" s="11">
        <v>397</v>
      </c>
      <c r="H91" s="11"/>
      <c r="I91" s="11">
        <v>766</v>
      </c>
      <c r="J91" s="11">
        <v>583</v>
      </c>
      <c r="K91" s="11">
        <v>466</v>
      </c>
      <c r="L91" s="11">
        <v>2184</v>
      </c>
      <c r="M91" s="11">
        <v>353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 t="s">
        <v>364</v>
      </c>
      <c r="B92" s="1" t="s">
        <v>46</v>
      </c>
      <c r="C92" s="11"/>
      <c r="D92" s="11">
        <v>82</v>
      </c>
      <c r="E92" s="11">
        <v>17</v>
      </c>
      <c r="F92" s="11">
        <v>12</v>
      </c>
      <c r="G92" s="11">
        <v>17</v>
      </c>
      <c r="H92" s="11">
        <v>17</v>
      </c>
      <c r="I92" s="11">
        <v>51</v>
      </c>
      <c r="J92" s="11">
        <v>59</v>
      </c>
      <c r="K92" s="11">
        <v>127</v>
      </c>
      <c r="L92" s="11">
        <v>1591</v>
      </c>
      <c r="M92" s="11">
        <v>1844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 t="s">
        <v>365</v>
      </c>
      <c r="B93" s="1" t="s">
        <v>46</v>
      </c>
      <c r="C93" s="11">
        <v>911.72297000000003</v>
      </c>
      <c r="D93" s="11">
        <v>2957</v>
      </c>
      <c r="E93" s="11">
        <v>2889</v>
      </c>
      <c r="F93" s="11">
        <v>1770</v>
      </c>
      <c r="G93" s="11">
        <v>2491</v>
      </c>
      <c r="H93" s="11">
        <v>2048</v>
      </c>
      <c r="I93" s="11">
        <v>9438</v>
      </c>
      <c r="J93" s="11">
        <v>7742</v>
      </c>
      <c r="K93" s="11">
        <v>8493</v>
      </c>
      <c r="L93" s="11">
        <v>13817</v>
      </c>
      <c r="M93" s="11">
        <v>15314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 t="s">
        <v>366</v>
      </c>
      <c r="B94" s="1" t="s">
        <v>46</v>
      </c>
      <c r="C94" s="11"/>
      <c r="D94" s="11">
        <v>0</v>
      </c>
      <c r="E94" s="11"/>
      <c r="F94" s="11"/>
      <c r="G94" s="11"/>
      <c r="H94" s="11"/>
      <c r="I94" s="11">
        <v>180</v>
      </c>
      <c r="J94" s="11">
        <v>13</v>
      </c>
      <c r="K94" s="11">
        <v>13</v>
      </c>
      <c r="L94" s="11">
        <v>6938</v>
      </c>
      <c r="M94" s="11">
        <v>2830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 t="s">
        <v>367</v>
      </c>
      <c r="B95" s="1" t="s">
        <v>46</v>
      </c>
      <c r="C95" s="11"/>
      <c r="D95" s="11"/>
      <c r="E95" s="11"/>
      <c r="F95" s="11"/>
      <c r="G95" s="11"/>
      <c r="H95" s="11"/>
      <c r="I95" s="11"/>
      <c r="J95" s="11"/>
      <c r="K95" s="11">
        <v>577</v>
      </c>
      <c r="L95" s="11">
        <v>964</v>
      </c>
      <c r="M95" s="11">
        <v>1094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 t="s">
        <v>368</v>
      </c>
      <c r="B96" s="1" t="s">
        <v>46</v>
      </c>
      <c r="C96" s="11">
        <v>1654.2020170000001</v>
      </c>
      <c r="D96" s="11">
        <v>1237</v>
      </c>
      <c r="E96" s="11">
        <v>1453</v>
      </c>
      <c r="F96" s="11">
        <v>1647</v>
      </c>
      <c r="G96" s="11">
        <v>2634</v>
      </c>
      <c r="H96" s="11">
        <v>3398</v>
      </c>
      <c r="I96" s="11">
        <v>6160</v>
      </c>
      <c r="J96" s="11">
        <v>6481</v>
      </c>
      <c r="K96" s="11">
        <v>8062</v>
      </c>
      <c r="L96" s="11">
        <v>9883</v>
      </c>
      <c r="M96" s="11">
        <v>17754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 t="s">
        <v>369</v>
      </c>
      <c r="B97" s="1" t="s">
        <v>46</v>
      </c>
      <c r="C97" s="11"/>
      <c r="D97" s="11">
        <v>1034</v>
      </c>
      <c r="E97" s="11">
        <v>1733</v>
      </c>
      <c r="F97" s="11">
        <v>1587</v>
      </c>
      <c r="G97" s="11">
        <v>2406</v>
      </c>
      <c r="H97" s="11">
        <v>1195</v>
      </c>
      <c r="I97" s="11">
        <v>2398</v>
      </c>
      <c r="J97" s="11">
        <v>7377</v>
      </c>
      <c r="K97" s="11">
        <v>2375</v>
      </c>
      <c r="L97" s="11">
        <v>4554</v>
      </c>
      <c r="M97" s="11">
        <v>7188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 t="s">
        <v>370</v>
      </c>
      <c r="B98" s="1" t="s">
        <v>46</v>
      </c>
      <c r="C98" s="11">
        <v>1340.9938830000001</v>
      </c>
      <c r="D98" s="11">
        <v>642</v>
      </c>
      <c r="E98" s="11">
        <v>709</v>
      </c>
      <c r="F98" s="11">
        <v>334</v>
      </c>
      <c r="G98" s="11">
        <v>329</v>
      </c>
      <c r="H98" s="11">
        <v>225</v>
      </c>
      <c r="I98" s="11">
        <v>14</v>
      </c>
      <c r="J98" s="11">
        <v>360</v>
      </c>
      <c r="K98" s="11">
        <v>417</v>
      </c>
      <c r="L98" s="11">
        <v>706</v>
      </c>
      <c r="M98" s="11">
        <v>987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 t="s">
        <v>371</v>
      </c>
      <c r="B99" s="1" t="s">
        <v>46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>
        <v>14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 t="s">
        <v>372</v>
      </c>
      <c r="B100" s="1" t="s">
        <v>46</v>
      </c>
      <c r="C100" s="11">
        <v>2031.6930050000001</v>
      </c>
      <c r="D100" s="11">
        <v>1676</v>
      </c>
      <c r="E100" s="11">
        <v>1952</v>
      </c>
      <c r="F100" s="11">
        <v>2265</v>
      </c>
      <c r="G100" s="11">
        <v>2573</v>
      </c>
      <c r="H100" s="11">
        <v>3607</v>
      </c>
      <c r="I100" s="11">
        <v>2324</v>
      </c>
      <c r="J100" s="11">
        <v>2721</v>
      </c>
      <c r="K100" s="11">
        <v>2917</v>
      </c>
      <c r="L100" s="11">
        <v>4330</v>
      </c>
      <c r="M100" s="11">
        <v>6077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 t="s">
        <v>373</v>
      </c>
      <c r="B101" s="1" t="s">
        <v>46</v>
      </c>
      <c r="C101" s="11">
        <v>5026.8889049999998</v>
      </c>
      <c r="D101" s="11">
        <v>4589</v>
      </c>
      <c r="E101" s="11">
        <v>5847</v>
      </c>
      <c r="F101" s="11">
        <v>5833</v>
      </c>
      <c r="G101" s="11">
        <v>7942</v>
      </c>
      <c r="H101" s="11">
        <v>8425</v>
      </c>
      <c r="I101" s="11">
        <v>11792</v>
      </c>
      <c r="J101" s="11">
        <v>17393</v>
      </c>
      <c r="K101" s="11">
        <v>15315</v>
      </c>
      <c r="L101" s="11">
        <v>27375</v>
      </c>
      <c r="M101" s="11">
        <v>36694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 t="s">
        <v>374</v>
      </c>
      <c r="B102" s="1" t="s">
        <v>46</v>
      </c>
      <c r="C102" s="11"/>
      <c r="D102" s="11"/>
      <c r="E102" s="11"/>
      <c r="F102" s="11">
        <v>34</v>
      </c>
      <c r="G102" s="11">
        <v>34</v>
      </c>
      <c r="H102" s="11"/>
      <c r="I102" s="11"/>
      <c r="J102" s="11"/>
      <c r="K102" s="11"/>
      <c r="L102" s="11">
        <v>32</v>
      </c>
      <c r="M102" s="11">
        <v>36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 t="s">
        <v>375</v>
      </c>
      <c r="B103" s="1" t="s">
        <v>46</v>
      </c>
      <c r="C103" s="11">
        <v>5938.6118749999996</v>
      </c>
      <c r="D103" s="11">
        <v>7546</v>
      </c>
      <c r="E103" s="11">
        <v>8736</v>
      </c>
      <c r="F103" s="11">
        <v>7603</v>
      </c>
      <c r="G103" s="11">
        <v>10433</v>
      </c>
      <c r="H103" s="11">
        <v>10473</v>
      </c>
      <c r="I103" s="11">
        <v>21230</v>
      </c>
      <c r="J103" s="11">
        <v>25135</v>
      </c>
      <c r="K103" s="11">
        <v>23808</v>
      </c>
      <c r="L103" s="11">
        <v>41192</v>
      </c>
      <c r="M103" s="11">
        <v>52008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8" customHeight="1">
      <c r="A107" s="62" t="s">
        <v>376</v>
      </c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9.95" customHeight="1">
      <c r="A108" s="4" t="s">
        <v>28</v>
      </c>
      <c r="B108" s="4" t="s">
        <v>29</v>
      </c>
      <c r="C108" s="4" t="s">
        <v>30</v>
      </c>
      <c r="D108" s="4" t="s">
        <v>31</v>
      </c>
      <c r="E108" s="4" t="s">
        <v>32</v>
      </c>
      <c r="F108" s="4" t="s">
        <v>33</v>
      </c>
      <c r="G108" s="4" t="s">
        <v>34</v>
      </c>
      <c r="H108" s="4" t="s">
        <v>35</v>
      </c>
      <c r="I108" s="4" t="s">
        <v>36</v>
      </c>
      <c r="J108" s="4" t="s">
        <v>37</v>
      </c>
      <c r="K108" s="4" t="s">
        <v>38</v>
      </c>
      <c r="L108" s="4" t="s">
        <v>39</v>
      </c>
      <c r="M108" s="4" t="s">
        <v>40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 t="s">
        <v>267</v>
      </c>
      <c r="B109" s="1" t="s">
        <v>46</v>
      </c>
      <c r="C109" s="11">
        <v>3814.532385</v>
      </c>
      <c r="D109" s="11"/>
      <c r="E109" s="11">
        <v>4036</v>
      </c>
      <c r="F109" s="11"/>
      <c r="G109" s="11"/>
      <c r="H109" s="11">
        <v>5962</v>
      </c>
      <c r="I109" s="11">
        <v>8615</v>
      </c>
      <c r="J109" s="11">
        <v>9512</v>
      </c>
      <c r="K109" s="11">
        <v>10449</v>
      </c>
      <c r="L109" s="11"/>
      <c r="M109" s="1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 t="s">
        <v>264</v>
      </c>
      <c r="B110" s="1" t="s">
        <v>46</v>
      </c>
      <c r="C110" s="11">
        <v>1101.2935480000001</v>
      </c>
      <c r="D110" s="11"/>
      <c r="E110" s="11">
        <v>1274</v>
      </c>
      <c r="F110" s="11"/>
      <c r="G110" s="11"/>
      <c r="H110" s="11"/>
      <c r="I110" s="11">
        <v>2272</v>
      </c>
      <c r="J110" s="11">
        <v>2585</v>
      </c>
      <c r="K110" s="11">
        <v>3186</v>
      </c>
      <c r="L110" s="11">
        <v>4683</v>
      </c>
      <c r="M110" s="11">
        <v>6819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 t="s">
        <v>377</v>
      </c>
      <c r="B111" s="1" t="s">
        <v>46</v>
      </c>
      <c r="C111" s="11">
        <v>17.546337000000001</v>
      </c>
      <c r="D111" s="11"/>
      <c r="E111" s="11">
        <v>97</v>
      </c>
      <c r="F111" s="11"/>
      <c r="G111" s="11"/>
      <c r="H111" s="11"/>
      <c r="I111" s="11">
        <v>355</v>
      </c>
      <c r="J111" s="11">
        <v>544</v>
      </c>
      <c r="K111" s="11">
        <v>810</v>
      </c>
      <c r="L111" s="11">
        <v>1700</v>
      </c>
      <c r="M111" s="11">
        <v>1909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 t="s">
        <v>378</v>
      </c>
      <c r="B112" s="1" t="s">
        <v>46</v>
      </c>
      <c r="C112" s="11">
        <v>23.123342999999998</v>
      </c>
      <c r="D112" s="11"/>
      <c r="E112" s="11">
        <v>13</v>
      </c>
      <c r="F112" s="11"/>
      <c r="G112" s="11"/>
      <c r="H112" s="11"/>
      <c r="I112" s="11">
        <v>609</v>
      </c>
      <c r="J112" s="11">
        <v>768</v>
      </c>
      <c r="K112" s="11">
        <v>1205</v>
      </c>
      <c r="L112" s="11">
        <v>1305</v>
      </c>
      <c r="M112" s="11">
        <v>1581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 t="s">
        <v>379</v>
      </c>
      <c r="B113" s="1" t="s">
        <v>46</v>
      </c>
      <c r="C113" s="11">
        <v>-74.255047000000005</v>
      </c>
      <c r="D113" s="11"/>
      <c r="E113" s="11">
        <v>-47</v>
      </c>
      <c r="F113" s="11"/>
      <c r="G113" s="11"/>
      <c r="H113" s="11"/>
      <c r="I113" s="11"/>
      <c r="J113" s="11"/>
      <c r="K113" s="11"/>
      <c r="L113" s="11"/>
      <c r="M113" s="11">
        <v>-334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 t="s">
        <v>380</v>
      </c>
      <c r="B114" s="1" t="s">
        <v>46</v>
      </c>
      <c r="C114" s="11">
        <v>267.87401399999999</v>
      </c>
      <c r="D114" s="11"/>
      <c r="E114" s="11">
        <v>-832</v>
      </c>
      <c r="F114" s="11"/>
      <c r="G114" s="11"/>
      <c r="H114" s="11"/>
      <c r="I114" s="11">
        <v>-3152</v>
      </c>
      <c r="J114" s="11">
        <v>-2126</v>
      </c>
      <c r="K114" s="11">
        <v>-1668</v>
      </c>
      <c r="L114" s="11">
        <v>-7425</v>
      </c>
      <c r="M114" s="11">
        <v>-15516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 t="s">
        <v>381</v>
      </c>
      <c r="B115" s="1" t="s">
        <v>46</v>
      </c>
      <c r="C115" s="11"/>
      <c r="D115" s="11"/>
      <c r="E115" s="11">
        <v>-84</v>
      </c>
      <c r="F115" s="11"/>
      <c r="G115" s="11"/>
      <c r="H115" s="11"/>
      <c r="I115" s="11">
        <v>-1276</v>
      </c>
      <c r="J115" s="11">
        <v>-769</v>
      </c>
      <c r="K115" s="11">
        <v>-2024</v>
      </c>
      <c r="L115" s="11">
        <v>-3733</v>
      </c>
      <c r="M115" s="11">
        <v>685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 t="s">
        <v>382</v>
      </c>
      <c r="B116" s="1" t="s">
        <v>46</v>
      </c>
      <c r="C116" s="11">
        <v>-490.59606000000002</v>
      </c>
      <c r="D116" s="11"/>
      <c r="E116" s="11">
        <v>217</v>
      </c>
      <c r="F116" s="11"/>
      <c r="G116" s="11"/>
      <c r="H116" s="11"/>
      <c r="I116" s="11">
        <v>2153</v>
      </c>
      <c r="J116" s="11">
        <v>175</v>
      </c>
      <c r="K116" s="11">
        <v>1725</v>
      </c>
      <c r="L116" s="11">
        <v>1680</v>
      </c>
      <c r="M116" s="11">
        <v>6097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 t="s">
        <v>383</v>
      </c>
      <c r="B117" s="1" t="s">
        <v>46</v>
      </c>
      <c r="C117" s="11">
        <v>-348.39083099999999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>
        <v>-430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 t="s">
        <v>384</v>
      </c>
      <c r="B118" s="1" t="s">
        <v>46</v>
      </c>
      <c r="C118" s="11">
        <v>-987.07835399999999</v>
      </c>
      <c r="D118" s="11"/>
      <c r="E118" s="11">
        <v>-1111</v>
      </c>
      <c r="F118" s="11"/>
      <c r="G118" s="11"/>
      <c r="H118" s="11"/>
      <c r="I118" s="11">
        <v>-2646</v>
      </c>
      <c r="J118" s="11">
        <v>-2800</v>
      </c>
      <c r="K118" s="11">
        <v>-3661</v>
      </c>
      <c r="L118" s="11">
        <v>-3959</v>
      </c>
      <c r="M118" s="11">
        <v>-4385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 t="s">
        <v>59</v>
      </c>
      <c r="B119" s="1" t="s">
        <v>46</v>
      </c>
      <c r="C119" s="11">
        <v>3602.9215859999999</v>
      </c>
      <c r="D119" s="11">
        <v>4723</v>
      </c>
      <c r="E119" s="11">
        <v>3824</v>
      </c>
      <c r="F119" s="11">
        <v>4527</v>
      </c>
      <c r="G119" s="11">
        <v>2969</v>
      </c>
      <c r="H119" s="11">
        <v>7623</v>
      </c>
      <c r="I119" s="11">
        <v>7656</v>
      </c>
      <c r="J119" s="11">
        <v>9505</v>
      </c>
      <c r="K119" s="11">
        <v>9034</v>
      </c>
      <c r="L119" s="11">
        <v>12371</v>
      </c>
      <c r="M119" s="11">
        <v>17917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 t="s">
        <v>385</v>
      </c>
      <c r="B120" s="1" t="s">
        <v>46</v>
      </c>
      <c r="C120" s="11">
        <v>-1609.116538</v>
      </c>
      <c r="D120" s="11"/>
      <c r="E120" s="11"/>
      <c r="F120" s="11"/>
      <c r="G120" s="11"/>
      <c r="H120" s="11"/>
      <c r="I120" s="11">
        <v>-1541</v>
      </c>
      <c r="J120" s="11">
        <v>-1582</v>
      </c>
      <c r="K120" s="11">
        <v>-2655</v>
      </c>
      <c r="L120" s="11">
        <v>-6144</v>
      </c>
      <c r="M120" s="11">
        <v>-7425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 t="s">
        <v>386</v>
      </c>
      <c r="B121" s="1" t="s">
        <v>46</v>
      </c>
      <c r="C121" s="11">
        <v>12.656834999999999</v>
      </c>
      <c r="D121" s="11"/>
      <c r="E121" s="11"/>
      <c r="F121" s="11"/>
      <c r="G121" s="11"/>
      <c r="H121" s="11"/>
      <c r="I121" s="11">
        <v>66</v>
      </c>
      <c r="J121" s="11">
        <v>45</v>
      </c>
      <c r="K121" s="11">
        <v>57</v>
      </c>
      <c r="L121" s="11">
        <v>572</v>
      </c>
      <c r="M121" s="11">
        <v>1474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 t="s">
        <v>387</v>
      </c>
      <c r="B122" s="1" t="s">
        <v>46</v>
      </c>
      <c r="C122" s="11"/>
      <c r="D122" s="11"/>
      <c r="E122" s="11"/>
      <c r="F122" s="11"/>
      <c r="G122" s="11"/>
      <c r="H122" s="11"/>
      <c r="I122" s="11">
        <v>-8557</v>
      </c>
      <c r="J122" s="11">
        <v>-1222</v>
      </c>
      <c r="K122" s="11">
        <v>0</v>
      </c>
      <c r="L122" s="11">
        <v>-20810</v>
      </c>
      <c r="M122" s="11">
        <v>-3206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 t="s">
        <v>388</v>
      </c>
      <c r="B123" s="1" t="s">
        <v>46</v>
      </c>
      <c r="C123" s="11"/>
      <c r="D123" s="11"/>
      <c r="E123" s="11">
        <v>-5608</v>
      </c>
      <c r="F123" s="11"/>
      <c r="G123" s="11"/>
      <c r="H123" s="11"/>
      <c r="I123" s="11"/>
      <c r="J123" s="11"/>
      <c r="K123" s="11"/>
      <c r="L123" s="11"/>
      <c r="M123" s="1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 t="s">
        <v>389</v>
      </c>
      <c r="B124" s="1" t="s">
        <v>46</v>
      </c>
      <c r="C124" s="11"/>
      <c r="D124" s="11"/>
      <c r="E124" s="11">
        <v>5277</v>
      </c>
      <c r="F124" s="11"/>
      <c r="G124" s="11"/>
      <c r="H124" s="11"/>
      <c r="I124" s="11">
        <v>450</v>
      </c>
      <c r="J124" s="11">
        <v>450</v>
      </c>
      <c r="K124" s="11"/>
      <c r="L124" s="11">
        <v>1185</v>
      </c>
      <c r="M124" s="11">
        <v>1551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 t="s">
        <v>390</v>
      </c>
      <c r="B125" s="1" t="s">
        <v>46</v>
      </c>
      <c r="C125" s="11">
        <v>55.626525999999998</v>
      </c>
      <c r="D125" s="11"/>
      <c r="E125" s="11">
        <v>64</v>
      </c>
      <c r="F125" s="11"/>
      <c r="G125" s="11"/>
      <c r="H125" s="11"/>
      <c r="I125" s="11">
        <v>18</v>
      </c>
      <c r="J125" s="11">
        <v>43</v>
      </c>
      <c r="K125" s="11">
        <v>120</v>
      </c>
      <c r="L125" s="11">
        <v>714</v>
      </c>
      <c r="M125" s="11">
        <v>260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 t="s">
        <v>391</v>
      </c>
      <c r="B126" s="1" t="s">
        <v>46</v>
      </c>
      <c r="C126" s="11">
        <v>-3.0670120000000001</v>
      </c>
      <c r="D126" s="11"/>
      <c r="E126" s="11">
        <v>40</v>
      </c>
      <c r="F126" s="11"/>
      <c r="G126" s="11"/>
      <c r="H126" s="11"/>
      <c r="I126" s="11"/>
      <c r="J126" s="11"/>
      <c r="K126" s="11"/>
      <c r="L126" s="11"/>
      <c r="M126" s="1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 t="s">
        <v>392</v>
      </c>
      <c r="B127" s="1" t="s">
        <v>46</v>
      </c>
      <c r="C127" s="11">
        <v>-3040.5642120000002</v>
      </c>
      <c r="D127" s="11">
        <v>-3063</v>
      </c>
      <c r="E127" s="11">
        <v>-2704</v>
      </c>
      <c r="F127" s="11">
        <v>-2300</v>
      </c>
      <c r="G127" s="11">
        <v>1123</v>
      </c>
      <c r="H127" s="11">
        <v>-2354</v>
      </c>
      <c r="I127" s="11">
        <v>-9564</v>
      </c>
      <c r="J127" s="11">
        <v>-2716</v>
      </c>
      <c r="K127" s="11">
        <v>-2478</v>
      </c>
      <c r="L127" s="11">
        <v>-24483</v>
      </c>
      <c r="M127" s="11">
        <v>-4348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 t="s">
        <v>393</v>
      </c>
      <c r="B128" s="1" t="s">
        <v>46</v>
      </c>
      <c r="C128" s="11">
        <v>14.599244000000001</v>
      </c>
      <c r="D128" s="11"/>
      <c r="E128" s="11"/>
      <c r="F128" s="11"/>
      <c r="G128" s="11"/>
      <c r="H128" s="11">
        <v>18</v>
      </c>
      <c r="I128" s="11">
        <v>51</v>
      </c>
      <c r="J128" s="11">
        <v>18</v>
      </c>
      <c r="K128" s="11">
        <v>7</v>
      </c>
      <c r="L128" s="11">
        <v>22015</v>
      </c>
      <c r="M128" s="11">
        <v>3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 t="s">
        <v>394</v>
      </c>
      <c r="B129" s="1" t="s">
        <v>46</v>
      </c>
      <c r="C129" s="11">
        <v>62.461007000000002</v>
      </c>
      <c r="D129" s="11"/>
      <c r="E129" s="11"/>
      <c r="F129" s="11"/>
      <c r="G129" s="11"/>
      <c r="H129" s="11">
        <v>281</v>
      </c>
      <c r="I129" s="11">
        <v>3578</v>
      </c>
      <c r="J129" s="11">
        <v>3578</v>
      </c>
      <c r="K129" s="11">
        <v>967</v>
      </c>
      <c r="L129" s="11">
        <v>6039</v>
      </c>
      <c r="M129" s="11">
        <v>1976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 t="s">
        <v>395</v>
      </c>
      <c r="B130" s="1" t="s">
        <v>46</v>
      </c>
      <c r="C130" s="11">
        <v>-48.009765999999999</v>
      </c>
      <c r="D130" s="11"/>
      <c r="E130" s="11"/>
      <c r="F130" s="11"/>
      <c r="G130" s="11"/>
      <c r="H130" s="11">
        <v>-306</v>
      </c>
      <c r="I130" s="11">
        <v>-59</v>
      </c>
      <c r="J130" s="11">
        <v>-180</v>
      </c>
      <c r="K130" s="11">
        <v>-180</v>
      </c>
      <c r="L130" s="11">
        <v>-3716</v>
      </c>
      <c r="M130" s="11">
        <v>-5154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 t="s">
        <v>396</v>
      </c>
      <c r="B131" s="1" t="s">
        <v>46</v>
      </c>
      <c r="C131" s="11"/>
      <c r="D131" s="11"/>
      <c r="E131" s="11"/>
      <c r="F131" s="11"/>
      <c r="G131" s="11"/>
      <c r="H131" s="11"/>
      <c r="I131" s="11">
        <v>-386</v>
      </c>
      <c r="J131" s="11">
        <v>-421</v>
      </c>
      <c r="K131" s="11">
        <v>-480</v>
      </c>
      <c r="L131" s="11">
        <v>-866</v>
      </c>
      <c r="M131" s="11">
        <v>-1048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 t="s">
        <v>397</v>
      </c>
      <c r="B132" s="1" t="s">
        <v>46</v>
      </c>
      <c r="C132" s="11">
        <v>-28.391908999999998</v>
      </c>
      <c r="D132" s="11"/>
      <c r="E132" s="11">
        <v>-13</v>
      </c>
      <c r="F132" s="11"/>
      <c r="G132" s="11"/>
      <c r="H132" s="11">
        <v>-79</v>
      </c>
      <c r="I132" s="11">
        <v>-265</v>
      </c>
      <c r="J132" s="11">
        <v>-714</v>
      </c>
      <c r="K132" s="11">
        <v>-1060</v>
      </c>
      <c r="L132" s="11">
        <v>-1438</v>
      </c>
      <c r="M132" s="11">
        <v>-1169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 t="s">
        <v>398</v>
      </c>
      <c r="B133" s="1" t="s">
        <v>46</v>
      </c>
      <c r="C133" s="11">
        <v>-731.36613199999999</v>
      </c>
      <c r="D133" s="11"/>
      <c r="E133" s="11">
        <v>-613</v>
      </c>
      <c r="F133" s="11"/>
      <c r="G133" s="11"/>
      <c r="H133" s="11">
        <v>-686</v>
      </c>
      <c r="I133" s="11">
        <v>-3152</v>
      </c>
      <c r="J133" s="11">
        <v>-3534</v>
      </c>
      <c r="K133" s="11">
        <v>-4664</v>
      </c>
      <c r="L133" s="11">
        <v>-4976</v>
      </c>
      <c r="M133" s="11">
        <v>-5277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 t="s">
        <v>399</v>
      </c>
      <c r="B134" s="1" t="s">
        <v>46</v>
      </c>
      <c r="C134" s="11"/>
      <c r="D134" s="11"/>
      <c r="E134" s="11"/>
      <c r="F134" s="11"/>
      <c r="G134" s="11"/>
      <c r="H134" s="11"/>
      <c r="I134" s="11">
        <v>-596</v>
      </c>
      <c r="J134" s="11">
        <v>-751</v>
      </c>
      <c r="K134" s="11">
        <v>-117</v>
      </c>
      <c r="L134" s="11">
        <v>-121</v>
      </c>
      <c r="M134" s="11">
        <v>-154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 t="s">
        <v>400</v>
      </c>
      <c r="B135" s="1" t="s">
        <v>46</v>
      </c>
      <c r="C135" s="11">
        <v>-726.98609599999997</v>
      </c>
      <c r="D135" s="11">
        <v>-669</v>
      </c>
      <c r="E135" s="11">
        <v>-744</v>
      </c>
      <c r="F135" s="11">
        <v>-1063</v>
      </c>
      <c r="G135" s="11">
        <v>-1327</v>
      </c>
      <c r="H135" s="11">
        <v>-5531</v>
      </c>
      <c r="I135" s="11">
        <v>-1558</v>
      </c>
      <c r="J135" s="11">
        <v>-5582</v>
      </c>
      <c r="K135" s="11">
        <v>-8870</v>
      </c>
      <c r="L135" s="11">
        <v>16753</v>
      </c>
      <c r="M135" s="11">
        <v>-10937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 t="s">
        <v>401</v>
      </c>
      <c r="B136" s="1" t="s">
        <v>46</v>
      </c>
      <c r="C136" s="11"/>
      <c r="D136" s="11">
        <v>-11</v>
      </c>
      <c r="E136" s="11"/>
      <c r="F136" s="11"/>
      <c r="G136" s="11"/>
      <c r="H136" s="11"/>
      <c r="I136" s="11"/>
      <c r="J136" s="11"/>
      <c r="K136" s="11"/>
      <c r="L136" s="11"/>
      <c r="M136" s="11">
        <v>2632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 t="s">
        <v>402</v>
      </c>
      <c r="B137" s="1" t="s">
        <v>46</v>
      </c>
      <c r="C137" s="11">
        <v>2237.7961460000001</v>
      </c>
      <c r="D137" s="11"/>
      <c r="E137" s="11">
        <v>3502</v>
      </c>
      <c r="F137" s="11"/>
      <c r="G137" s="11"/>
      <c r="H137" s="11">
        <v>8195</v>
      </c>
      <c r="I137" s="11">
        <v>7999</v>
      </c>
      <c r="J137" s="11">
        <v>4468</v>
      </c>
      <c r="K137" s="11">
        <v>5699</v>
      </c>
      <c r="L137" s="11">
        <v>3213</v>
      </c>
      <c r="M137" s="11">
        <v>7956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 t="s">
        <v>403</v>
      </c>
      <c r="B138" s="1" t="s">
        <v>46</v>
      </c>
      <c r="C138" s="11">
        <v>155.10373200000001</v>
      </c>
      <c r="D138" s="11"/>
      <c r="E138" s="11">
        <v>172</v>
      </c>
      <c r="F138" s="11"/>
      <c r="G138" s="11"/>
      <c r="H138" s="11">
        <v>66</v>
      </c>
      <c r="I138" s="11">
        <v>-65</v>
      </c>
      <c r="J138" s="11">
        <v>24</v>
      </c>
      <c r="K138" s="11">
        <v>-172</v>
      </c>
      <c r="L138" s="11">
        <v>102</v>
      </c>
      <c r="M138" s="11">
        <v>348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 t="s">
        <v>61</v>
      </c>
      <c r="B139" s="1" t="s">
        <v>46</v>
      </c>
      <c r="C139" s="11">
        <v>2878.627262</v>
      </c>
      <c r="D139" s="11">
        <v>3502</v>
      </c>
      <c r="E139" s="11">
        <v>4102</v>
      </c>
      <c r="F139" s="11">
        <v>5194</v>
      </c>
      <c r="G139" s="11">
        <v>8195</v>
      </c>
      <c r="H139" s="11">
        <v>7999</v>
      </c>
      <c r="I139" s="11">
        <v>4468</v>
      </c>
      <c r="J139" s="11">
        <v>5699</v>
      </c>
      <c r="K139" s="11">
        <v>3213</v>
      </c>
      <c r="L139" s="11">
        <v>7956</v>
      </c>
      <c r="M139" s="11">
        <v>10936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6">
    <mergeCell ref="A107:M107"/>
    <mergeCell ref="A1:AU1"/>
    <mergeCell ref="A2:AU2"/>
    <mergeCell ref="A4:M4"/>
    <mergeCell ref="A30:AU30"/>
    <mergeCell ref="A55:M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26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59" t="s">
        <v>404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60" t="s">
        <v>405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  <c r="O6" s="17"/>
      <c r="P6" s="17"/>
      <c r="Q6" s="17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45</v>
      </c>
      <c r="B7" s="1" t="s">
        <v>49</v>
      </c>
      <c r="C7" s="15"/>
      <c r="D7" s="15"/>
      <c r="E7" s="15"/>
      <c r="F7" s="15"/>
      <c r="G7" s="15"/>
      <c r="H7" s="15"/>
      <c r="I7" s="15">
        <v>866.5</v>
      </c>
      <c r="J7" s="15">
        <v>1001.7</v>
      </c>
      <c r="K7" s="15">
        <v>1118.7</v>
      </c>
      <c r="L7" s="15">
        <v>1448</v>
      </c>
      <c r="M7" s="15">
        <v>1870</v>
      </c>
      <c r="N7" s="17"/>
      <c r="O7" s="17"/>
      <c r="P7" s="17"/>
      <c r="Q7" s="17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45</v>
      </c>
      <c r="B8" s="1" t="s">
        <v>46</v>
      </c>
      <c r="C8" s="16"/>
      <c r="D8" s="16"/>
      <c r="E8" s="16"/>
      <c r="F8" s="16"/>
      <c r="G8" s="16"/>
      <c r="H8" s="16"/>
      <c r="I8" s="16">
        <v>64320</v>
      </c>
      <c r="J8" s="16">
        <v>80146</v>
      </c>
      <c r="K8" s="16">
        <v>91790</v>
      </c>
      <c r="L8" s="16">
        <v>120733</v>
      </c>
      <c r="M8" s="16">
        <v>164027</v>
      </c>
      <c r="N8" s="17"/>
      <c r="O8" s="17"/>
      <c r="P8" s="17"/>
      <c r="Q8" s="17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51</v>
      </c>
      <c r="B9" s="1" t="s">
        <v>49</v>
      </c>
      <c r="C9" s="15">
        <v>420</v>
      </c>
      <c r="D9" s="15">
        <v>457</v>
      </c>
      <c r="E9" s="15">
        <v>507</v>
      </c>
      <c r="F9" s="15">
        <v>646</v>
      </c>
      <c r="G9" s="15">
        <v>748</v>
      </c>
      <c r="H9" s="15">
        <v>781</v>
      </c>
      <c r="I9" s="15">
        <v>1151</v>
      </c>
      <c r="J9" s="15">
        <v>1265</v>
      </c>
      <c r="K9" s="15">
        <v>1973</v>
      </c>
      <c r="L9" s="15">
        <v>3456</v>
      </c>
      <c r="M9" s="15">
        <v>2262</v>
      </c>
      <c r="N9" s="17"/>
      <c r="O9" s="17"/>
      <c r="P9" s="17"/>
      <c r="Q9" s="17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406</v>
      </c>
      <c r="B10" s="1" t="s">
        <v>49</v>
      </c>
      <c r="C10" s="15">
        <v>301</v>
      </c>
      <c r="D10" s="15">
        <v>320</v>
      </c>
      <c r="E10" s="15">
        <v>339</v>
      </c>
      <c r="F10" s="15">
        <v>390</v>
      </c>
      <c r="G10" s="15">
        <v>468</v>
      </c>
      <c r="H10" s="15">
        <v>520</v>
      </c>
      <c r="I10" s="15">
        <v>720</v>
      </c>
      <c r="J10" s="15">
        <v>869</v>
      </c>
      <c r="K10" s="15">
        <v>1019</v>
      </c>
      <c r="L10" s="15">
        <v>1505</v>
      </c>
      <c r="M10" s="15">
        <v>1752</v>
      </c>
      <c r="N10" s="17"/>
      <c r="O10" s="17"/>
      <c r="P10" s="17"/>
      <c r="Q10" s="17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407</v>
      </c>
      <c r="B11" s="1" t="s">
        <v>48</v>
      </c>
      <c r="C11" s="13">
        <v>0.17</v>
      </c>
      <c r="D11" s="13">
        <v>0.19</v>
      </c>
      <c r="E11" s="13">
        <v>0.17</v>
      </c>
      <c r="F11" s="13">
        <v>0.16</v>
      </c>
      <c r="G11" s="13">
        <v>0.16</v>
      </c>
      <c r="H11" s="13">
        <v>0.17</v>
      </c>
      <c r="I11" s="13">
        <v>0.255</v>
      </c>
      <c r="J11" s="13">
        <v>0.307</v>
      </c>
      <c r="K11" s="13">
        <v>0.32200000000000001</v>
      </c>
      <c r="L11" s="13">
        <v>0.30499999999999999</v>
      </c>
      <c r="M11" s="13">
        <v>0.26500000000000001</v>
      </c>
      <c r="N11" s="17"/>
      <c r="O11" s="17"/>
      <c r="P11" s="17"/>
      <c r="Q11" s="17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408</v>
      </c>
      <c r="B12" s="1" t="s">
        <v>48</v>
      </c>
      <c r="C12" s="13">
        <v>0.21</v>
      </c>
      <c r="D12" s="13">
        <v>0.23</v>
      </c>
      <c r="E12" s="13">
        <v>0.26</v>
      </c>
      <c r="F12" s="13">
        <v>0.28999999999999998</v>
      </c>
      <c r="G12" s="13">
        <v>0.3</v>
      </c>
      <c r="H12" s="13">
        <v>0.32</v>
      </c>
      <c r="I12" s="13">
        <v>0.28300000000000003</v>
      </c>
      <c r="J12" s="13">
        <v>0.22600000000000001</v>
      </c>
      <c r="K12" s="13">
        <v>0.222</v>
      </c>
      <c r="L12" s="13">
        <v>0.185</v>
      </c>
      <c r="M12" s="13">
        <v>0.15</v>
      </c>
      <c r="N12" s="17"/>
      <c r="O12" s="17"/>
      <c r="P12" s="17"/>
      <c r="Q12" s="17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409</v>
      </c>
      <c r="B13" s="1" t="s">
        <v>48</v>
      </c>
      <c r="C13" s="13">
        <v>0.35</v>
      </c>
      <c r="D13" s="13">
        <v>0.32</v>
      </c>
      <c r="E13" s="13">
        <v>0.27</v>
      </c>
      <c r="F13" s="13">
        <v>0.27</v>
      </c>
      <c r="G13" s="13">
        <v>0.28000000000000003</v>
      </c>
      <c r="H13" s="13">
        <v>0.19</v>
      </c>
      <c r="I13" s="13">
        <v>0.19</v>
      </c>
      <c r="J13" s="13">
        <v>0.191</v>
      </c>
      <c r="K13" s="13">
        <v>0.18</v>
      </c>
      <c r="L13" s="13">
        <v>0.183</v>
      </c>
      <c r="M13" s="13">
        <v>0.23</v>
      </c>
      <c r="N13" s="17"/>
      <c r="O13" s="17"/>
      <c r="P13" s="17"/>
      <c r="Q13" s="17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410</v>
      </c>
      <c r="B14" s="1" t="s">
        <v>48</v>
      </c>
      <c r="C14" s="13">
        <v>0.04</v>
      </c>
      <c r="D14" s="13">
        <v>0.03</v>
      </c>
      <c r="E14" s="13">
        <v>0.01</v>
      </c>
      <c r="F14" s="13"/>
      <c r="G14" s="13"/>
      <c r="H14" s="13"/>
      <c r="I14" s="13"/>
      <c r="J14" s="13"/>
      <c r="K14" s="13"/>
      <c r="L14" s="13">
        <v>7.6999999999999999E-2</v>
      </c>
      <c r="M14" s="13">
        <v>7.0000000000000007E-2</v>
      </c>
      <c r="N14" s="17"/>
      <c r="O14" s="17"/>
      <c r="P14" s="17"/>
      <c r="Q14" s="17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411</v>
      </c>
      <c r="B15" s="1" t="s">
        <v>48</v>
      </c>
      <c r="C15" s="13"/>
      <c r="D15" s="13"/>
      <c r="E15" s="13"/>
      <c r="F15" s="13"/>
      <c r="G15" s="13"/>
      <c r="H15" s="13"/>
      <c r="I15" s="13"/>
      <c r="J15" s="13"/>
      <c r="K15" s="13"/>
      <c r="L15" s="13">
        <v>7.0000000000000007E-2</v>
      </c>
      <c r="M15" s="13">
        <v>0.10800000000000001</v>
      </c>
      <c r="N15" s="17"/>
      <c r="O15" s="17"/>
      <c r="P15" s="17"/>
      <c r="Q15" s="17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412</v>
      </c>
      <c r="B16" s="1" t="s">
        <v>48</v>
      </c>
      <c r="C16" s="13">
        <v>0.08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7"/>
      <c r="O16" s="17"/>
      <c r="P16" s="17"/>
      <c r="Q16" s="17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413</v>
      </c>
      <c r="B17" s="1" t="s">
        <v>48</v>
      </c>
      <c r="C17" s="13">
        <v>0.15</v>
      </c>
      <c r="D17" s="13"/>
      <c r="E17" s="13"/>
      <c r="F17" s="13">
        <v>0.28000000000000003</v>
      </c>
      <c r="G17" s="13">
        <v>0.26</v>
      </c>
      <c r="H17" s="13">
        <v>0.31</v>
      </c>
      <c r="I17" s="13"/>
      <c r="J17" s="13">
        <v>0.27500000000000002</v>
      </c>
      <c r="K17" s="13">
        <v>0.27600000000000002</v>
      </c>
      <c r="L17" s="13">
        <v>0.17899999999999999</v>
      </c>
      <c r="M17" s="13">
        <v>0.17699999999999999</v>
      </c>
      <c r="N17" s="17"/>
      <c r="O17" s="17"/>
      <c r="P17" s="17"/>
      <c r="Q17" s="17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414</v>
      </c>
      <c r="B18" s="1" t="s">
        <v>48</v>
      </c>
      <c r="C18" s="13">
        <v>0.46</v>
      </c>
      <c r="D18" s="13">
        <v>0.48</v>
      </c>
      <c r="E18" s="13">
        <v>0.49</v>
      </c>
      <c r="F18" s="13">
        <v>0.49</v>
      </c>
      <c r="G18" s="13">
        <v>0.48</v>
      </c>
      <c r="H18" s="13">
        <v>0.48</v>
      </c>
      <c r="I18" s="13">
        <v>0.51800000000000002</v>
      </c>
      <c r="J18" s="13">
        <v>0.499</v>
      </c>
      <c r="K18" s="13">
        <v>0.48299999999999998</v>
      </c>
      <c r="L18" s="13">
        <v>0.54799999999999993</v>
      </c>
      <c r="M18" s="13">
        <v>0.56899999999999995</v>
      </c>
      <c r="N18" s="17"/>
      <c r="O18" s="17"/>
      <c r="P18" s="17"/>
      <c r="Q18" s="17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415</v>
      </c>
      <c r="B19" s="1" t="s">
        <v>48</v>
      </c>
      <c r="C19" s="13">
        <v>0.34</v>
      </c>
      <c r="D19" s="13">
        <v>0.33</v>
      </c>
      <c r="E19" s="13">
        <v>0.31</v>
      </c>
      <c r="F19" s="13">
        <v>0.33</v>
      </c>
      <c r="G19" s="13">
        <v>0.37</v>
      </c>
      <c r="H19" s="13">
        <v>0.37</v>
      </c>
      <c r="I19" s="13">
        <v>0.35399999999999998</v>
      </c>
      <c r="J19" s="13">
        <v>0.38900000000000001</v>
      </c>
      <c r="K19" s="13">
        <v>0.39399999999999996</v>
      </c>
      <c r="L19" s="13">
        <v>0.33700000000000002</v>
      </c>
      <c r="M19" s="13">
        <v>0.28899999999999998</v>
      </c>
      <c r="N19" s="17"/>
      <c r="O19" s="17"/>
      <c r="P19" s="17"/>
      <c r="Q19" s="17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416</v>
      </c>
      <c r="B20" s="1" t="s">
        <v>48</v>
      </c>
      <c r="C20" s="13">
        <v>0.2</v>
      </c>
      <c r="D20" s="13">
        <v>0.19</v>
      </c>
      <c r="E20" s="13">
        <v>0.2</v>
      </c>
      <c r="F20" s="13">
        <v>0.18</v>
      </c>
      <c r="G20" s="13">
        <v>0.15</v>
      </c>
      <c r="H20" s="13">
        <v>0.15</v>
      </c>
      <c r="I20" s="13">
        <v>0.128</v>
      </c>
      <c r="J20" s="13">
        <v>0.11199999999999999</v>
      </c>
      <c r="K20" s="13">
        <v>0.12300000000000001</v>
      </c>
      <c r="L20" s="13">
        <v>0.115</v>
      </c>
      <c r="M20" s="13">
        <v>0.14199999999999999</v>
      </c>
      <c r="N20" s="17"/>
      <c r="O20" s="17"/>
      <c r="P20" s="17"/>
      <c r="Q20" s="17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417</v>
      </c>
      <c r="B21" s="1" t="s">
        <v>48</v>
      </c>
      <c r="C21" s="13">
        <v>0.59</v>
      </c>
      <c r="D21" s="13">
        <v>0.6</v>
      </c>
      <c r="E21" s="13">
        <v>0.61</v>
      </c>
      <c r="F21" s="13">
        <v>0.65</v>
      </c>
      <c r="G21" s="13">
        <v>0.64</v>
      </c>
      <c r="H21" s="13">
        <v>0.62</v>
      </c>
      <c r="I21" s="13">
        <v>0.56000000000000005</v>
      </c>
      <c r="J21" s="13">
        <v>0.501</v>
      </c>
      <c r="K21" s="13">
        <v>0.48299999999999998</v>
      </c>
      <c r="L21" s="13">
        <v>0.46799999999999997</v>
      </c>
      <c r="M21" s="13">
        <v>0.47600000000000003</v>
      </c>
      <c r="N21" s="17"/>
      <c r="O21" s="17"/>
      <c r="P21" s="17"/>
      <c r="Q21" s="17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418</v>
      </c>
      <c r="B22" s="1" t="s">
        <v>48</v>
      </c>
      <c r="C22" s="13">
        <v>0.41</v>
      </c>
      <c r="D22" s="13">
        <v>0.4</v>
      </c>
      <c r="E22" s="13">
        <v>0.39</v>
      </c>
      <c r="F22" s="13">
        <v>0.35</v>
      </c>
      <c r="G22" s="13">
        <v>0.36</v>
      </c>
      <c r="H22" s="13">
        <v>0.38</v>
      </c>
      <c r="I22" s="13">
        <v>0.44</v>
      </c>
      <c r="J22" s="13">
        <v>0.499</v>
      </c>
      <c r="K22" s="13">
        <v>0.51700000000000002</v>
      </c>
      <c r="L22" s="13">
        <v>0.53200000000000003</v>
      </c>
      <c r="M22" s="13">
        <v>0.52400000000000002</v>
      </c>
      <c r="N22" s="17"/>
      <c r="O22" s="17"/>
      <c r="P22" s="17"/>
      <c r="Q22" s="17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419</v>
      </c>
      <c r="B23" s="1" t="s">
        <v>48</v>
      </c>
      <c r="C23" s="13">
        <v>0.45</v>
      </c>
      <c r="D23" s="13">
        <v>0.48</v>
      </c>
      <c r="E23" s="13">
        <v>0.46</v>
      </c>
      <c r="F23" s="13">
        <v>0.47</v>
      </c>
      <c r="G23" s="13">
        <v>0.48</v>
      </c>
      <c r="H23" s="13">
        <v>0.54</v>
      </c>
      <c r="I23" s="13">
        <v>0.54</v>
      </c>
      <c r="J23" s="13">
        <v>0.52</v>
      </c>
      <c r="K23" s="13">
        <v>0.504</v>
      </c>
      <c r="L23" s="13">
        <v>0.46200000000000002</v>
      </c>
      <c r="M23" s="13">
        <v>0.46899999999999997</v>
      </c>
      <c r="N23" s="17"/>
      <c r="O23" s="17"/>
      <c r="P23" s="17"/>
      <c r="Q23" s="17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151</v>
      </c>
      <c r="B24" s="1" t="s">
        <v>48</v>
      </c>
      <c r="C24" s="13">
        <v>0.55000000000000004</v>
      </c>
      <c r="D24" s="13">
        <v>0.52</v>
      </c>
      <c r="E24" s="13">
        <v>0.54</v>
      </c>
      <c r="F24" s="13">
        <v>0.53</v>
      </c>
      <c r="G24" s="13">
        <v>0.52</v>
      </c>
      <c r="H24" s="13">
        <v>0.46</v>
      </c>
      <c r="I24" s="13">
        <v>0.46</v>
      </c>
      <c r="J24" s="13">
        <v>0.48</v>
      </c>
      <c r="K24" s="13">
        <v>0.496</v>
      </c>
      <c r="L24" s="13">
        <v>0.53799999999999992</v>
      </c>
      <c r="M24" s="13">
        <v>0.53100000000000003</v>
      </c>
      <c r="N24" s="17"/>
      <c r="O24" s="17"/>
      <c r="P24" s="17"/>
      <c r="Q24" s="17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420</v>
      </c>
      <c r="B25" s="1" t="s">
        <v>48</v>
      </c>
      <c r="C25" s="13">
        <v>0.91</v>
      </c>
      <c r="D25" s="13">
        <v>0.91</v>
      </c>
      <c r="E25" s="13">
        <v>0.89</v>
      </c>
      <c r="F25" s="13">
        <v>0.9</v>
      </c>
      <c r="G25" s="13">
        <v>0.89</v>
      </c>
      <c r="H25" s="13">
        <v>0.89</v>
      </c>
      <c r="I25" s="13">
        <v>0.93</v>
      </c>
      <c r="J25" s="13">
        <v>0.92</v>
      </c>
      <c r="K25" s="13">
        <v>0.92</v>
      </c>
      <c r="L25" s="13">
        <v>0.94</v>
      </c>
      <c r="M25" s="13">
        <v>0.95499999999999996</v>
      </c>
      <c r="N25" s="17"/>
      <c r="O25" s="17"/>
      <c r="P25" s="17"/>
      <c r="Q25" s="17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421</v>
      </c>
      <c r="B26" s="1" t="s">
        <v>48</v>
      </c>
      <c r="C26" s="13">
        <v>0.32</v>
      </c>
      <c r="D26" s="13">
        <v>0.33</v>
      </c>
      <c r="E26" s="13">
        <v>0.3</v>
      </c>
      <c r="F26" s="13">
        <v>0.28000000000000003</v>
      </c>
      <c r="G26" s="13">
        <v>0.28000000000000003</v>
      </c>
      <c r="H26" s="13">
        <v>0.24</v>
      </c>
      <c r="I26" s="13">
        <v>0.22899999999999998</v>
      </c>
      <c r="J26" s="13">
        <v>0.23199999999999998</v>
      </c>
      <c r="K26" s="13">
        <v>0.23499999999999999</v>
      </c>
      <c r="L26" s="13">
        <v>0.18600000000000003</v>
      </c>
      <c r="M26" s="13">
        <v>0.21</v>
      </c>
      <c r="N26" s="17"/>
      <c r="O26" s="17"/>
      <c r="P26" s="17"/>
      <c r="Q26" s="17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422</v>
      </c>
      <c r="B27" s="1" t="s">
        <v>48</v>
      </c>
      <c r="C27" s="13">
        <v>0.44</v>
      </c>
      <c r="D27" s="13">
        <v>0.45</v>
      </c>
      <c r="E27" s="13">
        <v>0.42</v>
      </c>
      <c r="F27" s="13">
        <v>0.39</v>
      </c>
      <c r="G27" s="13">
        <v>0.38</v>
      </c>
      <c r="H27" s="13">
        <v>0.34</v>
      </c>
      <c r="I27" s="13">
        <v>0.34</v>
      </c>
      <c r="J27" s="13">
        <v>0.35499999999999998</v>
      </c>
      <c r="K27" s="13">
        <v>0.34499999999999997</v>
      </c>
      <c r="L27" s="13">
        <v>0.28399999999999997</v>
      </c>
      <c r="M27" s="13">
        <v>0.308</v>
      </c>
      <c r="N27" s="17"/>
      <c r="O27" s="17"/>
      <c r="P27" s="17"/>
      <c r="Q27" s="17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423</v>
      </c>
      <c r="B28" s="1" t="s">
        <v>64</v>
      </c>
      <c r="C28" s="16">
        <v>28</v>
      </c>
      <c r="D28" s="16">
        <v>15</v>
      </c>
      <c r="E28" s="16">
        <v>31</v>
      </c>
      <c r="F28" s="16">
        <v>40</v>
      </c>
      <c r="G28" s="16">
        <v>41</v>
      </c>
      <c r="H28" s="16">
        <v>45</v>
      </c>
      <c r="I28" s="16">
        <v>47</v>
      </c>
      <c r="J28" s="16">
        <v>44</v>
      </c>
      <c r="K28" s="16">
        <v>29</v>
      </c>
      <c r="L28" s="16">
        <v>47</v>
      </c>
      <c r="M28" s="16">
        <v>31</v>
      </c>
      <c r="N28" s="17"/>
      <c r="O28" s="17"/>
      <c r="P28" s="17"/>
      <c r="Q28" s="17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165</v>
      </c>
      <c r="B29" s="1" t="s">
        <v>166</v>
      </c>
      <c r="C29" s="15">
        <v>65.319999999999993</v>
      </c>
      <c r="D29" s="15">
        <v>67.08</v>
      </c>
      <c r="E29" s="15">
        <v>64.540000000000006</v>
      </c>
      <c r="F29" s="15">
        <v>69.55</v>
      </c>
      <c r="G29" s="15">
        <v>70.540000000000006</v>
      </c>
      <c r="H29" s="15">
        <v>74.319999999999993</v>
      </c>
      <c r="I29" s="15">
        <v>74.180000000000007</v>
      </c>
      <c r="J29" s="15">
        <v>80.05</v>
      </c>
      <c r="K29" s="15">
        <v>82.78</v>
      </c>
      <c r="L29" s="15">
        <v>86.6</v>
      </c>
      <c r="M29" s="15">
        <v>87.8</v>
      </c>
      <c r="N29" s="17"/>
      <c r="O29" s="17"/>
      <c r="P29" s="17"/>
      <c r="Q29" s="17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424</v>
      </c>
      <c r="B30" s="1" t="s">
        <v>48</v>
      </c>
      <c r="C30" s="13"/>
      <c r="D30" s="13"/>
      <c r="E30" s="13"/>
      <c r="F30" s="13"/>
      <c r="G30" s="13"/>
      <c r="H30" s="13"/>
      <c r="I30" s="13"/>
      <c r="J30" s="13">
        <v>0.36299999999999999</v>
      </c>
      <c r="K30" s="13">
        <v>0.35200000000000004</v>
      </c>
      <c r="L30" s="13">
        <v>0.41299999999999998</v>
      </c>
      <c r="M30" s="13">
        <v>0.441</v>
      </c>
      <c r="N30" s="17"/>
      <c r="O30" s="17"/>
      <c r="P30" s="17"/>
      <c r="Q30" s="17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425</v>
      </c>
      <c r="B31" s="1" t="s">
        <v>48</v>
      </c>
      <c r="C31" s="13"/>
      <c r="D31" s="13"/>
      <c r="E31" s="13"/>
      <c r="F31" s="13"/>
      <c r="G31" s="13"/>
      <c r="H31" s="13">
        <v>0.15</v>
      </c>
      <c r="I31" s="13">
        <v>0.13800000000000001</v>
      </c>
      <c r="J31" s="13">
        <v>0.12</v>
      </c>
      <c r="K31" s="13">
        <v>0.115</v>
      </c>
      <c r="L31" s="13">
        <v>9.1999999999999998E-2</v>
      </c>
      <c r="M31" s="13">
        <v>8.199999999999999E-2</v>
      </c>
      <c r="N31" s="17"/>
      <c r="O31" s="17"/>
      <c r="P31" s="17"/>
      <c r="Q31" s="17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426</v>
      </c>
      <c r="B32" s="1" t="s">
        <v>48</v>
      </c>
      <c r="C32" s="13"/>
      <c r="D32" s="13"/>
      <c r="E32" s="13"/>
      <c r="F32" s="13"/>
      <c r="G32" s="13"/>
      <c r="H32" s="13"/>
      <c r="I32" s="13">
        <v>0.20800000000000002</v>
      </c>
      <c r="J32" s="13">
        <v>0.23499999999999999</v>
      </c>
      <c r="K32" s="13">
        <v>0.249</v>
      </c>
      <c r="L32" s="13">
        <v>0.23499999999999999</v>
      </c>
      <c r="M32" s="13">
        <v>0.215</v>
      </c>
      <c r="N32" s="17"/>
      <c r="O32" s="17"/>
      <c r="P32" s="17"/>
      <c r="Q32" s="1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427</v>
      </c>
      <c r="B33" s="1" t="s">
        <v>48</v>
      </c>
      <c r="C33" s="13"/>
      <c r="D33" s="13"/>
      <c r="E33" s="13"/>
      <c r="F33" s="13"/>
      <c r="G33" s="13"/>
      <c r="H33" s="13"/>
      <c r="I33" s="13">
        <v>0.17899999999999999</v>
      </c>
      <c r="J33" s="13">
        <v>0.183</v>
      </c>
      <c r="K33" s="13">
        <v>0.191</v>
      </c>
      <c r="L33" s="13">
        <v>0.17899999999999999</v>
      </c>
      <c r="M33" s="13">
        <v>0.184</v>
      </c>
      <c r="N33" s="17"/>
      <c r="O33" s="17"/>
      <c r="P33" s="17"/>
      <c r="Q33" s="17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428</v>
      </c>
      <c r="B34" s="1" t="s">
        <v>48</v>
      </c>
      <c r="C34" s="13">
        <v>0.05</v>
      </c>
      <c r="D34" s="13">
        <v>0.05</v>
      </c>
      <c r="E34" s="13">
        <v>0.04</v>
      </c>
      <c r="F34" s="13">
        <v>0.04</v>
      </c>
      <c r="G34" s="13">
        <v>0.03</v>
      </c>
      <c r="H34" s="13">
        <v>0.03</v>
      </c>
      <c r="I34" s="13">
        <v>0.107</v>
      </c>
      <c r="J34" s="13">
        <v>9.9000000000000005E-2</v>
      </c>
      <c r="K34" s="13">
        <v>9.4E-2</v>
      </c>
      <c r="L34" s="13">
        <v>8.1000000000000003E-2</v>
      </c>
      <c r="M34" s="13">
        <v>7.9000000000000001E-2</v>
      </c>
      <c r="N34" s="17"/>
      <c r="O34" s="17"/>
      <c r="P34" s="17"/>
      <c r="Q34" s="17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429</v>
      </c>
      <c r="B35" s="1" t="s">
        <v>48</v>
      </c>
      <c r="C35" s="13">
        <v>0.65</v>
      </c>
      <c r="D35" s="13">
        <v>0.67</v>
      </c>
      <c r="E35" s="13">
        <v>0.66</v>
      </c>
      <c r="F35" s="13">
        <v>0.69</v>
      </c>
      <c r="G35" s="13">
        <v>0.73</v>
      </c>
      <c r="H35" s="13">
        <v>0.7</v>
      </c>
      <c r="I35" s="13"/>
      <c r="J35" s="13"/>
      <c r="K35" s="13"/>
      <c r="L35" s="13"/>
      <c r="M35" s="13"/>
      <c r="N35" s="17"/>
      <c r="O35" s="17"/>
      <c r="P35" s="17"/>
      <c r="Q35" s="17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430</v>
      </c>
      <c r="B36" s="1" t="s">
        <v>48</v>
      </c>
      <c r="C36" s="13">
        <v>0.08</v>
      </c>
      <c r="D36" s="13">
        <v>7.0000000000000007E-2</v>
      </c>
      <c r="E36" s="13">
        <v>7.0000000000000007E-2</v>
      </c>
      <c r="F36" s="13">
        <v>0.06</v>
      </c>
      <c r="G36" s="13">
        <v>0.06</v>
      </c>
      <c r="H36" s="13">
        <v>7.0000000000000007E-2</v>
      </c>
      <c r="I36" s="13"/>
      <c r="J36" s="13"/>
      <c r="K36" s="13"/>
      <c r="L36" s="13"/>
      <c r="M36" s="13"/>
      <c r="N36" s="17"/>
      <c r="O36" s="17"/>
      <c r="P36" s="17"/>
      <c r="Q36" s="1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431</v>
      </c>
      <c r="B37" s="1" t="s">
        <v>48</v>
      </c>
      <c r="C37" s="13">
        <v>0.17</v>
      </c>
      <c r="D37" s="13">
        <v>0.18</v>
      </c>
      <c r="E37" s="13">
        <v>0.19</v>
      </c>
      <c r="F37" s="13">
        <v>0.18</v>
      </c>
      <c r="G37" s="13">
        <v>0.17</v>
      </c>
      <c r="H37" s="13">
        <v>0.17</v>
      </c>
      <c r="I37" s="13"/>
      <c r="J37" s="13"/>
      <c r="K37" s="13"/>
      <c r="L37" s="13"/>
      <c r="M37" s="13"/>
      <c r="N37" s="17"/>
      <c r="O37" s="17"/>
      <c r="P37" s="17"/>
      <c r="Q37" s="17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 t="s">
        <v>432</v>
      </c>
      <c r="B38" s="1" t="s">
        <v>48</v>
      </c>
      <c r="C38" s="13">
        <v>0.05</v>
      </c>
      <c r="D38" s="13">
        <v>0.04</v>
      </c>
      <c r="E38" s="13">
        <v>0.04</v>
      </c>
      <c r="F38" s="13">
        <v>0.04</v>
      </c>
      <c r="G38" s="13">
        <v>0.01</v>
      </c>
      <c r="H38" s="13">
        <v>0.04</v>
      </c>
      <c r="I38" s="13"/>
      <c r="J38" s="13"/>
      <c r="K38" s="13"/>
      <c r="L38" s="13"/>
      <c r="M38" s="13"/>
      <c r="N38" s="17"/>
      <c r="O38" s="17"/>
      <c r="P38" s="17"/>
      <c r="Q38" s="17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 t="s">
        <v>433</v>
      </c>
      <c r="B39" s="1" t="s">
        <v>48</v>
      </c>
      <c r="C39" s="13"/>
      <c r="D39" s="13"/>
      <c r="E39" s="13"/>
      <c r="F39" s="13"/>
      <c r="G39" s="13"/>
      <c r="H39" s="13">
        <v>0.16</v>
      </c>
      <c r="I39" s="13">
        <v>0.12</v>
      </c>
      <c r="J39" s="13">
        <v>0.10099999999999999</v>
      </c>
      <c r="K39" s="13">
        <v>8.5000000000000006E-2</v>
      </c>
      <c r="L39" s="13"/>
      <c r="M39" s="13"/>
      <c r="N39" s="17"/>
      <c r="O39" s="17"/>
      <c r="P39" s="17"/>
      <c r="Q39" s="17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 t="s">
        <v>434</v>
      </c>
      <c r="B40" s="1" t="s">
        <v>48</v>
      </c>
      <c r="C40" s="13"/>
      <c r="D40" s="13"/>
      <c r="E40" s="13"/>
      <c r="F40" s="13"/>
      <c r="G40" s="13"/>
      <c r="H40" s="13"/>
      <c r="I40" s="13"/>
      <c r="J40" s="13">
        <v>0.26200000000000001</v>
      </c>
      <c r="K40" s="13">
        <v>0.26700000000000002</v>
      </c>
      <c r="L40" s="13"/>
      <c r="M40" s="13"/>
      <c r="N40" s="17"/>
      <c r="O40" s="17"/>
      <c r="P40" s="17"/>
      <c r="Q40" s="1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 t="s">
        <v>52</v>
      </c>
      <c r="B41" s="1" t="s">
        <v>48</v>
      </c>
      <c r="C41" s="13">
        <v>0.35700000000000004</v>
      </c>
      <c r="D41" s="13">
        <v>44</v>
      </c>
      <c r="E41" s="13">
        <v>0.379</v>
      </c>
      <c r="F41" s="13">
        <v>-36</v>
      </c>
      <c r="G41" s="13">
        <v>0.34399999999999997</v>
      </c>
      <c r="H41" s="13">
        <v>-218</v>
      </c>
      <c r="I41" s="13">
        <v>0.32</v>
      </c>
      <c r="J41" s="13">
        <v>71</v>
      </c>
      <c r="K41" s="13">
        <v>0.32600000000000001</v>
      </c>
      <c r="L41" s="13">
        <v>0.33700000000000002</v>
      </c>
      <c r="M41" s="13">
        <v>0.33800000000000002</v>
      </c>
      <c r="N41" s="17"/>
      <c r="O41" s="17"/>
      <c r="P41" s="17"/>
      <c r="Q41" s="17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 t="s">
        <v>53</v>
      </c>
      <c r="B42" s="1" t="s">
        <v>48</v>
      </c>
      <c r="C42" s="13">
        <v>0.16300000000000001</v>
      </c>
      <c r="D42" s="13">
        <v>106</v>
      </c>
      <c r="E42" s="13">
        <v>0.20499999999999999</v>
      </c>
      <c r="F42" s="13">
        <v>-112</v>
      </c>
      <c r="G42" s="13"/>
      <c r="H42" s="13"/>
      <c r="I42" s="13">
        <v>0.187</v>
      </c>
      <c r="J42" s="13">
        <v>109</v>
      </c>
      <c r="K42" s="13">
        <v>0.17599999999999999</v>
      </c>
      <c r="L42" s="13">
        <v>0.14299999999999999</v>
      </c>
      <c r="M42" s="13">
        <v>0.186</v>
      </c>
      <c r="N42" s="17"/>
      <c r="O42" s="17"/>
      <c r="P42" s="17"/>
      <c r="Q42" s="17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 t="s">
        <v>63</v>
      </c>
      <c r="B43" s="1" t="s">
        <v>64</v>
      </c>
      <c r="C43" s="16">
        <v>9476</v>
      </c>
      <c r="D43" s="16">
        <v>8853</v>
      </c>
      <c r="E43" s="16">
        <v>9423</v>
      </c>
      <c r="F43" s="16">
        <v>10263</v>
      </c>
      <c r="G43" s="16">
        <v>11156</v>
      </c>
      <c r="H43" s="16">
        <v>12391</v>
      </c>
      <c r="I43" s="16">
        <v>22500</v>
      </c>
      <c r="J43" s="16">
        <v>23224</v>
      </c>
      <c r="K43" s="16">
        <v>24726</v>
      </c>
      <c r="L43" s="16">
        <v>33497</v>
      </c>
      <c r="M43" s="16">
        <v>35777</v>
      </c>
      <c r="N43" s="17"/>
      <c r="O43" s="17"/>
      <c r="P43" s="17"/>
      <c r="Q43" s="1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 t="s">
        <v>435</v>
      </c>
      <c r="B44" s="1" t="s">
        <v>64</v>
      </c>
      <c r="C44" s="16"/>
      <c r="D44" s="16"/>
      <c r="E44" s="16"/>
      <c r="F44" s="16"/>
      <c r="G44" s="16"/>
      <c r="H44" s="16"/>
      <c r="I44" s="16">
        <v>14903</v>
      </c>
      <c r="J44" s="16">
        <v>16182</v>
      </c>
      <c r="K44" s="16">
        <v>16930</v>
      </c>
      <c r="L44" s="16">
        <v>23510</v>
      </c>
      <c r="M44" s="16">
        <v>25062</v>
      </c>
      <c r="N44" s="17"/>
      <c r="O44" s="17"/>
      <c r="P44" s="17"/>
      <c r="Q44" s="1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 t="s">
        <v>436</v>
      </c>
      <c r="B45" s="1" t="s">
        <v>64</v>
      </c>
      <c r="C45" s="16"/>
      <c r="D45" s="16"/>
      <c r="E45" s="16"/>
      <c r="F45" s="16"/>
      <c r="G45" s="16"/>
      <c r="H45" s="16"/>
      <c r="I45" s="16">
        <v>6391</v>
      </c>
      <c r="J45" s="16">
        <v>5633</v>
      </c>
      <c r="K45" s="16">
        <v>6313</v>
      </c>
      <c r="L45" s="16">
        <v>7844</v>
      </c>
      <c r="M45" s="16">
        <v>8581</v>
      </c>
      <c r="N45" s="17"/>
      <c r="O45" s="17"/>
      <c r="P45" s="17"/>
      <c r="Q45" s="17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 t="s">
        <v>437</v>
      </c>
      <c r="B46" s="1" t="s">
        <v>64</v>
      </c>
      <c r="C46" s="16">
        <v>8743</v>
      </c>
      <c r="D46" s="16">
        <v>8066</v>
      </c>
      <c r="E46" s="16">
        <v>8588</v>
      </c>
      <c r="F46" s="16">
        <v>9363</v>
      </c>
      <c r="G46" s="16">
        <v>10274</v>
      </c>
      <c r="H46" s="16">
        <v>11469</v>
      </c>
      <c r="I46" s="16">
        <v>21294</v>
      </c>
      <c r="J46" s="16">
        <v>21815</v>
      </c>
      <c r="K46" s="16">
        <v>23243</v>
      </c>
      <c r="L46" s="16">
        <v>31354</v>
      </c>
      <c r="M46" s="16">
        <v>33643</v>
      </c>
      <c r="N46" s="17"/>
      <c r="O46" s="17"/>
      <c r="P46" s="17"/>
      <c r="Q46" s="1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 t="s">
        <v>438</v>
      </c>
      <c r="B47" s="1" t="s">
        <v>67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>
        <v>71795</v>
      </c>
      <c r="N47" s="17"/>
      <c r="O47" s="17"/>
      <c r="P47" s="17"/>
      <c r="Q47" s="1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 t="s">
        <v>439</v>
      </c>
      <c r="B48" s="1" t="s">
        <v>48</v>
      </c>
      <c r="C48" s="13">
        <v>0.79</v>
      </c>
      <c r="D48" s="13">
        <v>0.81</v>
      </c>
      <c r="E48" s="13">
        <v>0.79500000000000004</v>
      </c>
      <c r="F48" s="13">
        <v>0.79299999999999993</v>
      </c>
      <c r="G48" s="13">
        <v>0.78099999999999992</v>
      </c>
      <c r="H48" s="13">
        <v>0.81</v>
      </c>
      <c r="I48" s="13">
        <v>0.7609999999999999</v>
      </c>
      <c r="J48" s="13">
        <v>0.81499999999999995</v>
      </c>
      <c r="K48" s="13">
        <v>0.81700000000000006</v>
      </c>
      <c r="L48" s="13">
        <v>0.82</v>
      </c>
      <c r="M48" s="13">
        <v>0.82499999999999996</v>
      </c>
      <c r="N48" s="17"/>
      <c r="O48" s="17"/>
      <c r="P48" s="17"/>
      <c r="Q48" s="17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 t="s">
        <v>440</v>
      </c>
      <c r="B49" s="1" t="s">
        <v>48</v>
      </c>
      <c r="C49" s="13">
        <v>0.127</v>
      </c>
      <c r="D49" s="13">
        <v>0.127</v>
      </c>
      <c r="E49" s="13">
        <v>0.105</v>
      </c>
      <c r="F49" s="13">
        <v>0.122</v>
      </c>
      <c r="G49" s="13">
        <v>0.11800000000000001</v>
      </c>
      <c r="H49" s="13">
        <v>0.105</v>
      </c>
      <c r="I49" s="13">
        <v>0.17699999999999999</v>
      </c>
      <c r="J49" s="13">
        <v>0.14099999999999999</v>
      </c>
      <c r="K49" s="13">
        <v>0.115</v>
      </c>
      <c r="L49" s="13">
        <v>0.109</v>
      </c>
      <c r="M49" s="13">
        <v>0.10800000000000001</v>
      </c>
      <c r="N49" s="17"/>
      <c r="O49" s="17"/>
      <c r="P49" s="17"/>
      <c r="Q49" s="1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 t="s">
        <v>441</v>
      </c>
      <c r="B50" s="1" t="s">
        <v>182</v>
      </c>
      <c r="C50" s="16">
        <v>80</v>
      </c>
      <c r="D50" s="16">
        <v>64</v>
      </c>
      <c r="E50" s="16">
        <v>70</v>
      </c>
      <c r="F50" s="16">
        <v>62</v>
      </c>
      <c r="G50" s="16">
        <v>74</v>
      </c>
      <c r="H50" s="16">
        <v>70</v>
      </c>
      <c r="I50" s="16">
        <v>63</v>
      </c>
      <c r="J50" s="16">
        <v>61</v>
      </c>
      <c r="K50" s="16">
        <v>56</v>
      </c>
      <c r="L50" s="16">
        <v>60</v>
      </c>
      <c r="M50" s="16">
        <v>69</v>
      </c>
      <c r="N50" s="17"/>
      <c r="O50" s="17"/>
      <c r="P50" s="17"/>
      <c r="Q50" s="1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 t="s">
        <v>442</v>
      </c>
      <c r="B51" s="1" t="s">
        <v>182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>
        <v>25</v>
      </c>
      <c r="N51" s="17"/>
      <c r="O51" s="17"/>
      <c r="P51" s="17"/>
      <c r="Q51" s="1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 t="s">
        <v>443</v>
      </c>
      <c r="B52" s="1" t="s">
        <v>182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>
        <v>13</v>
      </c>
      <c r="N52" s="17"/>
      <c r="O52" s="17"/>
      <c r="P52" s="17"/>
      <c r="Q52" s="1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 t="s">
        <v>444</v>
      </c>
      <c r="B53" s="1" t="s">
        <v>64</v>
      </c>
      <c r="C53" s="16">
        <v>51</v>
      </c>
      <c r="D53" s="16">
        <v>55</v>
      </c>
      <c r="E53" s="16">
        <v>60</v>
      </c>
      <c r="F53" s="16">
        <v>66</v>
      </c>
      <c r="G53" s="16">
        <v>80</v>
      </c>
      <c r="H53" s="16">
        <v>88</v>
      </c>
      <c r="I53" s="16">
        <v>100</v>
      </c>
      <c r="J53" s="16">
        <v>101</v>
      </c>
      <c r="K53" s="16">
        <v>112</v>
      </c>
      <c r="L53" s="16">
        <v>173</v>
      </c>
      <c r="M53" s="16">
        <v>167</v>
      </c>
      <c r="N53" s="17"/>
      <c r="O53" s="17"/>
      <c r="P53" s="17"/>
      <c r="Q53" s="1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 t="s">
        <v>445</v>
      </c>
      <c r="B54" s="1" t="s">
        <v>64</v>
      </c>
      <c r="C54" s="16">
        <v>16</v>
      </c>
      <c r="D54" s="16">
        <v>10</v>
      </c>
      <c r="E54" s="16">
        <v>13</v>
      </c>
      <c r="F54" s="16">
        <v>16</v>
      </c>
      <c r="G54" s="16">
        <v>15</v>
      </c>
      <c r="H54" s="16">
        <v>16</v>
      </c>
      <c r="I54" s="16">
        <v>19</v>
      </c>
      <c r="J54" s="16">
        <v>23</v>
      </c>
      <c r="K54" s="16">
        <v>24</v>
      </c>
      <c r="L54" s="16">
        <v>35</v>
      </c>
      <c r="M54" s="16">
        <v>42</v>
      </c>
      <c r="N54" s="17"/>
      <c r="O54" s="17"/>
      <c r="P54" s="17"/>
      <c r="Q54" s="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 t="s">
        <v>446</v>
      </c>
      <c r="B55" s="1" t="s">
        <v>64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>
        <v>23</v>
      </c>
      <c r="N55" s="17"/>
      <c r="O55" s="17"/>
      <c r="P55" s="17"/>
      <c r="Q55" s="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 t="s">
        <v>447</v>
      </c>
      <c r="B56" s="1" t="s">
        <v>64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>
        <v>9</v>
      </c>
      <c r="N56" s="17"/>
      <c r="O56" s="17"/>
      <c r="P56" s="17"/>
      <c r="Q56" s="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 t="s">
        <v>448</v>
      </c>
      <c r="B57" s="1" t="s">
        <v>64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>
        <v>3</v>
      </c>
      <c r="N57" s="17"/>
      <c r="O57" s="17"/>
      <c r="P57" s="17"/>
      <c r="Q57" s="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 t="s">
        <v>449</v>
      </c>
      <c r="B58" s="1" t="s">
        <v>64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>
        <v>1</v>
      </c>
      <c r="N58" s="17"/>
      <c r="O58" s="17"/>
      <c r="P58" s="17"/>
      <c r="Q58" s="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 t="s">
        <v>450</v>
      </c>
      <c r="B59" s="1" t="s">
        <v>64</v>
      </c>
      <c r="C59" s="16">
        <v>6</v>
      </c>
      <c r="D59" s="16">
        <v>8</v>
      </c>
      <c r="E59" s="16">
        <v>7</v>
      </c>
      <c r="F59" s="16">
        <v>8</v>
      </c>
      <c r="G59" s="16"/>
      <c r="H59" s="16"/>
      <c r="I59" s="16">
        <v>18</v>
      </c>
      <c r="J59" s="16">
        <v>21</v>
      </c>
      <c r="K59" s="16">
        <v>24</v>
      </c>
      <c r="L59" s="16">
        <v>31</v>
      </c>
      <c r="M59" s="16"/>
      <c r="N59" s="17"/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Q1"/>
    <mergeCell ref="A2:Q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260"/>
  <sheetViews>
    <sheetView showGridLines="0" workbookViewId="0"/>
  </sheetViews>
  <sheetFormatPr defaultRowHeight="13.8"/>
  <cols>
    <col min="1" max="1" width="35" customWidth="1"/>
    <col min="2" max="2" width="11" customWidth="1"/>
    <col min="3" max="47" width="10.5" customWidth="1"/>
  </cols>
  <sheetData>
    <row r="1" spans="1:47" ht="25.95" customHeight="1">
      <c r="A1" s="59" t="s">
        <v>451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</row>
    <row r="2" spans="1:47" ht="18" customHeight="1">
      <c r="A2" s="60" t="s">
        <v>452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276</v>
      </c>
      <c r="D5" s="4" t="s">
        <v>277</v>
      </c>
      <c r="E5" s="4" t="s">
        <v>278</v>
      </c>
      <c r="F5" s="4" t="s">
        <v>279</v>
      </c>
      <c r="G5" s="4" t="s">
        <v>280</v>
      </c>
      <c r="H5" s="4" t="s">
        <v>281</v>
      </c>
      <c r="I5" s="4" t="s">
        <v>282</v>
      </c>
      <c r="J5" s="4" t="s">
        <v>283</v>
      </c>
      <c r="K5" s="4" t="s">
        <v>284</v>
      </c>
      <c r="L5" s="4" t="s">
        <v>285</v>
      </c>
      <c r="M5" s="4" t="s">
        <v>286</v>
      </c>
      <c r="N5" s="4" t="s">
        <v>287</v>
      </c>
      <c r="O5" s="4" t="s">
        <v>288</v>
      </c>
      <c r="P5" s="4" t="s">
        <v>289</v>
      </c>
      <c r="Q5" s="4" t="s">
        <v>290</v>
      </c>
      <c r="R5" s="4" t="s">
        <v>291</v>
      </c>
      <c r="S5" s="4" t="s">
        <v>292</v>
      </c>
      <c r="T5" s="4" t="s">
        <v>293</v>
      </c>
      <c r="U5" s="4" t="s">
        <v>294</v>
      </c>
      <c r="V5" s="4" t="s">
        <v>295</v>
      </c>
      <c r="W5" s="4" t="s">
        <v>296</v>
      </c>
      <c r="X5" s="4" t="s">
        <v>297</v>
      </c>
      <c r="Y5" s="4" t="s">
        <v>298</v>
      </c>
      <c r="Z5" s="4" t="s">
        <v>299</v>
      </c>
      <c r="AA5" s="4" t="s">
        <v>300</v>
      </c>
      <c r="AB5" s="4" t="s">
        <v>301</v>
      </c>
      <c r="AC5" s="4" t="s">
        <v>302</v>
      </c>
      <c r="AD5" s="4" t="s">
        <v>303</v>
      </c>
      <c r="AE5" s="4" t="s">
        <v>304</v>
      </c>
      <c r="AF5" s="4" t="s">
        <v>305</v>
      </c>
      <c r="AG5" s="4" t="s">
        <v>306</v>
      </c>
      <c r="AH5" s="4" t="s">
        <v>307</v>
      </c>
      <c r="AI5" s="4" t="s">
        <v>308</v>
      </c>
      <c r="AJ5" s="4" t="s">
        <v>309</v>
      </c>
      <c r="AK5" s="4" t="s">
        <v>310</v>
      </c>
      <c r="AL5" s="4" t="s">
        <v>311</v>
      </c>
      <c r="AM5" s="4" t="s">
        <v>312</v>
      </c>
      <c r="AN5" s="4" t="s">
        <v>313</v>
      </c>
      <c r="AO5" s="4" t="s">
        <v>314</v>
      </c>
      <c r="AP5" s="4" t="s">
        <v>315</v>
      </c>
      <c r="AQ5" s="4" t="s">
        <v>316</v>
      </c>
      <c r="AR5" s="4" t="s">
        <v>317</v>
      </c>
      <c r="AS5" s="4" t="s">
        <v>318</v>
      </c>
      <c r="AT5" s="4" t="s">
        <v>319</v>
      </c>
      <c r="AU5" s="4" t="s">
        <v>320</v>
      </c>
    </row>
    <row r="6" spans="1:47" ht="14.4">
      <c r="A6" s="1" t="s">
        <v>45</v>
      </c>
      <c r="B6" s="1" t="s">
        <v>46</v>
      </c>
      <c r="C6" s="18">
        <f>'Raw Financials'!C32</f>
        <v>6411</v>
      </c>
      <c r="D6" s="18">
        <f>'Raw Financials'!D32</f>
        <v>6779</v>
      </c>
      <c r="E6" s="18">
        <f>'Raw Financials'!E32</f>
        <v>6787</v>
      </c>
      <c r="F6" s="18">
        <f>'Raw Financials'!F32</f>
        <v>6847</v>
      </c>
      <c r="G6" s="18">
        <f>'Raw Financials'!G32</f>
        <v>6707</v>
      </c>
      <c r="H6" s="18">
        <f>'Raw Financials'!H32</f>
        <v>6929</v>
      </c>
      <c r="I6" s="18">
        <f>'Raw Financials'!I32</f>
        <v>6938</v>
      </c>
      <c r="J6" s="18">
        <f>'Raw Financials'!J32</f>
        <v>7447</v>
      </c>
      <c r="K6" s="18">
        <f>'Raw Financials'!K32</f>
        <v>7089</v>
      </c>
      <c r="L6" s="18">
        <f>'Raw Financials'!L32</f>
        <v>7372</v>
      </c>
      <c r="M6" s="18">
        <f>'Raw Financials'!M32</f>
        <v>7565</v>
      </c>
      <c r="N6" s="18">
        <f>'Raw Financials'!N32</f>
        <v>7888</v>
      </c>
      <c r="O6" s="18">
        <f>'Raw Financials'!O32</f>
        <v>8249</v>
      </c>
      <c r="P6" s="18">
        <f>'Raw Financials'!P32</f>
        <v>9074</v>
      </c>
      <c r="Q6" s="18">
        <f>'Raw Financials'!Q32</f>
        <v>9717</v>
      </c>
      <c r="R6" s="18">
        <f>'Raw Financials'!R32</f>
        <v>9722</v>
      </c>
      <c r="S6" s="18">
        <f>'Raw Financials'!S32</f>
        <v>9597</v>
      </c>
      <c r="T6" s="18">
        <f>'Raw Financials'!T32</f>
        <v>10385</v>
      </c>
      <c r="U6" s="18">
        <f>'Raw Financials'!U32</f>
        <v>10734</v>
      </c>
      <c r="V6" s="18">
        <f>'Raw Financials'!V32</f>
        <v>11093</v>
      </c>
      <c r="W6" s="18">
        <f>'Raw Financials'!W32</f>
        <v>10570</v>
      </c>
      <c r="X6" s="18">
        <f>'Raw Financials'!X32</f>
        <v>11537</v>
      </c>
      <c r="Y6" s="18">
        <f>'Raw Financials'!Y32</f>
        <v>11906</v>
      </c>
      <c r="Z6" s="18">
        <f>'Raw Financials'!Z32</f>
        <v>12615</v>
      </c>
      <c r="AA6" s="18">
        <f>'Raw Financials'!AA32</f>
        <v>14616</v>
      </c>
      <c r="AB6" s="18">
        <f>'Raw Financials'!AB32</f>
        <v>15694</v>
      </c>
      <c r="AC6" s="18">
        <f>'Raw Financials'!AC32</f>
        <v>16581</v>
      </c>
      <c r="AD6" s="18">
        <f>'Raw Financials'!AD32</f>
        <v>17429</v>
      </c>
      <c r="AE6" s="18">
        <f>'Raw Financials'!AE32</f>
        <v>18294</v>
      </c>
      <c r="AF6" s="18">
        <f>'Raw Financials'!AF32</f>
        <v>19594</v>
      </c>
      <c r="AG6" s="18">
        <f>'Raw Financials'!AG32</f>
        <v>20558</v>
      </c>
      <c r="AH6" s="18">
        <f>'Raw Financials'!AH32</f>
        <v>21700</v>
      </c>
      <c r="AI6" s="18">
        <f>'Raw Financials'!AI32</f>
        <v>22210</v>
      </c>
      <c r="AJ6" s="18">
        <f>'Raw Financials'!AJ32</f>
        <v>22762</v>
      </c>
      <c r="AK6" s="18">
        <f>'Raw Financials'!AK32</f>
        <v>23233</v>
      </c>
      <c r="AL6" s="18">
        <f>'Raw Financials'!AL32</f>
        <v>23585</v>
      </c>
      <c r="AM6" s="18">
        <f>'Raw Financials'!AM32</f>
        <v>24008</v>
      </c>
      <c r="AN6" s="18">
        <f>'Raw Financials'!AN32</f>
        <v>30623</v>
      </c>
      <c r="AO6" s="18">
        <f>'Raw Financials'!AO32</f>
        <v>33182</v>
      </c>
      <c r="AP6" s="18">
        <f>'Raw Financials'!AP32</f>
        <v>34222</v>
      </c>
      <c r="AQ6" s="18">
        <f>'Raw Financials'!AQ32</f>
        <v>36886</v>
      </c>
      <c r="AR6" s="18">
        <f>'Raw Financials'!AR32</f>
        <v>39857</v>
      </c>
      <c r="AS6" s="18">
        <f>'Raw Financials'!AS32</f>
        <v>41881</v>
      </c>
      <c r="AT6" s="18">
        <f>'Raw Financials'!AT32</f>
        <v>44504</v>
      </c>
      <c r="AU6" s="18">
        <f>'Raw Financials'!AU32</f>
        <v>55277</v>
      </c>
    </row>
    <row r="7" spans="1:47" ht="14.4">
      <c r="A7" s="1" t="s">
        <v>453</v>
      </c>
      <c r="B7" s="1" t="s">
        <v>48</v>
      </c>
      <c r="C7" s="1"/>
      <c r="D7" s="19">
        <f t="shared" ref="D7:AU7" si="0">IFERROR(D6/C6-1,"")</f>
        <v>5.7401341444392351E-2</v>
      </c>
      <c r="E7" s="19">
        <f t="shared" si="0"/>
        <v>1.1801150612185118E-3</v>
      </c>
      <c r="F7" s="19">
        <f t="shared" si="0"/>
        <v>8.8404302342715013E-3</v>
      </c>
      <c r="G7" s="19">
        <f t="shared" si="0"/>
        <v>-2.0446911055936878E-2</v>
      </c>
      <c r="H7" s="19">
        <f t="shared" si="0"/>
        <v>3.3099746533472585E-2</v>
      </c>
      <c r="I7" s="19">
        <f t="shared" si="0"/>
        <v>1.2988887285323436E-3</v>
      </c>
      <c r="J7" s="19">
        <f t="shared" si="0"/>
        <v>7.3364081867973496E-2</v>
      </c>
      <c r="K7" s="19">
        <f t="shared" si="0"/>
        <v>-4.8073049550154456E-2</v>
      </c>
      <c r="L7" s="19">
        <f t="shared" si="0"/>
        <v>3.9921004372972302E-2</v>
      </c>
      <c r="M7" s="19">
        <f t="shared" si="0"/>
        <v>2.6180141074335417E-2</v>
      </c>
      <c r="N7" s="19">
        <f t="shared" si="0"/>
        <v>4.2696629213483162E-2</v>
      </c>
      <c r="O7" s="19">
        <f t="shared" si="0"/>
        <v>4.5765720081135886E-2</v>
      </c>
      <c r="P7" s="19">
        <f t="shared" si="0"/>
        <v>0.10001212268153714</v>
      </c>
      <c r="Q7" s="19">
        <f t="shared" si="0"/>
        <v>7.0861802953493536E-2</v>
      </c>
      <c r="R7" s="19">
        <f t="shared" si="0"/>
        <v>5.1456210764633248E-4</v>
      </c>
      <c r="S7" s="19">
        <f t="shared" si="0"/>
        <v>-1.2857436741411266E-2</v>
      </c>
      <c r="T7" s="19">
        <f t="shared" si="0"/>
        <v>8.210899239345637E-2</v>
      </c>
      <c r="U7" s="19">
        <f t="shared" si="0"/>
        <v>3.3606162734713507E-2</v>
      </c>
      <c r="V7" s="19">
        <f t="shared" si="0"/>
        <v>3.3445127631824167E-2</v>
      </c>
      <c r="W7" s="19">
        <f t="shared" si="0"/>
        <v>-4.7146849364464116E-2</v>
      </c>
      <c r="X7" s="19">
        <f t="shared" si="0"/>
        <v>9.1485335856196892E-2</v>
      </c>
      <c r="Y7" s="19">
        <f t="shared" si="0"/>
        <v>3.1984051313166395E-2</v>
      </c>
      <c r="Z7" s="19">
        <f t="shared" si="0"/>
        <v>5.9549806820090811E-2</v>
      </c>
      <c r="AA7" s="19">
        <f t="shared" si="0"/>
        <v>0.15862068965517251</v>
      </c>
      <c r="AB7" s="19">
        <f t="shared" si="0"/>
        <v>7.3754789272030719E-2</v>
      </c>
      <c r="AC7" s="19">
        <f t="shared" si="0"/>
        <v>5.6518414680769791E-2</v>
      </c>
      <c r="AD7" s="19">
        <f t="shared" si="0"/>
        <v>5.1142874374283886E-2</v>
      </c>
      <c r="AE7" s="19">
        <f t="shared" si="0"/>
        <v>4.9629927132939455E-2</v>
      </c>
      <c r="AF7" s="19">
        <f t="shared" si="0"/>
        <v>7.1061550235049786E-2</v>
      </c>
      <c r="AG7" s="19">
        <f t="shared" si="0"/>
        <v>4.9198734306420411E-2</v>
      </c>
      <c r="AH7" s="19">
        <f t="shared" si="0"/>
        <v>5.5550150792878616E-2</v>
      </c>
      <c r="AI7" s="19">
        <f t="shared" si="0"/>
        <v>2.3502304147465347E-2</v>
      </c>
      <c r="AJ7" s="19">
        <f t="shared" si="0"/>
        <v>2.4853669518235089E-2</v>
      </c>
      <c r="AK7" s="19">
        <f t="shared" si="0"/>
        <v>2.0692382040242485E-2</v>
      </c>
      <c r="AL7" s="19">
        <f t="shared" si="0"/>
        <v>1.5150862996599734E-2</v>
      </c>
      <c r="AM7" s="19">
        <f t="shared" si="0"/>
        <v>1.7935128259487065E-2</v>
      </c>
      <c r="AN7" s="19">
        <f t="shared" si="0"/>
        <v>0.27553315561479508</v>
      </c>
      <c r="AO7" s="19">
        <f t="shared" si="0"/>
        <v>8.3564640956144132E-2</v>
      </c>
      <c r="AP7" s="19">
        <f t="shared" si="0"/>
        <v>3.1342294014827354E-2</v>
      </c>
      <c r="AQ7" s="19">
        <f t="shared" si="0"/>
        <v>7.7844661328969611E-2</v>
      </c>
      <c r="AR7" s="19">
        <f t="shared" si="0"/>
        <v>8.0545464403838807E-2</v>
      </c>
      <c r="AS7" s="19">
        <f t="shared" si="0"/>
        <v>5.0781544019871117E-2</v>
      </c>
      <c r="AT7" s="19">
        <f t="shared" si="0"/>
        <v>6.2629832143453967E-2</v>
      </c>
      <c r="AU7" s="19">
        <f t="shared" si="0"/>
        <v>0.24206812870753192</v>
      </c>
    </row>
    <row r="8" spans="1:47" ht="14.4">
      <c r="A8" s="1" t="s">
        <v>321</v>
      </c>
      <c r="B8" s="1" t="s">
        <v>46</v>
      </c>
      <c r="C8" s="18">
        <f>'Raw Financials'!C33</f>
        <v>4081</v>
      </c>
      <c r="D8" s="18">
        <f>'Raw Financials'!D33</f>
        <v>4256</v>
      </c>
      <c r="E8" s="18">
        <f>'Raw Financials'!E33</f>
        <v>4255</v>
      </c>
      <c r="F8" s="18">
        <f>'Raw Financials'!F33</f>
        <v>4304</v>
      </c>
      <c r="G8" s="18">
        <f>'Raw Financials'!G33</f>
        <v>4356</v>
      </c>
      <c r="H8" s="18">
        <f>'Raw Financials'!H33</f>
        <v>4481</v>
      </c>
      <c r="I8" s="18">
        <f>'Raw Financials'!I33</f>
        <v>4441</v>
      </c>
      <c r="J8" s="18">
        <f>'Raw Financials'!J33</f>
        <v>4625</v>
      </c>
      <c r="K8" s="18">
        <f>'Raw Financials'!K33</f>
        <v>4577</v>
      </c>
      <c r="L8" s="18">
        <f>'Raw Financials'!L33</f>
        <v>4790</v>
      </c>
      <c r="M8" s="18">
        <f>'Raw Financials'!M33</f>
        <v>4812</v>
      </c>
      <c r="N8" s="18">
        <f>'Raw Financials'!N33</f>
        <v>5000</v>
      </c>
      <c r="O8" s="18">
        <f>'Raw Financials'!O33</f>
        <v>5438</v>
      </c>
      <c r="P8" s="18">
        <f>'Raw Financials'!P33</f>
        <v>5897</v>
      </c>
      <c r="Q8" s="18">
        <f>'Raw Financials'!Q33</f>
        <v>6280</v>
      </c>
      <c r="R8" s="18">
        <f>'Raw Financials'!R33</f>
        <v>6294</v>
      </c>
      <c r="S8" s="18">
        <f>'Raw Financials'!S33</f>
        <v>6348</v>
      </c>
      <c r="T8" s="18">
        <f>'Raw Financials'!T33</f>
        <v>6796</v>
      </c>
      <c r="U8" s="18">
        <f>'Raw Financials'!U33</f>
        <v>7068</v>
      </c>
      <c r="V8" s="18">
        <f>'Raw Financials'!V33</f>
        <v>7289</v>
      </c>
      <c r="W8" s="18">
        <f>'Raw Financials'!W33</f>
        <v>7241</v>
      </c>
      <c r="X8" s="18">
        <f>'Raw Financials'!X33</f>
        <v>7776</v>
      </c>
      <c r="Y8" s="18">
        <f>'Raw Financials'!Y33</f>
        <v>8096</v>
      </c>
      <c r="Z8" s="18">
        <f>'Raw Financials'!Z33</f>
        <v>8580</v>
      </c>
      <c r="AA8" s="18">
        <f>'Raw Financials'!AA33</f>
        <v>10250</v>
      </c>
      <c r="AB8" s="18">
        <f>'Raw Financials'!AB33</f>
        <v>10656</v>
      </c>
      <c r="AC8" s="18">
        <f>'Raw Financials'!AC33</f>
        <v>11210</v>
      </c>
      <c r="AD8" s="18">
        <f>'Raw Financials'!AD33</f>
        <v>11620</v>
      </c>
      <c r="AE8" s="18">
        <f>'Raw Financials'!AE33</f>
        <v>12739</v>
      </c>
      <c r="AF8" s="18">
        <f>'Raw Financials'!AF33</f>
        <v>13317</v>
      </c>
      <c r="AG8" s="18">
        <f>'Raw Financials'!AG33</f>
        <v>13698</v>
      </c>
      <c r="AH8" s="18">
        <f>'Raw Financials'!AH33</f>
        <v>14306</v>
      </c>
      <c r="AI8" s="18">
        <f>'Raw Financials'!AI33</f>
        <v>15391.529999999999</v>
      </c>
      <c r="AJ8" s="18">
        <f>'Raw Financials'!AJ33</f>
        <v>15374</v>
      </c>
      <c r="AK8" s="18">
        <f>'Raw Financials'!AK33</f>
        <v>15542.877</v>
      </c>
      <c r="AL8" s="18">
        <f>'Raw Financials'!AL33</f>
        <v>15545</v>
      </c>
      <c r="AM8" s="18">
        <f>'Raw Financials'!AM33</f>
        <v>16097</v>
      </c>
      <c r="AN8" s="18">
        <f>'Raw Financials'!AN33</f>
        <v>20701.148000000001</v>
      </c>
      <c r="AO8" s="18">
        <f>'Raw Financials'!AO33</f>
        <v>22165.576000000001</v>
      </c>
      <c r="AP8" s="18">
        <f>'Raw Financials'!AP33</f>
        <v>22483</v>
      </c>
      <c r="AQ8" s="18">
        <f>'Raw Financials'!AQ33</f>
        <v>24326</v>
      </c>
      <c r="AR8" s="18">
        <f>'Raw Financials'!AR33</f>
        <v>26299</v>
      </c>
      <c r="AS8" s="18">
        <f>'Raw Financials'!AS33</f>
        <v>28112</v>
      </c>
      <c r="AT8" s="18">
        <f>'Raw Financials'!AT33</f>
        <v>29204</v>
      </c>
      <c r="AU8" s="18">
        <f>'Raw Financials'!AU33</f>
        <v>36343</v>
      </c>
    </row>
    <row r="9" spans="1:47" ht="14.4">
      <c r="A9" s="1" t="s">
        <v>322</v>
      </c>
      <c r="B9" s="1" t="s">
        <v>46</v>
      </c>
      <c r="C9" s="18">
        <f>'Raw Financials'!C34</f>
        <v>2330</v>
      </c>
      <c r="D9" s="18">
        <f>'Raw Financials'!D34</f>
        <v>2523</v>
      </c>
      <c r="E9" s="18">
        <f>'Raw Financials'!E34</f>
        <v>2532</v>
      </c>
      <c r="F9" s="18">
        <f>'Raw Financials'!F34</f>
        <v>2543</v>
      </c>
      <c r="G9" s="18">
        <f>'Raw Financials'!G34</f>
        <v>2351</v>
      </c>
      <c r="H9" s="18">
        <f>'Raw Financials'!H34</f>
        <v>2448</v>
      </c>
      <c r="I9" s="18">
        <f>'Raw Financials'!I34</f>
        <v>2497</v>
      </c>
      <c r="J9" s="18">
        <f>'Raw Financials'!J34</f>
        <v>2822</v>
      </c>
      <c r="K9" s="18">
        <f>'Raw Financials'!K34</f>
        <v>2512</v>
      </c>
      <c r="L9" s="18">
        <f>'Raw Financials'!L34</f>
        <v>2582</v>
      </c>
      <c r="M9" s="18">
        <f>'Raw Financials'!M34</f>
        <v>2753</v>
      </c>
      <c r="N9" s="18">
        <f>'Raw Financials'!N34</f>
        <v>2888</v>
      </c>
      <c r="O9" s="18">
        <f>'Raw Financials'!O34</f>
        <v>2811</v>
      </c>
      <c r="P9" s="18">
        <f>'Raw Financials'!P34</f>
        <v>3177</v>
      </c>
      <c r="Q9" s="18">
        <f>'Raw Financials'!Q34</f>
        <v>3437</v>
      </c>
      <c r="R9" s="18">
        <f>'Raw Financials'!R34</f>
        <v>3428</v>
      </c>
      <c r="S9" s="18">
        <f>'Raw Financials'!S34</f>
        <v>3249</v>
      </c>
      <c r="T9" s="18">
        <f>'Raw Financials'!T34</f>
        <v>3589</v>
      </c>
      <c r="U9" s="18">
        <f>'Raw Financials'!U34</f>
        <v>3666</v>
      </c>
      <c r="V9" s="18">
        <f>'Raw Financials'!V34</f>
        <v>3804</v>
      </c>
      <c r="W9" s="18">
        <f>'Raw Financials'!W34</f>
        <v>3329</v>
      </c>
      <c r="X9" s="18">
        <f>'Raw Financials'!X34</f>
        <v>3761</v>
      </c>
      <c r="Y9" s="18">
        <f>'Raw Financials'!Y34</f>
        <v>3810</v>
      </c>
      <c r="Z9" s="18">
        <f>'Raw Financials'!Z34</f>
        <v>4035</v>
      </c>
      <c r="AA9" s="18">
        <f>'Raw Financials'!AA34</f>
        <v>4366</v>
      </c>
      <c r="AB9" s="18">
        <f>'Raw Financials'!AB34</f>
        <v>5038</v>
      </c>
      <c r="AC9" s="18">
        <f>'Raw Financials'!AC34</f>
        <v>5371</v>
      </c>
      <c r="AD9" s="18">
        <f>'Raw Financials'!AD34</f>
        <v>5809</v>
      </c>
      <c r="AE9" s="18">
        <f>'Raw Financials'!AE34</f>
        <v>5555</v>
      </c>
      <c r="AF9" s="18">
        <f>'Raw Financials'!AF34</f>
        <v>6277</v>
      </c>
      <c r="AG9" s="18">
        <f>'Raw Financials'!AG34</f>
        <v>6860</v>
      </c>
      <c r="AH9" s="18">
        <f>'Raw Financials'!AH34</f>
        <v>7394</v>
      </c>
      <c r="AI9" s="18">
        <f>'Raw Financials'!AI34</f>
        <v>6818.47</v>
      </c>
      <c r="AJ9" s="18">
        <f>'Raw Financials'!AJ34</f>
        <v>7388</v>
      </c>
      <c r="AK9" s="18">
        <f>'Raw Financials'!AK34</f>
        <v>7690.1230000000005</v>
      </c>
      <c r="AL9" s="18">
        <f>'Raw Financials'!AL34</f>
        <v>8040</v>
      </c>
      <c r="AM9" s="18">
        <f>'Raw Financials'!AM34</f>
        <v>7911</v>
      </c>
      <c r="AN9" s="18">
        <f>'Raw Financials'!AN34</f>
        <v>9921.8520000000008</v>
      </c>
      <c r="AO9" s="18">
        <f>'Raw Financials'!AO34</f>
        <v>11016.424000000001</v>
      </c>
      <c r="AP9" s="18">
        <f>'Raw Financials'!AP34</f>
        <v>11739</v>
      </c>
      <c r="AQ9" s="18">
        <f>'Raw Financials'!AQ34</f>
        <v>12560</v>
      </c>
      <c r="AR9" s="18">
        <f>'Raw Financials'!AR34</f>
        <v>13558</v>
      </c>
      <c r="AS9" s="18">
        <f>'Raw Financials'!AS34</f>
        <v>13769</v>
      </c>
      <c r="AT9" s="18">
        <f>'Raw Financials'!AT34</f>
        <v>15300</v>
      </c>
      <c r="AU9" s="18">
        <f>'Raw Financials'!AU34</f>
        <v>18934</v>
      </c>
    </row>
    <row r="10" spans="1:47" ht="14.4">
      <c r="A10" s="1" t="s">
        <v>52</v>
      </c>
      <c r="B10" s="1" t="s">
        <v>48</v>
      </c>
      <c r="C10" s="19">
        <f>'Raw Financials'!C35</f>
        <v>0.36399999999999999</v>
      </c>
      <c r="D10" s="19">
        <f>'Raw Financials'!D35</f>
        <v>0.37200000000000005</v>
      </c>
      <c r="E10" s="19">
        <f>'Raw Financials'!E35</f>
        <v>0.373</v>
      </c>
      <c r="F10" s="19">
        <f>'Raw Financials'!F35</f>
        <v>0.371</v>
      </c>
      <c r="G10" s="19">
        <f>'Raw Financials'!G35</f>
        <v>0.35100000000000003</v>
      </c>
      <c r="H10" s="19">
        <f>'Raw Financials'!H35</f>
        <v>0.35299999999999998</v>
      </c>
      <c r="I10" s="19">
        <f>'Raw Financials'!I35</f>
        <v>0.36</v>
      </c>
      <c r="J10" s="19">
        <f>'Raw Financials'!J35</f>
        <v>0.379</v>
      </c>
      <c r="K10" s="19">
        <f>'Raw Financials'!K35</f>
        <v>0.35399999999999998</v>
      </c>
      <c r="L10" s="19">
        <f>'Raw Financials'!L35</f>
        <v>0.35</v>
      </c>
      <c r="M10" s="19">
        <f>'Raw Financials'!M35</f>
        <v>0.36399999999999999</v>
      </c>
      <c r="N10" s="19">
        <f>'Raw Financials'!N35</f>
        <v>0.36599999999999999</v>
      </c>
      <c r="O10" s="19">
        <f>'Raw Financials'!O35</f>
        <v>0.34100000000000003</v>
      </c>
      <c r="P10" s="19">
        <f>'Raw Financials'!P35</f>
        <v>0.35</v>
      </c>
      <c r="Q10" s="19">
        <f>'Raw Financials'!Q35</f>
        <v>0.35399999999999998</v>
      </c>
      <c r="R10" s="19">
        <f>'Raw Financials'!R35</f>
        <v>0.35299999999999998</v>
      </c>
      <c r="S10" s="19">
        <f>'Raw Financials'!S35</f>
        <v>0.33899999999999997</v>
      </c>
      <c r="T10" s="19">
        <f>'Raw Financials'!T35</f>
        <v>0.34600000000000003</v>
      </c>
      <c r="U10" s="19">
        <f>'Raw Financials'!U35</f>
        <v>0.34100000000000003</v>
      </c>
      <c r="V10" s="19">
        <f>'Raw Financials'!V35</f>
        <v>0.34299999999999997</v>
      </c>
      <c r="W10" s="19">
        <f>'Raw Financials'!W35</f>
        <v>0.315</v>
      </c>
      <c r="X10" s="19">
        <f>'Raw Financials'!X35</f>
        <v>0.32600000000000001</v>
      </c>
      <c r="Y10" s="19">
        <f>'Raw Financials'!Y35</f>
        <v>0.32</v>
      </c>
      <c r="Z10" s="19">
        <f>'Raw Financials'!Z35</f>
        <v>0.32</v>
      </c>
      <c r="AA10" s="19">
        <f>'Raw Financials'!AA35</f>
        <v>0.29899999999999999</v>
      </c>
      <c r="AB10" s="19">
        <f>'Raw Financials'!AB35</f>
        <v>0.32100000000000001</v>
      </c>
      <c r="AC10" s="19">
        <f>'Raw Financials'!AC35</f>
        <v>0.32400000000000001</v>
      </c>
      <c r="AD10" s="19">
        <f>'Raw Financials'!AD35</f>
        <v>0.33299999999999996</v>
      </c>
      <c r="AE10" s="19">
        <f>'Raw Financials'!AE35</f>
        <v>0.30399999999999999</v>
      </c>
      <c r="AF10" s="19">
        <f>'Raw Financials'!AF35</f>
        <v>0.32</v>
      </c>
      <c r="AG10" s="19">
        <f>'Raw Financials'!AG35</f>
        <v>0.33399999999999996</v>
      </c>
      <c r="AH10" s="19">
        <f>'Raw Financials'!AH35</f>
        <v>0.34100000000000003</v>
      </c>
      <c r="AI10" s="19">
        <f>'Raw Financials'!AI35</f>
        <v>0.307</v>
      </c>
      <c r="AJ10" s="19">
        <f>'Raw Financials'!AJ35</f>
        <v>0.32500000000000001</v>
      </c>
      <c r="AK10" s="19">
        <f>'Raw Financials'!AK35</f>
        <v>0.33100000000000002</v>
      </c>
      <c r="AL10" s="19">
        <f>'Raw Financials'!AL35</f>
        <v>0.34100000000000003</v>
      </c>
      <c r="AM10" s="19">
        <f>'Raw Financials'!AM35</f>
        <v>0.32951516161279576</v>
      </c>
      <c r="AN10" s="19">
        <f>'Raw Financials'!AN35</f>
        <v>0.32400000000000001</v>
      </c>
      <c r="AO10" s="19">
        <f>'Raw Financials'!AO35</f>
        <v>0.33200000000000002</v>
      </c>
      <c r="AP10" s="19">
        <f>'Raw Financials'!AP35</f>
        <v>0.34300000000000003</v>
      </c>
      <c r="AQ10" s="19">
        <f>'Raw Financials'!AQ35</f>
        <v>0.34100000000000003</v>
      </c>
      <c r="AR10" s="19">
        <f>'Raw Financials'!AR35</f>
        <v>0.34</v>
      </c>
      <c r="AS10" s="19">
        <f>'Raw Financials'!AS35</f>
        <v>0.32899999999999996</v>
      </c>
      <c r="AT10" s="19">
        <f>'Raw Financials'!AT35</f>
        <v>0.34399999999999997</v>
      </c>
      <c r="AU10" s="19">
        <f>'Raw Financials'!AU35</f>
        <v>0.34299999999999997</v>
      </c>
    </row>
    <row r="11" spans="1:47" ht="14.4">
      <c r="A11" s="1" t="s">
        <v>323</v>
      </c>
      <c r="B11" s="1" t="s">
        <v>46</v>
      </c>
      <c r="C11" s="18">
        <f>'Raw Financials'!C36</f>
        <v>1288</v>
      </c>
      <c r="D11" s="18">
        <f>'Raw Financials'!D36</f>
        <v>1329</v>
      </c>
      <c r="E11" s="18">
        <f>'Raw Financials'!E36</f>
        <v>1296</v>
      </c>
      <c r="F11" s="18">
        <f>'Raw Financials'!F36</f>
        <v>1282</v>
      </c>
      <c r="G11" s="18">
        <f>'Raw Financials'!G36</f>
        <v>1336</v>
      </c>
      <c r="H11" s="18">
        <f>'Raw Financials'!H36</f>
        <v>1303</v>
      </c>
      <c r="I11" s="18">
        <f>'Raw Financials'!I36</f>
        <v>1335</v>
      </c>
      <c r="J11" s="18">
        <f>'Raw Financials'!J36</f>
        <v>1298</v>
      </c>
      <c r="K11" s="18">
        <f>'Raw Financials'!K36</f>
        <v>1404</v>
      </c>
      <c r="L11" s="18">
        <f>'Raw Financials'!L36</f>
        <v>1391</v>
      </c>
      <c r="M11" s="18">
        <f>'Raw Financials'!M36</f>
        <v>1458</v>
      </c>
      <c r="N11" s="18">
        <f>'Raw Financials'!N36</f>
        <v>1470</v>
      </c>
      <c r="O11" s="18">
        <f>'Raw Financials'!O36</f>
        <v>1505</v>
      </c>
      <c r="P11" s="18">
        <f>'Raw Financials'!P36</f>
        <v>1543</v>
      </c>
      <c r="Q11" s="18">
        <f>'Raw Financials'!Q36</f>
        <v>1632</v>
      </c>
      <c r="R11" s="18">
        <f>'Raw Financials'!R36</f>
        <v>1722</v>
      </c>
      <c r="S11" s="18">
        <f>'Raw Financials'!S36</f>
        <v>1843</v>
      </c>
      <c r="T11" s="18">
        <f>'Raw Financials'!T36</f>
        <v>1691</v>
      </c>
      <c r="U11" s="18">
        <f>'Raw Financials'!U36</f>
        <v>1725</v>
      </c>
      <c r="V11" s="18">
        <f>'Raw Financials'!V36</f>
        <v>1816</v>
      </c>
      <c r="W11" s="18">
        <f>'Raw Financials'!W36</f>
        <v>1523</v>
      </c>
      <c r="X11" s="18">
        <f>'Raw Financials'!X36</f>
        <v>1589</v>
      </c>
      <c r="Y11" s="18">
        <f>'Raw Financials'!Y36</f>
        <v>1665</v>
      </c>
      <c r="Z11" s="18">
        <f>'Raw Financials'!Z36</f>
        <v>1767</v>
      </c>
      <c r="AA11" s="18">
        <f>'Raw Financials'!AA36</f>
        <v>2007</v>
      </c>
      <c r="AB11" s="18">
        <f>'Raw Financials'!AB36</f>
        <v>2115</v>
      </c>
      <c r="AC11" s="18">
        <f>'Raw Financials'!AC36</f>
        <v>2145</v>
      </c>
      <c r="AD11" s="18">
        <f>'Raw Financials'!AD36</f>
        <v>2260</v>
      </c>
      <c r="AE11" s="18">
        <f>'Raw Financials'!AE36</f>
        <v>2543</v>
      </c>
      <c r="AF11" s="18">
        <f>'Raw Financials'!AF36</f>
        <v>2682</v>
      </c>
      <c r="AG11" s="18">
        <f>'Raw Financials'!AG36</f>
        <v>3063</v>
      </c>
      <c r="AH11" s="18">
        <f>'Raw Financials'!AH36</f>
        <v>3150</v>
      </c>
      <c r="AI11" s="18">
        <f>'Raw Financials'!AI36</f>
        <v>3264</v>
      </c>
      <c r="AJ11" s="18">
        <f>'Raw Financials'!AJ36</f>
        <v>3392</v>
      </c>
      <c r="AK11" s="18">
        <f>'Raw Financials'!AK36</f>
        <v>3508</v>
      </c>
      <c r="AL11" s="18">
        <f>'Raw Financials'!AL36</f>
        <v>3561</v>
      </c>
      <c r="AM11" s="18">
        <f>'Raw Financials'!AM36</f>
        <v>3625</v>
      </c>
      <c r="AN11" s="18">
        <f>'Raw Financials'!AN36</f>
        <v>4858.8520000000008</v>
      </c>
      <c r="AO11" s="18">
        <f>'Raw Financials'!AO36</f>
        <v>5126.4240000000009</v>
      </c>
      <c r="AP11" s="18">
        <f>'Raw Financials'!AP36</f>
        <v>5868</v>
      </c>
      <c r="AQ11" s="18">
        <f>'Raw Financials'!AQ36</f>
        <v>6118</v>
      </c>
      <c r="AR11" s="18">
        <f>'Raw Financials'!AR36</f>
        <v>6276</v>
      </c>
      <c r="AS11" s="18">
        <f>'Raw Financials'!AS36</f>
        <v>6468</v>
      </c>
      <c r="AT11" s="18">
        <f>'Raw Financials'!AT36</f>
        <v>6132</v>
      </c>
      <c r="AU11" s="18">
        <f>'Raw Financials'!AU36</f>
        <v>7701</v>
      </c>
    </row>
    <row r="12" spans="1:47" ht="14.4">
      <c r="A12" s="1" t="s">
        <v>324</v>
      </c>
      <c r="B12" s="1" t="s">
        <v>46</v>
      </c>
      <c r="C12" s="18">
        <f>'Raw Financials'!C37</f>
        <v>1042</v>
      </c>
      <c r="D12" s="18">
        <f>'Raw Financials'!D37</f>
        <v>1194</v>
      </c>
      <c r="E12" s="18">
        <f>'Raw Financials'!E37</f>
        <v>1236</v>
      </c>
      <c r="F12" s="18">
        <f>'Raw Financials'!F37</f>
        <v>1261</v>
      </c>
      <c r="G12" s="18">
        <f>'Raw Financials'!G37</f>
        <v>1015</v>
      </c>
      <c r="H12" s="18">
        <f>'Raw Financials'!H37</f>
        <v>1145</v>
      </c>
      <c r="I12" s="18">
        <f>'Raw Financials'!I37</f>
        <v>1162</v>
      </c>
      <c r="J12" s="18">
        <f>'Raw Financials'!J37</f>
        <v>1523</v>
      </c>
      <c r="K12" s="18">
        <f>'Raw Financials'!K37</f>
        <v>1108</v>
      </c>
      <c r="L12" s="18">
        <f>'Raw Financials'!L37</f>
        <v>1191</v>
      </c>
      <c r="M12" s="18">
        <f>'Raw Financials'!M37</f>
        <v>1295</v>
      </c>
      <c r="N12" s="18">
        <f>'Raw Financials'!N37</f>
        <v>1417</v>
      </c>
      <c r="O12" s="18">
        <f>'Raw Financials'!O37</f>
        <v>1306</v>
      </c>
      <c r="P12" s="18">
        <f>'Raw Financials'!P37</f>
        <v>1634</v>
      </c>
      <c r="Q12" s="18">
        <f>'Raw Financials'!Q37</f>
        <v>1805</v>
      </c>
      <c r="R12" s="18">
        <f>'Raw Financials'!R37</f>
        <v>1706</v>
      </c>
      <c r="S12" s="18">
        <f>'Raw Financials'!S37</f>
        <v>1406</v>
      </c>
      <c r="T12" s="18">
        <f>'Raw Financials'!T37</f>
        <v>1898</v>
      </c>
      <c r="U12" s="18">
        <f>'Raw Financials'!U37</f>
        <v>1941</v>
      </c>
      <c r="V12" s="18">
        <f>'Raw Financials'!V37</f>
        <v>1988</v>
      </c>
      <c r="W12" s="18">
        <f>'Raw Financials'!W37</f>
        <v>1806</v>
      </c>
      <c r="X12" s="18">
        <f>'Raw Financials'!X37</f>
        <v>2172</v>
      </c>
      <c r="Y12" s="18">
        <f>'Raw Financials'!Y37</f>
        <v>2145</v>
      </c>
      <c r="Z12" s="18">
        <f>'Raw Financials'!Z37</f>
        <v>2268</v>
      </c>
      <c r="AA12" s="18">
        <f>'Raw Financials'!AA37</f>
        <v>2359</v>
      </c>
      <c r="AB12" s="18">
        <f>'Raw Financials'!AB37</f>
        <v>2923</v>
      </c>
      <c r="AC12" s="18">
        <f>'Raw Financials'!AC37</f>
        <v>3226</v>
      </c>
      <c r="AD12" s="18">
        <f>'Raw Financials'!AD37</f>
        <v>3549</v>
      </c>
      <c r="AE12" s="18">
        <f>'Raw Financials'!AE37</f>
        <v>3012</v>
      </c>
      <c r="AF12" s="18">
        <f>'Raw Financials'!AF37</f>
        <v>3596</v>
      </c>
      <c r="AG12" s="18">
        <f>'Raw Financials'!AG37</f>
        <v>3797</v>
      </c>
      <c r="AH12" s="18">
        <f>'Raw Financials'!AH37</f>
        <v>4244</v>
      </c>
      <c r="AI12" s="18">
        <f>'Raw Financials'!AI37</f>
        <v>3545</v>
      </c>
      <c r="AJ12" s="18">
        <f>'Raw Financials'!AJ37</f>
        <v>3997</v>
      </c>
      <c r="AK12" s="18">
        <f>'Raw Financials'!AK37</f>
        <v>4170</v>
      </c>
      <c r="AL12" s="18">
        <f>'Raw Financials'!AL37</f>
        <v>4473</v>
      </c>
      <c r="AM12" s="18">
        <f>'Raw Financials'!AM37</f>
        <v>4286</v>
      </c>
      <c r="AN12" s="18">
        <f>'Raw Financials'!AN37</f>
        <v>5063</v>
      </c>
      <c r="AO12" s="18">
        <f>'Raw Financials'!AO37</f>
        <v>5890</v>
      </c>
      <c r="AP12" s="18">
        <f>'Raw Financials'!AP37</f>
        <v>5871</v>
      </c>
      <c r="AQ12" s="18">
        <f>'Raw Financials'!AQ37</f>
        <v>6442</v>
      </c>
      <c r="AR12" s="18">
        <f>'Raw Financials'!AR37</f>
        <v>7282</v>
      </c>
      <c r="AS12" s="18">
        <f>'Raw Financials'!AS37</f>
        <v>7301</v>
      </c>
      <c r="AT12" s="18">
        <f>'Raw Financials'!AT37</f>
        <v>9168</v>
      </c>
      <c r="AU12" s="18">
        <f>'Raw Financials'!AU37</f>
        <v>11233</v>
      </c>
    </row>
    <row r="13" spans="1:47" ht="14.4">
      <c r="A13" s="1" t="s">
        <v>53</v>
      </c>
      <c r="B13" s="1" t="s">
        <v>48</v>
      </c>
      <c r="C13" s="19">
        <f t="shared" ref="C13:AU13" si="1">IFERROR(C12/C6,"")</f>
        <v>0.16253314615504602</v>
      </c>
      <c r="D13" s="19">
        <f t="shared" si="1"/>
        <v>0.17613217288685648</v>
      </c>
      <c r="E13" s="19">
        <f t="shared" si="1"/>
        <v>0.18211286282599087</v>
      </c>
      <c r="F13" s="19">
        <f t="shared" si="1"/>
        <v>0.18416824886811742</v>
      </c>
      <c r="G13" s="19">
        <f t="shared" si="1"/>
        <v>0.15133442671835395</v>
      </c>
      <c r="H13" s="19">
        <f t="shared" si="1"/>
        <v>0.16524751046327033</v>
      </c>
      <c r="I13" s="19">
        <f t="shared" si="1"/>
        <v>0.16748342461804555</v>
      </c>
      <c r="J13" s="19">
        <f t="shared" si="1"/>
        <v>0.20451188398012624</v>
      </c>
      <c r="K13" s="19">
        <f t="shared" si="1"/>
        <v>0.15629849061926929</v>
      </c>
      <c r="L13" s="19">
        <f t="shared" si="1"/>
        <v>0.16155724362452523</v>
      </c>
      <c r="M13" s="19">
        <f t="shared" si="1"/>
        <v>0.17118307997356247</v>
      </c>
      <c r="N13" s="19">
        <f t="shared" si="1"/>
        <v>0.17963995943204869</v>
      </c>
      <c r="O13" s="19">
        <f t="shared" si="1"/>
        <v>0.1583222208752576</v>
      </c>
      <c r="P13" s="19">
        <f t="shared" si="1"/>
        <v>0.1800749393872603</v>
      </c>
      <c r="Q13" s="19">
        <f t="shared" si="1"/>
        <v>0.18575692086034784</v>
      </c>
      <c r="R13" s="19">
        <f t="shared" si="1"/>
        <v>0.1754782966467805</v>
      </c>
      <c r="S13" s="19">
        <f t="shared" si="1"/>
        <v>0.14650411586954257</v>
      </c>
      <c r="T13" s="19">
        <f t="shared" si="1"/>
        <v>0.18276360134809821</v>
      </c>
      <c r="U13" s="19">
        <f t="shared" si="1"/>
        <v>0.18082727780883176</v>
      </c>
      <c r="V13" s="19">
        <f t="shared" si="1"/>
        <v>0.17921211574867033</v>
      </c>
      <c r="W13" s="19">
        <f t="shared" si="1"/>
        <v>0.17086092715231788</v>
      </c>
      <c r="X13" s="19">
        <f t="shared" si="1"/>
        <v>0.18826384675392216</v>
      </c>
      <c r="Y13" s="19">
        <f t="shared" si="1"/>
        <v>0.18016126322862422</v>
      </c>
      <c r="Z13" s="19">
        <f t="shared" si="1"/>
        <v>0.17978596908442332</v>
      </c>
      <c r="AA13" s="19">
        <f t="shared" si="1"/>
        <v>0.16139846743295019</v>
      </c>
      <c r="AB13" s="19">
        <f t="shared" si="1"/>
        <v>0.18624952211036064</v>
      </c>
      <c r="AC13" s="19">
        <f t="shared" si="1"/>
        <v>0.19456003859839574</v>
      </c>
      <c r="AD13" s="19">
        <f t="shared" si="1"/>
        <v>0.20362614034081128</v>
      </c>
      <c r="AE13" s="19">
        <f t="shared" si="1"/>
        <v>0.16464414562151525</v>
      </c>
      <c r="AF13" s="19">
        <f t="shared" si="1"/>
        <v>0.18352556905175055</v>
      </c>
      <c r="AG13" s="19">
        <f t="shared" si="1"/>
        <v>0.18469695495670785</v>
      </c>
      <c r="AH13" s="19">
        <f t="shared" si="1"/>
        <v>0.19557603686635944</v>
      </c>
      <c r="AI13" s="19">
        <f t="shared" si="1"/>
        <v>0.15961278703286808</v>
      </c>
      <c r="AJ13" s="19">
        <f t="shared" si="1"/>
        <v>0.17559968368333187</v>
      </c>
      <c r="AK13" s="19">
        <f t="shared" si="1"/>
        <v>0.17948607584039944</v>
      </c>
      <c r="AL13" s="19">
        <f t="shared" si="1"/>
        <v>0.18965444138223447</v>
      </c>
      <c r="AM13" s="19">
        <f t="shared" si="1"/>
        <v>0.17852382539153616</v>
      </c>
      <c r="AN13" s="19">
        <f t="shared" si="1"/>
        <v>0.16533324625281651</v>
      </c>
      <c r="AO13" s="19">
        <f t="shared" si="1"/>
        <v>0.17750587668012777</v>
      </c>
      <c r="AP13" s="19">
        <f t="shared" si="1"/>
        <v>0.17155630880720005</v>
      </c>
      <c r="AQ13" s="19">
        <f t="shared" si="1"/>
        <v>0.17464620723309657</v>
      </c>
      <c r="AR13" s="19">
        <f t="shared" si="1"/>
        <v>0.18270316381062299</v>
      </c>
      <c r="AS13" s="19">
        <f t="shared" si="1"/>
        <v>0.1743272605716196</v>
      </c>
      <c r="AT13" s="19">
        <f t="shared" si="1"/>
        <v>0.20600395470070107</v>
      </c>
      <c r="AU13" s="19">
        <f t="shared" si="1"/>
        <v>0.20321290952837529</v>
      </c>
    </row>
    <row r="14" spans="1:47" ht="14.4">
      <c r="A14" s="1" t="s">
        <v>325</v>
      </c>
      <c r="B14" s="1" t="s">
        <v>46</v>
      </c>
      <c r="C14" s="18">
        <f>'Raw Financials'!C38</f>
        <v>0</v>
      </c>
      <c r="D14" s="18">
        <f>'Raw Financials'!D38</f>
        <v>0</v>
      </c>
      <c r="E14" s="18">
        <f>'Raw Financials'!E38</f>
        <v>0</v>
      </c>
      <c r="F14" s="18">
        <f>'Raw Financials'!F38</f>
        <v>0</v>
      </c>
      <c r="G14" s="18">
        <f>'Raw Financials'!G38</f>
        <v>0</v>
      </c>
      <c r="H14" s="18">
        <f>'Raw Financials'!H38</f>
        <v>0</v>
      </c>
      <c r="I14" s="18">
        <f>'Raw Financials'!I38</f>
        <v>0</v>
      </c>
      <c r="J14" s="18">
        <f>'Raw Financials'!J38</f>
        <v>0</v>
      </c>
      <c r="K14" s="18">
        <f>'Raw Financials'!K38</f>
        <v>0</v>
      </c>
      <c r="L14" s="18">
        <f>'Raw Financials'!L38</f>
        <v>0</v>
      </c>
      <c r="M14" s="18">
        <f>'Raw Financials'!M38</f>
        <v>0</v>
      </c>
      <c r="N14" s="18">
        <f>'Raw Financials'!N38</f>
        <v>0</v>
      </c>
      <c r="O14" s="18">
        <f>'Raw Financials'!O38</f>
        <v>0</v>
      </c>
      <c r="P14" s="18">
        <f>'Raw Financials'!P38</f>
        <v>0</v>
      </c>
      <c r="Q14" s="18">
        <f>'Raw Financials'!Q38</f>
        <v>0</v>
      </c>
      <c r="R14" s="18">
        <f>'Raw Financials'!R38</f>
        <v>0</v>
      </c>
      <c r="S14" s="18">
        <f>'Raw Financials'!S38</f>
        <v>0</v>
      </c>
      <c r="T14" s="18">
        <f>'Raw Financials'!T38</f>
        <v>0</v>
      </c>
      <c r="U14" s="18">
        <f>'Raw Financials'!U38</f>
        <v>0</v>
      </c>
      <c r="V14" s="18">
        <f>'Raw Financials'!V38</f>
        <v>17</v>
      </c>
      <c r="W14" s="18">
        <f>'Raw Financials'!W38</f>
        <v>120</v>
      </c>
      <c r="X14" s="18">
        <f>'Raw Financials'!X38</f>
        <v>124</v>
      </c>
      <c r="Y14" s="18">
        <f>'Raw Financials'!Y38</f>
        <v>136</v>
      </c>
      <c r="Z14" s="18">
        <f>'Raw Financials'!Z38</f>
        <v>100</v>
      </c>
      <c r="AA14" s="18">
        <f>'Raw Financials'!AA38</f>
        <v>159</v>
      </c>
      <c r="AB14" s="18">
        <f>'Raw Financials'!AB38</f>
        <v>135</v>
      </c>
      <c r="AC14" s="18">
        <f>'Raw Financials'!AC38</f>
        <v>158</v>
      </c>
      <c r="AD14" s="18">
        <f>'Raw Financials'!AD38</f>
        <v>210</v>
      </c>
      <c r="AE14" s="18">
        <f>'Raw Financials'!AE38</f>
        <v>90</v>
      </c>
      <c r="AF14" s="18">
        <f>'Raw Financials'!AF38</f>
        <v>147</v>
      </c>
      <c r="AG14" s="18">
        <f>'Raw Financials'!AG38</f>
        <v>182</v>
      </c>
      <c r="AH14" s="18">
        <f>'Raw Financials'!AH38</f>
        <v>168</v>
      </c>
      <c r="AI14" s="18">
        <f>'Raw Financials'!AI38</f>
        <v>216</v>
      </c>
      <c r="AJ14" s="18">
        <f>'Raw Financials'!AJ38</f>
        <v>519</v>
      </c>
      <c r="AK14" s="18">
        <f>'Raw Financials'!AK38</f>
        <v>0</v>
      </c>
      <c r="AL14" s="18">
        <f>'Raw Financials'!AL38</f>
        <v>222</v>
      </c>
      <c r="AM14" s="18">
        <f>'Raw Financials'!AM38</f>
        <v>199</v>
      </c>
      <c r="AN14" s="18">
        <f>'Raw Financials'!AN38</f>
        <v>222</v>
      </c>
      <c r="AO14" s="18">
        <f>'Raw Financials'!AO38</f>
        <v>700</v>
      </c>
      <c r="AP14" s="18">
        <f>'Raw Financials'!AP38</f>
        <v>616</v>
      </c>
      <c r="AQ14" s="18">
        <f>'Raw Financials'!AQ38</f>
        <v>593</v>
      </c>
      <c r="AR14" s="18">
        <f>'Raw Financials'!AR38</f>
        <v>561</v>
      </c>
      <c r="AS14" s="18">
        <f>'Raw Financials'!AS38</f>
        <v>444</v>
      </c>
      <c r="AT14" s="18">
        <f>'Raw Financials'!AT38</f>
        <v>381</v>
      </c>
      <c r="AU14" s="18">
        <f>'Raw Financials'!AU38</f>
        <v>457</v>
      </c>
    </row>
    <row r="15" spans="1:47" ht="14.4">
      <c r="A15" s="1" t="s">
        <v>54</v>
      </c>
      <c r="B15" s="1" t="s">
        <v>46</v>
      </c>
      <c r="C15" s="18">
        <f>'Raw Financials'!C39</f>
        <v>1042</v>
      </c>
      <c r="D15" s="18">
        <f>'Raw Financials'!D39</f>
        <v>1194</v>
      </c>
      <c r="E15" s="18">
        <f>'Raw Financials'!E39</f>
        <v>1236</v>
      </c>
      <c r="F15" s="18">
        <f>'Raw Financials'!F39</f>
        <v>1261</v>
      </c>
      <c r="G15" s="18">
        <f>'Raw Financials'!G39</f>
        <v>1015</v>
      </c>
      <c r="H15" s="18">
        <f>'Raw Financials'!H39</f>
        <v>1145</v>
      </c>
      <c r="I15" s="18">
        <f>'Raw Financials'!I39</f>
        <v>1162</v>
      </c>
      <c r="J15" s="18">
        <f>'Raw Financials'!J39</f>
        <v>1523</v>
      </c>
      <c r="K15" s="18">
        <f>'Raw Financials'!K39</f>
        <v>1108</v>
      </c>
      <c r="L15" s="18">
        <f>'Raw Financials'!L39</f>
        <v>1191</v>
      </c>
      <c r="M15" s="18">
        <f>'Raw Financials'!M39</f>
        <v>1295</v>
      </c>
      <c r="N15" s="18">
        <f>'Raw Financials'!N39</f>
        <v>1417</v>
      </c>
      <c r="O15" s="18">
        <f>'Raw Financials'!O39</f>
        <v>1306</v>
      </c>
      <c r="P15" s="18">
        <f>'Raw Financials'!P39</f>
        <v>1634</v>
      </c>
      <c r="Q15" s="18">
        <f>'Raw Financials'!Q39</f>
        <v>1805</v>
      </c>
      <c r="R15" s="18">
        <f>'Raw Financials'!R39</f>
        <v>1706</v>
      </c>
      <c r="S15" s="18">
        <f>'Raw Financials'!S39</f>
        <v>1406</v>
      </c>
      <c r="T15" s="18">
        <f>'Raw Financials'!T39</f>
        <v>1898</v>
      </c>
      <c r="U15" s="18">
        <f>'Raw Financials'!U39</f>
        <v>1940</v>
      </c>
      <c r="V15" s="18">
        <f>'Raw Financials'!V39</f>
        <v>1988</v>
      </c>
      <c r="W15" s="18">
        <f>'Raw Financials'!W39</f>
        <v>1806</v>
      </c>
      <c r="X15" s="18">
        <f>'Raw Financials'!X39</f>
        <v>2172</v>
      </c>
      <c r="Y15" s="18">
        <f>'Raw Financials'!Y39</f>
        <v>2145</v>
      </c>
      <c r="Z15" s="18">
        <f>'Raw Financials'!Z39</f>
        <v>2268</v>
      </c>
      <c r="AA15" s="18">
        <f>'Raw Financials'!AA39</f>
        <v>2359</v>
      </c>
      <c r="AB15" s="18">
        <f>'Raw Financials'!AB39</f>
        <v>2923</v>
      </c>
      <c r="AC15" s="18">
        <f>'Raw Financials'!AC39</f>
        <v>3020</v>
      </c>
      <c r="AD15" s="18">
        <f>'Raw Financials'!AD39</f>
        <v>3293</v>
      </c>
      <c r="AE15" s="18">
        <f>'Raw Financials'!AE39</f>
        <v>2918</v>
      </c>
      <c r="AF15" s="18">
        <f>'Raw Financials'!AF39</f>
        <v>3444</v>
      </c>
      <c r="AG15" s="18">
        <f>'Raw Financials'!AG39</f>
        <v>3615</v>
      </c>
      <c r="AH15" s="18">
        <f>'Raw Financials'!AH39</f>
        <v>4076</v>
      </c>
      <c r="AI15" s="18">
        <f>'Raw Financials'!AI39</f>
        <v>3316</v>
      </c>
      <c r="AJ15" s="18">
        <f>'Raw Financials'!AJ39</f>
        <v>3474</v>
      </c>
      <c r="AK15" s="18">
        <f>'Raw Financials'!AK39</f>
        <v>4012</v>
      </c>
      <c r="AL15" s="18">
        <f>'Raw Financials'!AL39</f>
        <v>4251</v>
      </c>
      <c r="AM15" s="18">
        <f>'Raw Financials'!AM39</f>
        <v>4087</v>
      </c>
      <c r="AN15" s="18">
        <f>'Raw Financials'!AN39</f>
        <v>4841</v>
      </c>
      <c r="AO15" s="18">
        <f>'Raw Financials'!AO39</f>
        <v>5190</v>
      </c>
      <c r="AP15" s="18">
        <f>'Raw Financials'!AP39</f>
        <v>5871</v>
      </c>
      <c r="AQ15" s="18">
        <f>'Raw Financials'!AQ39</f>
        <v>6442</v>
      </c>
      <c r="AR15" s="18">
        <f>'Raw Financials'!AR39</f>
        <v>7282</v>
      </c>
      <c r="AS15" s="18">
        <f>'Raw Financials'!AS39</f>
        <v>7302</v>
      </c>
      <c r="AT15" s="18">
        <f>'Raw Financials'!AT39</f>
        <v>9168</v>
      </c>
      <c r="AU15" s="18">
        <f>'Raw Financials'!AU39</f>
        <v>11233</v>
      </c>
    </row>
    <row r="16" spans="1:47" ht="14.4">
      <c r="A16" s="1" t="s">
        <v>454</v>
      </c>
      <c r="B16" s="1" t="s">
        <v>48</v>
      </c>
      <c r="C16" s="19">
        <f t="shared" ref="C16:AU16" si="2">IFERROR(C15/C6,"")</f>
        <v>0.16253314615504602</v>
      </c>
      <c r="D16" s="19">
        <f t="shared" si="2"/>
        <v>0.17613217288685648</v>
      </c>
      <c r="E16" s="19">
        <f t="shared" si="2"/>
        <v>0.18211286282599087</v>
      </c>
      <c r="F16" s="19">
        <f t="shared" si="2"/>
        <v>0.18416824886811742</v>
      </c>
      <c r="G16" s="19">
        <f t="shared" si="2"/>
        <v>0.15133442671835395</v>
      </c>
      <c r="H16" s="19">
        <f t="shared" si="2"/>
        <v>0.16524751046327033</v>
      </c>
      <c r="I16" s="19">
        <f t="shared" si="2"/>
        <v>0.16748342461804555</v>
      </c>
      <c r="J16" s="19">
        <f t="shared" si="2"/>
        <v>0.20451188398012624</v>
      </c>
      <c r="K16" s="19">
        <f t="shared" si="2"/>
        <v>0.15629849061926929</v>
      </c>
      <c r="L16" s="19">
        <f t="shared" si="2"/>
        <v>0.16155724362452523</v>
      </c>
      <c r="M16" s="19">
        <f t="shared" si="2"/>
        <v>0.17118307997356247</v>
      </c>
      <c r="N16" s="19">
        <f t="shared" si="2"/>
        <v>0.17963995943204869</v>
      </c>
      <c r="O16" s="19">
        <f t="shared" si="2"/>
        <v>0.1583222208752576</v>
      </c>
      <c r="P16" s="19">
        <f t="shared" si="2"/>
        <v>0.1800749393872603</v>
      </c>
      <c r="Q16" s="19">
        <f t="shared" si="2"/>
        <v>0.18575692086034784</v>
      </c>
      <c r="R16" s="19">
        <f t="shared" si="2"/>
        <v>0.1754782966467805</v>
      </c>
      <c r="S16" s="19">
        <f t="shared" si="2"/>
        <v>0.14650411586954257</v>
      </c>
      <c r="T16" s="19">
        <f t="shared" si="2"/>
        <v>0.18276360134809821</v>
      </c>
      <c r="U16" s="19">
        <f t="shared" si="2"/>
        <v>0.18073411589342278</v>
      </c>
      <c r="V16" s="19">
        <f t="shared" si="2"/>
        <v>0.17921211574867033</v>
      </c>
      <c r="W16" s="19">
        <f t="shared" si="2"/>
        <v>0.17086092715231788</v>
      </c>
      <c r="X16" s="19">
        <f t="shared" si="2"/>
        <v>0.18826384675392216</v>
      </c>
      <c r="Y16" s="19">
        <f t="shared" si="2"/>
        <v>0.18016126322862422</v>
      </c>
      <c r="Z16" s="19">
        <f t="shared" si="2"/>
        <v>0.17978596908442332</v>
      </c>
      <c r="AA16" s="19">
        <f t="shared" si="2"/>
        <v>0.16139846743295019</v>
      </c>
      <c r="AB16" s="19">
        <f t="shared" si="2"/>
        <v>0.18624952211036064</v>
      </c>
      <c r="AC16" s="19">
        <f t="shared" si="2"/>
        <v>0.18213617996502021</v>
      </c>
      <c r="AD16" s="19">
        <f t="shared" si="2"/>
        <v>0.1889379769349934</v>
      </c>
      <c r="AE16" s="19">
        <f t="shared" si="2"/>
        <v>0.15950584891221165</v>
      </c>
      <c r="AF16" s="19">
        <f t="shared" si="2"/>
        <v>0.17576809227314483</v>
      </c>
      <c r="AG16" s="19">
        <f t="shared" si="2"/>
        <v>0.17584395369199338</v>
      </c>
      <c r="AH16" s="19">
        <f t="shared" si="2"/>
        <v>0.18783410138248849</v>
      </c>
      <c r="AI16" s="19">
        <f t="shared" si="2"/>
        <v>0.14930211616389014</v>
      </c>
      <c r="AJ16" s="19">
        <f t="shared" si="2"/>
        <v>0.15262279237325366</v>
      </c>
      <c r="AK16" s="19">
        <f t="shared" si="2"/>
        <v>0.17268540438169844</v>
      </c>
      <c r="AL16" s="19">
        <f t="shared" si="2"/>
        <v>0.18024167903328386</v>
      </c>
      <c r="AM16" s="19">
        <f t="shared" si="2"/>
        <v>0.17023492169276908</v>
      </c>
      <c r="AN16" s="19">
        <f t="shared" si="2"/>
        <v>0.15808379322731281</v>
      </c>
      <c r="AO16" s="19">
        <f t="shared" si="2"/>
        <v>0.15641010186245555</v>
      </c>
      <c r="AP16" s="19">
        <f t="shared" si="2"/>
        <v>0.17155630880720005</v>
      </c>
      <c r="AQ16" s="19">
        <f t="shared" si="2"/>
        <v>0.17464620723309657</v>
      </c>
      <c r="AR16" s="19">
        <f t="shared" si="2"/>
        <v>0.18270316381062299</v>
      </c>
      <c r="AS16" s="19">
        <f t="shared" si="2"/>
        <v>0.17435113774742722</v>
      </c>
      <c r="AT16" s="19">
        <f t="shared" si="2"/>
        <v>0.20600395470070107</v>
      </c>
      <c r="AU16" s="19">
        <f t="shared" si="2"/>
        <v>0.20321290952837529</v>
      </c>
    </row>
    <row r="17" spans="1:47" ht="14.4">
      <c r="A17" s="1" t="s">
        <v>264</v>
      </c>
      <c r="B17" s="1" t="s">
        <v>46</v>
      </c>
      <c r="C17" s="18">
        <f>'Raw Financials'!C40</f>
        <v>276</v>
      </c>
      <c r="D17" s="18">
        <f>'Raw Financials'!D40</f>
        <v>265</v>
      </c>
      <c r="E17" s="18">
        <f>'Raw Financials'!E40</f>
        <v>273</v>
      </c>
      <c r="F17" s="18">
        <f>'Raw Financials'!F40</f>
        <v>287</v>
      </c>
      <c r="G17" s="18">
        <f>'Raw Financials'!G40</f>
        <v>326</v>
      </c>
      <c r="H17" s="18">
        <f>'Raw Financials'!H40</f>
        <v>317</v>
      </c>
      <c r="I17" s="18">
        <f>'Raw Financials'!I40</f>
        <v>321</v>
      </c>
      <c r="J17" s="18">
        <f>'Raw Financials'!J40</f>
        <v>312</v>
      </c>
      <c r="K17" s="18">
        <f>'Raw Financials'!K40</f>
        <v>316</v>
      </c>
      <c r="L17" s="18">
        <f>'Raw Financials'!L40</f>
        <v>341</v>
      </c>
      <c r="M17" s="18">
        <f>'Raw Financials'!M40</f>
        <v>311</v>
      </c>
      <c r="N17" s="18">
        <f>'Raw Financials'!N40</f>
        <v>305</v>
      </c>
      <c r="O17" s="18">
        <f>'Raw Financials'!O40</f>
        <v>312</v>
      </c>
      <c r="P17" s="18">
        <f>'Raw Financials'!P40</f>
        <v>319</v>
      </c>
      <c r="Q17" s="18">
        <f>'Raw Financials'!Q40</f>
        <v>314</v>
      </c>
      <c r="R17" s="18">
        <f>'Raw Financials'!R40</f>
        <v>303</v>
      </c>
      <c r="S17" s="18">
        <f>'Raw Financials'!S40</f>
        <v>401</v>
      </c>
      <c r="T17" s="18">
        <f>'Raw Financials'!T40</f>
        <v>447</v>
      </c>
      <c r="U17" s="18">
        <f>'Raw Financials'!U40</f>
        <v>449</v>
      </c>
      <c r="V17" s="18">
        <f>'Raw Financials'!V40</f>
        <v>433</v>
      </c>
      <c r="W17" s="18">
        <f>'Raw Financials'!W40</f>
        <v>465</v>
      </c>
      <c r="X17" s="18">
        <f>'Raw Financials'!X40</f>
        <v>460</v>
      </c>
      <c r="Y17" s="18">
        <f>'Raw Financials'!Y40</f>
        <v>462</v>
      </c>
      <c r="Z17" s="18">
        <f>'Raw Financials'!Z40</f>
        <v>449</v>
      </c>
      <c r="AA17" s="18">
        <f>'Raw Financials'!AA40</f>
        <v>524</v>
      </c>
      <c r="AB17" s="18">
        <f>'Raw Financials'!AB40</f>
        <v>598</v>
      </c>
      <c r="AC17" s="18">
        <f>'Raw Financials'!AC40</f>
        <v>566</v>
      </c>
      <c r="AD17" s="18">
        <f>'Raw Financials'!AD40</f>
        <v>584</v>
      </c>
      <c r="AE17" s="18">
        <f>'Raw Financials'!AE40</f>
        <v>630</v>
      </c>
      <c r="AF17" s="18">
        <f>'Raw Financials'!AF40</f>
        <v>614</v>
      </c>
      <c r="AG17" s="18">
        <f>'Raw Financials'!AG40</f>
        <v>624</v>
      </c>
      <c r="AH17" s="18">
        <f>'Raw Financials'!AH40</f>
        <v>717</v>
      </c>
      <c r="AI17" s="18">
        <f>'Raw Financials'!AI40</f>
        <v>757</v>
      </c>
      <c r="AJ17" s="18">
        <f>'Raw Financials'!AJ40</f>
        <v>772</v>
      </c>
      <c r="AK17" s="18">
        <f>'Raw Financials'!AK40</f>
        <v>811</v>
      </c>
      <c r="AL17" s="18">
        <f>'Raw Financials'!AL40</f>
        <v>846</v>
      </c>
      <c r="AM17" s="18">
        <f>'Raw Financials'!AM40</f>
        <v>815</v>
      </c>
      <c r="AN17" s="18">
        <f>'Raw Financials'!AN40</f>
        <v>0</v>
      </c>
      <c r="AO17" s="18">
        <f>'Raw Financials'!AO40</f>
        <v>0</v>
      </c>
      <c r="AP17" s="18">
        <f>'Raw Financials'!AP40</f>
        <v>1254</v>
      </c>
      <c r="AQ17" s="18">
        <f>'Raw Financials'!AQ40</f>
        <v>1592</v>
      </c>
      <c r="AR17" s="18">
        <f>'Raw Financials'!AR40</f>
        <v>1719</v>
      </c>
      <c r="AS17" s="18">
        <f>'Raw Financials'!AS40</f>
        <v>1708</v>
      </c>
      <c r="AT17" s="18">
        <f>'Raw Financials'!AT40</f>
        <v>1800</v>
      </c>
      <c r="AU17" s="18">
        <f>'Raw Financials'!AU40</f>
        <v>2411</v>
      </c>
    </row>
    <row r="18" spans="1:47" ht="14.4">
      <c r="A18" s="1" t="s">
        <v>326</v>
      </c>
      <c r="B18" s="1" t="s">
        <v>46</v>
      </c>
      <c r="C18" s="18">
        <f>'Raw Financials'!C41</f>
        <v>766</v>
      </c>
      <c r="D18" s="18">
        <f>'Raw Financials'!D41</f>
        <v>929</v>
      </c>
      <c r="E18" s="18">
        <f>'Raw Financials'!E41</f>
        <v>963</v>
      </c>
      <c r="F18" s="18">
        <f>'Raw Financials'!F41</f>
        <v>974</v>
      </c>
      <c r="G18" s="18">
        <f>'Raw Financials'!G41</f>
        <v>689</v>
      </c>
      <c r="H18" s="18">
        <f>'Raw Financials'!H41</f>
        <v>828</v>
      </c>
      <c r="I18" s="18">
        <f>'Raw Financials'!I41</f>
        <v>841</v>
      </c>
      <c r="J18" s="18">
        <f>'Raw Financials'!J41</f>
        <v>1211</v>
      </c>
      <c r="K18" s="18">
        <f>'Raw Financials'!K41</f>
        <v>792</v>
      </c>
      <c r="L18" s="18">
        <f>'Raw Financials'!L41</f>
        <v>850</v>
      </c>
      <c r="M18" s="18">
        <f>'Raw Financials'!M41</f>
        <v>984</v>
      </c>
      <c r="N18" s="18">
        <f>'Raw Financials'!N41</f>
        <v>1112</v>
      </c>
      <c r="O18" s="18">
        <f>'Raw Financials'!O41</f>
        <v>994</v>
      </c>
      <c r="P18" s="18">
        <f>'Raw Financials'!P41</f>
        <v>1315</v>
      </c>
      <c r="Q18" s="18">
        <f>'Raw Financials'!Q41</f>
        <v>1491</v>
      </c>
      <c r="R18" s="18">
        <f>'Raw Financials'!R41</f>
        <v>1403</v>
      </c>
      <c r="S18" s="18">
        <f>'Raw Financials'!S41</f>
        <v>1005</v>
      </c>
      <c r="T18" s="18">
        <f>'Raw Financials'!T41</f>
        <v>1451</v>
      </c>
      <c r="U18" s="18">
        <f>'Raw Financials'!U41</f>
        <v>1491</v>
      </c>
      <c r="V18" s="18">
        <f>'Raw Financials'!V41</f>
        <v>1555</v>
      </c>
      <c r="W18" s="18">
        <f>'Raw Financials'!W41</f>
        <v>1341</v>
      </c>
      <c r="X18" s="18">
        <f>'Raw Financials'!X41</f>
        <v>1712</v>
      </c>
      <c r="Y18" s="18">
        <f>'Raw Financials'!Y41</f>
        <v>1683</v>
      </c>
      <c r="Z18" s="18">
        <f>'Raw Financials'!Z41</f>
        <v>1819</v>
      </c>
      <c r="AA18" s="18">
        <f>'Raw Financials'!AA41</f>
        <v>1835</v>
      </c>
      <c r="AB18" s="18">
        <f>'Raw Financials'!AB41</f>
        <v>2325</v>
      </c>
      <c r="AC18" s="18">
        <f>'Raw Financials'!AC41</f>
        <v>2454</v>
      </c>
      <c r="AD18" s="18">
        <f>'Raw Financials'!AD41</f>
        <v>2709</v>
      </c>
      <c r="AE18" s="18">
        <f>'Raw Financials'!AE41</f>
        <v>2288</v>
      </c>
      <c r="AF18" s="18">
        <f>'Raw Financials'!AF41</f>
        <v>2830</v>
      </c>
      <c r="AG18" s="18">
        <f>'Raw Financials'!AG41</f>
        <v>2991</v>
      </c>
      <c r="AH18" s="18">
        <f>'Raw Financials'!AH41</f>
        <v>3359</v>
      </c>
      <c r="AI18" s="18">
        <f>'Raw Financials'!AI41</f>
        <v>2559</v>
      </c>
      <c r="AJ18" s="18">
        <f>'Raw Financials'!AJ41</f>
        <v>2702</v>
      </c>
      <c r="AK18" s="18">
        <f>'Raw Financials'!AK41</f>
        <v>3201</v>
      </c>
      <c r="AL18" s="18">
        <f>'Raw Financials'!AL41</f>
        <v>3405</v>
      </c>
      <c r="AM18" s="18">
        <f>'Raw Financials'!AM41</f>
        <v>3272</v>
      </c>
      <c r="AN18" s="18">
        <f>'Raw Financials'!AN41</f>
        <v>3598</v>
      </c>
      <c r="AO18" s="18">
        <f>'Raw Financials'!AO41</f>
        <v>3922</v>
      </c>
      <c r="AP18" s="18">
        <f>'Raw Financials'!AP41</f>
        <v>4195</v>
      </c>
      <c r="AQ18" s="18">
        <f>'Raw Financials'!AQ41</f>
        <v>4858</v>
      </c>
      <c r="AR18" s="18">
        <f>'Raw Financials'!AR41</f>
        <v>5563</v>
      </c>
      <c r="AS18" s="18">
        <f>'Raw Financials'!AS41</f>
        <v>5594</v>
      </c>
      <c r="AT18" s="18">
        <f>'Raw Financials'!AT41</f>
        <v>7368</v>
      </c>
      <c r="AU18" s="18">
        <f>'Raw Financials'!AU41</f>
        <v>8822</v>
      </c>
    </row>
    <row r="19" spans="1:47" ht="14.4">
      <c r="A19" s="1" t="s">
        <v>55</v>
      </c>
      <c r="B19" s="1" t="s">
        <v>48</v>
      </c>
      <c r="C19" s="19">
        <f t="shared" ref="C19:AU19" si="3">IFERROR(C18/C6,"")</f>
        <v>0.11948214007175167</v>
      </c>
      <c r="D19" s="19">
        <f t="shared" si="3"/>
        <v>0.13704086148399469</v>
      </c>
      <c r="E19" s="19">
        <f t="shared" si="3"/>
        <v>0.14188890526005599</v>
      </c>
      <c r="F19" s="19">
        <f t="shared" si="3"/>
        <v>0.14225208120344676</v>
      </c>
      <c r="G19" s="19">
        <f t="shared" si="3"/>
        <v>0.10272849261965111</v>
      </c>
      <c r="H19" s="19">
        <f t="shared" si="3"/>
        <v>0.11949776302496752</v>
      </c>
      <c r="I19" s="19">
        <f t="shared" si="3"/>
        <v>0.12121648890170078</v>
      </c>
      <c r="J19" s="19">
        <f t="shared" si="3"/>
        <v>0.1626158184503827</v>
      </c>
      <c r="K19" s="19">
        <f t="shared" si="3"/>
        <v>0.11172238679644519</v>
      </c>
      <c r="L19" s="19">
        <f t="shared" si="3"/>
        <v>0.11530113944655453</v>
      </c>
      <c r="M19" s="19">
        <f t="shared" si="3"/>
        <v>0.13007270323859882</v>
      </c>
      <c r="N19" s="19">
        <f t="shared" si="3"/>
        <v>0.14097363083164299</v>
      </c>
      <c r="O19" s="19">
        <f t="shared" si="3"/>
        <v>0.12049945447933083</v>
      </c>
      <c r="P19" s="19">
        <f t="shared" si="3"/>
        <v>0.14491955036367643</v>
      </c>
      <c r="Q19" s="19">
        <f t="shared" si="3"/>
        <v>0.15344242050015436</v>
      </c>
      <c r="R19" s="19">
        <f t="shared" si="3"/>
        <v>0.14431186998559967</v>
      </c>
      <c r="S19" s="19">
        <f t="shared" si="3"/>
        <v>0.10472022507033447</v>
      </c>
      <c r="T19" s="19">
        <f t="shared" si="3"/>
        <v>0.13972075108329321</v>
      </c>
      <c r="U19" s="19">
        <f t="shared" si="3"/>
        <v>0.13890441587479038</v>
      </c>
      <c r="V19" s="19">
        <f t="shared" si="3"/>
        <v>0.14017849094023258</v>
      </c>
      <c r="W19" s="19">
        <f t="shared" si="3"/>
        <v>0.12686849574266792</v>
      </c>
      <c r="X19" s="19">
        <f t="shared" si="3"/>
        <v>0.14839212966975818</v>
      </c>
      <c r="Y19" s="19">
        <f t="shared" si="3"/>
        <v>0.14135729884092055</v>
      </c>
      <c r="Z19" s="19">
        <f t="shared" si="3"/>
        <v>0.14419342053111375</v>
      </c>
      <c r="AA19" s="19">
        <f t="shared" si="3"/>
        <v>0.12554734537493159</v>
      </c>
      <c r="AB19" s="19">
        <f t="shared" si="3"/>
        <v>0.14814578819931185</v>
      </c>
      <c r="AC19" s="19">
        <f t="shared" si="3"/>
        <v>0.1480007237199204</v>
      </c>
      <c r="AD19" s="19">
        <f t="shared" si="3"/>
        <v>0.15543060416547133</v>
      </c>
      <c r="AE19" s="19">
        <f t="shared" si="3"/>
        <v>0.12506832841368754</v>
      </c>
      <c r="AF19" s="19">
        <f t="shared" si="3"/>
        <v>0.14443196897009289</v>
      </c>
      <c r="AG19" s="19">
        <f t="shared" si="3"/>
        <v>0.14549080649868665</v>
      </c>
      <c r="AH19" s="19">
        <f t="shared" si="3"/>
        <v>0.15479262672811059</v>
      </c>
      <c r="AI19" s="19">
        <f t="shared" si="3"/>
        <v>0.11521837010355696</v>
      </c>
      <c r="AJ19" s="19">
        <f t="shared" si="3"/>
        <v>0.1187066162903084</v>
      </c>
      <c r="AK19" s="19">
        <f t="shared" si="3"/>
        <v>0.1377781603753282</v>
      </c>
      <c r="AL19" s="19">
        <f t="shared" si="3"/>
        <v>0.14437142251430995</v>
      </c>
      <c r="AM19" s="19">
        <f t="shared" si="3"/>
        <v>0.13628790403198934</v>
      </c>
      <c r="AN19" s="19">
        <f t="shared" si="3"/>
        <v>0.11749338732325376</v>
      </c>
      <c r="AO19" s="19">
        <f t="shared" si="3"/>
        <v>0.11819661262130071</v>
      </c>
      <c r="AP19" s="19">
        <f t="shared" si="3"/>
        <v>0.12258196481795336</v>
      </c>
      <c r="AQ19" s="19">
        <f t="shared" si="3"/>
        <v>0.13170308518136964</v>
      </c>
      <c r="AR19" s="19">
        <f t="shared" si="3"/>
        <v>0.13957397696765939</v>
      </c>
      <c r="AS19" s="19">
        <f t="shared" si="3"/>
        <v>0.13356892146796878</v>
      </c>
      <c r="AT19" s="19">
        <f t="shared" si="3"/>
        <v>0.16555815207621788</v>
      </c>
      <c r="AU19" s="19">
        <f t="shared" si="3"/>
        <v>0.15959621542413663</v>
      </c>
    </row>
    <row r="20" spans="1:47" ht="14.4">
      <c r="A20" s="1" t="s">
        <v>327</v>
      </c>
      <c r="B20" s="1" t="s">
        <v>46</v>
      </c>
      <c r="C20" s="18">
        <f>'Raw Financials'!C42</f>
        <v>79</v>
      </c>
      <c r="D20" s="18">
        <f>'Raw Financials'!D42</f>
        <v>13</v>
      </c>
      <c r="E20" s="18">
        <f>'Raw Financials'!E42</f>
        <v>52</v>
      </c>
      <c r="F20" s="18">
        <f>'Raw Financials'!F42</f>
        <v>39</v>
      </c>
      <c r="G20" s="18">
        <f>'Raw Financials'!G42</f>
        <v>83</v>
      </c>
      <c r="H20" s="18">
        <f>'Raw Financials'!H42</f>
        <v>29</v>
      </c>
      <c r="I20" s="18">
        <f>'Raw Financials'!I42</f>
        <v>59</v>
      </c>
      <c r="J20" s="18">
        <f>'Raw Financials'!J42</f>
        <v>-12</v>
      </c>
      <c r="K20" s="18">
        <f>'Raw Financials'!K42</f>
        <v>58</v>
      </c>
      <c r="L20" s="18">
        <f>'Raw Financials'!L42</f>
        <v>87</v>
      </c>
      <c r="M20" s="18">
        <f>'Raw Financials'!M42</f>
        <v>5</v>
      </c>
      <c r="N20" s="18">
        <f>'Raw Financials'!N42</f>
        <v>148</v>
      </c>
      <c r="O20" s="18">
        <f>'Raw Financials'!O42</f>
        <v>209</v>
      </c>
      <c r="P20" s="18">
        <f>'Raw Financials'!P42</f>
        <v>215</v>
      </c>
      <c r="Q20" s="18">
        <f>'Raw Financials'!Q42</f>
        <v>5</v>
      </c>
      <c r="R20" s="18">
        <f>'Raw Financials'!R42</f>
        <v>47</v>
      </c>
      <c r="S20" s="18">
        <f>'Raw Financials'!S42</f>
        <v>171</v>
      </c>
      <c r="T20" s="18">
        <f>'Raw Financials'!T42</f>
        <v>76</v>
      </c>
      <c r="U20" s="18">
        <f>'Raw Financials'!U42</f>
        <v>130</v>
      </c>
      <c r="V20" s="18">
        <f>'Raw Financials'!V42</f>
        <v>180</v>
      </c>
      <c r="W20" s="18">
        <f>'Raw Financials'!W42</f>
        <v>48</v>
      </c>
      <c r="X20" s="18">
        <f>'Raw Financials'!X42</f>
        <v>-63</v>
      </c>
      <c r="Y20" s="18">
        <f>'Raw Financials'!Y42</f>
        <v>19</v>
      </c>
      <c r="Z20" s="18">
        <f>'Raw Financials'!Z42</f>
        <v>109</v>
      </c>
      <c r="AA20" s="18">
        <f>'Raw Financials'!AA42</f>
        <v>52</v>
      </c>
      <c r="AB20" s="18">
        <f>'Raw Financials'!AB42</f>
        <v>-77</v>
      </c>
      <c r="AC20" s="18">
        <f>'Raw Financials'!AC42</f>
        <v>-122</v>
      </c>
      <c r="AD20" s="18">
        <f>'Raw Financials'!AD42</f>
        <v>-119</v>
      </c>
      <c r="AE20" s="18">
        <f>'Raw Financials'!AE42</f>
        <v>-76</v>
      </c>
      <c r="AF20" s="18">
        <f>'Raw Financials'!AF42</f>
        <v>-150</v>
      </c>
      <c r="AG20" s="18">
        <f>'Raw Financials'!AG42</f>
        <v>83</v>
      </c>
      <c r="AH20" s="18">
        <f>'Raw Financials'!AH42</f>
        <v>-487</v>
      </c>
      <c r="AI20" s="18">
        <f>'Raw Financials'!AI42</f>
        <v>-152</v>
      </c>
      <c r="AJ20" s="18">
        <f>'Raw Financials'!AJ42</f>
        <v>-295</v>
      </c>
      <c r="AK20" s="18">
        <f>'Raw Financials'!AK42</f>
        <v>-257</v>
      </c>
      <c r="AL20" s="18">
        <f>'Raw Financials'!AL42</f>
        <v>-452</v>
      </c>
      <c r="AM20" s="18">
        <f>'Raw Financials'!AM42</f>
        <v>-272</v>
      </c>
      <c r="AN20" s="18">
        <f>'Raw Financials'!AN42</f>
        <v>0</v>
      </c>
      <c r="AO20" s="18">
        <f>'Raw Financials'!AO42</f>
        <v>-327</v>
      </c>
      <c r="AP20" s="18">
        <f>'Raw Financials'!AP42</f>
        <v>-92</v>
      </c>
      <c r="AQ20" s="18">
        <f>'Raw Financials'!AQ42</f>
        <v>0</v>
      </c>
      <c r="AR20" s="18">
        <f>'Raw Financials'!AR42</f>
        <v>-292</v>
      </c>
      <c r="AS20" s="18">
        <f>'Raw Financials'!AS42</f>
        <v>-208</v>
      </c>
      <c r="AT20" s="18">
        <f>'Raw Financials'!AT42</f>
        <v>-179</v>
      </c>
      <c r="AU20" s="18">
        <f>'Raw Financials'!AU42</f>
        <v>-598</v>
      </c>
    </row>
    <row r="21" spans="1:47" ht="14.4">
      <c r="A21" s="1" t="s">
        <v>328</v>
      </c>
      <c r="B21" s="1" t="s">
        <v>46</v>
      </c>
      <c r="C21" s="18">
        <f>'Raw Financials'!C43</f>
        <v>0</v>
      </c>
      <c r="D21" s="18">
        <f>'Raw Financials'!D43</f>
        <v>0</v>
      </c>
      <c r="E21" s="18">
        <f>'Raw Financials'!E43</f>
        <v>0</v>
      </c>
      <c r="F21" s="18">
        <f>'Raw Financials'!F43</f>
        <v>0</v>
      </c>
      <c r="G21" s="18">
        <f>'Raw Financials'!G43</f>
        <v>0</v>
      </c>
      <c r="H21" s="18">
        <f>'Raw Financials'!H43</f>
        <v>0</v>
      </c>
      <c r="I21" s="18">
        <f>'Raw Financials'!I43</f>
        <v>0</v>
      </c>
      <c r="J21" s="18">
        <f>'Raw Financials'!J43</f>
        <v>0</v>
      </c>
      <c r="K21" s="18">
        <f>'Raw Financials'!K43</f>
        <v>0</v>
      </c>
      <c r="L21" s="18">
        <f>'Raw Financials'!L43</f>
        <v>0</v>
      </c>
      <c r="M21" s="18">
        <f>'Raw Financials'!M43</f>
        <v>0</v>
      </c>
      <c r="N21" s="18">
        <f>'Raw Financials'!N43</f>
        <v>0</v>
      </c>
      <c r="O21" s="18">
        <f>'Raw Financials'!O43</f>
        <v>0</v>
      </c>
      <c r="P21" s="18">
        <f>'Raw Financials'!P43</f>
        <v>0</v>
      </c>
      <c r="Q21" s="18">
        <f>'Raw Financials'!Q43</f>
        <v>0</v>
      </c>
      <c r="R21" s="18">
        <f>'Raw Financials'!R43</f>
        <v>0</v>
      </c>
      <c r="S21" s="18">
        <f>'Raw Financials'!S43</f>
        <v>0</v>
      </c>
      <c r="T21" s="18">
        <f>'Raw Financials'!T43</f>
        <v>0</v>
      </c>
      <c r="U21" s="18">
        <f>'Raw Financials'!U43</f>
        <v>0</v>
      </c>
      <c r="V21" s="18">
        <f>'Raw Financials'!V43</f>
        <v>0</v>
      </c>
      <c r="W21" s="18">
        <f>'Raw Financials'!W43</f>
        <v>0</v>
      </c>
      <c r="X21" s="18">
        <f>'Raw Financials'!X43</f>
        <v>0</v>
      </c>
      <c r="Y21" s="18">
        <f>'Raw Financials'!Y43</f>
        <v>0</v>
      </c>
      <c r="Z21" s="18">
        <f>'Raw Financials'!Z43</f>
        <v>0</v>
      </c>
      <c r="AA21" s="18">
        <f>'Raw Financials'!AA43</f>
        <v>0</v>
      </c>
      <c r="AB21" s="18">
        <f>'Raw Financials'!AB43</f>
        <v>0</v>
      </c>
      <c r="AC21" s="18">
        <f>'Raw Financials'!AC43</f>
        <v>0</v>
      </c>
      <c r="AD21" s="18">
        <f>'Raw Financials'!AD43</f>
        <v>0</v>
      </c>
      <c r="AE21" s="18">
        <f>'Raw Financials'!AE43</f>
        <v>0</v>
      </c>
      <c r="AF21" s="18">
        <f>'Raw Financials'!AF43</f>
        <v>0</v>
      </c>
      <c r="AG21" s="18">
        <f>'Raw Financials'!AG43</f>
        <v>0</v>
      </c>
      <c r="AH21" s="18">
        <f>'Raw Financials'!AH43</f>
        <v>0</v>
      </c>
      <c r="AI21" s="18">
        <f>'Raw Financials'!AI43</f>
        <v>0</v>
      </c>
      <c r="AJ21" s="18">
        <f>'Raw Financials'!AJ43</f>
        <v>0</v>
      </c>
      <c r="AK21" s="18">
        <f>'Raw Financials'!AK43</f>
        <v>0</v>
      </c>
      <c r="AL21" s="18">
        <f>'Raw Financials'!AL43</f>
        <v>0</v>
      </c>
      <c r="AM21" s="18">
        <f>'Raw Financials'!AM43</f>
        <v>0</v>
      </c>
      <c r="AN21" s="18">
        <f>'Raw Financials'!AN43</f>
        <v>0</v>
      </c>
      <c r="AO21" s="18">
        <f>'Raw Financials'!AO43</f>
        <v>0</v>
      </c>
      <c r="AP21" s="18">
        <f>'Raw Financials'!AP43</f>
        <v>-170</v>
      </c>
      <c r="AQ21" s="18">
        <f>'Raw Financials'!AQ43</f>
        <v>-44</v>
      </c>
      <c r="AR21" s="18">
        <f>'Raw Financials'!AR43</f>
        <v>310</v>
      </c>
      <c r="AS21" s="18">
        <f>'Raw Financials'!AS43</f>
        <v>-68</v>
      </c>
      <c r="AT21" s="18">
        <f>'Raw Financials'!AT43</f>
        <v>-403</v>
      </c>
      <c r="AU21" s="18">
        <f>'Raw Financials'!AU43</f>
        <v>-653</v>
      </c>
    </row>
    <row r="22" spans="1:47" ht="14.4">
      <c r="A22" s="1" t="s">
        <v>265</v>
      </c>
      <c r="B22" s="1" t="s">
        <v>46</v>
      </c>
      <c r="C22" s="18">
        <f>'Raw Financials'!C44</f>
        <v>845</v>
      </c>
      <c r="D22" s="18">
        <f>'Raw Financials'!D44</f>
        <v>942</v>
      </c>
      <c r="E22" s="18">
        <f>'Raw Financials'!E44</f>
        <v>1015</v>
      </c>
      <c r="F22" s="18">
        <f>'Raw Financials'!F44</f>
        <v>1013</v>
      </c>
      <c r="G22" s="18">
        <f>'Raw Financials'!G44</f>
        <v>772</v>
      </c>
      <c r="H22" s="18">
        <f>'Raw Financials'!H44</f>
        <v>857</v>
      </c>
      <c r="I22" s="18">
        <f>'Raw Financials'!I44</f>
        <v>900</v>
      </c>
      <c r="J22" s="18">
        <f>'Raw Financials'!J44</f>
        <v>1199</v>
      </c>
      <c r="K22" s="18">
        <f>'Raw Financials'!K44</f>
        <v>849</v>
      </c>
      <c r="L22" s="18">
        <f>'Raw Financials'!L44</f>
        <v>937</v>
      </c>
      <c r="M22" s="18">
        <f>'Raw Financials'!M44</f>
        <v>989</v>
      </c>
      <c r="N22" s="18">
        <f>'Raw Financials'!N44</f>
        <v>1261</v>
      </c>
      <c r="O22" s="18">
        <f>'Raw Financials'!O44</f>
        <v>1203</v>
      </c>
      <c r="P22" s="18">
        <f>'Raw Financials'!P44</f>
        <v>1530</v>
      </c>
      <c r="Q22" s="18">
        <f>'Raw Financials'!Q44</f>
        <v>1496</v>
      </c>
      <c r="R22" s="18">
        <f>'Raw Financials'!R44</f>
        <v>1451</v>
      </c>
      <c r="S22" s="18">
        <f>'Raw Financials'!S44</f>
        <v>1176</v>
      </c>
      <c r="T22" s="18">
        <f>'Raw Financials'!T44</f>
        <v>1527</v>
      </c>
      <c r="U22" s="18">
        <f>'Raw Financials'!U44</f>
        <v>1621</v>
      </c>
      <c r="V22" s="18">
        <f>'Raw Financials'!V44</f>
        <v>1718</v>
      </c>
      <c r="W22" s="18">
        <f>'Raw Financials'!W44</f>
        <v>1269</v>
      </c>
      <c r="X22" s="18">
        <f>'Raw Financials'!X44</f>
        <v>1525</v>
      </c>
      <c r="Y22" s="18">
        <f>'Raw Financials'!Y44</f>
        <v>1566</v>
      </c>
      <c r="Z22" s="18">
        <f>'Raw Financials'!Z44</f>
        <v>1782</v>
      </c>
      <c r="AA22" s="18">
        <f>'Raw Financials'!AA44</f>
        <v>1632</v>
      </c>
      <c r="AB22" s="18">
        <f>'Raw Financials'!AB44</f>
        <v>2248</v>
      </c>
      <c r="AC22" s="18">
        <f>'Raw Financials'!AC44</f>
        <v>2332</v>
      </c>
      <c r="AD22" s="18">
        <f>'Raw Financials'!AD44</f>
        <v>2590</v>
      </c>
      <c r="AE22" s="18">
        <f>'Raw Financials'!AE44</f>
        <v>2212</v>
      </c>
      <c r="AF22" s="18">
        <f>'Raw Financials'!AF44</f>
        <v>2680</v>
      </c>
      <c r="AG22" s="18">
        <f>'Raw Financials'!AG44</f>
        <v>3074</v>
      </c>
      <c r="AH22" s="18">
        <f>'Raw Financials'!AH44</f>
        <v>2872</v>
      </c>
      <c r="AI22" s="18">
        <f>'Raw Financials'!AI44</f>
        <v>2407</v>
      </c>
      <c r="AJ22" s="18">
        <f>'Raw Financials'!AJ44</f>
        <v>2407</v>
      </c>
      <c r="AK22" s="18">
        <f>'Raw Financials'!AK44</f>
        <v>2944</v>
      </c>
      <c r="AL22" s="18">
        <f>'Raw Financials'!AL44</f>
        <v>2953</v>
      </c>
      <c r="AM22" s="18">
        <f>'Raw Financials'!AM44</f>
        <v>3000</v>
      </c>
      <c r="AN22" s="18">
        <f>'Raw Financials'!AN44</f>
        <v>3598</v>
      </c>
      <c r="AO22" s="18">
        <f>'Raw Financials'!AO44</f>
        <v>3595</v>
      </c>
      <c r="AP22" s="18">
        <f>'Raw Financials'!AP44</f>
        <v>3933</v>
      </c>
      <c r="AQ22" s="18">
        <f>'Raw Financials'!AQ44</f>
        <v>4402</v>
      </c>
      <c r="AR22" s="18">
        <f>'Raw Financials'!AR44</f>
        <v>5582</v>
      </c>
      <c r="AS22" s="18">
        <f>'Raw Financials'!AS44</f>
        <v>5318</v>
      </c>
      <c r="AT22" s="18">
        <f>'Raw Financials'!AT44</f>
        <v>6786</v>
      </c>
      <c r="AU22" s="18">
        <f>'Raw Financials'!AU44</f>
        <v>7571</v>
      </c>
    </row>
    <row r="23" spans="1:47" ht="14.4">
      <c r="A23" s="1" t="s">
        <v>266</v>
      </c>
      <c r="B23" s="1" t="s">
        <v>46</v>
      </c>
      <c r="C23" s="18">
        <f>'Raw Financials'!C45</f>
        <v>800</v>
      </c>
      <c r="D23" s="18">
        <f>'Raw Financials'!D45</f>
        <v>0</v>
      </c>
      <c r="E23" s="18">
        <f>'Raw Financials'!E45</f>
        <v>13</v>
      </c>
      <c r="F23" s="18">
        <f>'Raw Financials'!F45</f>
        <v>13</v>
      </c>
      <c r="G23" s="18">
        <f>'Raw Financials'!G45</f>
        <v>361</v>
      </c>
      <c r="H23" s="18">
        <f>'Raw Financials'!H45</f>
        <v>361</v>
      </c>
      <c r="I23" s="18">
        <f>'Raw Financials'!I45</f>
        <v>13</v>
      </c>
      <c r="J23" s="18">
        <f>'Raw Financials'!J45</f>
        <v>-140</v>
      </c>
      <c r="K23" s="18">
        <f>'Raw Financials'!K45</f>
        <v>-140</v>
      </c>
      <c r="L23" s="18">
        <f>'Raw Financials'!L45</f>
        <v>0</v>
      </c>
      <c r="M23" s="18">
        <f>'Raw Financials'!M45</f>
        <v>0</v>
      </c>
      <c r="N23" s="18">
        <f>'Raw Financials'!N45</f>
        <v>-140</v>
      </c>
      <c r="O23" s="18">
        <f>'Raw Financials'!O45</f>
        <v>0</v>
      </c>
      <c r="P23" s="18">
        <f>'Raw Financials'!P45</f>
        <v>0</v>
      </c>
      <c r="Q23" s="18">
        <f>'Raw Financials'!Q45</f>
        <v>0</v>
      </c>
      <c r="R23" s="18">
        <f>'Raw Financials'!R45</f>
        <v>56</v>
      </c>
      <c r="S23" s="18">
        <f>'Raw Financials'!S45</f>
        <v>-57</v>
      </c>
      <c r="T23" s="18">
        <f>'Raw Financials'!T45</f>
        <v>-57</v>
      </c>
      <c r="U23" s="18">
        <f>'Raw Financials'!U45</f>
        <v>0</v>
      </c>
      <c r="V23" s="18">
        <f>'Raw Financials'!V45</f>
        <v>128</v>
      </c>
      <c r="W23" s="18">
        <f>'Raw Financials'!W45</f>
        <v>180</v>
      </c>
      <c r="X23" s="18">
        <f>'Raw Financials'!X45</f>
        <v>0</v>
      </c>
      <c r="Y23" s="18">
        <f>'Raw Financials'!Y45</f>
        <v>0</v>
      </c>
      <c r="Z23" s="18">
        <f>'Raw Financials'!Z45</f>
        <v>0</v>
      </c>
      <c r="AA23" s="18">
        <f>'Raw Financials'!AA45</f>
        <v>0</v>
      </c>
      <c r="AB23" s="18">
        <f>'Raw Financials'!AB45</f>
        <v>0</v>
      </c>
      <c r="AC23" s="18">
        <f>'Raw Financials'!AC45</f>
        <v>0</v>
      </c>
      <c r="AD23" s="18">
        <f>'Raw Financials'!AD45</f>
        <v>0</v>
      </c>
      <c r="AE23" s="18">
        <f>'Raw Financials'!AE45</f>
        <v>0</v>
      </c>
      <c r="AF23" s="18">
        <f>'Raw Financials'!AF45</f>
        <v>0</v>
      </c>
      <c r="AG23" s="18">
        <f>'Raw Financials'!AG45</f>
        <v>0</v>
      </c>
      <c r="AH23" s="18">
        <f>'Raw Financials'!AH45</f>
        <v>0</v>
      </c>
      <c r="AI23" s="18">
        <f>'Raw Financials'!AI45</f>
        <v>0</v>
      </c>
      <c r="AJ23" s="18">
        <f>'Raw Financials'!AJ45</f>
        <v>0</v>
      </c>
      <c r="AK23" s="18">
        <f>'Raw Financials'!AK45</f>
        <v>0</v>
      </c>
      <c r="AL23" s="18">
        <f>'Raw Financials'!AL45</f>
        <v>97</v>
      </c>
      <c r="AM23" s="18">
        <f>'Raw Financials'!AM45</f>
        <v>953</v>
      </c>
      <c r="AN23" s="18">
        <f>'Raw Financials'!AN45</f>
        <v>201</v>
      </c>
      <c r="AO23" s="18">
        <f>'Raw Financials'!AO45</f>
        <v>0</v>
      </c>
      <c r="AP23" s="18">
        <f>'Raw Financials'!AP45</f>
        <v>0</v>
      </c>
      <c r="AQ23" s="18">
        <f>'Raw Financials'!AQ45</f>
        <v>248</v>
      </c>
      <c r="AR23" s="18">
        <f>'Raw Financials'!AR45</f>
        <v>0</v>
      </c>
      <c r="AS23" s="18">
        <f>'Raw Financials'!AS45</f>
        <v>1476</v>
      </c>
      <c r="AT23" s="18">
        <f>'Raw Financials'!AT45</f>
        <v>536</v>
      </c>
      <c r="AU23" s="18">
        <f>'Raw Financials'!AU45</f>
        <v>550</v>
      </c>
    </row>
    <row r="24" spans="1:47" ht="14.4">
      <c r="A24" s="1" t="s">
        <v>267</v>
      </c>
      <c r="B24" s="1" t="s">
        <v>46</v>
      </c>
      <c r="C24" s="18">
        <f>'Raw Financials'!C46</f>
        <v>844</v>
      </c>
      <c r="D24" s="18">
        <f>'Raw Financials'!D46</f>
        <v>942</v>
      </c>
      <c r="E24" s="18">
        <f>'Raw Financials'!E46</f>
        <v>1002</v>
      </c>
      <c r="F24" s="18">
        <f>'Raw Financials'!F46</f>
        <v>1013</v>
      </c>
      <c r="G24" s="18">
        <f>'Raw Financials'!G46</f>
        <v>411</v>
      </c>
      <c r="H24" s="18">
        <f>'Raw Financials'!H46</f>
        <v>856</v>
      </c>
      <c r="I24" s="18">
        <f>'Raw Financials'!I46</f>
        <v>900</v>
      </c>
      <c r="J24" s="18">
        <f>'Raw Financials'!J46</f>
        <v>1339</v>
      </c>
      <c r="K24" s="18">
        <f>'Raw Financials'!K46</f>
        <v>849</v>
      </c>
      <c r="L24" s="18">
        <f>'Raw Financials'!L46</f>
        <v>937</v>
      </c>
      <c r="M24" s="18">
        <f>'Raw Financials'!M46</f>
        <v>989</v>
      </c>
      <c r="N24" s="18">
        <f>'Raw Financials'!N46</f>
        <v>1261</v>
      </c>
      <c r="O24" s="18">
        <f>'Raw Financials'!O46</f>
        <v>1203</v>
      </c>
      <c r="P24" s="18">
        <f>'Raw Financials'!P46</f>
        <v>1530</v>
      </c>
      <c r="Q24" s="18">
        <f>'Raw Financials'!Q46</f>
        <v>1496</v>
      </c>
      <c r="R24" s="18">
        <f>'Raw Financials'!R46</f>
        <v>1395</v>
      </c>
      <c r="S24" s="18">
        <f>'Raw Financials'!S46</f>
        <v>1233</v>
      </c>
      <c r="T24" s="18">
        <f>'Raw Financials'!T46</f>
        <v>1527</v>
      </c>
      <c r="U24" s="18">
        <f>'Raw Financials'!U46</f>
        <v>1621</v>
      </c>
      <c r="V24" s="18">
        <f>'Raw Financials'!V46</f>
        <v>1590</v>
      </c>
      <c r="W24" s="18">
        <f>'Raw Financials'!W46</f>
        <v>1089</v>
      </c>
      <c r="X24" s="18">
        <f>'Raw Financials'!X46</f>
        <v>1525</v>
      </c>
      <c r="Y24" s="18">
        <f>'Raw Financials'!Y46</f>
        <v>1566</v>
      </c>
      <c r="Z24" s="18">
        <f>'Raw Financials'!Z46</f>
        <v>1782</v>
      </c>
      <c r="AA24" s="18">
        <f>'Raw Financials'!AA46</f>
        <v>1632</v>
      </c>
      <c r="AB24" s="18">
        <f>'Raw Financials'!AB46</f>
        <v>2061</v>
      </c>
      <c r="AC24" s="18">
        <f>'Raw Financials'!AC46</f>
        <v>2332</v>
      </c>
      <c r="AD24" s="18">
        <f>'Raw Financials'!AD46</f>
        <v>2590</v>
      </c>
      <c r="AE24" s="18">
        <f>'Raw Financials'!AE46</f>
        <v>2212</v>
      </c>
      <c r="AF24" s="18">
        <f>'Raw Financials'!AF46</f>
        <v>2680</v>
      </c>
      <c r="AG24" s="18">
        <f>'Raw Financials'!AG46</f>
        <v>3074</v>
      </c>
      <c r="AH24" s="18">
        <f>'Raw Financials'!AH46</f>
        <v>2872</v>
      </c>
      <c r="AI24" s="18">
        <f>'Raw Financials'!AI46</f>
        <v>2242</v>
      </c>
      <c r="AJ24" s="18">
        <f>'Raw Financials'!AJ46</f>
        <v>2407</v>
      </c>
      <c r="AK24" s="18">
        <f>'Raw Financials'!AK46</f>
        <v>2944</v>
      </c>
      <c r="AL24" s="18">
        <f>'Raw Financials'!AL46</f>
        <v>2856</v>
      </c>
      <c r="AM24" s="18">
        <f>'Raw Financials'!AM46</f>
        <v>2047</v>
      </c>
      <c r="AN24" s="18">
        <f>'Raw Financials'!AN46</f>
        <v>3135</v>
      </c>
      <c r="AO24" s="18">
        <f>'Raw Financials'!AO46</f>
        <v>3433</v>
      </c>
      <c r="AP24" s="18">
        <f>'Raw Financials'!AP46</f>
        <v>3933</v>
      </c>
      <c r="AQ24" s="18">
        <f>'Raw Financials'!AQ46</f>
        <v>3654</v>
      </c>
      <c r="AR24" s="18">
        <f>'Raw Financials'!AR46</f>
        <v>5582</v>
      </c>
      <c r="AS24" s="18">
        <f>'Raw Financials'!AS46</f>
        <v>3842</v>
      </c>
      <c r="AT24" s="18">
        <f>'Raw Financials'!AT46</f>
        <v>6250</v>
      </c>
      <c r="AU24" s="18">
        <f>'Raw Financials'!AU46</f>
        <v>7021</v>
      </c>
    </row>
    <row r="25" spans="1:47" ht="14.4">
      <c r="A25" s="1" t="s">
        <v>270</v>
      </c>
      <c r="B25" s="1" t="s">
        <v>46</v>
      </c>
      <c r="C25" s="18">
        <f>'Raw Financials'!C47</f>
        <v>219</v>
      </c>
      <c r="D25" s="18">
        <f>'Raw Financials'!D47</f>
        <v>216</v>
      </c>
      <c r="E25" s="18">
        <f>'Raw Financials'!E47</f>
        <v>212</v>
      </c>
      <c r="F25" s="18">
        <f>'Raw Financials'!F47</f>
        <v>184</v>
      </c>
      <c r="G25" s="18">
        <f>'Raw Financials'!G47</f>
        <v>80</v>
      </c>
      <c r="H25" s="18">
        <f>'Raw Financials'!H47</f>
        <v>213</v>
      </c>
      <c r="I25" s="18">
        <f>'Raw Financials'!I47</f>
        <v>228</v>
      </c>
      <c r="J25" s="18">
        <f>'Raw Financials'!J47</f>
        <v>265</v>
      </c>
      <c r="K25" s="18">
        <f>'Raw Financials'!K47</f>
        <v>295</v>
      </c>
      <c r="L25" s="18">
        <f>'Raw Financials'!L47</f>
        <v>204</v>
      </c>
      <c r="M25" s="18">
        <f>'Raw Financials'!M47</f>
        <v>163</v>
      </c>
      <c r="N25" s="18">
        <f>'Raw Financials'!N47</f>
        <v>288</v>
      </c>
      <c r="O25" s="18">
        <f>'Raw Financials'!O47</f>
        <v>300</v>
      </c>
      <c r="P25" s="18">
        <f>'Raw Financials'!P47</f>
        <v>363</v>
      </c>
      <c r="Q25" s="18">
        <f>'Raw Financials'!Q47</f>
        <v>445</v>
      </c>
      <c r="R25" s="18">
        <f>'Raw Financials'!R47</f>
        <v>296</v>
      </c>
      <c r="S25" s="18">
        <f>'Raw Financials'!S47</f>
        <v>318</v>
      </c>
      <c r="T25" s="18">
        <f>'Raw Financials'!T47</f>
        <v>276</v>
      </c>
      <c r="U25" s="18">
        <f>'Raw Financials'!U47</f>
        <v>336</v>
      </c>
      <c r="V25" s="18">
        <f>'Raw Financials'!V47</f>
        <v>348</v>
      </c>
      <c r="W25" s="18">
        <f>'Raw Financials'!W47</f>
        <v>260</v>
      </c>
      <c r="X25" s="18">
        <f>'Raw Financials'!X47</f>
        <v>303</v>
      </c>
      <c r="Y25" s="18">
        <f>'Raw Financials'!Y47</f>
        <v>331</v>
      </c>
      <c r="Z25" s="18">
        <f>'Raw Financials'!Z47</f>
        <v>408</v>
      </c>
      <c r="AA25" s="18">
        <f>'Raw Financials'!AA47</f>
        <v>320</v>
      </c>
      <c r="AB25" s="18">
        <f>'Raw Financials'!AB47</f>
        <v>446</v>
      </c>
      <c r="AC25" s="18">
        <f>'Raw Financials'!AC47</f>
        <v>360</v>
      </c>
      <c r="AD25" s="18">
        <f>'Raw Financials'!AD47</f>
        <v>342</v>
      </c>
      <c r="AE25" s="18">
        <f>'Raw Financials'!AE47</f>
        <v>493</v>
      </c>
      <c r="AF25" s="18">
        <f>'Raw Financials'!AF47</f>
        <v>474</v>
      </c>
      <c r="AG25" s="18">
        <f>'Raw Financials'!AG47</f>
        <v>715</v>
      </c>
      <c r="AH25" s="18">
        <f>'Raw Financials'!AH47</f>
        <v>526</v>
      </c>
      <c r="AI25" s="18">
        <f>'Raw Financials'!AI47</f>
        <v>485</v>
      </c>
      <c r="AJ25" s="18">
        <f>'Raw Financials'!AJ47</f>
        <v>528</v>
      </c>
      <c r="AK25" s="18">
        <f>'Raw Financials'!AK47</f>
        <v>516</v>
      </c>
      <c r="AL25" s="18">
        <f>'Raw Financials'!AL47</f>
        <v>564</v>
      </c>
      <c r="AM25" s="18">
        <f>'Raw Financials'!AM47</f>
        <v>654</v>
      </c>
      <c r="AN25" s="18">
        <f>'Raw Financials'!AN47</f>
        <v>0</v>
      </c>
      <c r="AO25" s="18">
        <f>'Raw Financials'!AO47</f>
        <v>874</v>
      </c>
      <c r="AP25" s="18">
        <f>'Raw Financials'!AP47</f>
        <v>874</v>
      </c>
      <c r="AQ25" s="18">
        <f>'Raw Financials'!AQ47</f>
        <v>792</v>
      </c>
      <c r="AR25" s="18">
        <f>'Raw Financials'!AR47</f>
        <v>1328</v>
      </c>
      <c r="AS25" s="18">
        <f>'Raw Financials'!AS47</f>
        <v>875</v>
      </c>
      <c r="AT25" s="18">
        <f>'Raw Financials'!AT47</f>
        <v>-412</v>
      </c>
      <c r="AU25" s="18">
        <f>'Raw Financials'!AU47</f>
        <v>1704</v>
      </c>
    </row>
    <row r="26" spans="1:47" ht="14.4">
      <c r="A26" s="1" t="s">
        <v>271</v>
      </c>
      <c r="B26" s="1" t="s">
        <v>46</v>
      </c>
      <c r="C26" s="18">
        <f>'Raw Financials'!C48</f>
        <v>625</v>
      </c>
      <c r="D26" s="18">
        <f>'Raw Financials'!D48</f>
        <v>726</v>
      </c>
      <c r="E26" s="18">
        <f>'Raw Financials'!E48</f>
        <v>790</v>
      </c>
      <c r="F26" s="18">
        <f>'Raw Financials'!F48</f>
        <v>829</v>
      </c>
      <c r="G26" s="18">
        <f>'Raw Financials'!G48</f>
        <v>331</v>
      </c>
      <c r="H26" s="18">
        <f>'Raw Financials'!H48</f>
        <v>643</v>
      </c>
      <c r="I26" s="18">
        <f>'Raw Financials'!I48</f>
        <v>672</v>
      </c>
      <c r="J26" s="18">
        <f>'Raw Financials'!J48</f>
        <v>1075</v>
      </c>
      <c r="K26" s="18">
        <f>'Raw Financials'!K48</f>
        <v>555</v>
      </c>
      <c r="L26" s="18">
        <f>'Raw Financials'!L48</f>
        <v>733</v>
      </c>
      <c r="M26" s="18">
        <f>'Raw Financials'!M48</f>
        <v>826</v>
      </c>
      <c r="N26" s="18">
        <f>'Raw Financials'!N48</f>
        <v>973</v>
      </c>
      <c r="O26" s="18">
        <f>'Raw Financials'!O48</f>
        <v>904</v>
      </c>
      <c r="P26" s="18">
        <f>'Raw Financials'!P48</f>
        <v>1167</v>
      </c>
      <c r="Q26" s="18">
        <f>'Raw Financials'!Q48</f>
        <v>1051</v>
      </c>
      <c r="R26" s="18">
        <f>'Raw Financials'!R48</f>
        <v>1099</v>
      </c>
      <c r="S26" s="18">
        <f>'Raw Financials'!S48</f>
        <v>914</v>
      </c>
      <c r="T26" s="18">
        <f>'Raw Financials'!T48</f>
        <v>1251</v>
      </c>
      <c r="U26" s="18">
        <f>'Raw Financials'!U48</f>
        <v>1285</v>
      </c>
      <c r="V26" s="18">
        <f>'Raw Financials'!V48</f>
        <v>1242</v>
      </c>
      <c r="W26" s="18">
        <f>'Raw Financials'!W48</f>
        <v>829</v>
      </c>
      <c r="X26" s="18">
        <f>'Raw Financials'!X48</f>
        <v>1222</v>
      </c>
      <c r="Y26" s="18">
        <f>'Raw Financials'!Y48</f>
        <v>1235</v>
      </c>
      <c r="Z26" s="18">
        <f>'Raw Financials'!Z48</f>
        <v>1374</v>
      </c>
      <c r="AA26" s="18">
        <f>'Raw Financials'!AA48</f>
        <v>1312</v>
      </c>
      <c r="AB26" s="18">
        <f>'Raw Financials'!AB48</f>
        <v>1615</v>
      </c>
      <c r="AC26" s="18">
        <f>'Raw Financials'!AC48</f>
        <v>1972</v>
      </c>
      <c r="AD26" s="18">
        <f>'Raw Financials'!AD48</f>
        <v>2248</v>
      </c>
      <c r="AE26" s="18">
        <f>'Raw Financials'!AE48</f>
        <v>1719</v>
      </c>
      <c r="AF26" s="18">
        <f>'Raw Financials'!AF48</f>
        <v>2206</v>
      </c>
      <c r="AG26" s="18">
        <f>'Raw Financials'!AG48</f>
        <v>2359</v>
      </c>
      <c r="AH26" s="18">
        <f>'Raw Financials'!AH48</f>
        <v>2346</v>
      </c>
      <c r="AI26" s="18">
        <f>'Raw Financials'!AI48</f>
        <v>1757</v>
      </c>
      <c r="AJ26" s="18">
        <f>'Raw Financials'!AJ48</f>
        <v>1879</v>
      </c>
      <c r="AK26" s="18">
        <f>'Raw Financials'!AK48</f>
        <v>2428</v>
      </c>
      <c r="AL26" s="18">
        <f>'Raw Financials'!AL48</f>
        <v>2292</v>
      </c>
      <c r="AM26" s="18">
        <f>'Raw Financials'!AM48</f>
        <v>1393</v>
      </c>
      <c r="AN26" s="18">
        <f>'Raw Financials'!AN48</f>
        <v>0</v>
      </c>
      <c r="AO26" s="18">
        <f>'Raw Financials'!AO48</f>
        <v>2559</v>
      </c>
      <c r="AP26" s="18">
        <f>'Raw Financials'!AP48</f>
        <v>3073</v>
      </c>
      <c r="AQ26" s="18">
        <f>'Raw Financials'!AQ48</f>
        <v>3564</v>
      </c>
      <c r="AR26" s="18">
        <f>'Raw Financials'!AR48</f>
        <v>4254</v>
      </c>
      <c r="AS26" s="18">
        <f>'Raw Financials'!AS48</f>
        <v>2967</v>
      </c>
      <c r="AT26" s="18">
        <f>'Raw Financials'!AT48</f>
        <v>6662</v>
      </c>
      <c r="AU26" s="18">
        <f>'Raw Financials'!AU48</f>
        <v>5317</v>
      </c>
    </row>
    <row r="27" spans="1:47" ht="14.4">
      <c r="A27" s="1" t="s">
        <v>272</v>
      </c>
      <c r="B27" s="1" t="s">
        <v>46</v>
      </c>
      <c r="C27" s="18">
        <f>'Raw Financials'!C49</f>
        <v>40</v>
      </c>
      <c r="D27" s="18">
        <f>'Raw Financials'!D49</f>
        <v>43</v>
      </c>
      <c r="E27" s="18">
        <f>'Raw Financials'!E49</f>
        <v>48</v>
      </c>
      <c r="F27" s="18">
        <f>'Raw Financials'!F49</f>
        <v>39</v>
      </c>
      <c r="G27" s="18">
        <f>'Raw Financials'!G49</f>
        <v>46</v>
      </c>
      <c r="H27" s="18">
        <f>'Raw Financials'!H49</f>
        <v>54</v>
      </c>
      <c r="I27" s="18">
        <f>'Raw Financials'!I49</f>
        <v>48</v>
      </c>
      <c r="J27" s="18">
        <f>'Raw Financials'!J49</f>
        <v>72</v>
      </c>
      <c r="K27" s="18">
        <f>'Raw Financials'!K49</f>
        <v>42</v>
      </c>
      <c r="L27" s="18">
        <f>'Raw Financials'!L49</f>
        <v>61</v>
      </c>
      <c r="M27" s="18">
        <f>'Raw Financials'!M49</f>
        <v>70</v>
      </c>
      <c r="N27" s="18">
        <f>'Raw Financials'!N49</f>
        <v>112</v>
      </c>
      <c r="O27" s="18">
        <f>'Raw Financials'!O49</f>
        <v>46</v>
      </c>
      <c r="P27" s="18">
        <f>'Raw Financials'!P49</f>
        <v>49</v>
      </c>
      <c r="Q27" s="18">
        <f>'Raw Financials'!Q49</f>
        <v>49</v>
      </c>
      <c r="R27" s="18">
        <f>'Raw Financials'!R49</f>
        <v>44</v>
      </c>
      <c r="S27" s="18">
        <f>'Raw Financials'!S49</f>
        <v>24</v>
      </c>
      <c r="T27" s="18">
        <f>'Raw Financials'!T49</f>
        <v>56</v>
      </c>
      <c r="U27" s="18">
        <f>'Raw Financials'!U49</f>
        <v>52</v>
      </c>
      <c r="V27" s="18">
        <f>'Raw Financials'!V49</f>
        <v>106</v>
      </c>
      <c r="W27" s="18">
        <f>'Raw Financials'!W49</f>
        <v>30</v>
      </c>
      <c r="X27" s="18">
        <f>'Raw Financials'!X49</f>
        <v>15</v>
      </c>
      <c r="Y27" s="18">
        <f>'Raw Financials'!Y49</f>
        <v>15</v>
      </c>
      <c r="Z27" s="18">
        <f>'Raw Financials'!Z49</f>
        <v>44</v>
      </c>
      <c r="AA27" s="18">
        <f>'Raw Financials'!AA49</f>
        <v>76</v>
      </c>
      <c r="AB27" s="18">
        <f>'Raw Financials'!AB49</f>
        <v>148</v>
      </c>
      <c r="AC27" s="18">
        <f>'Raw Financials'!AC49</f>
        <v>135</v>
      </c>
      <c r="AD27" s="18">
        <f>'Raw Financials'!AD49</f>
        <v>171</v>
      </c>
      <c r="AE27" s="18">
        <f>'Raw Financials'!AE49</f>
        <v>222</v>
      </c>
      <c r="AF27" s="18">
        <f>'Raw Financials'!AF49</f>
        <v>195</v>
      </c>
      <c r="AG27" s="18">
        <f>'Raw Financials'!AG49</f>
        <v>77</v>
      </c>
      <c r="AH27" s="18">
        <f>'Raw Financials'!AH49</f>
        <v>19</v>
      </c>
      <c r="AI27" s="18">
        <f>'Raw Financials'!AI49</f>
        <v>104</v>
      </c>
      <c r="AJ27" s="18">
        <f>'Raw Financials'!AJ49</f>
        <v>69</v>
      </c>
      <c r="AK27" s="18">
        <f>'Raw Financials'!AK49</f>
        <v>48</v>
      </c>
      <c r="AL27" s="18">
        <f>'Raw Financials'!AL49</f>
        <v>55</v>
      </c>
      <c r="AM27" s="18">
        <f>'Raw Financials'!AM49</f>
        <v>61</v>
      </c>
      <c r="AN27" s="18">
        <f>'Raw Financials'!AN49</f>
        <v>314</v>
      </c>
      <c r="AO27" s="18">
        <f>'Raw Financials'!AO49</f>
        <v>404</v>
      </c>
      <c r="AP27" s="18">
        <f>'Raw Financials'!AP49</f>
        <v>461</v>
      </c>
      <c r="AQ27" s="18">
        <f>'Raw Financials'!AQ49</f>
        <v>390</v>
      </c>
      <c r="AR27" s="18">
        <f>'Raw Financials'!AR49</f>
        <v>496</v>
      </c>
      <c r="AS27" s="18">
        <f>'Raw Financials'!AS49</f>
        <v>465</v>
      </c>
      <c r="AT27" s="18">
        <f>'Raw Financials'!AT49</f>
        <v>539</v>
      </c>
      <c r="AU27" s="18">
        <f>'Raw Financials'!AU49</f>
        <v>131</v>
      </c>
    </row>
    <row r="28" spans="1:47" ht="14.4">
      <c r="A28" s="1" t="s">
        <v>273</v>
      </c>
      <c r="B28" s="1" t="s">
        <v>46</v>
      </c>
      <c r="C28" s="18">
        <f>'Raw Financials'!C50</f>
        <v>585</v>
      </c>
      <c r="D28" s="18">
        <f>'Raw Financials'!D50</f>
        <v>683</v>
      </c>
      <c r="E28" s="18">
        <f>'Raw Financials'!E50</f>
        <v>742</v>
      </c>
      <c r="F28" s="18">
        <f>'Raw Financials'!F50</f>
        <v>790</v>
      </c>
      <c r="G28" s="18">
        <f>'Raw Financials'!G50</f>
        <v>285</v>
      </c>
      <c r="H28" s="18">
        <f>'Raw Financials'!H50</f>
        <v>589</v>
      </c>
      <c r="I28" s="18">
        <f>'Raw Financials'!I50</f>
        <v>624</v>
      </c>
      <c r="J28" s="18">
        <f>'Raw Financials'!J50</f>
        <v>1003</v>
      </c>
      <c r="K28" s="18">
        <f>'Raw Financials'!K50</f>
        <v>513</v>
      </c>
      <c r="L28" s="18">
        <f>'Raw Financials'!L50</f>
        <v>672</v>
      </c>
      <c r="M28" s="18">
        <f>'Raw Financials'!M50</f>
        <v>756</v>
      </c>
      <c r="N28" s="18">
        <f>'Raw Financials'!N50</f>
        <v>861</v>
      </c>
      <c r="O28" s="18">
        <f>'Raw Financials'!O50</f>
        <v>858</v>
      </c>
      <c r="P28" s="18">
        <f>'Raw Financials'!P50</f>
        <v>1118</v>
      </c>
      <c r="Q28" s="18">
        <f>'Raw Financials'!Q50</f>
        <v>1002</v>
      </c>
      <c r="R28" s="18">
        <f>'Raw Financials'!R50</f>
        <v>1055</v>
      </c>
      <c r="S28" s="18">
        <f>'Raw Financials'!S50</f>
        <v>890</v>
      </c>
      <c r="T28" s="18">
        <f>'Raw Financials'!T50</f>
        <v>1195</v>
      </c>
      <c r="U28" s="18">
        <f>'Raw Financials'!U50</f>
        <v>1233</v>
      </c>
      <c r="V28" s="18">
        <f>'Raw Financials'!V50</f>
        <v>1136</v>
      </c>
      <c r="W28" s="18">
        <f>'Raw Financials'!W50</f>
        <v>799</v>
      </c>
      <c r="X28" s="18">
        <f>'Raw Financials'!X50</f>
        <v>1207</v>
      </c>
      <c r="Y28" s="18">
        <f>'Raw Financials'!Y50</f>
        <v>1220</v>
      </c>
      <c r="Z28" s="18">
        <f>'Raw Financials'!Z50</f>
        <v>1330</v>
      </c>
      <c r="AA28" s="18">
        <f>'Raw Financials'!AA50</f>
        <v>1236</v>
      </c>
      <c r="AB28" s="18">
        <f>'Raw Financials'!AB50</f>
        <v>1467</v>
      </c>
      <c r="AC28" s="18">
        <f>'Raw Financials'!AC50</f>
        <v>1837</v>
      </c>
      <c r="AD28" s="18">
        <f>'Raw Financials'!AD50</f>
        <v>2077</v>
      </c>
      <c r="AE28" s="18">
        <f>'Raw Financials'!AE50</f>
        <v>1497</v>
      </c>
      <c r="AF28" s="18">
        <f>'Raw Financials'!AF50</f>
        <v>2011</v>
      </c>
      <c r="AG28" s="18">
        <f>'Raw Financials'!AG50</f>
        <v>2282</v>
      </c>
      <c r="AH28" s="18">
        <f>'Raw Financials'!AH50</f>
        <v>2327</v>
      </c>
      <c r="AI28" s="18">
        <f>'Raw Financials'!AI50</f>
        <v>1653</v>
      </c>
      <c r="AJ28" s="18">
        <f>'Raw Financials'!AJ50</f>
        <v>1810</v>
      </c>
      <c r="AK28" s="18">
        <f>'Raw Financials'!AK50</f>
        <v>2380</v>
      </c>
      <c r="AL28" s="18">
        <f>'Raw Financials'!AL50</f>
        <v>2237</v>
      </c>
      <c r="AM28" s="18">
        <f>'Raw Financials'!AM50</f>
        <v>1332</v>
      </c>
      <c r="AN28" s="18">
        <f>'Raw Financials'!AN50</f>
        <v>0</v>
      </c>
      <c r="AO28" s="18">
        <f>'Raw Financials'!AO50</f>
        <v>2155</v>
      </c>
      <c r="AP28" s="18">
        <f>'Raw Financials'!AP50</f>
        <v>2612</v>
      </c>
      <c r="AQ28" s="18">
        <f>'Raw Financials'!AQ50</f>
        <v>3174</v>
      </c>
      <c r="AR28" s="18">
        <f>'Raw Financials'!AR50</f>
        <v>3758</v>
      </c>
      <c r="AS28" s="18">
        <f>'Raw Financials'!AS50</f>
        <v>2502</v>
      </c>
      <c r="AT28" s="18">
        <f>'Raw Financials'!AT50</f>
        <v>6123</v>
      </c>
      <c r="AU28" s="18">
        <f>'Raw Financials'!AU50</f>
        <v>5186</v>
      </c>
    </row>
    <row r="29" spans="1:47" ht="14.4">
      <c r="A29" s="1" t="s">
        <v>455</v>
      </c>
      <c r="B29" s="1" t="s">
        <v>48</v>
      </c>
      <c r="C29" s="19">
        <f t="shared" ref="C29:AU29" si="4">IFERROR(C28/C6,"")</f>
        <v>9.1249415067852127E-2</v>
      </c>
      <c r="D29" s="19">
        <f t="shared" si="4"/>
        <v>0.10075232335152677</v>
      </c>
      <c r="E29" s="19">
        <f t="shared" si="4"/>
        <v>0.10932665389715633</v>
      </c>
      <c r="F29" s="19">
        <f t="shared" si="4"/>
        <v>0.11537899810135827</v>
      </c>
      <c r="G29" s="19">
        <f t="shared" si="4"/>
        <v>4.2492917847025496E-2</v>
      </c>
      <c r="H29" s="19">
        <f t="shared" si="4"/>
        <v>8.5005051233944293E-2</v>
      </c>
      <c r="I29" s="19">
        <f t="shared" si="4"/>
        <v>8.9939463822427207E-2</v>
      </c>
      <c r="J29" s="19">
        <f t="shared" si="4"/>
        <v>0.13468510809722037</v>
      </c>
      <c r="K29" s="19">
        <f t="shared" si="4"/>
        <v>7.2365636902242916E-2</v>
      </c>
      <c r="L29" s="19">
        <f t="shared" si="4"/>
        <v>9.115572436245252E-2</v>
      </c>
      <c r="M29" s="19">
        <f t="shared" si="4"/>
        <v>9.9933906146728355E-2</v>
      </c>
      <c r="N29" s="19">
        <f t="shared" si="4"/>
        <v>0.10915314401622718</v>
      </c>
      <c r="O29" s="19">
        <f t="shared" si="4"/>
        <v>0.10401260758879864</v>
      </c>
      <c r="P29" s="19">
        <f t="shared" si="4"/>
        <v>0.12320916905444126</v>
      </c>
      <c r="Q29" s="19">
        <f t="shared" si="4"/>
        <v>0.10311824637233714</v>
      </c>
      <c r="R29" s="19">
        <f t="shared" si="4"/>
        <v>0.10851676609751081</v>
      </c>
      <c r="S29" s="19">
        <f t="shared" si="4"/>
        <v>9.2737313743878294E-2</v>
      </c>
      <c r="T29" s="19">
        <f t="shared" si="4"/>
        <v>0.1150698122291767</v>
      </c>
      <c r="U29" s="19">
        <f t="shared" si="4"/>
        <v>0.11486864169927334</v>
      </c>
      <c r="V29" s="19">
        <f t="shared" si="4"/>
        <v>0.10240692328495447</v>
      </c>
      <c r="W29" s="19">
        <f t="shared" si="4"/>
        <v>7.559129612109744E-2</v>
      </c>
      <c r="X29" s="19">
        <f t="shared" si="4"/>
        <v>0.10461991852301292</v>
      </c>
      <c r="Y29" s="19">
        <f t="shared" si="4"/>
        <v>0.10246934318830841</v>
      </c>
      <c r="Z29" s="19">
        <f t="shared" si="4"/>
        <v>0.10543004359889022</v>
      </c>
      <c r="AA29" s="19">
        <f t="shared" si="4"/>
        <v>8.4564860426929386E-2</v>
      </c>
      <c r="AB29" s="19">
        <f t="shared" si="4"/>
        <v>9.3475213457372239E-2</v>
      </c>
      <c r="AC29" s="19">
        <f t="shared" si="4"/>
        <v>0.11078945781315964</v>
      </c>
      <c r="AD29" s="19">
        <f t="shared" si="4"/>
        <v>0.11916920075735843</v>
      </c>
      <c r="AE29" s="19">
        <f t="shared" si="4"/>
        <v>8.183010823220728E-2</v>
      </c>
      <c r="AF29" s="19">
        <f t="shared" si="4"/>
        <v>0.10263345922221088</v>
      </c>
      <c r="AG29" s="19">
        <f t="shared" si="4"/>
        <v>0.11100301585757369</v>
      </c>
      <c r="AH29" s="19">
        <f t="shared" si="4"/>
        <v>0.10723502304147466</v>
      </c>
      <c r="AI29" s="19">
        <f t="shared" si="4"/>
        <v>7.4425934263845112E-2</v>
      </c>
      <c r="AJ29" s="19">
        <f t="shared" si="4"/>
        <v>7.9518495738511552E-2</v>
      </c>
      <c r="AK29" s="19">
        <f t="shared" si="4"/>
        <v>0.10244049412473637</v>
      </c>
      <c r="AL29" s="19">
        <f t="shared" si="4"/>
        <v>9.4848420606317568E-2</v>
      </c>
      <c r="AM29" s="19">
        <f t="shared" si="4"/>
        <v>5.5481506164611796E-2</v>
      </c>
      <c r="AN29" s="19">
        <f t="shared" si="4"/>
        <v>0</v>
      </c>
      <c r="AO29" s="19">
        <f t="shared" si="4"/>
        <v>6.4944849617262365E-2</v>
      </c>
      <c r="AP29" s="19">
        <f t="shared" si="4"/>
        <v>7.6325170942668455E-2</v>
      </c>
      <c r="AQ29" s="19">
        <f t="shared" si="4"/>
        <v>8.6048907444558911E-2</v>
      </c>
      <c r="AR29" s="19">
        <f t="shared" si="4"/>
        <v>9.4287076297764505E-2</v>
      </c>
      <c r="AS29" s="19">
        <f t="shared" si="4"/>
        <v>5.9740693870728973E-2</v>
      </c>
      <c r="AT29" s="19">
        <f t="shared" si="4"/>
        <v>0.13758313859428367</v>
      </c>
      <c r="AU29" s="19">
        <f t="shared" si="4"/>
        <v>9.3818405485102299E-2</v>
      </c>
    </row>
    <row r="30" spans="1:47" ht="14.4">
      <c r="A30" s="1" t="s">
        <v>274</v>
      </c>
      <c r="B30" s="1" t="s">
        <v>58</v>
      </c>
      <c r="C30" s="20">
        <f>'Raw Financials'!C51</f>
        <v>9.6</v>
      </c>
      <c r="D30" s="20">
        <f>'Raw Financials'!D51</f>
        <v>11.2</v>
      </c>
      <c r="E30" s="20">
        <f>'Raw Financials'!E51</f>
        <v>12.1</v>
      </c>
      <c r="F30" s="20">
        <f>'Raw Financials'!F51</f>
        <v>12.9</v>
      </c>
      <c r="G30" s="20">
        <f>'Raw Financials'!G51</f>
        <v>4.7</v>
      </c>
      <c r="H30" s="20">
        <f>'Raw Financials'!H51</f>
        <v>9.6</v>
      </c>
      <c r="I30" s="20">
        <f>'Raw Financials'!I51</f>
        <v>10.1</v>
      </c>
      <c r="J30" s="20">
        <f>'Raw Financials'!J51</f>
        <v>16.3</v>
      </c>
      <c r="K30" s="20">
        <f>'Raw Financials'!K51</f>
        <v>8.4</v>
      </c>
      <c r="L30" s="20">
        <f>'Raw Financials'!L51</f>
        <v>11</v>
      </c>
      <c r="M30" s="20">
        <f>'Raw Financials'!M51</f>
        <v>12.3</v>
      </c>
      <c r="N30" s="20">
        <f>'Raw Financials'!N51</f>
        <v>14</v>
      </c>
      <c r="O30" s="20">
        <f>'Raw Financials'!O51</f>
        <v>14</v>
      </c>
      <c r="P30" s="20">
        <f>'Raw Financials'!P51</f>
        <v>18.2</v>
      </c>
      <c r="Q30" s="20">
        <f>'Raw Financials'!Q51</f>
        <v>16.3</v>
      </c>
      <c r="R30" s="20">
        <f>'Raw Financials'!R51</f>
        <v>17.100000000000001</v>
      </c>
      <c r="S30" s="20">
        <f>'Raw Financials'!S51</f>
        <v>14.4</v>
      </c>
      <c r="T30" s="20">
        <f>'Raw Financials'!T51</f>
        <v>19.3</v>
      </c>
      <c r="U30" s="20">
        <f>'Raw Financials'!U51</f>
        <v>19.8</v>
      </c>
      <c r="V30" s="20">
        <f>'Raw Financials'!V51</f>
        <v>18.2</v>
      </c>
      <c r="W30" s="20">
        <f>'Raw Financials'!W51</f>
        <v>12.8</v>
      </c>
      <c r="X30" s="20">
        <f>'Raw Financials'!X51</f>
        <v>19.899999999999999</v>
      </c>
      <c r="Y30" s="20">
        <f>'Raw Financials'!Y51</f>
        <v>20.100000000000001</v>
      </c>
      <c r="Z30" s="20">
        <f>'Raw Financials'!Z51</f>
        <v>21.9</v>
      </c>
      <c r="AA30" s="20">
        <f>'Raw Financials'!AA51</f>
        <v>20.399999999999999</v>
      </c>
      <c r="AB30" s="20">
        <f>'Raw Financials'!AB51</f>
        <v>24.2</v>
      </c>
      <c r="AC30" s="20">
        <f>'Raw Financials'!AC51</f>
        <v>30.3</v>
      </c>
      <c r="AD30" s="20">
        <f>'Raw Financials'!AD51</f>
        <v>34.1</v>
      </c>
      <c r="AE30" s="20">
        <f>'Raw Financials'!AE51</f>
        <v>24.6</v>
      </c>
      <c r="AF30" s="20">
        <f>'Raw Financials'!AF51</f>
        <v>33</v>
      </c>
      <c r="AG30" s="20">
        <f>'Raw Financials'!AG51</f>
        <v>37.4</v>
      </c>
      <c r="AH30" s="20">
        <f>'Raw Financials'!AH51</f>
        <v>38.1</v>
      </c>
      <c r="AI30" s="20">
        <f>'Raw Financials'!AI51</f>
        <v>27</v>
      </c>
      <c r="AJ30" s="20">
        <f>'Raw Financials'!AJ51</f>
        <v>29.6</v>
      </c>
      <c r="AK30" s="20">
        <f>'Raw Financials'!AK51</f>
        <v>38.6</v>
      </c>
      <c r="AL30" s="20">
        <f>'Raw Financials'!AL51</f>
        <v>36.200000000000003</v>
      </c>
      <c r="AM30" s="20">
        <f>'Raw Financials'!AM51</f>
        <v>20.9</v>
      </c>
      <c r="AN30" s="20">
        <f>'Raw Financials'!AN51</f>
        <v>30.3</v>
      </c>
      <c r="AO30" s="20">
        <f>'Raw Financials'!AO51</f>
        <v>32.299999999999997</v>
      </c>
      <c r="AP30" s="20">
        <f>'Raw Financials'!AP51</f>
        <v>7.5</v>
      </c>
      <c r="AQ30" s="20">
        <f>'Raw Financials'!AQ51</f>
        <v>7.4</v>
      </c>
      <c r="AR30" s="20">
        <f>'Raw Financials'!AR51</f>
        <v>11.2</v>
      </c>
      <c r="AS30" s="20">
        <f>'Raw Financials'!AS51</f>
        <v>7.5</v>
      </c>
      <c r="AT30" s="20">
        <f>'Raw Financials'!AT51</f>
        <v>18.2</v>
      </c>
      <c r="AU30" s="20">
        <f>'Raw Financials'!AU51</f>
        <v>12.3</v>
      </c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AU1"/>
    <mergeCell ref="A2:AU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26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59" t="s">
        <v>456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60" t="s">
        <v>457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4"/>
      <c r="O6" s="54"/>
      <c r="P6" s="54"/>
      <c r="Q6" s="54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45</v>
      </c>
      <c r="B7" s="1" t="s">
        <v>46</v>
      </c>
      <c r="C7" s="18">
        <f>'Raw Financials'!C6</f>
        <v>26824.048783999999</v>
      </c>
      <c r="D7" s="18">
        <f>'Raw Financials'!D6</f>
        <v>28021</v>
      </c>
      <c r="E7" s="18">
        <f>'Raw Financials'!E6</f>
        <v>29914</v>
      </c>
      <c r="F7" s="18">
        <f>'Raw Financials'!F6</f>
        <v>36762</v>
      </c>
      <c r="G7" s="18">
        <f>'Raw Financials'!G6</f>
        <v>41839</v>
      </c>
      <c r="H7" s="18">
        <f>'Raw Financials'!H6</f>
        <v>46628</v>
      </c>
      <c r="I7" s="18">
        <f>'Raw Financials'!I6</f>
        <v>64320</v>
      </c>
      <c r="J7" s="18">
        <f>'Raw Financials'!J6</f>
        <v>80146</v>
      </c>
      <c r="K7" s="18">
        <f>'Raw Financials'!K6</f>
        <v>91790</v>
      </c>
      <c r="L7" s="18">
        <f>'Raw Financials'!L6</f>
        <v>120733</v>
      </c>
      <c r="M7" s="18">
        <f>'Raw Financials'!M6</f>
        <v>164027</v>
      </c>
      <c r="N7" s="25">
        <f>'Order Book &amp; Revenue'!N31</f>
        <v>228523.774026</v>
      </c>
      <c r="O7" s="25">
        <f>'Order Book &amp; Revenue'!O31</f>
        <v>293835.96054016938</v>
      </c>
      <c r="P7" s="25">
        <f>'Order Book &amp; Revenue'!P31</f>
        <v>369616.09205215255</v>
      </c>
      <c r="Q7" s="25">
        <f>'Order Book &amp; Revenue'!Q31</f>
        <v>457101.52226333285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47</v>
      </c>
      <c r="B8" s="1" t="s">
        <v>48</v>
      </c>
      <c r="C8" s="1"/>
      <c r="D8" s="19">
        <f t="shared" ref="D8:Q8" si="0">IFERROR(D7/C7-1,"")</f>
        <v>4.462231729588706E-2</v>
      </c>
      <c r="E8" s="19">
        <f t="shared" si="0"/>
        <v>6.7556475500517577E-2</v>
      </c>
      <c r="F8" s="19">
        <f t="shared" si="0"/>
        <v>0.22892291234873308</v>
      </c>
      <c r="G8" s="19">
        <f t="shared" si="0"/>
        <v>0.13810456449594688</v>
      </c>
      <c r="H8" s="19">
        <f t="shared" si="0"/>
        <v>0.11446258275771415</v>
      </c>
      <c r="I8" s="19">
        <f t="shared" si="0"/>
        <v>0.37942866946898857</v>
      </c>
      <c r="J8" s="19">
        <f t="shared" si="0"/>
        <v>0.24605099502487571</v>
      </c>
      <c r="K8" s="19">
        <f t="shared" si="0"/>
        <v>0.14528485513937062</v>
      </c>
      <c r="L8" s="19">
        <f t="shared" si="0"/>
        <v>0.31531757272033989</v>
      </c>
      <c r="M8" s="19">
        <f t="shared" si="0"/>
        <v>0.35859292819693045</v>
      </c>
      <c r="N8" s="24">
        <f t="shared" si="0"/>
        <v>0.39320827684466586</v>
      </c>
      <c r="O8" s="24">
        <f t="shared" si="0"/>
        <v>0.28580040213557201</v>
      </c>
      <c r="P8" s="24">
        <f t="shared" si="0"/>
        <v>0.25789944625114569</v>
      </c>
      <c r="Q8" s="24">
        <f t="shared" si="0"/>
        <v>0.23669269843055463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321</v>
      </c>
      <c r="B9" s="1" t="s">
        <v>46</v>
      </c>
      <c r="C9" s="18">
        <f>SUM('Raw Financials'!C9,'Raw Financials'!C10,'Raw Financials'!C11,'Raw Financials'!C12)</f>
        <v>15694.797781000001</v>
      </c>
      <c r="D9" s="18">
        <f>SUM('Raw Financials'!D9,'Raw Financials'!D10,'Raw Financials'!D11,'Raw Financials'!D12)</f>
        <v>16654</v>
      </c>
      <c r="E9" s="18">
        <f>SUM('Raw Financials'!E9,'Raw Financials'!E10,'Raw Financials'!E11,'Raw Financials'!E12)</f>
        <v>17918</v>
      </c>
      <c r="F9" s="18">
        <f>SUM('Raw Financials'!F9,'Raw Financials'!F10,'Raw Financials'!F11,'Raw Financials'!F12)</f>
        <v>21823</v>
      </c>
      <c r="G9" s="18">
        <f>SUM('Raw Financials'!G9,'Raw Financials'!G10,'Raw Financials'!G11,'Raw Financials'!G12)</f>
        <v>26142</v>
      </c>
      <c r="H9" s="18">
        <f>SUM('Raw Financials'!H9,'Raw Financials'!H10,'Raw Financials'!H11,'Raw Financials'!H12)</f>
        <v>30093</v>
      </c>
      <c r="I9" s="18">
        <f>SUM('Raw Financials'!I9,'Raw Financials'!I10,'Raw Financials'!I11,'Raw Financials'!I12)</f>
        <v>40070</v>
      </c>
      <c r="J9" s="18">
        <f>SUM('Raw Financials'!J9,'Raw Financials'!J10,'Raw Financials'!J11,'Raw Financials'!J12)</f>
        <v>48831</v>
      </c>
      <c r="K9" s="18">
        <f t="shared" ref="K9:Q9" si="1">K7-K10</f>
        <v>61866.46</v>
      </c>
      <c r="L9" s="18">
        <f t="shared" si="1"/>
        <v>80045.978999999992</v>
      </c>
      <c r="M9" s="18">
        <f t="shared" si="1"/>
        <v>108585.874</v>
      </c>
      <c r="N9" s="25">
        <f t="shared" si="1"/>
        <v>150140.11953508199</v>
      </c>
      <c r="O9" s="25">
        <f t="shared" si="1"/>
        <v>191874.88223273063</v>
      </c>
      <c r="P9" s="25">
        <f t="shared" si="1"/>
        <v>240250.45983389916</v>
      </c>
      <c r="Q9" s="25">
        <f t="shared" si="1"/>
        <v>295744.68490437639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29" t="s">
        <v>322</v>
      </c>
      <c r="B10" s="27" t="s">
        <v>46</v>
      </c>
      <c r="C10" s="28">
        <f t="shared" ref="C10:J10" si="2">C7-C9</f>
        <v>11129.251002999998</v>
      </c>
      <c r="D10" s="28">
        <f t="shared" si="2"/>
        <v>11367</v>
      </c>
      <c r="E10" s="28">
        <f t="shared" si="2"/>
        <v>11996</v>
      </c>
      <c r="F10" s="28">
        <f t="shared" si="2"/>
        <v>14939</v>
      </c>
      <c r="G10" s="28">
        <f t="shared" si="2"/>
        <v>15697</v>
      </c>
      <c r="H10" s="28">
        <f t="shared" si="2"/>
        <v>16535</v>
      </c>
      <c r="I10" s="28">
        <f t="shared" si="2"/>
        <v>24250</v>
      </c>
      <c r="J10" s="28">
        <f t="shared" si="2"/>
        <v>31315</v>
      </c>
      <c r="K10" s="28">
        <f>K7*'Raw Operating'!K41</f>
        <v>29923.54</v>
      </c>
      <c r="L10" s="28">
        <f>L7*'Raw Operating'!L41</f>
        <v>40687.021000000001</v>
      </c>
      <c r="M10" s="28">
        <f>M7*'Raw Operating'!M41</f>
        <v>55441.126000000004</v>
      </c>
      <c r="N10" s="30">
        <f>N7*Assumptions!C20</f>
        <v>78383.654490918008</v>
      </c>
      <c r="O10" s="30">
        <f>O7*Assumptions!D20</f>
        <v>101961.07830743877</v>
      </c>
      <c r="P10" s="30">
        <f>P7*Assumptions!E20</f>
        <v>129365.63221825339</v>
      </c>
      <c r="Q10" s="30">
        <f>Q7*Assumptions!F20</f>
        <v>161356.83735895649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52</v>
      </c>
      <c r="B11" s="1" t="s">
        <v>48</v>
      </c>
      <c r="C11" s="19">
        <f t="shared" ref="C11:J11" si="3">IFERROR(C10/C7,"")</f>
        <v>0.41489825389962642</v>
      </c>
      <c r="D11" s="19">
        <f t="shared" si="3"/>
        <v>0.40566004068377287</v>
      </c>
      <c r="E11" s="19">
        <f t="shared" si="3"/>
        <v>0.4010162465735107</v>
      </c>
      <c r="F11" s="19">
        <f t="shared" si="3"/>
        <v>0.40637070888417387</v>
      </c>
      <c r="G11" s="19">
        <f t="shared" si="3"/>
        <v>0.37517627094337819</v>
      </c>
      <c r="H11" s="19">
        <f t="shared" si="3"/>
        <v>0.35461525263789995</v>
      </c>
      <c r="I11" s="19">
        <f t="shared" si="3"/>
        <v>0.37702114427860695</v>
      </c>
      <c r="J11" s="19">
        <f t="shared" si="3"/>
        <v>0.39072442791904771</v>
      </c>
      <c r="K11" s="19">
        <f t="shared" ref="K11:Q11" si="4">K10/K7</f>
        <v>0.32600000000000001</v>
      </c>
      <c r="L11" s="19">
        <f t="shared" si="4"/>
        <v>0.33700000000000002</v>
      </c>
      <c r="M11" s="19">
        <f t="shared" si="4"/>
        <v>0.33800000000000002</v>
      </c>
      <c r="N11" s="24">
        <f t="shared" si="4"/>
        <v>0.34300000000000003</v>
      </c>
      <c r="O11" s="24">
        <f t="shared" si="4"/>
        <v>0.34699999999999998</v>
      </c>
      <c r="P11" s="24">
        <f t="shared" si="4"/>
        <v>0.35</v>
      </c>
      <c r="Q11" s="24">
        <f t="shared" si="4"/>
        <v>0.35299999999999998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323</v>
      </c>
      <c r="B12" s="1" t="s">
        <v>46</v>
      </c>
      <c r="C12" s="18">
        <f>'Raw Financials'!C13</f>
        <v>6287.5291209999996</v>
      </c>
      <c r="D12" s="18">
        <f>'Raw Financials'!D13</f>
        <v>6573</v>
      </c>
      <c r="E12" s="18">
        <f>'Raw Financials'!E13</f>
        <v>6983</v>
      </c>
      <c r="F12" s="18">
        <f>'Raw Financials'!F13</f>
        <v>8454</v>
      </c>
      <c r="G12" s="18">
        <f>'Raw Financials'!G13</f>
        <v>8464</v>
      </c>
      <c r="H12" s="18">
        <f>'Raw Financials'!H13</f>
        <v>8740</v>
      </c>
      <c r="I12" s="18">
        <f>'Raw Financials'!I13</f>
        <v>13231</v>
      </c>
      <c r="J12" s="18">
        <f>'Raw Financials'!J13</f>
        <v>18508</v>
      </c>
      <c r="K12" s="18">
        <f>K10-K13</f>
        <v>13768.500000000002</v>
      </c>
      <c r="L12" s="18">
        <f>L10-L13</f>
        <v>23422.202000000001</v>
      </c>
      <c r="M12" s="18">
        <f>M10-M13</f>
        <v>24932.104000000003</v>
      </c>
      <c r="N12" s="25">
        <f>N7*Assumptions!C21</f>
        <v>31536.280815588001</v>
      </c>
      <c r="O12" s="25">
        <f>O7*Assumptions!D21</f>
        <v>39667.854672922869</v>
      </c>
      <c r="P12" s="25">
        <f>P7*Assumptions!E21</f>
        <v>48789.324150884138</v>
      </c>
      <c r="Q12" s="25">
        <f>Q7*Assumptions!F21</f>
        <v>59423.197894233272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29" t="s">
        <v>324</v>
      </c>
      <c r="B13" s="27" t="s">
        <v>46</v>
      </c>
      <c r="C13" s="28">
        <f t="shared" ref="C13:J13" si="5">C10-C12</f>
        <v>4841.721881999998</v>
      </c>
      <c r="D13" s="28">
        <f t="shared" si="5"/>
        <v>4794</v>
      </c>
      <c r="E13" s="28">
        <f t="shared" si="5"/>
        <v>5013</v>
      </c>
      <c r="F13" s="28">
        <f t="shared" si="5"/>
        <v>6485</v>
      </c>
      <c r="G13" s="28">
        <f t="shared" si="5"/>
        <v>7233</v>
      </c>
      <c r="H13" s="28">
        <f t="shared" si="5"/>
        <v>7795</v>
      </c>
      <c r="I13" s="28">
        <f t="shared" si="5"/>
        <v>11019</v>
      </c>
      <c r="J13" s="28">
        <f t="shared" si="5"/>
        <v>12807</v>
      </c>
      <c r="K13" s="28">
        <f>K7*'Raw Operating'!K42</f>
        <v>16155.039999999999</v>
      </c>
      <c r="L13" s="28">
        <f>L7*'Raw Operating'!L42</f>
        <v>17264.819</v>
      </c>
      <c r="M13" s="28">
        <f>M7*'Raw Operating'!M42</f>
        <v>30509.022000000001</v>
      </c>
      <c r="N13" s="30">
        <f>N10-N12</f>
        <v>46847.373675330004</v>
      </c>
      <c r="O13" s="30">
        <f>O10-O12</f>
        <v>62293.223634515904</v>
      </c>
      <c r="P13" s="30">
        <f>P10-P12</f>
        <v>80576.308067369246</v>
      </c>
      <c r="Q13" s="30">
        <f>Q10-Q12</f>
        <v>101933.63946472321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53</v>
      </c>
      <c r="B14" s="1" t="s">
        <v>48</v>
      </c>
      <c r="C14" s="19">
        <f t="shared" ref="C14:J14" si="6">IFERROR(C13/C7,"")</f>
        <v>0.18049929453185259</v>
      </c>
      <c r="D14" s="19">
        <f t="shared" si="6"/>
        <v>0.17108597123585881</v>
      </c>
      <c r="E14" s="19">
        <f t="shared" si="6"/>
        <v>0.16758039713846359</v>
      </c>
      <c r="F14" s="19">
        <f t="shared" si="6"/>
        <v>0.17640498340677874</v>
      </c>
      <c r="G14" s="19">
        <f t="shared" si="6"/>
        <v>0.17287698080738068</v>
      </c>
      <c r="H14" s="19">
        <f t="shared" si="6"/>
        <v>0.16717423007634896</v>
      </c>
      <c r="I14" s="19">
        <f t="shared" si="6"/>
        <v>0.17131529850746269</v>
      </c>
      <c r="J14" s="19">
        <f t="shared" si="6"/>
        <v>0.15979587253262795</v>
      </c>
      <c r="K14" s="19">
        <f t="shared" ref="K14:Q14" si="7">K13/K7</f>
        <v>0.17599999999999999</v>
      </c>
      <c r="L14" s="19">
        <f t="shared" si="7"/>
        <v>0.14299999999999999</v>
      </c>
      <c r="M14" s="19">
        <f t="shared" si="7"/>
        <v>0.186</v>
      </c>
      <c r="N14" s="24">
        <f t="shared" si="7"/>
        <v>0.20500000000000002</v>
      </c>
      <c r="O14" s="24">
        <f t="shared" si="7"/>
        <v>0.21199999999999997</v>
      </c>
      <c r="P14" s="24">
        <f t="shared" si="7"/>
        <v>0.21799999999999997</v>
      </c>
      <c r="Q14" s="24">
        <f t="shared" si="7"/>
        <v>0.22299999999999995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172</v>
      </c>
      <c r="B15" s="1" t="s">
        <v>46</v>
      </c>
      <c r="C15" s="18">
        <f>0</f>
        <v>0</v>
      </c>
      <c r="D15" s="18">
        <f>0</f>
        <v>0</v>
      </c>
      <c r="E15" s="18">
        <f>0</f>
        <v>0</v>
      </c>
      <c r="F15" s="18">
        <f>0</f>
        <v>0</v>
      </c>
      <c r="G15" s="18">
        <f>0</f>
        <v>0</v>
      </c>
      <c r="H15" s="18">
        <f>0</f>
        <v>0</v>
      </c>
      <c r="I15" s="18">
        <f>0</f>
        <v>0</v>
      </c>
      <c r="J15" s="18">
        <f>0</f>
        <v>0</v>
      </c>
      <c r="K15" s="18">
        <f>0</f>
        <v>0</v>
      </c>
      <c r="L15" s="18">
        <f>0</f>
        <v>0</v>
      </c>
      <c r="M15" s="18">
        <f>0</f>
        <v>0</v>
      </c>
      <c r="N15" s="25">
        <f>N7*Assumptions!C22</f>
        <v>1371.142644156</v>
      </c>
      <c r="O15" s="25">
        <f>O7*Assumptions!D22</f>
        <v>1763.0157632410164</v>
      </c>
      <c r="P15" s="25">
        <f>P7*Assumptions!E22</f>
        <v>2217.6965523129152</v>
      </c>
      <c r="Q15" s="25">
        <f>Q7*Assumptions!F22</f>
        <v>2742.609133579997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29" t="s">
        <v>54</v>
      </c>
      <c r="B16" s="27" t="s">
        <v>46</v>
      </c>
      <c r="C16" s="28">
        <f t="shared" ref="C16:Q16" si="8">C13-C15</f>
        <v>4841.721881999998</v>
      </c>
      <c r="D16" s="28">
        <f t="shared" si="8"/>
        <v>4794</v>
      </c>
      <c r="E16" s="28">
        <f t="shared" si="8"/>
        <v>5013</v>
      </c>
      <c r="F16" s="28">
        <f t="shared" si="8"/>
        <v>6485</v>
      </c>
      <c r="G16" s="28">
        <f t="shared" si="8"/>
        <v>7233</v>
      </c>
      <c r="H16" s="28">
        <f t="shared" si="8"/>
        <v>7795</v>
      </c>
      <c r="I16" s="28">
        <f t="shared" si="8"/>
        <v>11019</v>
      </c>
      <c r="J16" s="28">
        <f t="shared" si="8"/>
        <v>12807</v>
      </c>
      <c r="K16" s="28">
        <f t="shared" si="8"/>
        <v>16155.039999999999</v>
      </c>
      <c r="L16" s="28">
        <f t="shared" si="8"/>
        <v>17264.819</v>
      </c>
      <c r="M16" s="28">
        <f t="shared" si="8"/>
        <v>30509.022000000001</v>
      </c>
      <c r="N16" s="30">
        <f t="shared" si="8"/>
        <v>45476.231031174</v>
      </c>
      <c r="O16" s="30">
        <f t="shared" si="8"/>
        <v>60530.207871274884</v>
      </c>
      <c r="P16" s="30">
        <f t="shared" si="8"/>
        <v>78358.611515056327</v>
      </c>
      <c r="Q16" s="30">
        <f t="shared" si="8"/>
        <v>99191.030331143207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53" t="s">
        <v>454</v>
      </c>
      <c r="B17" s="53" t="s">
        <v>48</v>
      </c>
      <c r="C17" s="55">
        <f t="shared" ref="C17:J17" si="9">IFERROR(C16/C7,"")</f>
        <v>0.18049929453185259</v>
      </c>
      <c r="D17" s="55">
        <f t="shared" si="9"/>
        <v>0.17108597123585881</v>
      </c>
      <c r="E17" s="55">
        <f t="shared" si="9"/>
        <v>0.16758039713846359</v>
      </c>
      <c r="F17" s="55">
        <f t="shared" si="9"/>
        <v>0.17640498340677874</v>
      </c>
      <c r="G17" s="55">
        <f t="shared" si="9"/>
        <v>0.17287698080738068</v>
      </c>
      <c r="H17" s="55">
        <f t="shared" si="9"/>
        <v>0.16717423007634896</v>
      </c>
      <c r="I17" s="55">
        <f t="shared" si="9"/>
        <v>0.17131529850746269</v>
      </c>
      <c r="J17" s="55">
        <f t="shared" si="9"/>
        <v>0.15979587253262795</v>
      </c>
      <c r="K17" s="55">
        <f t="shared" ref="K17:Q17" si="10">K16/K7</f>
        <v>0.17599999999999999</v>
      </c>
      <c r="L17" s="55">
        <f t="shared" si="10"/>
        <v>0.14299999999999999</v>
      </c>
      <c r="M17" s="55">
        <f t="shared" si="10"/>
        <v>0.186</v>
      </c>
      <c r="N17" s="56">
        <f t="shared" si="10"/>
        <v>0.19900000000000001</v>
      </c>
      <c r="O17" s="56">
        <f t="shared" si="10"/>
        <v>0.20599999999999996</v>
      </c>
      <c r="P17" s="56">
        <f t="shared" si="10"/>
        <v>0.21199999999999997</v>
      </c>
      <c r="Q17" s="56">
        <f t="shared" si="10"/>
        <v>0.21699999999999994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264</v>
      </c>
      <c r="B18" s="1" t="s">
        <v>46</v>
      </c>
      <c r="C18" s="18">
        <f>'Raw Financials'!C15</f>
        <v>1101.2935480000001</v>
      </c>
      <c r="D18" s="18">
        <f>'Raw Financials'!D15</f>
        <v>1277</v>
      </c>
      <c r="E18" s="18">
        <f>'Raw Financials'!E15</f>
        <v>1274</v>
      </c>
      <c r="F18" s="18">
        <f>'Raw Financials'!F15</f>
        <v>1248</v>
      </c>
      <c r="G18" s="18">
        <f>'Raw Financials'!G15</f>
        <v>1730</v>
      </c>
      <c r="H18" s="18">
        <f>'Raw Financials'!H15</f>
        <v>1836</v>
      </c>
      <c r="I18" s="18">
        <f>'Raw Financials'!I15</f>
        <v>2272</v>
      </c>
      <c r="J18" s="18">
        <f>'Raw Financials'!J15</f>
        <v>2585</v>
      </c>
      <c r="K18" s="18">
        <f>'Raw Financials'!K15</f>
        <v>3186</v>
      </c>
      <c r="L18" s="18">
        <f>'Raw Financials'!L15</f>
        <v>4276</v>
      </c>
      <c r="M18" s="18">
        <f>'Raw Financials'!M15</f>
        <v>6819</v>
      </c>
      <c r="N18" s="25">
        <f>N7*Assumptions!C23</f>
        <v>11197.664927274</v>
      </c>
      <c r="O18" s="25">
        <f>O7*Assumptions!D23</f>
        <v>13516.454184847791</v>
      </c>
      <c r="P18" s="25">
        <f>P7*Assumptions!E23</f>
        <v>15893.491958242559</v>
      </c>
      <c r="Q18" s="25">
        <f>Q7*Assumptions!F23</f>
        <v>18284.060890533314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29" t="s">
        <v>326</v>
      </c>
      <c r="B19" s="27" t="s">
        <v>46</v>
      </c>
      <c r="C19" s="28">
        <f t="shared" ref="C19:Q19" si="11">C16-C18</f>
        <v>3740.4283339999979</v>
      </c>
      <c r="D19" s="28">
        <f t="shared" si="11"/>
        <v>3517</v>
      </c>
      <c r="E19" s="28">
        <f t="shared" si="11"/>
        <v>3739</v>
      </c>
      <c r="F19" s="28">
        <f t="shared" si="11"/>
        <v>5237</v>
      </c>
      <c r="G19" s="28">
        <f t="shared" si="11"/>
        <v>5503</v>
      </c>
      <c r="H19" s="28">
        <f t="shared" si="11"/>
        <v>5959</v>
      </c>
      <c r="I19" s="28">
        <f t="shared" si="11"/>
        <v>8747</v>
      </c>
      <c r="J19" s="28">
        <f t="shared" si="11"/>
        <v>10222</v>
      </c>
      <c r="K19" s="28">
        <f t="shared" si="11"/>
        <v>12969.039999999999</v>
      </c>
      <c r="L19" s="28">
        <f t="shared" si="11"/>
        <v>12988.819</v>
      </c>
      <c r="M19" s="28">
        <f t="shared" si="11"/>
        <v>23690.022000000001</v>
      </c>
      <c r="N19" s="30">
        <f t="shared" si="11"/>
        <v>34278.566103899997</v>
      </c>
      <c r="O19" s="30">
        <f t="shared" si="11"/>
        <v>47013.753686427095</v>
      </c>
      <c r="P19" s="30">
        <f t="shared" si="11"/>
        <v>62465.11955681377</v>
      </c>
      <c r="Q19" s="30">
        <f t="shared" si="11"/>
        <v>80906.969440609886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55</v>
      </c>
      <c r="B20" s="1" t="s">
        <v>48</v>
      </c>
      <c r="C20" s="19">
        <f t="shared" ref="C20:J20" si="12">IFERROR(C19/C7,"")</f>
        <v>0.13944309317805476</v>
      </c>
      <c r="D20" s="19">
        <f t="shared" si="12"/>
        <v>0.12551300810106705</v>
      </c>
      <c r="E20" s="19">
        <f t="shared" si="12"/>
        <v>0.12499164270909942</v>
      </c>
      <c r="F20" s="19">
        <f t="shared" si="12"/>
        <v>0.14245688482672325</v>
      </c>
      <c r="G20" s="19">
        <f t="shared" si="12"/>
        <v>0.13152800019120917</v>
      </c>
      <c r="H20" s="19">
        <f t="shared" si="12"/>
        <v>0.12779874753367076</v>
      </c>
      <c r="I20" s="19">
        <f t="shared" si="12"/>
        <v>0.13599191542288558</v>
      </c>
      <c r="J20" s="19">
        <f t="shared" si="12"/>
        <v>0.12754223542035784</v>
      </c>
      <c r="K20" s="19">
        <f t="shared" ref="K20:Q20" si="13">K19/K7</f>
        <v>0.14129033663797799</v>
      </c>
      <c r="L20" s="19">
        <f t="shared" si="13"/>
        <v>0.10758300547489087</v>
      </c>
      <c r="M20" s="19">
        <f t="shared" si="13"/>
        <v>0.14442757594786224</v>
      </c>
      <c r="N20" s="24">
        <f t="shared" si="13"/>
        <v>0.15</v>
      </c>
      <c r="O20" s="24">
        <f t="shared" si="13"/>
        <v>0.15999999999999998</v>
      </c>
      <c r="P20" s="24">
        <f t="shared" si="13"/>
        <v>0.16899999999999996</v>
      </c>
      <c r="Q20" s="24">
        <f t="shared" si="13"/>
        <v>0.17699999999999994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256</v>
      </c>
      <c r="B21" s="1" t="s">
        <v>46</v>
      </c>
      <c r="C21" s="18">
        <f>'Raw Financials'!C7</f>
        <v>205.4828</v>
      </c>
      <c r="D21" s="18">
        <f>'Raw Financials'!D7</f>
        <v>269</v>
      </c>
      <c r="E21" s="18">
        <f>'Raw Financials'!E7</f>
        <v>391</v>
      </c>
      <c r="F21" s="18">
        <f>'Raw Financials'!F7</f>
        <v>535</v>
      </c>
      <c r="G21" s="18">
        <f>'Raw Financials'!G7</f>
        <v>677</v>
      </c>
      <c r="H21" s="18">
        <f>'Raw Financials'!H7</f>
        <v>326</v>
      </c>
      <c r="I21" s="18">
        <f>'Raw Financials'!I7</f>
        <v>518</v>
      </c>
      <c r="J21" s="18">
        <f>'Raw Financials'!J7</f>
        <v>619</v>
      </c>
      <c r="K21" s="18">
        <f>'Raw Financials'!K7</f>
        <v>614</v>
      </c>
      <c r="L21" s="18">
        <f>'Raw Financials'!L7</f>
        <v>1647</v>
      </c>
      <c r="M21" s="18">
        <f>'Raw Financials'!M7</f>
        <v>732</v>
      </c>
      <c r="N21" s="25">
        <f>N7*Assumptions!C24</f>
        <v>1142.61887013</v>
      </c>
      <c r="O21" s="25">
        <f>O7*Assumptions!D24</f>
        <v>1469.1798027008469</v>
      </c>
      <c r="P21" s="25">
        <f>P7*Assumptions!E24</f>
        <v>1848.0804602607627</v>
      </c>
      <c r="Q21" s="25">
        <f>Q7*Assumptions!F24</f>
        <v>2285.5076113166642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263</v>
      </c>
      <c r="B22" s="1" t="s">
        <v>46</v>
      </c>
      <c r="C22" s="18">
        <f>'Raw Financials'!C14</f>
        <v>48.795223</v>
      </c>
      <c r="D22" s="18">
        <f>'Raw Financials'!D14</f>
        <v>60</v>
      </c>
      <c r="E22" s="18">
        <f>'Raw Financials'!E14</f>
        <v>94</v>
      </c>
      <c r="F22" s="18">
        <f>'Raw Financials'!F14</f>
        <v>92</v>
      </c>
      <c r="G22" s="18">
        <f>'Raw Financials'!G14</f>
        <v>155</v>
      </c>
      <c r="H22" s="18">
        <f>'Raw Financials'!H14</f>
        <v>143</v>
      </c>
      <c r="I22" s="18">
        <f>'Raw Financials'!I14</f>
        <v>650</v>
      </c>
      <c r="J22" s="18">
        <f>'Raw Financials'!J14</f>
        <v>806</v>
      </c>
      <c r="K22" s="18">
        <f>'Raw Financials'!K14</f>
        <v>1256</v>
      </c>
      <c r="L22" s="18">
        <f>'Raw Financials'!L14</f>
        <v>1347</v>
      </c>
      <c r="M22" s="18">
        <f>'Raw Financials'!M14</f>
        <v>1686</v>
      </c>
      <c r="N22" s="25">
        <f>'Acquisition &amp; Debt'!C22</f>
        <v>2218.4</v>
      </c>
      <c r="O22" s="25">
        <f>'Acquisition &amp; Debt'!D22</f>
        <v>1814.5000000000002</v>
      </c>
      <c r="P22" s="25">
        <f>'Acquisition &amp; Debt'!E22</f>
        <v>739.2</v>
      </c>
      <c r="Q22" s="25">
        <f>'Acquisition &amp; Debt'!F22</f>
        <v>48.5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29" t="s">
        <v>265</v>
      </c>
      <c r="B23" s="27" t="s">
        <v>46</v>
      </c>
      <c r="C23" s="28">
        <f>'Raw Financials'!C16</f>
        <v>3814.532385</v>
      </c>
      <c r="D23" s="28">
        <f>'Raw Financials'!D16</f>
        <v>3727</v>
      </c>
      <c r="E23" s="28">
        <f>'Raw Financials'!E16</f>
        <v>4036</v>
      </c>
      <c r="F23" s="28">
        <f>'Raw Financials'!F16</f>
        <v>5680</v>
      </c>
      <c r="G23" s="28">
        <f>'Raw Financials'!G16</f>
        <v>6025</v>
      </c>
      <c r="H23" s="28">
        <f>'Raw Financials'!H16</f>
        <v>6142</v>
      </c>
      <c r="I23" s="28">
        <f>'Raw Financials'!I16</f>
        <v>8615</v>
      </c>
      <c r="J23" s="28">
        <f>'Raw Financials'!J16</f>
        <v>10035</v>
      </c>
      <c r="K23" s="28">
        <f>'Raw Financials'!K16</f>
        <v>10449</v>
      </c>
      <c r="L23" s="28">
        <f>'Raw Financials'!L16</f>
        <v>12961</v>
      </c>
      <c r="M23" s="28">
        <f>'Raw Financials'!M16</f>
        <v>21588</v>
      </c>
      <c r="N23" s="30">
        <f>N19+N21-N22</f>
        <v>33202.784974029993</v>
      </c>
      <c r="O23" s="30">
        <f>O19+O21-O22</f>
        <v>46668.433489127943</v>
      </c>
      <c r="P23" s="30">
        <f>P19+P21-P22</f>
        <v>63574.000017074533</v>
      </c>
      <c r="Q23" s="30">
        <f>Q19+Q21-Q22</f>
        <v>83143.977051926544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266</v>
      </c>
      <c r="B24" s="1" t="s">
        <v>46</v>
      </c>
      <c r="C24" s="18">
        <f>'Raw Financials'!C17</f>
        <v>13.156528</v>
      </c>
      <c r="D24" s="18">
        <f>'Raw Financials'!D17</f>
        <v>221</v>
      </c>
      <c r="E24" s="18">
        <f>'Raw Financials'!E17</f>
        <v>0</v>
      </c>
      <c r="F24" s="18">
        <f>'Raw Financials'!F17</f>
        <v>56</v>
      </c>
      <c r="G24" s="18">
        <f>'Raw Financials'!G17</f>
        <v>71</v>
      </c>
      <c r="H24" s="18">
        <f>'Raw Financials'!H17</f>
        <v>180</v>
      </c>
      <c r="I24" s="18">
        <f>'Raw Financials'!I17</f>
        <v>0</v>
      </c>
      <c r="J24" s="18">
        <f>'Raw Financials'!J17</f>
        <v>523</v>
      </c>
      <c r="K24" s="18">
        <f>'Raw Financials'!K17</f>
        <v>0</v>
      </c>
      <c r="L24" s="18">
        <f>'Raw Financials'!L17</f>
        <v>0</v>
      </c>
      <c r="M24" s="18">
        <f>'Raw Financials'!M17</f>
        <v>2260</v>
      </c>
      <c r="N24" s="25">
        <f>0</f>
        <v>0</v>
      </c>
      <c r="O24" s="25">
        <f>0</f>
        <v>0</v>
      </c>
      <c r="P24" s="25">
        <f>0</f>
        <v>0</v>
      </c>
      <c r="Q24" s="25">
        <f>0</f>
        <v>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29" t="s">
        <v>267</v>
      </c>
      <c r="B25" s="27" t="s">
        <v>46</v>
      </c>
      <c r="C25" s="28">
        <f>'Raw Financials'!C18</f>
        <v>3801.375857</v>
      </c>
      <c r="D25" s="28">
        <f>'Raw Financials'!D18</f>
        <v>3506</v>
      </c>
      <c r="E25" s="28">
        <f>'Raw Financials'!E18</f>
        <v>4036</v>
      </c>
      <c r="F25" s="28">
        <f>'Raw Financials'!F18</f>
        <v>5624</v>
      </c>
      <c r="G25" s="28">
        <f>'Raw Financials'!G18</f>
        <v>5954</v>
      </c>
      <c r="H25" s="28">
        <f>'Raw Financials'!H18</f>
        <v>5962</v>
      </c>
      <c r="I25" s="28">
        <f>'Raw Financials'!I18</f>
        <v>8615</v>
      </c>
      <c r="J25" s="28">
        <f>'Raw Financials'!J18</f>
        <v>9512</v>
      </c>
      <c r="K25" s="28">
        <f>'Raw Financials'!K18</f>
        <v>10449</v>
      </c>
      <c r="L25" s="28">
        <f>'Raw Financials'!L18</f>
        <v>12961</v>
      </c>
      <c r="M25" s="28">
        <f>'Raw Financials'!M18</f>
        <v>19328</v>
      </c>
      <c r="N25" s="30">
        <f>N23-N24</f>
        <v>33202.784974029993</v>
      </c>
      <c r="O25" s="30">
        <f>O23-O24</f>
        <v>46668.433489127943</v>
      </c>
      <c r="P25" s="30">
        <f>P23-P24</f>
        <v>63574.000017074533</v>
      </c>
      <c r="Q25" s="30">
        <f>Q23-Q24</f>
        <v>83143.977051926544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270</v>
      </c>
      <c r="B26" s="1" t="s">
        <v>46</v>
      </c>
      <c r="C26" s="18">
        <f>'Raw Financials'!C21</f>
        <v>831.68032200000005</v>
      </c>
      <c r="D26" s="18">
        <f>'Raw Financials'!D21</f>
        <v>785</v>
      </c>
      <c r="E26" s="18">
        <f>'Raw Financials'!E21</f>
        <v>949</v>
      </c>
      <c r="F26" s="18">
        <f>'Raw Financials'!F21</f>
        <v>1403</v>
      </c>
      <c r="G26" s="18">
        <f>'Raw Financials'!G21</f>
        <v>1278</v>
      </c>
      <c r="H26" s="18">
        <f>'Raw Financials'!H21</f>
        <v>1302</v>
      </c>
      <c r="I26" s="18">
        <f>'Raw Financials'!I21</f>
        <v>1468</v>
      </c>
      <c r="J26" s="18">
        <f>'Raw Financials'!J21</f>
        <v>2061</v>
      </c>
      <c r="K26" s="18">
        <f>'Raw Financials'!K21</f>
        <v>2093</v>
      </c>
      <c r="L26" s="18">
        <f>'Raw Financials'!L21</f>
        <v>3326</v>
      </c>
      <c r="M26" s="18">
        <f>'Raw Financials'!M21</f>
        <v>2583</v>
      </c>
      <c r="N26" s="25">
        <f>N25*Assumptions!C25</f>
        <v>8300.6962435074984</v>
      </c>
      <c r="O26" s="25">
        <f>O25*Assumptions!D25</f>
        <v>11667.108372281986</v>
      </c>
      <c r="P26" s="25">
        <f>P25*Assumptions!E25</f>
        <v>15893.500004268633</v>
      </c>
      <c r="Q26" s="25">
        <f>Q25*Assumptions!F25</f>
        <v>20785.994262981636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53" t="s">
        <v>177</v>
      </c>
      <c r="B27" s="53" t="s">
        <v>48</v>
      </c>
      <c r="C27" s="55">
        <f t="shared" ref="C27:M27" si="14">IFERROR(C26/C25,"")</f>
        <v>0.21878402801672764</v>
      </c>
      <c r="D27" s="55">
        <f t="shared" si="14"/>
        <v>0.22390188248716486</v>
      </c>
      <c r="E27" s="55">
        <f t="shared" si="14"/>
        <v>0.23513379583746283</v>
      </c>
      <c r="F27" s="55">
        <f t="shared" si="14"/>
        <v>0.24946657183499288</v>
      </c>
      <c r="G27" s="55">
        <f t="shared" si="14"/>
        <v>0.21464561639234128</v>
      </c>
      <c r="H27" s="55">
        <f t="shared" si="14"/>
        <v>0.2183830929218383</v>
      </c>
      <c r="I27" s="55">
        <f t="shared" si="14"/>
        <v>0.17040046430644226</v>
      </c>
      <c r="J27" s="55">
        <f t="shared" si="14"/>
        <v>0.21667367535744322</v>
      </c>
      <c r="K27" s="55">
        <f t="shared" si="14"/>
        <v>0.20030624940185665</v>
      </c>
      <c r="L27" s="55">
        <f t="shared" si="14"/>
        <v>0.25661600185170896</v>
      </c>
      <c r="M27" s="55">
        <f t="shared" si="14"/>
        <v>0.13364031456953643</v>
      </c>
      <c r="N27" s="56">
        <f>N26/N25</f>
        <v>0.25</v>
      </c>
      <c r="O27" s="56">
        <f>O26/O25</f>
        <v>0.25</v>
      </c>
      <c r="P27" s="56">
        <f>P26/P25</f>
        <v>0.25</v>
      </c>
      <c r="Q27" s="56">
        <f>Q26/Q25</f>
        <v>0.25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29" t="s">
        <v>271</v>
      </c>
      <c r="B28" s="27" t="s">
        <v>46</v>
      </c>
      <c r="C28" s="28">
        <f>'Raw Financials'!C22</f>
        <v>2969.6955349999998</v>
      </c>
      <c r="D28" s="28">
        <f>'Raw Financials'!D22</f>
        <v>2721</v>
      </c>
      <c r="E28" s="28">
        <f>'Raw Financials'!E22</f>
        <v>3087</v>
      </c>
      <c r="F28" s="28">
        <f>'Raw Financials'!F22</f>
        <v>4221</v>
      </c>
      <c r="G28" s="28">
        <f>'Raw Financials'!G22</f>
        <v>4676</v>
      </c>
      <c r="H28" s="28">
        <f>'Raw Financials'!H22</f>
        <v>4660</v>
      </c>
      <c r="I28" s="28">
        <f>'Raw Financials'!I22</f>
        <v>7147</v>
      </c>
      <c r="J28" s="28">
        <f>'Raw Financials'!J22</f>
        <v>7451</v>
      </c>
      <c r="K28" s="28">
        <f>'Raw Financials'!K22</f>
        <v>8356</v>
      </c>
      <c r="L28" s="28">
        <f>'Raw Financials'!L22</f>
        <v>9361</v>
      </c>
      <c r="M28" s="28">
        <f>'Raw Financials'!M22</f>
        <v>17447</v>
      </c>
      <c r="N28" s="30">
        <f>N25-N26</f>
        <v>24902.088730522497</v>
      </c>
      <c r="O28" s="30">
        <f>O25-O26</f>
        <v>35001.325116845954</v>
      </c>
      <c r="P28" s="30">
        <f>P25-P26</f>
        <v>47680.500012805904</v>
      </c>
      <c r="Q28" s="30">
        <f>Q25-Q26</f>
        <v>62357.982788944908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272</v>
      </c>
      <c r="B29" s="1" t="s">
        <v>46</v>
      </c>
      <c r="C29" s="18">
        <f>'Raw Financials'!C23</f>
        <v>170.064761</v>
      </c>
      <c r="D29" s="18">
        <f>'Raw Financials'!D23</f>
        <v>220</v>
      </c>
      <c r="E29" s="18">
        <f>'Raw Financials'!E23</f>
        <v>285</v>
      </c>
      <c r="F29" s="18">
        <f>'Raw Financials'!F23</f>
        <v>188</v>
      </c>
      <c r="G29" s="18">
        <f>'Raw Financials'!G23</f>
        <v>236</v>
      </c>
      <c r="H29" s="18">
        <f>'Raw Financials'!H23</f>
        <v>104</v>
      </c>
      <c r="I29" s="18">
        <f>'Raw Financials'!I23</f>
        <v>530</v>
      </c>
      <c r="J29" s="18">
        <f>'Raw Financials'!J23</f>
        <v>513</v>
      </c>
      <c r="K29" s="18">
        <f>'Raw Financials'!K23</f>
        <v>276</v>
      </c>
      <c r="L29" s="18">
        <f>'Raw Financials'!L23</f>
        <v>1240</v>
      </c>
      <c r="M29" s="18">
        <f>'Raw Financials'!M23</f>
        <v>1890</v>
      </c>
      <c r="N29" s="25">
        <f>N28*Assumptions!C26</f>
        <v>498.04177461044998</v>
      </c>
      <c r="O29" s="25">
        <f>O28*Assumptions!D26</f>
        <v>525.01987675268924</v>
      </c>
      <c r="P29" s="25">
        <f>P28*Assumptions!E26</f>
        <v>476.80500012805902</v>
      </c>
      <c r="Q29" s="25">
        <f>Q28*Assumptions!F26</f>
        <v>623.57982788944912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29" t="s">
        <v>273</v>
      </c>
      <c r="B30" s="27" t="s">
        <v>46</v>
      </c>
      <c r="C30" s="28">
        <f>'Raw Financials'!C24</f>
        <v>2799.6307740000002</v>
      </c>
      <c r="D30" s="28">
        <f>'Raw Financials'!D24</f>
        <v>2501</v>
      </c>
      <c r="E30" s="28">
        <f>'Raw Financials'!E24</f>
        <v>2802</v>
      </c>
      <c r="F30" s="28">
        <f>'Raw Financials'!F24</f>
        <v>4033</v>
      </c>
      <c r="G30" s="28">
        <f>'Raw Financials'!G24</f>
        <v>4440</v>
      </c>
      <c r="H30" s="28">
        <f>'Raw Financials'!H24</f>
        <v>4556</v>
      </c>
      <c r="I30" s="28">
        <f>'Raw Financials'!I24</f>
        <v>6617</v>
      </c>
      <c r="J30" s="28">
        <f>'Raw Financials'!J24</f>
        <v>6938</v>
      </c>
      <c r="K30" s="28">
        <f>'Raw Financials'!K24</f>
        <v>8080</v>
      </c>
      <c r="L30" s="28">
        <f>'Raw Financials'!L24</f>
        <v>8121</v>
      </c>
      <c r="M30" s="28">
        <f>'Raw Financials'!M24</f>
        <v>15557</v>
      </c>
      <c r="N30" s="30">
        <f>N28-N29</f>
        <v>24404.046955912047</v>
      </c>
      <c r="O30" s="30">
        <f>O28-O29</f>
        <v>34476.305240093265</v>
      </c>
      <c r="P30" s="30">
        <f>P28-P29</f>
        <v>47203.695012677847</v>
      </c>
      <c r="Q30" s="30">
        <f>Q28-Q29</f>
        <v>61734.402961055457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455</v>
      </c>
      <c r="B31" s="1" t="s">
        <v>48</v>
      </c>
      <c r="C31" s="19">
        <f t="shared" ref="C31:M31" si="15">IFERROR(C30/C7,"")</f>
        <v>0.10437017903389451</v>
      </c>
      <c r="D31" s="19">
        <f t="shared" si="15"/>
        <v>8.9254487705649338E-2</v>
      </c>
      <c r="E31" s="19">
        <f t="shared" si="15"/>
        <v>9.366851641371933E-2</v>
      </c>
      <c r="F31" s="19">
        <f t="shared" si="15"/>
        <v>0.10970567433763125</v>
      </c>
      <c r="G31" s="19">
        <f t="shared" si="15"/>
        <v>0.10612108319988528</v>
      </c>
      <c r="H31" s="19">
        <f t="shared" si="15"/>
        <v>9.7709530754053364E-2</v>
      </c>
      <c r="I31" s="19">
        <f t="shared" si="15"/>
        <v>0.10287624378109453</v>
      </c>
      <c r="J31" s="19">
        <f t="shared" si="15"/>
        <v>8.6567015197264993E-2</v>
      </c>
      <c r="K31" s="19">
        <f t="shared" si="15"/>
        <v>8.8027018193703024E-2</v>
      </c>
      <c r="L31" s="19">
        <f t="shared" si="15"/>
        <v>6.7264128283070906E-2</v>
      </c>
      <c r="M31" s="19">
        <f t="shared" si="15"/>
        <v>9.4844141513287447E-2</v>
      </c>
      <c r="N31" s="24">
        <f>N30/N7</f>
        <v>0.10678996992731053</v>
      </c>
      <c r="O31" s="24">
        <f>O30/O7</f>
        <v>0.11733181049968905</v>
      </c>
      <c r="P31" s="24">
        <f>P30/P7</f>
        <v>0.12771006465275175</v>
      </c>
      <c r="Q31" s="24">
        <f>Q30/Q7</f>
        <v>0.13505621826717679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458</v>
      </c>
      <c r="B32" s="1" t="s">
        <v>222</v>
      </c>
      <c r="C32" s="22">
        <f t="shared" ref="C32:M32" si="16">IFERROR(C30/C34,"")</f>
        <v>305.50313989524227</v>
      </c>
      <c r="D32" s="22">
        <f t="shared" si="16"/>
        <v>306.49509803921569</v>
      </c>
      <c r="E32" s="22">
        <f t="shared" si="16"/>
        <v>307.03484549638392</v>
      </c>
      <c r="F32" s="22">
        <f t="shared" si="16"/>
        <v>307.90960451977406</v>
      </c>
      <c r="G32" s="22">
        <f t="shared" si="16"/>
        <v>310.96792267824623</v>
      </c>
      <c r="H32" s="22">
        <f t="shared" si="16"/>
        <v>305.03481521156931</v>
      </c>
      <c r="I32" s="22">
        <f t="shared" si="16"/>
        <v>303.47642634379014</v>
      </c>
      <c r="J32" s="22">
        <f t="shared" si="16"/>
        <v>304.9134218159445</v>
      </c>
      <c r="K32" s="22">
        <f t="shared" si="16"/>
        <v>307.08422012769836</v>
      </c>
      <c r="L32" s="22">
        <f t="shared" si="16"/>
        <v>330.1219512195122</v>
      </c>
      <c r="M32" s="22">
        <f t="shared" si="16"/>
        <v>334.9913867355728</v>
      </c>
      <c r="N32" s="26">
        <f>N33*0.995</f>
        <v>422.875</v>
      </c>
      <c r="O32" s="26">
        <f>O33*0.995</f>
        <v>422.875</v>
      </c>
      <c r="P32" s="26">
        <f>P33*0.995</f>
        <v>422.875</v>
      </c>
      <c r="Q32" s="26">
        <f>Q33*0.995</f>
        <v>422.875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459</v>
      </c>
      <c r="B33" s="1" t="s">
        <v>222</v>
      </c>
      <c r="C33" s="22">
        <f t="shared" ref="C33:M33" si="17">IFERROR(C30/C35,"")</f>
        <v>307.31402568605932</v>
      </c>
      <c r="D33" s="22">
        <f t="shared" si="17"/>
        <v>307.1726848440187</v>
      </c>
      <c r="E33" s="22">
        <f t="shared" si="17"/>
        <v>308.99867666519623</v>
      </c>
      <c r="F33" s="22">
        <f t="shared" si="17"/>
        <v>311.52479530356862</v>
      </c>
      <c r="G33" s="22">
        <f t="shared" si="17"/>
        <v>312.80822882908274</v>
      </c>
      <c r="H33" s="22">
        <f t="shared" si="17"/>
        <v>310.82003001773774</v>
      </c>
      <c r="I33" s="22">
        <f t="shared" si="17"/>
        <v>310.59894855426211</v>
      </c>
      <c r="J33" s="22">
        <f t="shared" si="17"/>
        <v>311.03738904330675</v>
      </c>
      <c r="K33" s="22">
        <f t="shared" si="17"/>
        <v>311.75245003472492</v>
      </c>
      <c r="L33" s="22">
        <f t="shared" si="17"/>
        <v>332.6915198689062</v>
      </c>
      <c r="M33" s="22">
        <f t="shared" si="17"/>
        <v>338.93246187363837</v>
      </c>
      <c r="N33" s="26">
        <f>Assumptions!C47</f>
        <v>425</v>
      </c>
      <c r="O33" s="26">
        <f>Assumptions!D47</f>
        <v>425</v>
      </c>
      <c r="P33" s="26">
        <f>Assumptions!E47</f>
        <v>425</v>
      </c>
      <c r="Q33" s="26">
        <f>Assumptions!F47</f>
        <v>425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274</v>
      </c>
      <c r="B34" s="1" t="s">
        <v>58</v>
      </c>
      <c r="C34" s="20">
        <f>'Raw Financials'!C25</f>
        <v>9.1639999999999997</v>
      </c>
      <c r="D34" s="20">
        <f>'Raw Financials'!D25</f>
        <v>8.16</v>
      </c>
      <c r="E34" s="20">
        <f>'Raw Financials'!E25</f>
        <v>9.1260000000000012</v>
      </c>
      <c r="F34" s="20">
        <f>'Raw Financials'!F25</f>
        <v>13.097999999999999</v>
      </c>
      <c r="G34" s="20">
        <f>'Raw Financials'!G25</f>
        <v>14.278</v>
      </c>
      <c r="H34" s="20">
        <f>'Raw Financials'!H25</f>
        <v>14.936000000000002</v>
      </c>
      <c r="I34" s="20">
        <f>'Raw Financials'!I25</f>
        <v>21.803999999999998</v>
      </c>
      <c r="J34" s="20">
        <f>'Raw Financials'!J25</f>
        <v>22.753999999999998</v>
      </c>
      <c r="K34" s="20">
        <f>'Raw Financials'!K25</f>
        <v>26.312000000000001</v>
      </c>
      <c r="L34" s="20">
        <f>'Raw Financials'!L25</f>
        <v>24.6</v>
      </c>
      <c r="M34" s="20">
        <f>'Raw Financials'!M25</f>
        <v>46.44</v>
      </c>
      <c r="N34" s="31">
        <f>N30/N32</f>
        <v>57.709836135765997</v>
      </c>
      <c r="O34" s="31">
        <f>O30/O32</f>
        <v>81.528360012044374</v>
      </c>
      <c r="P34" s="31">
        <f>P30/P32</f>
        <v>111.62564590642116</v>
      </c>
      <c r="Q34" s="31">
        <f>Q30/Q32</f>
        <v>145.98735550944241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57</v>
      </c>
      <c r="B35" s="1" t="s">
        <v>58</v>
      </c>
      <c r="C35" s="20">
        <f>'Raw Financials'!C26</f>
        <v>9.11</v>
      </c>
      <c r="D35" s="20">
        <f>'Raw Financials'!D26</f>
        <v>8.1419999999999995</v>
      </c>
      <c r="E35" s="20">
        <f>'Raw Financials'!E26</f>
        <v>9.0680000000000014</v>
      </c>
      <c r="F35" s="20">
        <f>'Raw Financials'!F26</f>
        <v>12.946000000000002</v>
      </c>
      <c r="G35" s="20">
        <f>'Raw Financials'!G26</f>
        <v>14.193999999999999</v>
      </c>
      <c r="H35" s="20">
        <f>'Raw Financials'!H26</f>
        <v>14.658000000000001</v>
      </c>
      <c r="I35" s="20">
        <f>'Raw Financials'!I26</f>
        <v>21.303999999999998</v>
      </c>
      <c r="J35" s="20">
        <f>'Raw Financials'!J26</f>
        <v>22.306000000000001</v>
      </c>
      <c r="K35" s="20">
        <f>'Raw Financials'!K26</f>
        <v>25.917999999999999</v>
      </c>
      <c r="L35" s="20">
        <f>'Raw Financials'!L26</f>
        <v>24.41</v>
      </c>
      <c r="M35" s="20">
        <f>'Raw Financials'!M26</f>
        <v>45.9</v>
      </c>
      <c r="N35" s="31">
        <f>N30/N33</f>
        <v>57.421286955087169</v>
      </c>
      <c r="O35" s="31">
        <f>O30/O33</f>
        <v>81.120718211984155</v>
      </c>
      <c r="P35" s="31">
        <f>P30/P33</f>
        <v>111.06751767688905</v>
      </c>
      <c r="Q35" s="31">
        <f>Q30/Q33</f>
        <v>145.2574187318952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29" t="s">
        <v>460</v>
      </c>
      <c r="B36" s="27" t="s">
        <v>46</v>
      </c>
      <c r="C36" s="28">
        <f>-'Raw Financials'!C133</f>
        <v>731.36613199999999</v>
      </c>
      <c r="D36" s="28">
        <f>-'Raw Financials'!D133</f>
        <v>0</v>
      </c>
      <c r="E36" s="28">
        <f>-'Raw Financials'!E133</f>
        <v>613</v>
      </c>
      <c r="F36" s="28">
        <f>-'Raw Financials'!F133</f>
        <v>0</v>
      </c>
      <c r="G36" s="28">
        <f>-'Raw Financials'!G133</f>
        <v>0</v>
      </c>
      <c r="H36" s="28">
        <f>-'Raw Financials'!H133</f>
        <v>686</v>
      </c>
      <c r="I36" s="28">
        <f>-'Raw Financials'!I133</f>
        <v>3152</v>
      </c>
      <c r="J36" s="28">
        <f>-'Raw Financials'!J133</f>
        <v>3534</v>
      </c>
      <c r="K36" s="28">
        <f>-'Raw Financials'!K133</f>
        <v>4664</v>
      </c>
      <c r="L36" s="28">
        <f>-'Raw Financials'!L133</f>
        <v>4976</v>
      </c>
      <c r="M36" s="28">
        <f>-'Raw Financials'!M133</f>
        <v>5277</v>
      </c>
      <c r="N36" s="30">
        <f>N30*Assumptions!C44</f>
        <v>8541.4164345692152</v>
      </c>
      <c r="O36" s="30">
        <f>O30*Assumptions!D44</f>
        <v>12756.232938834508</v>
      </c>
      <c r="P36" s="30">
        <f>P30*Assumptions!E44</f>
        <v>18409.44105494436</v>
      </c>
      <c r="Q36" s="30">
        <f>Q30*Assumptions!F44</f>
        <v>24693.761184422183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461</v>
      </c>
      <c r="B37" s="1" t="s">
        <v>58</v>
      </c>
      <c r="C37" s="20">
        <f t="shared" ref="C37:M37" si="18">IFERROR(C36/C32,"")</f>
        <v>2.3939725537707637</v>
      </c>
      <c r="D37" s="20">
        <f t="shared" si="18"/>
        <v>0</v>
      </c>
      <c r="E37" s="20">
        <f t="shared" si="18"/>
        <v>1.9965160599571736</v>
      </c>
      <c r="F37" s="20">
        <f t="shared" si="18"/>
        <v>0</v>
      </c>
      <c r="G37" s="20">
        <f t="shared" si="18"/>
        <v>0</v>
      </c>
      <c r="H37" s="20">
        <f t="shared" si="18"/>
        <v>2.2489236172080775</v>
      </c>
      <c r="I37" s="20">
        <f t="shared" si="18"/>
        <v>10.386309203566571</v>
      </c>
      <c r="J37" s="20">
        <f t="shared" si="18"/>
        <v>11.590175266647448</v>
      </c>
      <c r="K37" s="20">
        <f t="shared" si="18"/>
        <v>15.188015841584161</v>
      </c>
      <c r="L37" s="20">
        <f t="shared" si="18"/>
        <v>15.073217584041375</v>
      </c>
      <c r="M37" s="20">
        <f t="shared" si="18"/>
        <v>15.752643825930448</v>
      </c>
      <c r="N37" s="31">
        <f>N36/N32</f>
        <v>20.198442647518096</v>
      </c>
      <c r="O37" s="31">
        <f>O36/O32</f>
        <v>30.165493204456418</v>
      </c>
      <c r="P37" s="31">
        <f>P36/P32</f>
        <v>43.534001903504247</v>
      </c>
      <c r="Q37" s="31">
        <f>Q36/Q32</f>
        <v>58.394942203776964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4"/>
      <c r="O38" s="54"/>
      <c r="P38" s="54"/>
      <c r="Q38" s="54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  <c r="O39" s="17"/>
      <c r="P39" s="17"/>
      <c r="Q39" s="17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  <c r="O40" s="17"/>
      <c r="P40" s="17"/>
      <c r="Q40" s="1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  <c r="O41" s="17"/>
      <c r="P41" s="17"/>
      <c r="Q41" s="17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  <c r="O42" s="17"/>
      <c r="P42" s="17"/>
      <c r="Q42" s="17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  <c r="O43" s="17"/>
      <c r="P43" s="17"/>
      <c r="Q43" s="1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  <c r="O44" s="17"/>
      <c r="P44" s="17"/>
      <c r="Q44" s="1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  <c r="O45" s="17"/>
      <c r="P45" s="17"/>
      <c r="Q45" s="17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  <c r="O46" s="17"/>
      <c r="P46" s="17"/>
      <c r="Q46" s="1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  <c r="O47" s="17"/>
      <c r="P47" s="17"/>
      <c r="Q47" s="1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4"/>
      <c r="O48" s="54"/>
      <c r="P48" s="54"/>
      <c r="Q48" s="54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  <c r="O49" s="17"/>
      <c r="P49" s="17"/>
      <c r="Q49" s="1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  <c r="O50" s="17"/>
      <c r="P50" s="17"/>
      <c r="Q50" s="1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  <c r="O51" s="17"/>
      <c r="P51" s="17"/>
      <c r="Q51" s="1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  <c r="O52" s="17"/>
      <c r="P52" s="17"/>
      <c r="Q52" s="1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  <c r="O53" s="17"/>
      <c r="P53" s="17"/>
      <c r="Q53" s="1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  <c r="O54" s="17"/>
      <c r="P54" s="17"/>
      <c r="Q54" s="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  <c r="O55" s="17"/>
      <c r="P55" s="17"/>
      <c r="Q55" s="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  <c r="O56" s="17"/>
      <c r="P56" s="17"/>
      <c r="Q56" s="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17"/>
      <c r="P57" s="17"/>
      <c r="Q57" s="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  <c r="O58" s="17"/>
      <c r="P58" s="17"/>
      <c r="Q58" s="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  <c r="O60" s="17"/>
      <c r="P60" s="17"/>
      <c r="Q60" s="1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  <c r="O61" s="17"/>
      <c r="P61" s="17"/>
      <c r="Q61" s="1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  <c r="O62" s="17"/>
      <c r="P62" s="17"/>
      <c r="Q62" s="1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  <c r="O63" s="17"/>
      <c r="P63" s="17"/>
      <c r="Q63" s="1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  <c r="O64" s="17"/>
      <c r="P64" s="17"/>
      <c r="Q64" s="1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7"/>
      <c r="O65" s="17"/>
      <c r="P65" s="17"/>
      <c r="Q65" s="1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7"/>
      <c r="O66" s="17"/>
      <c r="P66" s="17"/>
      <c r="Q66" s="1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7"/>
      <c r="O67" s="17"/>
      <c r="P67" s="17"/>
      <c r="Q67" s="1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7"/>
      <c r="O68" s="17"/>
      <c r="P68" s="17"/>
      <c r="Q68" s="1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7"/>
      <c r="O69" s="17"/>
      <c r="P69" s="17"/>
      <c r="Q69" s="1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7"/>
      <c r="O70" s="17"/>
      <c r="P70" s="17"/>
      <c r="Q70" s="1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7"/>
      <c r="O71" s="17"/>
      <c r="P71" s="17"/>
      <c r="Q71" s="17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7"/>
      <c r="O72" s="17"/>
      <c r="P72" s="17"/>
      <c r="Q72" s="17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7"/>
      <c r="O73" s="17"/>
      <c r="P73" s="17"/>
      <c r="Q73" s="1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7"/>
      <c r="O74" s="17"/>
      <c r="P74" s="17"/>
      <c r="Q74" s="1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7"/>
      <c r="O75" s="17"/>
      <c r="P75" s="17"/>
      <c r="Q75" s="17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7"/>
      <c r="O76" s="17"/>
      <c r="P76" s="17"/>
      <c r="Q76" s="17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7"/>
      <c r="O77" s="17"/>
      <c r="P77" s="17"/>
      <c r="Q77" s="17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7"/>
      <c r="O78" s="17"/>
      <c r="P78" s="17"/>
      <c r="Q78" s="1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7"/>
      <c r="O79" s="17"/>
      <c r="P79" s="17"/>
      <c r="Q79" s="1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7"/>
      <c r="O80" s="17"/>
      <c r="P80" s="17"/>
      <c r="Q80" s="17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7"/>
      <c r="O81" s="17"/>
      <c r="P81" s="17"/>
      <c r="Q81" s="17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7"/>
      <c r="O82" s="17"/>
      <c r="P82" s="17"/>
      <c r="Q82" s="17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7"/>
      <c r="O83" s="17"/>
      <c r="P83" s="17"/>
      <c r="Q83" s="17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7"/>
      <c r="O84" s="17"/>
      <c r="P84" s="17"/>
      <c r="Q84" s="1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7"/>
      <c r="O85" s="17"/>
      <c r="P85" s="17"/>
      <c r="Q85" s="17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7"/>
      <c r="O86" s="17"/>
      <c r="P86" s="17"/>
      <c r="Q86" s="17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7"/>
      <c r="O87" s="17"/>
      <c r="P87" s="17"/>
      <c r="Q87" s="17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7"/>
      <c r="O88" s="17"/>
      <c r="P88" s="17"/>
      <c r="Q88" s="17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7"/>
      <c r="O89" s="17"/>
      <c r="P89" s="17"/>
      <c r="Q89" s="1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7"/>
      <c r="O90" s="17"/>
      <c r="P90" s="17"/>
      <c r="Q90" s="1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7"/>
      <c r="O91" s="17"/>
      <c r="P91" s="17"/>
      <c r="Q91" s="17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7"/>
      <c r="O92" s="17"/>
      <c r="P92" s="17"/>
      <c r="Q92" s="17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7"/>
      <c r="O93" s="17"/>
      <c r="P93" s="17"/>
      <c r="Q93" s="1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7"/>
      <c r="O94" s="17"/>
      <c r="P94" s="17"/>
      <c r="Q94" s="1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7"/>
      <c r="O95" s="17"/>
      <c r="P95" s="17"/>
      <c r="Q95" s="17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7"/>
      <c r="O96" s="17"/>
      <c r="P96" s="17"/>
      <c r="Q96" s="17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7"/>
      <c r="O97" s="17"/>
      <c r="P97" s="17"/>
      <c r="Q97" s="17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7"/>
      <c r="O98" s="17"/>
      <c r="P98" s="17"/>
      <c r="Q98" s="1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7"/>
      <c r="O99" s="17"/>
      <c r="P99" s="17"/>
      <c r="Q99" s="1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7"/>
      <c r="O100" s="17"/>
      <c r="P100" s="17"/>
      <c r="Q100" s="17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7"/>
      <c r="O101" s="17"/>
      <c r="P101" s="17"/>
      <c r="Q101" s="17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7"/>
      <c r="O102" s="17"/>
      <c r="P102" s="17"/>
      <c r="Q102" s="17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7"/>
      <c r="O103" s="17"/>
      <c r="P103" s="17"/>
      <c r="Q103" s="1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7"/>
      <c r="O104" s="17"/>
      <c r="P104" s="17"/>
      <c r="Q104" s="1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7"/>
      <c r="O105" s="17"/>
      <c r="P105" s="17"/>
      <c r="Q105" s="17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7"/>
      <c r="O106" s="17"/>
      <c r="P106" s="17"/>
      <c r="Q106" s="17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7"/>
      <c r="O107" s="17"/>
      <c r="P107" s="17"/>
      <c r="Q107" s="1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7"/>
      <c r="O108" s="17"/>
      <c r="P108" s="17"/>
      <c r="Q108" s="17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7"/>
      <c r="O109" s="17"/>
      <c r="P109" s="17"/>
      <c r="Q109" s="1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7"/>
      <c r="O110" s="17"/>
      <c r="P110" s="17"/>
      <c r="Q110" s="17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7"/>
      <c r="O111" s="17"/>
      <c r="P111" s="17"/>
      <c r="Q111" s="17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7"/>
      <c r="O112" s="17"/>
      <c r="P112" s="17"/>
      <c r="Q112" s="1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7"/>
      <c r="O113" s="17"/>
      <c r="P113" s="17"/>
      <c r="Q113" s="1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7"/>
      <c r="O114" s="17"/>
      <c r="P114" s="17"/>
      <c r="Q114" s="1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7"/>
      <c r="O115" s="17"/>
      <c r="P115" s="17"/>
      <c r="Q115" s="17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7"/>
      <c r="O116" s="17"/>
      <c r="P116" s="17"/>
      <c r="Q116" s="17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7"/>
      <c r="O117" s="17"/>
      <c r="P117" s="17"/>
      <c r="Q117" s="17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7"/>
      <c r="O118" s="17"/>
      <c r="P118" s="17"/>
      <c r="Q118" s="1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7"/>
      <c r="O119" s="17"/>
      <c r="P119" s="17"/>
      <c r="Q119" s="17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7"/>
      <c r="O120" s="17"/>
      <c r="P120" s="17"/>
      <c r="Q120" s="17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7"/>
      <c r="O121" s="17"/>
      <c r="P121" s="17"/>
      <c r="Q121" s="17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7"/>
      <c r="O122" s="17"/>
      <c r="P122" s="17"/>
      <c r="Q122" s="1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7"/>
      <c r="O123" s="17"/>
      <c r="P123" s="17"/>
      <c r="Q123" s="1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7"/>
      <c r="O124" s="17"/>
      <c r="P124" s="17"/>
      <c r="Q124" s="1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7"/>
      <c r="O125" s="17"/>
      <c r="P125" s="17"/>
      <c r="Q125" s="1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7"/>
      <c r="O126" s="17"/>
      <c r="P126" s="17"/>
      <c r="Q126" s="1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7"/>
      <c r="O127" s="17"/>
      <c r="P127" s="17"/>
      <c r="Q127" s="1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7"/>
      <c r="O128" s="17"/>
      <c r="P128" s="17"/>
      <c r="Q128" s="1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7"/>
      <c r="O129" s="17"/>
      <c r="P129" s="17"/>
      <c r="Q129" s="1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7"/>
      <c r="O130" s="17"/>
      <c r="P130" s="17"/>
      <c r="Q130" s="1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7"/>
      <c r="O131" s="17"/>
      <c r="P131" s="17"/>
      <c r="Q131" s="1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7"/>
      <c r="O132" s="17"/>
      <c r="P132" s="17"/>
      <c r="Q132" s="1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7"/>
      <c r="O133" s="17"/>
      <c r="P133" s="17"/>
      <c r="Q133" s="1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7"/>
      <c r="O134" s="17"/>
      <c r="P134" s="17"/>
      <c r="Q134" s="1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7"/>
      <c r="O135" s="17"/>
      <c r="P135" s="17"/>
      <c r="Q135" s="1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7"/>
      <c r="O136" s="17"/>
      <c r="P136" s="17"/>
      <c r="Q136" s="1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7"/>
      <c r="O137" s="17"/>
      <c r="P137" s="17"/>
      <c r="Q137" s="1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7"/>
      <c r="O138" s="17"/>
      <c r="P138" s="17"/>
      <c r="Q138" s="1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7"/>
      <c r="O139" s="17"/>
      <c r="P139" s="17"/>
      <c r="Q139" s="1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7"/>
      <c r="O140" s="17"/>
      <c r="P140" s="17"/>
      <c r="Q140" s="1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7"/>
      <c r="O141" s="17"/>
      <c r="P141" s="17"/>
      <c r="Q141" s="1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7"/>
      <c r="O142" s="17"/>
      <c r="P142" s="17"/>
      <c r="Q142" s="1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7"/>
      <c r="O143" s="17"/>
      <c r="P143" s="17"/>
      <c r="Q143" s="1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7"/>
      <c r="O144" s="17"/>
      <c r="P144" s="17"/>
      <c r="Q144" s="1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7"/>
      <c r="O145" s="17"/>
      <c r="P145" s="17"/>
      <c r="Q145" s="1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7"/>
      <c r="O146" s="17"/>
      <c r="P146" s="17"/>
      <c r="Q146" s="1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7"/>
      <c r="O147" s="17"/>
      <c r="P147" s="17"/>
      <c r="Q147" s="1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7"/>
      <c r="O148" s="17"/>
      <c r="P148" s="17"/>
      <c r="Q148" s="1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7"/>
      <c r="O149" s="17"/>
      <c r="P149" s="17"/>
      <c r="Q149" s="1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7"/>
      <c r="O150" s="17"/>
      <c r="P150" s="17"/>
      <c r="Q150" s="1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7"/>
      <c r="O151" s="17"/>
      <c r="P151" s="17"/>
      <c r="Q151" s="1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7"/>
      <c r="O152" s="17"/>
      <c r="P152" s="17"/>
      <c r="Q152" s="1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7"/>
      <c r="O153" s="17"/>
      <c r="P153" s="17"/>
      <c r="Q153" s="1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7"/>
      <c r="O154" s="17"/>
      <c r="P154" s="17"/>
      <c r="Q154" s="1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7"/>
      <c r="O155" s="17"/>
      <c r="P155" s="17"/>
      <c r="Q155" s="1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7"/>
      <c r="O156" s="17"/>
      <c r="P156" s="17"/>
      <c r="Q156" s="1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7"/>
      <c r="O157" s="17"/>
      <c r="P157" s="17"/>
      <c r="Q157" s="17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7"/>
      <c r="O158" s="17"/>
      <c r="P158" s="17"/>
      <c r="Q158" s="1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7"/>
      <c r="O159" s="17"/>
      <c r="P159" s="17"/>
      <c r="Q159" s="17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7"/>
      <c r="O160" s="17"/>
      <c r="P160" s="17"/>
      <c r="Q160" s="17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7"/>
      <c r="O161" s="17"/>
      <c r="P161" s="17"/>
      <c r="Q161" s="17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7"/>
      <c r="O162" s="17"/>
      <c r="P162" s="17"/>
      <c r="Q162" s="17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7"/>
      <c r="O163" s="17"/>
      <c r="P163" s="17"/>
      <c r="Q163" s="17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7"/>
      <c r="O164" s="17"/>
      <c r="P164" s="17"/>
      <c r="Q164" s="17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7"/>
      <c r="O165" s="17"/>
      <c r="P165" s="17"/>
      <c r="Q165" s="1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7"/>
      <c r="O166" s="17"/>
      <c r="P166" s="17"/>
      <c r="Q166" s="1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7"/>
      <c r="O167" s="17"/>
      <c r="P167" s="17"/>
      <c r="Q167" s="17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7"/>
      <c r="O168" s="17"/>
      <c r="P168" s="17"/>
      <c r="Q168" s="17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7"/>
      <c r="O169" s="17"/>
      <c r="P169" s="17"/>
      <c r="Q169" s="17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7"/>
      <c r="O170" s="17"/>
      <c r="P170" s="17"/>
      <c r="Q170" s="17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7"/>
      <c r="O171" s="17"/>
      <c r="P171" s="17"/>
      <c r="Q171" s="17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7"/>
      <c r="O172" s="17"/>
      <c r="P172" s="17"/>
      <c r="Q172" s="17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7"/>
      <c r="O173" s="17"/>
      <c r="P173" s="17"/>
      <c r="Q173" s="17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7"/>
      <c r="O174" s="17"/>
      <c r="P174" s="17"/>
      <c r="Q174" s="17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7"/>
      <c r="O175" s="17"/>
      <c r="P175" s="17"/>
      <c r="Q175" s="1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7"/>
      <c r="O176" s="17"/>
      <c r="P176" s="17"/>
      <c r="Q176" s="17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7"/>
      <c r="O177" s="17"/>
      <c r="P177" s="17"/>
      <c r="Q177" s="17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7"/>
      <c r="O178" s="17"/>
      <c r="P178" s="17"/>
      <c r="Q178" s="17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7"/>
      <c r="O179" s="17"/>
      <c r="P179" s="17"/>
      <c r="Q179" s="17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7"/>
      <c r="O180" s="17"/>
      <c r="P180" s="17"/>
      <c r="Q180" s="17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7"/>
      <c r="O181" s="17"/>
      <c r="P181" s="17"/>
      <c r="Q181" s="17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7"/>
      <c r="O182" s="17"/>
      <c r="P182" s="17"/>
      <c r="Q182" s="17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7"/>
      <c r="O183" s="17"/>
      <c r="P183" s="17"/>
      <c r="Q183" s="17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7"/>
      <c r="O184" s="17"/>
      <c r="P184" s="17"/>
      <c r="Q184" s="17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7"/>
      <c r="O185" s="17"/>
      <c r="P185" s="17"/>
      <c r="Q185" s="17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7"/>
      <c r="O186" s="17"/>
      <c r="P186" s="17"/>
      <c r="Q186" s="17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7"/>
      <c r="O187" s="17"/>
      <c r="P187" s="17"/>
      <c r="Q187" s="17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7"/>
      <c r="O188" s="17"/>
      <c r="P188" s="17"/>
      <c r="Q188" s="17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7"/>
      <c r="O189" s="17"/>
      <c r="P189" s="17"/>
      <c r="Q189" s="17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7"/>
      <c r="O190" s="17"/>
      <c r="P190" s="17"/>
      <c r="Q190" s="17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7"/>
      <c r="O191" s="17"/>
      <c r="P191" s="17"/>
      <c r="Q191" s="17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7"/>
      <c r="O192" s="17"/>
      <c r="P192" s="17"/>
      <c r="Q192" s="17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7"/>
      <c r="O193" s="17"/>
      <c r="P193" s="17"/>
      <c r="Q193" s="17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7"/>
      <c r="O194" s="17"/>
      <c r="P194" s="17"/>
      <c r="Q194" s="17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7"/>
      <c r="O195" s="17"/>
      <c r="P195" s="17"/>
      <c r="Q195" s="17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7"/>
      <c r="O196" s="17"/>
      <c r="P196" s="17"/>
      <c r="Q196" s="17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7"/>
      <c r="O197" s="17"/>
      <c r="P197" s="17"/>
      <c r="Q197" s="17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7"/>
      <c r="O198" s="17"/>
      <c r="P198" s="17"/>
      <c r="Q198" s="17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7"/>
      <c r="O199" s="17"/>
      <c r="P199" s="17"/>
      <c r="Q199" s="17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7"/>
      <c r="O200" s="17"/>
      <c r="P200" s="17"/>
      <c r="Q200" s="17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7"/>
      <c r="O201" s="17"/>
      <c r="P201" s="17"/>
      <c r="Q201" s="17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7"/>
      <c r="O202" s="17"/>
      <c r="P202" s="17"/>
      <c r="Q202" s="17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7"/>
      <c r="O203" s="17"/>
      <c r="P203" s="17"/>
      <c r="Q203" s="17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7"/>
      <c r="O204" s="17"/>
      <c r="P204" s="17"/>
      <c r="Q204" s="17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7"/>
      <c r="O205" s="17"/>
      <c r="P205" s="17"/>
      <c r="Q205" s="17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7"/>
      <c r="O206" s="17"/>
      <c r="P206" s="17"/>
      <c r="Q206" s="17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7"/>
      <c r="O207" s="17"/>
      <c r="P207" s="17"/>
      <c r="Q207" s="17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7"/>
      <c r="O208" s="17"/>
      <c r="P208" s="17"/>
      <c r="Q208" s="17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7"/>
      <c r="O209" s="17"/>
      <c r="P209" s="17"/>
      <c r="Q209" s="1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7"/>
      <c r="O210" s="17"/>
      <c r="P210" s="17"/>
      <c r="Q210" s="1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7"/>
      <c r="O211" s="17"/>
      <c r="P211" s="17"/>
      <c r="Q211" s="1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7"/>
      <c r="O212" s="17"/>
      <c r="P212" s="17"/>
      <c r="Q212" s="1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7"/>
      <c r="O213" s="17"/>
      <c r="P213" s="17"/>
      <c r="Q213" s="1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7"/>
      <c r="O214" s="17"/>
      <c r="P214" s="17"/>
      <c r="Q214" s="1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7"/>
      <c r="O215" s="17"/>
      <c r="P215" s="17"/>
      <c r="Q215" s="1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7"/>
      <c r="O216" s="17"/>
      <c r="P216" s="17"/>
      <c r="Q216" s="1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7"/>
      <c r="O217" s="17"/>
      <c r="P217" s="17"/>
      <c r="Q217" s="1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7"/>
      <c r="O218" s="17"/>
      <c r="P218" s="17"/>
      <c r="Q218" s="1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7"/>
      <c r="O219" s="17"/>
      <c r="P219" s="17"/>
      <c r="Q219" s="1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7"/>
      <c r="O220" s="17"/>
      <c r="P220" s="17"/>
      <c r="Q220" s="1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7"/>
      <c r="O221" s="17"/>
      <c r="P221" s="17"/>
      <c r="Q221" s="1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7"/>
      <c r="O222" s="17"/>
      <c r="P222" s="17"/>
      <c r="Q222" s="1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7"/>
      <c r="O223" s="17"/>
      <c r="P223" s="17"/>
      <c r="Q223" s="1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7"/>
      <c r="O224" s="17"/>
      <c r="P224" s="17"/>
      <c r="Q224" s="1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7"/>
      <c r="O225" s="17"/>
      <c r="P225" s="17"/>
      <c r="Q225" s="1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7"/>
      <c r="O226" s="17"/>
      <c r="P226" s="17"/>
      <c r="Q226" s="1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7"/>
      <c r="O227" s="17"/>
      <c r="P227" s="17"/>
      <c r="Q227" s="1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7"/>
      <c r="O228" s="17"/>
      <c r="P228" s="17"/>
      <c r="Q228" s="1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7"/>
      <c r="O229" s="17"/>
      <c r="P229" s="17"/>
      <c r="Q229" s="1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7"/>
      <c r="O230" s="17"/>
      <c r="P230" s="17"/>
      <c r="Q230" s="1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Q1"/>
    <mergeCell ref="A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U26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59" t="s">
        <v>462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60" t="s">
        <v>463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4"/>
      <c r="O6" s="54"/>
      <c r="P6" s="54"/>
      <c r="Q6" s="54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464</v>
      </c>
      <c r="B7" s="1" t="s">
        <v>46</v>
      </c>
      <c r="C7" s="18">
        <f>'Raw Financials'!C57</f>
        <v>5067.2474819999998</v>
      </c>
      <c r="D7" s="18">
        <f>'Raw Financials'!D57</f>
        <v>4802</v>
      </c>
      <c r="E7" s="18">
        <f>'Raw Financials'!E57</f>
        <v>4500</v>
      </c>
      <c r="F7" s="18">
        <f>'Raw Financials'!F57</f>
        <v>4191</v>
      </c>
      <c r="G7" s="18">
        <f>'Raw Financials'!G57</f>
        <v>4013</v>
      </c>
      <c r="H7" s="18">
        <f>'Raw Financials'!H57</f>
        <v>0</v>
      </c>
      <c r="I7" s="18">
        <f>'Raw Financials'!I57</f>
        <v>4452</v>
      </c>
      <c r="J7" s="18">
        <f>'Raw Financials'!J57</f>
        <v>4455</v>
      </c>
      <c r="K7" s="18">
        <f>'Raw Financials'!K57</f>
        <v>4470</v>
      </c>
      <c r="L7" s="18">
        <f>'Raw Financials'!L57</f>
        <v>7682</v>
      </c>
      <c r="M7" s="18">
        <f>'Raw Financials'!M57</f>
        <v>9425</v>
      </c>
      <c r="N7" s="25">
        <f>'Acquisition &amp; Debt'!C23+('Annual P&amp;L'!N7-'Quarterly P&amp;L'!AU6)*Assumptions!C38*(1-Assumptions!C39)-('Annual P&amp;L'!N18-'Quarterly P&amp;L'!AU17)*Assumptions!C40</f>
        <v>16363.910455454701</v>
      </c>
      <c r="O7" s="25">
        <f>N7+'Annual P&amp;L'!O7*Assumptions!D38*(1-Assumptions!D39)-'Annual P&amp;L'!O18*Assumptions!D40</f>
        <v>17803.706662101529</v>
      </c>
      <c r="P7" s="25">
        <f>O7+'Annual P&amp;L'!P7*Assumptions!E38*(1-Assumptions!E39)-'Annual P&amp;L'!P18*Assumptions!E40</f>
        <v>19522.421490144039</v>
      </c>
      <c r="Q7" s="25">
        <f>P7+'Annual P&amp;L'!Q7*Assumptions!F38*(1-Assumptions!F39)-'Annual P&amp;L'!Q18*Assumptions!F40</f>
        <v>22265.030623724037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331</v>
      </c>
      <c r="B8" s="1" t="s">
        <v>46</v>
      </c>
      <c r="C8" s="18">
        <f>'Raw Financials'!C58</f>
        <v>0</v>
      </c>
      <c r="D8" s="18">
        <f>'Raw Financials'!D58</f>
        <v>0</v>
      </c>
      <c r="E8" s="18">
        <f>'Raw Financials'!E58</f>
        <v>0</v>
      </c>
      <c r="F8" s="18">
        <f>'Raw Financials'!F58</f>
        <v>0</v>
      </c>
      <c r="G8" s="18">
        <f>'Raw Financials'!G58</f>
        <v>37</v>
      </c>
      <c r="H8" s="18">
        <f>'Raw Financials'!H58</f>
        <v>614</v>
      </c>
      <c r="I8" s="18">
        <f>'Raw Financials'!I58</f>
        <v>1476</v>
      </c>
      <c r="J8" s="18">
        <f>'Raw Financials'!J58</f>
        <v>2365</v>
      </c>
      <c r="K8" s="18">
        <f>'Raw Financials'!K58</f>
        <v>2927</v>
      </c>
      <c r="L8" s="18">
        <f>'Raw Financials'!L58</f>
        <v>3554</v>
      </c>
      <c r="M8" s="18">
        <f>'Raw Financials'!M58</f>
        <v>3056</v>
      </c>
      <c r="N8" s="25">
        <f>0</f>
        <v>0</v>
      </c>
      <c r="O8" s="25">
        <f>0</f>
        <v>0</v>
      </c>
      <c r="P8" s="25">
        <f>0</f>
        <v>0</v>
      </c>
      <c r="Q8" s="25">
        <f>0</f>
        <v>0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332</v>
      </c>
      <c r="B9" s="1" t="s">
        <v>46</v>
      </c>
      <c r="C9" s="18">
        <f>'Raw Financials'!C59</f>
        <v>167.30215100000001</v>
      </c>
      <c r="D9" s="18">
        <f>'Raw Financials'!D59</f>
        <v>0</v>
      </c>
      <c r="E9" s="18">
        <f>'Raw Financials'!E59</f>
        <v>3</v>
      </c>
      <c r="F9" s="18">
        <f>'Raw Financials'!F59</f>
        <v>14</v>
      </c>
      <c r="G9" s="18">
        <f>'Raw Financials'!G59</f>
        <v>3</v>
      </c>
      <c r="H9" s="18">
        <f>'Raw Financials'!H59</f>
        <v>2</v>
      </c>
      <c r="I9" s="18">
        <f>'Raw Financials'!I59</f>
        <v>86</v>
      </c>
      <c r="J9" s="18">
        <f>'Raw Financials'!J59</f>
        <v>46</v>
      </c>
      <c r="K9" s="18">
        <f>'Raw Financials'!K59</f>
        <v>232</v>
      </c>
      <c r="L9" s="18">
        <f>'Raw Financials'!L59</f>
        <v>24</v>
      </c>
      <c r="M9" s="18">
        <f>'Raw Financials'!M59</f>
        <v>33</v>
      </c>
      <c r="N9" s="25">
        <f>0</f>
        <v>0</v>
      </c>
      <c r="O9" s="25">
        <f>0</f>
        <v>0</v>
      </c>
      <c r="P9" s="25">
        <f>0</f>
        <v>0</v>
      </c>
      <c r="Q9" s="25">
        <f>0</f>
        <v>0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333</v>
      </c>
      <c r="B10" s="1" t="s">
        <v>46</v>
      </c>
      <c r="C10" s="18">
        <f>'Raw Financials'!C60</f>
        <v>0</v>
      </c>
      <c r="D10" s="18">
        <f>'Raw Financials'!D60</f>
        <v>1848</v>
      </c>
      <c r="E10" s="18">
        <f>'Raw Financials'!E60</f>
        <v>2430</v>
      </c>
      <c r="F10" s="18">
        <f>'Raw Financials'!F60</f>
        <v>2448</v>
      </c>
      <c r="G10" s="18">
        <f>'Raw Financials'!G60</f>
        <v>4091</v>
      </c>
      <c r="H10" s="18">
        <f>'Raw Financials'!H60</f>
        <v>4226</v>
      </c>
      <c r="I10" s="18">
        <f>'Raw Financials'!I60</f>
        <v>10708</v>
      </c>
      <c r="J10" s="18">
        <f>'Raw Financials'!J60</f>
        <v>11665</v>
      </c>
      <c r="K10" s="18">
        <f>'Raw Financials'!K60</f>
        <v>11738</v>
      </c>
      <c r="L10" s="18">
        <f>'Raw Financials'!L60</f>
        <v>38430</v>
      </c>
      <c r="M10" s="18">
        <f>'Raw Financials'!M60</f>
        <v>41671</v>
      </c>
      <c r="N10" s="25">
        <f>'Acquisition &amp; Debt'!C24</f>
        <v>163729</v>
      </c>
      <c r="O10" s="25">
        <f>N10</f>
        <v>163729</v>
      </c>
      <c r="P10" s="25">
        <f>O10</f>
        <v>163729</v>
      </c>
      <c r="Q10" s="25">
        <f>P10</f>
        <v>163729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334</v>
      </c>
      <c r="B11" s="1" t="s">
        <v>46</v>
      </c>
      <c r="C11" s="18">
        <f>'Raw Financials'!C61</f>
        <v>3137.310309</v>
      </c>
      <c r="D11" s="18">
        <f>'Raw Financials'!D61</f>
        <v>1826</v>
      </c>
      <c r="E11" s="18">
        <f>'Raw Financials'!E61</f>
        <v>1863</v>
      </c>
      <c r="F11" s="18">
        <f>'Raw Financials'!F61</f>
        <v>1548</v>
      </c>
      <c r="G11" s="18">
        <f>'Raw Financials'!G61</f>
        <v>1897</v>
      </c>
      <c r="H11" s="18">
        <f>'Raw Financials'!H61</f>
        <v>1464</v>
      </c>
      <c r="I11" s="18">
        <f>'Raw Financials'!I61</f>
        <v>4031</v>
      </c>
      <c r="J11" s="18">
        <f>'Raw Financials'!J61</f>
        <v>4634</v>
      </c>
      <c r="K11" s="18">
        <f>'Raw Financials'!K61</f>
        <v>4395</v>
      </c>
      <c r="L11" s="18">
        <f>'Raw Financials'!L61</f>
        <v>11296</v>
      </c>
      <c r="M11" s="18">
        <f>'Raw Financials'!M61</f>
        <v>13443</v>
      </c>
      <c r="N11" s="25">
        <f>'Acquisition &amp; Debt'!C25+('Annual P&amp;L'!N7-'Quarterly P&amp;L'!AU6)*Assumptions!C38*Assumptions!C39-('Annual P&amp;L'!N18-'Quarterly P&amp;L'!AU17)*Assumptions!C41</f>
        <v>53249.061708181303</v>
      </c>
      <c r="O11" s="25">
        <f>N11+'Annual P&amp;L'!O7*Assumptions!D38*Assumptions!D39-'Annual P&amp;L'!O18*Assumptions!D41</f>
        <v>47695.562053972099</v>
      </c>
      <c r="P11" s="25">
        <f>O11+'Annual P&amp;L'!P7*Assumptions!E38*Assumptions!E39-'Annual P&amp;L'!P18*Assumptions!E41</f>
        <v>41171.838029251609</v>
      </c>
      <c r="Q11" s="25">
        <f>P11+'Annual P&amp;L'!Q7*Assumptions!F38*Assumptions!F39-'Annual P&amp;L'!Q18*Assumptions!F41</f>
        <v>33858.213673038284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465</v>
      </c>
      <c r="B12" s="1" t="s">
        <v>46</v>
      </c>
      <c r="C12" s="18">
        <f>SUM('Raw Financials'!C62,'Raw Financials'!C63,'Raw Financials'!C64)</f>
        <v>1.2E-4</v>
      </c>
      <c r="D12" s="18">
        <f>SUM('Raw Financials'!D62,'Raw Financials'!D63,'Raw Financials'!D64)</f>
        <v>205</v>
      </c>
      <c r="E12" s="18">
        <f>SUM('Raw Financials'!E62,'Raw Financials'!E63,'Raw Financials'!E64)</f>
        <v>354</v>
      </c>
      <c r="F12" s="18">
        <f>SUM('Raw Financials'!F62,'Raw Financials'!F63,'Raw Financials'!F64)</f>
        <v>288</v>
      </c>
      <c r="G12" s="18">
        <f>SUM('Raw Financials'!G62,'Raw Financials'!G63,'Raw Financials'!G64)</f>
        <v>660</v>
      </c>
      <c r="H12" s="18">
        <f>SUM('Raw Financials'!H62,'Raw Financials'!H63,'Raw Financials'!H64)</f>
        <v>1829</v>
      </c>
      <c r="I12" s="18">
        <f>SUM('Raw Financials'!I62,'Raw Financials'!I63,'Raw Financials'!I64)</f>
        <v>2117</v>
      </c>
      <c r="J12" s="18">
        <f>SUM('Raw Financials'!J62,'Raw Financials'!J63,'Raw Financials'!J64)</f>
        <v>2251</v>
      </c>
      <c r="K12" s="18">
        <f>SUM('Raw Financials'!K62,'Raw Financials'!K63,'Raw Financials'!K64)</f>
        <v>2054</v>
      </c>
      <c r="L12" s="18">
        <f>SUM('Raw Financials'!L62,'Raw Financials'!L63,'Raw Financials'!L64)</f>
        <v>4804</v>
      </c>
      <c r="M12" s="18">
        <f>SUM('Raw Financials'!M62,'Raw Financials'!M63,'Raw Financials'!M64)</f>
        <v>9457</v>
      </c>
      <c r="N12" s="25">
        <f>0</f>
        <v>0</v>
      </c>
      <c r="O12" s="25">
        <f>0</f>
        <v>0</v>
      </c>
      <c r="P12" s="25">
        <f>0</f>
        <v>0</v>
      </c>
      <c r="Q12" s="25">
        <f>0</f>
        <v>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338</v>
      </c>
      <c r="B13" s="1" t="s">
        <v>46</v>
      </c>
      <c r="C13" s="18">
        <f>'Raw Financials'!C65</f>
        <v>258.73942499999998</v>
      </c>
      <c r="D13" s="18">
        <f>'Raw Financials'!D65</f>
        <v>971</v>
      </c>
      <c r="E13" s="18">
        <f>'Raw Financials'!E65</f>
        <v>1231</v>
      </c>
      <c r="F13" s="18">
        <f>'Raw Financials'!F65</f>
        <v>1032</v>
      </c>
      <c r="G13" s="18">
        <f>'Raw Financials'!G65</f>
        <v>1302</v>
      </c>
      <c r="H13" s="18">
        <f>'Raw Financials'!H65</f>
        <v>0</v>
      </c>
      <c r="I13" s="18">
        <f>'Raw Financials'!I65</f>
        <v>2736</v>
      </c>
      <c r="J13" s="18">
        <f>'Raw Financials'!J65</f>
        <v>3757</v>
      </c>
      <c r="K13" s="18">
        <f>'Raw Financials'!K65</f>
        <v>5583</v>
      </c>
      <c r="L13" s="18">
        <f>'Raw Financials'!L65</f>
        <v>5470</v>
      </c>
      <c r="M13" s="18">
        <f>'Raw Financials'!M65</f>
        <v>6870</v>
      </c>
      <c r="N13" s="25">
        <f>'Annual P&amp;L'!N7*Assumptions!C33</f>
        <v>9140.95096104</v>
      </c>
      <c r="O13" s="25">
        <f>'Annual P&amp;L'!O7*Assumptions!D33</f>
        <v>11165.766500526437</v>
      </c>
      <c r="P13" s="25">
        <f>'Annual P&amp;L'!P7*Assumptions!E33</f>
        <v>13306.17931387749</v>
      </c>
      <c r="Q13" s="25">
        <f>'Annual P&amp;L'!Q7*Assumptions!F33</f>
        <v>15541.451756953318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339</v>
      </c>
      <c r="B14" s="1" t="s">
        <v>46</v>
      </c>
      <c r="C14" s="18">
        <f>'Raw Financials'!C66</f>
        <v>0</v>
      </c>
      <c r="D14" s="18">
        <f>'Raw Financials'!D66</f>
        <v>0</v>
      </c>
      <c r="E14" s="18">
        <f>'Raw Financials'!E66</f>
        <v>0</v>
      </c>
      <c r="F14" s="18">
        <f>'Raw Financials'!F66</f>
        <v>0</v>
      </c>
      <c r="G14" s="18">
        <f>'Raw Financials'!G66</f>
        <v>0</v>
      </c>
      <c r="H14" s="18">
        <f>'Raw Financials'!H66</f>
        <v>0</v>
      </c>
      <c r="I14" s="18">
        <f>'Raw Financials'!I66</f>
        <v>607</v>
      </c>
      <c r="J14" s="18">
        <f>'Raw Financials'!J66</f>
        <v>233</v>
      </c>
      <c r="K14" s="18">
        <f>'Raw Financials'!K66</f>
        <v>285</v>
      </c>
      <c r="L14" s="18">
        <f>'Raw Financials'!L66</f>
        <v>119</v>
      </c>
      <c r="M14" s="18">
        <f>'Raw Financials'!M66</f>
        <v>7</v>
      </c>
      <c r="N14" s="25">
        <f>0</f>
        <v>0</v>
      </c>
      <c r="O14" s="25">
        <f>0</f>
        <v>0</v>
      </c>
      <c r="P14" s="25">
        <f>0</f>
        <v>0</v>
      </c>
      <c r="Q14" s="25">
        <f>0</f>
        <v>0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340</v>
      </c>
      <c r="B15" s="1" t="s">
        <v>46</v>
      </c>
      <c r="C15" s="18">
        <f>'Raw Financials'!C67</f>
        <v>1086.302533</v>
      </c>
      <c r="D15" s="18">
        <f>'Raw Financials'!D67</f>
        <v>120</v>
      </c>
      <c r="E15" s="18">
        <f>'Raw Financials'!E67</f>
        <v>134</v>
      </c>
      <c r="F15" s="18">
        <f>'Raw Financials'!F67</f>
        <v>77</v>
      </c>
      <c r="G15" s="18">
        <f>'Raw Financials'!G67</f>
        <v>140</v>
      </c>
      <c r="H15" s="18">
        <f>'Raw Financials'!H67</f>
        <v>254</v>
      </c>
      <c r="I15" s="18">
        <f>'Raw Financials'!I67</f>
        <v>1045</v>
      </c>
      <c r="J15" s="18">
        <f>'Raw Financials'!J67</f>
        <v>1364</v>
      </c>
      <c r="K15" s="18">
        <f>'Raw Financials'!K67</f>
        <v>3368</v>
      </c>
      <c r="L15" s="18">
        <f>'Raw Financials'!L67</f>
        <v>5913</v>
      </c>
      <c r="M15" s="18">
        <f>'Raw Financials'!M67</f>
        <v>5801</v>
      </c>
      <c r="N15" s="25">
        <f>'Annual P&amp;L'!N7*Assumptions!C32</f>
        <v>5713.0943506500007</v>
      </c>
      <c r="O15" s="25">
        <f>'Annual P&amp;L'!O7*Assumptions!D32</f>
        <v>7052.0630529640657</v>
      </c>
      <c r="P15" s="25">
        <f>'Annual P&amp;L'!P7*Assumptions!E32</f>
        <v>8501.1701171995082</v>
      </c>
      <c r="Q15" s="25">
        <f>'Annual P&amp;L'!Q7*Assumptions!F32</f>
        <v>10056.233489793321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29" t="s">
        <v>341</v>
      </c>
      <c r="B16" s="27" t="s">
        <v>46</v>
      </c>
      <c r="C16" s="28">
        <f>'Raw Financials'!C68</f>
        <v>9716.9019000000008</v>
      </c>
      <c r="D16" s="28">
        <f>'Raw Financials'!D68</f>
        <v>9772</v>
      </c>
      <c r="E16" s="28">
        <f>'Raw Financials'!E68</f>
        <v>10519</v>
      </c>
      <c r="F16" s="28">
        <f>'Raw Financials'!F68</f>
        <v>9598</v>
      </c>
      <c r="G16" s="28">
        <f>'Raw Financials'!G68</f>
        <v>12888</v>
      </c>
      <c r="H16" s="28">
        <f>'Raw Financials'!H68</f>
        <v>13839</v>
      </c>
      <c r="I16" s="28">
        <f>'Raw Financials'!I68</f>
        <v>27335</v>
      </c>
      <c r="J16" s="28">
        <f>'Raw Financials'!J68</f>
        <v>30770</v>
      </c>
      <c r="K16" s="28">
        <f>'Raw Financials'!K68</f>
        <v>35052</v>
      </c>
      <c r="L16" s="28">
        <f>'Raw Financials'!L68</f>
        <v>77292</v>
      </c>
      <c r="M16" s="28">
        <f>'Raw Financials'!M68</f>
        <v>89756</v>
      </c>
      <c r="N16" s="30">
        <f>SUM(N7:N15)</f>
        <v>248196.01747532602</v>
      </c>
      <c r="O16" s="30">
        <f>SUM(O7:O15)</f>
        <v>247446.09826956413</v>
      </c>
      <c r="P16" s="30">
        <f>SUM(P7:P15)</f>
        <v>246230.60895047264</v>
      </c>
      <c r="Q16" s="30">
        <f>SUM(Q7:Q15)</f>
        <v>245449.92954350897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53" t="s">
        <v>342</v>
      </c>
      <c r="B17" s="53" t="s">
        <v>46</v>
      </c>
      <c r="C17" s="57">
        <f>'Raw Financials'!C69</f>
        <v>2.5472130000000002</v>
      </c>
      <c r="D17" s="57">
        <f>'Raw Financials'!D69</f>
        <v>3</v>
      </c>
      <c r="E17" s="57">
        <f>'Raw Financials'!E69</f>
        <v>3</v>
      </c>
      <c r="F17" s="57">
        <f>'Raw Financials'!F69</f>
        <v>8</v>
      </c>
      <c r="G17" s="57">
        <f>'Raw Financials'!G69</f>
        <v>0</v>
      </c>
      <c r="H17" s="57">
        <f>'Raw Financials'!H69</f>
        <v>0</v>
      </c>
      <c r="I17" s="57">
        <f>'Raw Financials'!I69</f>
        <v>0</v>
      </c>
      <c r="J17" s="57">
        <f>'Raw Financials'!J69</f>
        <v>0</v>
      </c>
      <c r="K17" s="57">
        <f>'Raw Financials'!K69</f>
        <v>0</v>
      </c>
      <c r="L17" s="57">
        <f>'Raw Financials'!L69</f>
        <v>0</v>
      </c>
      <c r="M17" s="57">
        <f>'Raw Financials'!M69</f>
        <v>0</v>
      </c>
      <c r="N17" s="58">
        <f>0</f>
        <v>0</v>
      </c>
      <c r="O17" s="58">
        <f>0</f>
        <v>0</v>
      </c>
      <c r="P17" s="58">
        <f>0</f>
        <v>0</v>
      </c>
      <c r="Q17" s="58">
        <f>0</f>
        <v>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466</v>
      </c>
      <c r="B18" s="1" t="s">
        <v>46</v>
      </c>
      <c r="C18" s="18">
        <f>'Raw Financials'!C70</f>
        <v>0</v>
      </c>
      <c r="D18" s="18">
        <f>'Raw Financials'!D70</f>
        <v>0</v>
      </c>
      <c r="E18" s="18">
        <f>'Raw Financials'!E70</f>
        <v>0</v>
      </c>
      <c r="F18" s="18">
        <f>'Raw Financials'!F70</f>
        <v>0</v>
      </c>
      <c r="G18" s="18">
        <f>'Raw Financials'!G70</f>
        <v>0</v>
      </c>
      <c r="H18" s="18">
        <f>'Raw Financials'!H70</f>
        <v>0</v>
      </c>
      <c r="I18" s="18">
        <f>'Raw Financials'!I70</f>
        <v>1184</v>
      </c>
      <c r="J18" s="18">
        <f>'Raw Financials'!J70</f>
        <v>1512</v>
      </c>
      <c r="K18" s="18">
        <f>'Raw Financials'!K70</f>
        <v>1791</v>
      </c>
      <c r="L18" s="18">
        <f>'Raw Financials'!L70</f>
        <v>2426</v>
      </c>
      <c r="M18" s="18">
        <f>'Raw Financials'!M70</f>
        <v>3339</v>
      </c>
      <c r="N18" s="25">
        <f>'Annual P&amp;L'!N7/365*Assumptions!C28</f>
        <v>24417.608731545206</v>
      </c>
      <c r="O18" s="25">
        <f>'Annual P&amp;L'!O7/365*Assumptions!D28</f>
        <v>29786.111068455528</v>
      </c>
      <c r="P18" s="25">
        <f>'Annual P&amp;L'!P7/365*Assumptions!E28</f>
        <v>35442.638963905039</v>
      </c>
      <c r="Q18" s="25">
        <f>'Annual P&amp;L'!Q7/365*Assumptions!F28</f>
        <v>41326.986944356118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344</v>
      </c>
      <c r="B19" s="1" t="s">
        <v>46</v>
      </c>
      <c r="C19" s="18">
        <f>'Raw Financials'!C71</f>
        <v>740</v>
      </c>
      <c r="D19" s="18">
        <f>'Raw Financials'!D71</f>
        <v>3158</v>
      </c>
      <c r="E19" s="18">
        <f>'Raw Financials'!E71</f>
        <v>3652</v>
      </c>
      <c r="F19" s="18">
        <f>'Raw Financials'!F71</f>
        <v>3651</v>
      </c>
      <c r="G19" s="18">
        <f>'Raw Financials'!G71</f>
        <v>137</v>
      </c>
      <c r="H19" s="18">
        <f>'Raw Financials'!H71</f>
        <v>124</v>
      </c>
      <c r="I19" s="18">
        <f>'Raw Financials'!I71</f>
        <v>5</v>
      </c>
      <c r="J19" s="18">
        <f>'Raw Financials'!J71</f>
        <v>0</v>
      </c>
      <c r="K19" s="18">
        <f>'Raw Financials'!K71</f>
        <v>0</v>
      </c>
      <c r="L19" s="18">
        <f>'Raw Financials'!L71</f>
        <v>5</v>
      </c>
      <c r="M19" s="18">
        <f>'Raw Financials'!M71</f>
        <v>5</v>
      </c>
      <c r="N19" s="25">
        <f>0</f>
        <v>0</v>
      </c>
      <c r="O19" s="25">
        <f>0</f>
        <v>0</v>
      </c>
      <c r="P19" s="25">
        <f>0</f>
        <v>0</v>
      </c>
      <c r="Q19" s="25">
        <f>0</f>
        <v>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345</v>
      </c>
      <c r="B20" s="1" t="s">
        <v>46</v>
      </c>
      <c r="C20" s="18">
        <f>'Raw Financials'!C72</f>
        <v>5900.595542</v>
      </c>
      <c r="D20" s="18">
        <f>'Raw Financials'!D72</f>
        <v>4903</v>
      </c>
      <c r="E20" s="18">
        <f>'Raw Financials'!E72</f>
        <v>5858</v>
      </c>
      <c r="F20" s="18">
        <f>'Raw Financials'!F72</f>
        <v>5877</v>
      </c>
      <c r="G20" s="18">
        <f>'Raw Financials'!G72</f>
        <v>8565</v>
      </c>
      <c r="H20" s="18">
        <f>'Raw Financials'!H72</f>
        <v>8895</v>
      </c>
      <c r="I20" s="18">
        <f>'Raw Financials'!I72</f>
        <v>13894</v>
      </c>
      <c r="J20" s="18">
        <f>'Raw Financials'!J72</f>
        <v>16131</v>
      </c>
      <c r="K20" s="18">
        <f>'Raw Financials'!K72</f>
        <v>18039</v>
      </c>
      <c r="L20" s="18">
        <f>'Raw Financials'!L72</f>
        <v>25771</v>
      </c>
      <c r="M20" s="18">
        <f>'Raw Financials'!M72</f>
        <v>39700</v>
      </c>
      <c r="N20" s="25">
        <f>'Annual P&amp;L'!N7/365*Assumptions!C27</f>
        <v>40696.014552575347</v>
      </c>
      <c r="O20" s="25">
        <f>'Annual P&amp;L'!O7/365*Assumptions!D27</f>
        <v>51521.921848139289</v>
      </c>
      <c r="P20" s="25">
        <f>'Annual P&amp;L'!P7/365*Assumptions!E27</f>
        <v>63796.750135029069</v>
      </c>
      <c r="Q20" s="25">
        <f>'Annual P&amp;L'!Q7/365*Assumptions!F27</f>
        <v>77644.642137881194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346</v>
      </c>
      <c r="B21" s="1" t="s">
        <v>46</v>
      </c>
      <c r="C21" s="18">
        <f>'Raw Financials'!C73</f>
        <v>2878.627262</v>
      </c>
      <c r="D21" s="18">
        <f>'Raw Financials'!D73</f>
        <v>3502</v>
      </c>
      <c r="E21" s="18">
        <f>'Raw Financials'!E73</f>
        <v>4102</v>
      </c>
      <c r="F21" s="18">
        <f>'Raw Financials'!F73</f>
        <v>5079</v>
      </c>
      <c r="G21" s="18">
        <f>'Raw Financials'!G73</f>
        <v>8195</v>
      </c>
      <c r="H21" s="18">
        <f>'Raw Financials'!H73</f>
        <v>7999</v>
      </c>
      <c r="I21" s="18">
        <f>'Raw Financials'!I73</f>
        <v>4468</v>
      </c>
      <c r="J21" s="18">
        <f>'Raw Financials'!J73</f>
        <v>5699</v>
      </c>
      <c r="K21" s="18">
        <f>'Raw Financials'!K73</f>
        <v>3213</v>
      </c>
      <c r="L21" s="18">
        <f>'Raw Financials'!L73</f>
        <v>7956</v>
      </c>
      <c r="M21" s="18">
        <f>'Raw Financials'!M73</f>
        <v>10936</v>
      </c>
      <c r="N21" s="25">
        <f>'Annual Cash Flow'!N41</f>
        <v>13436.218905427551</v>
      </c>
      <c r="O21" s="25">
        <f>'Annual Cash Flow'!O41</f>
        <v>8327.861789081715</v>
      </c>
      <c r="P21" s="25">
        <f>'Annual Cash Flow'!P41</f>
        <v>3716.7486665003271</v>
      </c>
      <c r="Q21" s="25">
        <f>'Annual Cash Flow'!Q41</f>
        <v>29969.931113009337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467</v>
      </c>
      <c r="B22" s="1" t="s">
        <v>46</v>
      </c>
      <c r="C22" s="11">
        <v>0</v>
      </c>
      <c r="D22" s="11">
        <v>0</v>
      </c>
      <c r="E22" s="11">
        <v>0</v>
      </c>
      <c r="F22" s="11">
        <v>115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25">
        <f>0</f>
        <v>0</v>
      </c>
      <c r="O22" s="25">
        <f>0</f>
        <v>0</v>
      </c>
      <c r="P22" s="25">
        <f>0</f>
        <v>0</v>
      </c>
      <c r="Q22" s="25">
        <f>0</f>
        <v>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347</v>
      </c>
      <c r="B23" s="1" t="s">
        <v>46</v>
      </c>
      <c r="C23" s="18">
        <f>'Raw Financials'!C74</f>
        <v>483.324412</v>
      </c>
      <c r="D23" s="18">
        <f>'Raw Financials'!D74</f>
        <v>573</v>
      </c>
      <c r="E23" s="18">
        <f>'Raw Financials'!E74</f>
        <v>81</v>
      </c>
      <c r="F23" s="18">
        <f>'Raw Financials'!F74</f>
        <v>497</v>
      </c>
      <c r="G23" s="18">
        <f>'Raw Financials'!G74</f>
        <v>839</v>
      </c>
      <c r="H23" s="18">
        <f>'Raw Financials'!H74</f>
        <v>123</v>
      </c>
      <c r="I23" s="18">
        <f>'Raw Financials'!I74</f>
        <v>67</v>
      </c>
      <c r="J23" s="18">
        <f>'Raw Financials'!J74</f>
        <v>88</v>
      </c>
      <c r="K23" s="18">
        <f>'Raw Financials'!K74</f>
        <v>139</v>
      </c>
      <c r="L23" s="18">
        <f>'Raw Financials'!L74</f>
        <v>876</v>
      </c>
      <c r="M23" s="18">
        <f>'Raw Financials'!M74</f>
        <v>56</v>
      </c>
      <c r="N23" s="25">
        <f>'Annual P&amp;L'!N7*Assumptions!C31</f>
        <v>0</v>
      </c>
      <c r="O23" s="25">
        <f>'Annual P&amp;L'!O7*Assumptions!D31</f>
        <v>0</v>
      </c>
      <c r="P23" s="25">
        <f>'Annual P&amp;L'!P7*Assumptions!E31</f>
        <v>0</v>
      </c>
      <c r="Q23" s="25">
        <f>'Annual P&amp;L'!Q7*Assumptions!F31</f>
        <v>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348</v>
      </c>
      <c r="B24" s="1" t="s">
        <v>46</v>
      </c>
      <c r="C24" s="18">
        <f>'Raw Financials'!C75</f>
        <v>0</v>
      </c>
      <c r="D24" s="18">
        <f>'Raw Financials'!D75</f>
        <v>1155</v>
      </c>
      <c r="E24" s="18">
        <f>'Raw Financials'!E75</f>
        <v>828</v>
      </c>
      <c r="F24" s="18">
        <f>'Raw Financials'!F75</f>
        <v>1549</v>
      </c>
      <c r="G24" s="18">
        <f>'Raw Financials'!G75</f>
        <v>2427</v>
      </c>
      <c r="H24" s="18">
        <f>'Raw Financials'!H75</f>
        <v>2717</v>
      </c>
      <c r="I24" s="18">
        <f>'Raw Financials'!I75</f>
        <v>662</v>
      </c>
      <c r="J24" s="18">
        <f>'Raw Financials'!J75</f>
        <v>187</v>
      </c>
      <c r="K24" s="18">
        <f>'Raw Financials'!K75</f>
        <v>178</v>
      </c>
      <c r="L24" s="18">
        <f>'Raw Financials'!L75</f>
        <v>535</v>
      </c>
      <c r="M24" s="18">
        <f>'Raw Financials'!M75</f>
        <v>118</v>
      </c>
      <c r="N24" s="25">
        <f>0</f>
        <v>0</v>
      </c>
      <c r="O24" s="25">
        <f>0</f>
        <v>0</v>
      </c>
      <c r="P24" s="25">
        <f>0</f>
        <v>0</v>
      </c>
      <c r="Q24" s="25">
        <f>0</f>
        <v>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349</v>
      </c>
      <c r="B25" s="1" t="s">
        <v>46</v>
      </c>
      <c r="C25" s="18">
        <f>'Raw Financials'!C76</f>
        <v>0</v>
      </c>
      <c r="D25" s="18">
        <f>'Raw Financials'!D76</f>
        <v>624</v>
      </c>
      <c r="E25" s="18">
        <f>'Raw Financials'!E76</f>
        <v>650</v>
      </c>
      <c r="F25" s="18">
        <f>'Raw Financials'!F76</f>
        <v>203</v>
      </c>
      <c r="G25" s="18">
        <f>'Raw Financials'!G76</f>
        <v>411</v>
      </c>
      <c r="H25" s="18">
        <f>'Raw Financials'!H76</f>
        <v>358</v>
      </c>
      <c r="I25" s="18">
        <f>'Raw Financials'!I76</f>
        <v>0</v>
      </c>
      <c r="J25" s="18">
        <f>'Raw Financials'!J76</f>
        <v>0</v>
      </c>
      <c r="K25" s="18">
        <f>'Raw Financials'!K76</f>
        <v>0</v>
      </c>
      <c r="L25" s="18">
        <f>'Raw Financials'!L76</f>
        <v>0</v>
      </c>
      <c r="M25" s="18">
        <f>'Raw Financials'!M76</f>
        <v>0</v>
      </c>
      <c r="N25" s="25">
        <f>0</f>
        <v>0</v>
      </c>
      <c r="O25" s="25">
        <f>0</f>
        <v>0</v>
      </c>
      <c r="P25" s="25">
        <f>0</f>
        <v>0</v>
      </c>
      <c r="Q25" s="25">
        <f>0</f>
        <v>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468</v>
      </c>
      <c r="B26" s="1" t="s">
        <v>46</v>
      </c>
      <c r="C26" s="18">
        <f>'Raw Financials'!C77</f>
        <v>2769.2552839999998</v>
      </c>
      <c r="D26" s="18">
        <f>'Raw Financials'!D77</f>
        <v>958</v>
      </c>
      <c r="E26" s="18">
        <f>'Raw Financials'!E77</f>
        <v>1005</v>
      </c>
      <c r="F26" s="18">
        <f>'Raw Financials'!F77</f>
        <v>1136</v>
      </c>
      <c r="G26" s="18">
        <f>'Raw Financials'!G77</f>
        <v>936</v>
      </c>
      <c r="H26" s="18">
        <f>'Raw Financials'!H77</f>
        <v>1079</v>
      </c>
      <c r="I26" s="18">
        <f>'Raw Financials'!I77</f>
        <v>1934</v>
      </c>
      <c r="J26" s="18">
        <f>'Raw Financials'!J77</f>
        <v>2447</v>
      </c>
      <c r="K26" s="18">
        <f>'Raw Financials'!K77</f>
        <v>2665</v>
      </c>
      <c r="L26" s="18">
        <f>'Raw Financials'!L77</f>
        <v>4487</v>
      </c>
      <c r="M26" s="18">
        <f>'Raw Financials'!M77</f>
        <v>4909</v>
      </c>
      <c r="N26" s="25">
        <f>'Annual P&amp;L'!N7*(Assumptions!C29+Assumptions!C30)</f>
        <v>12568.807571429999</v>
      </c>
      <c r="O26" s="25">
        <f>'Annual P&amp;L'!O7*(Assumptions!D29+Assumptions!D30)</f>
        <v>15279.469948088808</v>
      </c>
      <c r="P26" s="25">
        <f>'Annual P&amp;L'!P7*(Assumptions!E29+Assumptions!E30)</f>
        <v>18111.188510555476</v>
      </c>
      <c r="Q26" s="25">
        <f>'Annual P&amp;L'!Q7*(Assumptions!F29+Assumptions!F30)</f>
        <v>21026.670024113311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53" t="s">
        <v>469</v>
      </c>
      <c r="B27" s="53" t="s">
        <v>46</v>
      </c>
      <c r="C27" s="57">
        <f>'Raw Financials'!C80-'Raw Financials'!C68-'Raw Financials'!C78</f>
        <v>1.2000000060652383E-4</v>
      </c>
      <c r="D27" s="57">
        <f>'Raw Financials'!D80-'Raw Financials'!D68-'Raw Financials'!D78</f>
        <v>0</v>
      </c>
      <c r="E27" s="57">
        <f>'Raw Financials'!E80-'Raw Financials'!E68-'Raw Financials'!E78</f>
        <v>0</v>
      </c>
      <c r="F27" s="57">
        <f>'Raw Financials'!F80-'Raw Financials'!F68-'Raw Financials'!F78</f>
        <v>1144</v>
      </c>
      <c r="G27" s="57">
        <f>'Raw Financials'!G80-'Raw Financials'!G68-'Raw Financials'!G78</f>
        <v>0</v>
      </c>
      <c r="H27" s="57">
        <f>'Raw Financials'!H80-'Raw Financials'!H68-'Raw Financials'!H78</f>
        <v>0</v>
      </c>
      <c r="I27" s="57">
        <f>'Raw Financials'!I80-'Raw Financials'!I68-'Raw Financials'!I78</f>
        <v>0</v>
      </c>
      <c r="J27" s="57">
        <f>'Raw Financials'!J80-'Raw Financials'!J68-'Raw Financials'!J78</f>
        <v>0</v>
      </c>
      <c r="K27" s="57">
        <f>'Raw Financials'!K80-'Raw Financials'!K68-'Raw Financials'!K78</f>
        <v>0</v>
      </c>
      <c r="L27" s="57">
        <f>'Raw Financials'!L80-'Raw Financials'!L68-'Raw Financials'!L78</f>
        <v>4107</v>
      </c>
      <c r="M27" s="57">
        <f>'Raw Financials'!M80-'Raw Financials'!M68-'Raw Financials'!M78</f>
        <v>0</v>
      </c>
      <c r="N27" s="58">
        <f>0</f>
        <v>0</v>
      </c>
      <c r="O27" s="58">
        <f>0</f>
        <v>0</v>
      </c>
      <c r="P27" s="58">
        <f>0</f>
        <v>0</v>
      </c>
      <c r="Q27" s="58">
        <f>0</f>
        <v>0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29" t="s">
        <v>351</v>
      </c>
      <c r="B28" s="27" t="s">
        <v>46</v>
      </c>
      <c r="C28" s="28">
        <f>'Raw Financials'!C78</f>
        <v>12774.349713</v>
      </c>
      <c r="D28" s="28">
        <f>'Raw Financials'!D78</f>
        <v>14876</v>
      </c>
      <c r="E28" s="28">
        <f>'Raw Financials'!E78</f>
        <v>16179</v>
      </c>
      <c r="F28" s="28">
        <f>'Raw Financials'!F78</f>
        <v>17992</v>
      </c>
      <c r="G28" s="28">
        <f>'Raw Financials'!G78</f>
        <v>21510</v>
      </c>
      <c r="H28" s="28">
        <f>'Raw Financials'!H78</f>
        <v>21295</v>
      </c>
      <c r="I28" s="28">
        <f>'Raw Financials'!I78</f>
        <v>22209</v>
      </c>
      <c r="J28" s="28">
        <f>'Raw Financials'!J78</f>
        <v>26064</v>
      </c>
      <c r="K28" s="28">
        <f>'Raw Financials'!K78</f>
        <v>26025</v>
      </c>
      <c r="L28" s="28">
        <f>'Raw Financials'!L78</f>
        <v>43508</v>
      </c>
      <c r="M28" s="28">
        <f>'Raw Financials'!M78</f>
        <v>59058</v>
      </c>
      <c r="N28" s="30">
        <f>SUM(N17:N27)</f>
        <v>91118.649760978093</v>
      </c>
      <c r="O28" s="30">
        <f>SUM(O17:O27)</f>
        <v>104915.36465376534</v>
      </c>
      <c r="P28" s="30">
        <f>SUM(P17:P27)</f>
        <v>121067.32627598991</v>
      </c>
      <c r="Q28" s="30">
        <f>SUM(Q17:Q27)</f>
        <v>169968.23021935998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29" t="s">
        <v>353</v>
      </c>
      <c r="B29" s="27" t="s">
        <v>46</v>
      </c>
      <c r="C29" s="28">
        <f>'Raw Financials'!C80</f>
        <v>22491.251733000001</v>
      </c>
      <c r="D29" s="28">
        <f>'Raw Financials'!D80</f>
        <v>24648</v>
      </c>
      <c r="E29" s="28">
        <f>'Raw Financials'!E80</f>
        <v>26698</v>
      </c>
      <c r="F29" s="28">
        <f>'Raw Financials'!F80</f>
        <v>28734</v>
      </c>
      <c r="G29" s="28">
        <f>'Raw Financials'!G80</f>
        <v>34398</v>
      </c>
      <c r="H29" s="28">
        <f>'Raw Financials'!H80</f>
        <v>35134</v>
      </c>
      <c r="I29" s="28">
        <f>'Raw Financials'!I80</f>
        <v>49544</v>
      </c>
      <c r="J29" s="28">
        <f>'Raw Financials'!J80</f>
        <v>56834</v>
      </c>
      <c r="K29" s="28">
        <f>'Raw Financials'!K80</f>
        <v>61077</v>
      </c>
      <c r="L29" s="28">
        <f>'Raw Financials'!L80</f>
        <v>124907</v>
      </c>
      <c r="M29" s="28">
        <f>'Raw Financials'!M80</f>
        <v>148814</v>
      </c>
      <c r="N29" s="30">
        <f>N16+N28</f>
        <v>339314.66723630414</v>
      </c>
      <c r="O29" s="30">
        <f>O16+O28</f>
        <v>352361.46292332944</v>
      </c>
      <c r="P29" s="30">
        <f>P16+P28</f>
        <v>367297.93522646255</v>
      </c>
      <c r="Q29" s="30">
        <f>Q16+Q28</f>
        <v>415418.15976286895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354</v>
      </c>
      <c r="B30" s="1" t="s">
        <v>46</v>
      </c>
      <c r="C30" s="18">
        <f>'Raw Financials'!C81</f>
        <v>611.86523999999997</v>
      </c>
      <c r="D30" s="18">
        <f>'Raw Financials'!D81</f>
        <v>614</v>
      </c>
      <c r="E30" s="18">
        <f>'Raw Financials'!E81</f>
        <v>615</v>
      </c>
      <c r="F30" s="18">
        <f>'Raw Financials'!F81</f>
        <v>618</v>
      </c>
      <c r="G30" s="18">
        <f>'Raw Financials'!G81</f>
        <v>625</v>
      </c>
      <c r="H30" s="18">
        <f>'Raw Financials'!H81</f>
        <v>606</v>
      </c>
      <c r="I30" s="18">
        <f>'Raw Financials'!I81</f>
        <v>609</v>
      </c>
      <c r="J30" s="18">
        <f>'Raw Financials'!J81</f>
        <v>611</v>
      </c>
      <c r="K30" s="18">
        <f>'Raw Financials'!K81</f>
        <v>618</v>
      </c>
      <c r="L30" s="18">
        <f>'Raw Financials'!L81</f>
        <v>669</v>
      </c>
      <c r="M30" s="18">
        <f>'Raw Financials'!M81</f>
        <v>672</v>
      </c>
      <c r="N30" s="25">
        <f>'Acquisition &amp; Debt'!C34</f>
        <v>885</v>
      </c>
      <c r="O30" s="25">
        <f>N30</f>
        <v>885</v>
      </c>
      <c r="P30" s="25">
        <f>O30</f>
        <v>885</v>
      </c>
      <c r="Q30" s="25">
        <f>P30</f>
        <v>885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470</v>
      </c>
      <c r="B31" s="1" t="s">
        <v>46</v>
      </c>
      <c r="C31" s="18">
        <f>'Raw Financials'!C82</f>
        <v>15295.606687</v>
      </c>
      <c r="D31" s="18">
        <f>'Raw Financials'!D82</f>
        <v>16251</v>
      </c>
      <c r="E31" s="18">
        <f>'Raw Financials'!E82</f>
        <v>17125</v>
      </c>
      <c r="F31" s="18">
        <f>'Raw Financials'!F82</f>
        <v>105</v>
      </c>
      <c r="G31" s="18">
        <f>'Raw Financials'!G82</f>
        <v>23340</v>
      </c>
      <c r="H31" s="18">
        <f>'Raw Financials'!H82</f>
        <v>24041</v>
      </c>
      <c r="I31" s="18">
        <f>'Raw Financials'!I82</f>
        <v>26722</v>
      </c>
      <c r="J31" s="18">
        <f>'Raw Financials'!J82</f>
        <v>30214</v>
      </c>
      <c r="K31" s="18">
        <f>'Raw Financials'!K82</f>
        <v>35648</v>
      </c>
      <c r="L31" s="18">
        <f>'Raw Financials'!L82</f>
        <v>63123</v>
      </c>
      <c r="M31" s="18">
        <f>'Raw Financials'!M82</f>
        <v>94704</v>
      </c>
      <c r="N31" s="25">
        <f>'Acquisition &amp; Debt'!C35+('Annual P&amp;L'!N30-'Quarterly P&amp;L'!AU28)+('Annual P&amp;L'!N15-'Quarterly P&amp;L'!AU14)-'Annual P&amp;L'!N36+Assumptions!C63</f>
        <v>227896.77316549883</v>
      </c>
      <c r="O31" s="25">
        <f>N31+'Annual P&amp;L'!O30+'Annual P&amp;L'!O15-'Annual P&amp;L'!O36+Assumptions!D63</f>
        <v>251379.86122999867</v>
      </c>
      <c r="P31" s="25">
        <f>O31+'Annual P&amp;L'!P30+'Annual P&amp;L'!P15-'Annual P&amp;L'!P36+Assumptions!E63</f>
        <v>282391.81174004509</v>
      </c>
      <c r="Q31" s="25">
        <f>P31+'Annual P&amp;L'!Q30+'Annual P&amp;L'!Q15-'Annual P&amp;L'!Q36+Assumptions!F63</f>
        <v>322175.06265025836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29" t="s">
        <v>356</v>
      </c>
      <c r="B32" s="27" t="s">
        <v>46</v>
      </c>
      <c r="C32" s="28">
        <f>'Raw Financials'!C83</f>
        <v>15907.471927000001</v>
      </c>
      <c r="D32" s="28">
        <f>'Raw Financials'!D83</f>
        <v>16865</v>
      </c>
      <c r="E32" s="28">
        <f>'Raw Financials'!E83</f>
        <v>17740</v>
      </c>
      <c r="F32" s="28">
        <f>'Raw Financials'!F83</f>
        <v>723</v>
      </c>
      <c r="G32" s="28">
        <f>'Raw Financials'!G83</f>
        <v>23965</v>
      </c>
      <c r="H32" s="28">
        <f>'Raw Financials'!H83</f>
        <v>24647</v>
      </c>
      <c r="I32" s="28">
        <f>'Raw Financials'!I83</f>
        <v>27331</v>
      </c>
      <c r="J32" s="28">
        <f>'Raw Financials'!J83</f>
        <v>30825</v>
      </c>
      <c r="K32" s="28">
        <f>'Raw Financials'!K83</f>
        <v>36266</v>
      </c>
      <c r="L32" s="28">
        <f>'Raw Financials'!L83</f>
        <v>63792</v>
      </c>
      <c r="M32" s="28">
        <f>'Raw Financials'!M83</f>
        <v>95376</v>
      </c>
      <c r="N32" s="30">
        <f>N30+N31</f>
        <v>228781.77316549883</v>
      </c>
      <c r="O32" s="30">
        <f>O30+O31</f>
        <v>252264.86122999867</v>
      </c>
      <c r="P32" s="30">
        <f>P30+P31</f>
        <v>283276.81174004509</v>
      </c>
      <c r="Q32" s="30">
        <f>Q30+Q31</f>
        <v>323060.06265025836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272</v>
      </c>
      <c r="B33" s="1" t="s">
        <v>46</v>
      </c>
      <c r="C33" s="18">
        <f>'Raw Financials'!C84</f>
        <v>645.16793099999995</v>
      </c>
      <c r="D33" s="18">
        <f>'Raw Financials'!D84</f>
        <v>237</v>
      </c>
      <c r="E33" s="18">
        <f>'Raw Financials'!E84</f>
        <v>222</v>
      </c>
      <c r="F33" s="18">
        <f>'Raw Financials'!F84</f>
        <v>75</v>
      </c>
      <c r="G33" s="18">
        <f>'Raw Financials'!G84</f>
        <v>14</v>
      </c>
      <c r="H33" s="18">
        <f>'Raw Financials'!H84</f>
        <v>14</v>
      </c>
      <c r="I33" s="18">
        <f>'Raw Financials'!I84</f>
        <v>12</v>
      </c>
      <c r="J33" s="18">
        <f>'Raw Financials'!J84</f>
        <v>874</v>
      </c>
      <c r="K33" s="18">
        <f>'Raw Financials'!K84</f>
        <v>1003</v>
      </c>
      <c r="L33" s="18">
        <f>'Raw Financials'!L84</f>
        <v>19498</v>
      </c>
      <c r="M33" s="18">
        <f>'Raw Financials'!M84</f>
        <v>1430</v>
      </c>
      <c r="N33" s="25">
        <f>'Acquisition &amp; Debt'!C36+('Annual P&amp;L'!N29-'Quarterly P&amp;L'!AU27)-'Annual P&amp;L'!N29*Assumptions!C45</f>
        <v>1792.629242227315</v>
      </c>
      <c r="O33" s="25">
        <f>N33+'Annual P&amp;L'!O29-'Annual P&amp;L'!O29*Assumptions!D45</f>
        <v>2160.1431559541975</v>
      </c>
      <c r="P33" s="25">
        <f>O33+'Annual P&amp;L'!P29-'Annual P&amp;L'!P29*Assumptions!E45</f>
        <v>2493.9066560438387</v>
      </c>
      <c r="Q33" s="25">
        <f>P33+'Annual P&amp;L'!Q29-'Annual P&amp;L'!Q29*Assumptions!F45</f>
        <v>2930.4125355664528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29" t="s">
        <v>357</v>
      </c>
      <c r="B34" s="27" t="s">
        <v>46</v>
      </c>
      <c r="C34" s="28">
        <f>'Raw Financials'!C85</f>
        <v>16552.639857999999</v>
      </c>
      <c r="D34" s="28">
        <f>'Raw Financials'!D85</f>
        <v>17102</v>
      </c>
      <c r="E34" s="28">
        <f>'Raw Financials'!E85</f>
        <v>17962</v>
      </c>
      <c r="F34" s="28">
        <f>'Raw Financials'!F85</f>
        <v>20798</v>
      </c>
      <c r="G34" s="28">
        <f>'Raw Financials'!G85</f>
        <v>23965</v>
      </c>
      <c r="H34" s="28">
        <f>'Raw Financials'!H85</f>
        <v>24661</v>
      </c>
      <c r="I34" s="28">
        <f>'Raw Financials'!I85</f>
        <v>28314</v>
      </c>
      <c r="J34" s="28">
        <f>'Raw Financials'!J85</f>
        <v>31699</v>
      </c>
      <c r="K34" s="28">
        <f>'Raw Financials'!K85</f>
        <v>37269</v>
      </c>
      <c r="L34" s="28">
        <f>'Raw Financials'!L85</f>
        <v>83290</v>
      </c>
      <c r="M34" s="28">
        <f>'Raw Financials'!M85</f>
        <v>96806</v>
      </c>
      <c r="N34" s="30">
        <f>N32+N33</f>
        <v>230574.40240772616</v>
      </c>
      <c r="O34" s="30">
        <f>O32+O33</f>
        <v>254425.00438595287</v>
      </c>
      <c r="P34" s="30">
        <f>P32+P33</f>
        <v>285770.71839608892</v>
      </c>
      <c r="Q34" s="30">
        <f>Q32+Q33</f>
        <v>325990.47518582479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358</v>
      </c>
      <c r="B35" s="1" t="s">
        <v>46</v>
      </c>
      <c r="C35" s="18">
        <f>'Raw Financials'!C86</f>
        <v>63.791705999999998</v>
      </c>
      <c r="D35" s="18">
        <f>'Raw Financials'!D86</f>
        <v>74</v>
      </c>
      <c r="E35" s="18">
        <f>'Raw Financials'!E86</f>
        <v>179</v>
      </c>
      <c r="F35" s="18">
        <f>'Raw Financials'!F86</f>
        <v>100</v>
      </c>
      <c r="G35" s="18">
        <f>'Raw Financials'!G86</f>
        <v>48</v>
      </c>
      <c r="H35" s="18">
        <f>'Raw Financials'!H86</f>
        <v>5</v>
      </c>
      <c r="I35" s="18">
        <f>'Raw Financials'!I86</f>
        <v>3365</v>
      </c>
      <c r="J35" s="18">
        <f>'Raw Financials'!J86</f>
        <v>3382</v>
      </c>
      <c r="K35" s="18">
        <f>'Raw Financials'!K86</f>
        <v>3399</v>
      </c>
      <c r="L35" s="18">
        <f>'Raw Financials'!L86</f>
        <v>67</v>
      </c>
      <c r="M35" s="18">
        <f>'Raw Financials'!M86</f>
        <v>1167</v>
      </c>
      <c r="N35" s="25">
        <f>0</f>
        <v>0</v>
      </c>
      <c r="O35" s="25">
        <f>0</f>
        <v>0</v>
      </c>
      <c r="P35" s="25">
        <f>0</f>
        <v>0</v>
      </c>
      <c r="Q35" s="25">
        <f>0</f>
        <v>0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359</v>
      </c>
      <c r="B36" s="1" t="s">
        <v>46</v>
      </c>
      <c r="C36" s="18">
        <f>'Raw Financials'!C87</f>
        <v>0</v>
      </c>
      <c r="D36" s="18">
        <f>'Raw Financials'!D87</f>
        <v>0</v>
      </c>
      <c r="E36" s="18">
        <f>'Raw Financials'!E87</f>
        <v>0</v>
      </c>
      <c r="F36" s="18">
        <f>'Raw Financials'!F87</f>
        <v>0</v>
      </c>
      <c r="G36" s="18">
        <f>'Raw Financials'!G87</f>
        <v>0</v>
      </c>
      <c r="H36" s="18">
        <f>'Raw Financials'!H87</f>
        <v>0</v>
      </c>
      <c r="I36" s="18">
        <f>'Raw Financials'!I87</f>
        <v>0</v>
      </c>
      <c r="J36" s="18">
        <f>'Raw Financials'!J87</f>
        <v>0</v>
      </c>
      <c r="K36" s="18">
        <f>'Raw Financials'!K87</f>
        <v>2317</v>
      </c>
      <c r="L36" s="18">
        <f>'Raw Financials'!L87</f>
        <v>2735</v>
      </c>
      <c r="M36" s="18">
        <f>'Raw Financials'!M87</f>
        <v>2187</v>
      </c>
      <c r="N36" s="25">
        <f>0</f>
        <v>0</v>
      </c>
      <c r="O36" s="25">
        <f>0</f>
        <v>0</v>
      </c>
      <c r="P36" s="25">
        <f>0</f>
        <v>0</v>
      </c>
      <c r="Q36" s="25">
        <f>0</f>
        <v>0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471</v>
      </c>
      <c r="B37" s="1" t="s">
        <v>46</v>
      </c>
      <c r="C37" s="18">
        <f>SUM('Raw Financials'!C88,'Raw Financials'!C89)</f>
        <v>0</v>
      </c>
      <c r="D37" s="18">
        <f>SUM('Raw Financials'!D88,'Raw Financials'!D89)</f>
        <v>1556</v>
      </c>
      <c r="E37" s="18">
        <f>SUM('Raw Financials'!E88,'Raw Financials'!E89)</f>
        <v>1483</v>
      </c>
      <c r="F37" s="18">
        <f>SUM('Raw Financials'!F88,'Raw Financials'!F89)</f>
        <v>538</v>
      </c>
      <c r="G37" s="18">
        <f>SUM('Raw Financials'!G88,'Raw Financials'!G89)</f>
        <v>1262</v>
      </c>
      <c r="H37" s="18">
        <f>SUM('Raw Financials'!H88,'Raw Financials'!H89)</f>
        <v>871</v>
      </c>
      <c r="I37" s="18">
        <f>SUM('Raw Financials'!I88,'Raw Financials'!I89)</f>
        <v>377</v>
      </c>
      <c r="J37" s="18">
        <f>SUM('Raw Financials'!J88,'Raw Financials'!J89)</f>
        <v>656</v>
      </c>
      <c r="K37" s="18">
        <f>SUM('Raw Financials'!K88,'Raw Financials'!K89)</f>
        <v>880</v>
      </c>
      <c r="L37" s="18">
        <f>SUM('Raw Financials'!L88,'Raw Financials'!L89)</f>
        <v>5497</v>
      </c>
      <c r="M37" s="18">
        <f>SUM('Raw Financials'!M88,'Raw Financials'!M89)</f>
        <v>6574</v>
      </c>
      <c r="N37" s="25">
        <f>0</f>
        <v>0</v>
      </c>
      <c r="O37" s="25">
        <f>0</f>
        <v>0</v>
      </c>
      <c r="P37" s="25">
        <f>0</f>
        <v>0</v>
      </c>
      <c r="Q37" s="25">
        <f>0</f>
        <v>0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53" t="s">
        <v>362</v>
      </c>
      <c r="B38" s="53" t="s">
        <v>46</v>
      </c>
      <c r="C38" s="57">
        <f>'Raw Financials'!C90</f>
        <v>0</v>
      </c>
      <c r="D38" s="57">
        <f>'Raw Financials'!D90</f>
        <v>858</v>
      </c>
      <c r="E38" s="57">
        <f>'Raw Financials'!E90</f>
        <v>741</v>
      </c>
      <c r="F38" s="57">
        <f>'Raw Financials'!F90</f>
        <v>725</v>
      </c>
      <c r="G38" s="57">
        <f>'Raw Financials'!G90</f>
        <v>593</v>
      </c>
      <c r="H38" s="57">
        <f>'Raw Financials'!H90</f>
        <v>696</v>
      </c>
      <c r="I38" s="57">
        <f>'Raw Financials'!I90</f>
        <v>14</v>
      </c>
      <c r="J38" s="57">
        <f>'Raw Financials'!J90</f>
        <v>1276</v>
      </c>
      <c r="K38" s="57">
        <f>'Raw Financials'!K90</f>
        <v>1304</v>
      </c>
      <c r="L38" s="57">
        <f>'Raw Financials'!L90</f>
        <v>1743</v>
      </c>
      <c r="M38" s="57">
        <f>'Raw Financials'!M90</f>
        <v>3189</v>
      </c>
      <c r="N38" s="58">
        <f>0</f>
        <v>0</v>
      </c>
      <c r="O38" s="58">
        <f>0</f>
        <v>0</v>
      </c>
      <c r="P38" s="58">
        <f>0</f>
        <v>0</v>
      </c>
      <c r="Q38" s="58">
        <f>0</f>
        <v>0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 t="s">
        <v>363</v>
      </c>
      <c r="B39" s="1" t="s">
        <v>46</v>
      </c>
      <c r="C39" s="18">
        <f>'Raw Financials'!C91</f>
        <v>0</v>
      </c>
      <c r="D39" s="18">
        <f>'Raw Financials'!D91</f>
        <v>387</v>
      </c>
      <c r="E39" s="18">
        <f>'Raw Financials'!E91</f>
        <v>455</v>
      </c>
      <c r="F39" s="18">
        <f>'Raw Financials'!F91</f>
        <v>395</v>
      </c>
      <c r="G39" s="18">
        <f>'Raw Financials'!G91</f>
        <v>397</v>
      </c>
      <c r="H39" s="18">
        <f>'Raw Financials'!H91</f>
        <v>0</v>
      </c>
      <c r="I39" s="18">
        <f>'Raw Financials'!I91</f>
        <v>766</v>
      </c>
      <c r="J39" s="18">
        <f>'Raw Financials'!J91</f>
        <v>583</v>
      </c>
      <c r="K39" s="18">
        <f>'Raw Financials'!K91</f>
        <v>466</v>
      </c>
      <c r="L39" s="18">
        <f>'Raw Financials'!L91</f>
        <v>2184</v>
      </c>
      <c r="M39" s="18">
        <f>'Raw Financials'!M91</f>
        <v>353</v>
      </c>
      <c r="N39" s="25">
        <f>'Annual P&amp;L'!N7*Assumptions!C37</f>
        <v>9597.9985090919999</v>
      </c>
      <c r="O39" s="25">
        <f>'Annual P&amp;L'!O7*Assumptions!D37</f>
        <v>11165.766500526437</v>
      </c>
      <c r="P39" s="25">
        <f>'Annual P&amp;L'!P7*Assumptions!E37</f>
        <v>12566.947129773187</v>
      </c>
      <c r="Q39" s="25">
        <f>'Annual P&amp;L'!Q7*Assumptions!F37</f>
        <v>13713.045667899985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 t="s">
        <v>472</v>
      </c>
      <c r="B40" s="1" t="s">
        <v>46</v>
      </c>
      <c r="C40" s="18">
        <f>'Raw Financials'!C92</f>
        <v>0</v>
      </c>
      <c r="D40" s="18">
        <f>'Raw Financials'!D92</f>
        <v>82</v>
      </c>
      <c r="E40" s="18">
        <f>'Raw Financials'!E92</f>
        <v>17</v>
      </c>
      <c r="F40" s="18">
        <f>'Raw Financials'!F92</f>
        <v>12</v>
      </c>
      <c r="G40" s="18">
        <f>'Raw Financials'!G92</f>
        <v>17</v>
      </c>
      <c r="H40" s="18">
        <f>'Raw Financials'!H92</f>
        <v>17</v>
      </c>
      <c r="I40" s="18">
        <f>'Raw Financials'!I92</f>
        <v>51</v>
      </c>
      <c r="J40" s="18">
        <f>'Raw Financials'!J92</f>
        <v>59</v>
      </c>
      <c r="K40" s="18">
        <f>'Raw Financials'!K92</f>
        <v>127</v>
      </c>
      <c r="L40" s="18">
        <f>'Raw Financials'!L92</f>
        <v>1591</v>
      </c>
      <c r="M40" s="18">
        <f>'Raw Financials'!M92</f>
        <v>1844</v>
      </c>
      <c r="N40" s="25">
        <f>'Acquisition &amp; Debt'!C40*(1-Assumptions!C46)</f>
        <v>1888.5</v>
      </c>
      <c r="O40" s="25">
        <f>N40*(1-Assumptions!D46)</f>
        <v>1321.9499999999998</v>
      </c>
      <c r="P40" s="25">
        <f>O40*(1-Assumptions!E46)</f>
        <v>859.26749999999993</v>
      </c>
      <c r="Q40" s="25">
        <f>P40*(1-Assumptions!F46)</f>
        <v>0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29" t="s">
        <v>365</v>
      </c>
      <c r="B41" s="27" t="s">
        <v>46</v>
      </c>
      <c r="C41" s="28">
        <f>'Raw Financials'!C93</f>
        <v>911.72297000000003</v>
      </c>
      <c r="D41" s="28">
        <f>'Raw Financials'!D93</f>
        <v>2957</v>
      </c>
      <c r="E41" s="28">
        <f>'Raw Financials'!E93</f>
        <v>2889</v>
      </c>
      <c r="F41" s="28">
        <f>'Raw Financials'!F93</f>
        <v>1770</v>
      </c>
      <c r="G41" s="28">
        <f>'Raw Financials'!G93</f>
        <v>2491</v>
      </c>
      <c r="H41" s="28">
        <f>'Raw Financials'!H93</f>
        <v>2048</v>
      </c>
      <c r="I41" s="28">
        <f>'Raw Financials'!I93</f>
        <v>9438</v>
      </c>
      <c r="J41" s="28">
        <f>'Raw Financials'!J93</f>
        <v>7742</v>
      </c>
      <c r="K41" s="28">
        <f>'Raw Financials'!K93</f>
        <v>8493</v>
      </c>
      <c r="L41" s="28">
        <f>'Raw Financials'!L93</f>
        <v>13817</v>
      </c>
      <c r="M41" s="28">
        <f>'Raw Financials'!M93</f>
        <v>15314</v>
      </c>
      <c r="N41" s="30">
        <f>SUM(N35:N40)</f>
        <v>11486.498509092</v>
      </c>
      <c r="O41" s="30">
        <f>SUM(O35:O40)</f>
        <v>12487.716500526436</v>
      </c>
      <c r="P41" s="30">
        <f>SUM(P35:P40)</f>
        <v>13426.214629773187</v>
      </c>
      <c r="Q41" s="30">
        <f>SUM(Q35:Q40)</f>
        <v>13713.045667899985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 t="s">
        <v>366</v>
      </c>
      <c r="B42" s="1" t="s">
        <v>46</v>
      </c>
      <c r="C42" s="18">
        <f>'Raw Financials'!C94</f>
        <v>0</v>
      </c>
      <c r="D42" s="18">
        <f>'Raw Financials'!D94</f>
        <v>0</v>
      </c>
      <c r="E42" s="18">
        <f>'Raw Financials'!E94</f>
        <v>0</v>
      </c>
      <c r="F42" s="18">
        <f>'Raw Financials'!F94</f>
        <v>0</v>
      </c>
      <c r="G42" s="18">
        <f>'Raw Financials'!G94</f>
        <v>0</v>
      </c>
      <c r="H42" s="18">
        <f>'Raw Financials'!H94</f>
        <v>0</v>
      </c>
      <c r="I42" s="18">
        <f>'Raw Financials'!I94</f>
        <v>180</v>
      </c>
      <c r="J42" s="18">
        <f>'Raw Financials'!J94</f>
        <v>13</v>
      </c>
      <c r="K42" s="18">
        <f>'Raw Financials'!K94</f>
        <v>13</v>
      </c>
      <c r="L42" s="18">
        <f>'Raw Financials'!L94</f>
        <v>6938</v>
      </c>
      <c r="M42" s="18">
        <f>'Raw Financials'!M94</f>
        <v>2830</v>
      </c>
      <c r="N42" s="25">
        <f>'Acquisition &amp; Debt'!C21</f>
        <v>46060</v>
      </c>
      <c r="O42" s="25">
        <f>'Acquisition &amp; Debt'!D21</f>
        <v>25650</v>
      </c>
      <c r="P42" s="25">
        <f>'Acquisition &amp; Debt'!E21</f>
        <v>0</v>
      </c>
      <c r="Q42" s="25">
        <f>'Acquisition &amp; Debt'!F21</f>
        <v>0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 t="s">
        <v>367</v>
      </c>
      <c r="B43" s="1" t="s">
        <v>46</v>
      </c>
      <c r="C43" s="18">
        <f>'Raw Financials'!C95</f>
        <v>0</v>
      </c>
      <c r="D43" s="18">
        <f>'Raw Financials'!D95</f>
        <v>0</v>
      </c>
      <c r="E43" s="18">
        <f>'Raw Financials'!E95</f>
        <v>0</v>
      </c>
      <c r="F43" s="18">
        <f>'Raw Financials'!F95</f>
        <v>0</v>
      </c>
      <c r="G43" s="18">
        <f>'Raw Financials'!G95</f>
        <v>0</v>
      </c>
      <c r="H43" s="18">
        <f>'Raw Financials'!H95</f>
        <v>0</v>
      </c>
      <c r="I43" s="18">
        <f>'Raw Financials'!I95</f>
        <v>0</v>
      </c>
      <c r="J43" s="18">
        <f>'Raw Financials'!J95</f>
        <v>0</v>
      </c>
      <c r="K43" s="18">
        <f>'Raw Financials'!K95</f>
        <v>577</v>
      </c>
      <c r="L43" s="18">
        <f>'Raw Financials'!L95</f>
        <v>964</v>
      </c>
      <c r="M43" s="18">
        <f>'Raw Financials'!M95</f>
        <v>1094</v>
      </c>
      <c r="N43" s="25">
        <f>'Acquisition &amp; Debt'!C41*(1-Assumptions!C42)+'Annual P&amp;L'!N7*Assumptions!C43</f>
        <v>4117.8688701299998</v>
      </c>
      <c r="O43" s="25">
        <f>N43*(1-Assumptions!D42)+'Annual P&amp;L'!O7*Assumptions!D43</f>
        <v>4557.5814552983466</v>
      </c>
      <c r="P43" s="25">
        <f>O43*(1-Assumptions!E42)+'Annual P&amp;L'!P7*Assumptions!E43</f>
        <v>5266.2665517345231</v>
      </c>
      <c r="Q43" s="25">
        <f>P43*(1-Assumptions!F42)+'Annual P&amp;L'!Q7*Assumptions!F43</f>
        <v>6235.2075251175565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 t="s">
        <v>473</v>
      </c>
      <c r="B44" s="1" t="s">
        <v>46</v>
      </c>
      <c r="C44" s="18">
        <f>SUM('Raw Financials'!C96,'Raw Financials'!C97)</f>
        <v>1654.2020170000001</v>
      </c>
      <c r="D44" s="18">
        <f>SUM('Raw Financials'!D96,'Raw Financials'!D97)</f>
        <v>2271</v>
      </c>
      <c r="E44" s="18">
        <f>SUM('Raw Financials'!E96,'Raw Financials'!E97)</f>
        <v>3186</v>
      </c>
      <c r="F44" s="18">
        <f>SUM('Raw Financials'!F96,'Raw Financials'!F97)</f>
        <v>3234</v>
      </c>
      <c r="G44" s="18">
        <f>SUM('Raw Financials'!G96,'Raw Financials'!G97)</f>
        <v>5040</v>
      </c>
      <c r="H44" s="18">
        <f>SUM('Raw Financials'!H96,'Raw Financials'!H97)</f>
        <v>4593</v>
      </c>
      <c r="I44" s="18">
        <f>SUM('Raw Financials'!I96,'Raw Financials'!I97)</f>
        <v>8558</v>
      </c>
      <c r="J44" s="18">
        <f>SUM('Raw Financials'!J96,'Raw Financials'!J97)</f>
        <v>13858</v>
      </c>
      <c r="K44" s="18">
        <f>SUM('Raw Financials'!K96,'Raw Financials'!K97)</f>
        <v>10437</v>
      </c>
      <c r="L44" s="18">
        <f>SUM('Raw Financials'!L96,'Raw Financials'!L97)</f>
        <v>14437</v>
      </c>
      <c r="M44" s="18">
        <f>SUM('Raw Financials'!M96,'Raw Financials'!M97)</f>
        <v>24942</v>
      </c>
      <c r="N44" s="25">
        <f>'Annual P&amp;L'!N7*Assumptions!C36</f>
        <v>35421.184974030002</v>
      </c>
      <c r="O44" s="25">
        <f>'Annual P&amp;L'!O7*Assumptions!D36</f>
        <v>41137.034475623717</v>
      </c>
      <c r="P44" s="25">
        <f>'Annual P&amp;L'!P7*Assumptions!E36</f>
        <v>46202.011506519069</v>
      </c>
      <c r="Q44" s="25">
        <f>'Annual P&amp;L'!Q7*Assumptions!F36</f>
        <v>50281.167448966611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 t="s">
        <v>370</v>
      </c>
      <c r="B45" s="1" t="s">
        <v>46</v>
      </c>
      <c r="C45" s="18">
        <f>'Raw Financials'!C98</f>
        <v>1340.9938830000001</v>
      </c>
      <c r="D45" s="18">
        <f>'Raw Financials'!D98</f>
        <v>642</v>
      </c>
      <c r="E45" s="18">
        <f>'Raw Financials'!E98</f>
        <v>709</v>
      </c>
      <c r="F45" s="18">
        <f>'Raw Financials'!F98</f>
        <v>334</v>
      </c>
      <c r="G45" s="18">
        <f>'Raw Financials'!G98</f>
        <v>329</v>
      </c>
      <c r="H45" s="18">
        <f>'Raw Financials'!H98</f>
        <v>225</v>
      </c>
      <c r="I45" s="18">
        <f>'Raw Financials'!I98</f>
        <v>14</v>
      </c>
      <c r="J45" s="18">
        <f>'Raw Financials'!J98</f>
        <v>360</v>
      </c>
      <c r="K45" s="18">
        <f>'Raw Financials'!K98</f>
        <v>417</v>
      </c>
      <c r="L45" s="18">
        <f>'Raw Financials'!L98</f>
        <v>706</v>
      </c>
      <c r="M45" s="18">
        <f>'Raw Financials'!M98</f>
        <v>987</v>
      </c>
      <c r="N45" s="25">
        <f>'Annual P&amp;L'!N7*Assumptions!C35</f>
        <v>6398.6656727279997</v>
      </c>
      <c r="O45" s="25">
        <f>'Annual P&amp;L'!O7*Assumptions!D35</f>
        <v>7639.7349740444033</v>
      </c>
      <c r="P45" s="25">
        <f>'Annual P&amp;L'!P7*Assumptions!E35</f>
        <v>8870.7862092516607</v>
      </c>
      <c r="Q45" s="25">
        <f>'Annual P&amp;L'!Q7*Assumptions!F35</f>
        <v>10056.233489793321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 t="s">
        <v>371</v>
      </c>
      <c r="B46" s="1" t="s">
        <v>46</v>
      </c>
      <c r="C46" s="18">
        <f>'Raw Financials'!C99</f>
        <v>0</v>
      </c>
      <c r="D46" s="18">
        <f>'Raw Financials'!D99</f>
        <v>0</v>
      </c>
      <c r="E46" s="18">
        <f>'Raw Financials'!E99</f>
        <v>0</v>
      </c>
      <c r="F46" s="18">
        <f>'Raw Financials'!F99</f>
        <v>0</v>
      </c>
      <c r="G46" s="18">
        <f>'Raw Financials'!G99</f>
        <v>0</v>
      </c>
      <c r="H46" s="18">
        <f>'Raw Financials'!H99</f>
        <v>0</v>
      </c>
      <c r="I46" s="18">
        <f>'Raw Financials'!I99</f>
        <v>0</v>
      </c>
      <c r="J46" s="18">
        <f>'Raw Financials'!J99</f>
        <v>0</v>
      </c>
      <c r="K46" s="18">
        <f>'Raw Financials'!K99</f>
        <v>0</v>
      </c>
      <c r="L46" s="18">
        <f>'Raw Financials'!L99</f>
        <v>0</v>
      </c>
      <c r="M46" s="18">
        <f>'Raw Financials'!M99</f>
        <v>14</v>
      </c>
      <c r="N46" s="25">
        <f>0</f>
        <v>0</v>
      </c>
      <c r="O46" s="25">
        <f>0</f>
        <v>0</v>
      </c>
      <c r="P46" s="25">
        <f>0</f>
        <v>0</v>
      </c>
      <c r="Q46" s="25">
        <f>0</f>
        <v>0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 t="s">
        <v>474</v>
      </c>
      <c r="B47" s="1" t="s">
        <v>46</v>
      </c>
      <c r="C47" s="18">
        <f>'Raw Financials'!C100</f>
        <v>2031.6930050000001</v>
      </c>
      <c r="D47" s="18">
        <f>'Raw Financials'!D100</f>
        <v>1676</v>
      </c>
      <c r="E47" s="18">
        <f>'Raw Financials'!E100</f>
        <v>1952</v>
      </c>
      <c r="F47" s="18">
        <f>'Raw Financials'!F100</f>
        <v>2265</v>
      </c>
      <c r="G47" s="18">
        <f>'Raw Financials'!G100</f>
        <v>2573</v>
      </c>
      <c r="H47" s="18">
        <f>'Raw Financials'!H100</f>
        <v>3607</v>
      </c>
      <c r="I47" s="18">
        <f>'Raw Financials'!I100</f>
        <v>2324</v>
      </c>
      <c r="J47" s="18">
        <f>'Raw Financials'!J100</f>
        <v>2721</v>
      </c>
      <c r="K47" s="18">
        <f>'Raw Financials'!K100</f>
        <v>2917</v>
      </c>
      <c r="L47" s="18">
        <f>'Raw Financials'!L100</f>
        <v>4330</v>
      </c>
      <c r="M47" s="18">
        <f>'Raw Financials'!M100</f>
        <v>6077</v>
      </c>
      <c r="N47" s="25">
        <f>'Annual P&amp;L'!N7*Assumptions!C34</f>
        <v>5256.0468025979999</v>
      </c>
      <c r="O47" s="25">
        <f>'Annual P&amp;L'!O7*Assumptions!D34</f>
        <v>6464.3911318837263</v>
      </c>
      <c r="P47" s="25">
        <f>'Annual P&amp;L'!P7*Assumptions!E34</f>
        <v>7761.9379330952042</v>
      </c>
      <c r="Q47" s="25">
        <f>'Annual P&amp;L'!Q7*Assumptions!F34</f>
        <v>9142.0304452666569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53" t="s">
        <v>469</v>
      </c>
      <c r="B48" s="53" t="s">
        <v>46</v>
      </c>
      <c r="C48" s="57">
        <f>'Raw Financials'!C80-'Raw Financials'!C85-'Raw Financials'!C103</f>
        <v>0</v>
      </c>
      <c r="D48" s="57">
        <f>'Raw Financials'!D80-'Raw Financials'!D85-'Raw Financials'!D103</f>
        <v>0</v>
      </c>
      <c r="E48" s="57">
        <f>'Raw Financials'!E80-'Raw Financials'!E85-'Raw Financials'!E103</f>
        <v>0</v>
      </c>
      <c r="F48" s="57">
        <f>'Raw Financials'!F80-'Raw Financials'!F85-'Raw Financials'!F103</f>
        <v>333</v>
      </c>
      <c r="G48" s="57">
        <f>'Raw Financials'!G80-'Raw Financials'!G85-'Raw Financials'!G103</f>
        <v>0</v>
      </c>
      <c r="H48" s="57">
        <f>'Raw Financials'!H80-'Raw Financials'!H85-'Raw Financials'!H103</f>
        <v>0</v>
      </c>
      <c r="I48" s="57">
        <f>'Raw Financials'!I80-'Raw Financials'!I85-'Raw Financials'!I103</f>
        <v>0</v>
      </c>
      <c r="J48" s="57">
        <f>'Raw Financials'!J80-'Raw Financials'!J85-'Raw Financials'!J103</f>
        <v>0</v>
      </c>
      <c r="K48" s="57">
        <f>'Raw Financials'!K80-'Raw Financials'!K85-'Raw Financials'!K103</f>
        <v>0</v>
      </c>
      <c r="L48" s="57">
        <f>'Raw Financials'!L80-'Raw Financials'!L85-'Raw Financials'!L103</f>
        <v>425</v>
      </c>
      <c r="M48" s="57">
        <f>'Raw Financials'!M80-'Raw Financials'!M85-'Raw Financials'!M103</f>
        <v>0</v>
      </c>
      <c r="N48" s="58">
        <f>0</f>
        <v>0</v>
      </c>
      <c r="O48" s="58">
        <f>0</f>
        <v>0</v>
      </c>
      <c r="P48" s="58">
        <f>0</f>
        <v>0</v>
      </c>
      <c r="Q48" s="58">
        <f>0</f>
        <v>0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29" t="s">
        <v>373</v>
      </c>
      <c r="B49" s="27" t="s">
        <v>46</v>
      </c>
      <c r="C49" s="28">
        <f>'Raw Financials'!C101</f>
        <v>5026.8889049999998</v>
      </c>
      <c r="D49" s="28">
        <f>'Raw Financials'!D101</f>
        <v>4589</v>
      </c>
      <c r="E49" s="28">
        <f>'Raw Financials'!E101</f>
        <v>5847</v>
      </c>
      <c r="F49" s="28">
        <f>'Raw Financials'!F101</f>
        <v>5833</v>
      </c>
      <c r="G49" s="28">
        <f>'Raw Financials'!G101</f>
        <v>7942</v>
      </c>
      <c r="H49" s="28">
        <f>'Raw Financials'!H101</f>
        <v>8425</v>
      </c>
      <c r="I49" s="28">
        <f>'Raw Financials'!I101</f>
        <v>11792</v>
      </c>
      <c r="J49" s="28">
        <f>'Raw Financials'!J101</f>
        <v>17393</v>
      </c>
      <c r="K49" s="28">
        <f>'Raw Financials'!K101</f>
        <v>15315</v>
      </c>
      <c r="L49" s="28">
        <f>'Raw Financials'!L101</f>
        <v>27375</v>
      </c>
      <c r="M49" s="28">
        <f>'Raw Financials'!M101</f>
        <v>36694</v>
      </c>
      <c r="N49" s="30">
        <f>SUM(N42:N48)</f>
        <v>97253.766319485992</v>
      </c>
      <c r="O49" s="30">
        <f>SUM(O42:O48)</f>
        <v>85448.742036850192</v>
      </c>
      <c r="P49" s="30">
        <f>SUM(P42:P48)</f>
        <v>68101.002200600458</v>
      </c>
      <c r="Q49" s="30">
        <f>SUM(Q42:Q48)</f>
        <v>75714.638909144152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29" t="s">
        <v>375</v>
      </c>
      <c r="B50" s="27" t="s">
        <v>46</v>
      </c>
      <c r="C50" s="28">
        <f>'Raw Financials'!C103</f>
        <v>5938.6118749999996</v>
      </c>
      <c r="D50" s="28">
        <f>'Raw Financials'!D103</f>
        <v>7546</v>
      </c>
      <c r="E50" s="28">
        <f>'Raw Financials'!E103</f>
        <v>8736</v>
      </c>
      <c r="F50" s="28">
        <f>'Raw Financials'!F103</f>
        <v>7603</v>
      </c>
      <c r="G50" s="28">
        <f>'Raw Financials'!G103</f>
        <v>10433</v>
      </c>
      <c r="H50" s="28">
        <f>'Raw Financials'!H103</f>
        <v>10473</v>
      </c>
      <c r="I50" s="28">
        <f>'Raw Financials'!I103</f>
        <v>21230</v>
      </c>
      <c r="J50" s="28">
        <f>'Raw Financials'!J103</f>
        <v>25135</v>
      </c>
      <c r="K50" s="28">
        <f>'Raw Financials'!K103</f>
        <v>23808</v>
      </c>
      <c r="L50" s="28">
        <f>'Raw Financials'!L103</f>
        <v>41192</v>
      </c>
      <c r="M50" s="28">
        <f>'Raw Financials'!M103</f>
        <v>52008</v>
      </c>
      <c r="N50" s="30">
        <f>N41+N49</f>
        <v>108740.26482857799</v>
      </c>
      <c r="O50" s="30">
        <f>O41+O49</f>
        <v>97936.458537376631</v>
      </c>
      <c r="P50" s="30">
        <f>P41+P49</f>
        <v>81527.21683037364</v>
      </c>
      <c r="Q50" s="30">
        <f>Q41+Q49</f>
        <v>89427.684577044143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29" t="s">
        <v>475</v>
      </c>
      <c r="B51" s="27" t="s">
        <v>46</v>
      </c>
      <c r="C51" s="28">
        <f t="shared" ref="C51:M51" si="0">C34+C50+C48</f>
        <v>22491.251732999997</v>
      </c>
      <c r="D51" s="28">
        <f t="shared" si="0"/>
        <v>24648</v>
      </c>
      <c r="E51" s="28">
        <f t="shared" si="0"/>
        <v>26698</v>
      </c>
      <c r="F51" s="28">
        <f t="shared" si="0"/>
        <v>28734</v>
      </c>
      <c r="G51" s="28">
        <f t="shared" si="0"/>
        <v>34398</v>
      </c>
      <c r="H51" s="28">
        <f t="shared" si="0"/>
        <v>35134</v>
      </c>
      <c r="I51" s="28">
        <f t="shared" si="0"/>
        <v>49544</v>
      </c>
      <c r="J51" s="28">
        <f t="shared" si="0"/>
        <v>56834</v>
      </c>
      <c r="K51" s="28">
        <f t="shared" si="0"/>
        <v>61077</v>
      </c>
      <c r="L51" s="28">
        <f t="shared" si="0"/>
        <v>124907</v>
      </c>
      <c r="M51" s="28">
        <f t="shared" si="0"/>
        <v>148814</v>
      </c>
      <c r="N51" s="30">
        <f>N34+N50</f>
        <v>339314.66723630414</v>
      </c>
      <c r="O51" s="30">
        <f>O34+O50</f>
        <v>352361.4629233295</v>
      </c>
      <c r="P51" s="30">
        <f>P34+P50</f>
        <v>367297.93522646255</v>
      </c>
      <c r="Q51" s="30">
        <f>Q34+Q50</f>
        <v>415418.15976286895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29" t="s">
        <v>476</v>
      </c>
      <c r="B52" s="27" t="s">
        <v>46</v>
      </c>
      <c r="C52" s="28">
        <f t="shared" ref="C52:Q52" si="1">C29-C51</f>
        <v>0</v>
      </c>
      <c r="D52" s="28">
        <f t="shared" si="1"/>
        <v>0</v>
      </c>
      <c r="E52" s="28">
        <f t="shared" si="1"/>
        <v>0</v>
      </c>
      <c r="F52" s="28">
        <f t="shared" si="1"/>
        <v>0</v>
      </c>
      <c r="G52" s="28">
        <f t="shared" si="1"/>
        <v>0</v>
      </c>
      <c r="H52" s="28">
        <f t="shared" si="1"/>
        <v>0</v>
      </c>
      <c r="I52" s="28">
        <f t="shared" si="1"/>
        <v>0</v>
      </c>
      <c r="J52" s="28">
        <f t="shared" si="1"/>
        <v>0</v>
      </c>
      <c r="K52" s="28">
        <f t="shared" si="1"/>
        <v>0</v>
      </c>
      <c r="L52" s="28">
        <f t="shared" si="1"/>
        <v>0</v>
      </c>
      <c r="M52" s="28">
        <f t="shared" si="1"/>
        <v>0</v>
      </c>
      <c r="N52" s="30">
        <f t="shared" si="1"/>
        <v>0</v>
      </c>
      <c r="O52" s="30">
        <f t="shared" si="1"/>
        <v>0</v>
      </c>
      <c r="P52" s="30">
        <f t="shared" si="1"/>
        <v>0</v>
      </c>
      <c r="Q52" s="30">
        <f t="shared" si="1"/>
        <v>0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 t="s">
        <v>477</v>
      </c>
      <c r="B53" s="1" t="s">
        <v>46</v>
      </c>
      <c r="C53" s="18">
        <f>C21+C22-'Annual Cash Flow'!C41</f>
        <v>0</v>
      </c>
      <c r="D53" s="18">
        <f>D21+D22-'Annual Cash Flow'!D41</f>
        <v>0</v>
      </c>
      <c r="E53" s="18">
        <f>E21+E22-'Annual Cash Flow'!E41</f>
        <v>0</v>
      </c>
      <c r="F53" s="18">
        <f>F21+F22-'Annual Cash Flow'!F41</f>
        <v>0</v>
      </c>
      <c r="G53" s="18">
        <f>G21+G22-'Annual Cash Flow'!G41</f>
        <v>0</v>
      </c>
      <c r="H53" s="18">
        <f>H21+H22-'Annual Cash Flow'!H41</f>
        <v>0</v>
      </c>
      <c r="I53" s="18">
        <f>I21+I22-'Annual Cash Flow'!I41</f>
        <v>0</v>
      </c>
      <c r="J53" s="18">
        <f>J21+J22-'Annual Cash Flow'!J41</f>
        <v>0</v>
      </c>
      <c r="K53" s="18">
        <f>K21+K22-'Annual Cash Flow'!K41</f>
        <v>0</v>
      </c>
      <c r="L53" s="18">
        <f>L21+L22-'Annual Cash Flow'!L41</f>
        <v>0</v>
      </c>
      <c r="M53" s="18">
        <f>M21+M22-'Annual Cash Flow'!M41</f>
        <v>0</v>
      </c>
      <c r="N53" s="25">
        <f>N21+N22-'Annual Cash Flow'!N41</f>
        <v>0</v>
      </c>
      <c r="O53" s="25">
        <f>O21+O22-'Annual Cash Flow'!O41</f>
        <v>0</v>
      </c>
      <c r="P53" s="25">
        <f>P21+P22-'Annual Cash Flow'!P41</f>
        <v>0</v>
      </c>
      <c r="Q53" s="25">
        <f>Q21+Q22-'Annual Cash Flow'!Q41</f>
        <v>0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  <c r="O54" s="17"/>
      <c r="P54" s="17"/>
      <c r="Q54" s="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  <c r="O55" s="17"/>
      <c r="P55" s="17"/>
      <c r="Q55" s="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  <c r="O56" s="17"/>
      <c r="P56" s="17"/>
      <c r="Q56" s="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17"/>
      <c r="P57" s="17"/>
      <c r="Q57" s="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  <c r="O58" s="17"/>
      <c r="P58" s="17"/>
      <c r="Q58" s="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  <c r="O60" s="17"/>
      <c r="P60" s="17"/>
      <c r="Q60" s="1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  <c r="O61" s="17"/>
      <c r="P61" s="17"/>
      <c r="Q61" s="1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  <c r="O62" s="17"/>
      <c r="P62" s="17"/>
      <c r="Q62" s="1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  <c r="O63" s="17"/>
      <c r="P63" s="17"/>
      <c r="Q63" s="1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  <c r="O64" s="17"/>
      <c r="P64" s="17"/>
      <c r="Q64" s="1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7"/>
      <c r="O65" s="17"/>
      <c r="P65" s="17"/>
      <c r="Q65" s="1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7"/>
      <c r="O66" s="17"/>
      <c r="P66" s="17"/>
      <c r="Q66" s="1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7"/>
      <c r="O67" s="17"/>
      <c r="P67" s="17"/>
      <c r="Q67" s="1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7"/>
      <c r="O68" s="17"/>
      <c r="P68" s="17"/>
      <c r="Q68" s="1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7"/>
      <c r="O69" s="17"/>
      <c r="P69" s="17"/>
      <c r="Q69" s="1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7"/>
      <c r="O70" s="17"/>
      <c r="P70" s="17"/>
      <c r="Q70" s="1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7"/>
      <c r="O71" s="17"/>
      <c r="P71" s="17"/>
      <c r="Q71" s="17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7"/>
      <c r="O72" s="17"/>
      <c r="P72" s="17"/>
      <c r="Q72" s="17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7"/>
      <c r="O73" s="17"/>
      <c r="P73" s="17"/>
      <c r="Q73" s="1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7"/>
      <c r="O74" s="17"/>
      <c r="P74" s="17"/>
      <c r="Q74" s="1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7"/>
      <c r="O75" s="17"/>
      <c r="P75" s="17"/>
      <c r="Q75" s="17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7"/>
      <c r="O76" s="17"/>
      <c r="P76" s="17"/>
      <c r="Q76" s="17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7"/>
      <c r="O77" s="17"/>
      <c r="P77" s="17"/>
      <c r="Q77" s="17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7"/>
      <c r="O78" s="17"/>
      <c r="P78" s="17"/>
      <c r="Q78" s="1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7"/>
      <c r="O79" s="17"/>
      <c r="P79" s="17"/>
      <c r="Q79" s="1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7"/>
      <c r="O80" s="17"/>
      <c r="P80" s="17"/>
      <c r="Q80" s="17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7"/>
      <c r="O81" s="17"/>
      <c r="P81" s="17"/>
      <c r="Q81" s="17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7"/>
      <c r="O82" s="17"/>
      <c r="P82" s="17"/>
      <c r="Q82" s="17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7"/>
      <c r="O83" s="17"/>
      <c r="P83" s="17"/>
      <c r="Q83" s="17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7"/>
      <c r="O84" s="17"/>
      <c r="P84" s="17"/>
      <c r="Q84" s="1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7"/>
      <c r="O85" s="17"/>
      <c r="P85" s="17"/>
      <c r="Q85" s="17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7"/>
      <c r="O86" s="17"/>
      <c r="P86" s="17"/>
      <c r="Q86" s="17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7"/>
      <c r="O87" s="17"/>
      <c r="P87" s="17"/>
      <c r="Q87" s="17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7"/>
      <c r="O88" s="17"/>
      <c r="P88" s="17"/>
      <c r="Q88" s="17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7"/>
      <c r="O89" s="17"/>
      <c r="P89" s="17"/>
      <c r="Q89" s="1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7"/>
      <c r="O90" s="17"/>
      <c r="P90" s="17"/>
      <c r="Q90" s="1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7"/>
      <c r="O91" s="17"/>
      <c r="P91" s="17"/>
      <c r="Q91" s="17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7"/>
      <c r="O92" s="17"/>
      <c r="P92" s="17"/>
      <c r="Q92" s="17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7"/>
      <c r="O93" s="17"/>
      <c r="P93" s="17"/>
      <c r="Q93" s="1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7"/>
      <c r="O94" s="17"/>
      <c r="P94" s="17"/>
      <c r="Q94" s="1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7"/>
      <c r="O95" s="17"/>
      <c r="P95" s="17"/>
      <c r="Q95" s="17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7"/>
      <c r="O96" s="17"/>
      <c r="P96" s="17"/>
      <c r="Q96" s="17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7"/>
      <c r="O97" s="17"/>
      <c r="P97" s="17"/>
      <c r="Q97" s="17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7"/>
      <c r="O98" s="17"/>
      <c r="P98" s="17"/>
      <c r="Q98" s="1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7"/>
      <c r="O99" s="17"/>
      <c r="P99" s="17"/>
      <c r="Q99" s="1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7"/>
      <c r="O100" s="17"/>
      <c r="P100" s="17"/>
      <c r="Q100" s="17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7"/>
      <c r="O101" s="17"/>
      <c r="P101" s="17"/>
      <c r="Q101" s="17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7"/>
      <c r="O102" s="17"/>
      <c r="P102" s="17"/>
      <c r="Q102" s="17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7"/>
      <c r="O103" s="17"/>
      <c r="P103" s="17"/>
      <c r="Q103" s="1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7"/>
      <c r="O104" s="17"/>
      <c r="P104" s="17"/>
      <c r="Q104" s="1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7"/>
      <c r="O105" s="17"/>
      <c r="P105" s="17"/>
      <c r="Q105" s="17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7"/>
      <c r="O106" s="17"/>
      <c r="P106" s="17"/>
      <c r="Q106" s="17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7"/>
      <c r="O107" s="17"/>
      <c r="P107" s="17"/>
      <c r="Q107" s="1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7"/>
      <c r="O108" s="17"/>
      <c r="P108" s="17"/>
      <c r="Q108" s="17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7"/>
      <c r="O109" s="17"/>
      <c r="P109" s="17"/>
      <c r="Q109" s="1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7"/>
      <c r="O110" s="17"/>
      <c r="P110" s="17"/>
      <c r="Q110" s="17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7"/>
      <c r="O111" s="17"/>
      <c r="P111" s="17"/>
      <c r="Q111" s="17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7"/>
      <c r="O112" s="17"/>
      <c r="P112" s="17"/>
      <c r="Q112" s="1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7"/>
      <c r="O113" s="17"/>
      <c r="P113" s="17"/>
      <c r="Q113" s="1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7"/>
      <c r="O114" s="17"/>
      <c r="P114" s="17"/>
      <c r="Q114" s="1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7"/>
      <c r="O115" s="17"/>
      <c r="P115" s="17"/>
      <c r="Q115" s="17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7"/>
      <c r="O116" s="17"/>
      <c r="P116" s="17"/>
      <c r="Q116" s="17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7"/>
      <c r="O117" s="17"/>
      <c r="P117" s="17"/>
      <c r="Q117" s="17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7"/>
      <c r="O118" s="17"/>
      <c r="P118" s="17"/>
      <c r="Q118" s="1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7"/>
      <c r="O119" s="17"/>
      <c r="P119" s="17"/>
      <c r="Q119" s="17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7"/>
      <c r="O120" s="17"/>
      <c r="P120" s="17"/>
      <c r="Q120" s="17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7"/>
      <c r="O121" s="17"/>
      <c r="P121" s="17"/>
      <c r="Q121" s="17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7"/>
      <c r="O122" s="17"/>
      <c r="P122" s="17"/>
      <c r="Q122" s="1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7"/>
      <c r="O123" s="17"/>
      <c r="P123" s="17"/>
      <c r="Q123" s="1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7"/>
      <c r="O124" s="17"/>
      <c r="P124" s="17"/>
      <c r="Q124" s="1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7"/>
      <c r="O125" s="17"/>
      <c r="P125" s="17"/>
      <c r="Q125" s="1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7"/>
      <c r="O126" s="17"/>
      <c r="P126" s="17"/>
      <c r="Q126" s="1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7"/>
      <c r="O127" s="17"/>
      <c r="P127" s="17"/>
      <c r="Q127" s="1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7"/>
      <c r="O128" s="17"/>
      <c r="P128" s="17"/>
      <c r="Q128" s="1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7"/>
      <c r="O129" s="17"/>
      <c r="P129" s="17"/>
      <c r="Q129" s="1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7"/>
      <c r="O130" s="17"/>
      <c r="P130" s="17"/>
      <c r="Q130" s="1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7"/>
      <c r="O131" s="17"/>
      <c r="P131" s="17"/>
      <c r="Q131" s="1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7"/>
      <c r="O132" s="17"/>
      <c r="P132" s="17"/>
      <c r="Q132" s="1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7"/>
      <c r="O133" s="17"/>
      <c r="P133" s="17"/>
      <c r="Q133" s="1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7"/>
      <c r="O134" s="17"/>
      <c r="P134" s="17"/>
      <c r="Q134" s="1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7"/>
      <c r="O135" s="17"/>
      <c r="P135" s="17"/>
      <c r="Q135" s="1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7"/>
      <c r="O136" s="17"/>
      <c r="P136" s="17"/>
      <c r="Q136" s="1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7"/>
      <c r="O137" s="17"/>
      <c r="P137" s="17"/>
      <c r="Q137" s="1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7"/>
      <c r="O138" s="17"/>
      <c r="P138" s="17"/>
      <c r="Q138" s="1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7"/>
      <c r="O139" s="17"/>
      <c r="P139" s="17"/>
      <c r="Q139" s="1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7"/>
      <c r="O140" s="17"/>
      <c r="P140" s="17"/>
      <c r="Q140" s="1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7"/>
      <c r="O141" s="17"/>
      <c r="P141" s="17"/>
      <c r="Q141" s="1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7"/>
      <c r="O142" s="17"/>
      <c r="P142" s="17"/>
      <c r="Q142" s="1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7"/>
      <c r="O143" s="17"/>
      <c r="P143" s="17"/>
      <c r="Q143" s="1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7"/>
      <c r="O144" s="17"/>
      <c r="P144" s="17"/>
      <c r="Q144" s="1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7"/>
      <c r="O145" s="17"/>
      <c r="P145" s="17"/>
      <c r="Q145" s="1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7"/>
      <c r="O146" s="17"/>
      <c r="P146" s="17"/>
      <c r="Q146" s="1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7"/>
      <c r="O147" s="17"/>
      <c r="P147" s="17"/>
      <c r="Q147" s="1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7"/>
      <c r="O148" s="17"/>
      <c r="P148" s="17"/>
      <c r="Q148" s="1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7"/>
      <c r="O149" s="17"/>
      <c r="P149" s="17"/>
      <c r="Q149" s="1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7"/>
      <c r="O150" s="17"/>
      <c r="P150" s="17"/>
      <c r="Q150" s="1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7"/>
      <c r="O151" s="17"/>
      <c r="P151" s="17"/>
      <c r="Q151" s="1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7"/>
      <c r="O152" s="17"/>
      <c r="P152" s="17"/>
      <c r="Q152" s="1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7"/>
      <c r="O153" s="17"/>
      <c r="P153" s="17"/>
      <c r="Q153" s="1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7"/>
      <c r="O154" s="17"/>
      <c r="P154" s="17"/>
      <c r="Q154" s="1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7"/>
      <c r="O155" s="17"/>
      <c r="P155" s="17"/>
      <c r="Q155" s="1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7"/>
      <c r="O156" s="17"/>
      <c r="P156" s="17"/>
      <c r="Q156" s="1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7"/>
      <c r="O157" s="17"/>
      <c r="P157" s="17"/>
      <c r="Q157" s="17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7"/>
      <c r="O158" s="17"/>
      <c r="P158" s="17"/>
      <c r="Q158" s="1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7"/>
      <c r="O159" s="17"/>
      <c r="P159" s="17"/>
      <c r="Q159" s="17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7"/>
      <c r="O160" s="17"/>
      <c r="P160" s="17"/>
      <c r="Q160" s="17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7"/>
      <c r="O161" s="17"/>
      <c r="P161" s="17"/>
      <c r="Q161" s="17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7"/>
      <c r="O162" s="17"/>
      <c r="P162" s="17"/>
      <c r="Q162" s="17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7"/>
      <c r="O163" s="17"/>
      <c r="P163" s="17"/>
      <c r="Q163" s="17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7"/>
      <c r="O164" s="17"/>
      <c r="P164" s="17"/>
      <c r="Q164" s="17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7"/>
      <c r="O165" s="17"/>
      <c r="P165" s="17"/>
      <c r="Q165" s="1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7"/>
      <c r="O166" s="17"/>
      <c r="P166" s="17"/>
      <c r="Q166" s="1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7"/>
      <c r="O167" s="17"/>
      <c r="P167" s="17"/>
      <c r="Q167" s="17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7"/>
      <c r="O168" s="17"/>
      <c r="P168" s="17"/>
      <c r="Q168" s="17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7"/>
      <c r="O169" s="17"/>
      <c r="P169" s="17"/>
      <c r="Q169" s="17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7"/>
      <c r="O170" s="17"/>
      <c r="P170" s="17"/>
      <c r="Q170" s="17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7"/>
      <c r="O171" s="17"/>
      <c r="P171" s="17"/>
      <c r="Q171" s="17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7"/>
      <c r="O172" s="17"/>
      <c r="P172" s="17"/>
      <c r="Q172" s="17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7"/>
      <c r="O173" s="17"/>
      <c r="P173" s="17"/>
      <c r="Q173" s="17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7"/>
      <c r="O174" s="17"/>
      <c r="P174" s="17"/>
      <c r="Q174" s="17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7"/>
      <c r="O175" s="17"/>
      <c r="P175" s="17"/>
      <c r="Q175" s="1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7"/>
      <c r="O176" s="17"/>
      <c r="P176" s="17"/>
      <c r="Q176" s="17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7"/>
      <c r="O177" s="17"/>
      <c r="P177" s="17"/>
      <c r="Q177" s="17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7"/>
      <c r="O178" s="17"/>
      <c r="P178" s="17"/>
      <c r="Q178" s="17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7"/>
      <c r="O179" s="17"/>
      <c r="P179" s="17"/>
      <c r="Q179" s="17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7"/>
      <c r="O180" s="17"/>
      <c r="P180" s="17"/>
      <c r="Q180" s="17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7"/>
      <c r="O181" s="17"/>
      <c r="P181" s="17"/>
      <c r="Q181" s="17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7"/>
      <c r="O182" s="17"/>
      <c r="P182" s="17"/>
      <c r="Q182" s="17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7"/>
      <c r="O183" s="17"/>
      <c r="P183" s="17"/>
      <c r="Q183" s="17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7"/>
      <c r="O184" s="17"/>
      <c r="P184" s="17"/>
      <c r="Q184" s="17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7"/>
      <c r="O185" s="17"/>
      <c r="P185" s="17"/>
      <c r="Q185" s="17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7"/>
      <c r="O186" s="17"/>
      <c r="P186" s="17"/>
      <c r="Q186" s="17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7"/>
      <c r="O187" s="17"/>
      <c r="P187" s="17"/>
      <c r="Q187" s="17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7"/>
      <c r="O188" s="17"/>
      <c r="P188" s="17"/>
      <c r="Q188" s="17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7"/>
      <c r="O189" s="17"/>
      <c r="P189" s="17"/>
      <c r="Q189" s="17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7"/>
      <c r="O190" s="17"/>
      <c r="P190" s="17"/>
      <c r="Q190" s="17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7"/>
      <c r="O191" s="17"/>
      <c r="P191" s="17"/>
      <c r="Q191" s="17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7"/>
      <c r="O192" s="17"/>
      <c r="P192" s="17"/>
      <c r="Q192" s="17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7"/>
      <c r="O193" s="17"/>
      <c r="P193" s="17"/>
      <c r="Q193" s="17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7"/>
      <c r="O194" s="17"/>
      <c r="P194" s="17"/>
      <c r="Q194" s="17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7"/>
      <c r="O195" s="17"/>
      <c r="P195" s="17"/>
      <c r="Q195" s="17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7"/>
      <c r="O196" s="17"/>
      <c r="P196" s="17"/>
      <c r="Q196" s="17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7"/>
      <c r="O197" s="17"/>
      <c r="P197" s="17"/>
      <c r="Q197" s="17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7"/>
      <c r="O198" s="17"/>
      <c r="P198" s="17"/>
      <c r="Q198" s="17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7"/>
      <c r="O199" s="17"/>
      <c r="P199" s="17"/>
      <c r="Q199" s="17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7"/>
      <c r="O200" s="17"/>
      <c r="P200" s="17"/>
      <c r="Q200" s="17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7"/>
      <c r="O201" s="17"/>
      <c r="P201" s="17"/>
      <c r="Q201" s="17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7"/>
      <c r="O202" s="17"/>
      <c r="P202" s="17"/>
      <c r="Q202" s="17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7"/>
      <c r="O203" s="17"/>
      <c r="P203" s="17"/>
      <c r="Q203" s="17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7"/>
      <c r="O204" s="17"/>
      <c r="P204" s="17"/>
      <c r="Q204" s="17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7"/>
      <c r="O205" s="17"/>
      <c r="P205" s="17"/>
      <c r="Q205" s="17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7"/>
      <c r="O206" s="17"/>
      <c r="P206" s="17"/>
      <c r="Q206" s="17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7"/>
      <c r="O207" s="17"/>
      <c r="P207" s="17"/>
      <c r="Q207" s="17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7"/>
      <c r="O208" s="17"/>
      <c r="P208" s="17"/>
      <c r="Q208" s="17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7"/>
      <c r="O209" s="17"/>
      <c r="P209" s="17"/>
      <c r="Q209" s="1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7"/>
      <c r="O210" s="17"/>
      <c r="P210" s="17"/>
      <c r="Q210" s="1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7"/>
      <c r="O211" s="17"/>
      <c r="P211" s="17"/>
      <c r="Q211" s="1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7"/>
      <c r="O212" s="17"/>
      <c r="P212" s="17"/>
      <c r="Q212" s="1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7"/>
      <c r="O213" s="17"/>
      <c r="P213" s="17"/>
      <c r="Q213" s="1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7"/>
      <c r="O214" s="17"/>
      <c r="P214" s="17"/>
      <c r="Q214" s="1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7"/>
      <c r="O215" s="17"/>
      <c r="P215" s="17"/>
      <c r="Q215" s="1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7"/>
      <c r="O216" s="17"/>
      <c r="P216" s="17"/>
      <c r="Q216" s="1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7"/>
      <c r="O217" s="17"/>
      <c r="P217" s="17"/>
      <c r="Q217" s="1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7"/>
      <c r="O218" s="17"/>
      <c r="P218" s="17"/>
      <c r="Q218" s="1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7"/>
      <c r="O219" s="17"/>
      <c r="P219" s="17"/>
      <c r="Q219" s="1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7"/>
      <c r="O220" s="17"/>
      <c r="P220" s="17"/>
      <c r="Q220" s="1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7"/>
      <c r="O221" s="17"/>
      <c r="P221" s="17"/>
      <c r="Q221" s="1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7"/>
      <c r="O222" s="17"/>
      <c r="P222" s="17"/>
      <c r="Q222" s="1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7"/>
      <c r="O223" s="17"/>
      <c r="P223" s="17"/>
      <c r="Q223" s="1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7"/>
      <c r="O224" s="17"/>
      <c r="P224" s="17"/>
      <c r="Q224" s="1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7"/>
      <c r="O225" s="17"/>
      <c r="P225" s="17"/>
      <c r="Q225" s="1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7"/>
      <c r="O226" s="17"/>
      <c r="P226" s="17"/>
      <c r="Q226" s="1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7"/>
      <c r="O227" s="17"/>
      <c r="P227" s="17"/>
      <c r="Q227" s="1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7"/>
      <c r="O228" s="17"/>
      <c r="P228" s="17"/>
      <c r="Q228" s="1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7"/>
      <c r="O229" s="17"/>
      <c r="P229" s="17"/>
      <c r="Q229" s="1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7"/>
      <c r="O230" s="17"/>
      <c r="P230" s="17"/>
      <c r="Q230" s="1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26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59" t="s">
        <v>478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60" t="s">
        <v>479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4"/>
      <c r="O6" s="54"/>
      <c r="P6" s="54"/>
      <c r="Q6" s="54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480</v>
      </c>
      <c r="B7" s="1" t="s">
        <v>46</v>
      </c>
      <c r="C7" s="18">
        <f>'Annual P&amp;L'!C28</f>
        <v>2969.6955349999998</v>
      </c>
      <c r="D7" s="18">
        <f>'Annual P&amp;L'!D28</f>
        <v>2721</v>
      </c>
      <c r="E7" s="18">
        <f>'Annual P&amp;L'!E28</f>
        <v>3087</v>
      </c>
      <c r="F7" s="18">
        <f>'Annual P&amp;L'!F28</f>
        <v>4221</v>
      </c>
      <c r="G7" s="18">
        <f>'Annual P&amp;L'!G28</f>
        <v>4676</v>
      </c>
      <c r="H7" s="18">
        <f>'Annual P&amp;L'!H28</f>
        <v>4660</v>
      </c>
      <c r="I7" s="18">
        <f>'Annual P&amp;L'!I28</f>
        <v>7147</v>
      </c>
      <c r="J7" s="18">
        <f>'Annual P&amp;L'!J28</f>
        <v>7451</v>
      </c>
      <c r="K7" s="18">
        <f>'Annual P&amp;L'!K28</f>
        <v>8356</v>
      </c>
      <c r="L7" s="18">
        <f>'Annual P&amp;L'!L28</f>
        <v>9361</v>
      </c>
      <c r="M7" s="18">
        <f>'Annual P&amp;L'!M28</f>
        <v>17447</v>
      </c>
      <c r="N7" s="25">
        <f>'Annual P&amp;L'!N28-'Quarterly P&amp;L'!AU26</f>
        <v>19585.088730522497</v>
      </c>
      <c r="O7" s="25">
        <f>'Annual P&amp;L'!O28</f>
        <v>35001.325116845954</v>
      </c>
      <c r="P7" s="25">
        <f>'Annual P&amp;L'!P28</f>
        <v>47680.500012805904</v>
      </c>
      <c r="Q7" s="25">
        <f>'Annual P&amp;L'!Q28</f>
        <v>62357.982788944908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264</v>
      </c>
      <c r="B8" s="1" t="s">
        <v>46</v>
      </c>
      <c r="C8" s="18">
        <f>'Raw Financials'!C110</f>
        <v>1101.2935480000001</v>
      </c>
      <c r="D8" s="18">
        <f>'Raw Financials'!D110</f>
        <v>0</v>
      </c>
      <c r="E8" s="18">
        <f>'Raw Financials'!E110</f>
        <v>1274</v>
      </c>
      <c r="F8" s="18">
        <f>'Raw Financials'!F110</f>
        <v>0</v>
      </c>
      <c r="G8" s="18">
        <f>'Raw Financials'!G110</f>
        <v>0</v>
      </c>
      <c r="H8" s="18">
        <f>'Raw Financials'!H110</f>
        <v>0</v>
      </c>
      <c r="I8" s="18">
        <f>'Raw Financials'!I110</f>
        <v>2272</v>
      </c>
      <c r="J8" s="18">
        <f>'Raw Financials'!J110</f>
        <v>2585</v>
      </c>
      <c r="K8" s="18">
        <f>'Raw Financials'!K110</f>
        <v>3186</v>
      </c>
      <c r="L8" s="18">
        <f>'Raw Financials'!L110</f>
        <v>4683</v>
      </c>
      <c r="M8" s="18">
        <f>'Raw Financials'!M110</f>
        <v>6819</v>
      </c>
      <c r="N8" s="25">
        <f>'Annual P&amp;L'!N18-'Quarterly P&amp;L'!AU17</f>
        <v>8786.6649272739996</v>
      </c>
      <c r="O8" s="25">
        <f>'Annual P&amp;L'!O18</f>
        <v>13516.454184847791</v>
      </c>
      <c r="P8" s="25">
        <f>'Annual P&amp;L'!P18</f>
        <v>15893.491958242559</v>
      </c>
      <c r="Q8" s="25">
        <f>'Annual P&amp;L'!Q18</f>
        <v>18284.060890533314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172</v>
      </c>
      <c r="B9" s="1" t="s">
        <v>46</v>
      </c>
      <c r="C9" s="18">
        <f>'Raw Financials'!C111</f>
        <v>17.546337000000001</v>
      </c>
      <c r="D9" s="18">
        <f>'Raw Financials'!D111</f>
        <v>0</v>
      </c>
      <c r="E9" s="18">
        <f>'Raw Financials'!E111</f>
        <v>97</v>
      </c>
      <c r="F9" s="18">
        <f>'Raw Financials'!F111</f>
        <v>0</v>
      </c>
      <c r="G9" s="18">
        <f>'Raw Financials'!G111</f>
        <v>0</v>
      </c>
      <c r="H9" s="18">
        <f>'Raw Financials'!H111</f>
        <v>0</v>
      </c>
      <c r="I9" s="18">
        <f>'Raw Financials'!I111</f>
        <v>355</v>
      </c>
      <c r="J9" s="18">
        <f>'Raw Financials'!J111</f>
        <v>544</v>
      </c>
      <c r="K9" s="18">
        <f>'Raw Financials'!K111</f>
        <v>810</v>
      </c>
      <c r="L9" s="18">
        <f>'Raw Financials'!L111</f>
        <v>1700</v>
      </c>
      <c r="M9" s="18">
        <f>'Raw Financials'!M111</f>
        <v>1909</v>
      </c>
      <c r="N9" s="25">
        <f>'Annual P&amp;L'!N15-'Quarterly P&amp;L'!AU14</f>
        <v>914.14264415599996</v>
      </c>
      <c r="O9" s="25">
        <f>'Annual P&amp;L'!O15</f>
        <v>1763.0157632410164</v>
      </c>
      <c r="P9" s="25">
        <f>'Annual P&amp;L'!P15</f>
        <v>2217.6965523129152</v>
      </c>
      <c r="Q9" s="25">
        <f>'Annual P&amp;L'!Q15</f>
        <v>2742.609133579997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481</v>
      </c>
      <c r="B10" s="1" t="s">
        <v>46</v>
      </c>
      <c r="C10" s="18">
        <f>'Raw Financials'!C112</f>
        <v>23.123342999999998</v>
      </c>
      <c r="D10" s="18">
        <f>'Raw Financials'!D112</f>
        <v>0</v>
      </c>
      <c r="E10" s="18">
        <f>'Raw Financials'!E112</f>
        <v>13</v>
      </c>
      <c r="F10" s="18">
        <f>'Raw Financials'!F112</f>
        <v>0</v>
      </c>
      <c r="G10" s="18">
        <f>'Raw Financials'!G112</f>
        <v>0</v>
      </c>
      <c r="H10" s="18">
        <f>'Raw Financials'!H112</f>
        <v>0</v>
      </c>
      <c r="I10" s="18">
        <f>'Raw Financials'!I112</f>
        <v>609</v>
      </c>
      <c r="J10" s="18">
        <f>'Raw Financials'!J112</f>
        <v>768</v>
      </c>
      <c r="K10" s="18">
        <f>'Raw Financials'!K112</f>
        <v>1205</v>
      </c>
      <c r="L10" s="18">
        <f>'Raw Financials'!L112</f>
        <v>1305</v>
      </c>
      <c r="M10" s="18">
        <f>'Raw Financials'!M112</f>
        <v>1581</v>
      </c>
      <c r="N10" s="25">
        <f>'Annual P&amp;L'!N22-'Quarterly P&amp;L'!AU20</f>
        <v>2816.4</v>
      </c>
      <c r="O10" s="25">
        <f>'Annual P&amp;L'!O22</f>
        <v>1814.5000000000002</v>
      </c>
      <c r="P10" s="25">
        <f>'Annual P&amp;L'!P22</f>
        <v>739.2</v>
      </c>
      <c r="Q10" s="25">
        <f>'Annual P&amp;L'!Q22</f>
        <v>48.5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482</v>
      </c>
      <c r="B11" s="1" t="s">
        <v>46</v>
      </c>
      <c r="C11" s="18">
        <f>0</f>
        <v>0</v>
      </c>
      <c r="D11" s="18">
        <f>0</f>
        <v>0</v>
      </c>
      <c r="E11" s="18">
        <f>0</f>
        <v>0</v>
      </c>
      <c r="F11" s="18">
        <f>0</f>
        <v>0</v>
      </c>
      <c r="G11" s="18">
        <f>0</f>
        <v>0</v>
      </c>
      <c r="H11" s="18">
        <f>0</f>
        <v>0</v>
      </c>
      <c r="I11" s="18">
        <f>0</f>
        <v>0</v>
      </c>
      <c r="J11" s="18">
        <f>0</f>
        <v>0</v>
      </c>
      <c r="K11" s="18">
        <f>0</f>
        <v>0</v>
      </c>
      <c r="L11" s="18">
        <f>0</f>
        <v>0</v>
      </c>
      <c r="M11" s="18">
        <f>0</f>
        <v>0</v>
      </c>
      <c r="N11" s="25">
        <f>-('Annual Balance Sheet'!N13-'Acquisition &amp; Debt'!C31)+('Annual Balance Sheet'!N39-'Acquisition &amp; Debt'!C39)</f>
        <v>-775.95245194800009</v>
      </c>
      <c r="O11" s="25">
        <f>-('Annual Balance Sheet'!O13-'Annual Balance Sheet'!N13)+('Annual Balance Sheet'!O39-'Annual Balance Sheet'!N39)</f>
        <v>-457.04754805199991</v>
      </c>
      <c r="P11" s="25">
        <f>-('Annual Balance Sheet'!P13-'Annual Balance Sheet'!O13)+('Annual Balance Sheet'!P39-'Annual Balance Sheet'!O39)</f>
        <v>-739.23218410430309</v>
      </c>
      <c r="Q11" s="25">
        <f>-('Annual Balance Sheet'!Q13-'Annual Balance Sheet'!P13)+('Annual Balance Sheet'!Q39-'Annual Balance Sheet'!P39)</f>
        <v>-1089.1739049490297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483</v>
      </c>
      <c r="B12" s="1" t="s">
        <v>46</v>
      </c>
      <c r="C12" s="18">
        <f>'Raw Financials'!C114</f>
        <v>267.87401399999999</v>
      </c>
      <c r="D12" s="18">
        <f>'Raw Financials'!D114</f>
        <v>0</v>
      </c>
      <c r="E12" s="18">
        <f>'Raw Financials'!E114</f>
        <v>-832</v>
      </c>
      <c r="F12" s="18">
        <f>'Raw Financials'!F114</f>
        <v>0</v>
      </c>
      <c r="G12" s="18">
        <f>'Raw Financials'!G114</f>
        <v>0</v>
      </c>
      <c r="H12" s="18">
        <f>'Raw Financials'!H114</f>
        <v>0</v>
      </c>
      <c r="I12" s="18">
        <f>'Raw Financials'!I114</f>
        <v>-3152</v>
      </c>
      <c r="J12" s="18">
        <f>'Raw Financials'!J114</f>
        <v>-2126</v>
      </c>
      <c r="K12" s="18">
        <f>'Raw Financials'!K114</f>
        <v>-1668</v>
      </c>
      <c r="L12" s="18">
        <f>'Raw Financials'!L114</f>
        <v>-7425</v>
      </c>
      <c r="M12" s="18">
        <f>'Raw Financials'!M114</f>
        <v>-15516</v>
      </c>
      <c r="N12" s="25">
        <f>-('Annual Balance Sheet'!N20-'Acquisition &amp; Debt'!C28)</f>
        <v>282.9854474246531</v>
      </c>
      <c r="O12" s="25">
        <f>-('Annual Balance Sheet'!O20-'Annual Balance Sheet'!N20)</f>
        <v>-10825.907295563942</v>
      </c>
      <c r="P12" s="25">
        <f>-('Annual Balance Sheet'!P20-'Annual Balance Sheet'!O20)</f>
        <v>-12274.82828688978</v>
      </c>
      <c r="Q12" s="25">
        <f>-('Annual Balance Sheet'!Q20-'Annual Balance Sheet'!P20)</f>
        <v>-13847.892002852124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484</v>
      </c>
      <c r="B13" s="1" t="s">
        <v>46</v>
      </c>
      <c r="C13" s="18">
        <f>0</f>
        <v>0</v>
      </c>
      <c r="D13" s="18">
        <f>0</f>
        <v>0</v>
      </c>
      <c r="E13" s="18">
        <f>0</f>
        <v>0</v>
      </c>
      <c r="F13" s="18">
        <f>0</f>
        <v>0</v>
      </c>
      <c r="G13" s="18">
        <f>0</f>
        <v>0</v>
      </c>
      <c r="H13" s="18">
        <f>0</f>
        <v>0</v>
      </c>
      <c r="I13" s="18">
        <f>0</f>
        <v>0</v>
      </c>
      <c r="J13" s="18">
        <f>0</f>
        <v>0</v>
      </c>
      <c r="K13" s="18">
        <f>0</f>
        <v>0</v>
      </c>
      <c r="L13" s="18">
        <f>0</f>
        <v>0</v>
      </c>
      <c r="M13" s="18">
        <f>0</f>
        <v>0</v>
      </c>
      <c r="N13" s="25">
        <f>-('Annual Balance Sheet'!N18-'Acquisition &amp; Debt'!C29)</f>
        <v>-3448.608731545206</v>
      </c>
      <c r="O13" s="25">
        <f>-('Annual Balance Sheet'!O18-'Annual Balance Sheet'!N18)</f>
        <v>-5368.5023369103219</v>
      </c>
      <c r="P13" s="25">
        <f>-('Annual Balance Sheet'!P18-'Annual Balance Sheet'!O18)</f>
        <v>-5656.5278954495116</v>
      </c>
      <c r="Q13" s="25">
        <f>-('Annual Balance Sheet'!Q18-'Annual Balance Sheet'!P18)</f>
        <v>-5884.3479804510789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485</v>
      </c>
      <c r="B14" s="1" t="s">
        <v>46</v>
      </c>
      <c r="C14" s="18">
        <f>'Raw Financials'!C115</f>
        <v>0</v>
      </c>
      <c r="D14" s="18">
        <f>'Raw Financials'!D115</f>
        <v>0</v>
      </c>
      <c r="E14" s="18">
        <f>'Raw Financials'!E115</f>
        <v>-84</v>
      </c>
      <c r="F14" s="18">
        <f>'Raw Financials'!F115</f>
        <v>0</v>
      </c>
      <c r="G14" s="18">
        <f>'Raw Financials'!G115</f>
        <v>0</v>
      </c>
      <c r="H14" s="18">
        <f>'Raw Financials'!H115</f>
        <v>0</v>
      </c>
      <c r="I14" s="18">
        <f>'Raw Financials'!I115</f>
        <v>-1276</v>
      </c>
      <c r="J14" s="18">
        <f>'Raw Financials'!J115</f>
        <v>-769</v>
      </c>
      <c r="K14" s="18">
        <f>'Raw Financials'!K115</f>
        <v>-2024</v>
      </c>
      <c r="L14" s="18">
        <f>'Raw Financials'!L115</f>
        <v>-3733</v>
      </c>
      <c r="M14" s="18">
        <f>'Raw Financials'!M115</f>
        <v>685</v>
      </c>
      <c r="N14" s="25">
        <f>-('Annual Balance Sheet'!N15+'Annual Balance Sheet'!N26-'Acquisition &amp; Debt'!C32-'Acquisition &amp; Debt'!C30)</f>
        <v>-7196.9019220800001</v>
      </c>
      <c r="O14" s="25">
        <f>-('Annual Balance Sheet'!O15+'Annual Balance Sheet'!O26-'Annual Balance Sheet'!N15-'Annual Balance Sheet'!N26)</f>
        <v>-4049.6310789728741</v>
      </c>
      <c r="P14" s="25">
        <f>-('Annual Balance Sheet'!P15+'Annual Balance Sheet'!P26-'Annual Balance Sheet'!O15-'Annual Balance Sheet'!O26)</f>
        <v>-4280.8256267021097</v>
      </c>
      <c r="Q14" s="25">
        <f>-('Annual Balance Sheet'!Q15+'Annual Balance Sheet'!Q26-'Annual Balance Sheet'!P15-'Annual Balance Sheet'!P26)</f>
        <v>-4470.5448861516488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486</v>
      </c>
      <c r="B15" s="1" t="s">
        <v>46</v>
      </c>
      <c r="C15" s="18">
        <f>0</f>
        <v>0</v>
      </c>
      <c r="D15" s="18">
        <f>0</f>
        <v>0</v>
      </c>
      <c r="E15" s="18">
        <f>0</f>
        <v>0</v>
      </c>
      <c r="F15" s="18">
        <f>0</f>
        <v>0</v>
      </c>
      <c r="G15" s="18">
        <f>0</f>
        <v>0</v>
      </c>
      <c r="H15" s="18">
        <f>0</f>
        <v>0</v>
      </c>
      <c r="I15" s="18">
        <f>0</f>
        <v>0</v>
      </c>
      <c r="J15" s="18">
        <f>0</f>
        <v>0</v>
      </c>
      <c r="K15" s="18">
        <f>0</f>
        <v>0</v>
      </c>
      <c r="L15" s="18">
        <f>0</f>
        <v>0</v>
      </c>
      <c r="M15" s="18">
        <f>0</f>
        <v>0</v>
      </c>
      <c r="N15" s="25">
        <f>'Annual Balance Sheet'!N47-'Acquisition &amp; Debt'!C38</f>
        <v>65.046802597999886</v>
      </c>
      <c r="O15" s="25">
        <f>'Annual Balance Sheet'!O47-'Annual Balance Sheet'!N47</f>
        <v>1208.3443292857264</v>
      </c>
      <c r="P15" s="25">
        <f>'Annual Balance Sheet'!P47-'Annual Balance Sheet'!O47</f>
        <v>1297.5468012114779</v>
      </c>
      <c r="Q15" s="25">
        <f>'Annual Balance Sheet'!Q47-'Annual Balance Sheet'!P47</f>
        <v>1380.0925121714527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487</v>
      </c>
      <c r="B16" s="1" t="s">
        <v>46</v>
      </c>
      <c r="C16" s="18">
        <f>'Raw Financials'!C116</f>
        <v>-490.59606000000002</v>
      </c>
      <c r="D16" s="18">
        <f>'Raw Financials'!D116</f>
        <v>0</v>
      </c>
      <c r="E16" s="18">
        <f>'Raw Financials'!E116</f>
        <v>217</v>
      </c>
      <c r="F16" s="18">
        <f>'Raw Financials'!F116</f>
        <v>0</v>
      </c>
      <c r="G16" s="18">
        <f>'Raw Financials'!G116</f>
        <v>0</v>
      </c>
      <c r="H16" s="18">
        <f>'Raw Financials'!H116</f>
        <v>0</v>
      </c>
      <c r="I16" s="18">
        <f>'Raw Financials'!I116</f>
        <v>2153</v>
      </c>
      <c r="J16" s="18">
        <f>'Raw Financials'!J116</f>
        <v>175</v>
      </c>
      <c r="K16" s="18">
        <f>'Raw Financials'!K116</f>
        <v>1725</v>
      </c>
      <c r="L16" s="18">
        <f>'Raw Financials'!L116</f>
        <v>1680</v>
      </c>
      <c r="M16" s="18">
        <f>'Raw Financials'!M116</f>
        <v>6097</v>
      </c>
      <c r="N16" s="25">
        <f>'Annual Balance Sheet'!N45-'Acquisition &amp; Debt'!C42</f>
        <v>106.66567272799966</v>
      </c>
      <c r="O16" s="25">
        <f>'Annual Balance Sheet'!O45-'Annual Balance Sheet'!N45</f>
        <v>1241.0693013164037</v>
      </c>
      <c r="P16" s="25">
        <f>'Annual Balance Sheet'!P45-'Annual Balance Sheet'!O45</f>
        <v>1231.0512352072574</v>
      </c>
      <c r="Q16" s="25">
        <f>'Annual Balance Sheet'!Q45-'Annual Balance Sheet'!P45</f>
        <v>1185.4472805416608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53" t="s">
        <v>488</v>
      </c>
      <c r="B17" s="53" t="s">
        <v>46</v>
      </c>
      <c r="C17" s="57">
        <f>'Raw Financials'!C117</f>
        <v>-348.39083099999999</v>
      </c>
      <c r="D17" s="57">
        <f>'Raw Financials'!D117</f>
        <v>0</v>
      </c>
      <c r="E17" s="57">
        <f>'Raw Financials'!E117</f>
        <v>0</v>
      </c>
      <c r="F17" s="57">
        <f>'Raw Financials'!F117</f>
        <v>0</v>
      </c>
      <c r="G17" s="57">
        <f>'Raw Financials'!G117</f>
        <v>0</v>
      </c>
      <c r="H17" s="57">
        <f>'Raw Financials'!H117</f>
        <v>0</v>
      </c>
      <c r="I17" s="57">
        <f>'Raw Financials'!I117</f>
        <v>0</v>
      </c>
      <c r="J17" s="57">
        <f>'Raw Financials'!J117</f>
        <v>0</v>
      </c>
      <c r="K17" s="57">
        <f>'Raw Financials'!K117</f>
        <v>0</v>
      </c>
      <c r="L17" s="57">
        <f>'Raw Financials'!L117</f>
        <v>0</v>
      </c>
      <c r="M17" s="57">
        <f>'Raw Financials'!M117</f>
        <v>-430</v>
      </c>
      <c r="N17" s="58">
        <f>'Annual Balance Sheet'!N44-'Acquisition &amp; Debt'!C43</f>
        <v>180.18497403000219</v>
      </c>
      <c r="O17" s="58">
        <f>'Annual Balance Sheet'!O44-'Annual Balance Sheet'!N44</f>
        <v>5715.8495015937151</v>
      </c>
      <c r="P17" s="58">
        <f>'Annual Balance Sheet'!P44-'Annual Balance Sheet'!O44</f>
        <v>5064.9770308953521</v>
      </c>
      <c r="Q17" s="58">
        <f>'Annual Balance Sheet'!Q44-'Annual Balance Sheet'!P44</f>
        <v>4079.1559424475417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489</v>
      </c>
      <c r="B18" s="1" t="s">
        <v>46</v>
      </c>
      <c r="C18" s="18">
        <f>'Raw Financials'!C119-SUM(C7:C17)</f>
        <v>62.375699999999597</v>
      </c>
      <c r="D18" s="18">
        <f>'Raw Financials'!D119-SUM(D7:D17)</f>
        <v>2002</v>
      </c>
      <c r="E18" s="18">
        <f>'Raw Financials'!E119-SUM(E7:E17)</f>
        <v>52</v>
      </c>
      <c r="F18" s="18">
        <f>'Raw Financials'!F119-SUM(F7:F17)</f>
        <v>306</v>
      </c>
      <c r="G18" s="18">
        <f>'Raw Financials'!G119-SUM(G7:G17)</f>
        <v>-1707</v>
      </c>
      <c r="H18" s="18">
        <f>'Raw Financials'!H119-SUM(H7:H17)</f>
        <v>2963</v>
      </c>
      <c r="I18" s="18">
        <f>'Raw Financials'!I119-SUM(I7:I17)</f>
        <v>-452</v>
      </c>
      <c r="J18" s="18">
        <f>'Raw Financials'!J119-SUM(J7:J17)</f>
        <v>877</v>
      </c>
      <c r="K18" s="18">
        <f>'Raw Financials'!K119-SUM(K7:K17)</f>
        <v>-2556</v>
      </c>
      <c r="L18" s="18">
        <f>'Raw Financials'!L119-SUM(L7:L17)</f>
        <v>4800</v>
      </c>
      <c r="M18" s="18">
        <f>'Raw Financials'!M119-SUM(M7:M17)</f>
        <v>-675</v>
      </c>
      <c r="N18" s="25">
        <f>('Annual Balance Sheet'!N51-SUM('Annual Balance Sheet'!N16,'Annual Balance Sheet'!N17:'Annual Balance Sheet'!N20,'Annual Balance Sheet'!N22:'Annual Balance Sheet'!N27))-(N40+Assumptions!C56+SUM(N7:N17)+N26-Assumptions!C58-Assumptions!C62+N36-Assumptions!C59-Assumptions!C60-Assumptions!C61)</f>
        <v>-1900.3811298700457</v>
      </c>
      <c r="O18" s="25">
        <f>('Annual Balance Sheet'!O51-SUM('Annual Balance Sheet'!O16,'Annual Balance Sheet'!O17:'Annual Balance Sheet'!O20,'Annual Balance Sheet'!O22:'Annual Balance Sheet'!O27))-(O40+SUM(O7:O17)+O26+O36)</f>
        <v>1959.1798027009208</v>
      </c>
      <c r="P18" s="25">
        <f>('Annual Balance Sheet'!P51-SUM('Annual Balance Sheet'!P16,'Annual Balance Sheet'!P17:'Annual Balance Sheet'!P20,'Annual Balance Sheet'!P22:'Annual Balance Sheet'!P27))-(P40+SUM(P7:P17)+P26+P36)</f>
        <v>2118.0804602608041</v>
      </c>
      <c r="Q18" s="25">
        <f>('Annual Balance Sheet'!Q51-SUM('Annual Balance Sheet'!Q16,'Annual Balance Sheet'!Q17:'Annual Balance Sheet'!Q20,'Annual Balance Sheet'!Q22:'Annual Balance Sheet'!Q27))-(Q40+SUM(Q7:Q17)+Q26+Q36)</f>
        <v>2285.507611316636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29" t="s">
        <v>490</v>
      </c>
      <c r="B19" s="27" t="s">
        <v>46</v>
      </c>
      <c r="C19" s="28">
        <f>'Raw Financials'!C119</f>
        <v>3602.9215859999999</v>
      </c>
      <c r="D19" s="28">
        <f>'Raw Financials'!D119</f>
        <v>4723</v>
      </c>
      <c r="E19" s="28">
        <f>'Raw Financials'!E119</f>
        <v>3824</v>
      </c>
      <c r="F19" s="28">
        <f>'Raw Financials'!F119</f>
        <v>4527</v>
      </c>
      <c r="G19" s="28">
        <f>'Raw Financials'!G119</f>
        <v>2969</v>
      </c>
      <c r="H19" s="28">
        <f>'Raw Financials'!H119</f>
        <v>7623</v>
      </c>
      <c r="I19" s="28">
        <f>'Raw Financials'!I119</f>
        <v>7656</v>
      </c>
      <c r="J19" s="28">
        <f>'Raw Financials'!J119</f>
        <v>9505</v>
      </c>
      <c r="K19" s="28">
        <f>'Raw Financials'!K119</f>
        <v>9034</v>
      </c>
      <c r="L19" s="28">
        <f>'Raw Financials'!L119</f>
        <v>12371</v>
      </c>
      <c r="M19" s="28">
        <f>'Raw Financials'!M119</f>
        <v>17917</v>
      </c>
      <c r="N19" s="30">
        <f>Assumptions!C57+SUM(N7:N18)</f>
        <v>24789.334963289901</v>
      </c>
      <c r="O19" s="30">
        <f>SUM(O7:O18)</f>
        <v>41518.649740332396</v>
      </c>
      <c r="P19" s="30">
        <f>SUM(P7:P18)</f>
        <v>53291.130057790557</v>
      </c>
      <c r="Q19" s="30">
        <f>SUM(Q7:Q18)</f>
        <v>67071.39738513164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491</v>
      </c>
      <c r="B20" s="1" t="s">
        <v>72</v>
      </c>
      <c r="C20" s="32">
        <f t="shared" ref="C20:Q20" si="0">IFERROR(C19/C7,"")</f>
        <v>1.2132292834524534</v>
      </c>
      <c r="D20" s="32">
        <f t="shared" si="0"/>
        <v>1.7357589121646453</v>
      </c>
      <c r="E20" s="32">
        <f t="shared" si="0"/>
        <v>1.2387431162941367</v>
      </c>
      <c r="F20" s="32">
        <f t="shared" si="0"/>
        <v>1.0724946695095949</v>
      </c>
      <c r="G20" s="32">
        <f t="shared" si="0"/>
        <v>0.6349443969204448</v>
      </c>
      <c r="H20" s="32">
        <f t="shared" si="0"/>
        <v>1.6358369098712446</v>
      </c>
      <c r="I20" s="32">
        <f t="shared" si="0"/>
        <v>1.0712186931579684</v>
      </c>
      <c r="J20" s="32">
        <f t="shared" si="0"/>
        <v>1.2756676956113273</v>
      </c>
      <c r="K20" s="32">
        <f t="shared" si="0"/>
        <v>1.0811393011010053</v>
      </c>
      <c r="L20" s="32">
        <f t="shared" si="0"/>
        <v>1.3215468432859738</v>
      </c>
      <c r="M20" s="32">
        <f t="shared" si="0"/>
        <v>1.0269387287212701</v>
      </c>
      <c r="N20" s="33">
        <f t="shared" si="0"/>
        <v>1.2657249249352043</v>
      </c>
      <c r="O20" s="33">
        <f t="shared" si="0"/>
        <v>1.1862022252508859</v>
      </c>
      <c r="P20" s="33">
        <f t="shared" si="0"/>
        <v>1.117671376002302</v>
      </c>
      <c r="Q20" s="33">
        <f t="shared" si="0"/>
        <v>1.0755863866241413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385</v>
      </c>
      <c r="B21" s="1" t="s">
        <v>46</v>
      </c>
      <c r="C21" s="18">
        <f>'Raw Financials'!C120</f>
        <v>-1609.116538</v>
      </c>
      <c r="D21" s="18">
        <f>'Raw Financials'!D120</f>
        <v>0</v>
      </c>
      <c r="E21" s="18">
        <f>'Raw Financials'!E120</f>
        <v>0</v>
      </c>
      <c r="F21" s="18">
        <f>'Raw Financials'!F120</f>
        <v>0</v>
      </c>
      <c r="G21" s="18">
        <f>'Raw Financials'!G120</f>
        <v>0</v>
      </c>
      <c r="H21" s="18">
        <f>'Raw Financials'!H120</f>
        <v>0</v>
      </c>
      <c r="I21" s="18">
        <f>'Raw Financials'!I120</f>
        <v>-1541</v>
      </c>
      <c r="J21" s="18">
        <f>'Raw Financials'!J120</f>
        <v>-1582</v>
      </c>
      <c r="K21" s="18">
        <f>'Raw Financials'!K120</f>
        <v>-2655</v>
      </c>
      <c r="L21" s="18">
        <f>'Raw Financials'!L120</f>
        <v>-6144</v>
      </c>
      <c r="M21" s="18">
        <f>'Raw Financials'!M120</f>
        <v>-7425</v>
      </c>
      <c r="N21" s="25">
        <f>Assumptions!C62-('Annual P&amp;L'!N7-'Quarterly P&amp;L'!AU6)*Assumptions!C38</f>
        <v>-6501.6370909100006</v>
      </c>
      <c r="O21" s="25">
        <f>-'Annual P&amp;L'!O7*Assumptions!D38</f>
        <v>-9402.7507372854197</v>
      </c>
      <c r="P21" s="25">
        <f>-'Annual P&amp;L'!P7*Assumptions!E38</f>
        <v>-11088.482761564575</v>
      </c>
      <c r="Q21" s="25">
        <f>-'Annual P&amp;L'!Q7*Assumptions!F38</f>
        <v>-13713.045667899985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387</v>
      </c>
      <c r="B22" s="1" t="s">
        <v>46</v>
      </c>
      <c r="C22" s="18">
        <f>'Raw Financials'!C122</f>
        <v>0</v>
      </c>
      <c r="D22" s="18">
        <f>'Raw Financials'!D122</f>
        <v>0</v>
      </c>
      <c r="E22" s="18">
        <f>'Raw Financials'!E122</f>
        <v>0</v>
      </c>
      <c r="F22" s="18">
        <f>'Raw Financials'!F122</f>
        <v>0</v>
      </c>
      <c r="G22" s="18">
        <f>'Raw Financials'!G122</f>
        <v>0</v>
      </c>
      <c r="H22" s="18">
        <f>'Raw Financials'!H122</f>
        <v>0</v>
      </c>
      <c r="I22" s="18">
        <f>'Raw Financials'!I122</f>
        <v>-8557</v>
      </c>
      <c r="J22" s="18">
        <f>'Raw Financials'!J122</f>
        <v>-1222</v>
      </c>
      <c r="K22" s="18">
        <f>'Raw Financials'!K122</f>
        <v>0</v>
      </c>
      <c r="L22" s="18">
        <f>'Raw Financials'!L122</f>
        <v>-20810</v>
      </c>
      <c r="M22" s="18">
        <f>'Raw Financials'!M122</f>
        <v>-3206</v>
      </c>
      <c r="N22" s="25">
        <f>Assumptions!C58</f>
        <v>-46939</v>
      </c>
      <c r="O22" s="25">
        <f>0</f>
        <v>0</v>
      </c>
      <c r="P22" s="25">
        <f>0</f>
        <v>0</v>
      </c>
      <c r="Q22" s="25">
        <f>0</f>
        <v>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492</v>
      </c>
      <c r="B23" s="1" t="s">
        <v>46</v>
      </c>
      <c r="C23" s="18">
        <f>SUM('Raw Financials'!C123,'Raw Financials'!C124)</f>
        <v>0</v>
      </c>
      <c r="D23" s="18">
        <f>SUM('Raw Financials'!D123,'Raw Financials'!D124)</f>
        <v>0</v>
      </c>
      <c r="E23" s="18">
        <f>SUM('Raw Financials'!E123,'Raw Financials'!E124)</f>
        <v>-331</v>
      </c>
      <c r="F23" s="18">
        <f>SUM('Raw Financials'!F123,'Raw Financials'!F124)</f>
        <v>0</v>
      </c>
      <c r="G23" s="18">
        <f>SUM('Raw Financials'!G123,'Raw Financials'!G124)</f>
        <v>0</v>
      </c>
      <c r="H23" s="18">
        <f>SUM('Raw Financials'!H123,'Raw Financials'!H124)</f>
        <v>0</v>
      </c>
      <c r="I23" s="18">
        <f>SUM('Raw Financials'!I123,'Raw Financials'!I124)</f>
        <v>450</v>
      </c>
      <c r="J23" s="18">
        <f>SUM('Raw Financials'!J123,'Raw Financials'!J124)</f>
        <v>450</v>
      </c>
      <c r="K23" s="18">
        <f>SUM('Raw Financials'!K123,'Raw Financials'!K124)</f>
        <v>0</v>
      </c>
      <c r="L23" s="18">
        <f>SUM('Raw Financials'!L123,'Raw Financials'!L124)</f>
        <v>1185</v>
      </c>
      <c r="M23" s="18">
        <f>SUM('Raw Financials'!M123,'Raw Financials'!M124)</f>
        <v>1551</v>
      </c>
      <c r="N23" s="25">
        <f>-('Annual Balance Sheet'!N23-'Acquisition &amp; Debt'!C27)</f>
        <v>4030</v>
      </c>
      <c r="O23" s="25">
        <f>-('Annual Balance Sheet'!O23-'Annual Balance Sheet'!N23)</f>
        <v>0</v>
      </c>
      <c r="P23" s="25">
        <f>-('Annual Balance Sheet'!P23-'Annual Balance Sheet'!O23)</f>
        <v>0</v>
      </c>
      <c r="Q23" s="25">
        <f>-('Annual Balance Sheet'!Q23-'Annual Balance Sheet'!P23)</f>
        <v>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493</v>
      </c>
      <c r="B24" s="1" t="s">
        <v>46</v>
      </c>
      <c r="C24" s="18">
        <f>SUM('Raw Financials'!C121,'Raw Financials'!C125,'Raw Financials'!C126)</f>
        <v>65.216348999999994</v>
      </c>
      <c r="D24" s="18">
        <f>SUM('Raw Financials'!D121,'Raw Financials'!D125,'Raw Financials'!D126)</f>
        <v>0</v>
      </c>
      <c r="E24" s="18">
        <f>SUM('Raw Financials'!E121,'Raw Financials'!E125,'Raw Financials'!E126)</f>
        <v>104</v>
      </c>
      <c r="F24" s="18">
        <f>SUM('Raw Financials'!F121,'Raw Financials'!F125,'Raw Financials'!F126)</f>
        <v>0</v>
      </c>
      <c r="G24" s="18">
        <f>SUM('Raw Financials'!G121,'Raw Financials'!G125,'Raw Financials'!G126)</f>
        <v>0</v>
      </c>
      <c r="H24" s="18">
        <f>SUM('Raw Financials'!H121,'Raw Financials'!H125,'Raw Financials'!H126)</f>
        <v>0</v>
      </c>
      <c r="I24" s="18">
        <f>SUM('Raw Financials'!I121,'Raw Financials'!I125,'Raw Financials'!I126)</f>
        <v>84</v>
      </c>
      <c r="J24" s="18">
        <f>SUM('Raw Financials'!J121,'Raw Financials'!J125,'Raw Financials'!J126)</f>
        <v>88</v>
      </c>
      <c r="K24" s="18">
        <f>SUM('Raw Financials'!K121,'Raw Financials'!K125,'Raw Financials'!K126)</f>
        <v>177</v>
      </c>
      <c r="L24" s="18">
        <f>SUM('Raw Financials'!L121,'Raw Financials'!L125,'Raw Financials'!L126)</f>
        <v>1286</v>
      </c>
      <c r="M24" s="18">
        <f>SUM('Raw Financials'!M121,'Raw Financials'!M125,'Raw Financials'!M126)</f>
        <v>1734</v>
      </c>
      <c r="N24" s="25">
        <f>0</f>
        <v>0</v>
      </c>
      <c r="O24" s="25">
        <f>0</f>
        <v>0</v>
      </c>
      <c r="P24" s="25">
        <f>0</f>
        <v>0</v>
      </c>
      <c r="Q24" s="25">
        <f>0</f>
        <v>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494</v>
      </c>
      <c r="B25" s="1" t="s">
        <v>46</v>
      </c>
      <c r="C25" s="18">
        <f>'Raw Financials'!C127-SUM(C21:C24)</f>
        <v>-1496.6640230000003</v>
      </c>
      <c r="D25" s="18">
        <f>'Raw Financials'!D127-SUM(D21:D24)</f>
        <v>-3063</v>
      </c>
      <c r="E25" s="18">
        <f>'Raw Financials'!E127-SUM(E21:E24)</f>
        <v>-2477</v>
      </c>
      <c r="F25" s="18">
        <f>'Raw Financials'!F127-SUM(F21:F24)</f>
        <v>-2300</v>
      </c>
      <c r="G25" s="18">
        <f>'Raw Financials'!G127-SUM(G21:G24)</f>
        <v>1123</v>
      </c>
      <c r="H25" s="18">
        <f>'Raw Financials'!H127-SUM(H21:H24)</f>
        <v>-2354</v>
      </c>
      <c r="I25" s="18">
        <f>'Raw Financials'!I127-SUM(I21:I24)</f>
        <v>0</v>
      </c>
      <c r="J25" s="18">
        <f>'Raw Financials'!J127-SUM(J21:J24)</f>
        <v>-450</v>
      </c>
      <c r="K25" s="18">
        <f>'Raw Financials'!K127-SUM(K21:K24)</f>
        <v>0</v>
      </c>
      <c r="L25" s="18">
        <f>'Raw Financials'!L127-SUM(L21:L24)</f>
        <v>0</v>
      </c>
      <c r="M25" s="18">
        <f>'Raw Financials'!M127-SUM(M21:M24)</f>
        <v>2998</v>
      </c>
      <c r="N25" s="25">
        <f>0</f>
        <v>0</v>
      </c>
      <c r="O25" s="25">
        <f>0</f>
        <v>0</v>
      </c>
      <c r="P25" s="25">
        <f>0</f>
        <v>0</v>
      </c>
      <c r="Q25" s="25">
        <f>0</f>
        <v>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29" t="s">
        <v>495</v>
      </c>
      <c r="B26" s="27" t="s">
        <v>46</v>
      </c>
      <c r="C26" s="28">
        <f>'Raw Financials'!C127</f>
        <v>-3040.5642120000002</v>
      </c>
      <c r="D26" s="28">
        <f>'Raw Financials'!D127</f>
        <v>-3063</v>
      </c>
      <c r="E26" s="28">
        <f>'Raw Financials'!E127</f>
        <v>-2704</v>
      </c>
      <c r="F26" s="28">
        <f>'Raw Financials'!F127</f>
        <v>-2300</v>
      </c>
      <c r="G26" s="28">
        <f>'Raw Financials'!G127</f>
        <v>1123</v>
      </c>
      <c r="H26" s="28">
        <f>'Raw Financials'!H127</f>
        <v>-2354</v>
      </c>
      <c r="I26" s="28">
        <f>'Raw Financials'!I127</f>
        <v>-9564</v>
      </c>
      <c r="J26" s="28">
        <f>'Raw Financials'!J127</f>
        <v>-2716</v>
      </c>
      <c r="K26" s="28">
        <f>'Raw Financials'!K127</f>
        <v>-2478</v>
      </c>
      <c r="L26" s="28">
        <f>'Raw Financials'!L127</f>
        <v>-24483</v>
      </c>
      <c r="M26" s="28">
        <f>'Raw Financials'!M127</f>
        <v>-4348</v>
      </c>
      <c r="N26" s="30">
        <f>SUM(N21:N25)</f>
        <v>-49410.637090910001</v>
      </c>
      <c r="O26" s="30">
        <f>SUM(O21:O25)</f>
        <v>-9402.7507372854197</v>
      </c>
      <c r="P26" s="30">
        <f>SUM(P21:P25)</f>
        <v>-11088.482761564575</v>
      </c>
      <c r="Q26" s="30">
        <f>SUM(Q21:Q25)</f>
        <v>-13713.045667899985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53" t="s">
        <v>393</v>
      </c>
      <c r="B27" s="53" t="s">
        <v>46</v>
      </c>
      <c r="C27" s="57">
        <f>'Raw Financials'!C128</f>
        <v>14.599244000000001</v>
      </c>
      <c r="D27" s="57">
        <f>'Raw Financials'!D128</f>
        <v>0</v>
      </c>
      <c r="E27" s="57">
        <f>'Raw Financials'!E128</f>
        <v>0</v>
      </c>
      <c r="F27" s="57">
        <f>'Raw Financials'!F128</f>
        <v>0</v>
      </c>
      <c r="G27" s="57">
        <f>'Raw Financials'!G128</f>
        <v>0</v>
      </c>
      <c r="H27" s="57">
        <f>'Raw Financials'!H128</f>
        <v>18</v>
      </c>
      <c r="I27" s="57">
        <f>'Raw Financials'!I128</f>
        <v>51</v>
      </c>
      <c r="J27" s="57">
        <f>'Raw Financials'!J128</f>
        <v>18</v>
      </c>
      <c r="K27" s="57">
        <f>'Raw Financials'!K128</f>
        <v>7</v>
      </c>
      <c r="L27" s="57">
        <f>'Raw Financials'!L128</f>
        <v>22015</v>
      </c>
      <c r="M27" s="57">
        <f>'Raw Financials'!M128</f>
        <v>3</v>
      </c>
      <c r="N27" s="58">
        <f>0</f>
        <v>0</v>
      </c>
      <c r="O27" s="58">
        <f>0</f>
        <v>0</v>
      </c>
      <c r="P27" s="58">
        <f>0</f>
        <v>0</v>
      </c>
      <c r="Q27" s="58">
        <f>0</f>
        <v>0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394</v>
      </c>
      <c r="B28" s="1" t="s">
        <v>46</v>
      </c>
      <c r="C28" s="18">
        <f>'Raw Financials'!C129</f>
        <v>62.461007000000002</v>
      </c>
      <c r="D28" s="18">
        <f>'Raw Financials'!D129</f>
        <v>0</v>
      </c>
      <c r="E28" s="18">
        <f>'Raw Financials'!E129</f>
        <v>0</v>
      </c>
      <c r="F28" s="18">
        <f>'Raw Financials'!F129</f>
        <v>0</v>
      </c>
      <c r="G28" s="18">
        <f>'Raw Financials'!G129</f>
        <v>0</v>
      </c>
      <c r="H28" s="18">
        <f>'Raw Financials'!H129</f>
        <v>281</v>
      </c>
      <c r="I28" s="18">
        <f>'Raw Financials'!I129</f>
        <v>3578</v>
      </c>
      <c r="J28" s="18">
        <f>'Raw Financials'!J129</f>
        <v>3578</v>
      </c>
      <c r="K28" s="18">
        <f>'Raw Financials'!K129</f>
        <v>967</v>
      </c>
      <c r="L28" s="18">
        <f>'Raw Financials'!L129</f>
        <v>6039</v>
      </c>
      <c r="M28" s="18">
        <f>'Raw Financials'!M129</f>
        <v>1976</v>
      </c>
      <c r="N28" s="25">
        <f>Assumptions!C59</f>
        <v>46547</v>
      </c>
      <c r="O28" s="25">
        <f>0</f>
        <v>0</v>
      </c>
      <c r="P28" s="25">
        <f>0</f>
        <v>0</v>
      </c>
      <c r="Q28" s="25">
        <f>0</f>
        <v>0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496</v>
      </c>
      <c r="B29" s="1" t="s">
        <v>46</v>
      </c>
      <c r="C29" s="18">
        <f>'Raw Financials'!C130</f>
        <v>-48.009765999999999</v>
      </c>
      <c r="D29" s="18">
        <f>'Raw Financials'!D130</f>
        <v>0</v>
      </c>
      <c r="E29" s="18">
        <f>'Raw Financials'!E130</f>
        <v>0</v>
      </c>
      <c r="F29" s="18">
        <f>'Raw Financials'!F130</f>
        <v>0</v>
      </c>
      <c r="G29" s="18">
        <f>'Raw Financials'!G130</f>
        <v>0</v>
      </c>
      <c r="H29" s="18">
        <f>'Raw Financials'!H130</f>
        <v>-306</v>
      </c>
      <c r="I29" s="18">
        <f>'Raw Financials'!I130</f>
        <v>-59</v>
      </c>
      <c r="J29" s="18">
        <f>'Raw Financials'!J130</f>
        <v>-180</v>
      </c>
      <c r="K29" s="18">
        <f>'Raw Financials'!K130</f>
        <v>-180</v>
      </c>
      <c r="L29" s="18">
        <f>'Raw Financials'!L130</f>
        <v>-3716</v>
      </c>
      <c r="M29" s="18">
        <f>'Raw Financials'!M130</f>
        <v>-5154</v>
      </c>
      <c r="N29" s="25">
        <f>-('Acquisition &amp; Debt'!C20-10*Assumptions!C19)</f>
        <v>-4700</v>
      </c>
      <c r="O29" s="25">
        <f>-'Acquisition &amp; Debt'!D20</f>
        <v>-20900</v>
      </c>
      <c r="P29" s="25">
        <f>-'Acquisition &amp; Debt'!E20</f>
        <v>-25920</v>
      </c>
      <c r="Q29" s="25">
        <f>-'Acquisition &amp; Debt'!F20</f>
        <v>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396</v>
      </c>
      <c r="B30" s="1" t="s">
        <v>46</v>
      </c>
      <c r="C30" s="18">
        <f>'Raw Financials'!C131</f>
        <v>0</v>
      </c>
      <c r="D30" s="18">
        <f>'Raw Financials'!D131</f>
        <v>0</v>
      </c>
      <c r="E30" s="18">
        <f>'Raw Financials'!E131</f>
        <v>0</v>
      </c>
      <c r="F30" s="18">
        <f>'Raw Financials'!F131</f>
        <v>0</v>
      </c>
      <c r="G30" s="18">
        <f>'Raw Financials'!G131</f>
        <v>0</v>
      </c>
      <c r="H30" s="18">
        <f>'Raw Financials'!H131</f>
        <v>0</v>
      </c>
      <c r="I30" s="18">
        <f>'Raw Financials'!I131</f>
        <v>-386</v>
      </c>
      <c r="J30" s="18">
        <f>'Raw Financials'!J131</f>
        <v>-421</v>
      </c>
      <c r="K30" s="18">
        <f>'Raw Financials'!K131</f>
        <v>-480</v>
      </c>
      <c r="L30" s="18">
        <f>'Raw Financials'!L131</f>
        <v>-866</v>
      </c>
      <c r="M30" s="18">
        <f>'Raw Financials'!M131</f>
        <v>-1048</v>
      </c>
      <c r="N30" s="25">
        <f>Assumptions!C60-'Acquisition &amp; Debt'!C41*Assumptions!C42</f>
        <v>-1308.75</v>
      </c>
      <c r="O30" s="25">
        <f>-'Annual Balance Sheet'!N43*Assumptions!D42</f>
        <v>-1029.4672175324999</v>
      </c>
      <c r="P30" s="25">
        <f>-'Annual Balance Sheet'!O43*Assumptions!E42</f>
        <v>-1139.3953638245866</v>
      </c>
      <c r="Q30" s="25">
        <f>-'Annual Balance Sheet'!P43*Assumptions!F42</f>
        <v>-1316.5666379336308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397</v>
      </c>
      <c r="B31" s="1" t="s">
        <v>46</v>
      </c>
      <c r="C31" s="18">
        <f>'Raw Financials'!C132</f>
        <v>-28.391908999999998</v>
      </c>
      <c r="D31" s="18">
        <f>'Raw Financials'!D132</f>
        <v>0</v>
      </c>
      <c r="E31" s="18">
        <f>'Raw Financials'!E132</f>
        <v>-13</v>
      </c>
      <c r="F31" s="18">
        <f>'Raw Financials'!F132</f>
        <v>0</v>
      </c>
      <c r="G31" s="18">
        <f>'Raw Financials'!G132</f>
        <v>0</v>
      </c>
      <c r="H31" s="18">
        <f>'Raw Financials'!H132</f>
        <v>-79</v>
      </c>
      <c r="I31" s="18">
        <f>'Raw Financials'!I132</f>
        <v>-265</v>
      </c>
      <c r="J31" s="18">
        <f>'Raw Financials'!J132</f>
        <v>-714</v>
      </c>
      <c r="K31" s="18">
        <f>'Raw Financials'!K132</f>
        <v>-1060</v>
      </c>
      <c r="L31" s="18">
        <f>'Raw Financials'!L132</f>
        <v>-1438</v>
      </c>
      <c r="M31" s="18">
        <f>'Raw Financials'!M132</f>
        <v>-1169</v>
      </c>
      <c r="N31" s="25">
        <f>Assumptions!C61-('Annual P&amp;L'!N22-'Quarterly P&amp;L'!AU20)</f>
        <v>-3544.4</v>
      </c>
      <c r="O31" s="25">
        <f>-'Annual P&amp;L'!O22</f>
        <v>-1814.5000000000002</v>
      </c>
      <c r="P31" s="25">
        <f>-'Annual P&amp;L'!P22</f>
        <v>-739.2</v>
      </c>
      <c r="Q31" s="25">
        <f>-'Annual P&amp;L'!Q22</f>
        <v>-48.5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398</v>
      </c>
      <c r="B32" s="1" t="s">
        <v>46</v>
      </c>
      <c r="C32" s="18">
        <f>'Raw Financials'!C133</f>
        <v>-731.36613199999999</v>
      </c>
      <c r="D32" s="18">
        <f>'Raw Financials'!D133</f>
        <v>0</v>
      </c>
      <c r="E32" s="18">
        <f>'Raw Financials'!E133</f>
        <v>-613</v>
      </c>
      <c r="F32" s="18">
        <f>'Raw Financials'!F133</f>
        <v>0</v>
      </c>
      <c r="G32" s="18">
        <f>'Raw Financials'!G133</f>
        <v>0</v>
      </c>
      <c r="H32" s="18">
        <f>'Raw Financials'!H133</f>
        <v>-686</v>
      </c>
      <c r="I32" s="18">
        <f>'Raw Financials'!I133</f>
        <v>-3152</v>
      </c>
      <c r="J32" s="18">
        <f>'Raw Financials'!J133</f>
        <v>-3534</v>
      </c>
      <c r="K32" s="18">
        <f>'Raw Financials'!K133</f>
        <v>-4664</v>
      </c>
      <c r="L32" s="18">
        <f>'Raw Financials'!L133</f>
        <v>-4976</v>
      </c>
      <c r="M32" s="18">
        <f>'Raw Financials'!M133</f>
        <v>-5277</v>
      </c>
      <c r="N32" s="25">
        <f>-'Annual P&amp;L'!N36</f>
        <v>-8541.4164345692152</v>
      </c>
      <c r="O32" s="25">
        <f>-'Annual P&amp;L'!O36</f>
        <v>-12756.232938834508</v>
      </c>
      <c r="P32" s="25">
        <f>-'Annual P&amp;L'!P36</f>
        <v>-18409.44105494436</v>
      </c>
      <c r="Q32" s="25">
        <f>-'Annual P&amp;L'!Q36</f>
        <v>-24693.761184422183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399</v>
      </c>
      <c r="B33" s="1" t="s">
        <v>46</v>
      </c>
      <c r="C33" s="18">
        <f>'Raw Financials'!C134</f>
        <v>0</v>
      </c>
      <c r="D33" s="18">
        <f>'Raw Financials'!D134</f>
        <v>0</v>
      </c>
      <c r="E33" s="18">
        <f>'Raw Financials'!E134</f>
        <v>0</v>
      </c>
      <c r="F33" s="18">
        <f>'Raw Financials'!F134</f>
        <v>0</v>
      </c>
      <c r="G33" s="18">
        <f>'Raw Financials'!G134</f>
        <v>0</v>
      </c>
      <c r="H33" s="18">
        <f>'Raw Financials'!H134</f>
        <v>0</v>
      </c>
      <c r="I33" s="18">
        <f>'Raw Financials'!I134</f>
        <v>-596</v>
      </c>
      <c r="J33" s="18">
        <f>'Raw Financials'!J134</f>
        <v>-751</v>
      </c>
      <c r="K33" s="18">
        <f>'Raw Financials'!K134</f>
        <v>-117</v>
      </c>
      <c r="L33" s="18">
        <f>'Raw Financials'!L134</f>
        <v>-121</v>
      </c>
      <c r="M33" s="18">
        <f>'Raw Financials'!M134</f>
        <v>-154</v>
      </c>
      <c r="N33" s="25">
        <f>-'Annual P&amp;L'!N29*Assumptions!C45</f>
        <v>-149.41253238313499</v>
      </c>
      <c r="O33" s="25">
        <f>-'Annual P&amp;L'!O29*Assumptions!D45</f>
        <v>-157.50596302580678</v>
      </c>
      <c r="P33" s="25">
        <f>-'Annual P&amp;L'!P29*Assumptions!E45</f>
        <v>-143.04150003841769</v>
      </c>
      <c r="Q33" s="25">
        <f>-'Annual P&amp;L'!Q29*Assumptions!F45</f>
        <v>-187.07394836683474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219</v>
      </c>
      <c r="B34" s="1" t="s">
        <v>46</v>
      </c>
      <c r="C34" s="18">
        <f>0</f>
        <v>0</v>
      </c>
      <c r="D34" s="18">
        <f>0</f>
        <v>0</v>
      </c>
      <c r="E34" s="18">
        <f>0</f>
        <v>0</v>
      </c>
      <c r="F34" s="18">
        <f>0</f>
        <v>0</v>
      </c>
      <c r="G34" s="18">
        <f>0</f>
        <v>0</v>
      </c>
      <c r="H34" s="18">
        <f>0</f>
        <v>0</v>
      </c>
      <c r="I34" s="18">
        <f>0</f>
        <v>0</v>
      </c>
      <c r="J34" s="18">
        <f>0</f>
        <v>0</v>
      </c>
      <c r="K34" s="18">
        <f>0</f>
        <v>0</v>
      </c>
      <c r="L34" s="18">
        <f>0</f>
        <v>0</v>
      </c>
      <c r="M34" s="18">
        <f>0</f>
        <v>0</v>
      </c>
      <c r="N34" s="25">
        <f>-('Acquisition &amp; Debt'!C40-'Annual Balance Sheet'!N40)</f>
        <v>-629.5</v>
      </c>
      <c r="O34" s="25">
        <f>-('Annual Balance Sheet'!N40-'Annual Balance Sheet'!O40)</f>
        <v>-566.55000000000018</v>
      </c>
      <c r="P34" s="25">
        <f>-('Annual Balance Sheet'!O40-'Annual Balance Sheet'!P40)</f>
        <v>-462.68249999999989</v>
      </c>
      <c r="Q34" s="25">
        <f>-('Annual Balance Sheet'!P40-'Annual Balance Sheet'!Q40)</f>
        <v>-859.26749999999993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497</v>
      </c>
      <c r="B35" s="1" t="s">
        <v>46</v>
      </c>
      <c r="C35" s="18">
        <f>'Raw Financials'!C135-SUM(C27:C34)</f>
        <v>3.7214599999999791</v>
      </c>
      <c r="D35" s="18">
        <f>'Raw Financials'!D135-SUM(D27:D34)</f>
        <v>-669</v>
      </c>
      <c r="E35" s="18">
        <f>'Raw Financials'!E135-SUM(E27:E34)</f>
        <v>-118</v>
      </c>
      <c r="F35" s="18">
        <f>'Raw Financials'!F135-SUM(F27:F34)</f>
        <v>-1063</v>
      </c>
      <c r="G35" s="18">
        <f>'Raw Financials'!G135-SUM(G27:G34)</f>
        <v>-1327</v>
      </c>
      <c r="H35" s="18">
        <f>'Raw Financials'!H135-SUM(H27:H34)</f>
        <v>-4759</v>
      </c>
      <c r="I35" s="18">
        <f>'Raw Financials'!I135-SUM(I27:I34)</f>
        <v>-729</v>
      </c>
      <c r="J35" s="18">
        <f>'Raw Financials'!J135-SUM(J27:J34)</f>
        <v>-3578</v>
      </c>
      <c r="K35" s="18">
        <f>'Raw Financials'!K135-SUM(K27:K34)</f>
        <v>-3343</v>
      </c>
      <c r="L35" s="18">
        <f>'Raw Financials'!L135-SUM(L27:L34)</f>
        <v>-184</v>
      </c>
      <c r="M35" s="18">
        <f>'Raw Financials'!M135-SUM(M27:M34)</f>
        <v>-114</v>
      </c>
      <c r="N35" s="25">
        <f>0</f>
        <v>0</v>
      </c>
      <c r="O35" s="25">
        <f>0</f>
        <v>0</v>
      </c>
      <c r="P35" s="25">
        <f>0</f>
        <v>0</v>
      </c>
      <c r="Q35" s="25">
        <f>0</f>
        <v>0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29" t="s">
        <v>498</v>
      </c>
      <c r="B36" s="27" t="s">
        <v>46</v>
      </c>
      <c r="C36" s="28">
        <f>'Raw Financials'!C135</f>
        <v>-726.98609599999997</v>
      </c>
      <c r="D36" s="28">
        <f>'Raw Financials'!D135</f>
        <v>-669</v>
      </c>
      <c r="E36" s="28">
        <f>'Raw Financials'!E135</f>
        <v>-744</v>
      </c>
      <c r="F36" s="28">
        <f>'Raw Financials'!F135</f>
        <v>-1063</v>
      </c>
      <c r="G36" s="28">
        <f>'Raw Financials'!G135</f>
        <v>-1327</v>
      </c>
      <c r="H36" s="28">
        <f>'Raw Financials'!H135</f>
        <v>-5531</v>
      </c>
      <c r="I36" s="28">
        <f>'Raw Financials'!I135</f>
        <v>-1558</v>
      </c>
      <c r="J36" s="28">
        <f>'Raw Financials'!J135</f>
        <v>-5582</v>
      </c>
      <c r="K36" s="28">
        <f>'Raw Financials'!K135</f>
        <v>-8870</v>
      </c>
      <c r="L36" s="28">
        <f>'Raw Financials'!L135</f>
        <v>16753</v>
      </c>
      <c r="M36" s="28">
        <f>'Raw Financials'!M135</f>
        <v>-10937</v>
      </c>
      <c r="N36" s="30">
        <f>SUM(N27:N35)</f>
        <v>27673.521033047648</v>
      </c>
      <c r="O36" s="30">
        <f>SUM(O27:O35)</f>
        <v>-37224.256119392812</v>
      </c>
      <c r="P36" s="30">
        <f>SUM(P27:P35)</f>
        <v>-46813.760418807367</v>
      </c>
      <c r="Q36" s="30">
        <f>SUM(Q27:Q35)</f>
        <v>-27105.169270722647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499</v>
      </c>
      <c r="B37" s="1" t="s">
        <v>46</v>
      </c>
      <c r="C37" s="18">
        <f t="shared" ref="C37:Q37" si="1">SUM(C19,C26,C36)</f>
        <v>-164.62872200000027</v>
      </c>
      <c r="D37" s="18">
        <f t="shared" si="1"/>
        <v>991</v>
      </c>
      <c r="E37" s="18">
        <f t="shared" si="1"/>
        <v>376</v>
      </c>
      <c r="F37" s="18">
        <f t="shared" si="1"/>
        <v>1164</v>
      </c>
      <c r="G37" s="18">
        <f t="shared" si="1"/>
        <v>2765</v>
      </c>
      <c r="H37" s="18">
        <f t="shared" si="1"/>
        <v>-262</v>
      </c>
      <c r="I37" s="18">
        <f t="shared" si="1"/>
        <v>-3466</v>
      </c>
      <c r="J37" s="18">
        <f t="shared" si="1"/>
        <v>1207</v>
      </c>
      <c r="K37" s="18">
        <f t="shared" si="1"/>
        <v>-2314</v>
      </c>
      <c r="L37" s="18">
        <f t="shared" si="1"/>
        <v>4641</v>
      </c>
      <c r="M37" s="18">
        <f t="shared" si="1"/>
        <v>2632</v>
      </c>
      <c r="N37" s="25">
        <f t="shared" si="1"/>
        <v>3052.2189054275477</v>
      </c>
      <c r="O37" s="25">
        <f t="shared" si="1"/>
        <v>-5108.3571163458364</v>
      </c>
      <c r="P37" s="25">
        <f t="shared" si="1"/>
        <v>-4611.1131225813879</v>
      </c>
      <c r="Q37" s="25">
        <f t="shared" si="1"/>
        <v>26253.18244650901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53" t="s">
        <v>403</v>
      </c>
      <c r="B38" s="53" t="s">
        <v>46</v>
      </c>
      <c r="C38" s="57">
        <f>'Raw Financials'!C138</f>
        <v>155.10373200000001</v>
      </c>
      <c r="D38" s="57">
        <f t="shared" ref="D38:M38" si="2">D39-D37</f>
        <v>-367.62726199999997</v>
      </c>
      <c r="E38" s="57">
        <f t="shared" si="2"/>
        <v>224</v>
      </c>
      <c r="F38" s="57">
        <f t="shared" si="2"/>
        <v>-72</v>
      </c>
      <c r="G38" s="57">
        <f t="shared" si="2"/>
        <v>236</v>
      </c>
      <c r="H38" s="57">
        <f t="shared" si="2"/>
        <v>66</v>
      </c>
      <c r="I38" s="57">
        <f t="shared" si="2"/>
        <v>-65</v>
      </c>
      <c r="J38" s="57">
        <f t="shared" si="2"/>
        <v>24</v>
      </c>
      <c r="K38" s="57">
        <f t="shared" si="2"/>
        <v>-172</v>
      </c>
      <c r="L38" s="57">
        <f t="shared" si="2"/>
        <v>102</v>
      </c>
      <c r="M38" s="57">
        <f t="shared" si="2"/>
        <v>348</v>
      </c>
      <c r="N38" s="58">
        <f>0</f>
        <v>0</v>
      </c>
      <c r="O38" s="58">
        <f>0</f>
        <v>0</v>
      </c>
      <c r="P38" s="58">
        <f>0</f>
        <v>0</v>
      </c>
      <c r="Q38" s="58">
        <f>0</f>
        <v>0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29" t="s">
        <v>401</v>
      </c>
      <c r="B39" s="27" t="s">
        <v>46</v>
      </c>
      <c r="C39" s="28">
        <f>C37+C38</f>
        <v>-9.5249900000002583</v>
      </c>
      <c r="D39" s="28">
        <f t="shared" ref="D39:M39" si="3">D41-D40</f>
        <v>623.37273800000003</v>
      </c>
      <c r="E39" s="28">
        <f t="shared" si="3"/>
        <v>600</v>
      </c>
      <c r="F39" s="28">
        <f t="shared" si="3"/>
        <v>1092</v>
      </c>
      <c r="G39" s="28">
        <f t="shared" si="3"/>
        <v>3001</v>
      </c>
      <c r="H39" s="28">
        <f t="shared" si="3"/>
        <v>-196</v>
      </c>
      <c r="I39" s="28">
        <f t="shared" si="3"/>
        <v>-3531</v>
      </c>
      <c r="J39" s="28">
        <f t="shared" si="3"/>
        <v>1231</v>
      </c>
      <c r="K39" s="28">
        <f t="shared" si="3"/>
        <v>-2486</v>
      </c>
      <c r="L39" s="28">
        <f t="shared" si="3"/>
        <v>4743</v>
      </c>
      <c r="M39" s="28">
        <f t="shared" si="3"/>
        <v>2980</v>
      </c>
      <c r="N39" s="30">
        <f>Assumptions!C56+SUM(N19,N26,N36)-Assumptions!C57-Assumptions!C58-Assumptions!C59-Assumptions!C60-Assumptions!C61-Assumptions!C62</f>
        <v>2500.2189054275514</v>
      </c>
      <c r="O39" s="30">
        <f>O37+O38</f>
        <v>-5108.3571163458364</v>
      </c>
      <c r="P39" s="30">
        <f>P37+P38</f>
        <v>-4611.1131225813879</v>
      </c>
      <c r="Q39" s="30">
        <f>Q37+Q38</f>
        <v>26253.18244650901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 t="s">
        <v>402</v>
      </c>
      <c r="B40" s="1" t="s">
        <v>46</v>
      </c>
      <c r="C40" s="18">
        <f>'Raw Financials'!C137</f>
        <v>2237.7961460000001</v>
      </c>
      <c r="D40" s="18">
        <f t="shared" ref="D40:M40" si="4">C41</f>
        <v>2878.627262</v>
      </c>
      <c r="E40" s="18">
        <f t="shared" si="4"/>
        <v>3502</v>
      </c>
      <c r="F40" s="18">
        <f t="shared" si="4"/>
        <v>4102</v>
      </c>
      <c r="G40" s="18">
        <f t="shared" si="4"/>
        <v>5194</v>
      </c>
      <c r="H40" s="18">
        <f t="shared" si="4"/>
        <v>8195</v>
      </c>
      <c r="I40" s="18">
        <f t="shared" si="4"/>
        <v>7999</v>
      </c>
      <c r="J40" s="18">
        <f t="shared" si="4"/>
        <v>4468</v>
      </c>
      <c r="K40" s="18">
        <f t="shared" si="4"/>
        <v>5699</v>
      </c>
      <c r="L40" s="18">
        <f t="shared" si="4"/>
        <v>3213</v>
      </c>
      <c r="M40" s="18">
        <f t="shared" si="4"/>
        <v>7956</v>
      </c>
      <c r="N40" s="25">
        <f>'Annual Balance Sheet'!M21</f>
        <v>10936</v>
      </c>
      <c r="O40" s="25">
        <f>N41</f>
        <v>13436.218905427551</v>
      </c>
      <c r="P40" s="25">
        <f>O41</f>
        <v>8327.861789081715</v>
      </c>
      <c r="Q40" s="25">
        <f>P41</f>
        <v>3716.7486665003271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29" t="s">
        <v>61</v>
      </c>
      <c r="B41" s="27" t="s">
        <v>46</v>
      </c>
      <c r="C41" s="28">
        <f>'Raw Financials'!C139</f>
        <v>2878.627262</v>
      </c>
      <c r="D41" s="28">
        <f>'Raw Financials'!D139</f>
        <v>3502</v>
      </c>
      <c r="E41" s="28">
        <f>'Raw Financials'!E139</f>
        <v>4102</v>
      </c>
      <c r="F41" s="28">
        <f>'Raw Financials'!F139</f>
        <v>5194</v>
      </c>
      <c r="G41" s="28">
        <f>'Raw Financials'!G139</f>
        <v>8195</v>
      </c>
      <c r="H41" s="28">
        <f>'Raw Financials'!H139</f>
        <v>7999</v>
      </c>
      <c r="I41" s="28">
        <f>'Raw Financials'!I139</f>
        <v>4468</v>
      </c>
      <c r="J41" s="28">
        <f>'Raw Financials'!J139</f>
        <v>5699</v>
      </c>
      <c r="K41" s="28">
        <f>'Raw Financials'!K139</f>
        <v>3213</v>
      </c>
      <c r="L41" s="28">
        <f>'Raw Financials'!L139</f>
        <v>7956</v>
      </c>
      <c r="M41" s="28">
        <f>'Raw Financials'!M139</f>
        <v>10936</v>
      </c>
      <c r="N41" s="30">
        <f>N40+N39</f>
        <v>13436.218905427551</v>
      </c>
      <c r="O41" s="30">
        <f>O40+O39</f>
        <v>8327.861789081715</v>
      </c>
      <c r="P41" s="30">
        <f>P40+P39</f>
        <v>3716.7486665003271</v>
      </c>
      <c r="Q41" s="30">
        <f>Q40+Q39</f>
        <v>29969.931113009337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 t="s">
        <v>500</v>
      </c>
      <c r="B42" s="1" t="s">
        <v>46</v>
      </c>
      <c r="C42" s="18">
        <f>'Annual Balance Sheet'!C21+'Annual Balance Sheet'!C22</f>
        <v>2878.627262</v>
      </c>
      <c r="D42" s="18">
        <f>'Annual Balance Sheet'!D21+'Annual Balance Sheet'!D22</f>
        <v>3502</v>
      </c>
      <c r="E42" s="18">
        <f>'Annual Balance Sheet'!E21+'Annual Balance Sheet'!E22</f>
        <v>4102</v>
      </c>
      <c r="F42" s="18">
        <f>'Annual Balance Sheet'!F21+'Annual Balance Sheet'!F22</f>
        <v>5194</v>
      </c>
      <c r="G42" s="18">
        <f>'Annual Balance Sheet'!G21+'Annual Balance Sheet'!G22</f>
        <v>8195</v>
      </c>
      <c r="H42" s="18">
        <f>'Annual Balance Sheet'!H21+'Annual Balance Sheet'!H22</f>
        <v>7999</v>
      </c>
      <c r="I42" s="18">
        <f>'Annual Balance Sheet'!I21+'Annual Balance Sheet'!I22</f>
        <v>4468</v>
      </c>
      <c r="J42" s="18">
        <f>'Annual Balance Sheet'!J21+'Annual Balance Sheet'!J22</f>
        <v>5699</v>
      </c>
      <c r="K42" s="18">
        <f>'Annual Balance Sheet'!K21+'Annual Balance Sheet'!K22</f>
        <v>3213</v>
      </c>
      <c r="L42" s="18">
        <f>'Annual Balance Sheet'!L21+'Annual Balance Sheet'!L22</f>
        <v>7956</v>
      </c>
      <c r="M42" s="18">
        <f>'Annual Balance Sheet'!M21+'Annual Balance Sheet'!M22</f>
        <v>10936</v>
      </c>
      <c r="N42" s="25">
        <f>'Annual Balance Sheet'!N21+'Annual Balance Sheet'!N22</f>
        <v>13436.218905427551</v>
      </c>
      <c r="O42" s="25">
        <f>'Annual Balance Sheet'!O21+'Annual Balance Sheet'!O22</f>
        <v>8327.861789081715</v>
      </c>
      <c r="P42" s="25">
        <f>'Annual Balance Sheet'!P21+'Annual Balance Sheet'!P22</f>
        <v>3716.7486665003271</v>
      </c>
      <c r="Q42" s="25">
        <f>'Annual Balance Sheet'!Q21+'Annual Balance Sheet'!Q22</f>
        <v>29969.931113009337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 t="s">
        <v>501</v>
      </c>
      <c r="B43" s="1" t="s">
        <v>46</v>
      </c>
      <c r="C43" s="18">
        <f t="shared" ref="C43:Q43" si="5">C41-C42</f>
        <v>0</v>
      </c>
      <c r="D43" s="18">
        <f t="shared" si="5"/>
        <v>0</v>
      </c>
      <c r="E43" s="18">
        <f t="shared" si="5"/>
        <v>0</v>
      </c>
      <c r="F43" s="18">
        <f t="shared" si="5"/>
        <v>0</v>
      </c>
      <c r="G43" s="18">
        <f t="shared" si="5"/>
        <v>0</v>
      </c>
      <c r="H43" s="18">
        <f t="shared" si="5"/>
        <v>0</v>
      </c>
      <c r="I43" s="18">
        <f t="shared" si="5"/>
        <v>0</v>
      </c>
      <c r="J43" s="18">
        <f t="shared" si="5"/>
        <v>0</v>
      </c>
      <c r="K43" s="18">
        <f t="shared" si="5"/>
        <v>0</v>
      </c>
      <c r="L43" s="18">
        <f t="shared" si="5"/>
        <v>0</v>
      </c>
      <c r="M43" s="18">
        <f t="shared" si="5"/>
        <v>0</v>
      </c>
      <c r="N43" s="25">
        <f t="shared" si="5"/>
        <v>0</v>
      </c>
      <c r="O43" s="25">
        <f t="shared" si="5"/>
        <v>0</v>
      </c>
      <c r="P43" s="25">
        <f t="shared" si="5"/>
        <v>0</v>
      </c>
      <c r="Q43" s="25">
        <f t="shared" si="5"/>
        <v>0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29" t="s">
        <v>60</v>
      </c>
      <c r="B44" s="27" t="s">
        <v>46</v>
      </c>
      <c r="C44" s="28">
        <f t="shared" ref="C44:Q44" si="6">C19+C21</f>
        <v>1993.8050479999999</v>
      </c>
      <c r="D44" s="28">
        <f t="shared" si="6"/>
        <v>4723</v>
      </c>
      <c r="E44" s="28">
        <f t="shared" si="6"/>
        <v>3824</v>
      </c>
      <c r="F44" s="28">
        <f t="shared" si="6"/>
        <v>4527</v>
      </c>
      <c r="G44" s="28">
        <f t="shared" si="6"/>
        <v>2969</v>
      </c>
      <c r="H44" s="28">
        <f t="shared" si="6"/>
        <v>7623</v>
      </c>
      <c r="I44" s="28">
        <f t="shared" si="6"/>
        <v>6115</v>
      </c>
      <c r="J44" s="28">
        <f t="shared" si="6"/>
        <v>7923</v>
      </c>
      <c r="K44" s="28">
        <f t="shared" si="6"/>
        <v>6379</v>
      </c>
      <c r="L44" s="28">
        <f t="shared" si="6"/>
        <v>6227</v>
      </c>
      <c r="M44" s="28">
        <f t="shared" si="6"/>
        <v>10492</v>
      </c>
      <c r="N44" s="30">
        <f t="shared" si="6"/>
        <v>18287.6978723799</v>
      </c>
      <c r="O44" s="30">
        <f t="shared" si="6"/>
        <v>32115.899003046976</v>
      </c>
      <c r="P44" s="30">
        <f t="shared" si="6"/>
        <v>42202.64729622598</v>
      </c>
      <c r="Q44" s="30">
        <f t="shared" si="6"/>
        <v>53358.351717231657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 t="s">
        <v>502</v>
      </c>
      <c r="B45" s="1" t="s">
        <v>48</v>
      </c>
      <c r="C45" s="19">
        <f>IFERROR(C44/'Annual P&amp;L'!C7,"")</f>
        <v>7.432901215081536E-2</v>
      </c>
      <c r="D45" s="19">
        <f>IFERROR(D44/'Annual P&amp;L'!D7,"")</f>
        <v>0.16855215731058848</v>
      </c>
      <c r="E45" s="19">
        <f>IFERROR(E44/'Annual P&amp;L'!E7,"")</f>
        <v>0.1278331216152972</v>
      </c>
      <c r="F45" s="19">
        <f>IFERROR(F44/'Annual P&amp;L'!F7,"")</f>
        <v>0.12314346335890322</v>
      </c>
      <c r="G45" s="19">
        <f>IFERROR(G44/'Annual P&amp;L'!G7,"")</f>
        <v>7.0962499103707069E-2</v>
      </c>
      <c r="H45" s="19">
        <f>IFERROR(H44/'Annual P&amp;L'!H7,"")</f>
        <v>0.16348545938062967</v>
      </c>
      <c r="I45" s="19">
        <f>IFERROR(I44/'Annual P&amp;L'!I7,"")</f>
        <v>9.5071517412935319E-2</v>
      </c>
      <c r="J45" s="19">
        <f>IFERROR(J44/'Annual P&amp;L'!J7,"")</f>
        <v>9.8857085818381457E-2</v>
      </c>
      <c r="K45" s="19">
        <f>IFERROR(K44/'Annual P&amp;L'!K7,"")</f>
        <v>6.9495587754657376E-2</v>
      </c>
      <c r="L45" s="19">
        <f>IFERROR(L44/'Annual P&amp;L'!L7,"")</f>
        <v>5.1576619482660083E-2</v>
      </c>
      <c r="M45" s="19">
        <f>IFERROR(M44/'Annual P&amp;L'!M7,"")</f>
        <v>6.3965078919933915E-2</v>
      </c>
      <c r="N45" s="24">
        <f>N44/'Annual P&amp;L'!N7</f>
        <v>8.0025362570369768E-2</v>
      </c>
      <c r="O45" s="24">
        <f>O44/'Annual P&amp;L'!O7</f>
        <v>0.10929873574360043</v>
      </c>
      <c r="P45" s="24">
        <f>P44/'Annual P&amp;L'!P7</f>
        <v>0.11417968049473132</v>
      </c>
      <c r="Q45" s="24">
        <f>Q44/'Annual P&amp;L'!Q7</f>
        <v>0.11673194929001418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  <c r="O46" s="17"/>
      <c r="P46" s="17"/>
      <c r="Q46" s="1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  <c r="O47" s="17"/>
      <c r="P47" s="17"/>
      <c r="Q47" s="1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4"/>
      <c r="O48" s="54"/>
      <c r="P48" s="54"/>
      <c r="Q48" s="54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  <c r="O49" s="17"/>
      <c r="P49" s="17"/>
      <c r="Q49" s="1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  <c r="O50" s="17"/>
      <c r="P50" s="17"/>
      <c r="Q50" s="1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  <c r="O51" s="17"/>
      <c r="P51" s="17"/>
      <c r="Q51" s="1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  <c r="O52" s="17"/>
      <c r="P52" s="17"/>
      <c r="Q52" s="1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  <c r="O53" s="17"/>
      <c r="P53" s="17"/>
      <c r="Q53" s="1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  <c r="O54" s="17"/>
      <c r="P54" s="17"/>
      <c r="Q54" s="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  <c r="O55" s="17"/>
      <c r="P55" s="17"/>
      <c r="Q55" s="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  <c r="O56" s="17"/>
      <c r="P56" s="17"/>
      <c r="Q56" s="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17"/>
      <c r="P57" s="17"/>
      <c r="Q57" s="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  <c r="O58" s="17"/>
      <c r="P58" s="17"/>
      <c r="Q58" s="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  <c r="O60" s="17"/>
      <c r="P60" s="17"/>
      <c r="Q60" s="1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  <c r="O61" s="17"/>
      <c r="P61" s="17"/>
      <c r="Q61" s="1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  <c r="O62" s="17"/>
      <c r="P62" s="17"/>
      <c r="Q62" s="1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  <c r="O63" s="17"/>
      <c r="P63" s="17"/>
      <c r="Q63" s="1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  <c r="O64" s="17"/>
      <c r="P64" s="17"/>
      <c r="Q64" s="1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7"/>
      <c r="O65" s="17"/>
      <c r="P65" s="17"/>
      <c r="Q65" s="1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7"/>
      <c r="O66" s="17"/>
      <c r="P66" s="17"/>
      <c r="Q66" s="1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7"/>
      <c r="O67" s="17"/>
      <c r="P67" s="17"/>
      <c r="Q67" s="1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7"/>
      <c r="O68" s="17"/>
      <c r="P68" s="17"/>
      <c r="Q68" s="1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7"/>
      <c r="O69" s="17"/>
      <c r="P69" s="17"/>
      <c r="Q69" s="1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7"/>
      <c r="O70" s="17"/>
      <c r="P70" s="17"/>
      <c r="Q70" s="1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7"/>
      <c r="O71" s="17"/>
      <c r="P71" s="17"/>
      <c r="Q71" s="17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7"/>
      <c r="O72" s="17"/>
      <c r="P72" s="17"/>
      <c r="Q72" s="17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7"/>
      <c r="O73" s="17"/>
      <c r="P73" s="17"/>
      <c r="Q73" s="1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7"/>
      <c r="O74" s="17"/>
      <c r="P74" s="17"/>
      <c r="Q74" s="1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7"/>
      <c r="O75" s="17"/>
      <c r="P75" s="17"/>
      <c r="Q75" s="17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7"/>
      <c r="O76" s="17"/>
      <c r="P76" s="17"/>
      <c r="Q76" s="17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7"/>
      <c r="O77" s="17"/>
      <c r="P77" s="17"/>
      <c r="Q77" s="17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7"/>
      <c r="O78" s="17"/>
      <c r="P78" s="17"/>
      <c r="Q78" s="1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7"/>
      <c r="O79" s="17"/>
      <c r="P79" s="17"/>
      <c r="Q79" s="1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7"/>
      <c r="O80" s="17"/>
      <c r="P80" s="17"/>
      <c r="Q80" s="17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7"/>
      <c r="O81" s="17"/>
      <c r="P81" s="17"/>
      <c r="Q81" s="17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7"/>
      <c r="O82" s="17"/>
      <c r="P82" s="17"/>
      <c r="Q82" s="17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7"/>
      <c r="O83" s="17"/>
      <c r="P83" s="17"/>
      <c r="Q83" s="17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7"/>
      <c r="O84" s="17"/>
      <c r="P84" s="17"/>
      <c r="Q84" s="1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7"/>
      <c r="O85" s="17"/>
      <c r="P85" s="17"/>
      <c r="Q85" s="17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7"/>
      <c r="O86" s="17"/>
      <c r="P86" s="17"/>
      <c r="Q86" s="17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7"/>
      <c r="O87" s="17"/>
      <c r="P87" s="17"/>
      <c r="Q87" s="17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7"/>
      <c r="O88" s="17"/>
      <c r="P88" s="17"/>
      <c r="Q88" s="17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7"/>
      <c r="O89" s="17"/>
      <c r="P89" s="17"/>
      <c r="Q89" s="1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7"/>
      <c r="O90" s="17"/>
      <c r="P90" s="17"/>
      <c r="Q90" s="1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7"/>
      <c r="O91" s="17"/>
      <c r="P91" s="17"/>
      <c r="Q91" s="17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7"/>
      <c r="O92" s="17"/>
      <c r="P92" s="17"/>
      <c r="Q92" s="17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7"/>
      <c r="O93" s="17"/>
      <c r="P93" s="17"/>
      <c r="Q93" s="1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7"/>
      <c r="O94" s="17"/>
      <c r="P94" s="17"/>
      <c r="Q94" s="1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7"/>
      <c r="O95" s="17"/>
      <c r="P95" s="17"/>
      <c r="Q95" s="17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7"/>
      <c r="O96" s="17"/>
      <c r="P96" s="17"/>
      <c r="Q96" s="17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7"/>
      <c r="O97" s="17"/>
      <c r="P97" s="17"/>
      <c r="Q97" s="17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7"/>
      <c r="O98" s="17"/>
      <c r="P98" s="17"/>
      <c r="Q98" s="1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7"/>
      <c r="O99" s="17"/>
      <c r="P99" s="17"/>
      <c r="Q99" s="1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7"/>
      <c r="O100" s="17"/>
      <c r="P100" s="17"/>
      <c r="Q100" s="17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7"/>
      <c r="O101" s="17"/>
      <c r="P101" s="17"/>
      <c r="Q101" s="17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7"/>
      <c r="O102" s="17"/>
      <c r="P102" s="17"/>
      <c r="Q102" s="17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7"/>
      <c r="O103" s="17"/>
      <c r="P103" s="17"/>
      <c r="Q103" s="1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7"/>
      <c r="O104" s="17"/>
      <c r="P104" s="17"/>
      <c r="Q104" s="1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7"/>
      <c r="O105" s="17"/>
      <c r="P105" s="17"/>
      <c r="Q105" s="17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7"/>
      <c r="O106" s="17"/>
      <c r="P106" s="17"/>
      <c r="Q106" s="17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7"/>
      <c r="O107" s="17"/>
      <c r="P107" s="17"/>
      <c r="Q107" s="1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7"/>
      <c r="O108" s="17"/>
      <c r="P108" s="17"/>
      <c r="Q108" s="17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7"/>
      <c r="O109" s="17"/>
      <c r="P109" s="17"/>
      <c r="Q109" s="1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7"/>
      <c r="O110" s="17"/>
      <c r="P110" s="17"/>
      <c r="Q110" s="17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7"/>
      <c r="O111" s="17"/>
      <c r="P111" s="17"/>
      <c r="Q111" s="17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7"/>
      <c r="O112" s="17"/>
      <c r="P112" s="17"/>
      <c r="Q112" s="1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7"/>
      <c r="O113" s="17"/>
      <c r="P113" s="17"/>
      <c r="Q113" s="1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7"/>
      <c r="O114" s="17"/>
      <c r="P114" s="17"/>
      <c r="Q114" s="1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7"/>
      <c r="O115" s="17"/>
      <c r="P115" s="17"/>
      <c r="Q115" s="17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7"/>
      <c r="O116" s="17"/>
      <c r="P116" s="17"/>
      <c r="Q116" s="17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7"/>
      <c r="O117" s="17"/>
      <c r="P117" s="17"/>
      <c r="Q117" s="17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7"/>
      <c r="O118" s="17"/>
      <c r="P118" s="17"/>
      <c r="Q118" s="1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7"/>
      <c r="O119" s="17"/>
      <c r="P119" s="17"/>
      <c r="Q119" s="17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7"/>
      <c r="O120" s="17"/>
      <c r="P120" s="17"/>
      <c r="Q120" s="17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7"/>
      <c r="O121" s="17"/>
      <c r="P121" s="17"/>
      <c r="Q121" s="17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7"/>
      <c r="O122" s="17"/>
      <c r="P122" s="17"/>
      <c r="Q122" s="1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7"/>
      <c r="O123" s="17"/>
      <c r="P123" s="17"/>
      <c r="Q123" s="1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7"/>
      <c r="O124" s="17"/>
      <c r="P124" s="17"/>
      <c r="Q124" s="1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7"/>
      <c r="O125" s="17"/>
      <c r="P125" s="17"/>
      <c r="Q125" s="1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7"/>
      <c r="O126" s="17"/>
      <c r="P126" s="17"/>
      <c r="Q126" s="1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7"/>
      <c r="O127" s="17"/>
      <c r="P127" s="17"/>
      <c r="Q127" s="1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7"/>
      <c r="O128" s="17"/>
      <c r="P128" s="17"/>
      <c r="Q128" s="1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7"/>
      <c r="O129" s="17"/>
      <c r="P129" s="17"/>
      <c r="Q129" s="1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7"/>
      <c r="O130" s="17"/>
      <c r="P130" s="17"/>
      <c r="Q130" s="1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7"/>
      <c r="O131" s="17"/>
      <c r="P131" s="17"/>
      <c r="Q131" s="1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7"/>
      <c r="O132" s="17"/>
      <c r="P132" s="17"/>
      <c r="Q132" s="1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7"/>
      <c r="O133" s="17"/>
      <c r="P133" s="17"/>
      <c r="Q133" s="1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7"/>
      <c r="O134" s="17"/>
      <c r="P134" s="17"/>
      <c r="Q134" s="1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7"/>
      <c r="O135" s="17"/>
      <c r="P135" s="17"/>
      <c r="Q135" s="1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7"/>
      <c r="O136" s="17"/>
      <c r="P136" s="17"/>
      <c r="Q136" s="1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7"/>
      <c r="O137" s="17"/>
      <c r="P137" s="17"/>
      <c r="Q137" s="1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7"/>
      <c r="O138" s="17"/>
      <c r="P138" s="17"/>
      <c r="Q138" s="1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7"/>
      <c r="O139" s="17"/>
      <c r="P139" s="17"/>
      <c r="Q139" s="1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7"/>
      <c r="O140" s="17"/>
      <c r="P140" s="17"/>
      <c r="Q140" s="1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7"/>
      <c r="O141" s="17"/>
      <c r="P141" s="17"/>
      <c r="Q141" s="1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7"/>
      <c r="O142" s="17"/>
      <c r="P142" s="17"/>
      <c r="Q142" s="1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7"/>
      <c r="O143" s="17"/>
      <c r="P143" s="17"/>
      <c r="Q143" s="1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7"/>
      <c r="O144" s="17"/>
      <c r="P144" s="17"/>
      <c r="Q144" s="1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7"/>
      <c r="O145" s="17"/>
      <c r="P145" s="17"/>
      <c r="Q145" s="1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7"/>
      <c r="O146" s="17"/>
      <c r="P146" s="17"/>
      <c r="Q146" s="1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7"/>
      <c r="O147" s="17"/>
      <c r="P147" s="17"/>
      <c r="Q147" s="1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7"/>
      <c r="O148" s="17"/>
      <c r="P148" s="17"/>
      <c r="Q148" s="1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7"/>
      <c r="O149" s="17"/>
      <c r="P149" s="17"/>
      <c r="Q149" s="1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7"/>
      <c r="O150" s="17"/>
      <c r="P150" s="17"/>
      <c r="Q150" s="1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7"/>
      <c r="O151" s="17"/>
      <c r="P151" s="17"/>
      <c r="Q151" s="1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7"/>
      <c r="O152" s="17"/>
      <c r="P152" s="17"/>
      <c r="Q152" s="1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7"/>
      <c r="O153" s="17"/>
      <c r="P153" s="17"/>
      <c r="Q153" s="1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7"/>
      <c r="O154" s="17"/>
      <c r="P154" s="17"/>
      <c r="Q154" s="1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7"/>
      <c r="O155" s="17"/>
      <c r="P155" s="17"/>
      <c r="Q155" s="1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7"/>
      <c r="O156" s="17"/>
      <c r="P156" s="17"/>
      <c r="Q156" s="1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7"/>
      <c r="O157" s="17"/>
      <c r="P157" s="17"/>
      <c r="Q157" s="17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7"/>
      <c r="O158" s="17"/>
      <c r="P158" s="17"/>
      <c r="Q158" s="1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7"/>
      <c r="O159" s="17"/>
      <c r="P159" s="17"/>
      <c r="Q159" s="17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7"/>
      <c r="O160" s="17"/>
      <c r="P160" s="17"/>
      <c r="Q160" s="17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7"/>
      <c r="O161" s="17"/>
      <c r="P161" s="17"/>
      <c r="Q161" s="17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7"/>
      <c r="O162" s="17"/>
      <c r="P162" s="17"/>
      <c r="Q162" s="17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7"/>
      <c r="O163" s="17"/>
      <c r="P163" s="17"/>
      <c r="Q163" s="17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7"/>
      <c r="O164" s="17"/>
      <c r="P164" s="17"/>
      <c r="Q164" s="17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7"/>
      <c r="O165" s="17"/>
      <c r="P165" s="17"/>
      <c r="Q165" s="1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7"/>
      <c r="O166" s="17"/>
      <c r="P166" s="17"/>
      <c r="Q166" s="1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7"/>
      <c r="O167" s="17"/>
      <c r="P167" s="17"/>
      <c r="Q167" s="17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7"/>
      <c r="O168" s="17"/>
      <c r="P168" s="17"/>
      <c r="Q168" s="17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7"/>
      <c r="O169" s="17"/>
      <c r="P169" s="17"/>
      <c r="Q169" s="17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7"/>
      <c r="O170" s="17"/>
      <c r="P170" s="17"/>
      <c r="Q170" s="17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7"/>
      <c r="O171" s="17"/>
      <c r="P171" s="17"/>
      <c r="Q171" s="17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7"/>
      <c r="O172" s="17"/>
      <c r="P172" s="17"/>
      <c r="Q172" s="17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7"/>
      <c r="O173" s="17"/>
      <c r="P173" s="17"/>
      <c r="Q173" s="17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7"/>
      <c r="O174" s="17"/>
      <c r="P174" s="17"/>
      <c r="Q174" s="17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7"/>
      <c r="O175" s="17"/>
      <c r="P175" s="17"/>
      <c r="Q175" s="1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7"/>
      <c r="O176" s="17"/>
      <c r="P176" s="17"/>
      <c r="Q176" s="17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7"/>
      <c r="O177" s="17"/>
      <c r="P177" s="17"/>
      <c r="Q177" s="17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7"/>
      <c r="O178" s="17"/>
      <c r="P178" s="17"/>
      <c r="Q178" s="17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7"/>
      <c r="O179" s="17"/>
      <c r="P179" s="17"/>
      <c r="Q179" s="17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7"/>
      <c r="O180" s="17"/>
      <c r="P180" s="17"/>
      <c r="Q180" s="17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7"/>
      <c r="O181" s="17"/>
      <c r="P181" s="17"/>
      <c r="Q181" s="17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7"/>
      <c r="O182" s="17"/>
      <c r="P182" s="17"/>
      <c r="Q182" s="17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7"/>
      <c r="O183" s="17"/>
      <c r="P183" s="17"/>
      <c r="Q183" s="17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7"/>
      <c r="O184" s="17"/>
      <c r="P184" s="17"/>
      <c r="Q184" s="17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7"/>
      <c r="O185" s="17"/>
      <c r="P185" s="17"/>
      <c r="Q185" s="17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7"/>
      <c r="O186" s="17"/>
      <c r="P186" s="17"/>
      <c r="Q186" s="17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7"/>
      <c r="O187" s="17"/>
      <c r="P187" s="17"/>
      <c r="Q187" s="17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7"/>
      <c r="O188" s="17"/>
      <c r="P188" s="17"/>
      <c r="Q188" s="17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7"/>
      <c r="O189" s="17"/>
      <c r="P189" s="17"/>
      <c r="Q189" s="17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7"/>
      <c r="O190" s="17"/>
      <c r="P190" s="17"/>
      <c r="Q190" s="17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7"/>
      <c r="O191" s="17"/>
      <c r="P191" s="17"/>
      <c r="Q191" s="17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7"/>
      <c r="O192" s="17"/>
      <c r="P192" s="17"/>
      <c r="Q192" s="17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7"/>
      <c r="O193" s="17"/>
      <c r="P193" s="17"/>
      <c r="Q193" s="17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7"/>
      <c r="O194" s="17"/>
      <c r="P194" s="17"/>
      <c r="Q194" s="17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7"/>
      <c r="O195" s="17"/>
      <c r="P195" s="17"/>
      <c r="Q195" s="17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7"/>
      <c r="O196" s="17"/>
      <c r="P196" s="17"/>
      <c r="Q196" s="17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7"/>
      <c r="O197" s="17"/>
      <c r="P197" s="17"/>
      <c r="Q197" s="17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7"/>
      <c r="O198" s="17"/>
      <c r="P198" s="17"/>
      <c r="Q198" s="17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7"/>
      <c r="O199" s="17"/>
      <c r="P199" s="17"/>
      <c r="Q199" s="17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7"/>
      <c r="O200" s="17"/>
      <c r="P200" s="17"/>
      <c r="Q200" s="17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7"/>
      <c r="O201" s="17"/>
      <c r="P201" s="17"/>
      <c r="Q201" s="17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7"/>
      <c r="O202" s="17"/>
      <c r="P202" s="17"/>
      <c r="Q202" s="17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7"/>
      <c r="O203" s="17"/>
      <c r="P203" s="17"/>
      <c r="Q203" s="17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7"/>
      <c r="O204" s="17"/>
      <c r="P204" s="17"/>
      <c r="Q204" s="17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7"/>
      <c r="O205" s="17"/>
      <c r="P205" s="17"/>
      <c r="Q205" s="17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7"/>
      <c r="O206" s="17"/>
      <c r="P206" s="17"/>
      <c r="Q206" s="17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7"/>
      <c r="O207" s="17"/>
      <c r="P207" s="17"/>
      <c r="Q207" s="17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7"/>
      <c r="O208" s="17"/>
      <c r="P208" s="17"/>
      <c r="Q208" s="17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7"/>
      <c r="O209" s="17"/>
      <c r="P209" s="17"/>
      <c r="Q209" s="1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7"/>
      <c r="O210" s="17"/>
      <c r="P210" s="17"/>
      <c r="Q210" s="1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7"/>
      <c r="O211" s="17"/>
      <c r="P211" s="17"/>
      <c r="Q211" s="1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7"/>
      <c r="O212" s="17"/>
      <c r="P212" s="17"/>
      <c r="Q212" s="1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7"/>
      <c r="O213" s="17"/>
      <c r="P213" s="17"/>
      <c r="Q213" s="1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7"/>
      <c r="O214" s="17"/>
      <c r="P214" s="17"/>
      <c r="Q214" s="1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7"/>
      <c r="O215" s="17"/>
      <c r="P215" s="17"/>
      <c r="Q215" s="1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7"/>
      <c r="O216" s="17"/>
      <c r="P216" s="17"/>
      <c r="Q216" s="1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7"/>
      <c r="O217" s="17"/>
      <c r="P217" s="17"/>
      <c r="Q217" s="1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7"/>
      <c r="O218" s="17"/>
      <c r="P218" s="17"/>
      <c r="Q218" s="1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7"/>
      <c r="O219" s="17"/>
      <c r="P219" s="17"/>
      <c r="Q219" s="1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7"/>
      <c r="O220" s="17"/>
      <c r="P220" s="17"/>
      <c r="Q220" s="1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7"/>
      <c r="O221" s="17"/>
      <c r="P221" s="17"/>
      <c r="Q221" s="1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7"/>
      <c r="O222" s="17"/>
      <c r="P222" s="17"/>
      <c r="Q222" s="1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7"/>
      <c r="O223" s="17"/>
      <c r="P223" s="17"/>
      <c r="Q223" s="1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7"/>
      <c r="O224" s="17"/>
      <c r="P224" s="17"/>
      <c r="Q224" s="1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7"/>
      <c r="O225" s="17"/>
      <c r="P225" s="17"/>
      <c r="Q225" s="1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7"/>
      <c r="O226" s="17"/>
      <c r="P226" s="17"/>
      <c r="Q226" s="1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7"/>
      <c r="O227" s="17"/>
      <c r="P227" s="17"/>
      <c r="Q227" s="1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7"/>
      <c r="O228" s="17"/>
      <c r="P228" s="17"/>
      <c r="Q228" s="1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7"/>
      <c r="O229" s="17"/>
      <c r="P229" s="17"/>
      <c r="Q229" s="1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7"/>
      <c r="O230" s="17"/>
      <c r="P230" s="17"/>
      <c r="Q230" s="1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U260"/>
  <sheetViews>
    <sheetView showGridLines="0" workbookViewId="0"/>
  </sheetViews>
  <sheetFormatPr defaultRowHeight="13.8"/>
  <cols>
    <col min="1" max="1" width="45" customWidth="1"/>
    <col min="2" max="2" width="12" customWidth="1"/>
    <col min="3" max="6" width="13" customWidth="1"/>
    <col min="7" max="7" width="55" customWidth="1"/>
  </cols>
  <sheetData>
    <row r="1" spans="1:47" ht="25.95" customHeight="1">
      <c r="A1" s="59" t="s">
        <v>503</v>
      </c>
      <c r="B1" s="59"/>
      <c r="C1" s="59"/>
      <c r="D1" s="59"/>
      <c r="E1" s="59"/>
      <c r="F1" s="59"/>
      <c r="G1" s="5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60" t="s">
        <v>504</v>
      </c>
      <c r="B2" s="60"/>
      <c r="C2" s="60"/>
      <c r="D2" s="60"/>
      <c r="E2" s="60"/>
      <c r="F2" s="60"/>
      <c r="G2" s="6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505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 t="s">
        <v>506</v>
      </c>
      <c r="B6" s="1" t="s">
        <v>49</v>
      </c>
      <c r="C6" s="11">
        <v>100.7</v>
      </c>
      <c r="D6" s="1"/>
      <c r="E6" s="1"/>
      <c r="F6" s="1"/>
      <c r="G6" s="1" t="s">
        <v>507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161</v>
      </c>
      <c r="B7" s="1" t="s">
        <v>49</v>
      </c>
      <c r="C7" s="21">
        <f>Assumptions!C17</f>
        <v>50.35</v>
      </c>
      <c r="D7" s="21">
        <f>C8/12</f>
        <v>48.461874999999999</v>
      </c>
      <c r="E7" s="21">
        <f>D8/12</f>
        <v>53.308062500000005</v>
      </c>
      <c r="F7" s="21">
        <f>E8/12</f>
        <v>58.638868750000007</v>
      </c>
      <c r="G7" s="1" t="s">
        <v>507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508</v>
      </c>
      <c r="B8" s="1" t="s">
        <v>49</v>
      </c>
      <c r="C8" s="21">
        <f>C7*11*(1+Assumptions!C18)</f>
        <v>581.54250000000002</v>
      </c>
      <c r="D8" s="21">
        <f>C8*(1+Assumptions!D18)</f>
        <v>639.69675000000007</v>
      </c>
      <c r="E8" s="21">
        <f>D8*(1+Assumptions!E18)</f>
        <v>703.66642500000012</v>
      </c>
      <c r="F8" s="21">
        <f>E8*(1+Assumptions!F18)</f>
        <v>766.99640325000018</v>
      </c>
      <c r="G8" s="1" t="s">
        <v>507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509</v>
      </c>
      <c r="B9" s="1" t="s">
        <v>46</v>
      </c>
      <c r="C9" s="11">
        <v>114488</v>
      </c>
      <c r="D9" s="1"/>
      <c r="E9" s="1"/>
      <c r="F9" s="1"/>
      <c r="G9" s="1" t="s">
        <v>507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510</v>
      </c>
      <c r="B10" s="1" t="s">
        <v>46</v>
      </c>
      <c r="C10" s="11">
        <v>25327</v>
      </c>
      <c r="D10" s="1"/>
      <c r="E10" s="1"/>
      <c r="F10" s="1"/>
      <c r="G10" s="1" t="s">
        <v>507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511</v>
      </c>
      <c r="B11" s="1" t="s">
        <v>46</v>
      </c>
      <c r="C11" s="11">
        <v>139815</v>
      </c>
      <c r="D11" s="1"/>
      <c r="E11" s="1"/>
      <c r="F11" s="1"/>
      <c r="G11" s="1" t="s">
        <v>507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512</v>
      </c>
      <c r="B12" s="1" t="s">
        <v>46</v>
      </c>
      <c r="C12" s="11">
        <v>45026</v>
      </c>
      <c r="D12" s="1"/>
      <c r="E12" s="1"/>
      <c r="F12" s="1"/>
      <c r="G12" s="1" t="s">
        <v>507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513</v>
      </c>
      <c r="B13" s="1" t="s">
        <v>46</v>
      </c>
      <c r="C13" s="11">
        <v>11257</v>
      </c>
      <c r="D13" s="1"/>
      <c r="E13" s="1"/>
      <c r="F13" s="1"/>
      <c r="G13" s="1" t="s">
        <v>507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514</v>
      </c>
      <c r="B14" s="1" t="s">
        <v>46</v>
      </c>
      <c r="C14" s="11">
        <v>120890</v>
      </c>
      <c r="D14" s="1"/>
      <c r="E14" s="1"/>
      <c r="F14" s="1"/>
      <c r="G14" s="1" t="s">
        <v>507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515</v>
      </c>
      <c r="B15" s="1" t="s">
        <v>49</v>
      </c>
      <c r="C15" s="11">
        <v>550</v>
      </c>
      <c r="D15" s="1"/>
      <c r="E15" s="1"/>
      <c r="F15" s="1"/>
      <c r="G15" s="1" t="s">
        <v>507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516</v>
      </c>
      <c r="B16" s="1" t="s">
        <v>49</v>
      </c>
      <c r="C16" s="15">
        <v>60</v>
      </c>
      <c r="D16" s="15">
        <v>220</v>
      </c>
      <c r="E16" s="15">
        <v>270</v>
      </c>
      <c r="F16" s="15"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517</v>
      </c>
      <c r="B17" s="1" t="s">
        <v>49</v>
      </c>
      <c r="C17" s="21">
        <f>C15-C16</f>
        <v>490</v>
      </c>
      <c r="D17" s="21">
        <f>C17-D16</f>
        <v>270</v>
      </c>
      <c r="E17" s="21">
        <f>D17-E16</f>
        <v>0</v>
      </c>
      <c r="F17" s="21">
        <f>E17-F16</f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518</v>
      </c>
      <c r="B18" s="1" t="s">
        <v>49</v>
      </c>
      <c r="C18" s="15">
        <v>23.6</v>
      </c>
      <c r="D18" s="15">
        <v>19.100000000000001</v>
      </c>
      <c r="E18" s="15">
        <v>7.7</v>
      </c>
      <c r="F18" s="15">
        <v>0.5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165</v>
      </c>
      <c r="B19" s="1" t="s">
        <v>166</v>
      </c>
      <c r="C19" s="22">
        <f>Assumptions!C19</f>
        <v>94</v>
      </c>
      <c r="D19" s="22">
        <f>Assumptions!D19</f>
        <v>95</v>
      </c>
      <c r="E19" s="22">
        <f>Assumptions!E19</f>
        <v>96</v>
      </c>
      <c r="F19" s="22">
        <f>Assumptions!F19</f>
        <v>97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516</v>
      </c>
      <c r="B20" s="1" t="s">
        <v>46</v>
      </c>
      <c r="C20" s="18">
        <f>C16*C19</f>
        <v>5640</v>
      </c>
      <c r="D20" s="18">
        <f>D16*D19</f>
        <v>20900</v>
      </c>
      <c r="E20" s="18">
        <f>E16*E19</f>
        <v>25920</v>
      </c>
      <c r="F20" s="18">
        <f>F16*F19</f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517</v>
      </c>
      <c r="B21" s="1" t="s">
        <v>46</v>
      </c>
      <c r="C21" s="18">
        <f>C17*C19</f>
        <v>46060</v>
      </c>
      <c r="D21" s="18">
        <f>D17*D19</f>
        <v>25650</v>
      </c>
      <c r="E21" s="18">
        <f>E17*E19</f>
        <v>0</v>
      </c>
      <c r="F21" s="18">
        <f>F17*F19</f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519</v>
      </c>
      <c r="B22" s="1" t="s">
        <v>46</v>
      </c>
      <c r="C22" s="18">
        <f>C18*C19</f>
        <v>2218.4</v>
      </c>
      <c r="D22" s="18">
        <f>D18*D19</f>
        <v>1814.5000000000002</v>
      </c>
      <c r="E22" s="18">
        <f>E18*E19</f>
        <v>739.2</v>
      </c>
      <c r="F22" s="18">
        <f>F18*F19</f>
        <v>48.5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520</v>
      </c>
      <c r="B23" s="1" t="s">
        <v>46</v>
      </c>
      <c r="C23" s="11">
        <v>15467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521</v>
      </c>
      <c r="B24" s="1" t="s">
        <v>46</v>
      </c>
      <c r="C24" s="11">
        <v>163729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522</v>
      </c>
      <c r="B25" s="1" t="s">
        <v>46</v>
      </c>
      <c r="C25" s="11">
        <v>56869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523</v>
      </c>
      <c r="B26" s="1" t="s">
        <v>46</v>
      </c>
      <c r="C26" s="11">
        <v>13883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524</v>
      </c>
      <c r="B27" s="1" t="s">
        <v>46</v>
      </c>
      <c r="C27" s="11">
        <v>4030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525</v>
      </c>
      <c r="B28" s="1" t="s">
        <v>46</v>
      </c>
      <c r="C28" s="11">
        <v>40979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526</v>
      </c>
      <c r="B29" s="1" t="s">
        <v>46</v>
      </c>
      <c r="C29" s="11">
        <v>20969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527</v>
      </c>
      <c r="B30" s="1" t="s">
        <v>46</v>
      </c>
      <c r="C30" s="11">
        <v>5554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528</v>
      </c>
      <c r="B31" s="1" t="s">
        <v>46</v>
      </c>
      <c r="C31" s="11">
        <v>8394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529</v>
      </c>
      <c r="B32" s="1" t="s">
        <v>46</v>
      </c>
      <c r="C32" s="11">
        <v>5531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530</v>
      </c>
      <c r="B33" s="1" t="s">
        <v>46</v>
      </c>
      <c r="C33" s="11">
        <v>335405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531</v>
      </c>
      <c r="B34" s="1" t="s">
        <v>46</v>
      </c>
      <c r="C34" s="11">
        <v>885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532</v>
      </c>
      <c r="B35" s="1" t="s">
        <v>46</v>
      </c>
      <c r="C35" s="11">
        <v>216306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533</v>
      </c>
      <c r="B36" s="1" t="s">
        <v>46</v>
      </c>
      <c r="C36" s="11">
        <v>1575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534</v>
      </c>
      <c r="B37" s="1" t="s">
        <v>46</v>
      </c>
      <c r="C37" s="11">
        <v>53803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 t="s">
        <v>535</v>
      </c>
      <c r="B38" s="1" t="s">
        <v>46</v>
      </c>
      <c r="C38" s="11">
        <v>5191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 t="s">
        <v>536</v>
      </c>
      <c r="B39" s="1" t="s">
        <v>46</v>
      </c>
      <c r="C39" s="11">
        <v>9627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 t="s">
        <v>537</v>
      </c>
      <c r="B40" s="1" t="s">
        <v>46</v>
      </c>
      <c r="C40" s="11">
        <v>2518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 t="s">
        <v>538</v>
      </c>
      <c r="B41" s="1" t="s">
        <v>46</v>
      </c>
      <c r="C41" s="11">
        <v>3967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 t="s">
        <v>539</v>
      </c>
      <c r="B42" s="1" t="s">
        <v>46</v>
      </c>
      <c r="C42" s="11">
        <v>6292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 t="s">
        <v>540</v>
      </c>
      <c r="B43" s="1" t="s">
        <v>46</v>
      </c>
      <c r="C43" s="11">
        <v>35241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 t="s">
        <v>541</v>
      </c>
      <c r="B44" s="1" t="s">
        <v>46</v>
      </c>
      <c r="C44" s="11">
        <v>335405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 t="s">
        <v>542</v>
      </c>
      <c r="B45" s="1" t="s">
        <v>46</v>
      </c>
      <c r="C45" s="18">
        <f>C33-C44</f>
        <v>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G1"/>
    <mergeCell ref="A2:G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U26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59" t="s">
        <v>543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60" t="s">
        <v>544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  <c r="O6" s="17"/>
      <c r="P6" s="17"/>
      <c r="Q6" s="17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545</v>
      </c>
      <c r="B7" s="1" t="s">
        <v>49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3">
        <f>M33</f>
        <v>1870</v>
      </c>
      <c r="O7" s="23">
        <f>N33</f>
        <v>2431.103979</v>
      </c>
      <c r="P7" s="23">
        <f>O33</f>
        <v>3093.0101109491516</v>
      </c>
      <c r="Q7" s="23">
        <f>P33</f>
        <v>3850.1676255432558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139</v>
      </c>
      <c r="B8" s="1" t="s">
        <v>48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4">
        <f>Assumptions!C6</f>
        <v>0.95499999999999996</v>
      </c>
      <c r="O8" s="24">
        <f>Assumptions!D6</f>
        <v>0.95699999999999996</v>
      </c>
      <c r="P8" s="24">
        <f>Assumptions!E6</f>
        <v>0.96</v>
      </c>
      <c r="Q8" s="24">
        <f>Assumptions!F6</f>
        <v>0.96199999999999997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546</v>
      </c>
      <c r="B9" s="1" t="s">
        <v>49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3">
        <f>N7*N8</f>
        <v>1785.85</v>
      </c>
      <c r="O9" s="23">
        <f>O7*O8</f>
        <v>2326.566507903</v>
      </c>
      <c r="P9" s="23">
        <f>P7*P8</f>
        <v>2969.2897065111856</v>
      </c>
      <c r="Q9" s="23">
        <f>Q7*Q8</f>
        <v>3703.8612557726119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50</v>
      </c>
      <c r="B10" s="1" t="s">
        <v>49</v>
      </c>
      <c r="C10" s="21">
        <f>'Raw Operating'!C10</f>
        <v>301</v>
      </c>
      <c r="D10" s="21">
        <f>'Raw Operating'!D10</f>
        <v>320</v>
      </c>
      <c r="E10" s="21">
        <f>'Raw Operating'!E10</f>
        <v>339</v>
      </c>
      <c r="F10" s="21">
        <f>'Raw Operating'!F10</f>
        <v>390</v>
      </c>
      <c r="G10" s="21">
        <f>'Raw Operating'!G10</f>
        <v>468</v>
      </c>
      <c r="H10" s="21">
        <f>'Raw Operating'!H10</f>
        <v>520</v>
      </c>
      <c r="I10" s="21">
        <f>'Raw Operating'!I10</f>
        <v>720</v>
      </c>
      <c r="J10" s="21">
        <f>'Raw Operating'!J10</f>
        <v>869</v>
      </c>
      <c r="K10" s="21">
        <f>'Raw Operating'!K10</f>
        <v>1019</v>
      </c>
      <c r="L10" s="21">
        <f>'Raw Operating'!L10</f>
        <v>1505</v>
      </c>
      <c r="M10" s="21">
        <f>'Raw Operating'!M10</f>
        <v>1752</v>
      </c>
      <c r="N10" s="23">
        <f>'Acquisition &amp; Debt'!C17+'Raw Operating'!M10</f>
        <v>2242</v>
      </c>
      <c r="O10" s="23">
        <f>N10*(1+Assumptions!D7)</f>
        <v>2466.2000000000003</v>
      </c>
      <c r="P10" s="23">
        <f>O10*(1+Assumptions!E7)</f>
        <v>2688.1580000000004</v>
      </c>
      <c r="Q10" s="23">
        <f>P10*(1+Assumptions!F7)</f>
        <v>2903.2106400000007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141</v>
      </c>
      <c r="B11" s="1" t="s">
        <v>48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4">
        <f>Assumptions!C7</f>
        <v>0.12</v>
      </c>
      <c r="O11" s="24">
        <f>Assumptions!D7</f>
        <v>0.1</v>
      </c>
      <c r="P11" s="24">
        <f>Assumptions!E7</f>
        <v>0.09</v>
      </c>
      <c r="Q11" s="24">
        <f>Assumptions!F7</f>
        <v>0.08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547</v>
      </c>
      <c r="B12" s="1" t="s">
        <v>49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3">
        <f>N10-M10</f>
        <v>490</v>
      </c>
      <c r="O12" s="23">
        <f>O10-N10</f>
        <v>224.20000000000027</v>
      </c>
      <c r="P12" s="23">
        <f>P10-O10</f>
        <v>221.95800000000008</v>
      </c>
      <c r="Q12" s="23">
        <f>Q10-P10</f>
        <v>215.05264000000034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548</v>
      </c>
      <c r="B13" s="1" t="s">
        <v>48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4">
        <f>Assumptions!C8</f>
        <v>0.04</v>
      </c>
      <c r="O13" s="24">
        <f>Assumptions!D8</f>
        <v>4.2000000000000003E-2</v>
      </c>
      <c r="P13" s="24">
        <f>Assumptions!E8</f>
        <v>4.3999999999999997E-2</v>
      </c>
      <c r="Q13" s="24">
        <f>Assumptions!F8</f>
        <v>4.4999999999999998E-2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549</v>
      </c>
      <c r="B14" s="1" t="s">
        <v>49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3">
        <f>N12*N13</f>
        <v>19.600000000000001</v>
      </c>
      <c r="O14" s="23">
        <f>O12*O13</f>
        <v>9.4164000000000119</v>
      </c>
      <c r="P14" s="23">
        <f>P12*P13</f>
        <v>9.7661520000000035</v>
      </c>
      <c r="Q14" s="23">
        <f>Q12*Q13</f>
        <v>9.6773688000000142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51</v>
      </c>
      <c r="B15" s="1" t="s">
        <v>49</v>
      </c>
      <c r="C15" s="21">
        <f>'Raw Operating'!C9</f>
        <v>420</v>
      </c>
      <c r="D15" s="21">
        <f>'Raw Operating'!D9</f>
        <v>457</v>
      </c>
      <c r="E15" s="21">
        <f>'Raw Operating'!E9</f>
        <v>507</v>
      </c>
      <c r="F15" s="21">
        <f>'Raw Operating'!F9</f>
        <v>646</v>
      </c>
      <c r="G15" s="21">
        <f>'Raw Operating'!G9</f>
        <v>748</v>
      </c>
      <c r="H15" s="21">
        <f>'Raw Operating'!H9</f>
        <v>781</v>
      </c>
      <c r="I15" s="21">
        <f>'Raw Operating'!I9</f>
        <v>1151</v>
      </c>
      <c r="J15" s="21">
        <f>'Raw Operating'!J9</f>
        <v>1265</v>
      </c>
      <c r="K15" s="21">
        <f>'Raw Operating'!K9</f>
        <v>1973</v>
      </c>
      <c r="L15" s="21">
        <f>'Raw Operating'!L9</f>
        <v>3456</v>
      </c>
      <c r="M15" s="21">
        <f>'Raw Operating'!M9</f>
        <v>2262</v>
      </c>
      <c r="N15" s="23">
        <f>'Raw Operating'!M9*(1+Assumptions!C9)</f>
        <v>2488.2000000000003</v>
      </c>
      <c r="O15" s="23">
        <f>N15*(1+Assumptions!D9)</f>
        <v>2737.0200000000004</v>
      </c>
      <c r="P15" s="23">
        <f>O15*(1+Assumptions!E9)</f>
        <v>2983.3518000000008</v>
      </c>
      <c r="Q15" s="23">
        <f>P15*(1+Assumptions!F9)</f>
        <v>3222.019944000001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145</v>
      </c>
      <c r="B16" s="1" t="s">
        <v>48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4">
        <f>Assumptions!C9</f>
        <v>0.1</v>
      </c>
      <c r="O16" s="24">
        <f>Assumptions!D9</f>
        <v>0.1</v>
      </c>
      <c r="P16" s="24">
        <f>Assumptions!E9</f>
        <v>0.09</v>
      </c>
      <c r="Q16" s="24">
        <f>Assumptions!F9</f>
        <v>0.08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550</v>
      </c>
      <c r="B17" s="1" t="s">
        <v>49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3">
        <f>N15-M15</f>
        <v>226.20000000000027</v>
      </c>
      <c r="O17" s="23">
        <f>O15-N15</f>
        <v>248.82000000000016</v>
      </c>
      <c r="P17" s="23">
        <f>P15-O15</f>
        <v>246.33180000000038</v>
      </c>
      <c r="Q17" s="23">
        <f>Q15-P15</f>
        <v>238.66814400000021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551</v>
      </c>
      <c r="B18" s="1" t="s">
        <v>48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4">
        <f>Assumptions!C10</f>
        <v>0.06</v>
      </c>
      <c r="O18" s="24">
        <f>Assumptions!D10</f>
        <v>6.2E-2</v>
      </c>
      <c r="P18" s="24">
        <f>Assumptions!E10</f>
        <v>6.5000000000000002E-2</v>
      </c>
      <c r="Q18" s="24">
        <f>Assumptions!F10</f>
        <v>6.7000000000000004E-2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552</v>
      </c>
      <c r="B19" s="1" t="s">
        <v>49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3">
        <f>N17*N18</f>
        <v>13.572000000000015</v>
      </c>
      <c r="O19" s="23">
        <f>O17*O18</f>
        <v>15.426840000000009</v>
      </c>
      <c r="P19" s="23">
        <f>P17*P18</f>
        <v>16.011567000000024</v>
      </c>
      <c r="Q19" s="23">
        <f>Q17*Q18</f>
        <v>15.990765648000016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149</v>
      </c>
      <c r="B20" s="1" t="s">
        <v>48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4">
        <f>Assumptions!C11</f>
        <v>0.01</v>
      </c>
      <c r="O20" s="24">
        <f>Assumptions!D11</f>
        <v>1.4999999999999999E-2</v>
      </c>
      <c r="P20" s="24">
        <f>Assumptions!E11</f>
        <v>1.4999999999999999E-2</v>
      </c>
      <c r="Q20" s="24">
        <f>Assumptions!F11</f>
        <v>1.4999999999999999E-2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553</v>
      </c>
      <c r="B21" s="1" t="s">
        <v>49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3">
        <f>N9*N20</f>
        <v>17.858499999999999</v>
      </c>
      <c r="O21" s="23">
        <f>O9*O20</f>
        <v>34.898497618545001</v>
      </c>
      <c r="P21" s="23">
        <f>P9*P20</f>
        <v>44.539345597667783</v>
      </c>
      <c r="Q21" s="23">
        <f>Q9*Q20</f>
        <v>55.557918836589174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151</v>
      </c>
      <c r="B22" s="1" t="s">
        <v>48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4">
        <f>Assumptions!C12</f>
        <v>0.56999999999999995</v>
      </c>
      <c r="O22" s="24">
        <f>Assumptions!D12</f>
        <v>0.56000000000000005</v>
      </c>
      <c r="P22" s="24">
        <f>Assumptions!E12</f>
        <v>0.55000000000000004</v>
      </c>
      <c r="Q22" s="24">
        <f>Assumptions!F12</f>
        <v>0.54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554</v>
      </c>
      <c r="B23" s="1" t="s">
        <v>48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4">
        <f>Assumptions!C13</f>
        <v>0.01</v>
      </c>
      <c r="O23" s="24">
        <f>Assumptions!D13</f>
        <v>0.01</v>
      </c>
      <c r="P23" s="24">
        <f>Assumptions!E13</f>
        <v>8.0000000000000002E-3</v>
      </c>
      <c r="Q23" s="24">
        <f>Assumptions!F13</f>
        <v>5.0000000000000001E-3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69</v>
      </c>
      <c r="B24" s="1" t="s">
        <v>49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3">
        <f>-N9*N22*N23</f>
        <v>-10.179344999999998</v>
      </c>
      <c r="O24" s="23">
        <f>-O9*O22*O23</f>
        <v>-13.028772444256802</v>
      </c>
      <c r="P24" s="23">
        <f>-P9*P22*P23</f>
        <v>-13.064874708649219</v>
      </c>
      <c r="Q24" s="23">
        <f>-Q9*Q22*Q23</f>
        <v>-10.000425390586052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155</v>
      </c>
      <c r="B25" s="1" t="s">
        <v>48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4">
        <f>Assumptions!C14</f>
        <v>8.0000000000000002E-3</v>
      </c>
      <c r="O25" s="24">
        <f>Assumptions!D14</f>
        <v>0.01</v>
      </c>
      <c r="P25" s="24">
        <f>Assumptions!E14</f>
        <v>1.2E-2</v>
      </c>
      <c r="Q25" s="24">
        <f>Assumptions!F14</f>
        <v>1.2999999999999999E-2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555</v>
      </c>
      <c r="B26" s="1" t="s">
        <v>49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3">
        <f>N9*(1-N22)*N25</f>
        <v>6.1433240000000007</v>
      </c>
      <c r="O26" s="23">
        <f>O9*(1-O22)*O25</f>
        <v>10.236892634773199</v>
      </c>
      <c r="P26" s="23">
        <f>P9*(1-P22)*P25</f>
        <v>16.034164415160401</v>
      </c>
      <c r="Q26" s="23">
        <f>Q9*(1-Q22)*Q25</f>
        <v>22.149090309520219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157</v>
      </c>
      <c r="B27" s="1" t="s">
        <v>48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4">
        <f>Assumptions!C15</f>
        <v>0.02</v>
      </c>
      <c r="O27" s="24">
        <f>Assumptions!D15</f>
        <v>0.03</v>
      </c>
      <c r="P27" s="24">
        <f>Assumptions!E15</f>
        <v>3.5000000000000003E-2</v>
      </c>
      <c r="Q27" s="24">
        <f>Assumptions!F15</f>
        <v>0.04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68</v>
      </c>
      <c r="B28" s="1" t="s">
        <v>49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3">
        <f>N9*N27</f>
        <v>35.716999999999999</v>
      </c>
      <c r="O28" s="23">
        <f>O9*O27</f>
        <v>69.796995237090002</v>
      </c>
      <c r="P28" s="23">
        <f>P9*P27</f>
        <v>103.92513972789151</v>
      </c>
      <c r="Q28" s="23">
        <f>Q9*Q27</f>
        <v>148.15445023090447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556</v>
      </c>
      <c r="B29" s="1" t="s">
        <v>49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3">
        <f>'Acquisition &amp; Debt'!C8</f>
        <v>581.54250000000002</v>
      </c>
      <c r="O29" s="23">
        <f>'Acquisition &amp; Debt'!D8</f>
        <v>639.69675000000007</v>
      </c>
      <c r="P29" s="23">
        <f>'Acquisition &amp; Debt'!E8</f>
        <v>703.66642500000012</v>
      </c>
      <c r="Q29" s="23">
        <f>'Acquisition &amp; Debt'!F8</f>
        <v>766.99640325000018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159</v>
      </c>
      <c r="B30" s="1" t="s">
        <v>49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3">
        <f>-Assumptions!C16</f>
        <v>-19</v>
      </c>
      <c r="O30" s="23">
        <f>-Assumptions!D16</f>
        <v>0</v>
      </c>
      <c r="P30" s="23">
        <f>-Assumptions!E16</f>
        <v>0</v>
      </c>
      <c r="Q30" s="23">
        <f>-Assumptions!F16</f>
        <v>0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557</v>
      </c>
      <c r="B31" s="1" t="s">
        <v>49</v>
      </c>
      <c r="C31" s="18">
        <f>'Annual P&amp;L'!C7</f>
        <v>26824.048783999999</v>
      </c>
      <c r="D31" s="18">
        <f>'Annual P&amp;L'!D7</f>
        <v>28021</v>
      </c>
      <c r="E31" s="18">
        <f>'Annual P&amp;L'!E7</f>
        <v>29914</v>
      </c>
      <c r="F31" s="18">
        <f>'Annual P&amp;L'!F7</f>
        <v>36762</v>
      </c>
      <c r="G31" s="18">
        <f>'Annual P&amp;L'!G7</f>
        <v>41839</v>
      </c>
      <c r="H31" s="18">
        <f>'Annual P&amp;L'!H7</f>
        <v>46628</v>
      </c>
      <c r="I31" s="18">
        <f>'Annual P&amp;L'!I7</f>
        <v>64320</v>
      </c>
      <c r="J31" s="18">
        <f>'Annual P&amp;L'!J7</f>
        <v>80146</v>
      </c>
      <c r="K31" s="18">
        <f>'Annual P&amp;L'!K7</f>
        <v>91790</v>
      </c>
      <c r="L31" s="18">
        <f>'Annual P&amp;L'!L7</f>
        <v>120733</v>
      </c>
      <c r="M31" s="18">
        <f>'Annual P&amp;L'!M7</f>
        <v>164027</v>
      </c>
      <c r="N31" s="25">
        <f>N33*N34</f>
        <v>228523.774026</v>
      </c>
      <c r="O31" s="25">
        <f>O33*O34</f>
        <v>293835.96054016938</v>
      </c>
      <c r="P31" s="25">
        <f>P33*P34</f>
        <v>369616.09205215255</v>
      </c>
      <c r="Q31" s="25">
        <f>Q33*Q34</f>
        <v>457101.52226333285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47</v>
      </c>
      <c r="B32" s="1" t="s">
        <v>48</v>
      </c>
      <c r="C32" s="18">
        <f>0</f>
        <v>0</v>
      </c>
      <c r="D32" s="18">
        <f>0</f>
        <v>0</v>
      </c>
      <c r="E32" s="18">
        <f>0</f>
        <v>0</v>
      </c>
      <c r="F32" s="18">
        <f>0</f>
        <v>0</v>
      </c>
      <c r="G32" s="18">
        <f>0</f>
        <v>0</v>
      </c>
      <c r="H32" s="18">
        <f>0</f>
        <v>0</v>
      </c>
      <c r="I32" s="18">
        <f>0</f>
        <v>0</v>
      </c>
      <c r="J32" s="18">
        <f>0</f>
        <v>0</v>
      </c>
      <c r="K32" s="18">
        <f>0</f>
        <v>0</v>
      </c>
      <c r="L32" s="18">
        <f>0</f>
        <v>0</v>
      </c>
      <c r="M32" s="18">
        <f>0</f>
        <v>0</v>
      </c>
      <c r="N32" s="25">
        <f>N31-'Annual P&amp;L'!N7</f>
        <v>0</v>
      </c>
      <c r="O32" s="25">
        <f>O31-'Annual P&amp;L'!O7</f>
        <v>0</v>
      </c>
      <c r="P32" s="25">
        <f>P31-'Annual P&amp;L'!P7</f>
        <v>0</v>
      </c>
      <c r="Q32" s="25">
        <f>Q31-'Annual P&amp;L'!Q7</f>
        <v>0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165</v>
      </c>
      <c r="B33" s="1" t="s">
        <v>166</v>
      </c>
      <c r="C33" s="21">
        <f>IFERROR('Raw Operating'!C7,C31/'Raw Operating'!C29)</f>
        <v>0</v>
      </c>
      <c r="D33" s="21">
        <f>IFERROR('Raw Operating'!D7,D31/'Raw Operating'!D29)</f>
        <v>0</v>
      </c>
      <c r="E33" s="21">
        <f>IFERROR('Raw Operating'!E7,E31/'Raw Operating'!E29)</f>
        <v>0</v>
      </c>
      <c r="F33" s="21">
        <f>IFERROR('Raw Operating'!F7,F31/'Raw Operating'!F29)</f>
        <v>0</v>
      </c>
      <c r="G33" s="21">
        <f>IFERROR('Raw Operating'!G7,G31/'Raw Operating'!G29)</f>
        <v>0</v>
      </c>
      <c r="H33" s="21">
        <f>IFERROR('Raw Operating'!H7,H31/'Raw Operating'!H29)</f>
        <v>0</v>
      </c>
      <c r="I33" s="21">
        <f>IFERROR('Raw Operating'!I7,I31/'Raw Operating'!I29)</f>
        <v>866.5</v>
      </c>
      <c r="J33" s="21">
        <f>IFERROR('Raw Operating'!J7,J31/'Raw Operating'!J29)</f>
        <v>1001.7</v>
      </c>
      <c r="K33" s="21">
        <f>IFERROR('Raw Operating'!K7,K31/'Raw Operating'!K29)</f>
        <v>1118.7</v>
      </c>
      <c r="L33" s="21">
        <f>IFERROR('Raw Operating'!L7,L31/'Raw Operating'!L29)</f>
        <v>1448</v>
      </c>
      <c r="M33" s="21">
        <f>IFERROR('Raw Operating'!M7,M31/'Raw Operating'!M29)</f>
        <v>1870</v>
      </c>
      <c r="N33" s="23">
        <f>SUM(N9,N14,N19,N21,N24,N26,N28:N30)</f>
        <v>2431.103979</v>
      </c>
      <c r="O33" s="23">
        <f>SUM(O9,O14,O19,O21,O24,O26,O28:O30)</f>
        <v>3093.0101109491516</v>
      </c>
      <c r="P33" s="23">
        <f>SUM(P9,P14,P19,P21,P24,P26,P28:P30)</f>
        <v>3850.1676255432558</v>
      </c>
      <c r="Q33" s="23">
        <f>SUM(Q9,Q14,Q19,Q21,Q24,Q26,Q28:Q30)</f>
        <v>4712.3868274570395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45</v>
      </c>
      <c r="B34" s="1" t="s">
        <v>46</v>
      </c>
      <c r="C34" s="22" t="str">
        <f t="shared" ref="C34:M34" si="0">IFERROR(C31/C33,"")</f>
        <v/>
      </c>
      <c r="D34" s="22" t="str">
        <f t="shared" si="0"/>
        <v/>
      </c>
      <c r="E34" s="22" t="str">
        <f t="shared" si="0"/>
        <v/>
      </c>
      <c r="F34" s="22" t="str">
        <f t="shared" si="0"/>
        <v/>
      </c>
      <c r="G34" s="22" t="str">
        <f t="shared" si="0"/>
        <v/>
      </c>
      <c r="H34" s="22" t="str">
        <f t="shared" si="0"/>
        <v/>
      </c>
      <c r="I34" s="22">
        <f t="shared" si="0"/>
        <v>74.22965954991345</v>
      </c>
      <c r="J34" s="22">
        <f t="shared" si="0"/>
        <v>80.009983028850954</v>
      </c>
      <c r="K34" s="22">
        <f t="shared" si="0"/>
        <v>82.050594439974972</v>
      </c>
      <c r="L34" s="22">
        <f t="shared" si="0"/>
        <v>83.379143646408835</v>
      </c>
      <c r="M34" s="22">
        <f t="shared" si="0"/>
        <v>87.714973262032089</v>
      </c>
      <c r="N34" s="26">
        <f>Assumptions!C19</f>
        <v>94</v>
      </c>
      <c r="O34" s="26">
        <f>Assumptions!D19</f>
        <v>95</v>
      </c>
      <c r="P34" s="26">
        <f>Assumptions!E19</f>
        <v>96</v>
      </c>
      <c r="Q34" s="26">
        <f>Assumptions!F19</f>
        <v>97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47</v>
      </c>
      <c r="B35" s="1" t="s">
        <v>48</v>
      </c>
      <c r="C35" s="1"/>
      <c r="D35" s="19" t="str">
        <f t="shared" ref="D35:Q35" si="1">IFERROR(D33/C33-1,"")</f>
        <v/>
      </c>
      <c r="E35" s="19" t="str">
        <f t="shared" si="1"/>
        <v/>
      </c>
      <c r="F35" s="19" t="str">
        <f t="shared" si="1"/>
        <v/>
      </c>
      <c r="G35" s="19" t="str">
        <f t="shared" si="1"/>
        <v/>
      </c>
      <c r="H35" s="19" t="str">
        <f t="shared" si="1"/>
        <v/>
      </c>
      <c r="I35" s="19" t="str">
        <f t="shared" si="1"/>
        <v/>
      </c>
      <c r="J35" s="19">
        <f t="shared" si="1"/>
        <v>0.15603000577034054</v>
      </c>
      <c r="K35" s="19">
        <f t="shared" si="1"/>
        <v>0.11680143755615457</v>
      </c>
      <c r="L35" s="19">
        <f t="shared" si="1"/>
        <v>0.29435952444801994</v>
      </c>
      <c r="M35" s="19">
        <f t="shared" si="1"/>
        <v>0.29143646408839774</v>
      </c>
      <c r="N35" s="24">
        <f t="shared" si="1"/>
        <v>0.30005560374331552</v>
      </c>
      <c r="O35" s="24">
        <f t="shared" si="1"/>
        <v>0.2722656610604608</v>
      </c>
      <c r="P35" s="24">
        <f t="shared" si="1"/>
        <v>0.24479632701936294</v>
      </c>
      <c r="Q35" s="24">
        <f t="shared" si="1"/>
        <v>0.22394328916838391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558</v>
      </c>
      <c r="B36" s="1" t="s">
        <v>46</v>
      </c>
      <c r="C36" s="1"/>
      <c r="D36" s="19">
        <f t="shared" ref="D36:Q36" si="2">IFERROR(D31/C31-1,"")</f>
        <v>4.462231729588706E-2</v>
      </c>
      <c r="E36" s="19">
        <f t="shared" si="2"/>
        <v>6.7556475500517577E-2</v>
      </c>
      <c r="F36" s="19">
        <f t="shared" si="2"/>
        <v>0.22892291234873308</v>
      </c>
      <c r="G36" s="19">
        <f t="shared" si="2"/>
        <v>0.13810456449594688</v>
      </c>
      <c r="H36" s="19">
        <f t="shared" si="2"/>
        <v>0.11446258275771415</v>
      </c>
      <c r="I36" s="19">
        <f t="shared" si="2"/>
        <v>0.37942866946898857</v>
      </c>
      <c r="J36" s="19">
        <f t="shared" si="2"/>
        <v>0.24605099502487571</v>
      </c>
      <c r="K36" s="19">
        <f t="shared" si="2"/>
        <v>0.14528485513937062</v>
      </c>
      <c r="L36" s="19">
        <f t="shared" si="2"/>
        <v>0.31531757272033989</v>
      </c>
      <c r="M36" s="19">
        <f t="shared" si="2"/>
        <v>0.35859292819693045</v>
      </c>
      <c r="N36" s="24">
        <f t="shared" si="2"/>
        <v>0.39320827684466586</v>
      </c>
      <c r="O36" s="24">
        <f t="shared" si="2"/>
        <v>0.28580040213557201</v>
      </c>
      <c r="P36" s="24">
        <f t="shared" si="2"/>
        <v>0.25789944625114569</v>
      </c>
      <c r="Q36" s="24">
        <f t="shared" si="2"/>
        <v>0.23669269843055463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  <c r="O37" s="17"/>
      <c r="P37" s="17"/>
      <c r="Q37" s="17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  <c r="O38" s="17"/>
      <c r="P38" s="17"/>
      <c r="Q38" s="17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  <c r="O39" s="17"/>
      <c r="P39" s="17"/>
      <c r="Q39" s="17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  <c r="O40" s="17"/>
      <c r="P40" s="17"/>
      <c r="Q40" s="1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  <c r="O41" s="17"/>
      <c r="P41" s="17"/>
      <c r="Q41" s="17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  <c r="O42" s="17"/>
      <c r="P42" s="17"/>
      <c r="Q42" s="17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  <c r="O43" s="17"/>
      <c r="P43" s="17"/>
      <c r="Q43" s="1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  <c r="O44" s="17"/>
      <c r="P44" s="17"/>
      <c r="Q44" s="1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  <c r="O45" s="17"/>
      <c r="P45" s="17"/>
      <c r="Q45" s="17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  <c r="O46" s="17"/>
      <c r="P46" s="17"/>
      <c r="Q46" s="1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  <c r="O47" s="17"/>
      <c r="P47" s="17"/>
      <c r="Q47" s="1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  <c r="O48" s="17"/>
      <c r="P48" s="17"/>
      <c r="Q48" s="17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  <c r="O49" s="17"/>
      <c r="P49" s="17"/>
      <c r="Q49" s="1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  <c r="O50" s="17"/>
      <c r="P50" s="17"/>
      <c r="Q50" s="1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  <c r="O51" s="17"/>
      <c r="P51" s="17"/>
      <c r="Q51" s="1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  <c r="O52" s="17"/>
      <c r="P52" s="17"/>
      <c r="Q52" s="1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  <c r="O53" s="17"/>
      <c r="P53" s="17"/>
      <c r="Q53" s="1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  <c r="O54" s="17"/>
      <c r="P54" s="17"/>
      <c r="Q54" s="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  <c r="O55" s="17"/>
      <c r="P55" s="17"/>
      <c r="Q55" s="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  <c r="O56" s="17"/>
      <c r="P56" s="17"/>
      <c r="Q56" s="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17"/>
      <c r="P57" s="17"/>
      <c r="Q57" s="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  <c r="O58" s="17"/>
      <c r="P58" s="17"/>
      <c r="Q58" s="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  <c r="O60" s="17"/>
      <c r="P60" s="17"/>
      <c r="Q60" s="1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  <c r="O61" s="17"/>
      <c r="P61" s="17"/>
      <c r="Q61" s="1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  <c r="O62" s="17"/>
      <c r="P62" s="17"/>
      <c r="Q62" s="1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  <c r="O63" s="17"/>
      <c r="P63" s="17"/>
      <c r="Q63" s="1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  <c r="O64" s="17"/>
      <c r="P64" s="17"/>
      <c r="Q64" s="1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7"/>
      <c r="O65" s="17"/>
      <c r="P65" s="17"/>
      <c r="Q65" s="1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7"/>
      <c r="O66" s="17"/>
      <c r="P66" s="17"/>
      <c r="Q66" s="1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7"/>
      <c r="O67" s="17"/>
      <c r="P67" s="17"/>
      <c r="Q67" s="1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7"/>
      <c r="O68" s="17"/>
      <c r="P68" s="17"/>
      <c r="Q68" s="1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7"/>
      <c r="O69" s="17"/>
      <c r="P69" s="17"/>
      <c r="Q69" s="1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7"/>
      <c r="O70" s="17"/>
      <c r="P70" s="17"/>
      <c r="Q70" s="1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7"/>
      <c r="O71" s="17"/>
      <c r="P71" s="17"/>
      <c r="Q71" s="17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7"/>
      <c r="O72" s="17"/>
      <c r="P72" s="17"/>
      <c r="Q72" s="17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7"/>
      <c r="O73" s="17"/>
      <c r="P73" s="17"/>
      <c r="Q73" s="1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7"/>
      <c r="O74" s="17"/>
      <c r="P74" s="17"/>
      <c r="Q74" s="1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7"/>
      <c r="O75" s="17"/>
      <c r="P75" s="17"/>
      <c r="Q75" s="17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7"/>
      <c r="O76" s="17"/>
      <c r="P76" s="17"/>
      <c r="Q76" s="17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7"/>
      <c r="O77" s="17"/>
      <c r="P77" s="17"/>
      <c r="Q77" s="17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7"/>
      <c r="O78" s="17"/>
      <c r="P78" s="17"/>
      <c r="Q78" s="1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7"/>
      <c r="O79" s="17"/>
      <c r="P79" s="17"/>
      <c r="Q79" s="1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7"/>
      <c r="O80" s="17"/>
      <c r="P80" s="17"/>
      <c r="Q80" s="17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7"/>
      <c r="O81" s="17"/>
      <c r="P81" s="17"/>
      <c r="Q81" s="17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7"/>
      <c r="O82" s="17"/>
      <c r="P82" s="17"/>
      <c r="Q82" s="17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7"/>
      <c r="O83" s="17"/>
      <c r="P83" s="17"/>
      <c r="Q83" s="17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7"/>
      <c r="O84" s="17"/>
      <c r="P84" s="17"/>
      <c r="Q84" s="1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7"/>
      <c r="O85" s="17"/>
      <c r="P85" s="17"/>
      <c r="Q85" s="17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7"/>
      <c r="O86" s="17"/>
      <c r="P86" s="17"/>
      <c r="Q86" s="17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7"/>
      <c r="O87" s="17"/>
      <c r="P87" s="17"/>
      <c r="Q87" s="17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7"/>
      <c r="O88" s="17"/>
      <c r="P88" s="17"/>
      <c r="Q88" s="17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7"/>
      <c r="O89" s="17"/>
      <c r="P89" s="17"/>
      <c r="Q89" s="1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7"/>
      <c r="O90" s="17"/>
      <c r="P90" s="17"/>
      <c r="Q90" s="1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7"/>
      <c r="O91" s="17"/>
      <c r="P91" s="17"/>
      <c r="Q91" s="17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7"/>
      <c r="O92" s="17"/>
      <c r="P92" s="17"/>
      <c r="Q92" s="17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7"/>
      <c r="O93" s="17"/>
      <c r="P93" s="17"/>
      <c r="Q93" s="1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7"/>
      <c r="O94" s="17"/>
      <c r="P94" s="17"/>
      <c r="Q94" s="1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7"/>
      <c r="O95" s="17"/>
      <c r="P95" s="17"/>
      <c r="Q95" s="17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7"/>
      <c r="O96" s="17"/>
      <c r="P96" s="17"/>
      <c r="Q96" s="17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7"/>
      <c r="O97" s="17"/>
      <c r="P97" s="17"/>
      <c r="Q97" s="17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7"/>
      <c r="O98" s="17"/>
      <c r="P98" s="17"/>
      <c r="Q98" s="1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7"/>
      <c r="O99" s="17"/>
      <c r="P99" s="17"/>
      <c r="Q99" s="1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7"/>
      <c r="O100" s="17"/>
      <c r="P100" s="17"/>
      <c r="Q100" s="17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7"/>
      <c r="O101" s="17"/>
      <c r="P101" s="17"/>
      <c r="Q101" s="17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7"/>
      <c r="O102" s="17"/>
      <c r="P102" s="17"/>
      <c r="Q102" s="17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7"/>
      <c r="O103" s="17"/>
      <c r="P103" s="17"/>
      <c r="Q103" s="1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7"/>
      <c r="O104" s="17"/>
      <c r="P104" s="17"/>
      <c r="Q104" s="1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7"/>
      <c r="O105" s="17"/>
      <c r="P105" s="17"/>
      <c r="Q105" s="17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7"/>
      <c r="O106" s="17"/>
      <c r="P106" s="17"/>
      <c r="Q106" s="17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7"/>
      <c r="O107" s="17"/>
      <c r="P107" s="17"/>
      <c r="Q107" s="1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7"/>
      <c r="O108" s="17"/>
      <c r="P108" s="17"/>
      <c r="Q108" s="17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7"/>
      <c r="O109" s="17"/>
      <c r="P109" s="17"/>
      <c r="Q109" s="1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7"/>
      <c r="O110" s="17"/>
      <c r="P110" s="17"/>
      <c r="Q110" s="17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7"/>
      <c r="O111" s="17"/>
      <c r="P111" s="17"/>
      <c r="Q111" s="17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7"/>
      <c r="O112" s="17"/>
      <c r="P112" s="17"/>
      <c r="Q112" s="1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7"/>
      <c r="O113" s="17"/>
      <c r="P113" s="17"/>
      <c r="Q113" s="1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7"/>
      <c r="O114" s="17"/>
      <c r="P114" s="17"/>
      <c r="Q114" s="1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7"/>
      <c r="O115" s="17"/>
      <c r="P115" s="17"/>
      <c r="Q115" s="17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7"/>
      <c r="O116" s="17"/>
      <c r="P116" s="17"/>
      <c r="Q116" s="17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7"/>
      <c r="O117" s="17"/>
      <c r="P117" s="17"/>
      <c r="Q117" s="17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7"/>
      <c r="O118" s="17"/>
      <c r="P118" s="17"/>
      <c r="Q118" s="1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7"/>
      <c r="O119" s="17"/>
      <c r="P119" s="17"/>
      <c r="Q119" s="17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7"/>
      <c r="O120" s="17"/>
      <c r="P120" s="17"/>
      <c r="Q120" s="17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7"/>
      <c r="O121" s="17"/>
      <c r="P121" s="17"/>
      <c r="Q121" s="17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7"/>
      <c r="O122" s="17"/>
      <c r="P122" s="17"/>
      <c r="Q122" s="1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7"/>
      <c r="O123" s="17"/>
      <c r="P123" s="17"/>
      <c r="Q123" s="1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7"/>
      <c r="O124" s="17"/>
      <c r="P124" s="17"/>
      <c r="Q124" s="1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7"/>
      <c r="O125" s="17"/>
      <c r="P125" s="17"/>
      <c r="Q125" s="1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7"/>
      <c r="O126" s="17"/>
      <c r="P126" s="17"/>
      <c r="Q126" s="1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7"/>
      <c r="O127" s="17"/>
      <c r="P127" s="17"/>
      <c r="Q127" s="1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7"/>
      <c r="O128" s="17"/>
      <c r="P128" s="17"/>
      <c r="Q128" s="1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7"/>
      <c r="O129" s="17"/>
      <c r="P129" s="17"/>
      <c r="Q129" s="1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7"/>
      <c r="O130" s="17"/>
      <c r="P130" s="17"/>
      <c r="Q130" s="1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7"/>
      <c r="O131" s="17"/>
      <c r="P131" s="17"/>
      <c r="Q131" s="1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7"/>
      <c r="O132" s="17"/>
      <c r="P132" s="17"/>
      <c r="Q132" s="1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7"/>
      <c r="O133" s="17"/>
      <c r="P133" s="17"/>
      <c r="Q133" s="1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7"/>
      <c r="O134" s="17"/>
      <c r="P134" s="17"/>
      <c r="Q134" s="1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7"/>
      <c r="O135" s="17"/>
      <c r="P135" s="17"/>
      <c r="Q135" s="1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7"/>
      <c r="O136" s="17"/>
      <c r="P136" s="17"/>
      <c r="Q136" s="1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7"/>
      <c r="O137" s="17"/>
      <c r="P137" s="17"/>
      <c r="Q137" s="1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7"/>
      <c r="O138" s="17"/>
      <c r="P138" s="17"/>
      <c r="Q138" s="1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7"/>
      <c r="O139" s="17"/>
      <c r="P139" s="17"/>
      <c r="Q139" s="1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7"/>
      <c r="O140" s="17"/>
      <c r="P140" s="17"/>
      <c r="Q140" s="1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7"/>
      <c r="O141" s="17"/>
      <c r="P141" s="17"/>
      <c r="Q141" s="1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7"/>
      <c r="O142" s="17"/>
      <c r="P142" s="17"/>
      <c r="Q142" s="1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7"/>
      <c r="O143" s="17"/>
      <c r="P143" s="17"/>
      <c r="Q143" s="1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7"/>
      <c r="O144" s="17"/>
      <c r="P144" s="17"/>
      <c r="Q144" s="1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7"/>
      <c r="O145" s="17"/>
      <c r="P145" s="17"/>
      <c r="Q145" s="1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7"/>
      <c r="O146" s="17"/>
      <c r="P146" s="17"/>
      <c r="Q146" s="1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7"/>
      <c r="O147" s="17"/>
      <c r="P147" s="17"/>
      <c r="Q147" s="1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7"/>
      <c r="O148" s="17"/>
      <c r="P148" s="17"/>
      <c r="Q148" s="1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7"/>
      <c r="O149" s="17"/>
      <c r="P149" s="17"/>
      <c r="Q149" s="1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7"/>
      <c r="O150" s="17"/>
      <c r="P150" s="17"/>
      <c r="Q150" s="1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7"/>
      <c r="O151" s="17"/>
      <c r="P151" s="17"/>
      <c r="Q151" s="1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7"/>
      <c r="O152" s="17"/>
      <c r="P152" s="17"/>
      <c r="Q152" s="1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7"/>
      <c r="O153" s="17"/>
      <c r="P153" s="17"/>
      <c r="Q153" s="1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7"/>
      <c r="O154" s="17"/>
      <c r="P154" s="17"/>
      <c r="Q154" s="1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7"/>
      <c r="O155" s="17"/>
      <c r="P155" s="17"/>
      <c r="Q155" s="1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7"/>
      <c r="O156" s="17"/>
      <c r="P156" s="17"/>
      <c r="Q156" s="1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7"/>
      <c r="O157" s="17"/>
      <c r="P157" s="17"/>
      <c r="Q157" s="17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7"/>
      <c r="O158" s="17"/>
      <c r="P158" s="17"/>
      <c r="Q158" s="1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7"/>
      <c r="O159" s="17"/>
      <c r="P159" s="17"/>
      <c r="Q159" s="17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7"/>
      <c r="O160" s="17"/>
      <c r="P160" s="17"/>
      <c r="Q160" s="17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7"/>
      <c r="O161" s="17"/>
      <c r="P161" s="17"/>
      <c r="Q161" s="17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7"/>
      <c r="O162" s="17"/>
      <c r="P162" s="17"/>
      <c r="Q162" s="17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7"/>
      <c r="O163" s="17"/>
      <c r="P163" s="17"/>
      <c r="Q163" s="17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7"/>
      <c r="O164" s="17"/>
      <c r="P164" s="17"/>
      <c r="Q164" s="17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7"/>
      <c r="O165" s="17"/>
      <c r="P165" s="17"/>
      <c r="Q165" s="1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7"/>
      <c r="O166" s="17"/>
      <c r="P166" s="17"/>
      <c r="Q166" s="1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7"/>
      <c r="O167" s="17"/>
      <c r="P167" s="17"/>
      <c r="Q167" s="17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7"/>
      <c r="O168" s="17"/>
      <c r="P168" s="17"/>
      <c r="Q168" s="17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7"/>
      <c r="O169" s="17"/>
      <c r="P169" s="17"/>
      <c r="Q169" s="17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7"/>
      <c r="O170" s="17"/>
      <c r="P170" s="17"/>
      <c r="Q170" s="17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7"/>
      <c r="O171" s="17"/>
      <c r="P171" s="17"/>
      <c r="Q171" s="17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7"/>
      <c r="O172" s="17"/>
      <c r="P172" s="17"/>
      <c r="Q172" s="17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7"/>
      <c r="O173" s="17"/>
      <c r="P173" s="17"/>
      <c r="Q173" s="17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7"/>
      <c r="O174" s="17"/>
      <c r="P174" s="17"/>
      <c r="Q174" s="17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7"/>
      <c r="O175" s="17"/>
      <c r="P175" s="17"/>
      <c r="Q175" s="1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7"/>
      <c r="O176" s="17"/>
      <c r="P176" s="17"/>
      <c r="Q176" s="17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7"/>
      <c r="O177" s="17"/>
      <c r="P177" s="17"/>
      <c r="Q177" s="17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7"/>
      <c r="O178" s="17"/>
      <c r="P178" s="17"/>
      <c r="Q178" s="17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7"/>
      <c r="O179" s="17"/>
      <c r="P179" s="17"/>
      <c r="Q179" s="17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7"/>
      <c r="O180" s="17"/>
      <c r="P180" s="17"/>
      <c r="Q180" s="17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7"/>
      <c r="O181" s="17"/>
      <c r="P181" s="17"/>
      <c r="Q181" s="17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7"/>
      <c r="O182" s="17"/>
      <c r="P182" s="17"/>
      <c r="Q182" s="17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7"/>
      <c r="O183" s="17"/>
      <c r="P183" s="17"/>
      <c r="Q183" s="17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7"/>
      <c r="O184" s="17"/>
      <c r="P184" s="17"/>
      <c r="Q184" s="17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7"/>
      <c r="O185" s="17"/>
      <c r="P185" s="17"/>
      <c r="Q185" s="17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7"/>
      <c r="O186" s="17"/>
      <c r="P186" s="17"/>
      <c r="Q186" s="17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7"/>
      <c r="O187" s="17"/>
      <c r="P187" s="17"/>
      <c r="Q187" s="17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7"/>
      <c r="O188" s="17"/>
      <c r="P188" s="17"/>
      <c r="Q188" s="17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7"/>
      <c r="O189" s="17"/>
      <c r="P189" s="17"/>
      <c r="Q189" s="17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7"/>
      <c r="O190" s="17"/>
      <c r="P190" s="17"/>
      <c r="Q190" s="17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7"/>
      <c r="O191" s="17"/>
      <c r="P191" s="17"/>
      <c r="Q191" s="17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7"/>
      <c r="O192" s="17"/>
      <c r="P192" s="17"/>
      <c r="Q192" s="17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7"/>
      <c r="O193" s="17"/>
      <c r="P193" s="17"/>
      <c r="Q193" s="17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7"/>
      <c r="O194" s="17"/>
      <c r="P194" s="17"/>
      <c r="Q194" s="17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7"/>
      <c r="O195" s="17"/>
      <c r="P195" s="17"/>
      <c r="Q195" s="17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7"/>
      <c r="O196" s="17"/>
      <c r="P196" s="17"/>
      <c r="Q196" s="17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7"/>
      <c r="O197" s="17"/>
      <c r="P197" s="17"/>
      <c r="Q197" s="17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7"/>
      <c r="O198" s="17"/>
      <c r="P198" s="17"/>
      <c r="Q198" s="17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7"/>
      <c r="O199" s="17"/>
      <c r="P199" s="17"/>
      <c r="Q199" s="17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7"/>
      <c r="O200" s="17"/>
      <c r="P200" s="17"/>
      <c r="Q200" s="17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7"/>
      <c r="O201" s="17"/>
      <c r="P201" s="17"/>
      <c r="Q201" s="17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7"/>
      <c r="O202" s="17"/>
      <c r="P202" s="17"/>
      <c r="Q202" s="17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7"/>
      <c r="O203" s="17"/>
      <c r="P203" s="17"/>
      <c r="Q203" s="17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7"/>
      <c r="O204" s="17"/>
      <c r="P204" s="17"/>
      <c r="Q204" s="17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7"/>
      <c r="O205" s="17"/>
      <c r="P205" s="17"/>
      <c r="Q205" s="17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7"/>
      <c r="O206" s="17"/>
      <c r="P206" s="17"/>
      <c r="Q206" s="17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7"/>
      <c r="O207" s="17"/>
      <c r="P207" s="17"/>
      <c r="Q207" s="17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7"/>
      <c r="O208" s="17"/>
      <c r="P208" s="17"/>
      <c r="Q208" s="17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7"/>
      <c r="O209" s="17"/>
      <c r="P209" s="17"/>
      <c r="Q209" s="1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7"/>
      <c r="O210" s="17"/>
      <c r="P210" s="17"/>
      <c r="Q210" s="1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7"/>
      <c r="O211" s="17"/>
      <c r="P211" s="17"/>
      <c r="Q211" s="1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7"/>
      <c r="O212" s="17"/>
      <c r="P212" s="17"/>
      <c r="Q212" s="1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7"/>
      <c r="O213" s="17"/>
      <c r="P213" s="17"/>
      <c r="Q213" s="1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7"/>
      <c r="O214" s="17"/>
      <c r="P214" s="17"/>
      <c r="Q214" s="1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7"/>
      <c r="O215" s="17"/>
      <c r="P215" s="17"/>
      <c r="Q215" s="1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7"/>
      <c r="O216" s="17"/>
      <c r="P216" s="17"/>
      <c r="Q216" s="1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7"/>
      <c r="O217" s="17"/>
      <c r="P217" s="17"/>
      <c r="Q217" s="1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7"/>
      <c r="O218" s="17"/>
      <c r="P218" s="17"/>
      <c r="Q218" s="1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7"/>
      <c r="O219" s="17"/>
      <c r="P219" s="17"/>
      <c r="Q219" s="1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7"/>
      <c r="O220" s="17"/>
      <c r="P220" s="17"/>
      <c r="Q220" s="1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7"/>
      <c r="O221" s="17"/>
      <c r="P221" s="17"/>
      <c r="Q221" s="1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7"/>
      <c r="O222" s="17"/>
      <c r="P222" s="17"/>
      <c r="Q222" s="1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7"/>
      <c r="O223" s="17"/>
      <c r="P223" s="17"/>
      <c r="Q223" s="1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7"/>
      <c r="O224" s="17"/>
      <c r="P224" s="17"/>
      <c r="Q224" s="1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7"/>
      <c r="O225" s="17"/>
      <c r="P225" s="17"/>
      <c r="Q225" s="1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7"/>
      <c r="O226" s="17"/>
      <c r="P226" s="17"/>
      <c r="Q226" s="1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7"/>
      <c r="O227" s="17"/>
      <c r="P227" s="17"/>
      <c r="Q227" s="1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7"/>
      <c r="O228" s="17"/>
      <c r="P228" s="17"/>
      <c r="Q228" s="1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7"/>
      <c r="O229" s="17"/>
      <c r="P229" s="17"/>
      <c r="Q229" s="1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7"/>
      <c r="O230" s="17"/>
      <c r="P230" s="17"/>
      <c r="Q230" s="1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U26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59" t="s">
        <v>559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60" t="s">
        <v>560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  <c r="O6" s="17"/>
      <c r="P6" s="17"/>
      <c r="Q6" s="17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8" customHeight="1">
      <c r="A7" s="62" t="s">
        <v>561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3"/>
      <c r="O7" s="63"/>
      <c r="P7" s="63"/>
      <c r="Q7" s="63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407</v>
      </c>
      <c r="B8" s="1" t="s">
        <v>48</v>
      </c>
      <c r="C8" s="19">
        <f>'Raw Operating'!C11</f>
        <v>0.17</v>
      </c>
      <c r="D8" s="19">
        <f>'Raw Operating'!D11</f>
        <v>0.19</v>
      </c>
      <c r="E8" s="19">
        <f>'Raw Operating'!E11</f>
        <v>0.17</v>
      </c>
      <c r="F8" s="19">
        <f>'Raw Operating'!F11</f>
        <v>0.16</v>
      </c>
      <c r="G8" s="19">
        <f>'Raw Operating'!G11</f>
        <v>0.16</v>
      </c>
      <c r="H8" s="19">
        <f>'Raw Operating'!H11</f>
        <v>0.17</v>
      </c>
      <c r="I8" s="19">
        <f>'Raw Operating'!I11</f>
        <v>0.255</v>
      </c>
      <c r="J8" s="19">
        <f>'Raw Operating'!J11</f>
        <v>0.307</v>
      </c>
      <c r="K8" s="19">
        <f>'Raw Operating'!K11</f>
        <v>0.32200000000000001</v>
      </c>
      <c r="L8" s="19">
        <f>'Raw Operating'!L11</f>
        <v>0.30499999999999999</v>
      </c>
      <c r="M8" s="19">
        <f>'Raw Operating'!M11</f>
        <v>0.26500000000000001</v>
      </c>
      <c r="N8" s="24">
        <f>M8</f>
        <v>0.26500000000000001</v>
      </c>
      <c r="O8" s="24">
        <f>N8</f>
        <v>0.26500000000000001</v>
      </c>
      <c r="P8" s="24">
        <f>O8</f>
        <v>0.26500000000000001</v>
      </c>
      <c r="Q8" s="24">
        <f>P8</f>
        <v>0.26500000000000001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562</v>
      </c>
      <c r="B9" s="1" t="s">
        <v>46</v>
      </c>
      <c r="C9" s="18">
        <f>IF(C8="","",C8*'Annual P&amp;L'!C7)</f>
        <v>4560.0882932800005</v>
      </c>
      <c r="D9" s="18">
        <f>IF(D8="","",D8*'Annual P&amp;L'!D7)</f>
        <v>5323.99</v>
      </c>
      <c r="E9" s="18">
        <f>IF(E8="","",E8*'Annual P&amp;L'!E7)</f>
        <v>5085.38</v>
      </c>
      <c r="F9" s="18">
        <f>IF(F8="","",F8*'Annual P&amp;L'!F7)</f>
        <v>5881.92</v>
      </c>
      <c r="G9" s="18">
        <f>IF(G8="","",G8*'Annual P&amp;L'!G7)</f>
        <v>6694.24</v>
      </c>
      <c r="H9" s="18">
        <f>IF(H8="","",H8*'Annual P&amp;L'!H7)</f>
        <v>7926.76</v>
      </c>
      <c r="I9" s="18">
        <f>IF(I8="","",I8*'Annual P&amp;L'!I7)</f>
        <v>16401.599999999999</v>
      </c>
      <c r="J9" s="18">
        <f>IF(J8="","",J8*'Annual P&amp;L'!J7)</f>
        <v>24604.822</v>
      </c>
      <c r="K9" s="18">
        <f>IF(K8="","",K8*'Annual P&amp;L'!K7)</f>
        <v>29556.38</v>
      </c>
      <c r="L9" s="18">
        <f>IF(L8="","",L8*'Annual P&amp;L'!L7)</f>
        <v>36823.565000000002</v>
      </c>
      <c r="M9" s="18">
        <f>IF(M8="","",M8*'Annual P&amp;L'!M7)</f>
        <v>43467.154999999999</v>
      </c>
      <c r="N9" s="25">
        <f>IF(N8="","",N8*'Annual P&amp;L'!N7)</f>
        <v>60558.800116890001</v>
      </c>
      <c r="O9" s="25">
        <f>IF(O8="","",O8*'Annual P&amp;L'!O7)</f>
        <v>77866.52954314489</v>
      </c>
      <c r="P9" s="25">
        <f>IF(P8="","",P8*'Annual P&amp;L'!P7)</f>
        <v>97948.264393820427</v>
      </c>
      <c r="Q9" s="25">
        <f>IF(Q8="","",Q8*'Annual P&amp;L'!Q7)</f>
        <v>121131.90339978322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408</v>
      </c>
      <c r="B10" s="1" t="s">
        <v>48</v>
      </c>
      <c r="C10" s="19">
        <f>'Raw Operating'!C12</f>
        <v>0.21</v>
      </c>
      <c r="D10" s="19">
        <f>'Raw Operating'!D12</f>
        <v>0.23</v>
      </c>
      <c r="E10" s="19">
        <f>'Raw Operating'!E12</f>
        <v>0.26</v>
      </c>
      <c r="F10" s="19">
        <f>'Raw Operating'!F12</f>
        <v>0.28999999999999998</v>
      </c>
      <c r="G10" s="19">
        <f>'Raw Operating'!G12</f>
        <v>0.3</v>
      </c>
      <c r="H10" s="19">
        <f>'Raw Operating'!H12</f>
        <v>0.32</v>
      </c>
      <c r="I10" s="19">
        <f>'Raw Operating'!I12</f>
        <v>0.28300000000000003</v>
      </c>
      <c r="J10" s="19">
        <f>'Raw Operating'!J12</f>
        <v>0.22600000000000001</v>
      </c>
      <c r="K10" s="19">
        <f>'Raw Operating'!K12</f>
        <v>0.222</v>
      </c>
      <c r="L10" s="19">
        <f>'Raw Operating'!L12</f>
        <v>0.185</v>
      </c>
      <c r="M10" s="19">
        <f>'Raw Operating'!M12</f>
        <v>0.15</v>
      </c>
      <c r="N10" s="24">
        <f>M10</f>
        <v>0.15</v>
      </c>
      <c r="O10" s="24">
        <f>N10</f>
        <v>0.15</v>
      </c>
      <c r="P10" s="24">
        <f>O10</f>
        <v>0.15</v>
      </c>
      <c r="Q10" s="24">
        <f>P10</f>
        <v>0.15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563</v>
      </c>
      <c r="B11" s="1" t="s">
        <v>46</v>
      </c>
      <c r="C11" s="18">
        <f>IF(C10="","",C10*'Annual P&amp;L'!C7)</f>
        <v>5633.0502446399996</v>
      </c>
      <c r="D11" s="18">
        <f>IF(D10="","",D10*'Annual P&amp;L'!D7)</f>
        <v>6444.83</v>
      </c>
      <c r="E11" s="18">
        <f>IF(E10="","",E10*'Annual P&amp;L'!E7)</f>
        <v>7777.64</v>
      </c>
      <c r="F11" s="18">
        <f>IF(F10="","",F10*'Annual P&amp;L'!F7)</f>
        <v>10660.98</v>
      </c>
      <c r="G11" s="18">
        <f>IF(G10="","",G10*'Annual P&amp;L'!G7)</f>
        <v>12551.699999999999</v>
      </c>
      <c r="H11" s="18">
        <f>IF(H10="","",H10*'Annual P&amp;L'!H7)</f>
        <v>14920.960000000001</v>
      </c>
      <c r="I11" s="18">
        <f>IF(I10="","",I10*'Annual P&amp;L'!I7)</f>
        <v>18202.560000000001</v>
      </c>
      <c r="J11" s="18">
        <f>IF(J10="","",J10*'Annual P&amp;L'!J7)</f>
        <v>18112.995999999999</v>
      </c>
      <c r="K11" s="18">
        <f>IF(K10="","",K10*'Annual P&amp;L'!K7)</f>
        <v>20377.38</v>
      </c>
      <c r="L11" s="18">
        <f>IF(L10="","",L10*'Annual P&amp;L'!L7)</f>
        <v>22335.605</v>
      </c>
      <c r="M11" s="18">
        <f>IF(M10="","",M10*'Annual P&amp;L'!M7)</f>
        <v>24604.05</v>
      </c>
      <c r="N11" s="25">
        <f>IF(N10="","",N10*'Annual P&amp;L'!N7)</f>
        <v>34278.566103899997</v>
      </c>
      <c r="O11" s="25">
        <f>IF(O10="","",O10*'Annual P&amp;L'!O7)</f>
        <v>44075.394081025406</v>
      </c>
      <c r="P11" s="25">
        <f>IF(P10="","",P10*'Annual P&amp;L'!P7)</f>
        <v>55442.413807822879</v>
      </c>
      <c r="Q11" s="25">
        <f>IF(Q10="","",Q10*'Annual P&amp;L'!Q7)</f>
        <v>68565.228339499925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564</v>
      </c>
      <c r="B12" s="1" t="s">
        <v>48</v>
      </c>
      <c r="C12" s="19">
        <f>'Raw Operating'!C13</f>
        <v>0.35</v>
      </c>
      <c r="D12" s="19">
        <f>'Raw Operating'!D13</f>
        <v>0.32</v>
      </c>
      <c r="E12" s="19">
        <f>'Raw Operating'!E13</f>
        <v>0.27</v>
      </c>
      <c r="F12" s="19">
        <f>'Raw Operating'!F13</f>
        <v>0.27</v>
      </c>
      <c r="G12" s="19">
        <f>'Raw Operating'!G13</f>
        <v>0.28000000000000003</v>
      </c>
      <c r="H12" s="19">
        <f>'Raw Operating'!H13</f>
        <v>0.19</v>
      </c>
      <c r="I12" s="19">
        <f>'Raw Operating'!I13</f>
        <v>0.19</v>
      </c>
      <c r="J12" s="19">
        <f>'Raw Operating'!J13</f>
        <v>0.191</v>
      </c>
      <c r="K12" s="19">
        <f>'Raw Operating'!K13</f>
        <v>0.18</v>
      </c>
      <c r="L12" s="19">
        <f>'Raw Operating'!L13</f>
        <v>0.183</v>
      </c>
      <c r="M12" s="19">
        <f>'Raw Operating'!M13</f>
        <v>0.23</v>
      </c>
      <c r="N12" s="24">
        <f>M12</f>
        <v>0.23</v>
      </c>
      <c r="O12" s="24">
        <f>N12</f>
        <v>0.23</v>
      </c>
      <c r="P12" s="24">
        <f>O12</f>
        <v>0.23</v>
      </c>
      <c r="Q12" s="24">
        <f>P12</f>
        <v>0.23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565</v>
      </c>
      <c r="B13" s="1" t="s">
        <v>46</v>
      </c>
      <c r="C13" s="18">
        <f>IF(C12="","",C12*'Annual P&amp;L'!C7)</f>
        <v>9388.4170743999985</v>
      </c>
      <c r="D13" s="18">
        <f>IF(D12="","",D12*'Annual P&amp;L'!D7)</f>
        <v>8966.7199999999993</v>
      </c>
      <c r="E13" s="18">
        <f>IF(E12="","",E12*'Annual P&amp;L'!E7)</f>
        <v>8076.7800000000007</v>
      </c>
      <c r="F13" s="18">
        <f>IF(F12="","",F12*'Annual P&amp;L'!F7)</f>
        <v>9925.74</v>
      </c>
      <c r="G13" s="18">
        <f>IF(G12="","",G12*'Annual P&amp;L'!G7)</f>
        <v>11714.920000000002</v>
      </c>
      <c r="H13" s="18">
        <f>IF(H12="","",H12*'Annual P&amp;L'!H7)</f>
        <v>8859.32</v>
      </c>
      <c r="I13" s="18">
        <f>IF(I12="","",I12*'Annual P&amp;L'!I7)</f>
        <v>12220.8</v>
      </c>
      <c r="J13" s="18">
        <f>IF(J12="","",J12*'Annual P&amp;L'!J7)</f>
        <v>15307.886</v>
      </c>
      <c r="K13" s="18">
        <f>IF(K12="","",K12*'Annual P&amp;L'!K7)</f>
        <v>16522.2</v>
      </c>
      <c r="L13" s="18">
        <f>IF(L12="","",L12*'Annual P&amp;L'!L7)</f>
        <v>22094.138999999999</v>
      </c>
      <c r="M13" s="18">
        <f>IF(M12="","",M12*'Annual P&amp;L'!M7)</f>
        <v>37726.21</v>
      </c>
      <c r="N13" s="25">
        <f>IF(N12="","",N12*'Annual P&amp;L'!N7)</f>
        <v>52560.468025980001</v>
      </c>
      <c r="O13" s="25">
        <f>IF(O12="","",O12*'Annual P&amp;L'!O7)</f>
        <v>67582.270924238968</v>
      </c>
      <c r="P13" s="25">
        <f>IF(P12="","",P12*'Annual P&amp;L'!P7)</f>
        <v>85011.701171995097</v>
      </c>
      <c r="Q13" s="25">
        <f>IF(Q12="","",Q12*'Annual P&amp;L'!Q7)</f>
        <v>105133.35012056657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411</v>
      </c>
      <c r="B14" s="1" t="s">
        <v>48</v>
      </c>
      <c r="C14" s="19">
        <f>'Raw Operating'!C15</f>
        <v>0</v>
      </c>
      <c r="D14" s="19">
        <f>'Raw Operating'!D15</f>
        <v>0</v>
      </c>
      <c r="E14" s="19">
        <f>'Raw Operating'!E15</f>
        <v>0</v>
      </c>
      <c r="F14" s="19">
        <f>'Raw Operating'!F15</f>
        <v>0</v>
      </c>
      <c r="G14" s="19">
        <f>'Raw Operating'!G15</f>
        <v>0</v>
      </c>
      <c r="H14" s="19">
        <f>'Raw Operating'!H15</f>
        <v>0</v>
      </c>
      <c r="I14" s="19">
        <f>'Raw Operating'!I15</f>
        <v>0</v>
      </c>
      <c r="J14" s="19">
        <f>'Raw Operating'!J15</f>
        <v>0</v>
      </c>
      <c r="K14" s="19">
        <f>'Raw Operating'!K15</f>
        <v>0</v>
      </c>
      <c r="L14" s="19">
        <f>'Raw Operating'!L15</f>
        <v>7.0000000000000007E-2</v>
      </c>
      <c r="M14" s="19">
        <f>'Raw Operating'!M15</f>
        <v>0.10800000000000001</v>
      </c>
      <c r="N14" s="24">
        <f>M14</f>
        <v>0.10800000000000001</v>
      </c>
      <c r="O14" s="24">
        <f>N14</f>
        <v>0.10800000000000001</v>
      </c>
      <c r="P14" s="24">
        <f>O14</f>
        <v>0.10800000000000001</v>
      </c>
      <c r="Q14" s="24">
        <f>P14</f>
        <v>0.10800000000000001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566</v>
      </c>
      <c r="B15" s="1" t="s">
        <v>46</v>
      </c>
      <c r="C15" s="18">
        <f>IF(C14="","",C14*'Annual P&amp;L'!C7)</f>
        <v>0</v>
      </c>
      <c r="D15" s="18">
        <f>IF(D14="","",D14*'Annual P&amp;L'!D7)</f>
        <v>0</v>
      </c>
      <c r="E15" s="18">
        <f>IF(E14="","",E14*'Annual P&amp;L'!E7)</f>
        <v>0</v>
      </c>
      <c r="F15" s="18">
        <f>IF(F14="","",F14*'Annual P&amp;L'!F7)</f>
        <v>0</v>
      </c>
      <c r="G15" s="18">
        <f>IF(G14="","",G14*'Annual P&amp;L'!G7)</f>
        <v>0</v>
      </c>
      <c r="H15" s="18">
        <f>IF(H14="","",H14*'Annual P&amp;L'!H7)</f>
        <v>0</v>
      </c>
      <c r="I15" s="18">
        <f>IF(I14="","",I14*'Annual P&amp;L'!I7)</f>
        <v>0</v>
      </c>
      <c r="J15" s="18">
        <f>IF(J14="","",J14*'Annual P&amp;L'!J7)</f>
        <v>0</v>
      </c>
      <c r="K15" s="18">
        <f>IF(K14="","",K14*'Annual P&amp;L'!K7)</f>
        <v>0</v>
      </c>
      <c r="L15" s="18">
        <f>IF(L14="","",L14*'Annual P&amp;L'!L7)</f>
        <v>8451.3100000000013</v>
      </c>
      <c r="M15" s="18">
        <f>IF(M14="","",M14*'Annual P&amp;L'!M7)</f>
        <v>17714.916000000001</v>
      </c>
      <c r="N15" s="25">
        <f>IF(N14="","",N14*'Annual P&amp;L'!N7)</f>
        <v>24680.567594808002</v>
      </c>
      <c r="O15" s="25">
        <f>IF(O14="","",O14*'Annual P&amp;L'!O7)</f>
        <v>31734.283738338298</v>
      </c>
      <c r="P15" s="25">
        <f>IF(P14="","",P14*'Annual P&amp;L'!P7)</f>
        <v>39918.537941632479</v>
      </c>
      <c r="Q15" s="25">
        <f>IF(Q14="","",Q14*'Annual P&amp;L'!Q7)</f>
        <v>49366.964404439954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567</v>
      </c>
      <c r="B16" s="1" t="s">
        <v>48</v>
      </c>
      <c r="C16" s="19">
        <f>'Raw Operating'!C14</f>
        <v>0.04</v>
      </c>
      <c r="D16" s="19">
        <f>'Raw Operating'!D14</f>
        <v>0.03</v>
      </c>
      <c r="E16" s="19">
        <f>'Raw Operating'!E14</f>
        <v>0.01</v>
      </c>
      <c r="F16" s="19">
        <f>'Raw Operating'!F14</f>
        <v>0</v>
      </c>
      <c r="G16" s="19">
        <f>'Raw Operating'!G14</f>
        <v>0</v>
      </c>
      <c r="H16" s="19">
        <f>'Raw Operating'!H14</f>
        <v>0</v>
      </c>
      <c r="I16" s="19">
        <f>'Raw Operating'!I14</f>
        <v>0</v>
      </c>
      <c r="J16" s="19">
        <f>'Raw Operating'!J14</f>
        <v>0</v>
      </c>
      <c r="K16" s="19">
        <f>'Raw Operating'!K14</f>
        <v>0</v>
      </c>
      <c r="L16" s="19">
        <f>'Raw Operating'!L14</f>
        <v>7.6999999999999999E-2</v>
      </c>
      <c r="M16" s="19">
        <f>'Raw Operating'!M14</f>
        <v>7.0000000000000007E-2</v>
      </c>
      <c r="N16" s="24">
        <f>M16</f>
        <v>7.0000000000000007E-2</v>
      </c>
      <c r="O16" s="24">
        <f>N16</f>
        <v>7.0000000000000007E-2</v>
      </c>
      <c r="P16" s="24">
        <f>O16</f>
        <v>7.0000000000000007E-2</v>
      </c>
      <c r="Q16" s="24">
        <f>P16</f>
        <v>7.0000000000000007E-2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568</v>
      </c>
      <c r="B17" s="1" t="s">
        <v>46</v>
      </c>
      <c r="C17" s="18">
        <f>IF(C16="","",C16*'Annual P&amp;L'!C7)</f>
        <v>1072.9619513600001</v>
      </c>
      <c r="D17" s="18">
        <f>IF(D16="","",D16*'Annual P&amp;L'!D7)</f>
        <v>840.63</v>
      </c>
      <c r="E17" s="18">
        <f>IF(E16="","",E16*'Annual P&amp;L'!E7)</f>
        <v>299.14</v>
      </c>
      <c r="F17" s="18">
        <f>IF(F16="","",F16*'Annual P&amp;L'!F7)</f>
        <v>0</v>
      </c>
      <c r="G17" s="18">
        <f>IF(G16="","",G16*'Annual P&amp;L'!G7)</f>
        <v>0</v>
      </c>
      <c r="H17" s="18">
        <f>IF(H16="","",H16*'Annual P&amp;L'!H7)</f>
        <v>0</v>
      </c>
      <c r="I17" s="18">
        <f>IF(I16="","",I16*'Annual P&amp;L'!I7)</f>
        <v>0</v>
      </c>
      <c r="J17" s="18">
        <f>IF(J16="","",J16*'Annual P&amp;L'!J7)</f>
        <v>0</v>
      </c>
      <c r="K17" s="18">
        <f>IF(K16="","",K16*'Annual P&amp;L'!K7)</f>
        <v>0</v>
      </c>
      <c r="L17" s="18">
        <f>IF(L16="","",L16*'Annual P&amp;L'!L7)</f>
        <v>9296.4410000000007</v>
      </c>
      <c r="M17" s="18">
        <f>IF(M16="","",M16*'Annual P&amp;L'!M7)</f>
        <v>11481.890000000001</v>
      </c>
      <c r="N17" s="25">
        <f>IF(N16="","",N16*'Annual P&amp;L'!N7)</f>
        <v>15996.664181820002</v>
      </c>
      <c r="O17" s="25">
        <f>IF(O16="","",O16*'Annual P&amp;L'!O7)</f>
        <v>20568.517237811859</v>
      </c>
      <c r="P17" s="25">
        <f>IF(P16="","",P16*'Annual P&amp;L'!P7)</f>
        <v>25873.126443650683</v>
      </c>
      <c r="Q17" s="25">
        <f>IF(Q16="","",Q16*'Annual P&amp;L'!Q7)</f>
        <v>31997.106558433301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412</v>
      </c>
      <c r="B18" s="1" t="s">
        <v>48</v>
      </c>
      <c r="C18" s="19">
        <f>'Raw Operating'!C16</f>
        <v>0.08</v>
      </c>
      <c r="D18" s="19">
        <f>'Raw Operating'!D16</f>
        <v>0</v>
      </c>
      <c r="E18" s="19">
        <f>'Raw Operating'!E16</f>
        <v>0</v>
      </c>
      <c r="F18" s="19">
        <f>'Raw Operating'!F16</f>
        <v>0</v>
      </c>
      <c r="G18" s="19">
        <f>'Raw Operating'!G16</f>
        <v>0</v>
      </c>
      <c r="H18" s="19">
        <f>'Raw Operating'!H16</f>
        <v>0</v>
      </c>
      <c r="I18" s="19">
        <f>'Raw Operating'!I16</f>
        <v>0</v>
      </c>
      <c r="J18" s="19">
        <f>'Raw Operating'!J16</f>
        <v>0</v>
      </c>
      <c r="K18" s="19">
        <f>'Raw Operating'!K16</f>
        <v>0</v>
      </c>
      <c r="L18" s="19">
        <f>'Raw Operating'!L16</f>
        <v>0</v>
      </c>
      <c r="M18" s="19">
        <f>'Raw Operating'!M16</f>
        <v>0</v>
      </c>
      <c r="N18" s="24">
        <f>M18</f>
        <v>0</v>
      </c>
      <c r="O18" s="24">
        <f>N18</f>
        <v>0</v>
      </c>
      <c r="P18" s="24">
        <f>O18</f>
        <v>0</v>
      </c>
      <c r="Q18" s="24">
        <f>P18</f>
        <v>0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569</v>
      </c>
      <c r="B19" s="1" t="s">
        <v>46</v>
      </c>
      <c r="C19" s="18">
        <f>IF(C18="","",C18*'Annual P&amp;L'!C7)</f>
        <v>2145.9239027200001</v>
      </c>
      <c r="D19" s="18">
        <f>IF(D18="","",D18*'Annual P&amp;L'!D7)</f>
        <v>0</v>
      </c>
      <c r="E19" s="18">
        <f>IF(E18="","",E18*'Annual P&amp;L'!E7)</f>
        <v>0</v>
      </c>
      <c r="F19" s="18">
        <f>IF(F18="","",F18*'Annual P&amp;L'!F7)</f>
        <v>0</v>
      </c>
      <c r="G19" s="18">
        <f>IF(G18="","",G18*'Annual P&amp;L'!G7)</f>
        <v>0</v>
      </c>
      <c r="H19" s="18">
        <f>IF(H18="","",H18*'Annual P&amp;L'!H7)</f>
        <v>0</v>
      </c>
      <c r="I19" s="18">
        <f>IF(I18="","",I18*'Annual P&amp;L'!I7)</f>
        <v>0</v>
      </c>
      <c r="J19" s="18">
        <f>IF(J18="","",J18*'Annual P&amp;L'!J7)</f>
        <v>0</v>
      </c>
      <c r="K19" s="18">
        <f>IF(K18="","",K18*'Annual P&amp;L'!K7)</f>
        <v>0</v>
      </c>
      <c r="L19" s="18">
        <f>IF(L18="","",L18*'Annual P&amp;L'!L7)</f>
        <v>0</v>
      </c>
      <c r="M19" s="18">
        <f>IF(M18="","",M18*'Annual P&amp;L'!M7)</f>
        <v>0</v>
      </c>
      <c r="N19" s="25">
        <f>IF(N18="","",N18*'Annual P&amp;L'!N7)</f>
        <v>0</v>
      </c>
      <c r="O19" s="25">
        <f>IF(O18="","",O18*'Annual P&amp;L'!O7)</f>
        <v>0</v>
      </c>
      <c r="P19" s="25">
        <f>IF(P18="","",P18*'Annual P&amp;L'!P7)</f>
        <v>0</v>
      </c>
      <c r="Q19" s="25">
        <f>IF(Q18="","",Q18*'Annual P&amp;L'!Q7)</f>
        <v>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413</v>
      </c>
      <c r="B20" s="1" t="s">
        <v>48</v>
      </c>
      <c r="C20" s="19">
        <f>'Raw Operating'!C17</f>
        <v>0.15</v>
      </c>
      <c r="D20" s="19">
        <f>'Raw Operating'!D17</f>
        <v>0</v>
      </c>
      <c r="E20" s="19">
        <f>'Raw Operating'!E17</f>
        <v>0</v>
      </c>
      <c r="F20" s="19">
        <f>'Raw Operating'!F17</f>
        <v>0.28000000000000003</v>
      </c>
      <c r="G20" s="19">
        <f>'Raw Operating'!G17</f>
        <v>0.26</v>
      </c>
      <c r="H20" s="19">
        <f>'Raw Operating'!H17</f>
        <v>0.31</v>
      </c>
      <c r="I20" s="19">
        <f>'Raw Operating'!I17</f>
        <v>0</v>
      </c>
      <c r="J20" s="19">
        <f>'Raw Operating'!J17</f>
        <v>0.27500000000000002</v>
      </c>
      <c r="K20" s="19">
        <f>'Raw Operating'!K17</f>
        <v>0.27600000000000002</v>
      </c>
      <c r="L20" s="19">
        <f>'Raw Operating'!L17</f>
        <v>0.17899999999999999</v>
      </c>
      <c r="M20" s="19">
        <f>'Raw Operating'!M17</f>
        <v>0.17699999999999999</v>
      </c>
      <c r="N20" s="24">
        <f>M20</f>
        <v>0.17699999999999999</v>
      </c>
      <c r="O20" s="24">
        <f>N20</f>
        <v>0.17699999999999999</v>
      </c>
      <c r="P20" s="24">
        <f>O20</f>
        <v>0.17699999999999999</v>
      </c>
      <c r="Q20" s="24">
        <f>P20</f>
        <v>0.17699999999999999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570</v>
      </c>
      <c r="B21" s="1" t="s">
        <v>46</v>
      </c>
      <c r="C21" s="18">
        <f>IF(C20="","",C20*'Annual P&amp;L'!C7)</f>
        <v>4023.6073175999995</v>
      </c>
      <c r="D21" s="18">
        <f>IF(D20="","",D20*'Annual P&amp;L'!D7)</f>
        <v>0</v>
      </c>
      <c r="E21" s="18">
        <f>IF(E20="","",E20*'Annual P&amp;L'!E7)</f>
        <v>0</v>
      </c>
      <c r="F21" s="18">
        <f>IF(F20="","",F20*'Annual P&amp;L'!F7)</f>
        <v>10293.36</v>
      </c>
      <c r="G21" s="18">
        <f>IF(G20="","",G20*'Annual P&amp;L'!G7)</f>
        <v>10878.140000000001</v>
      </c>
      <c r="H21" s="18">
        <f>IF(H20="","",H20*'Annual P&amp;L'!H7)</f>
        <v>14454.68</v>
      </c>
      <c r="I21" s="18">
        <f>IF(I20="","",I20*'Annual P&amp;L'!I7)</f>
        <v>0</v>
      </c>
      <c r="J21" s="18">
        <f>IF(J20="","",J20*'Annual P&amp;L'!J7)</f>
        <v>22040.15</v>
      </c>
      <c r="K21" s="18">
        <f>IF(K20="","",K20*'Annual P&amp;L'!K7)</f>
        <v>25334.04</v>
      </c>
      <c r="L21" s="18">
        <f>IF(L20="","",L20*'Annual P&amp;L'!L7)</f>
        <v>21611.206999999999</v>
      </c>
      <c r="M21" s="18">
        <f>IF(M20="","",M20*'Annual P&amp;L'!M7)</f>
        <v>29032.778999999999</v>
      </c>
      <c r="N21" s="25">
        <f>IF(N20="","",N20*'Annual P&amp;L'!N7)</f>
        <v>40448.708002601998</v>
      </c>
      <c r="O21" s="25">
        <f>IF(O20="","",O20*'Annual P&amp;L'!O7)</f>
        <v>52008.965015609981</v>
      </c>
      <c r="P21" s="25">
        <f>IF(P20="","",P20*'Annual P&amp;L'!P7)</f>
        <v>65422.048293230997</v>
      </c>
      <c r="Q21" s="25">
        <f>IF(Q20="","",Q20*'Annual P&amp;L'!Q7)</f>
        <v>80906.969440609915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571</v>
      </c>
      <c r="B22" s="1" t="s">
        <v>48</v>
      </c>
      <c r="C22" s="19">
        <f t="shared" ref="C22:Q22" si="0">IF(COUNT(C8,C10,C12,C14,C16,C18,C20)=0,"",SUM(C8,C10,C12,C14,C16,C18,C20))</f>
        <v>1</v>
      </c>
      <c r="D22" s="19">
        <f t="shared" si="0"/>
        <v>0.77</v>
      </c>
      <c r="E22" s="19">
        <f t="shared" si="0"/>
        <v>0.71000000000000008</v>
      </c>
      <c r="F22" s="19">
        <f t="shared" si="0"/>
        <v>1</v>
      </c>
      <c r="G22" s="19">
        <f t="shared" si="0"/>
        <v>1</v>
      </c>
      <c r="H22" s="19">
        <f t="shared" si="0"/>
        <v>0.99</v>
      </c>
      <c r="I22" s="19">
        <f t="shared" si="0"/>
        <v>0.72799999999999998</v>
      </c>
      <c r="J22" s="19">
        <f t="shared" si="0"/>
        <v>0.999</v>
      </c>
      <c r="K22" s="19">
        <f t="shared" si="0"/>
        <v>1</v>
      </c>
      <c r="L22" s="19">
        <f t="shared" si="0"/>
        <v>0.99900000000000011</v>
      </c>
      <c r="M22" s="19">
        <f t="shared" si="0"/>
        <v>1</v>
      </c>
      <c r="N22" s="24">
        <f t="shared" si="0"/>
        <v>1</v>
      </c>
      <c r="O22" s="24">
        <f t="shared" si="0"/>
        <v>1</v>
      </c>
      <c r="P22" s="24">
        <f t="shared" si="0"/>
        <v>1</v>
      </c>
      <c r="Q22" s="24">
        <f t="shared" si="0"/>
        <v>1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572</v>
      </c>
      <c r="B23" s="1" t="s">
        <v>46</v>
      </c>
      <c r="C23" s="18">
        <f t="shared" ref="C23:Q23" si="1">SUM(C9,C11,C13,C15,C17,C19,C21)</f>
        <v>26824.048783999999</v>
      </c>
      <c r="D23" s="18">
        <f t="shared" si="1"/>
        <v>21576.170000000002</v>
      </c>
      <c r="E23" s="18">
        <f t="shared" si="1"/>
        <v>21238.940000000002</v>
      </c>
      <c r="F23" s="18">
        <f t="shared" si="1"/>
        <v>36762</v>
      </c>
      <c r="G23" s="18">
        <f t="shared" si="1"/>
        <v>41839</v>
      </c>
      <c r="H23" s="18">
        <f t="shared" si="1"/>
        <v>46161.72</v>
      </c>
      <c r="I23" s="18">
        <f t="shared" si="1"/>
        <v>46824.960000000006</v>
      </c>
      <c r="J23" s="18">
        <f t="shared" si="1"/>
        <v>80065.853999999992</v>
      </c>
      <c r="K23" s="18">
        <f t="shared" si="1"/>
        <v>91790</v>
      </c>
      <c r="L23" s="18">
        <f t="shared" si="1"/>
        <v>120612.26699999999</v>
      </c>
      <c r="M23" s="18">
        <f t="shared" si="1"/>
        <v>164027.00000000003</v>
      </c>
      <c r="N23" s="25">
        <f t="shared" si="1"/>
        <v>228523.774026</v>
      </c>
      <c r="O23" s="25">
        <f t="shared" si="1"/>
        <v>293835.96054016938</v>
      </c>
      <c r="P23" s="25">
        <f t="shared" si="1"/>
        <v>369616.09205215261</v>
      </c>
      <c r="Q23" s="25">
        <f t="shared" si="1"/>
        <v>457101.52226333291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573</v>
      </c>
      <c r="B24" s="1" t="s">
        <v>46</v>
      </c>
      <c r="C24" s="18">
        <f>'Annual P&amp;L'!C7</f>
        <v>26824.048783999999</v>
      </c>
      <c r="D24" s="18">
        <f>'Annual P&amp;L'!D7</f>
        <v>28021</v>
      </c>
      <c r="E24" s="18">
        <f>'Annual P&amp;L'!E7</f>
        <v>29914</v>
      </c>
      <c r="F24" s="18">
        <f>'Annual P&amp;L'!F7</f>
        <v>36762</v>
      </c>
      <c r="G24" s="18">
        <f>'Annual P&amp;L'!G7</f>
        <v>41839</v>
      </c>
      <c r="H24" s="18">
        <f>'Annual P&amp;L'!H7</f>
        <v>46628</v>
      </c>
      <c r="I24" s="18">
        <f>'Annual P&amp;L'!I7</f>
        <v>64320</v>
      </c>
      <c r="J24" s="18">
        <f>'Annual P&amp;L'!J7</f>
        <v>80146</v>
      </c>
      <c r="K24" s="18">
        <f>'Annual P&amp;L'!K7</f>
        <v>91790</v>
      </c>
      <c r="L24" s="18">
        <f>'Annual P&amp;L'!L7</f>
        <v>120733</v>
      </c>
      <c r="M24" s="18">
        <f>'Annual P&amp;L'!M7</f>
        <v>164027</v>
      </c>
      <c r="N24" s="25">
        <f>'Annual P&amp;L'!N7</f>
        <v>228523.774026</v>
      </c>
      <c r="O24" s="25">
        <f>'Annual P&amp;L'!O7</f>
        <v>293835.96054016938</v>
      </c>
      <c r="P24" s="25">
        <f>'Annual P&amp;L'!P7</f>
        <v>369616.09205215255</v>
      </c>
      <c r="Q24" s="25">
        <f>'Annual P&amp;L'!Q7</f>
        <v>457101.52226333285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574</v>
      </c>
      <c r="B25" s="1" t="s">
        <v>46</v>
      </c>
      <c r="C25" s="18">
        <f t="shared" ref="C25:Q25" si="2">IF(C22="","",C23-C24)</f>
        <v>0</v>
      </c>
      <c r="D25" s="18">
        <f t="shared" si="2"/>
        <v>-6444.8299999999981</v>
      </c>
      <c r="E25" s="18">
        <f t="shared" si="2"/>
        <v>-8675.0599999999977</v>
      </c>
      <c r="F25" s="18">
        <f t="shared" si="2"/>
        <v>0</v>
      </c>
      <c r="G25" s="18">
        <f t="shared" si="2"/>
        <v>0</v>
      </c>
      <c r="H25" s="18">
        <f t="shared" si="2"/>
        <v>-466.27999999999884</v>
      </c>
      <c r="I25" s="18">
        <f t="shared" si="2"/>
        <v>-17495.039999999994</v>
      </c>
      <c r="J25" s="18">
        <f t="shared" si="2"/>
        <v>-80.146000000007916</v>
      </c>
      <c r="K25" s="18">
        <f t="shared" si="2"/>
        <v>0</v>
      </c>
      <c r="L25" s="18">
        <f t="shared" si="2"/>
        <v>-120.73300000000745</v>
      </c>
      <c r="M25" s="18">
        <f t="shared" si="2"/>
        <v>2.9103830456733704E-11</v>
      </c>
      <c r="N25" s="25">
        <f t="shared" si="2"/>
        <v>0</v>
      </c>
      <c r="O25" s="25">
        <f t="shared" si="2"/>
        <v>0</v>
      </c>
      <c r="P25" s="25">
        <f t="shared" si="2"/>
        <v>5.8207660913467407E-11</v>
      </c>
      <c r="Q25" s="25">
        <f t="shared" si="2"/>
        <v>5.8207660913467407E-11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7"/>
      <c r="O26" s="17"/>
      <c r="P26" s="17"/>
      <c r="Q26" s="17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  <c r="O27" s="17"/>
      <c r="P27" s="17"/>
      <c r="Q27" s="17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8" customHeight="1">
      <c r="A28" s="62" t="s">
        <v>575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3"/>
      <c r="O28" s="63"/>
      <c r="P28" s="63"/>
      <c r="Q28" s="63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424</v>
      </c>
      <c r="B29" s="1" t="s">
        <v>48</v>
      </c>
      <c r="C29" s="19">
        <f>'Raw Operating'!C30</f>
        <v>0</v>
      </c>
      <c r="D29" s="19">
        <f>'Raw Operating'!D30</f>
        <v>0</v>
      </c>
      <c r="E29" s="19">
        <f>'Raw Operating'!E30</f>
        <v>0</v>
      </c>
      <c r="F29" s="19">
        <f>'Raw Operating'!F30</f>
        <v>0</v>
      </c>
      <c r="G29" s="19">
        <f>'Raw Operating'!G30</f>
        <v>0</v>
      </c>
      <c r="H29" s="19">
        <f>'Raw Operating'!H30</f>
        <v>0</v>
      </c>
      <c r="I29" s="19">
        <f>'Raw Operating'!I30</f>
        <v>0</v>
      </c>
      <c r="J29" s="19">
        <f>'Raw Operating'!J30</f>
        <v>0.36299999999999999</v>
      </c>
      <c r="K29" s="19">
        <f>'Raw Operating'!K30</f>
        <v>0.35200000000000004</v>
      </c>
      <c r="L29" s="19">
        <f>'Raw Operating'!L30</f>
        <v>0.41299999999999998</v>
      </c>
      <c r="M29" s="19">
        <f>'Raw Operating'!M30</f>
        <v>0.441</v>
      </c>
      <c r="N29" s="24">
        <f>M29</f>
        <v>0.441</v>
      </c>
      <c r="O29" s="24">
        <f>N29</f>
        <v>0.441</v>
      </c>
      <c r="P29" s="24">
        <f>O29</f>
        <v>0.441</v>
      </c>
      <c r="Q29" s="24">
        <f>P29</f>
        <v>0.441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576</v>
      </c>
      <c r="B30" s="1" t="s">
        <v>46</v>
      </c>
      <c r="C30" s="18">
        <f>IF(C29="","",C29*'Annual P&amp;L'!C7)</f>
        <v>0</v>
      </c>
      <c r="D30" s="18">
        <f>IF(D29="","",D29*'Annual P&amp;L'!D7)</f>
        <v>0</v>
      </c>
      <c r="E30" s="18">
        <f>IF(E29="","",E29*'Annual P&amp;L'!E7)</f>
        <v>0</v>
      </c>
      <c r="F30" s="18">
        <f>IF(F29="","",F29*'Annual P&amp;L'!F7)</f>
        <v>0</v>
      </c>
      <c r="G30" s="18">
        <f>IF(G29="","",G29*'Annual P&amp;L'!G7)</f>
        <v>0</v>
      </c>
      <c r="H30" s="18">
        <f>IF(H29="","",H29*'Annual P&amp;L'!H7)</f>
        <v>0</v>
      </c>
      <c r="I30" s="18">
        <f>IF(I29="","",I29*'Annual P&amp;L'!I7)</f>
        <v>0</v>
      </c>
      <c r="J30" s="18">
        <f>IF(J29="","",J29*'Annual P&amp;L'!J7)</f>
        <v>29092.998</v>
      </c>
      <c r="K30" s="18">
        <f>IF(K29="","",K29*'Annual P&amp;L'!K7)</f>
        <v>32310.080000000002</v>
      </c>
      <c r="L30" s="18">
        <f>IF(L29="","",L29*'Annual P&amp;L'!L7)</f>
        <v>49862.728999999999</v>
      </c>
      <c r="M30" s="18">
        <f>IF(M29="","",M29*'Annual P&amp;L'!M7)</f>
        <v>72335.907000000007</v>
      </c>
      <c r="N30" s="25">
        <f>IF(N29="","",N29*'Annual P&amp;L'!N7)</f>
        <v>100778.984345466</v>
      </c>
      <c r="O30" s="25">
        <f>IF(O29="","",O29*'Annual P&amp;L'!O7)</f>
        <v>129581.65859821469</v>
      </c>
      <c r="P30" s="25">
        <f>IF(P29="","",P29*'Annual P&amp;L'!P7)</f>
        <v>163000.69659499929</v>
      </c>
      <c r="Q30" s="25">
        <f>IF(Q29="","",Q29*'Annual P&amp;L'!Q7)</f>
        <v>201581.77131812979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425</v>
      </c>
      <c r="B31" s="1" t="s">
        <v>48</v>
      </c>
      <c r="C31" s="19">
        <f>'Raw Operating'!C31</f>
        <v>0</v>
      </c>
      <c r="D31" s="19">
        <f>'Raw Operating'!D31</f>
        <v>0</v>
      </c>
      <c r="E31" s="19">
        <f>'Raw Operating'!E31</f>
        <v>0</v>
      </c>
      <c r="F31" s="19">
        <f>'Raw Operating'!F31</f>
        <v>0</v>
      </c>
      <c r="G31" s="19">
        <f>'Raw Operating'!G31</f>
        <v>0</v>
      </c>
      <c r="H31" s="19">
        <f>'Raw Operating'!H31</f>
        <v>0.15</v>
      </c>
      <c r="I31" s="19">
        <f>'Raw Operating'!I31</f>
        <v>0.13800000000000001</v>
      </c>
      <c r="J31" s="19">
        <f>'Raw Operating'!J31</f>
        <v>0.12</v>
      </c>
      <c r="K31" s="19">
        <f>'Raw Operating'!K31</f>
        <v>0.115</v>
      </c>
      <c r="L31" s="19">
        <f>'Raw Operating'!L31</f>
        <v>9.1999999999999998E-2</v>
      </c>
      <c r="M31" s="19">
        <f>'Raw Operating'!M31</f>
        <v>8.199999999999999E-2</v>
      </c>
      <c r="N31" s="24">
        <f>M31</f>
        <v>8.199999999999999E-2</v>
      </c>
      <c r="O31" s="24">
        <f>N31</f>
        <v>8.199999999999999E-2</v>
      </c>
      <c r="P31" s="24">
        <f>O31</f>
        <v>8.199999999999999E-2</v>
      </c>
      <c r="Q31" s="24">
        <f>P31</f>
        <v>8.199999999999999E-2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577</v>
      </c>
      <c r="B32" s="1" t="s">
        <v>46</v>
      </c>
      <c r="C32" s="18">
        <f>IF(C31="","",C31*'Annual P&amp;L'!C7)</f>
        <v>0</v>
      </c>
      <c r="D32" s="18">
        <f>IF(D31="","",D31*'Annual P&amp;L'!D7)</f>
        <v>0</v>
      </c>
      <c r="E32" s="18">
        <f>IF(E31="","",E31*'Annual P&amp;L'!E7)</f>
        <v>0</v>
      </c>
      <c r="F32" s="18">
        <f>IF(F31="","",F31*'Annual P&amp;L'!F7)</f>
        <v>0</v>
      </c>
      <c r="G32" s="18">
        <f>IF(G31="","",G31*'Annual P&amp;L'!G7)</f>
        <v>0</v>
      </c>
      <c r="H32" s="18">
        <f>IF(H31="","",H31*'Annual P&amp;L'!H7)</f>
        <v>6994.2</v>
      </c>
      <c r="I32" s="18">
        <f>IF(I31="","",I31*'Annual P&amp;L'!I7)</f>
        <v>8876.16</v>
      </c>
      <c r="J32" s="18">
        <f>IF(J31="","",J31*'Annual P&amp;L'!J7)</f>
        <v>9617.52</v>
      </c>
      <c r="K32" s="18">
        <f>IF(K31="","",K31*'Annual P&amp;L'!K7)</f>
        <v>10555.85</v>
      </c>
      <c r="L32" s="18">
        <f>IF(L31="","",L31*'Annual P&amp;L'!L7)</f>
        <v>11107.436</v>
      </c>
      <c r="M32" s="18">
        <f>IF(M31="","",M31*'Annual P&amp;L'!M7)</f>
        <v>13450.213999999998</v>
      </c>
      <c r="N32" s="25">
        <f>IF(N31="","",N31*'Annual P&amp;L'!N7)</f>
        <v>18738.949470131996</v>
      </c>
      <c r="O32" s="25">
        <f>IF(O31="","",O31*'Annual P&amp;L'!O7)</f>
        <v>24094.548764293886</v>
      </c>
      <c r="P32" s="25">
        <f>IF(P31="","",P31*'Annual P&amp;L'!P7)</f>
        <v>30308.519548276505</v>
      </c>
      <c r="Q32" s="25">
        <f>IF(Q31="","",Q31*'Annual P&amp;L'!Q7)</f>
        <v>37482.324825593292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426</v>
      </c>
      <c r="B33" s="1" t="s">
        <v>48</v>
      </c>
      <c r="C33" s="19">
        <f>'Raw Operating'!C32</f>
        <v>0</v>
      </c>
      <c r="D33" s="19">
        <f>'Raw Operating'!D32</f>
        <v>0</v>
      </c>
      <c r="E33" s="19">
        <f>'Raw Operating'!E32</f>
        <v>0</v>
      </c>
      <c r="F33" s="19">
        <f>'Raw Operating'!F32</f>
        <v>0</v>
      </c>
      <c r="G33" s="19">
        <f>'Raw Operating'!G32</f>
        <v>0</v>
      </c>
      <c r="H33" s="19">
        <f>'Raw Operating'!H32</f>
        <v>0</v>
      </c>
      <c r="I33" s="19">
        <f>'Raw Operating'!I32</f>
        <v>0.20800000000000002</v>
      </c>
      <c r="J33" s="19">
        <f>'Raw Operating'!J32</f>
        <v>0.23499999999999999</v>
      </c>
      <c r="K33" s="19">
        <f>'Raw Operating'!K32</f>
        <v>0.249</v>
      </c>
      <c r="L33" s="19">
        <f>'Raw Operating'!L32</f>
        <v>0.23499999999999999</v>
      </c>
      <c r="M33" s="19">
        <f>'Raw Operating'!M32</f>
        <v>0.215</v>
      </c>
      <c r="N33" s="24">
        <f>M33</f>
        <v>0.215</v>
      </c>
      <c r="O33" s="24">
        <f>N33</f>
        <v>0.215</v>
      </c>
      <c r="P33" s="24">
        <f>O33</f>
        <v>0.215</v>
      </c>
      <c r="Q33" s="24">
        <f>P33</f>
        <v>0.215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578</v>
      </c>
      <c r="B34" s="1" t="s">
        <v>46</v>
      </c>
      <c r="C34" s="18">
        <f>IF(C33="","",C33*'Annual P&amp;L'!C7)</f>
        <v>0</v>
      </c>
      <c r="D34" s="18">
        <f>IF(D33="","",D33*'Annual P&amp;L'!D7)</f>
        <v>0</v>
      </c>
      <c r="E34" s="18">
        <f>IF(E33="","",E33*'Annual P&amp;L'!E7)</f>
        <v>0</v>
      </c>
      <c r="F34" s="18">
        <f>IF(F33="","",F33*'Annual P&amp;L'!F7)</f>
        <v>0</v>
      </c>
      <c r="G34" s="18">
        <f>IF(G33="","",G33*'Annual P&amp;L'!G7)</f>
        <v>0</v>
      </c>
      <c r="H34" s="18">
        <f>IF(H33="","",H33*'Annual P&amp;L'!H7)</f>
        <v>0</v>
      </c>
      <c r="I34" s="18">
        <f>IF(I33="","",I33*'Annual P&amp;L'!I7)</f>
        <v>13378.560000000001</v>
      </c>
      <c r="J34" s="18">
        <f>IF(J33="","",J33*'Annual P&amp;L'!J7)</f>
        <v>18834.309999999998</v>
      </c>
      <c r="K34" s="18">
        <f>IF(K33="","",K33*'Annual P&amp;L'!K7)</f>
        <v>22855.71</v>
      </c>
      <c r="L34" s="18">
        <f>IF(L33="","",L33*'Annual P&amp;L'!L7)</f>
        <v>28372.254999999997</v>
      </c>
      <c r="M34" s="18">
        <f>IF(M33="","",M33*'Annual P&amp;L'!M7)</f>
        <v>35265.805</v>
      </c>
      <c r="N34" s="25">
        <f>IF(N33="","",N33*'Annual P&amp;L'!N7)</f>
        <v>49132.61141559</v>
      </c>
      <c r="O34" s="25">
        <f>IF(O33="","",O33*'Annual P&amp;L'!O7)</f>
        <v>63174.731516136417</v>
      </c>
      <c r="P34" s="25">
        <f>IF(P33="","",P33*'Annual P&amp;L'!P7)</f>
        <v>79467.459791212794</v>
      </c>
      <c r="Q34" s="25">
        <f>IF(Q33="","",Q33*'Annual P&amp;L'!Q7)</f>
        <v>98276.827286616564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427</v>
      </c>
      <c r="B35" s="1" t="s">
        <v>48</v>
      </c>
      <c r="C35" s="19">
        <f>'Raw Operating'!C33</f>
        <v>0</v>
      </c>
      <c r="D35" s="19">
        <f>'Raw Operating'!D33</f>
        <v>0</v>
      </c>
      <c r="E35" s="19">
        <f>'Raw Operating'!E33</f>
        <v>0</v>
      </c>
      <c r="F35" s="19">
        <f>'Raw Operating'!F33</f>
        <v>0</v>
      </c>
      <c r="G35" s="19">
        <f>'Raw Operating'!G33</f>
        <v>0</v>
      </c>
      <c r="H35" s="19">
        <f>'Raw Operating'!H33</f>
        <v>0</v>
      </c>
      <c r="I35" s="19">
        <f>'Raw Operating'!I33</f>
        <v>0.17899999999999999</v>
      </c>
      <c r="J35" s="19">
        <f>'Raw Operating'!J33</f>
        <v>0.183</v>
      </c>
      <c r="K35" s="19">
        <f>'Raw Operating'!K33</f>
        <v>0.191</v>
      </c>
      <c r="L35" s="19">
        <f>'Raw Operating'!L33</f>
        <v>0.17899999999999999</v>
      </c>
      <c r="M35" s="19">
        <f>'Raw Operating'!M33</f>
        <v>0.184</v>
      </c>
      <c r="N35" s="24">
        <f>M35</f>
        <v>0.184</v>
      </c>
      <c r="O35" s="24">
        <f>N35</f>
        <v>0.184</v>
      </c>
      <c r="P35" s="24">
        <f>O35</f>
        <v>0.184</v>
      </c>
      <c r="Q35" s="24">
        <f>P35</f>
        <v>0.184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579</v>
      </c>
      <c r="B36" s="1" t="s">
        <v>46</v>
      </c>
      <c r="C36" s="18">
        <f>IF(C35="","",C35*'Annual P&amp;L'!C7)</f>
        <v>0</v>
      </c>
      <c r="D36" s="18">
        <f>IF(D35="","",D35*'Annual P&amp;L'!D7)</f>
        <v>0</v>
      </c>
      <c r="E36" s="18">
        <f>IF(E35="","",E35*'Annual P&amp;L'!E7)</f>
        <v>0</v>
      </c>
      <c r="F36" s="18">
        <f>IF(F35="","",F35*'Annual P&amp;L'!F7)</f>
        <v>0</v>
      </c>
      <c r="G36" s="18">
        <f>IF(G35="","",G35*'Annual P&amp;L'!G7)</f>
        <v>0</v>
      </c>
      <c r="H36" s="18">
        <f>IF(H35="","",H35*'Annual P&amp;L'!H7)</f>
        <v>0</v>
      </c>
      <c r="I36" s="18">
        <f>IF(I35="","",I35*'Annual P&amp;L'!I7)</f>
        <v>11513.279999999999</v>
      </c>
      <c r="J36" s="18">
        <f>IF(J35="","",J35*'Annual P&amp;L'!J7)</f>
        <v>14666.717999999999</v>
      </c>
      <c r="K36" s="18">
        <f>IF(K35="","",K35*'Annual P&amp;L'!K7)</f>
        <v>17531.89</v>
      </c>
      <c r="L36" s="18">
        <f>IF(L35="","",L35*'Annual P&amp;L'!L7)</f>
        <v>21611.206999999999</v>
      </c>
      <c r="M36" s="18">
        <f>IF(M35="","",M35*'Annual P&amp;L'!M7)</f>
        <v>30180.968000000001</v>
      </c>
      <c r="N36" s="25">
        <f>IF(N35="","",N35*'Annual P&amp;L'!N7)</f>
        <v>42048.374420783999</v>
      </c>
      <c r="O36" s="25">
        <f>IF(O35="","",O35*'Annual P&amp;L'!O7)</f>
        <v>54065.816739391164</v>
      </c>
      <c r="P36" s="25">
        <f>IF(P35="","",P35*'Annual P&amp;L'!P7)</f>
        <v>68009.360937596066</v>
      </c>
      <c r="Q36" s="25">
        <f>IF(Q35="","",Q35*'Annual P&amp;L'!Q7)</f>
        <v>84106.680096453245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428</v>
      </c>
      <c r="B37" s="1" t="s">
        <v>48</v>
      </c>
      <c r="C37" s="19">
        <f>'Raw Operating'!C34</f>
        <v>0.05</v>
      </c>
      <c r="D37" s="19">
        <f>'Raw Operating'!D34</f>
        <v>0.05</v>
      </c>
      <c r="E37" s="19">
        <f>'Raw Operating'!E34</f>
        <v>0.04</v>
      </c>
      <c r="F37" s="19">
        <f>'Raw Operating'!F34</f>
        <v>0.04</v>
      </c>
      <c r="G37" s="19">
        <f>'Raw Operating'!G34</f>
        <v>0.03</v>
      </c>
      <c r="H37" s="19">
        <f>'Raw Operating'!H34</f>
        <v>0.03</v>
      </c>
      <c r="I37" s="19">
        <f>'Raw Operating'!I34</f>
        <v>0.107</v>
      </c>
      <c r="J37" s="19">
        <f>'Raw Operating'!J34</f>
        <v>9.9000000000000005E-2</v>
      </c>
      <c r="K37" s="19">
        <f>'Raw Operating'!K34</f>
        <v>9.4E-2</v>
      </c>
      <c r="L37" s="19">
        <f>'Raw Operating'!L34</f>
        <v>8.1000000000000003E-2</v>
      </c>
      <c r="M37" s="19">
        <f>'Raw Operating'!M34</f>
        <v>7.9000000000000001E-2</v>
      </c>
      <c r="N37" s="24">
        <f>M37</f>
        <v>7.9000000000000001E-2</v>
      </c>
      <c r="O37" s="24">
        <f>N37</f>
        <v>7.9000000000000001E-2</v>
      </c>
      <c r="P37" s="24">
        <f>O37</f>
        <v>7.9000000000000001E-2</v>
      </c>
      <c r="Q37" s="24">
        <f>P37</f>
        <v>7.9000000000000001E-2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 t="s">
        <v>580</v>
      </c>
      <c r="B38" s="1" t="s">
        <v>46</v>
      </c>
      <c r="C38" s="18">
        <f>IF(C37="","",C37*'Annual P&amp;L'!C7)</f>
        <v>1341.2024392000001</v>
      </c>
      <c r="D38" s="18">
        <f>IF(D37="","",D37*'Annual P&amp;L'!D7)</f>
        <v>1401.0500000000002</v>
      </c>
      <c r="E38" s="18">
        <f>IF(E37="","",E37*'Annual P&amp;L'!E7)</f>
        <v>1196.56</v>
      </c>
      <c r="F38" s="18">
        <f>IF(F37="","",F37*'Annual P&amp;L'!F7)</f>
        <v>1470.48</v>
      </c>
      <c r="G38" s="18">
        <f>IF(G37="","",G37*'Annual P&amp;L'!G7)</f>
        <v>1255.1699999999998</v>
      </c>
      <c r="H38" s="18">
        <f>IF(H37="","",H37*'Annual P&amp;L'!H7)</f>
        <v>1398.84</v>
      </c>
      <c r="I38" s="18">
        <f>IF(I37="","",I37*'Annual P&amp;L'!I7)</f>
        <v>6882.24</v>
      </c>
      <c r="J38" s="18">
        <f>IF(J37="","",J37*'Annual P&amp;L'!J7)</f>
        <v>7934.4540000000006</v>
      </c>
      <c r="K38" s="18">
        <f>IF(K37="","",K37*'Annual P&amp;L'!K7)</f>
        <v>8628.26</v>
      </c>
      <c r="L38" s="18">
        <f>IF(L37="","",L37*'Annual P&amp;L'!L7)</f>
        <v>9779.3729999999996</v>
      </c>
      <c r="M38" s="18">
        <f>IF(M37="","",M37*'Annual P&amp;L'!M7)</f>
        <v>12958.133</v>
      </c>
      <c r="N38" s="25">
        <f>IF(N37="","",N37*'Annual P&amp;L'!N7)</f>
        <v>18053.378148053998</v>
      </c>
      <c r="O38" s="25">
        <f>IF(O37="","",O37*'Annual P&amp;L'!O7)</f>
        <v>23213.04088267338</v>
      </c>
      <c r="P38" s="25">
        <f>IF(P37="","",P37*'Annual P&amp;L'!P7)</f>
        <v>29199.671272120053</v>
      </c>
      <c r="Q38" s="25">
        <f>IF(Q37="","",Q37*'Annual P&amp;L'!Q7)</f>
        <v>36111.020258803299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 t="s">
        <v>581</v>
      </c>
      <c r="B39" s="1" t="s">
        <v>48</v>
      </c>
      <c r="C39" s="19">
        <f t="shared" ref="C39:Q39" si="3">IF(COUNT(C29,C31,C33,C35,C37)=0,"",SUM(C29,C31,C33,C35,C37))</f>
        <v>0.05</v>
      </c>
      <c r="D39" s="19">
        <f t="shared" si="3"/>
        <v>0.05</v>
      </c>
      <c r="E39" s="19">
        <f t="shared" si="3"/>
        <v>0.04</v>
      </c>
      <c r="F39" s="19">
        <f t="shared" si="3"/>
        <v>0.04</v>
      </c>
      <c r="G39" s="19">
        <f t="shared" si="3"/>
        <v>0.03</v>
      </c>
      <c r="H39" s="19">
        <f t="shared" si="3"/>
        <v>0.18</v>
      </c>
      <c r="I39" s="19">
        <f t="shared" si="3"/>
        <v>0.63200000000000001</v>
      </c>
      <c r="J39" s="19">
        <f t="shared" si="3"/>
        <v>1</v>
      </c>
      <c r="K39" s="19">
        <f t="shared" si="3"/>
        <v>1.0010000000000001</v>
      </c>
      <c r="L39" s="19">
        <f t="shared" si="3"/>
        <v>1</v>
      </c>
      <c r="M39" s="19">
        <f t="shared" si="3"/>
        <v>1.0009999999999999</v>
      </c>
      <c r="N39" s="24">
        <f t="shared" si="3"/>
        <v>1.0009999999999999</v>
      </c>
      <c r="O39" s="24">
        <f t="shared" si="3"/>
        <v>1.0009999999999999</v>
      </c>
      <c r="P39" s="24">
        <f t="shared" si="3"/>
        <v>1.0009999999999999</v>
      </c>
      <c r="Q39" s="24">
        <f t="shared" si="3"/>
        <v>1.0009999999999999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 t="s">
        <v>582</v>
      </c>
      <c r="B40" s="1" t="s">
        <v>46</v>
      </c>
      <c r="C40" s="18">
        <f t="shared" ref="C40:Q40" si="4">SUM(C30,C32,C34,C36,C38)</f>
        <v>1341.2024392000001</v>
      </c>
      <c r="D40" s="18">
        <f t="shared" si="4"/>
        <v>1401.0500000000002</v>
      </c>
      <c r="E40" s="18">
        <f t="shared" si="4"/>
        <v>1196.56</v>
      </c>
      <c r="F40" s="18">
        <f t="shared" si="4"/>
        <v>1470.48</v>
      </c>
      <c r="G40" s="18">
        <f t="shared" si="4"/>
        <v>1255.1699999999998</v>
      </c>
      <c r="H40" s="18">
        <f t="shared" si="4"/>
        <v>8393.0399999999991</v>
      </c>
      <c r="I40" s="18">
        <f t="shared" si="4"/>
        <v>40650.239999999998</v>
      </c>
      <c r="J40" s="18">
        <f t="shared" si="4"/>
        <v>80145.999999999985</v>
      </c>
      <c r="K40" s="18">
        <f t="shared" si="4"/>
        <v>91881.79</v>
      </c>
      <c r="L40" s="18">
        <f t="shared" si="4"/>
        <v>120733</v>
      </c>
      <c r="M40" s="18">
        <f t="shared" si="4"/>
        <v>164191.027</v>
      </c>
      <c r="N40" s="25">
        <f t="shared" si="4"/>
        <v>228752.29780002602</v>
      </c>
      <c r="O40" s="25">
        <f t="shared" si="4"/>
        <v>294129.79650070955</v>
      </c>
      <c r="P40" s="25">
        <f t="shared" si="4"/>
        <v>369985.70814420469</v>
      </c>
      <c r="Q40" s="25">
        <f t="shared" si="4"/>
        <v>457558.62378559622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 t="s">
        <v>573</v>
      </c>
      <c r="B41" s="1" t="s">
        <v>46</v>
      </c>
      <c r="C41" s="18">
        <f>'Annual P&amp;L'!C7</f>
        <v>26824.048783999999</v>
      </c>
      <c r="D41" s="18">
        <f>'Annual P&amp;L'!D7</f>
        <v>28021</v>
      </c>
      <c r="E41" s="18">
        <f>'Annual P&amp;L'!E7</f>
        <v>29914</v>
      </c>
      <c r="F41" s="18">
        <f>'Annual P&amp;L'!F7</f>
        <v>36762</v>
      </c>
      <c r="G41" s="18">
        <f>'Annual P&amp;L'!G7</f>
        <v>41839</v>
      </c>
      <c r="H41" s="18">
        <f>'Annual P&amp;L'!H7</f>
        <v>46628</v>
      </c>
      <c r="I41" s="18">
        <f>'Annual P&amp;L'!I7</f>
        <v>64320</v>
      </c>
      <c r="J41" s="18">
        <f>'Annual P&amp;L'!J7</f>
        <v>80146</v>
      </c>
      <c r="K41" s="18">
        <f>'Annual P&amp;L'!K7</f>
        <v>91790</v>
      </c>
      <c r="L41" s="18">
        <f>'Annual P&amp;L'!L7</f>
        <v>120733</v>
      </c>
      <c r="M41" s="18">
        <f>'Annual P&amp;L'!M7</f>
        <v>164027</v>
      </c>
      <c r="N41" s="25">
        <f>'Annual P&amp;L'!N7</f>
        <v>228523.774026</v>
      </c>
      <c r="O41" s="25">
        <f>'Annual P&amp;L'!O7</f>
        <v>293835.96054016938</v>
      </c>
      <c r="P41" s="25">
        <f>'Annual P&amp;L'!P7</f>
        <v>369616.09205215255</v>
      </c>
      <c r="Q41" s="25">
        <f>'Annual P&amp;L'!Q7</f>
        <v>457101.52226333285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 t="s">
        <v>574</v>
      </c>
      <c r="B42" s="1" t="s">
        <v>46</v>
      </c>
      <c r="C42" s="18">
        <f t="shared" ref="C42:Q42" si="5">IF(C39="","",C40-C41)</f>
        <v>-25482.8463448</v>
      </c>
      <c r="D42" s="18">
        <f t="shared" si="5"/>
        <v>-26619.95</v>
      </c>
      <c r="E42" s="18">
        <f t="shared" si="5"/>
        <v>-28717.439999999999</v>
      </c>
      <c r="F42" s="18">
        <f t="shared" si="5"/>
        <v>-35291.519999999997</v>
      </c>
      <c r="G42" s="18">
        <f t="shared" si="5"/>
        <v>-40583.83</v>
      </c>
      <c r="H42" s="18">
        <f t="shared" si="5"/>
        <v>-38234.959999999999</v>
      </c>
      <c r="I42" s="18">
        <f t="shared" si="5"/>
        <v>-23669.760000000002</v>
      </c>
      <c r="J42" s="18">
        <f t="shared" si="5"/>
        <v>-1.4551915228366852E-11</v>
      </c>
      <c r="K42" s="18">
        <f t="shared" si="5"/>
        <v>91.789999999993597</v>
      </c>
      <c r="L42" s="18">
        <f t="shared" si="5"/>
        <v>0</v>
      </c>
      <c r="M42" s="18">
        <f t="shared" si="5"/>
        <v>164.02700000000186</v>
      </c>
      <c r="N42" s="25">
        <f t="shared" si="5"/>
        <v>228.52377402601996</v>
      </c>
      <c r="O42" s="25">
        <f t="shared" si="5"/>
        <v>293.8359605401638</v>
      </c>
      <c r="P42" s="25">
        <f t="shared" si="5"/>
        <v>369.61609205213608</v>
      </c>
      <c r="Q42" s="25">
        <f t="shared" si="5"/>
        <v>457.10152226337232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 t="s">
        <v>583</v>
      </c>
      <c r="B43" s="1" t="s">
        <v>77</v>
      </c>
      <c r="C43" s="64" t="s">
        <v>584</v>
      </c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5"/>
      <c r="O43" s="65"/>
      <c r="P43" s="65"/>
      <c r="Q43" s="6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  <c r="O44" s="17"/>
      <c r="P44" s="17"/>
      <c r="Q44" s="1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  <c r="O45" s="17"/>
      <c r="P45" s="17"/>
      <c r="Q45" s="17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  <c r="O46" s="17"/>
      <c r="P46" s="17"/>
      <c r="Q46" s="1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  <c r="O47" s="17"/>
      <c r="P47" s="17"/>
      <c r="Q47" s="1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  <c r="O48" s="17"/>
      <c r="P48" s="17"/>
      <c r="Q48" s="17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  <c r="O49" s="17"/>
      <c r="P49" s="17"/>
      <c r="Q49" s="1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  <c r="O50" s="17"/>
      <c r="P50" s="17"/>
      <c r="Q50" s="1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  <c r="O51" s="17"/>
      <c r="P51" s="17"/>
      <c r="Q51" s="1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  <c r="O52" s="17"/>
      <c r="P52" s="17"/>
      <c r="Q52" s="1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  <c r="O53" s="17"/>
      <c r="P53" s="17"/>
      <c r="Q53" s="1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  <c r="O54" s="17"/>
      <c r="P54" s="17"/>
      <c r="Q54" s="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  <c r="O55" s="17"/>
      <c r="P55" s="17"/>
      <c r="Q55" s="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  <c r="O56" s="17"/>
      <c r="P56" s="17"/>
      <c r="Q56" s="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17"/>
      <c r="P57" s="17"/>
      <c r="Q57" s="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  <c r="O58" s="17"/>
      <c r="P58" s="17"/>
      <c r="Q58" s="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  <c r="O60" s="17"/>
      <c r="P60" s="17"/>
      <c r="Q60" s="1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  <c r="O61" s="17"/>
      <c r="P61" s="17"/>
      <c r="Q61" s="1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  <c r="O62" s="17"/>
      <c r="P62" s="17"/>
      <c r="Q62" s="1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  <c r="O63" s="17"/>
      <c r="P63" s="17"/>
      <c r="Q63" s="1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  <c r="O64" s="17"/>
      <c r="P64" s="17"/>
      <c r="Q64" s="1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7"/>
      <c r="O65" s="17"/>
      <c r="P65" s="17"/>
      <c r="Q65" s="1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7"/>
      <c r="O66" s="17"/>
      <c r="P66" s="17"/>
      <c r="Q66" s="1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7"/>
      <c r="O67" s="17"/>
      <c r="P67" s="17"/>
      <c r="Q67" s="1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7"/>
      <c r="O68" s="17"/>
      <c r="P68" s="17"/>
      <c r="Q68" s="1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7"/>
      <c r="O69" s="17"/>
      <c r="P69" s="17"/>
      <c r="Q69" s="1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7"/>
      <c r="O70" s="17"/>
      <c r="P70" s="17"/>
      <c r="Q70" s="1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7"/>
      <c r="O71" s="17"/>
      <c r="P71" s="17"/>
      <c r="Q71" s="17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7"/>
      <c r="O72" s="17"/>
      <c r="P72" s="17"/>
      <c r="Q72" s="17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7"/>
      <c r="O73" s="17"/>
      <c r="P73" s="17"/>
      <c r="Q73" s="1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7"/>
      <c r="O74" s="17"/>
      <c r="P74" s="17"/>
      <c r="Q74" s="1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7"/>
      <c r="O75" s="17"/>
      <c r="P75" s="17"/>
      <c r="Q75" s="17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7"/>
      <c r="O76" s="17"/>
      <c r="P76" s="17"/>
      <c r="Q76" s="17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7"/>
      <c r="O77" s="17"/>
      <c r="P77" s="17"/>
      <c r="Q77" s="17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7"/>
      <c r="O78" s="17"/>
      <c r="P78" s="17"/>
      <c r="Q78" s="1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7"/>
      <c r="O79" s="17"/>
      <c r="P79" s="17"/>
      <c r="Q79" s="1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7"/>
      <c r="O80" s="17"/>
      <c r="P80" s="17"/>
      <c r="Q80" s="17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7"/>
      <c r="O81" s="17"/>
      <c r="P81" s="17"/>
      <c r="Q81" s="17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7"/>
      <c r="O82" s="17"/>
      <c r="P82" s="17"/>
      <c r="Q82" s="17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7"/>
      <c r="O83" s="17"/>
      <c r="P83" s="17"/>
      <c r="Q83" s="17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7"/>
      <c r="O84" s="17"/>
      <c r="P84" s="17"/>
      <c r="Q84" s="1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7"/>
      <c r="O85" s="17"/>
      <c r="P85" s="17"/>
      <c r="Q85" s="17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7"/>
      <c r="O86" s="17"/>
      <c r="P86" s="17"/>
      <c r="Q86" s="17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7"/>
      <c r="O87" s="17"/>
      <c r="P87" s="17"/>
      <c r="Q87" s="17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7"/>
      <c r="O88" s="17"/>
      <c r="P88" s="17"/>
      <c r="Q88" s="17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7"/>
      <c r="O89" s="17"/>
      <c r="P89" s="17"/>
      <c r="Q89" s="1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7"/>
      <c r="O90" s="17"/>
      <c r="P90" s="17"/>
      <c r="Q90" s="1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7"/>
      <c r="O91" s="17"/>
      <c r="P91" s="17"/>
      <c r="Q91" s="17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7"/>
      <c r="O92" s="17"/>
      <c r="P92" s="17"/>
      <c r="Q92" s="17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7"/>
      <c r="O93" s="17"/>
      <c r="P93" s="17"/>
      <c r="Q93" s="1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7"/>
      <c r="O94" s="17"/>
      <c r="P94" s="17"/>
      <c r="Q94" s="1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7"/>
      <c r="O95" s="17"/>
      <c r="P95" s="17"/>
      <c r="Q95" s="17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7"/>
      <c r="O96" s="17"/>
      <c r="P96" s="17"/>
      <c r="Q96" s="17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7"/>
      <c r="O97" s="17"/>
      <c r="P97" s="17"/>
      <c r="Q97" s="17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7"/>
      <c r="O98" s="17"/>
      <c r="P98" s="17"/>
      <c r="Q98" s="1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7"/>
      <c r="O99" s="17"/>
      <c r="P99" s="17"/>
      <c r="Q99" s="1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7"/>
      <c r="O100" s="17"/>
      <c r="P100" s="17"/>
      <c r="Q100" s="17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7"/>
      <c r="O101" s="17"/>
      <c r="P101" s="17"/>
      <c r="Q101" s="17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7"/>
      <c r="O102" s="17"/>
      <c r="P102" s="17"/>
      <c r="Q102" s="17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7"/>
      <c r="O103" s="17"/>
      <c r="P103" s="17"/>
      <c r="Q103" s="1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7"/>
      <c r="O104" s="17"/>
      <c r="P104" s="17"/>
      <c r="Q104" s="1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7"/>
      <c r="O105" s="17"/>
      <c r="P105" s="17"/>
      <c r="Q105" s="17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7"/>
      <c r="O106" s="17"/>
      <c r="P106" s="17"/>
      <c r="Q106" s="17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7"/>
      <c r="O107" s="17"/>
      <c r="P107" s="17"/>
      <c r="Q107" s="1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7"/>
      <c r="O108" s="17"/>
      <c r="P108" s="17"/>
      <c r="Q108" s="17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7"/>
      <c r="O109" s="17"/>
      <c r="P109" s="17"/>
      <c r="Q109" s="1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7"/>
      <c r="O110" s="17"/>
      <c r="P110" s="17"/>
      <c r="Q110" s="17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7"/>
      <c r="O111" s="17"/>
      <c r="P111" s="17"/>
      <c r="Q111" s="17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7"/>
      <c r="O112" s="17"/>
      <c r="P112" s="17"/>
      <c r="Q112" s="1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7"/>
      <c r="O113" s="17"/>
      <c r="P113" s="17"/>
      <c r="Q113" s="1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7"/>
      <c r="O114" s="17"/>
      <c r="P114" s="17"/>
      <c r="Q114" s="1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7"/>
      <c r="O115" s="17"/>
      <c r="P115" s="17"/>
      <c r="Q115" s="17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7"/>
      <c r="O116" s="17"/>
      <c r="P116" s="17"/>
      <c r="Q116" s="17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7"/>
      <c r="O117" s="17"/>
      <c r="P117" s="17"/>
      <c r="Q117" s="17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7"/>
      <c r="O118" s="17"/>
      <c r="P118" s="17"/>
      <c r="Q118" s="1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7"/>
      <c r="O119" s="17"/>
      <c r="P119" s="17"/>
      <c r="Q119" s="17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7"/>
      <c r="O120" s="17"/>
      <c r="P120" s="17"/>
      <c r="Q120" s="17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7"/>
      <c r="O121" s="17"/>
      <c r="P121" s="17"/>
      <c r="Q121" s="17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7"/>
      <c r="O122" s="17"/>
      <c r="P122" s="17"/>
      <c r="Q122" s="1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7"/>
      <c r="O123" s="17"/>
      <c r="P123" s="17"/>
      <c r="Q123" s="1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7"/>
      <c r="O124" s="17"/>
      <c r="P124" s="17"/>
      <c r="Q124" s="1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7"/>
      <c r="O125" s="17"/>
      <c r="P125" s="17"/>
      <c r="Q125" s="1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7"/>
      <c r="O126" s="17"/>
      <c r="P126" s="17"/>
      <c r="Q126" s="1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7"/>
      <c r="O127" s="17"/>
      <c r="P127" s="17"/>
      <c r="Q127" s="1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7"/>
      <c r="O128" s="17"/>
      <c r="P128" s="17"/>
      <c r="Q128" s="1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7"/>
      <c r="O129" s="17"/>
      <c r="P129" s="17"/>
      <c r="Q129" s="1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7"/>
      <c r="O130" s="17"/>
      <c r="P130" s="17"/>
      <c r="Q130" s="1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7"/>
      <c r="O131" s="17"/>
      <c r="P131" s="17"/>
      <c r="Q131" s="1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7"/>
      <c r="O132" s="17"/>
      <c r="P132" s="17"/>
      <c r="Q132" s="1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7"/>
      <c r="O133" s="17"/>
      <c r="P133" s="17"/>
      <c r="Q133" s="1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7"/>
      <c r="O134" s="17"/>
      <c r="P134" s="17"/>
      <c r="Q134" s="1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7"/>
      <c r="O135" s="17"/>
      <c r="P135" s="17"/>
      <c r="Q135" s="1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7"/>
      <c r="O136" s="17"/>
      <c r="P136" s="17"/>
      <c r="Q136" s="1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7"/>
      <c r="O137" s="17"/>
      <c r="P137" s="17"/>
      <c r="Q137" s="1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7"/>
      <c r="O138" s="17"/>
      <c r="P138" s="17"/>
      <c r="Q138" s="1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7"/>
      <c r="O139" s="17"/>
      <c r="P139" s="17"/>
      <c r="Q139" s="1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7"/>
      <c r="O140" s="17"/>
      <c r="P140" s="17"/>
      <c r="Q140" s="1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7"/>
      <c r="O141" s="17"/>
      <c r="P141" s="17"/>
      <c r="Q141" s="1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7"/>
      <c r="O142" s="17"/>
      <c r="P142" s="17"/>
      <c r="Q142" s="1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7"/>
      <c r="O143" s="17"/>
      <c r="P143" s="17"/>
      <c r="Q143" s="1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7"/>
      <c r="O144" s="17"/>
      <c r="P144" s="17"/>
      <c r="Q144" s="1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7"/>
      <c r="O145" s="17"/>
      <c r="P145" s="17"/>
      <c r="Q145" s="1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7"/>
      <c r="O146" s="17"/>
      <c r="P146" s="17"/>
      <c r="Q146" s="1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7"/>
      <c r="O147" s="17"/>
      <c r="P147" s="17"/>
      <c r="Q147" s="1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7"/>
      <c r="O148" s="17"/>
      <c r="P148" s="17"/>
      <c r="Q148" s="1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7"/>
      <c r="O149" s="17"/>
      <c r="P149" s="17"/>
      <c r="Q149" s="1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7"/>
      <c r="O150" s="17"/>
      <c r="P150" s="17"/>
      <c r="Q150" s="1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7"/>
      <c r="O151" s="17"/>
      <c r="P151" s="17"/>
      <c r="Q151" s="1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7"/>
      <c r="O152" s="17"/>
      <c r="P152" s="17"/>
      <c r="Q152" s="1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7"/>
      <c r="O153" s="17"/>
      <c r="P153" s="17"/>
      <c r="Q153" s="1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7"/>
      <c r="O154" s="17"/>
      <c r="P154" s="17"/>
      <c r="Q154" s="1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7"/>
      <c r="O155" s="17"/>
      <c r="P155" s="17"/>
      <c r="Q155" s="1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7"/>
      <c r="O156" s="17"/>
      <c r="P156" s="17"/>
      <c r="Q156" s="1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7"/>
      <c r="O157" s="17"/>
      <c r="P157" s="17"/>
      <c r="Q157" s="17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7"/>
      <c r="O158" s="17"/>
      <c r="P158" s="17"/>
      <c r="Q158" s="1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7"/>
      <c r="O159" s="17"/>
      <c r="P159" s="17"/>
      <c r="Q159" s="17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7"/>
      <c r="O160" s="17"/>
      <c r="P160" s="17"/>
      <c r="Q160" s="17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7"/>
      <c r="O161" s="17"/>
      <c r="P161" s="17"/>
      <c r="Q161" s="17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7"/>
      <c r="O162" s="17"/>
      <c r="P162" s="17"/>
      <c r="Q162" s="17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7"/>
      <c r="O163" s="17"/>
      <c r="P163" s="17"/>
      <c r="Q163" s="17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7"/>
      <c r="O164" s="17"/>
      <c r="P164" s="17"/>
      <c r="Q164" s="17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7"/>
      <c r="O165" s="17"/>
      <c r="P165" s="17"/>
      <c r="Q165" s="1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7"/>
      <c r="O166" s="17"/>
      <c r="P166" s="17"/>
      <c r="Q166" s="1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7"/>
      <c r="O167" s="17"/>
      <c r="P167" s="17"/>
      <c r="Q167" s="17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7"/>
      <c r="O168" s="17"/>
      <c r="P168" s="17"/>
      <c r="Q168" s="17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7"/>
      <c r="O169" s="17"/>
      <c r="P169" s="17"/>
      <c r="Q169" s="17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7"/>
      <c r="O170" s="17"/>
      <c r="P170" s="17"/>
      <c r="Q170" s="17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7"/>
      <c r="O171" s="17"/>
      <c r="P171" s="17"/>
      <c r="Q171" s="17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7"/>
      <c r="O172" s="17"/>
      <c r="P172" s="17"/>
      <c r="Q172" s="17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7"/>
      <c r="O173" s="17"/>
      <c r="P173" s="17"/>
      <c r="Q173" s="17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7"/>
      <c r="O174" s="17"/>
      <c r="P174" s="17"/>
      <c r="Q174" s="17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7"/>
      <c r="O175" s="17"/>
      <c r="P175" s="17"/>
      <c r="Q175" s="1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7"/>
      <c r="O176" s="17"/>
      <c r="P176" s="17"/>
      <c r="Q176" s="17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7"/>
      <c r="O177" s="17"/>
      <c r="P177" s="17"/>
      <c r="Q177" s="17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7"/>
      <c r="O178" s="17"/>
      <c r="P178" s="17"/>
      <c r="Q178" s="17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7"/>
      <c r="O179" s="17"/>
      <c r="P179" s="17"/>
      <c r="Q179" s="17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7"/>
      <c r="O180" s="17"/>
      <c r="P180" s="17"/>
      <c r="Q180" s="17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7"/>
      <c r="O181" s="17"/>
      <c r="P181" s="17"/>
      <c r="Q181" s="17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7"/>
      <c r="O182" s="17"/>
      <c r="P182" s="17"/>
      <c r="Q182" s="17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7"/>
      <c r="O183" s="17"/>
      <c r="P183" s="17"/>
      <c r="Q183" s="17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7"/>
      <c r="O184" s="17"/>
      <c r="P184" s="17"/>
      <c r="Q184" s="17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7"/>
      <c r="O185" s="17"/>
      <c r="P185" s="17"/>
      <c r="Q185" s="17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7"/>
      <c r="O186" s="17"/>
      <c r="P186" s="17"/>
      <c r="Q186" s="17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7"/>
      <c r="O187" s="17"/>
      <c r="P187" s="17"/>
      <c r="Q187" s="17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7"/>
      <c r="O188" s="17"/>
      <c r="P188" s="17"/>
      <c r="Q188" s="17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7"/>
      <c r="O189" s="17"/>
      <c r="P189" s="17"/>
      <c r="Q189" s="17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7"/>
      <c r="O190" s="17"/>
      <c r="P190" s="17"/>
      <c r="Q190" s="17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7"/>
      <c r="O191" s="17"/>
      <c r="P191" s="17"/>
      <c r="Q191" s="17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7"/>
      <c r="O192" s="17"/>
      <c r="P192" s="17"/>
      <c r="Q192" s="17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7"/>
      <c r="O193" s="17"/>
      <c r="P193" s="17"/>
      <c r="Q193" s="17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7"/>
      <c r="O194" s="17"/>
      <c r="P194" s="17"/>
      <c r="Q194" s="17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7"/>
      <c r="O195" s="17"/>
      <c r="P195" s="17"/>
      <c r="Q195" s="17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7"/>
      <c r="O196" s="17"/>
      <c r="P196" s="17"/>
      <c r="Q196" s="17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7"/>
      <c r="O197" s="17"/>
      <c r="P197" s="17"/>
      <c r="Q197" s="17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7"/>
      <c r="O198" s="17"/>
      <c r="P198" s="17"/>
      <c r="Q198" s="17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7"/>
      <c r="O199" s="17"/>
      <c r="P199" s="17"/>
      <c r="Q199" s="17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7"/>
      <c r="O200" s="17"/>
      <c r="P200" s="17"/>
      <c r="Q200" s="17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7"/>
      <c r="O201" s="17"/>
      <c r="P201" s="17"/>
      <c r="Q201" s="17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7"/>
      <c r="O202" s="17"/>
      <c r="P202" s="17"/>
      <c r="Q202" s="17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7"/>
      <c r="O203" s="17"/>
      <c r="P203" s="17"/>
      <c r="Q203" s="17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7"/>
      <c r="O204" s="17"/>
      <c r="P204" s="17"/>
      <c r="Q204" s="17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7"/>
      <c r="O205" s="17"/>
      <c r="P205" s="17"/>
      <c r="Q205" s="17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7"/>
      <c r="O206" s="17"/>
      <c r="P206" s="17"/>
      <c r="Q206" s="17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7"/>
      <c r="O207" s="17"/>
      <c r="P207" s="17"/>
      <c r="Q207" s="17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7"/>
      <c r="O208" s="17"/>
      <c r="P208" s="17"/>
      <c r="Q208" s="17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7"/>
      <c r="O209" s="17"/>
      <c r="P209" s="17"/>
      <c r="Q209" s="1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7"/>
      <c r="O210" s="17"/>
      <c r="P210" s="17"/>
      <c r="Q210" s="1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7"/>
      <c r="O211" s="17"/>
      <c r="P211" s="17"/>
      <c r="Q211" s="1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7"/>
      <c r="O212" s="17"/>
      <c r="P212" s="17"/>
      <c r="Q212" s="1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7"/>
      <c r="O213" s="17"/>
      <c r="P213" s="17"/>
      <c r="Q213" s="1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7"/>
      <c r="O214" s="17"/>
      <c r="P214" s="17"/>
      <c r="Q214" s="1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7"/>
      <c r="O215" s="17"/>
      <c r="P215" s="17"/>
      <c r="Q215" s="1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7"/>
      <c r="O216" s="17"/>
      <c r="P216" s="17"/>
      <c r="Q216" s="1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7"/>
      <c r="O217" s="17"/>
      <c r="P217" s="17"/>
      <c r="Q217" s="1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7"/>
      <c r="O218" s="17"/>
      <c r="P218" s="17"/>
      <c r="Q218" s="1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7"/>
      <c r="O219" s="17"/>
      <c r="P219" s="17"/>
      <c r="Q219" s="1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7"/>
      <c r="O220" s="17"/>
      <c r="P220" s="17"/>
      <c r="Q220" s="1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7"/>
      <c r="O221" s="17"/>
      <c r="P221" s="17"/>
      <c r="Q221" s="1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7"/>
      <c r="O222" s="17"/>
      <c r="P222" s="17"/>
      <c r="Q222" s="1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7"/>
      <c r="O223" s="17"/>
      <c r="P223" s="17"/>
      <c r="Q223" s="1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7"/>
      <c r="O224" s="17"/>
      <c r="P224" s="17"/>
      <c r="Q224" s="1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7"/>
      <c r="O225" s="17"/>
      <c r="P225" s="17"/>
      <c r="Q225" s="1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7"/>
      <c r="O226" s="17"/>
      <c r="P226" s="17"/>
      <c r="Q226" s="1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7"/>
      <c r="O227" s="17"/>
      <c r="P227" s="17"/>
      <c r="Q227" s="1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7"/>
      <c r="O228" s="17"/>
      <c r="P228" s="17"/>
      <c r="Q228" s="1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7"/>
      <c r="O229" s="17"/>
      <c r="P229" s="17"/>
      <c r="Q229" s="1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7"/>
      <c r="O230" s="17"/>
      <c r="P230" s="17"/>
      <c r="Q230" s="1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5">
    <mergeCell ref="A1:Q1"/>
    <mergeCell ref="A2:Q2"/>
    <mergeCell ref="A7:Q7"/>
    <mergeCell ref="A28:Q28"/>
    <mergeCell ref="C43:Q4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26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59" t="s">
        <v>585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60" t="s">
        <v>586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  <c r="O6" s="17"/>
      <c r="P6" s="17"/>
      <c r="Q6" s="17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414</v>
      </c>
      <c r="B7" s="1" t="s">
        <v>48</v>
      </c>
      <c r="C7" s="19">
        <f>'Raw Operating'!C18</f>
        <v>0.46</v>
      </c>
      <c r="D7" s="19">
        <f>'Raw Operating'!D18</f>
        <v>0.48</v>
      </c>
      <c r="E7" s="19">
        <f>'Raw Operating'!E18</f>
        <v>0.49</v>
      </c>
      <c r="F7" s="19">
        <f>'Raw Operating'!F18</f>
        <v>0.49</v>
      </c>
      <c r="G7" s="19">
        <f>'Raw Operating'!G18</f>
        <v>0.48</v>
      </c>
      <c r="H7" s="19">
        <f>'Raw Operating'!H18</f>
        <v>0.48</v>
      </c>
      <c r="I7" s="19">
        <f>'Raw Operating'!I18</f>
        <v>0.51800000000000002</v>
      </c>
      <c r="J7" s="19">
        <f>'Raw Operating'!J18</f>
        <v>0.499</v>
      </c>
      <c r="K7" s="19">
        <f>'Raw Operating'!K18</f>
        <v>0.48299999999999998</v>
      </c>
      <c r="L7" s="19">
        <f>'Raw Operating'!L18</f>
        <v>0.54799999999999993</v>
      </c>
      <c r="M7" s="19">
        <f>'Raw Operating'!M18</f>
        <v>0.56899999999999995</v>
      </c>
      <c r="N7" s="24">
        <f>M7</f>
        <v>0.56899999999999995</v>
      </c>
      <c r="O7" s="24">
        <f>N7</f>
        <v>0.56899999999999995</v>
      </c>
      <c r="P7" s="24">
        <f>O7</f>
        <v>0.56899999999999995</v>
      </c>
      <c r="Q7" s="24">
        <f>P7</f>
        <v>0.56899999999999995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587</v>
      </c>
      <c r="B8" s="1" t="s">
        <v>46</v>
      </c>
      <c r="C8" s="18">
        <f>IF(C7="","",C7*'Annual P&amp;L'!C7)</f>
        <v>12339.06244064</v>
      </c>
      <c r="D8" s="18">
        <f>IF(D7="","",D7*'Annual P&amp;L'!D7)</f>
        <v>13450.08</v>
      </c>
      <c r="E8" s="18">
        <f>IF(E7="","",E7*'Annual P&amp;L'!E7)</f>
        <v>14657.86</v>
      </c>
      <c r="F8" s="18">
        <f>IF(F7="","",F7*'Annual P&amp;L'!F7)</f>
        <v>18013.38</v>
      </c>
      <c r="G8" s="18">
        <f>IF(G7="","",G7*'Annual P&amp;L'!G7)</f>
        <v>20082.719999999998</v>
      </c>
      <c r="H8" s="18">
        <f>IF(H7="","",H7*'Annual P&amp;L'!H7)</f>
        <v>22381.439999999999</v>
      </c>
      <c r="I8" s="18">
        <f>IF(I7="","",I7*'Annual P&amp;L'!I7)</f>
        <v>33317.760000000002</v>
      </c>
      <c r="J8" s="18">
        <f>IF(J7="","",J7*'Annual P&amp;L'!J7)</f>
        <v>39992.853999999999</v>
      </c>
      <c r="K8" s="18">
        <f>IF(K7="","",K7*'Annual P&amp;L'!K7)</f>
        <v>44334.57</v>
      </c>
      <c r="L8" s="18">
        <f>IF(L7="","",L7*'Annual P&amp;L'!L7)</f>
        <v>66161.683999999994</v>
      </c>
      <c r="M8" s="18">
        <f>IF(M7="","",M7*'Annual P&amp;L'!M7)</f>
        <v>93331.362999999998</v>
      </c>
      <c r="N8" s="25">
        <f>IF(N7="","",N7*'Annual P&amp;L'!N7)</f>
        <v>130030.02742079399</v>
      </c>
      <c r="O8" s="25">
        <f>IF(O7="","",O7*'Annual P&amp;L'!O7)</f>
        <v>167192.66154735637</v>
      </c>
      <c r="P8" s="25">
        <f>IF(P7="","",P7*'Annual P&amp;L'!P7)</f>
        <v>210311.55637767477</v>
      </c>
      <c r="Q8" s="25">
        <f>IF(Q7="","",Q7*'Annual P&amp;L'!Q7)</f>
        <v>260090.76616783638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415</v>
      </c>
      <c r="B9" s="1" t="s">
        <v>48</v>
      </c>
      <c r="C9" s="19">
        <f>'Raw Operating'!C19</f>
        <v>0.34</v>
      </c>
      <c r="D9" s="19">
        <f>'Raw Operating'!D19</f>
        <v>0.33</v>
      </c>
      <c r="E9" s="19">
        <f>'Raw Operating'!E19</f>
        <v>0.31</v>
      </c>
      <c r="F9" s="19">
        <f>'Raw Operating'!F19</f>
        <v>0.33</v>
      </c>
      <c r="G9" s="19">
        <f>'Raw Operating'!G19</f>
        <v>0.37</v>
      </c>
      <c r="H9" s="19">
        <f>'Raw Operating'!H19</f>
        <v>0.37</v>
      </c>
      <c r="I9" s="19">
        <f>'Raw Operating'!I19</f>
        <v>0.35399999999999998</v>
      </c>
      <c r="J9" s="19">
        <f>'Raw Operating'!J19</f>
        <v>0.38900000000000001</v>
      </c>
      <c r="K9" s="19">
        <f>'Raw Operating'!K19</f>
        <v>0.39399999999999996</v>
      </c>
      <c r="L9" s="19">
        <f>'Raw Operating'!L19</f>
        <v>0.33700000000000002</v>
      </c>
      <c r="M9" s="19">
        <f>'Raw Operating'!M19</f>
        <v>0.28899999999999998</v>
      </c>
      <c r="N9" s="24">
        <f>M9</f>
        <v>0.28899999999999998</v>
      </c>
      <c r="O9" s="24">
        <f>N9</f>
        <v>0.28899999999999998</v>
      </c>
      <c r="P9" s="24">
        <f>O9</f>
        <v>0.28899999999999998</v>
      </c>
      <c r="Q9" s="24">
        <f>P9</f>
        <v>0.28899999999999998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588</v>
      </c>
      <c r="B10" s="1" t="s">
        <v>46</v>
      </c>
      <c r="C10" s="18">
        <f>IF(C9="","",C9*'Annual P&amp;L'!C7)</f>
        <v>9120.1765865600009</v>
      </c>
      <c r="D10" s="18">
        <f>IF(D9="","",D9*'Annual P&amp;L'!D7)</f>
        <v>9246.93</v>
      </c>
      <c r="E10" s="18">
        <f>IF(E9="","",E9*'Annual P&amp;L'!E7)</f>
        <v>9273.34</v>
      </c>
      <c r="F10" s="18">
        <f>IF(F9="","",F9*'Annual P&amp;L'!F7)</f>
        <v>12131.460000000001</v>
      </c>
      <c r="G10" s="18">
        <f>IF(G9="","",G9*'Annual P&amp;L'!G7)</f>
        <v>15480.43</v>
      </c>
      <c r="H10" s="18">
        <f>IF(H9="","",H9*'Annual P&amp;L'!H7)</f>
        <v>17252.36</v>
      </c>
      <c r="I10" s="18">
        <f>IF(I9="","",I9*'Annual P&amp;L'!I7)</f>
        <v>22769.279999999999</v>
      </c>
      <c r="J10" s="18">
        <f>IF(J9="","",J9*'Annual P&amp;L'!J7)</f>
        <v>31176.794000000002</v>
      </c>
      <c r="K10" s="18">
        <f>IF(K9="","",K9*'Annual P&amp;L'!K7)</f>
        <v>36165.259999999995</v>
      </c>
      <c r="L10" s="18">
        <f>IF(L9="","",L9*'Annual P&amp;L'!L7)</f>
        <v>40687.021000000001</v>
      </c>
      <c r="M10" s="18">
        <f>IF(M9="","",M9*'Annual P&amp;L'!M7)</f>
        <v>47403.803</v>
      </c>
      <c r="N10" s="25">
        <f>IF(N9="","",N9*'Annual P&amp;L'!N7)</f>
        <v>66043.370693513993</v>
      </c>
      <c r="O10" s="25">
        <f>IF(O9="","",O9*'Annual P&amp;L'!O7)</f>
        <v>84918.592596108952</v>
      </c>
      <c r="P10" s="25">
        <f>IF(P9="","",P9*'Annual P&amp;L'!P7)</f>
        <v>106819.05060307209</v>
      </c>
      <c r="Q10" s="25">
        <f>IF(Q9="","",Q9*'Annual P&amp;L'!Q7)</f>
        <v>132102.33993410319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589</v>
      </c>
      <c r="B11" s="1" t="s">
        <v>48</v>
      </c>
      <c r="C11" s="19">
        <f>'Raw Operating'!C20</f>
        <v>0.2</v>
      </c>
      <c r="D11" s="19">
        <f>'Raw Operating'!D20</f>
        <v>0.19</v>
      </c>
      <c r="E11" s="19">
        <f>'Raw Operating'!E20</f>
        <v>0.2</v>
      </c>
      <c r="F11" s="19">
        <f>'Raw Operating'!F20</f>
        <v>0.18</v>
      </c>
      <c r="G11" s="19">
        <f>'Raw Operating'!G20</f>
        <v>0.15</v>
      </c>
      <c r="H11" s="19">
        <f>'Raw Operating'!H20</f>
        <v>0.15</v>
      </c>
      <c r="I11" s="19">
        <f>'Raw Operating'!I20</f>
        <v>0.128</v>
      </c>
      <c r="J11" s="19">
        <f>'Raw Operating'!J20</f>
        <v>0.11199999999999999</v>
      </c>
      <c r="K11" s="19">
        <f>'Raw Operating'!K20</f>
        <v>0.12300000000000001</v>
      </c>
      <c r="L11" s="19">
        <f>'Raw Operating'!L20</f>
        <v>0.115</v>
      </c>
      <c r="M11" s="19">
        <f>'Raw Operating'!M20</f>
        <v>0.14199999999999999</v>
      </c>
      <c r="N11" s="24">
        <f>M11</f>
        <v>0.14199999999999999</v>
      </c>
      <c r="O11" s="24">
        <f>N11</f>
        <v>0.14199999999999999</v>
      </c>
      <c r="P11" s="24">
        <f>O11</f>
        <v>0.14199999999999999</v>
      </c>
      <c r="Q11" s="24">
        <f>P11</f>
        <v>0.14199999999999999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590</v>
      </c>
      <c r="B12" s="1" t="s">
        <v>46</v>
      </c>
      <c r="C12" s="18">
        <f>IF(C11="","",C11*'Annual P&amp;L'!C7)</f>
        <v>5364.8097568000003</v>
      </c>
      <c r="D12" s="18">
        <f>IF(D11="","",D11*'Annual P&amp;L'!D7)</f>
        <v>5323.99</v>
      </c>
      <c r="E12" s="18">
        <f>IF(E11="","",E11*'Annual P&amp;L'!E7)</f>
        <v>5982.8</v>
      </c>
      <c r="F12" s="18">
        <f>IF(F11="","",F11*'Annual P&amp;L'!F7)</f>
        <v>6617.16</v>
      </c>
      <c r="G12" s="18">
        <f>IF(G11="","",G11*'Annual P&amp;L'!G7)</f>
        <v>6275.8499999999995</v>
      </c>
      <c r="H12" s="18">
        <f>IF(H11="","",H11*'Annual P&amp;L'!H7)</f>
        <v>6994.2</v>
      </c>
      <c r="I12" s="18">
        <f>IF(I11="","",I11*'Annual P&amp;L'!I7)</f>
        <v>8232.9600000000009</v>
      </c>
      <c r="J12" s="18">
        <f>IF(J11="","",J11*'Annual P&amp;L'!J7)</f>
        <v>8976.351999999999</v>
      </c>
      <c r="K12" s="18">
        <f>IF(K11="","",K11*'Annual P&amp;L'!K7)</f>
        <v>11290.170000000002</v>
      </c>
      <c r="L12" s="18">
        <f>IF(L11="","",L11*'Annual P&amp;L'!L7)</f>
        <v>13884.295</v>
      </c>
      <c r="M12" s="18">
        <f>IF(M11="","",M11*'Annual P&amp;L'!M7)</f>
        <v>23291.833999999999</v>
      </c>
      <c r="N12" s="25">
        <f>IF(N11="","",N11*'Annual P&amp;L'!N7)</f>
        <v>32450.375911691997</v>
      </c>
      <c r="O12" s="25">
        <f>IF(O11="","",O11*'Annual P&amp;L'!O7)</f>
        <v>41724.706396704052</v>
      </c>
      <c r="P12" s="25">
        <f>IF(P11="","",P11*'Annual P&amp;L'!P7)</f>
        <v>52485.485071405659</v>
      </c>
      <c r="Q12" s="25">
        <f>IF(Q11="","",Q11*'Annual P&amp;L'!Q7)</f>
        <v>64908.416161393259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591</v>
      </c>
      <c r="B13" s="1" t="s">
        <v>48</v>
      </c>
      <c r="C13" s="19">
        <f t="shared" ref="C13:Q13" si="0">IF(COUNT(C7,C9,C11)=0,"",SUM(C7,C9,C11))</f>
        <v>1</v>
      </c>
      <c r="D13" s="19">
        <f t="shared" si="0"/>
        <v>1</v>
      </c>
      <c r="E13" s="19">
        <f t="shared" si="0"/>
        <v>1</v>
      </c>
      <c r="F13" s="19">
        <f t="shared" si="0"/>
        <v>1</v>
      </c>
      <c r="G13" s="19">
        <f t="shared" si="0"/>
        <v>1</v>
      </c>
      <c r="H13" s="19">
        <f t="shared" si="0"/>
        <v>1</v>
      </c>
      <c r="I13" s="19">
        <f t="shared" si="0"/>
        <v>1</v>
      </c>
      <c r="J13" s="19">
        <f t="shared" si="0"/>
        <v>1</v>
      </c>
      <c r="K13" s="19">
        <f t="shared" si="0"/>
        <v>1</v>
      </c>
      <c r="L13" s="19">
        <f t="shared" si="0"/>
        <v>1</v>
      </c>
      <c r="M13" s="19">
        <f t="shared" si="0"/>
        <v>0.99999999999999989</v>
      </c>
      <c r="N13" s="24">
        <f t="shared" si="0"/>
        <v>0.99999999999999989</v>
      </c>
      <c r="O13" s="24">
        <f t="shared" si="0"/>
        <v>0.99999999999999989</v>
      </c>
      <c r="P13" s="24">
        <f t="shared" si="0"/>
        <v>0.99999999999999989</v>
      </c>
      <c r="Q13" s="24">
        <f t="shared" si="0"/>
        <v>0.99999999999999989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417</v>
      </c>
      <c r="B14" s="1" t="s">
        <v>48</v>
      </c>
      <c r="C14" s="19">
        <f>'Raw Operating'!C21</f>
        <v>0.59</v>
      </c>
      <c r="D14" s="19">
        <f>'Raw Operating'!D21</f>
        <v>0.6</v>
      </c>
      <c r="E14" s="19">
        <f>'Raw Operating'!E21</f>
        <v>0.61</v>
      </c>
      <c r="F14" s="19">
        <f>'Raw Operating'!F21</f>
        <v>0.65</v>
      </c>
      <c r="G14" s="19">
        <f>'Raw Operating'!G21</f>
        <v>0.64</v>
      </c>
      <c r="H14" s="19">
        <f>'Raw Operating'!H21</f>
        <v>0.62</v>
      </c>
      <c r="I14" s="19">
        <f>'Raw Operating'!I21</f>
        <v>0.56000000000000005</v>
      </c>
      <c r="J14" s="19">
        <f>'Raw Operating'!J21</f>
        <v>0.501</v>
      </c>
      <c r="K14" s="19">
        <f>'Raw Operating'!K21</f>
        <v>0.48299999999999998</v>
      </c>
      <c r="L14" s="19">
        <f>'Raw Operating'!L21</f>
        <v>0.46799999999999997</v>
      </c>
      <c r="M14" s="19">
        <f>'Raw Operating'!M21</f>
        <v>0.47600000000000003</v>
      </c>
      <c r="N14" s="24">
        <f>M14</f>
        <v>0.47600000000000003</v>
      </c>
      <c r="O14" s="24">
        <f>N14</f>
        <v>0.47600000000000003</v>
      </c>
      <c r="P14" s="24">
        <f>O14</f>
        <v>0.47600000000000003</v>
      </c>
      <c r="Q14" s="24">
        <f>P14</f>
        <v>0.47600000000000003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418</v>
      </c>
      <c r="B15" s="1" t="s">
        <v>48</v>
      </c>
      <c r="C15" s="19">
        <f>'Raw Operating'!C22</f>
        <v>0.41</v>
      </c>
      <c r="D15" s="19">
        <f>'Raw Operating'!D22</f>
        <v>0.4</v>
      </c>
      <c r="E15" s="19">
        <f>'Raw Operating'!E22</f>
        <v>0.39</v>
      </c>
      <c r="F15" s="19">
        <f>'Raw Operating'!F22</f>
        <v>0.35</v>
      </c>
      <c r="G15" s="19">
        <f>'Raw Operating'!G22</f>
        <v>0.36</v>
      </c>
      <c r="H15" s="19">
        <f>'Raw Operating'!H22</f>
        <v>0.38</v>
      </c>
      <c r="I15" s="19">
        <f>'Raw Operating'!I22</f>
        <v>0.44</v>
      </c>
      <c r="J15" s="19">
        <f>'Raw Operating'!J22</f>
        <v>0.499</v>
      </c>
      <c r="K15" s="19">
        <f>'Raw Operating'!K22</f>
        <v>0.51700000000000002</v>
      </c>
      <c r="L15" s="19">
        <f>'Raw Operating'!L22</f>
        <v>0.53200000000000003</v>
      </c>
      <c r="M15" s="19">
        <f>'Raw Operating'!M22</f>
        <v>0.52400000000000002</v>
      </c>
      <c r="N15" s="24">
        <f>1-N14</f>
        <v>0.52400000000000002</v>
      </c>
      <c r="O15" s="24">
        <f>1-O14</f>
        <v>0.52400000000000002</v>
      </c>
      <c r="P15" s="24">
        <f>1-P14</f>
        <v>0.52400000000000002</v>
      </c>
      <c r="Q15" s="24">
        <f>1-Q14</f>
        <v>0.52400000000000002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592</v>
      </c>
      <c r="B16" s="1" t="s">
        <v>48</v>
      </c>
      <c r="C16" s="19">
        <f t="shared" ref="C16:Q16" si="1">IF(COUNT(C14:C15)=0,"",SUM(C14:C15))</f>
        <v>1</v>
      </c>
      <c r="D16" s="19">
        <f t="shared" si="1"/>
        <v>1</v>
      </c>
      <c r="E16" s="19">
        <f t="shared" si="1"/>
        <v>1</v>
      </c>
      <c r="F16" s="19">
        <f t="shared" si="1"/>
        <v>1</v>
      </c>
      <c r="G16" s="19">
        <f t="shared" si="1"/>
        <v>1</v>
      </c>
      <c r="H16" s="19">
        <f t="shared" si="1"/>
        <v>1</v>
      </c>
      <c r="I16" s="19">
        <f t="shared" si="1"/>
        <v>1</v>
      </c>
      <c r="J16" s="19">
        <f t="shared" si="1"/>
        <v>1</v>
      </c>
      <c r="K16" s="19">
        <f t="shared" si="1"/>
        <v>1</v>
      </c>
      <c r="L16" s="19">
        <f t="shared" si="1"/>
        <v>1</v>
      </c>
      <c r="M16" s="19">
        <f t="shared" si="1"/>
        <v>1</v>
      </c>
      <c r="N16" s="24">
        <f t="shared" si="1"/>
        <v>1</v>
      </c>
      <c r="O16" s="24">
        <f t="shared" si="1"/>
        <v>1</v>
      </c>
      <c r="P16" s="24">
        <f t="shared" si="1"/>
        <v>1</v>
      </c>
      <c r="Q16" s="24">
        <f t="shared" si="1"/>
        <v>1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419</v>
      </c>
      <c r="B17" s="1" t="s">
        <v>48</v>
      </c>
      <c r="C17" s="19">
        <f>'Raw Operating'!C23</f>
        <v>0.45</v>
      </c>
      <c r="D17" s="19">
        <f>'Raw Operating'!D23</f>
        <v>0.48</v>
      </c>
      <c r="E17" s="19">
        <f>'Raw Operating'!E23</f>
        <v>0.46</v>
      </c>
      <c r="F17" s="19">
        <f>'Raw Operating'!F23</f>
        <v>0.47</v>
      </c>
      <c r="G17" s="19">
        <f>'Raw Operating'!G23</f>
        <v>0.48</v>
      </c>
      <c r="H17" s="19">
        <f>'Raw Operating'!H23</f>
        <v>0.54</v>
      </c>
      <c r="I17" s="19">
        <f>'Raw Operating'!I23</f>
        <v>0.54</v>
      </c>
      <c r="J17" s="19">
        <f>'Raw Operating'!J23</f>
        <v>0.52</v>
      </c>
      <c r="K17" s="19">
        <f>'Raw Operating'!K23</f>
        <v>0.504</v>
      </c>
      <c r="L17" s="19">
        <f>'Raw Operating'!L23</f>
        <v>0.46200000000000002</v>
      </c>
      <c r="M17" s="19">
        <f>'Raw Operating'!M23</f>
        <v>0.46899999999999997</v>
      </c>
      <c r="N17" s="24">
        <f>1-N18</f>
        <v>0.43000000000000005</v>
      </c>
      <c r="O17" s="24">
        <f>1-O18</f>
        <v>0.43999999999999995</v>
      </c>
      <c r="P17" s="24">
        <f>1-P18</f>
        <v>0.44999999999999996</v>
      </c>
      <c r="Q17" s="24">
        <f>1-Q18</f>
        <v>0.45999999999999996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151</v>
      </c>
      <c r="B18" s="1" t="s">
        <v>48</v>
      </c>
      <c r="C18" s="19">
        <f>'Raw Operating'!C24</f>
        <v>0.55000000000000004</v>
      </c>
      <c r="D18" s="19">
        <f>'Raw Operating'!D24</f>
        <v>0.52</v>
      </c>
      <c r="E18" s="19">
        <f>'Raw Operating'!E24</f>
        <v>0.54</v>
      </c>
      <c r="F18" s="19">
        <f>'Raw Operating'!F24</f>
        <v>0.53</v>
      </c>
      <c r="G18" s="19">
        <f>'Raw Operating'!G24</f>
        <v>0.52</v>
      </c>
      <c r="H18" s="19">
        <f>'Raw Operating'!H24</f>
        <v>0.46</v>
      </c>
      <c r="I18" s="19">
        <f>'Raw Operating'!I24</f>
        <v>0.46</v>
      </c>
      <c r="J18" s="19">
        <f>'Raw Operating'!J24</f>
        <v>0.48</v>
      </c>
      <c r="K18" s="19">
        <f>'Raw Operating'!K24</f>
        <v>0.496</v>
      </c>
      <c r="L18" s="19">
        <f>'Raw Operating'!L24</f>
        <v>0.53799999999999992</v>
      </c>
      <c r="M18" s="19">
        <f>'Raw Operating'!M24</f>
        <v>0.53100000000000003</v>
      </c>
      <c r="N18" s="24">
        <f>Assumptions!C12</f>
        <v>0.56999999999999995</v>
      </c>
      <c r="O18" s="24">
        <f>Assumptions!D12</f>
        <v>0.56000000000000005</v>
      </c>
      <c r="P18" s="24">
        <f>Assumptions!E12</f>
        <v>0.55000000000000004</v>
      </c>
      <c r="Q18" s="24">
        <f>Assumptions!F12</f>
        <v>0.54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593</v>
      </c>
      <c r="B19" s="1" t="s">
        <v>48</v>
      </c>
      <c r="C19" s="19">
        <f t="shared" ref="C19:Q19" si="2">IF(COUNT(C17:C18)=0,"",SUM(C17:C18))</f>
        <v>1</v>
      </c>
      <c r="D19" s="19">
        <f t="shared" si="2"/>
        <v>1</v>
      </c>
      <c r="E19" s="19">
        <f t="shared" si="2"/>
        <v>1</v>
      </c>
      <c r="F19" s="19">
        <f t="shared" si="2"/>
        <v>1</v>
      </c>
      <c r="G19" s="19">
        <f t="shared" si="2"/>
        <v>1</v>
      </c>
      <c r="H19" s="19">
        <f t="shared" si="2"/>
        <v>1</v>
      </c>
      <c r="I19" s="19">
        <f t="shared" si="2"/>
        <v>1</v>
      </c>
      <c r="J19" s="19">
        <f t="shared" si="2"/>
        <v>1</v>
      </c>
      <c r="K19" s="19">
        <f t="shared" si="2"/>
        <v>1</v>
      </c>
      <c r="L19" s="19">
        <f t="shared" si="2"/>
        <v>1</v>
      </c>
      <c r="M19" s="19">
        <f t="shared" si="2"/>
        <v>1</v>
      </c>
      <c r="N19" s="24">
        <f t="shared" si="2"/>
        <v>1</v>
      </c>
      <c r="O19" s="24">
        <f t="shared" si="2"/>
        <v>1</v>
      </c>
      <c r="P19" s="24">
        <f t="shared" si="2"/>
        <v>1</v>
      </c>
      <c r="Q19" s="24">
        <f t="shared" si="2"/>
        <v>1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594</v>
      </c>
      <c r="B20" s="1" t="s">
        <v>46</v>
      </c>
      <c r="C20" s="18">
        <f>C18*'Annual P&amp;L'!C7</f>
        <v>14753.2268312</v>
      </c>
      <c r="D20" s="18">
        <f>D18*'Annual P&amp;L'!D7</f>
        <v>14570.92</v>
      </c>
      <c r="E20" s="18">
        <f>E18*'Annual P&amp;L'!E7</f>
        <v>16153.560000000001</v>
      </c>
      <c r="F20" s="18">
        <f>F18*'Annual P&amp;L'!F7</f>
        <v>19483.86</v>
      </c>
      <c r="G20" s="18">
        <f>G18*'Annual P&amp;L'!G7</f>
        <v>21756.280000000002</v>
      </c>
      <c r="H20" s="18">
        <f>H18*'Annual P&amp;L'!H7</f>
        <v>21448.880000000001</v>
      </c>
      <c r="I20" s="18">
        <f>I18*'Annual P&amp;L'!I7</f>
        <v>29587.200000000001</v>
      </c>
      <c r="J20" s="18">
        <f>J18*'Annual P&amp;L'!J7</f>
        <v>38470.080000000002</v>
      </c>
      <c r="K20" s="18">
        <f>K18*'Annual P&amp;L'!K7</f>
        <v>45527.839999999997</v>
      </c>
      <c r="L20" s="18">
        <f>L18*'Annual P&amp;L'!L7</f>
        <v>64954.353999999992</v>
      </c>
      <c r="M20" s="18">
        <f>M18*'Annual P&amp;L'!M7</f>
        <v>87098.337</v>
      </c>
      <c r="N20" s="25">
        <f>N18*'Annual P&amp;L'!N7</f>
        <v>130258.55119481999</v>
      </c>
      <c r="O20" s="25">
        <f>O18*'Annual P&amp;L'!O7</f>
        <v>164548.13790249487</v>
      </c>
      <c r="P20" s="25">
        <f>P18*'Annual P&amp;L'!P7</f>
        <v>203288.85062868393</v>
      </c>
      <c r="Q20" s="25">
        <f>Q18*'Annual P&amp;L'!Q7</f>
        <v>246834.82202219975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595</v>
      </c>
      <c r="B21" s="1" t="s">
        <v>46</v>
      </c>
      <c r="C21" s="18">
        <f>C17*'Annual P&amp;L'!C7</f>
        <v>12070.821952799999</v>
      </c>
      <c r="D21" s="18">
        <f>D17*'Annual P&amp;L'!D7</f>
        <v>13450.08</v>
      </c>
      <c r="E21" s="18">
        <f>E17*'Annual P&amp;L'!E7</f>
        <v>13760.44</v>
      </c>
      <c r="F21" s="18">
        <f>F17*'Annual P&amp;L'!F7</f>
        <v>17278.14</v>
      </c>
      <c r="G21" s="18">
        <f>G17*'Annual P&amp;L'!G7</f>
        <v>20082.719999999998</v>
      </c>
      <c r="H21" s="18">
        <f>H17*'Annual P&amp;L'!H7</f>
        <v>25179.120000000003</v>
      </c>
      <c r="I21" s="18">
        <f>I17*'Annual P&amp;L'!I7</f>
        <v>34732.800000000003</v>
      </c>
      <c r="J21" s="18">
        <f>J17*'Annual P&amp;L'!J7</f>
        <v>41675.919999999998</v>
      </c>
      <c r="K21" s="18">
        <f>K17*'Annual P&amp;L'!K7</f>
        <v>46262.16</v>
      </c>
      <c r="L21" s="18">
        <f>L17*'Annual P&amp;L'!L7</f>
        <v>55778.646000000001</v>
      </c>
      <c r="M21" s="18">
        <f>M17*'Annual P&amp;L'!M7</f>
        <v>76928.663</v>
      </c>
      <c r="N21" s="25">
        <f>N17*'Annual P&amp;L'!N7</f>
        <v>98265.222831180014</v>
      </c>
      <c r="O21" s="25">
        <f>O17*'Annual P&amp;L'!O7</f>
        <v>129287.82263767452</v>
      </c>
      <c r="P21" s="25">
        <f>P17*'Annual P&amp;L'!P7</f>
        <v>166327.24142346863</v>
      </c>
      <c r="Q21" s="25">
        <f>Q17*'Annual P&amp;L'!Q7</f>
        <v>210266.70024113311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  <c r="O22" s="17"/>
      <c r="P22" s="17"/>
      <c r="Q22" s="17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7"/>
      <c r="O23" s="17"/>
      <c r="P23" s="17"/>
      <c r="Q23" s="17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7"/>
      <c r="O24" s="17"/>
      <c r="P24" s="17"/>
      <c r="Q24" s="17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  <c r="O25" s="17"/>
      <c r="P25" s="17"/>
      <c r="Q25" s="17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7"/>
      <c r="O26" s="17"/>
      <c r="P26" s="17"/>
      <c r="Q26" s="17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  <c r="O27" s="17"/>
      <c r="P27" s="17"/>
      <c r="Q27" s="17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  <c r="O28" s="17"/>
      <c r="P28" s="17"/>
      <c r="Q28" s="17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  <c r="O29" s="17"/>
      <c r="P29" s="17"/>
      <c r="Q29" s="17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  <c r="O30" s="17"/>
      <c r="P30" s="17"/>
      <c r="Q30" s="17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  <c r="O31" s="17"/>
      <c r="P31" s="17"/>
      <c r="Q31" s="17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  <c r="O32" s="17"/>
      <c r="P32" s="17"/>
      <c r="Q32" s="1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  <c r="O33" s="17"/>
      <c r="P33" s="17"/>
      <c r="Q33" s="17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  <c r="O34" s="17"/>
      <c r="P34" s="17"/>
      <c r="Q34" s="17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  <c r="O35" s="17"/>
      <c r="P35" s="17"/>
      <c r="Q35" s="17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  <c r="O36" s="17"/>
      <c r="P36" s="17"/>
      <c r="Q36" s="1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  <c r="O37" s="17"/>
      <c r="P37" s="17"/>
      <c r="Q37" s="17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  <c r="O38" s="17"/>
      <c r="P38" s="17"/>
      <c r="Q38" s="17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  <c r="O39" s="17"/>
      <c r="P39" s="17"/>
      <c r="Q39" s="17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  <c r="O40" s="17"/>
      <c r="P40" s="17"/>
      <c r="Q40" s="1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  <c r="O41" s="17"/>
      <c r="P41" s="17"/>
      <c r="Q41" s="17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  <c r="O42" s="17"/>
      <c r="P42" s="17"/>
      <c r="Q42" s="17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  <c r="O43" s="17"/>
      <c r="P43" s="17"/>
      <c r="Q43" s="1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  <c r="O44" s="17"/>
      <c r="P44" s="17"/>
      <c r="Q44" s="1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  <c r="O45" s="17"/>
      <c r="P45" s="17"/>
      <c r="Q45" s="17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  <c r="O46" s="17"/>
      <c r="P46" s="17"/>
      <c r="Q46" s="1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  <c r="O47" s="17"/>
      <c r="P47" s="17"/>
      <c r="Q47" s="1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  <c r="O48" s="17"/>
      <c r="P48" s="17"/>
      <c r="Q48" s="17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  <c r="O49" s="17"/>
      <c r="P49" s="17"/>
      <c r="Q49" s="1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  <c r="O50" s="17"/>
      <c r="P50" s="17"/>
      <c r="Q50" s="1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  <c r="O51" s="17"/>
      <c r="P51" s="17"/>
      <c r="Q51" s="1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  <c r="O52" s="17"/>
      <c r="P52" s="17"/>
      <c r="Q52" s="1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  <c r="O53" s="17"/>
      <c r="P53" s="17"/>
      <c r="Q53" s="1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  <c r="O54" s="17"/>
      <c r="P54" s="17"/>
      <c r="Q54" s="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  <c r="O55" s="17"/>
      <c r="P55" s="17"/>
      <c r="Q55" s="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  <c r="O56" s="17"/>
      <c r="P56" s="17"/>
      <c r="Q56" s="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17"/>
      <c r="P57" s="17"/>
      <c r="Q57" s="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  <c r="O58" s="17"/>
      <c r="P58" s="17"/>
      <c r="Q58" s="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  <c r="O60" s="17"/>
      <c r="P60" s="17"/>
      <c r="Q60" s="1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  <c r="O61" s="17"/>
      <c r="P61" s="17"/>
      <c r="Q61" s="1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  <c r="O62" s="17"/>
      <c r="P62" s="17"/>
      <c r="Q62" s="1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  <c r="O63" s="17"/>
      <c r="P63" s="17"/>
      <c r="Q63" s="1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  <c r="O64" s="17"/>
      <c r="P64" s="17"/>
      <c r="Q64" s="1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7"/>
      <c r="O65" s="17"/>
      <c r="P65" s="17"/>
      <c r="Q65" s="1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7"/>
      <c r="O66" s="17"/>
      <c r="P66" s="17"/>
      <c r="Q66" s="1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7"/>
      <c r="O67" s="17"/>
      <c r="P67" s="17"/>
      <c r="Q67" s="1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7"/>
      <c r="O68" s="17"/>
      <c r="P68" s="17"/>
      <c r="Q68" s="1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7"/>
      <c r="O69" s="17"/>
      <c r="P69" s="17"/>
      <c r="Q69" s="1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7"/>
      <c r="O70" s="17"/>
      <c r="P70" s="17"/>
      <c r="Q70" s="1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7"/>
      <c r="O71" s="17"/>
      <c r="P71" s="17"/>
      <c r="Q71" s="17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7"/>
      <c r="O72" s="17"/>
      <c r="P72" s="17"/>
      <c r="Q72" s="17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7"/>
      <c r="O73" s="17"/>
      <c r="P73" s="17"/>
      <c r="Q73" s="1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7"/>
      <c r="O74" s="17"/>
      <c r="P74" s="17"/>
      <c r="Q74" s="1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7"/>
      <c r="O75" s="17"/>
      <c r="P75" s="17"/>
      <c r="Q75" s="17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7"/>
      <c r="O76" s="17"/>
      <c r="P76" s="17"/>
      <c r="Q76" s="17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7"/>
      <c r="O77" s="17"/>
      <c r="P77" s="17"/>
      <c r="Q77" s="17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7"/>
      <c r="O78" s="17"/>
      <c r="P78" s="17"/>
      <c r="Q78" s="1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7"/>
      <c r="O79" s="17"/>
      <c r="P79" s="17"/>
      <c r="Q79" s="1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7"/>
      <c r="O80" s="17"/>
      <c r="P80" s="17"/>
      <c r="Q80" s="17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7"/>
      <c r="O81" s="17"/>
      <c r="P81" s="17"/>
      <c r="Q81" s="17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7"/>
      <c r="O82" s="17"/>
      <c r="P82" s="17"/>
      <c r="Q82" s="17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7"/>
      <c r="O83" s="17"/>
      <c r="P83" s="17"/>
      <c r="Q83" s="17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7"/>
      <c r="O84" s="17"/>
      <c r="P84" s="17"/>
      <c r="Q84" s="1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7"/>
      <c r="O85" s="17"/>
      <c r="P85" s="17"/>
      <c r="Q85" s="17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7"/>
      <c r="O86" s="17"/>
      <c r="P86" s="17"/>
      <c r="Q86" s="17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7"/>
      <c r="O87" s="17"/>
      <c r="P87" s="17"/>
      <c r="Q87" s="17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7"/>
      <c r="O88" s="17"/>
      <c r="P88" s="17"/>
      <c r="Q88" s="17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7"/>
      <c r="O89" s="17"/>
      <c r="P89" s="17"/>
      <c r="Q89" s="1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7"/>
      <c r="O90" s="17"/>
      <c r="P90" s="17"/>
      <c r="Q90" s="1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7"/>
      <c r="O91" s="17"/>
      <c r="P91" s="17"/>
      <c r="Q91" s="17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7"/>
      <c r="O92" s="17"/>
      <c r="P92" s="17"/>
      <c r="Q92" s="17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7"/>
      <c r="O93" s="17"/>
      <c r="P93" s="17"/>
      <c r="Q93" s="1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7"/>
      <c r="O94" s="17"/>
      <c r="P94" s="17"/>
      <c r="Q94" s="1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7"/>
      <c r="O95" s="17"/>
      <c r="P95" s="17"/>
      <c r="Q95" s="17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7"/>
      <c r="O96" s="17"/>
      <c r="P96" s="17"/>
      <c r="Q96" s="17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7"/>
      <c r="O97" s="17"/>
      <c r="P97" s="17"/>
      <c r="Q97" s="17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7"/>
      <c r="O98" s="17"/>
      <c r="P98" s="17"/>
      <c r="Q98" s="1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7"/>
      <c r="O99" s="17"/>
      <c r="P99" s="17"/>
      <c r="Q99" s="1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7"/>
      <c r="O100" s="17"/>
      <c r="P100" s="17"/>
      <c r="Q100" s="17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7"/>
      <c r="O101" s="17"/>
      <c r="P101" s="17"/>
      <c r="Q101" s="17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7"/>
      <c r="O102" s="17"/>
      <c r="P102" s="17"/>
      <c r="Q102" s="17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7"/>
      <c r="O103" s="17"/>
      <c r="P103" s="17"/>
      <c r="Q103" s="1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7"/>
      <c r="O104" s="17"/>
      <c r="P104" s="17"/>
      <c r="Q104" s="1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7"/>
      <c r="O105" s="17"/>
      <c r="P105" s="17"/>
      <c r="Q105" s="17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7"/>
      <c r="O106" s="17"/>
      <c r="P106" s="17"/>
      <c r="Q106" s="17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7"/>
      <c r="O107" s="17"/>
      <c r="P107" s="17"/>
      <c r="Q107" s="1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7"/>
      <c r="O108" s="17"/>
      <c r="P108" s="17"/>
      <c r="Q108" s="17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7"/>
      <c r="O109" s="17"/>
      <c r="P109" s="17"/>
      <c r="Q109" s="1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7"/>
      <c r="O110" s="17"/>
      <c r="P110" s="17"/>
      <c r="Q110" s="17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7"/>
      <c r="O111" s="17"/>
      <c r="P111" s="17"/>
      <c r="Q111" s="17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7"/>
      <c r="O112" s="17"/>
      <c r="P112" s="17"/>
      <c r="Q112" s="1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7"/>
      <c r="O113" s="17"/>
      <c r="P113" s="17"/>
      <c r="Q113" s="1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7"/>
      <c r="O114" s="17"/>
      <c r="P114" s="17"/>
      <c r="Q114" s="1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7"/>
      <c r="O115" s="17"/>
      <c r="P115" s="17"/>
      <c r="Q115" s="17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7"/>
      <c r="O116" s="17"/>
      <c r="P116" s="17"/>
      <c r="Q116" s="17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7"/>
      <c r="O117" s="17"/>
      <c r="P117" s="17"/>
      <c r="Q117" s="17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7"/>
      <c r="O118" s="17"/>
      <c r="P118" s="17"/>
      <c r="Q118" s="1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7"/>
      <c r="O119" s="17"/>
      <c r="P119" s="17"/>
      <c r="Q119" s="17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7"/>
      <c r="O120" s="17"/>
      <c r="P120" s="17"/>
      <c r="Q120" s="17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7"/>
      <c r="O121" s="17"/>
      <c r="P121" s="17"/>
      <c r="Q121" s="17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7"/>
      <c r="O122" s="17"/>
      <c r="P122" s="17"/>
      <c r="Q122" s="1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7"/>
      <c r="O123" s="17"/>
      <c r="P123" s="17"/>
      <c r="Q123" s="1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7"/>
      <c r="O124" s="17"/>
      <c r="P124" s="17"/>
      <c r="Q124" s="1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7"/>
      <c r="O125" s="17"/>
      <c r="P125" s="17"/>
      <c r="Q125" s="1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7"/>
      <c r="O126" s="17"/>
      <c r="P126" s="17"/>
      <c r="Q126" s="1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7"/>
      <c r="O127" s="17"/>
      <c r="P127" s="17"/>
      <c r="Q127" s="1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7"/>
      <c r="O128" s="17"/>
      <c r="P128" s="17"/>
      <c r="Q128" s="1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7"/>
      <c r="O129" s="17"/>
      <c r="P129" s="17"/>
      <c r="Q129" s="1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7"/>
      <c r="O130" s="17"/>
      <c r="P130" s="17"/>
      <c r="Q130" s="1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7"/>
      <c r="O131" s="17"/>
      <c r="P131" s="17"/>
      <c r="Q131" s="1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7"/>
      <c r="O132" s="17"/>
      <c r="P132" s="17"/>
      <c r="Q132" s="1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7"/>
      <c r="O133" s="17"/>
      <c r="P133" s="17"/>
      <c r="Q133" s="1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7"/>
      <c r="O134" s="17"/>
      <c r="P134" s="17"/>
      <c r="Q134" s="1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7"/>
      <c r="O135" s="17"/>
      <c r="P135" s="17"/>
      <c r="Q135" s="1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7"/>
      <c r="O136" s="17"/>
      <c r="P136" s="17"/>
      <c r="Q136" s="1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7"/>
      <c r="O137" s="17"/>
      <c r="P137" s="17"/>
      <c r="Q137" s="1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7"/>
      <c r="O138" s="17"/>
      <c r="P138" s="17"/>
      <c r="Q138" s="1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7"/>
      <c r="O139" s="17"/>
      <c r="P139" s="17"/>
      <c r="Q139" s="1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7"/>
      <c r="O140" s="17"/>
      <c r="P140" s="17"/>
      <c r="Q140" s="1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7"/>
      <c r="O141" s="17"/>
      <c r="P141" s="17"/>
      <c r="Q141" s="1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7"/>
      <c r="O142" s="17"/>
      <c r="P142" s="17"/>
      <c r="Q142" s="1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7"/>
      <c r="O143" s="17"/>
      <c r="P143" s="17"/>
      <c r="Q143" s="1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7"/>
      <c r="O144" s="17"/>
      <c r="P144" s="17"/>
      <c r="Q144" s="1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7"/>
      <c r="O145" s="17"/>
      <c r="P145" s="17"/>
      <c r="Q145" s="1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7"/>
      <c r="O146" s="17"/>
      <c r="P146" s="17"/>
      <c r="Q146" s="1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7"/>
      <c r="O147" s="17"/>
      <c r="P147" s="17"/>
      <c r="Q147" s="1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7"/>
      <c r="O148" s="17"/>
      <c r="P148" s="17"/>
      <c r="Q148" s="1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7"/>
      <c r="O149" s="17"/>
      <c r="P149" s="17"/>
      <c r="Q149" s="1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7"/>
      <c r="O150" s="17"/>
      <c r="P150" s="17"/>
      <c r="Q150" s="1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7"/>
      <c r="O151" s="17"/>
      <c r="P151" s="17"/>
      <c r="Q151" s="1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7"/>
      <c r="O152" s="17"/>
      <c r="P152" s="17"/>
      <c r="Q152" s="1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7"/>
      <c r="O153" s="17"/>
      <c r="P153" s="17"/>
      <c r="Q153" s="1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7"/>
      <c r="O154" s="17"/>
      <c r="P154" s="17"/>
      <c r="Q154" s="1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7"/>
      <c r="O155" s="17"/>
      <c r="P155" s="17"/>
      <c r="Q155" s="1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7"/>
      <c r="O156" s="17"/>
      <c r="P156" s="17"/>
      <c r="Q156" s="1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7"/>
      <c r="O157" s="17"/>
      <c r="P157" s="17"/>
      <c r="Q157" s="17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7"/>
      <c r="O158" s="17"/>
      <c r="P158" s="17"/>
      <c r="Q158" s="1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7"/>
      <c r="O159" s="17"/>
      <c r="P159" s="17"/>
      <c r="Q159" s="17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7"/>
      <c r="O160" s="17"/>
      <c r="P160" s="17"/>
      <c r="Q160" s="17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7"/>
      <c r="O161" s="17"/>
      <c r="P161" s="17"/>
      <c r="Q161" s="17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7"/>
      <c r="O162" s="17"/>
      <c r="P162" s="17"/>
      <c r="Q162" s="17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7"/>
      <c r="O163" s="17"/>
      <c r="P163" s="17"/>
      <c r="Q163" s="17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7"/>
      <c r="O164" s="17"/>
      <c r="P164" s="17"/>
      <c r="Q164" s="17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7"/>
      <c r="O165" s="17"/>
      <c r="P165" s="17"/>
      <c r="Q165" s="1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7"/>
      <c r="O166" s="17"/>
      <c r="P166" s="17"/>
      <c r="Q166" s="1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7"/>
      <c r="O167" s="17"/>
      <c r="P167" s="17"/>
      <c r="Q167" s="17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7"/>
      <c r="O168" s="17"/>
      <c r="P168" s="17"/>
      <c r="Q168" s="17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7"/>
      <c r="O169" s="17"/>
      <c r="P169" s="17"/>
      <c r="Q169" s="17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7"/>
      <c r="O170" s="17"/>
      <c r="P170" s="17"/>
      <c r="Q170" s="17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7"/>
      <c r="O171" s="17"/>
      <c r="P171" s="17"/>
      <c r="Q171" s="17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7"/>
      <c r="O172" s="17"/>
      <c r="P172" s="17"/>
      <c r="Q172" s="17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7"/>
      <c r="O173" s="17"/>
      <c r="P173" s="17"/>
      <c r="Q173" s="17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7"/>
      <c r="O174" s="17"/>
      <c r="P174" s="17"/>
      <c r="Q174" s="17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7"/>
      <c r="O175" s="17"/>
      <c r="P175" s="17"/>
      <c r="Q175" s="1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7"/>
      <c r="O176" s="17"/>
      <c r="P176" s="17"/>
      <c r="Q176" s="17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7"/>
      <c r="O177" s="17"/>
      <c r="P177" s="17"/>
      <c r="Q177" s="17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7"/>
      <c r="O178" s="17"/>
      <c r="P178" s="17"/>
      <c r="Q178" s="17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7"/>
      <c r="O179" s="17"/>
      <c r="P179" s="17"/>
      <c r="Q179" s="17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7"/>
      <c r="O180" s="17"/>
      <c r="P180" s="17"/>
      <c r="Q180" s="17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7"/>
      <c r="O181" s="17"/>
      <c r="P181" s="17"/>
      <c r="Q181" s="17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7"/>
      <c r="O182" s="17"/>
      <c r="P182" s="17"/>
      <c r="Q182" s="17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7"/>
      <c r="O183" s="17"/>
      <c r="P183" s="17"/>
      <c r="Q183" s="17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7"/>
      <c r="O184" s="17"/>
      <c r="P184" s="17"/>
      <c r="Q184" s="17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7"/>
      <c r="O185" s="17"/>
      <c r="P185" s="17"/>
      <c r="Q185" s="17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7"/>
      <c r="O186" s="17"/>
      <c r="P186" s="17"/>
      <c r="Q186" s="17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7"/>
      <c r="O187" s="17"/>
      <c r="P187" s="17"/>
      <c r="Q187" s="17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7"/>
      <c r="O188" s="17"/>
      <c r="P188" s="17"/>
      <c r="Q188" s="17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7"/>
      <c r="O189" s="17"/>
      <c r="P189" s="17"/>
      <c r="Q189" s="17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7"/>
      <c r="O190" s="17"/>
      <c r="P190" s="17"/>
      <c r="Q190" s="17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7"/>
      <c r="O191" s="17"/>
      <c r="P191" s="17"/>
      <c r="Q191" s="17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7"/>
      <c r="O192" s="17"/>
      <c r="P192" s="17"/>
      <c r="Q192" s="17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7"/>
      <c r="O193" s="17"/>
      <c r="P193" s="17"/>
      <c r="Q193" s="17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7"/>
      <c r="O194" s="17"/>
      <c r="P194" s="17"/>
      <c r="Q194" s="17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7"/>
      <c r="O195" s="17"/>
      <c r="P195" s="17"/>
      <c r="Q195" s="17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7"/>
      <c r="O196" s="17"/>
      <c r="P196" s="17"/>
      <c r="Q196" s="17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7"/>
      <c r="O197" s="17"/>
      <c r="P197" s="17"/>
      <c r="Q197" s="17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7"/>
      <c r="O198" s="17"/>
      <c r="P198" s="17"/>
      <c r="Q198" s="17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7"/>
      <c r="O199" s="17"/>
      <c r="P199" s="17"/>
      <c r="Q199" s="17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7"/>
      <c r="O200" s="17"/>
      <c r="P200" s="17"/>
      <c r="Q200" s="17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7"/>
      <c r="O201" s="17"/>
      <c r="P201" s="17"/>
      <c r="Q201" s="17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7"/>
      <c r="O202" s="17"/>
      <c r="P202" s="17"/>
      <c r="Q202" s="17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7"/>
      <c r="O203" s="17"/>
      <c r="P203" s="17"/>
      <c r="Q203" s="17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7"/>
      <c r="O204" s="17"/>
      <c r="P204" s="17"/>
      <c r="Q204" s="17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7"/>
      <c r="O205" s="17"/>
      <c r="P205" s="17"/>
      <c r="Q205" s="17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7"/>
      <c r="O206" s="17"/>
      <c r="P206" s="17"/>
      <c r="Q206" s="17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7"/>
      <c r="O207" s="17"/>
      <c r="P207" s="17"/>
      <c r="Q207" s="17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7"/>
      <c r="O208" s="17"/>
      <c r="P208" s="17"/>
      <c r="Q208" s="17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7"/>
      <c r="O209" s="17"/>
      <c r="P209" s="17"/>
      <c r="Q209" s="1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7"/>
      <c r="O210" s="17"/>
      <c r="P210" s="17"/>
      <c r="Q210" s="1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7"/>
      <c r="O211" s="17"/>
      <c r="P211" s="17"/>
      <c r="Q211" s="1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7"/>
      <c r="O212" s="17"/>
      <c r="P212" s="17"/>
      <c r="Q212" s="1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7"/>
      <c r="O213" s="17"/>
      <c r="P213" s="17"/>
      <c r="Q213" s="1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7"/>
      <c r="O214" s="17"/>
      <c r="P214" s="17"/>
      <c r="Q214" s="1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7"/>
      <c r="O215" s="17"/>
      <c r="P215" s="17"/>
      <c r="Q215" s="1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7"/>
      <c r="O216" s="17"/>
      <c r="P216" s="17"/>
      <c r="Q216" s="1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7"/>
      <c r="O217" s="17"/>
      <c r="P217" s="17"/>
      <c r="Q217" s="1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7"/>
      <c r="O218" s="17"/>
      <c r="P218" s="17"/>
      <c r="Q218" s="1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7"/>
      <c r="O219" s="17"/>
      <c r="P219" s="17"/>
      <c r="Q219" s="1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7"/>
      <c r="O220" s="17"/>
      <c r="P220" s="17"/>
      <c r="Q220" s="1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7"/>
      <c r="O221" s="17"/>
      <c r="P221" s="17"/>
      <c r="Q221" s="1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7"/>
      <c r="O222" s="17"/>
      <c r="P222" s="17"/>
      <c r="Q222" s="1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7"/>
      <c r="O223" s="17"/>
      <c r="P223" s="17"/>
      <c r="Q223" s="1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7"/>
      <c r="O224" s="17"/>
      <c r="P224" s="17"/>
      <c r="Q224" s="1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7"/>
      <c r="O225" s="17"/>
      <c r="P225" s="17"/>
      <c r="Q225" s="1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7"/>
      <c r="O226" s="17"/>
      <c r="P226" s="17"/>
      <c r="Q226" s="1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7"/>
      <c r="O227" s="17"/>
      <c r="P227" s="17"/>
      <c r="Q227" s="1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7"/>
      <c r="O228" s="17"/>
      <c r="P228" s="17"/>
      <c r="Q228" s="1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7"/>
      <c r="O229" s="17"/>
      <c r="P229" s="17"/>
      <c r="Q229" s="1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7"/>
      <c r="O230" s="17"/>
      <c r="P230" s="17"/>
      <c r="Q230" s="1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U26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59" t="s">
        <v>596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60" t="s">
        <v>597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  <c r="O6" s="17"/>
      <c r="P6" s="17"/>
      <c r="Q6" s="17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444</v>
      </c>
      <c r="B7" s="1" t="s">
        <v>64</v>
      </c>
      <c r="C7" s="22">
        <f>'Raw Operating'!C53</f>
        <v>51</v>
      </c>
      <c r="D7" s="22">
        <f>'Raw Operating'!D53</f>
        <v>55</v>
      </c>
      <c r="E7" s="22">
        <f>'Raw Operating'!E53</f>
        <v>60</v>
      </c>
      <c r="F7" s="22">
        <f>'Raw Operating'!F53</f>
        <v>66</v>
      </c>
      <c r="G7" s="22">
        <f>'Raw Operating'!G53</f>
        <v>80</v>
      </c>
      <c r="H7" s="22">
        <f>'Raw Operating'!H53</f>
        <v>88</v>
      </c>
      <c r="I7" s="22">
        <f>'Raw Operating'!I53</f>
        <v>100</v>
      </c>
      <c r="J7" s="22">
        <f>'Raw Operating'!J53</f>
        <v>101</v>
      </c>
      <c r="K7" s="22">
        <f>'Raw Operating'!K53</f>
        <v>112</v>
      </c>
      <c r="L7" s="22">
        <f>'Raw Operating'!L53</f>
        <v>173</v>
      </c>
      <c r="M7" s="22">
        <f>'Raw Operating'!M53</f>
        <v>167</v>
      </c>
      <c r="N7" s="26">
        <f>ROUND(M7*(1+'Annual P&amp;L'!N8),0)</f>
        <v>233</v>
      </c>
      <c r="O7" s="26">
        <f>ROUND(N7*(1+'Annual P&amp;L'!O8),0)</f>
        <v>300</v>
      </c>
      <c r="P7" s="26">
        <f>ROUND(O7*(1+'Annual P&amp;L'!P8),0)</f>
        <v>377</v>
      </c>
      <c r="Q7" s="26">
        <f>ROUND(P7*(1+'Annual P&amp;L'!Q8),0)</f>
        <v>466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445</v>
      </c>
      <c r="B8" s="1" t="s">
        <v>64</v>
      </c>
      <c r="C8" s="22">
        <f>'Raw Operating'!C54</f>
        <v>16</v>
      </c>
      <c r="D8" s="22">
        <f>'Raw Operating'!D54</f>
        <v>10</v>
      </c>
      <c r="E8" s="22">
        <f>'Raw Operating'!E54</f>
        <v>13</v>
      </c>
      <c r="F8" s="22">
        <f>'Raw Operating'!F54</f>
        <v>16</v>
      </c>
      <c r="G8" s="22">
        <f>'Raw Operating'!G54</f>
        <v>15</v>
      </c>
      <c r="H8" s="22">
        <f>'Raw Operating'!H54</f>
        <v>16</v>
      </c>
      <c r="I8" s="22">
        <f>'Raw Operating'!I54</f>
        <v>19</v>
      </c>
      <c r="J8" s="22">
        <f>'Raw Operating'!J54</f>
        <v>23</v>
      </c>
      <c r="K8" s="22">
        <f>'Raw Operating'!K54</f>
        <v>24</v>
      </c>
      <c r="L8" s="22">
        <f>'Raw Operating'!L54</f>
        <v>35</v>
      </c>
      <c r="M8" s="22">
        <f>'Raw Operating'!M54</f>
        <v>42</v>
      </c>
      <c r="N8" s="26">
        <f>ROUND(M8*(1+'Annual P&amp;L'!N8),0)</f>
        <v>59</v>
      </c>
      <c r="O8" s="26">
        <f>ROUND(N8*(1+'Annual P&amp;L'!O8),0)</f>
        <v>76</v>
      </c>
      <c r="P8" s="26">
        <f>ROUND(O8*(1+'Annual P&amp;L'!P8),0)</f>
        <v>96</v>
      </c>
      <c r="Q8" s="26">
        <f>ROUND(P8*(1+'Annual P&amp;L'!Q8),0)</f>
        <v>119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446</v>
      </c>
      <c r="B9" s="1" t="s">
        <v>64</v>
      </c>
      <c r="C9" s="22">
        <f>'Raw Operating'!C55</f>
        <v>0</v>
      </c>
      <c r="D9" s="22">
        <f>'Raw Operating'!D55</f>
        <v>0</v>
      </c>
      <c r="E9" s="22">
        <f>'Raw Operating'!E55</f>
        <v>0</v>
      </c>
      <c r="F9" s="22">
        <f>'Raw Operating'!F55</f>
        <v>0</v>
      </c>
      <c r="G9" s="22">
        <f>'Raw Operating'!G55</f>
        <v>0</v>
      </c>
      <c r="H9" s="22">
        <f>'Raw Operating'!H55</f>
        <v>0</v>
      </c>
      <c r="I9" s="22">
        <f>'Raw Operating'!I55</f>
        <v>0</v>
      </c>
      <c r="J9" s="22">
        <f>'Raw Operating'!J55</f>
        <v>0</v>
      </c>
      <c r="K9" s="22">
        <f>'Raw Operating'!K55</f>
        <v>0</v>
      </c>
      <c r="L9" s="22">
        <f>'Raw Operating'!L55</f>
        <v>0</v>
      </c>
      <c r="M9" s="22">
        <f>'Raw Operating'!M55</f>
        <v>23</v>
      </c>
      <c r="N9" s="26">
        <f>ROUND(M9*(1+'Annual P&amp;L'!N8),0)</f>
        <v>32</v>
      </c>
      <c r="O9" s="26">
        <f>ROUND(N9*(1+'Annual P&amp;L'!O8),0)</f>
        <v>41</v>
      </c>
      <c r="P9" s="26">
        <f>ROUND(O9*(1+'Annual P&amp;L'!P8),0)</f>
        <v>52</v>
      </c>
      <c r="Q9" s="26">
        <f>ROUND(P9*(1+'Annual P&amp;L'!Q8),0)</f>
        <v>64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447</v>
      </c>
      <c r="B10" s="1" t="s">
        <v>64</v>
      </c>
      <c r="C10" s="22">
        <f>'Raw Operating'!C56</f>
        <v>0</v>
      </c>
      <c r="D10" s="22">
        <f>'Raw Operating'!D56</f>
        <v>0</v>
      </c>
      <c r="E10" s="22">
        <f>'Raw Operating'!E56</f>
        <v>0</v>
      </c>
      <c r="F10" s="22">
        <f>'Raw Operating'!F56</f>
        <v>0</v>
      </c>
      <c r="G10" s="22">
        <f>'Raw Operating'!G56</f>
        <v>0</v>
      </c>
      <c r="H10" s="22">
        <f>'Raw Operating'!H56</f>
        <v>0</v>
      </c>
      <c r="I10" s="22">
        <f>'Raw Operating'!I56</f>
        <v>0</v>
      </c>
      <c r="J10" s="22">
        <f>'Raw Operating'!J56</f>
        <v>0</v>
      </c>
      <c r="K10" s="22">
        <f>'Raw Operating'!K56</f>
        <v>0</v>
      </c>
      <c r="L10" s="22">
        <f>'Raw Operating'!L56</f>
        <v>0</v>
      </c>
      <c r="M10" s="22">
        <f>'Raw Operating'!M56</f>
        <v>9</v>
      </c>
      <c r="N10" s="26">
        <f>ROUND(M10*(1+'Annual P&amp;L'!N8),0)</f>
        <v>13</v>
      </c>
      <c r="O10" s="26">
        <f>ROUND(N10*(1+'Annual P&amp;L'!O8),0)</f>
        <v>17</v>
      </c>
      <c r="P10" s="26">
        <f>ROUND(O10*(1+'Annual P&amp;L'!P8),0)</f>
        <v>21</v>
      </c>
      <c r="Q10" s="26">
        <f>ROUND(P10*(1+'Annual P&amp;L'!Q8),0)</f>
        <v>26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448</v>
      </c>
      <c r="B11" s="1" t="s">
        <v>64</v>
      </c>
      <c r="C11" s="22">
        <f>'Raw Operating'!C57</f>
        <v>0</v>
      </c>
      <c r="D11" s="22">
        <f>'Raw Operating'!D57</f>
        <v>0</v>
      </c>
      <c r="E11" s="22">
        <f>'Raw Operating'!E57</f>
        <v>0</v>
      </c>
      <c r="F11" s="22">
        <f>'Raw Operating'!F57</f>
        <v>0</v>
      </c>
      <c r="G11" s="22">
        <f>'Raw Operating'!G57</f>
        <v>0</v>
      </c>
      <c r="H11" s="22">
        <f>'Raw Operating'!H57</f>
        <v>0</v>
      </c>
      <c r="I11" s="22">
        <f>'Raw Operating'!I57</f>
        <v>0</v>
      </c>
      <c r="J11" s="22">
        <f>'Raw Operating'!J57</f>
        <v>0</v>
      </c>
      <c r="K11" s="22">
        <f>'Raw Operating'!K57</f>
        <v>0</v>
      </c>
      <c r="L11" s="22">
        <f>'Raw Operating'!L57</f>
        <v>0</v>
      </c>
      <c r="M11" s="22">
        <f>'Raw Operating'!M57</f>
        <v>3</v>
      </c>
      <c r="N11" s="26">
        <f>ROUND(M11*(1+'Annual P&amp;L'!N8),0)</f>
        <v>4</v>
      </c>
      <c r="O11" s="26">
        <f>ROUND(N11*(1+'Annual P&amp;L'!O8),0)</f>
        <v>5</v>
      </c>
      <c r="P11" s="26">
        <f>ROUND(O11*(1+'Annual P&amp;L'!P8),0)</f>
        <v>6</v>
      </c>
      <c r="Q11" s="26">
        <f>ROUND(P11*(1+'Annual P&amp;L'!Q8),0)</f>
        <v>7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449</v>
      </c>
      <c r="B12" s="1" t="s">
        <v>64</v>
      </c>
      <c r="C12" s="22">
        <f>'Raw Operating'!C58</f>
        <v>0</v>
      </c>
      <c r="D12" s="22">
        <f>'Raw Operating'!D58</f>
        <v>0</v>
      </c>
      <c r="E12" s="22">
        <f>'Raw Operating'!E58</f>
        <v>0</v>
      </c>
      <c r="F12" s="22">
        <f>'Raw Operating'!F58</f>
        <v>0</v>
      </c>
      <c r="G12" s="22">
        <f>'Raw Operating'!G58</f>
        <v>0</v>
      </c>
      <c r="H12" s="22">
        <f>'Raw Operating'!H58</f>
        <v>0</v>
      </c>
      <c r="I12" s="22">
        <f>'Raw Operating'!I58</f>
        <v>0</v>
      </c>
      <c r="J12" s="22">
        <f>'Raw Operating'!J58</f>
        <v>0</v>
      </c>
      <c r="K12" s="22">
        <f>'Raw Operating'!K58</f>
        <v>0</v>
      </c>
      <c r="L12" s="22">
        <f>'Raw Operating'!L58</f>
        <v>0</v>
      </c>
      <c r="M12" s="22">
        <f>'Raw Operating'!M58</f>
        <v>1</v>
      </c>
      <c r="N12" s="26">
        <f>ROUND(M12*(1+'Annual P&amp;L'!N8),0)</f>
        <v>1</v>
      </c>
      <c r="O12" s="26">
        <f>ROUND(N12*(1+'Annual P&amp;L'!O8),0)</f>
        <v>1</v>
      </c>
      <c r="P12" s="26">
        <f>ROUND(O12*(1+'Annual P&amp;L'!P8),0)</f>
        <v>1</v>
      </c>
      <c r="Q12" s="26">
        <f>ROUND(P12*(1+'Annual P&amp;L'!Q8),0)</f>
        <v>1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450</v>
      </c>
      <c r="B13" s="1" t="s">
        <v>64</v>
      </c>
      <c r="C13" s="22">
        <f>'Raw Operating'!C59</f>
        <v>6</v>
      </c>
      <c r="D13" s="22">
        <f>'Raw Operating'!D59</f>
        <v>8</v>
      </c>
      <c r="E13" s="22">
        <f>'Raw Operating'!E59</f>
        <v>7</v>
      </c>
      <c r="F13" s="22">
        <f>'Raw Operating'!F59</f>
        <v>8</v>
      </c>
      <c r="G13" s="22">
        <f>'Raw Operating'!G59</f>
        <v>0</v>
      </c>
      <c r="H13" s="22">
        <f>'Raw Operating'!H59</f>
        <v>0</v>
      </c>
      <c r="I13" s="22">
        <f>'Raw Operating'!I59</f>
        <v>18</v>
      </c>
      <c r="J13" s="22">
        <f>'Raw Operating'!J59</f>
        <v>21</v>
      </c>
      <c r="K13" s="22">
        <f>'Raw Operating'!K59</f>
        <v>24</v>
      </c>
      <c r="L13" s="22">
        <f>'Raw Operating'!L59</f>
        <v>31</v>
      </c>
      <c r="M13" s="22">
        <f>'Raw Operating'!M59</f>
        <v>0</v>
      </c>
      <c r="N13" s="26">
        <f>ROUND(M13*(1+'Annual P&amp;L'!N8),0)</f>
        <v>0</v>
      </c>
      <c r="O13" s="26">
        <f>ROUND(N13*(1+'Annual P&amp;L'!O8),0)</f>
        <v>0</v>
      </c>
      <c r="P13" s="26">
        <f>ROUND(O13*(1+'Annual P&amp;L'!P8),0)</f>
        <v>0</v>
      </c>
      <c r="Q13" s="26">
        <f>ROUND(P13*(1+'Annual P&amp;L'!Q8),0)</f>
        <v>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598</v>
      </c>
      <c r="B14" s="1" t="s">
        <v>64</v>
      </c>
      <c r="C14" s="22">
        <f t="shared" ref="C14:Q14" si="0">SUM(C7:C12)</f>
        <v>67</v>
      </c>
      <c r="D14" s="22">
        <f t="shared" si="0"/>
        <v>65</v>
      </c>
      <c r="E14" s="22">
        <f t="shared" si="0"/>
        <v>73</v>
      </c>
      <c r="F14" s="22">
        <f t="shared" si="0"/>
        <v>82</v>
      </c>
      <c r="G14" s="22">
        <f t="shared" si="0"/>
        <v>95</v>
      </c>
      <c r="H14" s="22">
        <f t="shared" si="0"/>
        <v>104</v>
      </c>
      <c r="I14" s="22">
        <f t="shared" si="0"/>
        <v>119</v>
      </c>
      <c r="J14" s="22">
        <f t="shared" si="0"/>
        <v>124</v>
      </c>
      <c r="K14" s="22">
        <f t="shared" si="0"/>
        <v>136</v>
      </c>
      <c r="L14" s="22">
        <f t="shared" si="0"/>
        <v>208</v>
      </c>
      <c r="M14" s="22">
        <f t="shared" si="0"/>
        <v>245</v>
      </c>
      <c r="N14" s="26">
        <f t="shared" si="0"/>
        <v>342</v>
      </c>
      <c r="O14" s="26">
        <f t="shared" si="0"/>
        <v>440</v>
      </c>
      <c r="P14" s="26">
        <f t="shared" si="0"/>
        <v>553</v>
      </c>
      <c r="Q14" s="26">
        <f t="shared" si="0"/>
        <v>683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599</v>
      </c>
      <c r="B15" s="1" t="s">
        <v>48</v>
      </c>
      <c r="C15" s="19">
        <f>'Raw Operating'!C26</f>
        <v>0.32</v>
      </c>
      <c r="D15" s="19">
        <f>'Raw Operating'!D26</f>
        <v>0.33</v>
      </c>
      <c r="E15" s="19">
        <f>'Raw Operating'!E26</f>
        <v>0.3</v>
      </c>
      <c r="F15" s="19">
        <f>'Raw Operating'!F26</f>
        <v>0.28000000000000003</v>
      </c>
      <c r="G15" s="19">
        <f>'Raw Operating'!G26</f>
        <v>0.28000000000000003</v>
      </c>
      <c r="H15" s="19">
        <f>'Raw Operating'!H26</f>
        <v>0.24</v>
      </c>
      <c r="I15" s="19">
        <f>'Raw Operating'!I26</f>
        <v>0.22899999999999998</v>
      </c>
      <c r="J15" s="19">
        <f>'Raw Operating'!J26</f>
        <v>0.23199999999999998</v>
      </c>
      <c r="K15" s="19">
        <f>'Raw Operating'!K26</f>
        <v>0.23499999999999999</v>
      </c>
      <c r="L15" s="19">
        <f>'Raw Operating'!L26</f>
        <v>0.18600000000000003</v>
      </c>
      <c r="M15" s="19">
        <f>'Raw Operating'!M26</f>
        <v>0.21</v>
      </c>
      <c r="N15" s="24">
        <f t="shared" ref="N15:Q16" si="1">M15</f>
        <v>0.21</v>
      </c>
      <c r="O15" s="24">
        <f t="shared" si="1"/>
        <v>0.21</v>
      </c>
      <c r="P15" s="24">
        <f t="shared" si="1"/>
        <v>0.21</v>
      </c>
      <c r="Q15" s="24">
        <f t="shared" si="1"/>
        <v>0.21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600</v>
      </c>
      <c r="B16" s="1" t="s">
        <v>48</v>
      </c>
      <c r="C16" s="19">
        <f>'Raw Operating'!C27</f>
        <v>0.44</v>
      </c>
      <c r="D16" s="19">
        <f>'Raw Operating'!D27</f>
        <v>0.45</v>
      </c>
      <c r="E16" s="19">
        <f>'Raw Operating'!E27</f>
        <v>0.42</v>
      </c>
      <c r="F16" s="19">
        <f>'Raw Operating'!F27</f>
        <v>0.39</v>
      </c>
      <c r="G16" s="19">
        <f>'Raw Operating'!G27</f>
        <v>0.38</v>
      </c>
      <c r="H16" s="19">
        <f>'Raw Operating'!H27</f>
        <v>0.34</v>
      </c>
      <c r="I16" s="19">
        <f>'Raw Operating'!I27</f>
        <v>0.34</v>
      </c>
      <c r="J16" s="19">
        <f>'Raw Operating'!J27</f>
        <v>0.35499999999999998</v>
      </c>
      <c r="K16" s="19">
        <f>'Raw Operating'!K27</f>
        <v>0.34499999999999997</v>
      </c>
      <c r="L16" s="19">
        <f>'Raw Operating'!L27</f>
        <v>0.28399999999999997</v>
      </c>
      <c r="M16" s="19">
        <f>'Raw Operating'!M27</f>
        <v>0.308</v>
      </c>
      <c r="N16" s="24">
        <f t="shared" si="1"/>
        <v>0.308</v>
      </c>
      <c r="O16" s="24">
        <f t="shared" si="1"/>
        <v>0.308</v>
      </c>
      <c r="P16" s="24">
        <f t="shared" si="1"/>
        <v>0.308</v>
      </c>
      <c r="Q16" s="24">
        <f t="shared" si="1"/>
        <v>0.308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420</v>
      </c>
      <c r="B17" s="1" t="s">
        <v>48</v>
      </c>
      <c r="C17" s="19">
        <f>'Raw Operating'!C25</f>
        <v>0.91</v>
      </c>
      <c r="D17" s="19">
        <f>'Raw Operating'!D25</f>
        <v>0.91</v>
      </c>
      <c r="E17" s="19">
        <f>'Raw Operating'!E25</f>
        <v>0.89</v>
      </c>
      <c r="F17" s="19">
        <f>'Raw Operating'!F25</f>
        <v>0.9</v>
      </c>
      <c r="G17" s="19">
        <f>'Raw Operating'!G25</f>
        <v>0.89</v>
      </c>
      <c r="H17" s="19">
        <f>'Raw Operating'!H25</f>
        <v>0.89</v>
      </c>
      <c r="I17" s="19">
        <f>'Raw Operating'!I25</f>
        <v>0.93</v>
      </c>
      <c r="J17" s="19">
        <f>'Raw Operating'!J25</f>
        <v>0.92</v>
      </c>
      <c r="K17" s="19">
        <f>'Raw Operating'!K25</f>
        <v>0.92</v>
      </c>
      <c r="L17" s="19">
        <f>'Raw Operating'!L25</f>
        <v>0.94</v>
      </c>
      <c r="M17" s="19">
        <f>'Raw Operating'!M25</f>
        <v>0.95499999999999996</v>
      </c>
      <c r="N17" s="24">
        <f>Assumptions!C6</f>
        <v>0.95499999999999996</v>
      </c>
      <c r="O17" s="24">
        <f>Assumptions!D6</f>
        <v>0.95699999999999996</v>
      </c>
      <c r="P17" s="24">
        <f>Assumptions!E6</f>
        <v>0.96</v>
      </c>
      <c r="Q17" s="24">
        <f>Assumptions!F6</f>
        <v>0.96199999999999997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423</v>
      </c>
      <c r="B18" s="1" t="s">
        <v>64</v>
      </c>
      <c r="C18" s="22">
        <f>'Raw Operating'!C28</f>
        <v>28</v>
      </c>
      <c r="D18" s="22">
        <f>'Raw Operating'!D28</f>
        <v>15</v>
      </c>
      <c r="E18" s="22">
        <f>'Raw Operating'!E28</f>
        <v>31</v>
      </c>
      <c r="F18" s="22">
        <f>'Raw Operating'!F28</f>
        <v>40</v>
      </c>
      <c r="G18" s="22">
        <f>'Raw Operating'!G28</f>
        <v>41</v>
      </c>
      <c r="H18" s="22">
        <f>'Raw Operating'!H28</f>
        <v>45</v>
      </c>
      <c r="I18" s="22">
        <f>'Raw Operating'!I28</f>
        <v>47</v>
      </c>
      <c r="J18" s="22">
        <f>'Raw Operating'!J28</f>
        <v>44</v>
      </c>
      <c r="K18" s="22">
        <f>'Raw Operating'!K28</f>
        <v>29</v>
      </c>
      <c r="L18" s="22">
        <f>'Raw Operating'!L28</f>
        <v>47</v>
      </c>
      <c r="M18" s="22">
        <f>'Raw Operating'!M28</f>
        <v>31</v>
      </c>
      <c r="N18" s="26">
        <f>ROUND(M18*(1+'Annual P&amp;L'!N8),0)</f>
        <v>43</v>
      </c>
      <c r="O18" s="26">
        <f>ROUND(N18*(1+'Annual P&amp;L'!O8),0)</f>
        <v>55</v>
      </c>
      <c r="P18" s="26">
        <f>ROUND(O18*(1+'Annual P&amp;L'!P8),0)</f>
        <v>69</v>
      </c>
      <c r="Q18" s="26">
        <f>ROUND(P18*(1+'Annual P&amp;L'!Q8),0)</f>
        <v>85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601</v>
      </c>
      <c r="B19" s="1" t="s">
        <v>49</v>
      </c>
      <c r="C19" s="21">
        <f>IFERROR('Order Book &amp; Revenue'!C33/C14,"")</f>
        <v>0</v>
      </c>
      <c r="D19" s="21">
        <f>IFERROR('Order Book &amp; Revenue'!D33/D14,"")</f>
        <v>0</v>
      </c>
      <c r="E19" s="21">
        <f>IFERROR('Order Book &amp; Revenue'!E33/E14,"")</f>
        <v>0</v>
      </c>
      <c r="F19" s="21">
        <f>IFERROR('Order Book &amp; Revenue'!F33/F14,"")</f>
        <v>0</v>
      </c>
      <c r="G19" s="21">
        <f>IFERROR('Order Book &amp; Revenue'!G33/G14,"")</f>
        <v>0</v>
      </c>
      <c r="H19" s="21">
        <f>IFERROR('Order Book &amp; Revenue'!H33/H14,"")</f>
        <v>0</v>
      </c>
      <c r="I19" s="21">
        <f>IFERROR('Order Book &amp; Revenue'!I33/I14,"")</f>
        <v>7.2815126050420167</v>
      </c>
      <c r="J19" s="21">
        <f>IFERROR('Order Book &amp; Revenue'!J33/J14,"")</f>
        <v>8.0782258064516128</v>
      </c>
      <c r="K19" s="21">
        <f>IFERROR('Order Book &amp; Revenue'!K33/K14,"")</f>
        <v>8.2257352941176478</v>
      </c>
      <c r="L19" s="21">
        <f>IFERROR('Order Book &amp; Revenue'!L33/L14,"")</f>
        <v>6.9615384615384617</v>
      </c>
      <c r="M19" s="21">
        <f>IFERROR('Order Book &amp; Revenue'!M33/M14,"")</f>
        <v>7.6326530612244898</v>
      </c>
      <c r="N19" s="23">
        <f>IFERROR('Order Book &amp; Revenue'!N33/N14,"")</f>
        <v>7.108491166666667</v>
      </c>
      <c r="O19" s="23">
        <f>IFERROR('Order Book &amp; Revenue'!O33/O14,"")</f>
        <v>7.0295684339753448</v>
      </c>
      <c r="P19" s="23">
        <f>IFERROR('Order Book &amp; Revenue'!P33/P14,"")</f>
        <v>6.9623284367870806</v>
      </c>
      <c r="Q19" s="23">
        <f>IFERROR('Order Book &amp; Revenue'!Q33/Q14,"")</f>
        <v>6.8995414750469104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602</v>
      </c>
      <c r="B20" s="1" t="s">
        <v>49</v>
      </c>
      <c r="C20" s="21">
        <f>IFERROR('Order Book &amp; Revenue'!C33/C13,"")</f>
        <v>0</v>
      </c>
      <c r="D20" s="21">
        <f>IFERROR('Order Book &amp; Revenue'!D33/D13,"")</f>
        <v>0</v>
      </c>
      <c r="E20" s="21">
        <f>IFERROR('Order Book &amp; Revenue'!E33/E13,"")</f>
        <v>0</v>
      </c>
      <c r="F20" s="21">
        <f>IFERROR('Order Book &amp; Revenue'!F33/F13,"")</f>
        <v>0</v>
      </c>
      <c r="G20" s="21" t="str">
        <f>IFERROR('Order Book &amp; Revenue'!G33/G13,"")</f>
        <v/>
      </c>
      <c r="H20" s="21" t="str">
        <f>IFERROR('Order Book &amp; Revenue'!H33/H13,"")</f>
        <v/>
      </c>
      <c r="I20" s="21">
        <f>IFERROR('Order Book &amp; Revenue'!I33/I13,"")</f>
        <v>48.138888888888886</v>
      </c>
      <c r="J20" s="21">
        <f>IFERROR('Order Book &amp; Revenue'!J33/J13,"")</f>
        <v>47.7</v>
      </c>
      <c r="K20" s="21">
        <f>IFERROR('Order Book &amp; Revenue'!K33/K13,"")</f>
        <v>46.612500000000004</v>
      </c>
      <c r="L20" s="21">
        <f>IFERROR('Order Book &amp; Revenue'!L33/L13,"")</f>
        <v>46.70967741935484</v>
      </c>
      <c r="M20" s="21" t="str">
        <f>IFERROR('Order Book &amp; Revenue'!M33/M13,"")</f>
        <v/>
      </c>
      <c r="N20" s="23" t="str">
        <f>IFERROR('Order Book &amp; Revenue'!N33/N13,"")</f>
        <v/>
      </c>
      <c r="O20" s="23" t="str">
        <f>IFERROR('Order Book &amp; Revenue'!O33/O13,"")</f>
        <v/>
      </c>
      <c r="P20" s="23" t="str">
        <f>IFERROR('Order Book &amp; Revenue'!P33/P13,"")</f>
        <v/>
      </c>
      <c r="Q20" s="23" t="str">
        <f>IFERROR('Order Book &amp; Revenue'!Q33/Q13,"")</f>
        <v/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603</v>
      </c>
      <c r="B21" s="1" t="s">
        <v>49</v>
      </c>
      <c r="C21" s="21">
        <f>'Order Book &amp; Revenue'!C15</f>
        <v>420</v>
      </c>
      <c r="D21" s="21">
        <f>'Order Book &amp; Revenue'!D15</f>
        <v>457</v>
      </c>
      <c r="E21" s="21">
        <f>'Order Book &amp; Revenue'!E15</f>
        <v>507</v>
      </c>
      <c r="F21" s="21">
        <f>'Order Book &amp; Revenue'!F15</f>
        <v>646</v>
      </c>
      <c r="G21" s="21">
        <f>'Order Book &amp; Revenue'!G15</f>
        <v>748</v>
      </c>
      <c r="H21" s="21">
        <f>'Order Book &amp; Revenue'!H15</f>
        <v>781</v>
      </c>
      <c r="I21" s="21">
        <f>'Order Book &amp; Revenue'!I15</f>
        <v>1151</v>
      </c>
      <c r="J21" s="21">
        <f>'Order Book &amp; Revenue'!J15</f>
        <v>1265</v>
      </c>
      <c r="K21" s="21">
        <f>'Order Book &amp; Revenue'!K15</f>
        <v>1973</v>
      </c>
      <c r="L21" s="21">
        <f>'Order Book &amp; Revenue'!L15</f>
        <v>3456</v>
      </c>
      <c r="M21" s="21">
        <f>'Order Book &amp; Revenue'!M15</f>
        <v>2262</v>
      </c>
      <c r="N21" s="23">
        <f>'Order Book &amp; Revenue'!N15</f>
        <v>2488.2000000000003</v>
      </c>
      <c r="O21" s="23">
        <f>'Order Book &amp; Revenue'!O15</f>
        <v>2737.0200000000004</v>
      </c>
      <c r="P21" s="23">
        <f>'Order Book &amp; Revenue'!P15</f>
        <v>2983.3518000000008</v>
      </c>
      <c r="Q21" s="23">
        <f>'Order Book &amp; Revenue'!Q15</f>
        <v>3222.019944000001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604</v>
      </c>
      <c r="B22" s="1" t="s">
        <v>72</v>
      </c>
      <c r="C22" s="32" t="str">
        <f>IFERROR(C21/'Order Book &amp; Revenue'!C33,"")</f>
        <v/>
      </c>
      <c r="D22" s="32" t="str">
        <f>IFERROR(D21/'Order Book &amp; Revenue'!D33,"")</f>
        <v/>
      </c>
      <c r="E22" s="32" t="str">
        <f>IFERROR(E21/'Order Book &amp; Revenue'!E33,"")</f>
        <v/>
      </c>
      <c r="F22" s="32" t="str">
        <f>IFERROR(F21/'Order Book &amp; Revenue'!F33,"")</f>
        <v/>
      </c>
      <c r="G22" s="32" t="str">
        <f>IFERROR(G21/'Order Book &amp; Revenue'!G33,"")</f>
        <v/>
      </c>
      <c r="H22" s="32" t="str">
        <f>IFERROR(H21/'Order Book &amp; Revenue'!H33,"")</f>
        <v/>
      </c>
      <c r="I22" s="32">
        <f>IFERROR(I21/'Order Book &amp; Revenue'!I33,"")</f>
        <v>1.3283323716099249</v>
      </c>
      <c r="J22" s="32">
        <f>IFERROR(J21/'Order Book &amp; Revenue'!J33,"")</f>
        <v>1.2628531496456024</v>
      </c>
      <c r="K22" s="32">
        <f>IFERROR(K21/'Order Book &amp; Revenue'!K33,"")</f>
        <v>1.7636542415303476</v>
      </c>
      <c r="L22" s="32">
        <f>IFERROR(L21/'Order Book &amp; Revenue'!L33,"")</f>
        <v>2.3867403314917128</v>
      </c>
      <c r="M22" s="32">
        <f>IFERROR(M21/'Order Book &amp; Revenue'!M33,"")</f>
        <v>1.2096256684491979</v>
      </c>
      <c r="N22" s="33">
        <f>IFERROR(N21/'Order Book &amp; Revenue'!N33,"")</f>
        <v>1.0234856351242887</v>
      </c>
      <c r="O22" s="33">
        <f>IFERROR(O21/'Order Book &amp; Revenue'!O33,"")</f>
        <v>0.88490496371513361</v>
      </c>
      <c r="P22" s="33">
        <f>IFERROR(P21/'Order Book &amp; Revenue'!P33,"")</f>
        <v>0.77486283459646832</v>
      </c>
      <c r="Q22" s="33">
        <f>IFERROR(Q21/'Order Book &amp; Revenue'!Q33,"")</f>
        <v>0.68373418014554421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50</v>
      </c>
      <c r="B23" s="1" t="s">
        <v>49</v>
      </c>
      <c r="C23" s="21">
        <f>'Order Book &amp; Revenue'!C10</f>
        <v>301</v>
      </c>
      <c r="D23" s="21">
        <f>'Order Book &amp; Revenue'!D10</f>
        <v>320</v>
      </c>
      <c r="E23" s="21">
        <f>'Order Book &amp; Revenue'!E10</f>
        <v>339</v>
      </c>
      <c r="F23" s="21">
        <f>'Order Book &amp; Revenue'!F10</f>
        <v>390</v>
      </c>
      <c r="G23" s="21">
        <f>'Order Book &amp; Revenue'!G10</f>
        <v>468</v>
      </c>
      <c r="H23" s="21">
        <f>'Order Book &amp; Revenue'!H10</f>
        <v>520</v>
      </c>
      <c r="I23" s="21">
        <f>'Order Book &amp; Revenue'!I10</f>
        <v>720</v>
      </c>
      <c r="J23" s="21">
        <f>'Order Book &amp; Revenue'!J10</f>
        <v>869</v>
      </c>
      <c r="K23" s="21">
        <f>'Order Book &amp; Revenue'!K10</f>
        <v>1019</v>
      </c>
      <c r="L23" s="21">
        <f>'Order Book &amp; Revenue'!L10</f>
        <v>1505</v>
      </c>
      <c r="M23" s="21">
        <f>'Order Book &amp; Revenue'!M10</f>
        <v>1752</v>
      </c>
      <c r="N23" s="23">
        <f>'Order Book &amp; Revenue'!N10</f>
        <v>2242</v>
      </c>
      <c r="O23" s="23">
        <f>'Order Book &amp; Revenue'!O10</f>
        <v>2466.2000000000003</v>
      </c>
      <c r="P23" s="23">
        <f>'Order Book &amp; Revenue'!P10</f>
        <v>2688.1580000000004</v>
      </c>
      <c r="Q23" s="23">
        <f>'Order Book &amp; Revenue'!Q10</f>
        <v>2903.2106400000007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605</v>
      </c>
      <c r="B24" s="1" t="s">
        <v>72</v>
      </c>
      <c r="C24" s="32" t="str">
        <f>IFERROR(C23/'Order Book &amp; Revenue'!C33,"")</f>
        <v/>
      </c>
      <c r="D24" s="32" t="str">
        <f>IFERROR(D23/'Order Book &amp; Revenue'!D33,"")</f>
        <v/>
      </c>
      <c r="E24" s="32" t="str">
        <f>IFERROR(E23/'Order Book &amp; Revenue'!E33,"")</f>
        <v/>
      </c>
      <c r="F24" s="32" t="str">
        <f>IFERROR(F23/'Order Book &amp; Revenue'!F33,"")</f>
        <v/>
      </c>
      <c r="G24" s="32" t="str">
        <f>IFERROR(G23/'Order Book &amp; Revenue'!G33,"")</f>
        <v/>
      </c>
      <c r="H24" s="32" t="str">
        <f>IFERROR(H23/'Order Book &amp; Revenue'!H33,"")</f>
        <v/>
      </c>
      <c r="I24" s="32">
        <f>IFERROR(I23/'Order Book &amp; Revenue'!I33,"")</f>
        <v>0.83092902481246389</v>
      </c>
      <c r="J24" s="32">
        <f>IFERROR(J23/'Order Book &amp; Revenue'!J33,"")</f>
        <v>0.86752520714784864</v>
      </c>
      <c r="K24" s="32">
        <f>IFERROR(K23/'Order Book &amp; Revenue'!K33,"")</f>
        <v>0.91087869848931791</v>
      </c>
      <c r="L24" s="32">
        <f>IFERROR(L23/'Order Book &amp; Revenue'!L33,"")</f>
        <v>1.0393646408839778</v>
      </c>
      <c r="M24" s="32">
        <f>IFERROR(M23/'Order Book &amp; Revenue'!M33,"")</f>
        <v>0.93689839572192513</v>
      </c>
      <c r="N24" s="33">
        <f>IFERROR(N23/'Order Book &amp; Revenue'!N33,"")</f>
        <v>0.92221477129999796</v>
      </c>
      <c r="O24" s="33">
        <f>IFERROR(O23/'Order Book &amp; Revenue'!O33,"")</f>
        <v>0.79734624573962287</v>
      </c>
      <c r="P24" s="33">
        <f>IFERROR(P23/'Order Book &amp; Revenue'!P33,"")</f>
        <v>0.69819245847009148</v>
      </c>
      <c r="Q24" s="33">
        <f>IFERROR(Q23/'Order Book &amp; Revenue'!Q33,"")</f>
        <v>0.61608071372329798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  <c r="O25" s="17"/>
      <c r="P25" s="17"/>
      <c r="Q25" s="17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7"/>
      <c r="O26" s="17"/>
      <c r="P26" s="17"/>
      <c r="Q26" s="17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  <c r="O27" s="17"/>
      <c r="P27" s="17"/>
      <c r="Q27" s="17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  <c r="O28" s="17"/>
      <c r="P28" s="17"/>
      <c r="Q28" s="17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  <c r="O29" s="17"/>
      <c r="P29" s="17"/>
      <c r="Q29" s="17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  <c r="O30" s="17"/>
      <c r="P30" s="17"/>
      <c r="Q30" s="17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  <c r="O31" s="17"/>
      <c r="P31" s="17"/>
      <c r="Q31" s="17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  <c r="O32" s="17"/>
      <c r="P32" s="17"/>
      <c r="Q32" s="1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  <c r="O33" s="17"/>
      <c r="P33" s="17"/>
      <c r="Q33" s="17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  <c r="O34" s="17"/>
      <c r="P34" s="17"/>
      <c r="Q34" s="17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  <c r="O35" s="17"/>
      <c r="P35" s="17"/>
      <c r="Q35" s="17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  <c r="O36" s="17"/>
      <c r="P36" s="17"/>
      <c r="Q36" s="1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  <c r="O37" s="17"/>
      <c r="P37" s="17"/>
      <c r="Q37" s="17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  <c r="O38" s="17"/>
      <c r="P38" s="17"/>
      <c r="Q38" s="17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  <c r="O39" s="17"/>
      <c r="P39" s="17"/>
      <c r="Q39" s="17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  <c r="O40" s="17"/>
      <c r="P40" s="17"/>
      <c r="Q40" s="1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  <c r="O41" s="17"/>
      <c r="P41" s="17"/>
      <c r="Q41" s="17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  <c r="O42" s="17"/>
      <c r="P42" s="17"/>
      <c r="Q42" s="17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  <c r="O43" s="17"/>
      <c r="P43" s="17"/>
      <c r="Q43" s="1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  <c r="O44" s="17"/>
      <c r="P44" s="17"/>
      <c r="Q44" s="1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  <c r="O45" s="17"/>
      <c r="P45" s="17"/>
      <c r="Q45" s="17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  <c r="O46" s="17"/>
      <c r="P46" s="17"/>
      <c r="Q46" s="1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  <c r="O47" s="17"/>
      <c r="P47" s="17"/>
      <c r="Q47" s="1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  <c r="O48" s="17"/>
      <c r="P48" s="17"/>
      <c r="Q48" s="17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  <c r="O49" s="17"/>
      <c r="P49" s="17"/>
      <c r="Q49" s="1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  <c r="O50" s="17"/>
      <c r="P50" s="17"/>
      <c r="Q50" s="1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  <c r="O51" s="17"/>
      <c r="P51" s="17"/>
      <c r="Q51" s="1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  <c r="O52" s="17"/>
      <c r="P52" s="17"/>
      <c r="Q52" s="1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  <c r="O53" s="17"/>
      <c r="P53" s="17"/>
      <c r="Q53" s="1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  <c r="O54" s="17"/>
      <c r="P54" s="17"/>
      <c r="Q54" s="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  <c r="O55" s="17"/>
      <c r="P55" s="17"/>
      <c r="Q55" s="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  <c r="O56" s="17"/>
      <c r="P56" s="17"/>
      <c r="Q56" s="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17"/>
      <c r="P57" s="17"/>
      <c r="Q57" s="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  <c r="O58" s="17"/>
      <c r="P58" s="17"/>
      <c r="Q58" s="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  <c r="O60" s="17"/>
      <c r="P60" s="17"/>
      <c r="Q60" s="1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  <c r="O61" s="17"/>
      <c r="P61" s="17"/>
      <c r="Q61" s="1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  <c r="O62" s="17"/>
      <c r="P62" s="17"/>
      <c r="Q62" s="1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  <c r="O63" s="17"/>
      <c r="P63" s="17"/>
      <c r="Q63" s="1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  <c r="O64" s="17"/>
      <c r="P64" s="17"/>
      <c r="Q64" s="1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7"/>
      <c r="O65" s="17"/>
      <c r="P65" s="17"/>
      <c r="Q65" s="1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7"/>
      <c r="O66" s="17"/>
      <c r="P66" s="17"/>
      <c r="Q66" s="1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7"/>
      <c r="O67" s="17"/>
      <c r="P67" s="17"/>
      <c r="Q67" s="1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7"/>
      <c r="O68" s="17"/>
      <c r="P68" s="17"/>
      <c r="Q68" s="1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7"/>
      <c r="O69" s="17"/>
      <c r="P69" s="17"/>
      <c r="Q69" s="1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7"/>
      <c r="O70" s="17"/>
      <c r="P70" s="17"/>
      <c r="Q70" s="1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7"/>
      <c r="O71" s="17"/>
      <c r="P71" s="17"/>
      <c r="Q71" s="17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7"/>
      <c r="O72" s="17"/>
      <c r="P72" s="17"/>
      <c r="Q72" s="17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7"/>
      <c r="O73" s="17"/>
      <c r="P73" s="17"/>
      <c r="Q73" s="1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7"/>
      <c r="O74" s="17"/>
      <c r="P74" s="17"/>
      <c r="Q74" s="1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7"/>
      <c r="O75" s="17"/>
      <c r="P75" s="17"/>
      <c r="Q75" s="17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7"/>
      <c r="O76" s="17"/>
      <c r="P76" s="17"/>
      <c r="Q76" s="17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7"/>
      <c r="O77" s="17"/>
      <c r="P77" s="17"/>
      <c r="Q77" s="17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7"/>
      <c r="O78" s="17"/>
      <c r="P78" s="17"/>
      <c r="Q78" s="1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7"/>
      <c r="O79" s="17"/>
      <c r="P79" s="17"/>
      <c r="Q79" s="1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7"/>
      <c r="O80" s="17"/>
      <c r="P80" s="17"/>
      <c r="Q80" s="17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7"/>
      <c r="O81" s="17"/>
      <c r="P81" s="17"/>
      <c r="Q81" s="17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7"/>
      <c r="O82" s="17"/>
      <c r="P82" s="17"/>
      <c r="Q82" s="17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7"/>
      <c r="O83" s="17"/>
      <c r="P83" s="17"/>
      <c r="Q83" s="17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7"/>
      <c r="O84" s="17"/>
      <c r="P84" s="17"/>
      <c r="Q84" s="1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7"/>
      <c r="O85" s="17"/>
      <c r="P85" s="17"/>
      <c r="Q85" s="17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7"/>
      <c r="O86" s="17"/>
      <c r="P86" s="17"/>
      <c r="Q86" s="17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7"/>
      <c r="O87" s="17"/>
      <c r="P87" s="17"/>
      <c r="Q87" s="17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7"/>
      <c r="O88" s="17"/>
      <c r="P88" s="17"/>
      <c r="Q88" s="17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7"/>
      <c r="O89" s="17"/>
      <c r="P89" s="17"/>
      <c r="Q89" s="1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7"/>
      <c r="O90" s="17"/>
      <c r="P90" s="17"/>
      <c r="Q90" s="1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7"/>
      <c r="O91" s="17"/>
      <c r="P91" s="17"/>
      <c r="Q91" s="17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7"/>
      <c r="O92" s="17"/>
      <c r="P92" s="17"/>
      <c r="Q92" s="17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7"/>
      <c r="O93" s="17"/>
      <c r="P93" s="17"/>
      <c r="Q93" s="1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7"/>
      <c r="O94" s="17"/>
      <c r="P94" s="17"/>
      <c r="Q94" s="1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7"/>
      <c r="O95" s="17"/>
      <c r="P95" s="17"/>
      <c r="Q95" s="17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7"/>
      <c r="O96" s="17"/>
      <c r="P96" s="17"/>
      <c r="Q96" s="17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7"/>
      <c r="O97" s="17"/>
      <c r="P97" s="17"/>
      <c r="Q97" s="17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7"/>
      <c r="O98" s="17"/>
      <c r="P98" s="17"/>
      <c r="Q98" s="1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7"/>
      <c r="O99" s="17"/>
      <c r="P99" s="17"/>
      <c r="Q99" s="1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7"/>
      <c r="O100" s="17"/>
      <c r="P100" s="17"/>
      <c r="Q100" s="17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7"/>
      <c r="O101" s="17"/>
      <c r="P101" s="17"/>
      <c r="Q101" s="17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7"/>
      <c r="O102" s="17"/>
      <c r="P102" s="17"/>
      <c r="Q102" s="17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7"/>
      <c r="O103" s="17"/>
      <c r="P103" s="17"/>
      <c r="Q103" s="1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7"/>
      <c r="O104" s="17"/>
      <c r="P104" s="17"/>
      <c r="Q104" s="1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7"/>
      <c r="O105" s="17"/>
      <c r="P105" s="17"/>
      <c r="Q105" s="17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7"/>
      <c r="O106" s="17"/>
      <c r="P106" s="17"/>
      <c r="Q106" s="17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7"/>
      <c r="O107" s="17"/>
      <c r="P107" s="17"/>
      <c r="Q107" s="1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7"/>
      <c r="O108" s="17"/>
      <c r="P108" s="17"/>
      <c r="Q108" s="17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7"/>
      <c r="O109" s="17"/>
      <c r="P109" s="17"/>
      <c r="Q109" s="1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7"/>
      <c r="O110" s="17"/>
      <c r="P110" s="17"/>
      <c r="Q110" s="17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7"/>
      <c r="O111" s="17"/>
      <c r="P111" s="17"/>
      <c r="Q111" s="17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7"/>
      <c r="O112" s="17"/>
      <c r="P112" s="17"/>
      <c r="Q112" s="1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7"/>
      <c r="O113" s="17"/>
      <c r="P113" s="17"/>
      <c r="Q113" s="1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7"/>
      <c r="O114" s="17"/>
      <c r="P114" s="17"/>
      <c r="Q114" s="1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7"/>
      <c r="O115" s="17"/>
      <c r="P115" s="17"/>
      <c r="Q115" s="17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7"/>
      <c r="O116" s="17"/>
      <c r="P116" s="17"/>
      <c r="Q116" s="17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7"/>
      <c r="O117" s="17"/>
      <c r="P117" s="17"/>
      <c r="Q117" s="17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7"/>
      <c r="O118" s="17"/>
      <c r="P118" s="17"/>
      <c r="Q118" s="1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7"/>
      <c r="O119" s="17"/>
      <c r="P119" s="17"/>
      <c r="Q119" s="17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7"/>
      <c r="O120" s="17"/>
      <c r="P120" s="17"/>
      <c r="Q120" s="17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7"/>
      <c r="O121" s="17"/>
      <c r="P121" s="17"/>
      <c r="Q121" s="17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7"/>
      <c r="O122" s="17"/>
      <c r="P122" s="17"/>
      <c r="Q122" s="1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7"/>
      <c r="O123" s="17"/>
      <c r="P123" s="17"/>
      <c r="Q123" s="1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7"/>
      <c r="O124" s="17"/>
      <c r="P124" s="17"/>
      <c r="Q124" s="1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7"/>
      <c r="O125" s="17"/>
      <c r="P125" s="17"/>
      <c r="Q125" s="1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7"/>
      <c r="O126" s="17"/>
      <c r="P126" s="17"/>
      <c r="Q126" s="1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7"/>
      <c r="O127" s="17"/>
      <c r="P127" s="17"/>
      <c r="Q127" s="1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7"/>
      <c r="O128" s="17"/>
      <c r="P128" s="17"/>
      <c r="Q128" s="1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7"/>
      <c r="O129" s="17"/>
      <c r="P129" s="17"/>
      <c r="Q129" s="1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7"/>
      <c r="O130" s="17"/>
      <c r="P130" s="17"/>
      <c r="Q130" s="1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7"/>
      <c r="O131" s="17"/>
      <c r="P131" s="17"/>
      <c r="Q131" s="1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7"/>
      <c r="O132" s="17"/>
      <c r="P132" s="17"/>
      <c r="Q132" s="1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7"/>
      <c r="O133" s="17"/>
      <c r="P133" s="17"/>
      <c r="Q133" s="1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7"/>
      <c r="O134" s="17"/>
      <c r="P134" s="17"/>
      <c r="Q134" s="1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7"/>
      <c r="O135" s="17"/>
      <c r="P135" s="17"/>
      <c r="Q135" s="1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7"/>
      <c r="O136" s="17"/>
      <c r="P136" s="17"/>
      <c r="Q136" s="1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7"/>
      <c r="O137" s="17"/>
      <c r="P137" s="17"/>
      <c r="Q137" s="1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7"/>
      <c r="O138" s="17"/>
      <c r="P138" s="17"/>
      <c r="Q138" s="1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7"/>
      <c r="O139" s="17"/>
      <c r="P139" s="17"/>
      <c r="Q139" s="1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7"/>
      <c r="O140" s="17"/>
      <c r="P140" s="17"/>
      <c r="Q140" s="1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7"/>
      <c r="O141" s="17"/>
      <c r="P141" s="17"/>
      <c r="Q141" s="1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7"/>
      <c r="O142" s="17"/>
      <c r="P142" s="17"/>
      <c r="Q142" s="1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7"/>
      <c r="O143" s="17"/>
      <c r="P143" s="17"/>
      <c r="Q143" s="1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7"/>
      <c r="O144" s="17"/>
      <c r="P144" s="17"/>
      <c r="Q144" s="1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7"/>
      <c r="O145" s="17"/>
      <c r="P145" s="17"/>
      <c r="Q145" s="1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7"/>
      <c r="O146" s="17"/>
      <c r="P146" s="17"/>
      <c r="Q146" s="1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7"/>
      <c r="O147" s="17"/>
      <c r="P147" s="17"/>
      <c r="Q147" s="1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7"/>
      <c r="O148" s="17"/>
      <c r="P148" s="17"/>
      <c r="Q148" s="1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7"/>
      <c r="O149" s="17"/>
      <c r="P149" s="17"/>
      <c r="Q149" s="1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7"/>
      <c r="O150" s="17"/>
      <c r="P150" s="17"/>
      <c r="Q150" s="1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7"/>
      <c r="O151" s="17"/>
      <c r="P151" s="17"/>
      <c r="Q151" s="1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7"/>
      <c r="O152" s="17"/>
      <c r="P152" s="17"/>
      <c r="Q152" s="1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7"/>
      <c r="O153" s="17"/>
      <c r="P153" s="17"/>
      <c r="Q153" s="1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7"/>
      <c r="O154" s="17"/>
      <c r="P154" s="17"/>
      <c r="Q154" s="1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7"/>
      <c r="O155" s="17"/>
      <c r="P155" s="17"/>
      <c r="Q155" s="1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7"/>
      <c r="O156" s="17"/>
      <c r="P156" s="17"/>
      <c r="Q156" s="1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7"/>
      <c r="O157" s="17"/>
      <c r="P157" s="17"/>
      <c r="Q157" s="17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7"/>
      <c r="O158" s="17"/>
      <c r="P158" s="17"/>
      <c r="Q158" s="1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7"/>
      <c r="O159" s="17"/>
      <c r="P159" s="17"/>
      <c r="Q159" s="17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7"/>
      <c r="O160" s="17"/>
      <c r="P160" s="17"/>
      <c r="Q160" s="17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7"/>
      <c r="O161" s="17"/>
      <c r="P161" s="17"/>
      <c r="Q161" s="17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7"/>
      <c r="O162" s="17"/>
      <c r="P162" s="17"/>
      <c r="Q162" s="17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7"/>
      <c r="O163" s="17"/>
      <c r="P163" s="17"/>
      <c r="Q163" s="17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7"/>
      <c r="O164" s="17"/>
      <c r="P164" s="17"/>
      <c r="Q164" s="17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7"/>
      <c r="O165" s="17"/>
      <c r="P165" s="17"/>
      <c r="Q165" s="1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7"/>
      <c r="O166" s="17"/>
      <c r="P166" s="17"/>
      <c r="Q166" s="1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7"/>
      <c r="O167" s="17"/>
      <c r="P167" s="17"/>
      <c r="Q167" s="17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7"/>
      <c r="O168" s="17"/>
      <c r="P168" s="17"/>
      <c r="Q168" s="17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7"/>
      <c r="O169" s="17"/>
      <c r="P169" s="17"/>
      <c r="Q169" s="17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7"/>
      <c r="O170" s="17"/>
      <c r="P170" s="17"/>
      <c r="Q170" s="17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7"/>
      <c r="O171" s="17"/>
      <c r="P171" s="17"/>
      <c r="Q171" s="17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7"/>
      <c r="O172" s="17"/>
      <c r="P172" s="17"/>
      <c r="Q172" s="17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7"/>
      <c r="O173" s="17"/>
      <c r="P173" s="17"/>
      <c r="Q173" s="17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7"/>
      <c r="O174" s="17"/>
      <c r="P174" s="17"/>
      <c r="Q174" s="17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7"/>
      <c r="O175" s="17"/>
      <c r="P175" s="17"/>
      <c r="Q175" s="1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7"/>
      <c r="O176" s="17"/>
      <c r="P176" s="17"/>
      <c r="Q176" s="17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7"/>
      <c r="O177" s="17"/>
      <c r="P177" s="17"/>
      <c r="Q177" s="17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7"/>
      <c r="O178" s="17"/>
      <c r="P178" s="17"/>
      <c r="Q178" s="17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7"/>
      <c r="O179" s="17"/>
      <c r="P179" s="17"/>
      <c r="Q179" s="17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7"/>
      <c r="O180" s="17"/>
      <c r="P180" s="17"/>
      <c r="Q180" s="17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7"/>
      <c r="O181" s="17"/>
      <c r="P181" s="17"/>
      <c r="Q181" s="17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7"/>
      <c r="O182" s="17"/>
      <c r="P182" s="17"/>
      <c r="Q182" s="17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7"/>
      <c r="O183" s="17"/>
      <c r="P183" s="17"/>
      <c r="Q183" s="17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7"/>
      <c r="O184" s="17"/>
      <c r="P184" s="17"/>
      <c r="Q184" s="17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7"/>
      <c r="O185" s="17"/>
      <c r="P185" s="17"/>
      <c r="Q185" s="17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7"/>
      <c r="O186" s="17"/>
      <c r="P186" s="17"/>
      <c r="Q186" s="17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7"/>
      <c r="O187" s="17"/>
      <c r="P187" s="17"/>
      <c r="Q187" s="17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7"/>
      <c r="O188" s="17"/>
      <c r="P188" s="17"/>
      <c r="Q188" s="17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7"/>
      <c r="O189" s="17"/>
      <c r="P189" s="17"/>
      <c r="Q189" s="17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7"/>
      <c r="O190" s="17"/>
      <c r="P190" s="17"/>
      <c r="Q190" s="17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7"/>
      <c r="O191" s="17"/>
      <c r="P191" s="17"/>
      <c r="Q191" s="17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7"/>
      <c r="O192" s="17"/>
      <c r="P192" s="17"/>
      <c r="Q192" s="17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7"/>
      <c r="O193" s="17"/>
      <c r="P193" s="17"/>
      <c r="Q193" s="17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7"/>
      <c r="O194" s="17"/>
      <c r="P194" s="17"/>
      <c r="Q194" s="17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7"/>
      <c r="O195" s="17"/>
      <c r="P195" s="17"/>
      <c r="Q195" s="17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7"/>
      <c r="O196" s="17"/>
      <c r="P196" s="17"/>
      <c r="Q196" s="17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7"/>
      <c r="O197" s="17"/>
      <c r="P197" s="17"/>
      <c r="Q197" s="17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7"/>
      <c r="O198" s="17"/>
      <c r="P198" s="17"/>
      <c r="Q198" s="17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7"/>
      <c r="O199" s="17"/>
      <c r="P199" s="17"/>
      <c r="Q199" s="17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7"/>
      <c r="O200" s="17"/>
      <c r="P200" s="17"/>
      <c r="Q200" s="17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7"/>
      <c r="O201" s="17"/>
      <c r="P201" s="17"/>
      <c r="Q201" s="17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7"/>
      <c r="O202" s="17"/>
      <c r="P202" s="17"/>
      <c r="Q202" s="17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7"/>
      <c r="O203" s="17"/>
      <c r="P203" s="17"/>
      <c r="Q203" s="17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7"/>
      <c r="O204" s="17"/>
      <c r="P204" s="17"/>
      <c r="Q204" s="17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7"/>
      <c r="O205" s="17"/>
      <c r="P205" s="17"/>
      <c r="Q205" s="17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7"/>
      <c r="O206" s="17"/>
      <c r="P206" s="17"/>
      <c r="Q206" s="17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7"/>
      <c r="O207" s="17"/>
      <c r="P207" s="17"/>
      <c r="Q207" s="17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7"/>
      <c r="O208" s="17"/>
      <c r="P208" s="17"/>
      <c r="Q208" s="17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7"/>
      <c r="O209" s="17"/>
      <c r="P209" s="17"/>
      <c r="Q209" s="1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7"/>
      <c r="O210" s="17"/>
      <c r="P210" s="17"/>
      <c r="Q210" s="1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7"/>
      <c r="O211" s="17"/>
      <c r="P211" s="17"/>
      <c r="Q211" s="1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7"/>
      <c r="O212" s="17"/>
      <c r="P212" s="17"/>
      <c r="Q212" s="1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7"/>
      <c r="O213" s="17"/>
      <c r="P213" s="17"/>
      <c r="Q213" s="1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7"/>
      <c r="O214" s="17"/>
      <c r="P214" s="17"/>
      <c r="Q214" s="1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7"/>
      <c r="O215" s="17"/>
      <c r="P215" s="17"/>
      <c r="Q215" s="1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7"/>
      <c r="O216" s="17"/>
      <c r="P216" s="17"/>
      <c r="Q216" s="1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7"/>
      <c r="O217" s="17"/>
      <c r="P217" s="17"/>
      <c r="Q217" s="1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7"/>
      <c r="O218" s="17"/>
      <c r="P218" s="17"/>
      <c r="Q218" s="1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7"/>
      <c r="O219" s="17"/>
      <c r="P219" s="17"/>
      <c r="Q219" s="1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7"/>
      <c r="O220" s="17"/>
      <c r="P220" s="17"/>
      <c r="Q220" s="1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7"/>
      <c r="O221" s="17"/>
      <c r="P221" s="17"/>
      <c r="Q221" s="1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7"/>
      <c r="O222" s="17"/>
      <c r="P222" s="17"/>
      <c r="Q222" s="1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7"/>
      <c r="O223" s="17"/>
      <c r="P223" s="17"/>
      <c r="Q223" s="1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7"/>
      <c r="O224" s="17"/>
      <c r="P224" s="17"/>
      <c r="Q224" s="1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7"/>
      <c r="O225" s="17"/>
      <c r="P225" s="17"/>
      <c r="Q225" s="1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7"/>
      <c r="O226" s="17"/>
      <c r="P226" s="17"/>
      <c r="Q226" s="1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7"/>
      <c r="O227" s="17"/>
      <c r="P227" s="17"/>
      <c r="Q227" s="1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7"/>
      <c r="O228" s="17"/>
      <c r="P228" s="17"/>
      <c r="Q228" s="1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7"/>
      <c r="O229" s="17"/>
      <c r="P229" s="17"/>
      <c r="Q229" s="1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7"/>
      <c r="O230" s="17"/>
      <c r="P230" s="17"/>
      <c r="Q230" s="1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U26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59" t="s">
        <v>606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60" t="s">
        <v>607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  <c r="O6" s="17"/>
      <c r="P6" s="17"/>
      <c r="Q6" s="17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608</v>
      </c>
      <c r="B7" s="1" t="s">
        <v>64</v>
      </c>
      <c r="C7" s="22">
        <f>'Raw Operating'!C43</f>
        <v>9476</v>
      </c>
      <c r="D7" s="22">
        <f>'Raw Operating'!D43</f>
        <v>8853</v>
      </c>
      <c r="E7" s="22">
        <f>'Raw Operating'!E43</f>
        <v>9423</v>
      </c>
      <c r="F7" s="22">
        <f>'Raw Operating'!F43</f>
        <v>10263</v>
      </c>
      <c r="G7" s="22">
        <f>'Raw Operating'!G43</f>
        <v>11156</v>
      </c>
      <c r="H7" s="22">
        <f>'Raw Operating'!H43</f>
        <v>12391</v>
      </c>
      <c r="I7" s="22">
        <f>'Raw Operating'!I43</f>
        <v>22500</v>
      </c>
      <c r="J7" s="22">
        <f>'Raw Operating'!J43</f>
        <v>23224</v>
      </c>
      <c r="K7" s="22">
        <f>'Raw Operating'!K43</f>
        <v>24726</v>
      </c>
      <c r="L7" s="22">
        <f>'Raw Operating'!L43</f>
        <v>33497</v>
      </c>
      <c r="M7" s="22">
        <f>'Raw Operating'!M43</f>
        <v>35777</v>
      </c>
      <c r="N7" s="26">
        <f>M7*(1+MAX(0,'Annual P&amp;L'!N8*0.45))</f>
        <v>42107.515634302224</v>
      </c>
      <c r="O7" s="26">
        <f>N7*(1+MAX(0,'Annual P&amp;L'!O8*0.45))</f>
        <v>47522.970839848284</v>
      </c>
      <c r="P7" s="26">
        <f>O7*(1+MAX(0,'Annual P&amp;L'!P8*0.45))</f>
        <v>53038.237378561083</v>
      </c>
      <c r="Q7" s="26">
        <f>P7*(1+MAX(0,'Annual P&amp;L'!Q8*0.45))</f>
        <v>58687.430964870444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435</v>
      </c>
      <c r="B8" s="1" t="s">
        <v>64</v>
      </c>
      <c r="C8" s="22">
        <f>'Raw Operating'!C44</f>
        <v>0</v>
      </c>
      <c r="D8" s="22">
        <f>'Raw Operating'!D44</f>
        <v>0</v>
      </c>
      <c r="E8" s="22">
        <f>'Raw Operating'!E44</f>
        <v>0</v>
      </c>
      <c r="F8" s="22">
        <f>'Raw Operating'!F44</f>
        <v>0</v>
      </c>
      <c r="G8" s="22">
        <f>'Raw Operating'!G44</f>
        <v>0</v>
      </c>
      <c r="H8" s="22">
        <f>'Raw Operating'!H44</f>
        <v>0</v>
      </c>
      <c r="I8" s="22">
        <f>'Raw Operating'!I44</f>
        <v>14903</v>
      </c>
      <c r="J8" s="22">
        <f>'Raw Operating'!J44</f>
        <v>16182</v>
      </c>
      <c r="K8" s="22">
        <f>'Raw Operating'!K44</f>
        <v>16930</v>
      </c>
      <c r="L8" s="22">
        <f>'Raw Operating'!L44</f>
        <v>23510</v>
      </c>
      <c r="M8" s="22">
        <f>'Raw Operating'!M44</f>
        <v>25062</v>
      </c>
      <c r="N8" s="26">
        <f>N10*0.75</f>
        <v>29696.938294536216</v>
      </c>
      <c r="O8" s="26">
        <f>O10*0.75</f>
        <v>33516.266902584393</v>
      </c>
      <c r="P8" s="26">
        <f>P10*0.75</f>
        <v>37405.988906146347</v>
      </c>
      <c r="Q8" s="26">
        <f>Q10*0.75</f>
        <v>41390.164909392966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436</v>
      </c>
      <c r="B9" s="1" t="s">
        <v>64</v>
      </c>
      <c r="C9" s="22">
        <f>'Raw Operating'!C45</f>
        <v>0</v>
      </c>
      <c r="D9" s="22">
        <f>'Raw Operating'!D45</f>
        <v>0</v>
      </c>
      <c r="E9" s="22">
        <f>'Raw Operating'!E45</f>
        <v>0</v>
      </c>
      <c r="F9" s="22">
        <f>'Raw Operating'!F45</f>
        <v>0</v>
      </c>
      <c r="G9" s="22">
        <f>'Raw Operating'!G45</f>
        <v>0</v>
      </c>
      <c r="H9" s="22">
        <f>'Raw Operating'!H45</f>
        <v>0</v>
      </c>
      <c r="I9" s="22">
        <f>'Raw Operating'!I45</f>
        <v>6391</v>
      </c>
      <c r="J9" s="22">
        <f>'Raw Operating'!J45</f>
        <v>5633</v>
      </c>
      <c r="K9" s="22">
        <f>'Raw Operating'!K45</f>
        <v>6313</v>
      </c>
      <c r="L9" s="22">
        <f>'Raw Operating'!L45</f>
        <v>7844</v>
      </c>
      <c r="M9" s="22">
        <f>'Raw Operating'!M45</f>
        <v>8581</v>
      </c>
      <c r="N9" s="26">
        <f>N10-N8</f>
        <v>9898.9794315120744</v>
      </c>
      <c r="O9" s="26">
        <f>O10-O8</f>
        <v>11172.088967528129</v>
      </c>
      <c r="P9" s="26">
        <f>P10-P8</f>
        <v>12468.662968715449</v>
      </c>
      <c r="Q9" s="26">
        <f>Q10-Q8</f>
        <v>13796.721636464325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437</v>
      </c>
      <c r="B10" s="1" t="s">
        <v>64</v>
      </c>
      <c r="C10" s="22">
        <f>'Raw Operating'!C46</f>
        <v>8743</v>
      </c>
      <c r="D10" s="22">
        <f>'Raw Operating'!D46</f>
        <v>8066</v>
      </c>
      <c r="E10" s="22">
        <f>'Raw Operating'!E46</f>
        <v>8588</v>
      </c>
      <c r="F10" s="22">
        <f>'Raw Operating'!F46</f>
        <v>9363</v>
      </c>
      <c r="G10" s="22">
        <f>'Raw Operating'!G46</f>
        <v>10274</v>
      </c>
      <c r="H10" s="22">
        <f>'Raw Operating'!H46</f>
        <v>11469</v>
      </c>
      <c r="I10" s="22">
        <f>'Raw Operating'!I46</f>
        <v>21294</v>
      </c>
      <c r="J10" s="22">
        <f>'Raw Operating'!J46</f>
        <v>21815</v>
      </c>
      <c r="K10" s="22">
        <f>'Raw Operating'!K46</f>
        <v>23243</v>
      </c>
      <c r="L10" s="22">
        <f>'Raw Operating'!L46</f>
        <v>31354</v>
      </c>
      <c r="M10" s="22">
        <f>'Raw Operating'!M46</f>
        <v>33643</v>
      </c>
      <c r="N10" s="26">
        <f>N7*M11</f>
        <v>39595.91772604829</v>
      </c>
      <c r="O10" s="26">
        <f>O7*N11</f>
        <v>44688.355870112522</v>
      </c>
      <c r="P10" s="26">
        <f>P7*O11</f>
        <v>49874.651874861796</v>
      </c>
      <c r="Q10" s="26">
        <f>Q7*P11</f>
        <v>55186.886545857291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609</v>
      </c>
      <c r="B11" s="1" t="s">
        <v>48</v>
      </c>
      <c r="C11" s="19">
        <f t="shared" ref="C11:Q11" si="0">IFERROR(C10/C7,"")</f>
        <v>0.92264668636555514</v>
      </c>
      <c r="D11" s="19">
        <f t="shared" si="0"/>
        <v>0.91110358070710495</v>
      </c>
      <c r="E11" s="19">
        <f t="shared" si="0"/>
        <v>0.91138703173087132</v>
      </c>
      <c r="F11" s="19">
        <f t="shared" si="0"/>
        <v>0.91230634317451043</v>
      </c>
      <c r="G11" s="19">
        <f t="shared" si="0"/>
        <v>0.92093940480458947</v>
      </c>
      <c r="H11" s="19">
        <f t="shared" si="0"/>
        <v>0.9255911548704705</v>
      </c>
      <c r="I11" s="19">
        <f t="shared" si="0"/>
        <v>0.94640000000000002</v>
      </c>
      <c r="J11" s="19">
        <f t="shared" si="0"/>
        <v>0.9393300034447124</v>
      </c>
      <c r="K11" s="19">
        <f t="shared" si="0"/>
        <v>0.94002264822454096</v>
      </c>
      <c r="L11" s="19">
        <f t="shared" si="0"/>
        <v>0.93602412156312509</v>
      </c>
      <c r="M11" s="19">
        <f t="shared" si="0"/>
        <v>0.94035274058752827</v>
      </c>
      <c r="N11" s="24">
        <f t="shared" si="0"/>
        <v>0.94035274058752827</v>
      </c>
      <c r="O11" s="24">
        <f t="shared" si="0"/>
        <v>0.94035274058752827</v>
      </c>
      <c r="P11" s="24">
        <f t="shared" si="0"/>
        <v>0.94035274058752827</v>
      </c>
      <c r="Q11" s="24">
        <f t="shared" si="0"/>
        <v>0.94035274058752827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439</v>
      </c>
      <c r="B12" s="1" t="s">
        <v>48</v>
      </c>
      <c r="C12" s="19">
        <f>'Raw Operating'!C48</f>
        <v>0.79</v>
      </c>
      <c r="D12" s="19">
        <f>'Raw Operating'!D48</f>
        <v>0.81</v>
      </c>
      <c r="E12" s="19">
        <f>'Raw Operating'!E48</f>
        <v>0.79500000000000004</v>
      </c>
      <c r="F12" s="19">
        <f>'Raw Operating'!F48</f>
        <v>0.79299999999999993</v>
      </c>
      <c r="G12" s="19">
        <f>'Raw Operating'!G48</f>
        <v>0.78099999999999992</v>
      </c>
      <c r="H12" s="19">
        <f>'Raw Operating'!H48</f>
        <v>0.81</v>
      </c>
      <c r="I12" s="19">
        <f>'Raw Operating'!I48</f>
        <v>0.7609999999999999</v>
      </c>
      <c r="J12" s="19">
        <f>'Raw Operating'!J48</f>
        <v>0.81499999999999995</v>
      </c>
      <c r="K12" s="19">
        <f>'Raw Operating'!K48</f>
        <v>0.81700000000000006</v>
      </c>
      <c r="L12" s="19">
        <f>'Raw Operating'!L48</f>
        <v>0.82</v>
      </c>
      <c r="M12" s="19">
        <f>'Raw Operating'!M48</f>
        <v>0.82499999999999996</v>
      </c>
      <c r="N12" s="24">
        <f>MIN(0.85,M12+0.005)</f>
        <v>0.83</v>
      </c>
      <c r="O12" s="24">
        <f>MIN(0.85,N12+0.005)</f>
        <v>0.83499999999999996</v>
      </c>
      <c r="P12" s="24">
        <f>MIN(0.85,O12+0.005)</f>
        <v>0.84</v>
      </c>
      <c r="Q12" s="24">
        <f>MIN(0.85,P12+0.005)</f>
        <v>0.84499999999999997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440</v>
      </c>
      <c r="B13" s="1" t="s">
        <v>48</v>
      </c>
      <c r="C13" s="19">
        <f>'Raw Operating'!C49</f>
        <v>0.127</v>
      </c>
      <c r="D13" s="19">
        <f>'Raw Operating'!D49</f>
        <v>0.127</v>
      </c>
      <c r="E13" s="19">
        <f>'Raw Operating'!E49</f>
        <v>0.105</v>
      </c>
      <c r="F13" s="19">
        <f>'Raw Operating'!F49</f>
        <v>0.122</v>
      </c>
      <c r="G13" s="19">
        <f>'Raw Operating'!G49</f>
        <v>0.11800000000000001</v>
      </c>
      <c r="H13" s="19">
        <f>'Raw Operating'!H49</f>
        <v>0.105</v>
      </c>
      <c r="I13" s="19">
        <f>'Raw Operating'!I49</f>
        <v>0.17699999999999999</v>
      </c>
      <c r="J13" s="19">
        <f>'Raw Operating'!J49</f>
        <v>0.14099999999999999</v>
      </c>
      <c r="K13" s="19">
        <f>'Raw Operating'!K49</f>
        <v>0.115</v>
      </c>
      <c r="L13" s="19">
        <f>'Raw Operating'!L49</f>
        <v>0.109</v>
      </c>
      <c r="M13" s="19">
        <f>'Raw Operating'!M49</f>
        <v>0.10800000000000001</v>
      </c>
      <c r="N13" s="24">
        <f>MAX(0.09,M13-0.003)</f>
        <v>0.10500000000000001</v>
      </c>
      <c r="O13" s="24">
        <f>MAX(0.09,N13-0.003)</f>
        <v>0.10200000000000001</v>
      </c>
      <c r="P13" s="24">
        <f>MAX(0.09,O13-0.003)</f>
        <v>9.9000000000000005E-2</v>
      </c>
      <c r="Q13" s="24">
        <f>MAX(0.09,P13-0.003)</f>
        <v>9.6000000000000002E-2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438</v>
      </c>
      <c r="B14" s="1" t="s">
        <v>67</v>
      </c>
      <c r="C14" s="22">
        <f>'Raw Operating'!C47</f>
        <v>0</v>
      </c>
      <c r="D14" s="22">
        <f>'Raw Operating'!D47</f>
        <v>0</v>
      </c>
      <c r="E14" s="22">
        <f>'Raw Operating'!E47</f>
        <v>0</v>
      </c>
      <c r="F14" s="22">
        <f>'Raw Operating'!F47</f>
        <v>0</v>
      </c>
      <c r="G14" s="22">
        <f>'Raw Operating'!G47</f>
        <v>0</v>
      </c>
      <c r="H14" s="22">
        <f>'Raw Operating'!H47</f>
        <v>0</v>
      </c>
      <c r="I14" s="22">
        <f>'Raw Operating'!I47</f>
        <v>0</v>
      </c>
      <c r="J14" s="22">
        <f>'Raw Operating'!J47</f>
        <v>0</v>
      </c>
      <c r="K14" s="22">
        <f>'Raw Operating'!K47</f>
        <v>0</v>
      </c>
      <c r="L14" s="22">
        <f>'Raw Operating'!L47</f>
        <v>0</v>
      </c>
      <c r="M14" s="22">
        <f>'Raw Operating'!M47</f>
        <v>71795</v>
      </c>
      <c r="N14" s="26">
        <f>IFERROR('Order Book &amp; Revenue'!N33*1000000/N8,"")</f>
        <v>81863.791980444192</v>
      </c>
      <c r="O14" s="26">
        <f>IFERROR('Order Book &amp; Revenue'!O33*1000000/O8,"")</f>
        <v>92283.848912500864</v>
      </c>
      <c r="P14" s="26">
        <f>IFERROR('Order Book &amp; Revenue'!P33*1000000/P8,"")</f>
        <v>102929.17626649399</v>
      </c>
      <c r="Q14" s="26">
        <f>IFERROR('Order Book &amp; Revenue'!Q33*1000000/Q8,"")</f>
        <v>113852.81594728859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610</v>
      </c>
      <c r="B15" s="1" t="s">
        <v>67</v>
      </c>
      <c r="C15" s="22">
        <f>IFERROR('Order Book &amp; Revenue'!C33*1000000/C10,"")</f>
        <v>0</v>
      </c>
      <c r="D15" s="22">
        <f>IFERROR('Order Book &amp; Revenue'!D33*1000000/D10,"")</f>
        <v>0</v>
      </c>
      <c r="E15" s="22">
        <f>IFERROR('Order Book &amp; Revenue'!E33*1000000/E10,"")</f>
        <v>0</v>
      </c>
      <c r="F15" s="22">
        <f>IFERROR('Order Book &amp; Revenue'!F33*1000000/F10,"")</f>
        <v>0</v>
      </c>
      <c r="G15" s="22">
        <f>IFERROR('Order Book &amp; Revenue'!G33*1000000/G10,"")</f>
        <v>0</v>
      </c>
      <c r="H15" s="22">
        <f>IFERROR('Order Book &amp; Revenue'!H33*1000000/H10,"")</f>
        <v>0</v>
      </c>
      <c r="I15" s="22">
        <f>IFERROR('Order Book &amp; Revenue'!I33*1000000/I10,"")</f>
        <v>40692.213769136848</v>
      </c>
      <c r="J15" s="22">
        <f>IFERROR('Order Book &amp; Revenue'!J33*1000000/J10,"")</f>
        <v>45917.946367178549</v>
      </c>
      <c r="K15" s="22">
        <f>IFERROR('Order Book &amp; Revenue'!K33*1000000/K10,"")</f>
        <v>48130.619971604356</v>
      </c>
      <c r="L15" s="22">
        <f>IFERROR('Order Book &amp; Revenue'!L33*1000000/L10,"")</f>
        <v>46182.305288001531</v>
      </c>
      <c r="M15" s="22">
        <f>IFERROR('Order Book &amp; Revenue'!M33*1000000/M10,"")</f>
        <v>55583.628094997475</v>
      </c>
      <c r="N15" s="26">
        <f>IFERROR('Order Book &amp; Revenue'!N33*1000000/N10,"")</f>
        <v>61397.843985333144</v>
      </c>
      <c r="O15" s="26">
        <f>IFERROR('Order Book &amp; Revenue'!O33*1000000/O10,"")</f>
        <v>69212.886684375655</v>
      </c>
      <c r="P15" s="26">
        <f>IFERROR('Order Book &amp; Revenue'!P33*1000000/P10,"")</f>
        <v>77196.882199870481</v>
      </c>
      <c r="Q15" s="26">
        <f>IFERROR('Order Book &amp; Revenue'!Q33*1000000/Q10,"")</f>
        <v>85389.611960466427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611</v>
      </c>
      <c r="B16" s="1" t="s">
        <v>48</v>
      </c>
      <c r="C16" s="1"/>
      <c r="D16" s="19">
        <f t="shared" ref="D16:Q16" si="1">IFERROR(D7/C7-1,"")</f>
        <v>-6.5745040101308549E-2</v>
      </c>
      <c r="E16" s="19">
        <f t="shared" si="1"/>
        <v>6.4384954252795668E-2</v>
      </c>
      <c r="F16" s="19">
        <f t="shared" si="1"/>
        <v>8.9143584845590595E-2</v>
      </c>
      <c r="G16" s="19">
        <f t="shared" si="1"/>
        <v>8.701159505018019E-2</v>
      </c>
      <c r="H16" s="19">
        <f t="shared" si="1"/>
        <v>0.11070276084618147</v>
      </c>
      <c r="I16" s="19">
        <f t="shared" si="1"/>
        <v>0.81583407311758527</v>
      </c>
      <c r="J16" s="19">
        <f t="shared" si="1"/>
        <v>3.2177777777777861E-2</v>
      </c>
      <c r="K16" s="19">
        <f t="shared" si="1"/>
        <v>6.4674474681364114E-2</v>
      </c>
      <c r="L16" s="19">
        <f t="shared" si="1"/>
        <v>0.35472781687292732</v>
      </c>
      <c r="M16" s="19">
        <f t="shared" si="1"/>
        <v>6.8065796937039069E-2</v>
      </c>
      <c r="N16" s="24">
        <f t="shared" si="1"/>
        <v>0.17694372458009955</v>
      </c>
      <c r="O16" s="24">
        <f t="shared" si="1"/>
        <v>0.1286101809610074</v>
      </c>
      <c r="P16" s="24">
        <f t="shared" si="1"/>
        <v>0.11605475081301564</v>
      </c>
      <c r="Q16" s="24">
        <f t="shared" si="1"/>
        <v>0.1065117142937495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47</v>
      </c>
      <c r="B17" s="1" t="s">
        <v>48</v>
      </c>
      <c r="C17" s="1"/>
      <c r="D17" s="19">
        <f>'Annual P&amp;L'!D8</f>
        <v>4.462231729588706E-2</v>
      </c>
      <c r="E17" s="19">
        <f>'Annual P&amp;L'!E8</f>
        <v>6.7556475500517577E-2</v>
      </c>
      <c r="F17" s="19">
        <f>'Annual P&amp;L'!F8</f>
        <v>0.22892291234873308</v>
      </c>
      <c r="G17" s="19">
        <f>'Annual P&amp;L'!G8</f>
        <v>0.13810456449594688</v>
      </c>
      <c r="H17" s="19">
        <f>'Annual P&amp;L'!H8</f>
        <v>0.11446258275771415</v>
      </c>
      <c r="I17" s="19">
        <f>'Annual P&amp;L'!I8</f>
        <v>0.37942866946898857</v>
      </c>
      <c r="J17" s="19">
        <f>'Annual P&amp;L'!J8</f>
        <v>0.24605099502487571</v>
      </c>
      <c r="K17" s="19">
        <f>'Annual P&amp;L'!K8</f>
        <v>0.14528485513937062</v>
      </c>
      <c r="L17" s="19">
        <f>'Annual P&amp;L'!L8</f>
        <v>0.31531757272033989</v>
      </c>
      <c r="M17" s="19">
        <f>'Annual P&amp;L'!M8</f>
        <v>0.35859292819693045</v>
      </c>
      <c r="N17" s="24">
        <f>'Annual P&amp;L'!N8</f>
        <v>0.39320827684466586</v>
      </c>
      <c r="O17" s="24">
        <f>'Annual P&amp;L'!O8</f>
        <v>0.28580040213557201</v>
      </c>
      <c r="P17" s="24">
        <f>'Annual P&amp;L'!P8</f>
        <v>0.25789944625114569</v>
      </c>
      <c r="Q17" s="24">
        <f>'Annual P&amp;L'!Q8</f>
        <v>0.23669269843055463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612</v>
      </c>
      <c r="B18" s="1" t="s">
        <v>613</v>
      </c>
      <c r="C18" s="1"/>
      <c r="D18" s="19">
        <f t="shared" ref="D18:Q18" si="2">D17-D16</f>
        <v>0.11036735739719561</v>
      </c>
      <c r="E18" s="19">
        <f t="shared" si="2"/>
        <v>3.171521247721909E-3</v>
      </c>
      <c r="F18" s="19">
        <f t="shared" si="2"/>
        <v>0.13977932750314248</v>
      </c>
      <c r="G18" s="19">
        <f t="shared" si="2"/>
        <v>5.1092969445766689E-2</v>
      </c>
      <c r="H18" s="19">
        <f t="shared" si="2"/>
        <v>3.7598219115326792E-3</v>
      </c>
      <c r="I18" s="19">
        <f t="shared" si="2"/>
        <v>-0.4364054036485967</v>
      </c>
      <c r="J18" s="19">
        <f t="shared" si="2"/>
        <v>0.21387321724709785</v>
      </c>
      <c r="K18" s="19">
        <f t="shared" si="2"/>
        <v>8.0610380458006503E-2</v>
      </c>
      <c r="L18" s="19">
        <f t="shared" si="2"/>
        <v>-3.9410244152587426E-2</v>
      </c>
      <c r="M18" s="19">
        <f t="shared" si="2"/>
        <v>0.29052713125989138</v>
      </c>
      <c r="N18" s="24">
        <f t="shared" si="2"/>
        <v>0.21626455226456631</v>
      </c>
      <c r="O18" s="24">
        <f t="shared" si="2"/>
        <v>0.1571902211745646</v>
      </c>
      <c r="P18" s="24">
        <f t="shared" si="2"/>
        <v>0.14184469543813005</v>
      </c>
      <c r="Q18" s="24">
        <f t="shared" si="2"/>
        <v>0.13018098413680512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594</v>
      </c>
      <c r="B19" s="1" t="s">
        <v>49</v>
      </c>
      <c r="C19" s="21">
        <f>'Order Book &amp; Revenue'!C9*'Order Book &amp; Revenue'!C22</f>
        <v>0</v>
      </c>
      <c r="D19" s="21">
        <f>'Order Book &amp; Revenue'!D9*'Order Book &amp; Revenue'!D22</f>
        <v>0</v>
      </c>
      <c r="E19" s="21">
        <f>'Order Book &amp; Revenue'!E9*'Order Book &amp; Revenue'!E22</f>
        <v>0</v>
      </c>
      <c r="F19" s="21">
        <f>'Order Book &amp; Revenue'!F9*'Order Book &amp; Revenue'!F22</f>
        <v>0</v>
      </c>
      <c r="G19" s="21">
        <f>'Order Book &amp; Revenue'!G9*'Order Book &amp; Revenue'!G22</f>
        <v>0</v>
      </c>
      <c r="H19" s="21">
        <f>'Order Book &amp; Revenue'!H9*'Order Book &amp; Revenue'!H22</f>
        <v>0</v>
      </c>
      <c r="I19" s="21">
        <f>'Order Book &amp; Revenue'!I9*'Order Book &amp; Revenue'!I22</f>
        <v>0</v>
      </c>
      <c r="J19" s="21">
        <f>'Order Book &amp; Revenue'!J9*'Order Book &amp; Revenue'!J22</f>
        <v>0</v>
      </c>
      <c r="K19" s="21">
        <f>'Order Book &amp; Revenue'!K9*'Order Book &amp; Revenue'!K22</f>
        <v>0</v>
      </c>
      <c r="L19" s="21">
        <f>'Order Book &amp; Revenue'!L9*'Order Book &amp; Revenue'!L22</f>
        <v>0</v>
      </c>
      <c r="M19" s="21">
        <f>'Order Book &amp; Revenue'!M9*'Order Book &amp; Revenue'!M22</f>
        <v>0</v>
      </c>
      <c r="N19" s="23">
        <f>'Order Book &amp; Revenue'!N9*'Order Book &amp; Revenue'!N22</f>
        <v>1017.9344999999998</v>
      </c>
      <c r="O19" s="23">
        <f>'Order Book &amp; Revenue'!O9*'Order Book &amp; Revenue'!O22</f>
        <v>1302.8772444256801</v>
      </c>
      <c r="P19" s="23">
        <f>'Order Book &amp; Revenue'!P9*'Order Book &amp; Revenue'!P22</f>
        <v>1633.1093385811523</v>
      </c>
      <c r="Q19" s="23">
        <f>'Order Book &amp; Revenue'!Q9*'Order Book &amp; Revenue'!Q22</f>
        <v>2000.0850781172105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69</v>
      </c>
      <c r="B20" s="1" t="s">
        <v>49</v>
      </c>
      <c r="C20" s="21">
        <f>'Order Book &amp; Revenue'!C24</f>
        <v>0</v>
      </c>
      <c r="D20" s="21">
        <f>'Order Book &amp; Revenue'!D24</f>
        <v>0</v>
      </c>
      <c r="E20" s="21">
        <f>'Order Book &amp; Revenue'!E24</f>
        <v>0</v>
      </c>
      <c r="F20" s="21">
        <f>'Order Book &amp; Revenue'!F24</f>
        <v>0</v>
      </c>
      <c r="G20" s="21">
        <f>'Order Book &amp; Revenue'!G24</f>
        <v>0</v>
      </c>
      <c r="H20" s="21">
        <f>'Order Book &amp; Revenue'!H24</f>
        <v>0</v>
      </c>
      <c r="I20" s="21">
        <f>'Order Book &amp; Revenue'!I24</f>
        <v>0</v>
      </c>
      <c r="J20" s="21">
        <f>'Order Book &amp; Revenue'!J24</f>
        <v>0</v>
      </c>
      <c r="K20" s="21">
        <f>'Order Book &amp; Revenue'!K24</f>
        <v>0</v>
      </c>
      <c r="L20" s="21">
        <f>'Order Book &amp; Revenue'!L24</f>
        <v>0</v>
      </c>
      <c r="M20" s="21">
        <f>'Order Book &amp; Revenue'!M24</f>
        <v>0</v>
      </c>
      <c r="N20" s="23">
        <f>'Order Book &amp; Revenue'!N24</f>
        <v>-10.179344999999998</v>
      </c>
      <c r="O20" s="23">
        <f>'Order Book &amp; Revenue'!O24</f>
        <v>-13.028772444256802</v>
      </c>
      <c r="P20" s="23">
        <f>'Order Book &amp; Revenue'!P24</f>
        <v>-13.064874708649219</v>
      </c>
      <c r="Q20" s="23">
        <f>'Order Book &amp; Revenue'!Q24</f>
        <v>-10.000425390586052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157</v>
      </c>
      <c r="B21" s="1" t="s">
        <v>49</v>
      </c>
      <c r="C21" s="21">
        <f>'Order Book &amp; Revenue'!C28</f>
        <v>0</v>
      </c>
      <c r="D21" s="21">
        <f>'Order Book &amp; Revenue'!D28</f>
        <v>0</v>
      </c>
      <c r="E21" s="21">
        <f>'Order Book &amp; Revenue'!E28</f>
        <v>0</v>
      </c>
      <c r="F21" s="21">
        <f>'Order Book &amp; Revenue'!F28</f>
        <v>0</v>
      </c>
      <c r="G21" s="21">
        <f>'Order Book &amp; Revenue'!G28</f>
        <v>0</v>
      </c>
      <c r="H21" s="21">
        <f>'Order Book &amp; Revenue'!H28</f>
        <v>0</v>
      </c>
      <c r="I21" s="21">
        <f>'Order Book &amp; Revenue'!I28</f>
        <v>0</v>
      </c>
      <c r="J21" s="21">
        <f>'Order Book &amp; Revenue'!J28</f>
        <v>0</v>
      </c>
      <c r="K21" s="21">
        <f>'Order Book &amp; Revenue'!K28</f>
        <v>0</v>
      </c>
      <c r="L21" s="21">
        <f>'Order Book &amp; Revenue'!L28</f>
        <v>0</v>
      </c>
      <c r="M21" s="21">
        <f>'Order Book &amp; Revenue'!M28</f>
        <v>0</v>
      </c>
      <c r="N21" s="23">
        <f>'Order Book &amp; Revenue'!N28</f>
        <v>35.716999999999999</v>
      </c>
      <c r="O21" s="23">
        <f>'Order Book &amp; Revenue'!O28</f>
        <v>69.796995237090002</v>
      </c>
      <c r="P21" s="23">
        <f>'Order Book &amp; Revenue'!P28</f>
        <v>103.92513972789151</v>
      </c>
      <c r="Q21" s="23">
        <f>'Order Book &amp; Revenue'!Q28</f>
        <v>148.15445023090447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614</v>
      </c>
      <c r="B22" s="1" t="s">
        <v>49</v>
      </c>
      <c r="C22" s="21">
        <f t="shared" ref="C22:Q22" si="3">SUM(C20:C21)</f>
        <v>0</v>
      </c>
      <c r="D22" s="21">
        <f t="shared" si="3"/>
        <v>0</v>
      </c>
      <c r="E22" s="21">
        <f t="shared" si="3"/>
        <v>0</v>
      </c>
      <c r="F22" s="21">
        <f t="shared" si="3"/>
        <v>0</v>
      </c>
      <c r="G22" s="21">
        <f t="shared" si="3"/>
        <v>0</v>
      </c>
      <c r="H22" s="21">
        <f t="shared" si="3"/>
        <v>0</v>
      </c>
      <c r="I22" s="21">
        <f t="shared" si="3"/>
        <v>0</v>
      </c>
      <c r="J22" s="21">
        <f t="shared" si="3"/>
        <v>0</v>
      </c>
      <c r="K22" s="21">
        <f t="shared" si="3"/>
        <v>0</v>
      </c>
      <c r="L22" s="21">
        <f t="shared" si="3"/>
        <v>0</v>
      </c>
      <c r="M22" s="21">
        <f t="shared" si="3"/>
        <v>0</v>
      </c>
      <c r="N22" s="23">
        <f t="shared" si="3"/>
        <v>25.537655000000001</v>
      </c>
      <c r="O22" s="23">
        <f t="shared" si="3"/>
        <v>56.7682227928332</v>
      </c>
      <c r="P22" s="23">
        <f t="shared" si="3"/>
        <v>90.860265019242291</v>
      </c>
      <c r="Q22" s="23">
        <f t="shared" si="3"/>
        <v>138.15402484031841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615</v>
      </c>
      <c r="B23" s="1" t="s">
        <v>48</v>
      </c>
      <c r="C23" s="19">
        <f>'Raw Operating'!C30</f>
        <v>0</v>
      </c>
      <c r="D23" s="19">
        <f>'Raw Operating'!D30</f>
        <v>0</v>
      </c>
      <c r="E23" s="19">
        <f>'Raw Operating'!E30</f>
        <v>0</v>
      </c>
      <c r="F23" s="19">
        <f>'Raw Operating'!F30</f>
        <v>0</v>
      </c>
      <c r="G23" s="19">
        <f>'Raw Operating'!G30</f>
        <v>0</v>
      </c>
      <c r="H23" s="19">
        <f>'Raw Operating'!H30</f>
        <v>0</v>
      </c>
      <c r="I23" s="19">
        <f>'Raw Operating'!I30</f>
        <v>0</v>
      </c>
      <c r="J23" s="19">
        <f>'Raw Operating'!J30</f>
        <v>0.36299999999999999</v>
      </c>
      <c r="K23" s="19">
        <f>'Raw Operating'!K30</f>
        <v>0.35200000000000004</v>
      </c>
      <c r="L23" s="19">
        <f>'Raw Operating'!L30</f>
        <v>0.41299999999999998</v>
      </c>
      <c r="M23" s="19">
        <f>'Raw Operating'!M30</f>
        <v>0.441</v>
      </c>
      <c r="N23" s="24">
        <f>'Vertical &amp; Services'!N29</f>
        <v>0.441</v>
      </c>
      <c r="O23" s="24">
        <f>'Vertical &amp; Services'!O29</f>
        <v>0.441</v>
      </c>
      <c r="P23" s="24">
        <f>'Vertical &amp; Services'!P29</f>
        <v>0.441</v>
      </c>
      <c r="Q23" s="24">
        <f>'Vertical &amp; Services'!Q29</f>
        <v>0.441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616</v>
      </c>
      <c r="B24" s="1" t="s">
        <v>64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6">
        <v>40</v>
      </c>
      <c r="N24" s="17"/>
      <c r="O24" s="17"/>
      <c r="P24" s="17"/>
      <c r="Q24" s="17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617</v>
      </c>
      <c r="B25" s="1" t="s">
        <v>64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6">
        <v>50</v>
      </c>
      <c r="N25" s="17"/>
      <c r="O25" s="17"/>
      <c r="P25" s="17"/>
      <c r="Q25" s="17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618</v>
      </c>
      <c r="B26" s="1" t="s">
        <v>64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6">
        <v>150</v>
      </c>
      <c r="N26" s="17"/>
      <c r="O26" s="17"/>
      <c r="P26" s="17"/>
      <c r="Q26" s="17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619</v>
      </c>
      <c r="B27" s="1" t="s">
        <v>620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0" t="s">
        <v>621</v>
      </c>
      <c r="N27" s="17"/>
      <c r="O27" s="17"/>
      <c r="P27" s="17"/>
      <c r="Q27" s="17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622</v>
      </c>
      <c r="B28" s="1" t="s">
        <v>77</v>
      </c>
      <c r="C28" s="64" t="s">
        <v>623</v>
      </c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5"/>
      <c r="O28" s="65"/>
      <c r="P28" s="65"/>
      <c r="Q28" s="6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  <c r="O29" s="17"/>
      <c r="P29" s="17"/>
      <c r="Q29" s="17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  <c r="O30" s="17"/>
      <c r="P30" s="17"/>
      <c r="Q30" s="17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  <c r="O31" s="17"/>
      <c r="P31" s="17"/>
      <c r="Q31" s="17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  <c r="O32" s="17"/>
      <c r="P32" s="17"/>
      <c r="Q32" s="1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  <c r="O33" s="17"/>
      <c r="P33" s="17"/>
      <c r="Q33" s="17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  <c r="O34" s="17"/>
      <c r="P34" s="17"/>
      <c r="Q34" s="17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  <c r="O35" s="17"/>
      <c r="P35" s="17"/>
      <c r="Q35" s="17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  <c r="O36" s="17"/>
      <c r="P36" s="17"/>
      <c r="Q36" s="1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  <c r="O37" s="17"/>
      <c r="P37" s="17"/>
      <c r="Q37" s="17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  <c r="O38" s="17"/>
      <c r="P38" s="17"/>
      <c r="Q38" s="17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  <c r="O39" s="17"/>
      <c r="P39" s="17"/>
      <c r="Q39" s="17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  <c r="O40" s="17"/>
      <c r="P40" s="17"/>
      <c r="Q40" s="1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  <c r="O41" s="17"/>
      <c r="P41" s="17"/>
      <c r="Q41" s="17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  <c r="O42" s="17"/>
      <c r="P42" s="17"/>
      <c r="Q42" s="17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  <c r="O43" s="17"/>
      <c r="P43" s="17"/>
      <c r="Q43" s="1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  <c r="O44" s="17"/>
      <c r="P44" s="17"/>
      <c r="Q44" s="1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  <c r="O45" s="17"/>
      <c r="P45" s="17"/>
      <c r="Q45" s="17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  <c r="O46" s="17"/>
      <c r="P46" s="17"/>
      <c r="Q46" s="1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  <c r="O47" s="17"/>
      <c r="P47" s="17"/>
      <c r="Q47" s="1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  <c r="O48" s="17"/>
      <c r="P48" s="17"/>
      <c r="Q48" s="17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  <c r="O49" s="17"/>
      <c r="P49" s="17"/>
      <c r="Q49" s="1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  <c r="O50" s="17"/>
      <c r="P50" s="17"/>
      <c r="Q50" s="1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  <c r="O51" s="17"/>
      <c r="P51" s="17"/>
      <c r="Q51" s="1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  <c r="O52" s="17"/>
      <c r="P52" s="17"/>
      <c r="Q52" s="1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  <c r="O53" s="17"/>
      <c r="P53" s="17"/>
      <c r="Q53" s="1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  <c r="O54" s="17"/>
      <c r="P54" s="17"/>
      <c r="Q54" s="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  <c r="O55" s="17"/>
      <c r="P55" s="17"/>
      <c r="Q55" s="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  <c r="O56" s="17"/>
      <c r="P56" s="17"/>
      <c r="Q56" s="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17"/>
      <c r="P57" s="17"/>
      <c r="Q57" s="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  <c r="O58" s="17"/>
      <c r="P58" s="17"/>
      <c r="Q58" s="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  <c r="O60" s="17"/>
      <c r="P60" s="17"/>
      <c r="Q60" s="1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  <c r="O61" s="17"/>
      <c r="P61" s="17"/>
      <c r="Q61" s="1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  <c r="O62" s="17"/>
      <c r="P62" s="17"/>
      <c r="Q62" s="1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  <c r="O63" s="17"/>
      <c r="P63" s="17"/>
      <c r="Q63" s="1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  <c r="O64" s="17"/>
      <c r="P64" s="17"/>
      <c r="Q64" s="1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7"/>
      <c r="O65" s="17"/>
      <c r="P65" s="17"/>
      <c r="Q65" s="1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7"/>
      <c r="O66" s="17"/>
      <c r="P66" s="17"/>
      <c r="Q66" s="1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7"/>
      <c r="O67" s="17"/>
      <c r="P67" s="17"/>
      <c r="Q67" s="1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7"/>
      <c r="O68" s="17"/>
      <c r="P68" s="17"/>
      <c r="Q68" s="1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7"/>
      <c r="O69" s="17"/>
      <c r="P69" s="17"/>
      <c r="Q69" s="1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7"/>
      <c r="O70" s="17"/>
      <c r="P70" s="17"/>
      <c r="Q70" s="1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7"/>
      <c r="O71" s="17"/>
      <c r="P71" s="17"/>
      <c r="Q71" s="17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7"/>
      <c r="O72" s="17"/>
      <c r="P72" s="17"/>
      <c r="Q72" s="17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7"/>
      <c r="O73" s="17"/>
      <c r="P73" s="17"/>
      <c r="Q73" s="1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7"/>
      <c r="O74" s="17"/>
      <c r="P74" s="17"/>
      <c r="Q74" s="1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7"/>
      <c r="O75" s="17"/>
      <c r="P75" s="17"/>
      <c r="Q75" s="17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7"/>
      <c r="O76" s="17"/>
      <c r="P76" s="17"/>
      <c r="Q76" s="17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7"/>
      <c r="O77" s="17"/>
      <c r="P77" s="17"/>
      <c r="Q77" s="17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7"/>
      <c r="O78" s="17"/>
      <c r="P78" s="17"/>
      <c r="Q78" s="1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7"/>
      <c r="O79" s="17"/>
      <c r="P79" s="17"/>
      <c r="Q79" s="1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7"/>
      <c r="O80" s="17"/>
      <c r="P80" s="17"/>
      <c r="Q80" s="17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7"/>
      <c r="O81" s="17"/>
      <c r="P81" s="17"/>
      <c r="Q81" s="17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7"/>
      <c r="O82" s="17"/>
      <c r="P82" s="17"/>
      <c r="Q82" s="17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7"/>
      <c r="O83" s="17"/>
      <c r="P83" s="17"/>
      <c r="Q83" s="17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7"/>
      <c r="O84" s="17"/>
      <c r="P84" s="17"/>
      <c r="Q84" s="1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7"/>
      <c r="O85" s="17"/>
      <c r="P85" s="17"/>
      <c r="Q85" s="17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7"/>
      <c r="O86" s="17"/>
      <c r="P86" s="17"/>
      <c r="Q86" s="17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7"/>
      <c r="O87" s="17"/>
      <c r="P87" s="17"/>
      <c r="Q87" s="17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7"/>
      <c r="O88" s="17"/>
      <c r="P88" s="17"/>
      <c r="Q88" s="17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7"/>
      <c r="O89" s="17"/>
      <c r="P89" s="17"/>
      <c r="Q89" s="1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7"/>
      <c r="O90" s="17"/>
      <c r="P90" s="17"/>
      <c r="Q90" s="1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7"/>
      <c r="O91" s="17"/>
      <c r="P91" s="17"/>
      <c r="Q91" s="17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7"/>
      <c r="O92" s="17"/>
      <c r="P92" s="17"/>
      <c r="Q92" s="17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7"/>
      <c r="O93" s="17"/>
      <c r="P93" s="17"/>
      <c r="Q93" s="1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7"/>
      <c r="O94" s="17"/>
      <c r="P94" s="17"/>
      <c r="Q94" s="1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7"/>
      <c r="O95" s="17"/>
      <c r="P95" s="17"/>
      <c r="Q95" s="17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7"/>
      <c r="O96" s="17"/>
      <c r="P96" s="17"/>
      <c r="Q96" s="17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7"/>
      <c r="O97" s="17"/>
      <c r="P97" s="17"/>
      <c r="Q97" s="17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7"/>
      <c r="O98" s="17"/>
      <c r="P98" s="17"/>
      <c r="Q98" s="1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7"/>
      <c r="O99" s="17"/>
      <c r="P99" s="17"/>
      <c r="Q99" s="1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7"/>
      <c r="O100" s="17"/>
      <c r="P100" s="17"/>
      <c r="Q100" s="17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7"/>
      <c r="O101" s="17"/>
      <c r="P101" s="17"/>
      <c r="Q101" s="17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7"/>
      <c r="O102" s="17"/>
      <c r="P102" s="17"/>
      <c r="Q102" s="17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7"/>
      <c r="O103" s="17"/>
      <c r="P103" s="17"/>
      <c r="Q103" s="1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7"/>
      <c r="O104" s="17"/>
      <c r="P104" s="17"/>
      <c r="Q104" s="1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7"/>
      <c r="O105" s="17"/>
      <c r="P105" s="17"/>
      <c r="Q105" s="17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7"/>
      <c r="O106" s="17"/>
      <c r="P106" s="17"/>
      <c r="Q106" s="17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7"/>
      <c r="O107" s="17"/>
      <c r="P107" s="17"/>
      <c r="Q107" s="1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7"/>
      <c r="O108" s="17"/>
      <c r="P108" s="17"/>
      <c r="Q108" s="17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7"/>
      <c r="O109" s="17"/>
      <c r="P109" s="17"/>
      <c r="Q109" s="1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7"/>
      <c r="O110" s="17"/>
      <c r="P110" s="17"/>
      <c r="Q110" s="17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7"/>
      <c r="O111" s="17"/>
      <c r="P111" s="17"/>
      <c r="Q111" s="17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7"/>
      <c r="O112" s="17"/>
      <c r="P112" s="17"/>
      <c r="Q112" s="1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7"/>
      <c r="O113" s="17"/>
      <c r="P113" s="17"/>
      <c r="Q113" s="1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7"/>
      <c r="O114" s="17"/>
      <c r="P114" s="17"/>
      <c r="Q114" s="1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7"/>
      <c r="O115" s="17"/>
      <c r="P115" s="17"/>
      <c r="Q115" s="17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7"/>
      <c r="O116" s="17"/>
      <c r="P116" s="17"/>
      <c r="Q116" s="17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7"/>
      <c r="O117" s="17"/>
      <c r="P117" s="17"/>
      <c r="Q117" s="17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7"/>
      <c r="O118" s="17"/>
      <c r="P118" s="17"/>
      <c r="Q118" s="1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7"/>
      <c r="O119" s="17"/>
      <c r="P119" s="17"/>
      <c r="Q119" s="17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7"/>
      <c r="O120" s="17"/>
      <c r="P120" s="17"/>
      <c r="Q120" s="17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7"/>
      <c r="O121" s="17"/>
      <c r="P121" s="17"/>
      <c r="Q121" s="17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7"/>
      <c r="O122" s="17"/>
      <c r="P122" s="17"/>
      <c r="Q122" s="1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7"/>
      <c r="O123" s="17"/>
      <c r="P123" s="17"/>
      <c r="Q123" s="1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7"/>
      <c r="O124" s="17"/>
      <c r="P124" s="17"/>
      <c r="Q124" s="1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7"/>
      <c r="O125" s="17"/>
      <c r="P125" s="17"/>
      <c r="Q125" s="1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7"/>
      <c r="O126" s="17"/>
      <c r="P126" s="17"/>
      <c r="Q126" s="1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7"/>
      <c r="O127" s="17"/>
      <c r="P127" s="17"/>
      <c r="Q127" s="1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7"/>
      <c r="O128" s="17"/>
      <c r="P128" s="17"/>
      <c r="Q128" s="1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7"/>
      <c r="O129" s="17"/>
      <c r="P129" s="17"/>
      <c r="Q129" s="1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7"/>
      <c r="O130" s="17"/>
      <c r="P130" s="17"/>
      <c r="Q130" s="1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7"/>
      <c r="O131" s="17"/>
      <c r="P131" s="17"/>
      <c r="Q131" s="1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7"/>
      <c r="O132" s="17"/>
      <c r="P132" s="17"/>
      <c r="Q132" s="1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7"/>
      <c r="O133" s="17"/>
      <c r="P133" s="17"/>
      <c r="Q133" s="1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7"/>
      <c r="O134" s="17"/>
      <c r="P134" s="17"/>
      <c r="Q134" s="1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7"/>
      <c r="O135" s="17"/>
      <c r="P135" s="17"/>
      <c r="Q135" s="1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7"/>
      <c r="O136" s="17"/>
      <c r="P136" s="17"/>
      <c r="Q136" s="1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7"/>
      <c r="O137" s="17"/>
      <c r="P137" s="17"/>
      <c r="Q137" s="1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7"/>
      <c r="O138" s="17"/>
      <c r="P138" s="17"/>
      <c r="Q138" s="1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7"/>
      <c r="O139" s="17"/>
      <c r="P139" s="17"/>
      <c r="Q139" s="1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7"/>
      <c r="O140" s="17"/>
      <c r="P140" s="17"/>
      <c r="Q140" s="1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7"/>
      <c r="O141" s="17"/>
      <c r="P141" s="17"/>
      <c r="Q141" s="1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7"/>
      <c r="O142" s="17"/>
      <c r="P142" s="17"/>
      <c r="Q142" s="1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7"/>
      <c r="O143" s="17"/>
      <c r="P143" s="17"/>
      <c r="Q143" s="1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7"/>
      <c r="O144" s="17"/>
      <c r="P144" s="17"/>
      <c r="Q144" s="1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7"/>
      <c r="O145" s="17"/>
      <c r="P145" s="17"/>
      <c r="Q145" s="1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7"/>
      <c r="O146" s="17"/>
      <c r="P146" s="17"/>
      <c r="Q146" s="1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7"/>
      <c r="O147" s="17"/>
      <c r="P147" s="17"/>
      <c r="Q147" s="1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7"/>
      <c r="O148" s="17"/>
      <c r="P148" s="17"/>
      <c r="Q148" s="1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7"/>
      <c r="O149" s="17"/>
      <c r="P149" s="17"/>
      <c r="Q149" s="1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7"/>
      <c r="O150" s="17"/>
      <c r="P150" s="17"/>
      <c r="Q150" s="1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7"/>
      <c r="O151" s="17"/>
      <c r="P151" s="17"/>
      <c r="Q151" s="1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7"/>
      <c r="O152" s="17"/>
      <c r="P152" s="17"/>
      <c r="Q152" s="1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7"/>
      <c r="O153" s="17"/>
      <c r="P153" s="17"/>
      <c r="Q153" s="1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7"/>
      <c r="O154" s="17"/>
      <c r="P154" s="17"/>
      <c r="Q154" s="1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7"/>
      <c r="O155" s="17"/>
      <c r="P155" s="17"/>
      <c r="Q155" s="1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7"/>
      <c r="O156" s="17"/>
      <c r="P156" s="17"/>
      <c r="Q156" s="1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7"/>
      <c r="O157" s="17"/>
      <c r="P157" s="17"/>
      <c r="Q157" s="17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7"/>
      <c r="O158" s="17"/>
      <c r="P158" s="17"/>
      <c r="Q158" s="1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7"/>
      <c r="O159" s="17"/>
      <c r="P159" s="17"/>
      <c r="Q159" s="17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7"/>
      <c r="O160" s="17"/>
      <c r="P160" s="17"/>
      <c r="Q160" s="17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7"/>
      <c r="O161" s="17"/>
      <c r="P161" s="17"/>
      <c r="Q161" s="17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7"/>
      <c r="O162" s="17"/>
      <c r="P162" s="17"/>
      <c r="Q162" s="17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7"/>
      <c r="O163" s="17"/>
      <c r="P163" s="17"/>
      <c r="Q163" s="17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7"/>
      <c r="O164" s="17"/>
      <c r="P164" s="17"/>
      <c r="Q164" s="17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7"/>
      <c r="O165" s="17"/>
      <c r="P165" s="17"/>
      <c r="Q165" s="1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7"/>
      <c r="O166" s="17"/>
      <c r="P166" s="17"/>
      <c r="Q166" s="1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7"/>
      <c r="O167" s="17"/>
      <c r="P167" s="17"/>
      <c r="Q167" s="17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7"/>
      <c r="O168" s="17"/>
      <c r="P168" s="17"/>
      <c r="Q168" s="17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7"/>
      <c r="O169" s="17"/>
      <c r="P169" s="17"/>
      <c r="Q169" s="17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7"/>
      <c r="O170" s="17"/>
      <c r="P170" s="17"/>
      <c r="Q170" s="17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7"/>
      <c r="O171" s="17"/>
      <c r="P171" s="17"/>
      <c r="Q171" s="17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7"/>
      <c r="O172" s="17"/>
      <c r="P172" s="17"/>
      <c r="Q172" s="17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7"/>
      <c r="O173" s="17"/>
      <c r="P173" s="17"/>
      <c r="Q173" s="17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7"/>
      <c r="O174" s="17"/>
      <c r="P174" s="17"/>
      <c r="Q174" s="17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7"/>
      <c r="O175" s="17"/>
      <c r="P175" s="17"/>
      <c r="Q175" s="1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7"/>
      <c r="O176" s="17"/>
      <c r="P176" s="17"/>
      <c r="Q176" s="17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7"/>
      <c r="O177" s="17"/>
      <c r="P177" s="17"/>
      <c r="Q177" s="17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7"/>
      <c r="O178" s="17"/>
      <c r="P178" s="17"/>
      <c r="Q178" s="17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7"/>
      <c r="O179" s="17"/>
      <c r="P179" s="17"/>
      <c r="Q179" s="17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7"/>
      <c r="O180" s="17"/>
      <c r="P180" s="17"/>
      <c r="Q180" s="17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7"/>
      <c r="O181" s="17"/>
      <c r="P181" s="17"/>
      <c r="Q181" s="17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7"/>
      <c r="O182" s="17"/>
      <c r="P182" s="17"/>
      <c r="Q182" s="17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7"/>
      <c r="O183" s="17"/>
      <c r="P183" s="17"/>
      <c r="Q183" s="17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7"/>
      <c r="O184" s="17"/>
      <c r="P184" s="17"/>
      <c r="Q184" s="17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7"/>
      <c r="O185" s="17"/>
      <c r="P185" s="17"/>
      <c r="Q185" s="17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7"/>
      <c r="O186" s="17"/>
      <c r="P186" s="17"/>
      <c r="Q186" s="17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7"/>
      <c r="O187" s="17"/>
      <c r="P187" s="17"/>
      <c r="Q187" s="17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7"/>
      <c r="O188" s="17"/>
      <c r="P188" s="17"/>
      <c r="Q188" s="17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7"/>
      <c r="O189" s="17"/>
      <c r="P189" s="17"/>
      <c r="Q189" s="17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7"/>
      <c r="O190" s="17"/>
      <c r="P190" s="17"/>
      <c r="Q190" s="17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7"/>
      <c r="O191" s="17"/>
      <c r="P191" s="17"/>
      <c r="Q191" s="17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7"/>
      <c r="O192" s="17"/>
      <c r="P192" s="17"/>
      <c r="Q192" s="17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7"/>
      <c r="O193" s="17"/>
      <c r="P193" s="17"/>
      <c r="Q193" s="17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7"/>
      <c r="O194" s="17"/>
      <c r="P194" s="17"/>
      <c r="Q194" s="17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7"/>
      <c r="O195" s="17"/>
      <c r="P195" s="17"/>
      <c r="Q195" s="17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7"/>
      <c r="O196" s="17"/>
      <c r="P196" s="17"/>
      <c r="Q196" s="17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7"/>
      <c r="O197" s="17"/>
      <c r="P197" s="17"/>
      <c r="Q197" s="17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7"/>
      <c r="O198" s="17"/>
      <c r="P198" s="17"/>
      <c r="Q198" s="17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7"/>
      <c r="O199" s="17"/>
      <c r="P199" s="17"/>
      <c r="Q199" s="17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7"/>
      <c r="O200" s="17"/>
      <c r="P200" s="17"/>
      <c r="Q200" s="17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7"/>
      <c r="O201" s="17"/>
      <c r="P201" s="17"/>
      <c r="Q201" s="17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7"/>
      <c r="O202" s="17"/>
      <c r="P202" s="17"/>
      <c r="Q202" s="17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7"/>
      <c r="O203" s="17"/>
      <c r="P203" s="17"/>
      <c r="Q203" s="17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7"/>
      <c r="O204" s="17"/>
      <c r="P204" s="17"/>
      <c r="Q204" s="17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7"/>
      <c r="O205" s="17"/>
      <c r="P205" s="17"/>
      <c r="Q205" s="17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7"/>
      <c r="O206" s="17"/>
      <c r="P206" s="17"/>
      <c r="Q206" s="17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7"/>
      <c r="O207" s="17"/>
      <c r="P207" s="17"/>
      <c r="Q207" s="17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7"/>
      <c r="O208" s="17"/>
      <c r="P208" s="17"/>
      <c r="Q208" s="17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7"/>
      <c r="O209" s="17"/>
      <c r="P209" s="17"/>
      <c r="Q209" s="1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7"/>
      <c r="O210" s="17"/>
      <c r="P210" s="17"/>
      <c r="Q210" s="1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7"/>
      <c r="O211" s="17"/>
      <c r="P211" s="17"/>
      <c r="Q211" s="1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7"/>
      <c r="O212" s="17"/>
      <c r="P212" s="17"/>
      <c r="Q212" s="1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7"/>
      <c r="O213" s="17"/>
      <c r="P213" s="17"/>
      <c r="Q213" s="1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7"/>
      <c r="O214" s="17"/>
      <c r="P214" s="17"/>
      <c r="Q214" s="1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7"/>
      <c r="O215" s="17"/>
      <c r="P215" s="17"/>
      <c r="Q215" s="1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7"/>
      <c r="O216" s="17"/>
      <c r="P216" s="17"/>
      <c r="Q216" s="1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7"/>
      <c r="O217" s="17"/>
      <c r="P217" s="17"/>
      <c r="Q217" s="1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7"/>
      <c r="O218" s="17"/>
      <c r="P218" s="17"/>
      <c r="Q218" s="1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7"/>
      <c r="O219" s="17"/>
      <c r="P219" s="17"/>
      <c r="Q219" s="1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7"/>
      <c r="O220" s="17"/>
      <c r="P220" s="17"/>
      <c r="Q220" s="1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7"/>
      <c r="O221" s="17"/>
      <c r="P221" s="17"/>
      <c r="Q221" s="1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7"/>
      <c r="O222" s="17"/>
      <c r="P222" s="17"/>
      <c r="Q222" s="1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7"/>
      <c r="O223" s="17"/>
      <c r="P223" s="17"/>
      <c r="Q223" s="1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7"/>
      <c r="O224" s="17"/>
      <c r="P224" s="17"/>
      <c r="Q224" s="1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7"/>
      <c r="O225" s="17"/>
      <c r="P225" s="17"/>
      <c r="Q225" s="1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7"/>
      <c r="O226" s="17"/>
      <c r="P226" s="17"/>
      <c r="Q226" s="1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7"/>
      <c r="O227" s="17"/>
      <c r="P227" s="17"/>
      <c r="Q227" s="1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7"/>
      <c r="O228" s="17"/>
      <c r="P228" s="17"/>
      <c r="Q228" s="1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7"/>
      <c r="O229" s="17"/>
      <c r="P229" s="17"/>
      <c r="Q229" s="1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7"/>
      <c r="O230" s="17"/>
      <c r="P230" s="17"/>
      <c r="Q230" s="1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3">
    <mergeCell ref="A1:Q1"/>
    <mergeCell ref="A2:Q2"/>
    <mergeCell ref="C28:Q2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U26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59" t="s">
        <v>624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60" t="s">
        <v>625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  <c r="M5" s="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  <c r="O6" s="17"/>
      <c r="P6" s="17"/>
      <c r="Q6" s="17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70</v>
      </c>
      <c r="B7" s="1" t="s">
        <v>58</v>
      </c>
      <c r="C7" s="12">
        <v>99.339996337890625</v>
      </c>
      <c r="D7" s="12">
        <v>87.120002746582031</v>
      </c>
      <c r="E7" s="12">
        <v>173</v>
      </c>
      <c r="F7" s="12">
        <v>266.79000854492188</v>
      </c>
      <c r="G7" s="12">
        <v>229.55000305175781</v>
      </c>
      <c r="H7" s="12">
        <v>585.3900146484375</v>
      </c>
      <c r="I7" s="12">
        <v>891.5</v>
      </c>
      <c r="J7" s="12">
        <v>762.82000732421875</v>
      </c>
      <c r="K7" s="12">
        <v>1100.489990234375</v>
      </c>
      <c r="L7" s="12">
        <v>1621.8399658203125</v>
      </c>
      <c r="M7" s="12">
        <v>1114.699951171875</v>
      </c>
      <c r="N7" s="31">
        <f>Assumptions!C55</f>
        <v>1981.5</v>
      </c>
      <c r="O7" s="31">
        <f>Assumptions!D55</f>
        <v>1981.5</v>
      </c>
      <c r="P7" s="31">
        <f>Assumptions!E55</f>
        <v>1981.5</v>
      </c>
      <c r="Q7" s="31">
        <f>Assumptions!F55</f>
        <v>1981.5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221</v>
      </c>
      <c r="B8" s="1" t="s">
        <v>222</v>
      </c>
      <c r="C8" s="22">
        <f>'Annual P&amp;L'!C33</f>
        <v>307.31402568605932</v>
      </c>
      <c r="D8" s="22">
        <f>'Annual P&amp;L'!D33</f>
        <v>307.1726848440187</v>
      </c>
      <c r="E8" s="22">
        <f>'Annual P&amp;L'!E33</f>
        <v>308.99867666519623</v>
      </c>
      <c r="F8" s="22">
        <f>'Annual P&amp;L'!F33</f>
        <v>311.52479530356862</v>
      </c>
      <c r="G8" s="22">
        <f>'Annual P&amp;L'!G33</f>
        <v>312.80822882908274</v>
      </c>
      <c r="H8" s="22">
        <f>'Annual P&amp;L'!H33</f>
        <v>310.82003001773774</v>
      </c>
      <c r="I8" s="22">
        <f>'Annual P&amp;L'!I33</f>
        <v>310.59894855426211</v>
      </c>
      <c r="J8" s="22">
        <f>'Annual P&amp;L'!J33</f>
        <v>311.03738904330675</v>
      </c>
      <c r="K8" s="22">
        <f>'Annual P&amp;L'!K33</f>
        <v>311.75245003472492</v>
      </c>
      <c r="L8" s="22">
        <f>'Annual P&amp;L'!L33</f>
        <v>332.6915198689062</v>
      </c>
      <c r="M8" s="22">
        <f>'Annual P&amp;L'!M33</f>
        <v>338.93246187363837</v>
      </c>
      <c r="N8" s="26">
        <f>'Annual P&amp;L'!N33</f>
        <v>425</v>
      </c>
      <c r="O8" s="26">
        <f>'Annual P&amp;L'!O33</f>
        <v>425</v>
      </c>
      <c r="P8" s="26">
        <f>'Annual P&amp;L'!P33</f>
        <v>425</v>
      </c>
      <c r="Q8" s="26">
        <f>'Annual P&amp;L'!Q33</f>
        <v>425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626</v>
      </c>
      <c r="B9" s="1" t="s">
        <v>46</v>
      </c>
      <c r="C9" s="18">
        <f t="shared" ref="C9:Q9" si="0">IF(C7="","",C7*C8)</f>
        <v>30528.574186235557</v>
      </c>
      <c r="D9" s="18">
        <f t="shared" si="0"/>
        <v>26760.885147285888</v>
      </c>
      <c r="E9" s="18">
        <f t="shared" si="0"/>
        <v>53456.771063078944</v>
      </c>
      <c r="F9" s="18">
        <f t="shared" si="0"/>
        <v>83111.702800994113</v>
      </c>
      <c r="G9" s="18">
        <f t="shared" si="0"/>
        <v>71805.129882330904</v>
      </c>
      <c r="H9" s="18">
        <f t="shared" si="0"/>
        <v>181950.94192511128</v>
      </c>
      <c r="I9" s="18">
        <f t="shared" si="0"/>
        <v>276898.96263612469</v>
      </c>
      <c r="J9" s="18">
        <f t="shared" si="0"/>
        <v>237265.54338812112</v>
      </c>
      <c r="K9" s="18">
        <f t="shared" si="0"/>
        <v>343080.45069425693</v>
      </c>
      <c r="L9" s="18">
        <f t="shared" si="0"/>
        <v>539572.40321289469</v>
      </c>
      <c r="M9" s="18">
        <f t="shared" si="0"/>
        <v>377807.9987011081</v>
      </c>
      <c r="N9" s="25">
        <f t="shared" si="0"/>
        <v>842137.5</v>
      </c>
      <c r="O9" s="25">
        <f t="shared" si="0"/>
        <v>842137.5</v>
      </c>
      <c r="P9" s="25">
        <f t="shared" si="0"/>
        <v>842137.5</v>
      </c>
      <c r="Q9" s="25">
        <f t="shared" si="0"/>
        <v>842137.5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627</v>
      </c>
      <c r="B10" s="1" t="s">
        <v>46</v>
      </c>
      <c r="C10" s="18">
        <f>SUM('Annual Balance Sheet'!C21,'Annual Balance Sheet'!C23)</f>
        <v>3361.9516739999999</v>
      </c>
      <c r="D10" s="18">
        <f>SUM('Annual Balance Sheet'!D21,'Annual Balance Sheet'!D23)</f>
        <v>4075</v>
      </c>
      <c r="E10" s="18">
        <f>SUM('Annual Balance Sheet'!E21,'Annual Balance Sheet'!E23)</f>
        <v>4183</v>
      </c>
      <c r="F10" s="18">
        <f>SUM('Annual Balance Sheet'!F21,'Annual Balance Sheet'!F23)</f>
        <v>5576</v>
      </c>
      <c r="G10" s="18">
        <f>SUM('Annual Balance Sheet'!G21,'Annual Balance Sheet'!G23)</f>
        <v>9034</v>
      </c>
      <c r="H10" s="18">
        <f>SUM('Annual Balance Sheet'!H21,'Annual Balance Sheet'!H23)</f>
        <v>8122</v>
      </c>
      <c r="I10" s="18">
        <f>SUM('Annual Balance Sheet'!I21,'Annual Balance Sheet'!I23)</f>
        <v>4535</v>
      </c>
      <c r="J10" s="18">
        <f>SUM('Annual Balance Sheet'!J21,'Annual Balance Sheet'!J23)</f>
        <v>5787</v>
      </c>
      <c r="K10" s="18">
        <f>SUM('Annual Balance Sheet'!K21,'Annual Balance Sheet'!K23)</f>
        <v>3352</v>
      </c>
      <c r="L10" s="18">
        <f>SUM('Annual Balance Sheet'!L21,'Annual Balance Sheet'!L23)</f>
        <v>8832</v>
      </c>
      <c r="M10" s="18">
        <f>SUM('Annual Balance Sheet'!M21,'Annual Balance Sheet'!M23)</f>
        <v>10992</v>
      </c>
      <c r="N10" s="25">
        <f>SUM('Annual Balance Sheet'!N21,'Annual Balance Sheet'!N23)</f>
        <v>13436.218905427551</v>
      </c>
      <c r="O10" s="25">
        <f>SUM('Annual Balance Sheet'!O21,'Annual Balance Sheet'!O23)</f>
        <v>8327.861789081715</v>
      </c>
      <c r="P10" s="25">
        <f>SUM('Annual Balance Sheet'!P21,'Annual Balance Sheet'!P23)</f>
        <v>3716.7486665003271</v>
      </c>
      <c r="Q10" s="25">
        <f>SUM('Annual Balance Sheet'!Q21,'Annual Balance Sheet'!Q23)</f>
        <v>29969.931113009337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628</v>
      </c>
      <c r="B11" s="1" t="s">
        <v>46</v>
      </c>
      <c r="C11" s="18">
        <f>SUM('Annual Balance Sheet'!C35,'Annual Balance Sheet'!C36,'Annual Balance Sheet'!C42,'Annual Balance Sheet'!C43)</f>
        <v>63.791705999999998</v>
      </c>
      <c r="D11" s="18">
        <f>SUM('Annual Balance Sheet'!D35,'Annual Balance Sheet'!D36,'Annual Balance Sheet'!D42,'Annual Balance Sheet'!D43)</f>
        <v>74</v>
      </c>
      <c r="E11" s="18">
        <f>SUM('Annual Balance Sheet'!E35,'Annual Balance Sheet'!E36,'Annual Balance Sheet'!E42,'Annual Balance Sheet'!E43)</f>
        <v>179</v>
      </c>
      <c r="F11" s="18">
        <f>SUM('Annual Balance Sheet'!F35,'Annual Balance Sheet'!F36,'Annual Balance Sheet'!F42,'Annual Balance Sheet'!F43)</f>
        <v>100</v>
      </c>
      <c r="G11" s="18">
        <f>SUM('Annual Balance Sheet'!G35,'Annual Balance Sheet'!G36,'Annual Balance Sheet'!G42,'Annual Balance Sheet'!G43)</f>
        <v>48</v>
      </c>
      <c r="H11" s="18">
        <f>SUM('Annual Balance Sheet'!H35,'Annual Balance Sheet'!H36,'Annual Balance Sheet'!H42,'Annual Balance Sheet'!H43)</f>
        <v>5</v>
      </c>
      <c r="I11" s="18">
        <f>SUM('Annual Balance Sheet'!I35,'Annual Balance Sheet'!I36,'Annual Balance Sheet'!I42,'Annual Balance Sheet'!I43)</f>
        <v>3545</v>
      </c>
      <c r="J11" s="18">
        <f>SUM('Annual Balance Sheet'!J35,'Annual Balance Sheet'!J36,'Annual Balance Sheet'!J42,'Annual Balance Sheet'!J43)</f>
        <v>3395</v>
      </c>
      <c r="K11" s="18">
        <f>SUM('Annual Balance Sheet'!K35,'Annual Balance Sheet'!K36,'Annual Balance Sheet'!K42,'Annual Balance Sheet'!K43)</f>
        <v>6306</v>
      </c>
      <c r="L11" s="18">
        <f>SUM('Annual Balance Sheet'!L35,'Annual Balance Sheet'!L36,'Annual Balance Sheet'!L42,'Annual Balance Sheet'!L43)</f>
        <v>10704</v>
      </c>
      <c r="M11" s="18">
        <f>SUM('Annual Balance Sheet'!M35,'Annual Balance Sheet'!M36,'Annual Balance Sheet'!M42,'Annual Balance Sheet'!M43)</f>
        <v>7278</v>
      </c>
      <c r="N11" s="25">
        <f>SUM('Annual Balance Sheet'!N35,'Annual Balance Sheet'!N36,'Annual Balance Sheet'!N42,'Annual Balance Sheet'!N43)</f>
        <v>50177.868870129998</v>
      </c>
      <c r="O11" s="25">
        <f>SUM('Annual Balance Sheet'!O35,'Annual Balance Sheet'!O36,'Annual Balance Sheet'!O42,'Annual Balance Sheet'!O43)</f>
        <v>30207.581455298347</v>
      </c>
      <c r="P11" s="25">
        <f>SUM('Annual Balance Sheet'!P35,'Annual Balance Sheet'!P36,'Annual Balance Sheet'!P42,'Annual Balance Sheet'!P43)</f>
        <v>5266.2665517345231</v>
      </c>
      <c r="Q11" s="25">
        <f>SUM('Annual Balance Sheet'!Q35,'Annual Balance Sheet'!Q36,'Annual Balance Sheet'!Q42,'Annual Balance Sheet'!Q43)</f>
        <v>6235.2075251175565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629</v>
      </c>
      <c r="B12" s="1" t="s">
        <v>46</v>
      </c>
      <c r="C12" s="18">
        <f t="shared" ref="C12:Q12" si="1">IF(C9="","",C9-C10+C11)</f>
        <v>27230.414218235557</v>
      </c>
      <c r="D12" s="18">
        <f t="shared" si="1"/>
        <v>22759.885147285888</v>
      </c>
      <c r="E12" s="18">
        <f t="shared" si="1"/>
        <v>49452.771063078944</v>
      </c>
      <c r="F12" s="18">
        <f t="shared" si="1"/>
        <v>77635.702800994113</v>
      </c>
      <c r="G12" s="18">
        <f t="shared" si="1"/>
        <v>62819.129882330904</v>
      </c>
      <c r="H12" s="18">
        <f t="shared" si="1"/>
        <v>173833.94192511128</v>
      </c>
      <c r="I12" s="18">
        <f t="shared" si="1"/>
        <v>275908.96263612469</v>
      </c>
      <c r="J12" s="18">
        <f t="shared" si="1"/>
        <v>234873.54338812112</v>
      </c>
      <c r="K12" s="18">
        <f t="shared" si="1"/>
        <v>346034.45069425693</v>
      </c>
      <c r="L12" s="18">
        <f t="shared" si="1"/>
        <v>541444.40321289469</v>
      </c>
      <c r="M12" s="18">
        <f t="shared" si="1"/>
        <v>374093.9987011081</v>
      </c>
      <c r="N12" s="25">
        <f t="shared" si="1"/>
        <v>878879.14996470255</v>
      </c>
      <c r="O12" s="25">
        <f t="shared" si="1"/>
        <v>864017.21966621664</v>
      </c>
      <c r="P12" s="25">
        <f t="shared" si="1"/>
        <v>843687.01788523421</v>
      </c>
      <c r="Q12" s="25">
        <f t="shared" si="1"/>
        <v>818402.77641210821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57</v>
      </c>
      <c r="B13" s="1" t="s">
        <v>58</v>
      </c>
      <c r="C13" s="20">
        <f>'Annual P&amp;L'!C35</f>
        <v>9.11</v>
      </c>
      <c r="D13" s="20">
        <f>'Annual P&amp;L'!D35</f>
        <v>8.1419999999999995</v>
      </c>
      <c r="E13" s="20">
        <f>'Annual P&amp;L'!E35</f>
        <v>9.0680000000000014</v>
      </c>
      <c r="F13" s="20">
        <f>'Annual P&amp;L'!F35</f>
        <v>12.946000000000002</v>
      </c>
      <c r="G13" s="20">
        <f>'Annual P&amp;L'!G35</f>
        <v>14.193999999999999</v>
      </c>
      <c r="H13" s="20">
        <f>'Annual P&amp;L'!H35</f>
        <v>14.658000000000001</v>
      </c>
      <c r="I13" s="20">
        <f>'Annual P&amp;L'!I35</f>
        <v>21.303999999999998</v>
      </c>
      <c r="J13" s="20">
        <f>'Annual P&amp;L'!J35</f>
        <v>22.306000000000001</v>
      </c>
      <c r="K13" s="20">
        <f>'Annual P&amp;L'!K35</f>
        <v>25.917999999999999</v>
      </c>
      <c r="L13" s="20">
        <f>'Annual P&amp;L'!L35</f>
        <v>24.41</v>
      </c>
      <c r="M13" s="20">
        <f>'Annual P&amp;L'!M35</f>
        <v>45.9</v>
      </c>
      <c r="N13" s="31">
        <f>'Annual P&amp;L'!N35</f>
        <v>57.421286955087169</v>
      </c>
      <c r="O13" s="31">
        <f>'Annual P&amp;L'!O35</f>
        <v>81.120718211984155</v>
      </c>
      <c r="P13" s="31">
        <f>'Annual P&amp;L'!P35</f>
        <v>111.06751767688905</v>
      </c>
      <c r="Q13" s="31">
        <f>'Annual P&amp;L'!Q35</f>
        <v>145.2574187318952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71</v>
      </c>
      <c r="B14" s="1" t="s">
        <v>72</v>
      </c>
      <c r="C14" s="32">
        <f t="shared" ref="C14:Q14" si="2">IFERROR(C7/C13,"")</f>
        <v>10.904500146859565</v>
      </c>
      <c r="D14" s="32">
        <f t="shared" si="2"/>
        <v>10.700074029302632</v>
      </c>
      <c r="E14" s="32">
        <f t="shared" si="2"/>
        <v>19.07807675341861</v>
      </c>
      <c r="F14" s="32">
        <f t="shared" si="2"/>
        <v>20.607910439125742</v>
      </c>
      <c r="G14" s="32">
        <f t="shared" si="2"/>
        <v>16.172326550074526</v>
      </c>
      <c r="H14" s="32">
        <f t="shared" si="2"/>
        <v>39.936554417276398</v>
      </c>
      <c r="I14" s="32">
        <f t="shared" si="2"/>
        <v>41.846601577168613</v>
      </c>
      <c r="J14" s="32">
        <f t="shared" si="2"/>
        <v>34.197973967731492</v>
      </c>
      <c r="K14" s="32">
        <f t="shared" si="2"/>
        <v>42.460451818596148</v>
      </c>
      <c r="L14" s="32">
        <f t="shared" si="2"/>
        <v>66.44162088571538</v>
      </c>
      <c r="M14" s="32">
        <f t="shared" si="2"/>
        <v>24.28540198631536</v>
      </c>
      <c r="N14" s="33">
        <f t="shared" si="2"/>
        <v>34.508108492062476</v>
      </c>
      <c r="O14" s="33">
        <f t="shared" si="2"/>
        <v>24.426558882552747</v>
      </c>
      <c r="P14" s="33">
        <f t="shared" si="2"/>
        <v>17.840499557795653</v>
      </c>
      <c r="Q14" s="33">
        <f t="shared" si="2"/>
        <v>13.641299819992657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54</v>
      </c>
      <c r="B15" s="1" t="s">
        <v>46</v>
      </c>
      <c r="C15" s="18">
        <f>'Annual P&amp;L'!C16</f>
        <v>4841.721881999998</v>
      </c>
      <c r="D15" s="18">
        <f>'Annual P&amp;L'!D16</f>
        <v>4794</v>
      </c>
      <c r="E15" s="18">
        <f>'Annual P&amp;L'!E16</f>
        <v>5013</v>
      </c>
      <c r="F15" s="18">
        <f>'Annual P&amp;L'!F16</f>
        <v>6485</v>
      </c>
      <c r="G15" s="18">
        <f>'Annual P&amp;L'!G16</f>
        <v>7233</v>
      </c>
      <c r="H15" s="18">
        <f>'Annual P&amp;L'!H16</f>
        <v>7795</v>
      </c>
      <c r="I15" s="18">
        <f>'Annual P&amp;L'!I16</f>
        <v>11019</v>
      </c>
      <c r="J15" s="18">
        <f>'Annual P&amp;L'!J16</f>
        <v>12807</v>
      </c>
      <c r="K15" s="18">
        <f>'Annual P&amp;L'!K16</f>
        <v>16155.039999999999</v>
      </c>
      <c r="L15" s="18">
        <f>'Annual P&amp;L'!L16</f>
        <v>17264.819</v>
      </c>
      <c r="M15" s="18">
        <f>'Annual P&amp;L'!M16</f>
        <v>30509.022000000001</v>
      </c>
      <c r="N15" s="25">
        <f>'Annual P&amp;L'!N16</f>
        <v>45476.231031174</v>
      </c>
      <c r="O15" s="25">
        <f>'Annual P&amp;L'!O16</f>
        <v>60530.207871274884</v>
      </c>
      <c r="P15" s="25">
        <f>'Annual P&amp;L'!P16</f>
        <v>78358.611515056327</v>
      </c>
      <c r="Q15" s="25">
        <f>'Annual P&amp;L'!Q16</f>
        <v>99191.030331143207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73</v>
      </c>
      <c r="B16" s="1" t="s">
        <v>72</v>
      </c>
      <c r="C16" s="32">
        <f t="shared" ref="C16:Q16" si="3">IFERROR(C12/C15,"")</f>
        <v>5.624117799799631</v>
      </c>
      <c r="D16" s="32">
        <f t="shared" si="3"/>
        <v>4.7475772105310572</v>
      </c>
      <c r="E16" s="32">
        <f t="shared" si="3"/>
        <v>9.8649054584238876</v>
      </c>
      <c r="F16" s="32">
        <f t="shared" si="3"/>
        <v>11.971581002466325</v>
      </c>
      <c r="G16" s="32">
        <f t="shared" si="3"/>
        <v>8.6850725677216793</v>
      </c>
      <c r="H16" s="32">
        <f t="shared" si="3"/>
        <v>22.30069813022595</v>
      </c>
      <c r="I16" s="32">
        <f t="shared" si="3"/>
        <v>25.039383123343743</v>
      </c>
      <c r="J16" s="32">
        <f t="shared" si="3"/>
        <v>18.339466181628886</v>
      </c>
      <c r="K16" s="32">
        <f t="shared" si="3"/>
        <v>21.41959727083665</v>
      </c>
      <c r="L16" s="32">
        <f t="shared" si="3"/>
        <v>31.361139853994107</v>
      </c>
      <c r="M16" s="32">
        <f t="shared" si="3"/>
        <v>12.261749940758772</v>
      </c>
      <c r="N16" s="33">
        <f t="shared" si="3"/>
        <v>19.326121141442659</v>
      </c>
      <c r="O16" s="33">
        <f t="shared" si="3"/>
        <v>14.274149223205349</v>
      </c>
      <c r="P16" s="33">
        <f t="shared" si="3"/>
        <v>10.766998056405361</v>
      </c>
      <c r="Q16" s="33">
        <f t="shared" si="3"/>
        <v>8.2507740234164366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461</v>
      </c>
      <c r="B17" s="1" t="s">
        <v>58</v>
      </c>
      <c r="C17" s="20">
        <f>'Annual P&amp;L'!C37</f>
        <v>2.3939725537707637</v>
      </c>
      <c r="D17" s="20">
        <f>'Annual P&amp;L'!D37</f>
        <v>0</v>
      </c>
      <c r="E17" s="20">
        <f>'Annual P&amp;L'!E37</f>
        <v>1.9965160599571736</v>
      </c>
      <c r="F17" s="20">
        <f>'Annual P&amp;L'!F37</f>
        <v>0</v>
      </c>
      <c r="G17" s="20">
        <f>'Annual P&amp;L'!G37</f>
        <v>0</v>
      </c>
      <c r="H17" s="20">
        <f>'Annual P&amp;L'!H37</f>
        <v>2.2489236172080775</v>
      </c>
      <c r="I17" s="20">
        <f>'Annual P&amp;L'!I37</f>
        <v>10.386309203566571</v>
      </c>
      <c r="J17" s="20">
        <f>'Annual P&amp;L'!J37</f>
        <v>11.590175266647448</v>
      </c>
      <c r="K17" s="20">
        <f>'Annual P&amp;L'!K37</f>
        <v>15.188015841584161</v>
      </c>
      <c r="L17" s="20">
        <f>'Annual P&amp;L'!L37</f>
        <v>15.073217584041375</v>
      </c>
      <c r="M17" s="20">
        <f>'Annual P&amp;L'!M37</f>
        <v>15.752643825930448</v>
      </c>
      <c r="N17" s="31">
        <f>'Annual P&amp;L'!N37</f>
        <v>20.198442647518096</v>
      </c>
      <c r="O17" s="31">
        <f>'Annual P&amp;L'!O37</f>
        <v>30.165493204456418</v>
      </c>
      <c r="P17" s="31">
        <f>'Annual P&amp;L'!P37</f>
        <v>43.534001903504247</v>
      </c>
      <c r="Q17" s="31">
        <f>'Annual P&amp;L'!Q37</f>
        <v>58.394942203776964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630</v>
      </c>
      <c r="B18" s="1" t="s">
        <v>48</v>
      </c>
      <c r="C18" s="19">
        <f t="shared" ref="C18:Q18" si="4">IFERROR(C17/C7,"")</f>
        <v>2.4098778357390032E-2</v>
      </c>
      <c r="D18" s="19">
        <f t="shared" si="4"/>
        <v>0</v>
      </c>
      <c r="E18" s="19">
        <f t="shared" si="4"/>
        <v>1.1540555259868055E-2</v>
      </c>
      <c r="F18" s="19">
        <f t="shared" si="4"/>
        <v>0</v>
      </c>
      <c r="G18" s="19">
        <f t="shared" si="4"/>
        <v>0</v>
      </c>
      <c r="H18" s="19">
        <f t="shared" si="4"/>
        <v>3.841752610964322E-3</v>
      </c>
      <c r="I18" s="19">
        <f t="shared" si="4"/>
        <v>1.1650374877808829E-2</v>
      </c>
      <c r="J18" s="19">
        <f t="shared" si="4"/>
        <v>1.5193853275168904E-2</v>
      </c>
      <c r="K18" s="19">
        <f t="shared" si="4"/>
        <v>1.3801139470927417E-2</v>
      </c>
      <c r="L18" s="19">
        <f t="shared" si="4"/>
        <v>9.2938994609233667E-3</v>
      </c>
      <c r="M18" s="19">
        <f t="shared" si="4"/>
        <v>1.4131734561726518E-2</v>
      </c>
      <c r="N18" s="24">
        <f t="shared" si="4"/>
        <v>1.0193511303314709E-2</v>
      </c>
      <c r="O18" s="24">
        <f t="shared" si="4"/>
        <v>1.522356457454273E-2</v>
      </c>
      <c r="P18" s="24">
        <f t="shared" si="4"/>
        <v>2.1970225537978425E-2</v>
      </c>
      <c r="Q18" s="24">
        <f t="shared" si="4"/>
        <v>2.9470069242380503E-2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224</v>
      </c>
      <c r="B19" s="1" t="s">
        <v>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33">
        <f>Assumptions!C48</f>
        <v>39</v>
      </c>
      <c r="O19" s="33">
        <f>Assumptions!D48</f>
        <v>36</v>
      </c>
      <c r="P19" s="33">
        <f>Assumptions!E48</f>
        <v>33</v>
      </c>
      <c r="Q19" s="33">
        <f>Assumptions!F48</f>
        <v>31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631</v>
      </c>
      <c r="B20" s="1" t="s">
        <v>58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31">
        <f>N13*N19</f>
        <v>2239.4301912483998</v>
      </c>
      <c r="O20" s="31">
        <f>O13*O19</f>
        <v>2920.3458556314295</v>
      </c>
      <c r="P20" s="31">
        <f>P13*P19</f>
        <v>3665.2280833373388</v>
      </c>
      <c r="Q20" s="31">
        <f>Q13*Q19</f>
        <v>4502.9799806887513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226</v>
      </c>
      <c r="B21" s="1" t="s">
        <v>72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33">
        <f>Assumptions!C49</f>
        <v>22</v>
      </c>
      <c r="O21" s="33">
        <f>Assumptions!D49</f>
        <v>20</v>
      </c>
      <c r="P21" s="33">
        <f>Assumptions!E49</f>
        <v>18.5</v>
      </c>
      <c r="Q21" s="33">
        <f>Assumptions!F49</f>
        <v>17.5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632</v>
      </c>
      <c r="B22" s="1" t="s">
        <v>58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31">
        <f>(N15*N21+N10-N11)/N8</f>
        <v>2267.6127828732365</v>
      </c>
      <c r="O22" s="31">
        <f>(O15*O21+O10-O11)/O8</f>
        <v>2796.9986770806613</v>
      </c>
      <c r="P22" s="31">
        <f>(P15*P21+P10-P11)/P8</f>
        <v>3407.258341513666</v>
      </c>
      <c r="Q22" s="31">
        <f>(Q15*Q21+Q10-Q11)/Q8</f>
        <v>4140.1829514891715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633</v>
      </c>
      <c r="B23" s="1" t="s">
        <v>46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7"/>
      <c r="O23" s="17"/>
      <c r="P23" s="17"/>
      <c r="Q23" s="17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228</v>
      </c>
      <c r="B24" s="1" t="s">
        <v>48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5">
        <f>'Annual P&amp;L'!N19*(1-'Annual P&amp;L'!N27)+'Annual P&amp;L'!N18+'Annual Cash Flow'!N21</f>
        <v>30404.952414288993</v>
      </c>
      <c r="O24" s="25">
        <f>'Annual P&amp;L'!O19*(1-'Annual P&amp;L'!O27)+'Annual P&amp;L'!O18+'Annual Cash Flow'!O21</f>
        <v>39374.018712382691</v>
      </c>
      <c r="P24" s="25">
        <f>'Annual P&amp;L'!P19*(1-'Annual P&amp;L'!P27)+'Annual P&amp;L'!P18+'Annual Cash Flow'!P21</f>
        <v>51653.848864288309</v>
      </c>
      <c r="Q24" s="25">
        <f>'Annual P&amp;L'!Q19*(1-'Annual P&amp;L'!Q27)+'Annual P&amp;L'!Q18+'Annual Cash Flow'!Q21</f>
        <v>65251.242303090745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230</v>
      </c>
      <c r="B25" s="1" t="s">
        <v>48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4">
        <f>Assumptions!C50</f>
        <v>0.105</v>
      </c>
      <c r="O25" s="24">
        <f>Assumptions!D50</f>
        <v>0.105</v>
      </c>
      <c r="P25" s="24">
        <f>Assumptions!E50</f>
        <v>0.105</v>
      </c>
      <c r="Q25" s="24">
        <f>Assumptions!F50</f>
        <v>0.105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634</v>
      </c>
      <c r="B26" s="1" t="s">
        <v>46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4">
        <f>Assumptions!C51</f>
        <v>5.5E-2</v>
      </c>
      <c r="O26" s="24">
        <f>Assumptions!D51</f>
        <v>5.5E-2</v>
      </c>
      <c r="P26" s="24">
        <f>Assumptions!E51</f>
        <v>5.5E-2</v>
      </c>
      <c r="Q26" s="24">
        <f>Assumptions!F51</f>
        <v>5.5E-2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635</v>
      </c>
      <c r="B27" s="1" t="s">
        <v>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5">
        <f>SUMPRODUCT(N24:$Q$24,1/(1+N25)^(COLUMN(N24:$Q$24)-COLUMN(N24)+1))+$Q$24*(1+$Q$26)/($Q$25-$Q$26)/(1+$Q$25)^(COLUMN($Q$24)-COLUMN(N24)+1)</f>
        <v>1065281.2317112056</v>
      </c>
      <c r="O27" s="25">
        <f>SUMPRODUCT(O24:$Q$24,1/(1+O25)^(COLUMN(O24:$Q$24)-COLUMN(O24)+1))+$Q$24*(1+$Q$26)/($Q$25-$Q$26)/(1+$Q$25)^(COLUMN($Q$24)-COLUMN(O24)+1)</f>
        <v>1146730.8086265933</v>
      </c>
      <c r="P27" s="25">
        <f>SUMPRODUCT(P24:$Q$24,1/(1+P25)^(COLUMN(P24:$Q$24)-COLUMN(P24)+1))+$Q$24*(1+$Q$26)/($Q$25-$Q$26)/(1+$Q$25)^(COLUMN($Q$24)-COLUMN(P24)+1)</f>
        <v>1227763.524820003</v>
      </c>
      <c r="Q27" s="25">
        <f>SUMPRODUCT(Q24:$Q$24,1/(1+Q25)^(COLUMN(Q24:$Q$24)-COLUMN(Q24)+1))+$Q$24*(1+$Q$26)/($Q$25-$Q$26)/(1+$Q$25)^(COLUMN($Q$24)-COLUMN(Q24)+1)</f>
        <v>1305024.8460618148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636</v>
      </c>
      <c r="B28" s="1" t="s">
        <v>48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31">
        <f>(N27+N10-N11)/N8</f>
        <v>2420.0931335211835</v>
      </c>
      <c r="O28" s="31">
        <f>(O27+O10-O11)/O8</f>
        <v>2646.7084446126514</v>
      </c>
      <c r="P28" s="31">
        <f>(P27+P10-P11)/P8</f>
        <v>2885.2094280818092</v>
      </c>
      <c r="Q28" s="31">
        <f>(Q27+Q10-Q11)/Q8</f>
        <v>3126.4931050581331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637</v>
      </c>
      <c r="B29" s="1" t="s">
        <v>48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4">
        <f>Assumptions!C52</f>
        <v>0.4</v>
      </c>
      <c r="O29" s="24">
        <f>Assumptions!D52</f>
        <v>0.4</v>
      </c>
      <c r="P29" s="24">
        <f>Assumptions!E52</f>
        <v>0.4</v>
      </c>
      <c r="Q29" s="24">
        <f>Assumptions!F52</f>
        <v>0.4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638</v>
      </c>
      <c r="B30" s="1" t="s">
        <v>48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4">
        <f>Assumptions!C53</f>
        <v>0.3</v>
      </c>
      <c r="O30" s="24">
        <f>Assumptions!D53</f>
        <v>0.3</v>
      </c>
      <c r="P30" s="24">
        <f>Assumptions!E53</f>
        <v>0.3</v>
      </c>
      <c r="Q30" s="24">
        <f>Assumptions!F53</f>
        <v>0.3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74</v>
      </c>
      <c r="B31" s="1" t="s">
        <v>58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4">
        <f>Assumptions!C54</f>
        <v>0.3</v>
      </c>
      <c r="O31" s="24">
        <f>Assumptions!D54</f>
        <v>0.3</v>
      </c>
      <c r="P31" s="24">
        <f>Assumptions!E54</f>
        <v>0.3</v>
      </c>
      <c r="Q31" s="24">
        <f>Assumptions!F54</f>
        <v>0.3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75</v>
      </c>
      <c r="B32" s="1" t="s">
        <v>48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31">
        <f>SUMPRODUCT(N20,N29)+SUMPRODUCT(N22,N30)+SUMPRODUCT(N28,N31)</f>
        <v>2302.0838514176858</v>
      </c>
      <c r="O32" s="31">
        <f>SUMPRODUCT(O20,O29)+SUMPRODUCT(O22,O30)+SUMPRODUCT(O28,O31)</f>
        <v>2801.2504787605658</v>
      </c>
      <c r="P32" s="31">
        <f>SUMPRODUCT(P20,P29)+SUMPRODUCT(P22,P30)+SUMPRODUCT(P28,P31)</f>
        <v>3353.8315642135781</v>
      </c>
      <c r="Q32" s="31">
        <f>SUMPRODUCT(Q20,Q29)+SUMPRODUCT(Q22,Q30)+SUMPRODUCT(Q28,Q31)</f>
        <v>3981.1948092396919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639</v>
      </c>
      <c r="B33" s="1" t="s">
        <v>77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4">
        <f>IFERROR(N32/N7-1,"")</f>
        <v>0.16178846904753263</v>
      </c>
      <c r="O33" s="24">
        <f>IFERROR(O32/O7-1,"")</f>
        <v>0.41370198272044711</v>
      </c>
      <c r="P33" s="24">
        <f>IFERROR(P32/P7-1,"")</f>
        <v>0.69257207378934038</v>
      </c>
      <c r="Q33" s="24">
        <f>IFERROR(Q32/Q7-1,"")</f>
        <v>1.009182341276655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 t="str">
        <f>IF(N7="","ENTER PRICE",IF(N33&gt;=0.15,"OUTPERFORM",IF(N33&gt;=-0.05,"NEUTRAL","UNDERPERFORM")))</f>
        <v>OUTPERFORM</v>
      </c>
      <c r="O34" s="17" t="str">
        <f>IF(O7="","ENTER PRICE",IF(O33&gt;=0.15,"OUTPERFORM",IF(O33&gt;=-0.05,"NEUTRAL","UNDERPERFORM")))</f>
        <v>OUTPERFORM</v>
      </c>
      <c r="P34" s="17" t="str">
        <f>IF(P7="","ENTER PRICE",IF(P33&gt;=0.15,"OUTPERFORM",IF(P33&gt;=-0.05,"NEUTRAL","UNDERPERFORM")))</f>
        <v>OUTPERFORM</v>
      </c>
      <c r="Q34" s="17" t="str">
        <f>IF(Q7="","ENTER PRICE",IF(Q33&gt;=0.15,"OUTPERFORM",IF(Q33&gt;=-0.05,"NEUTRAL","UNDERPERFORM")))</f>
        <v>OUTPERFORM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  <c r="O35" s="17"/>
      <c r="P35" s="17"/>
      <c r="Q35" s="17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  <c r="O36" s="17"/>
      <c r="P36" s="17"/>
      <c r="Q36" s="1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  <c r="O37" s="17"/>
      <c r="P37" s="17"/>
      <c r="Q37" s="17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  <c r="O38" s="17"/>
      <c r="P38" s="17"/>
      <c r="Q38" s="17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  <c r="O39" s="17"/>
      <c r="P39" s="17"/>
      <c r="Q39" s="17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  <c r="O40" s="17"/>
      <c r="P40" s="17"/>
      <c r="Q40" s="1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  <c r="O41" s="17"/>
      <c r="P41" s="17"/>
      <c r="Q41" s="17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  <c r="O42" s="17"/>
      <c r="P42" s="17"/>
      <c r="Q42" s="17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  <c r="O43" s="17"/>
      <c r="P43" s="17"/>
      <c r="Q43" s="1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  <c r="O44" s="17"/>
      <c r="P44" s="17"/>
      <c r="Q44" s="1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  <c r="O45" s="17"/>
      <c r="P45" s="17"/>
      <c r="Q45" s="17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  <c r="O46" s="17"/>
      <c r="P46" s="17"/>
      <c r="Q46" s="17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  <c r="O47" s="17"/>
      <c r="P47" s="17"/>
      <c r="Q47" s="17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  <c r="O48" s="17"/>
      <c r="P48" s="17"/>
      <c r="Q48" s="17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  <c r="O49" s="17"/>
      <c r="P49" s="17"/>
      <c r="Q49" s="17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  <c r="O50" s="17"/>
      <c r="P50" s="17"/>
      <c r="Q50" s="17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  <c r="O51" s="17"/>
      <c r="P51" s="17"/>
      <c r="Q51" s="17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  <c r="O52" s="17"/>
      <c r="P52" s="17"/>
      <c r="Q52" s="1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  <c r="O53" s="17"/>
      <c r="P53" s="17"/>
      <c r="Q53" s="17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  <c r="O54" s="17"/>
      <c r="P54" s="17"/>
      <c r="Q54" s="17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  <c r="O55" s="17"/>
      <c r="P55" s="17"/>
      <c r="Q55" s="1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  <c r="O56" s="17"/>
      <c r="P56" s="17"/>
      <c r="Q56" s="1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  <c r="O57" s="17"/>
      <c r="P57" s="17"/>
      <c r="Q57" s="1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  <c r="O58" s="17"/>
      <c r="P58" s="17"/>
      <c r="Q58" s="1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  <c r="O60" s="17"/>
      <c r="P60" s="17"/>
      <c r="Q60" s="1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  <c r="O61" s="17"/>
      <c r="P61" s="17"/>
      <c r="Q61" s="1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  <c r="O62" s="17"/>
      <c r="P62" s="17"/>
      <c r="Q62" s="1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  <c r="O63" s="17"/>
      <c r="P63" s="17"/>
      <c r="Q63" s="1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7"/>
      <c r="O64" s="17"/>
      <c r="P64" s="17"/>
      <c r="Q64" s="1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7"/>
      <c r="O65" s="17"/>
      <c r="P65" s="17"/>
      <c r="Q65" s="1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7"/>
      <c r="O66" s="17"/>
      <c r="P66" s="17"/>
      <c r="Q66" s="1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7"/>
      <c r="O67" s="17"/>
      <c r="P67" s="17"/>
      <c r="Q67" s="1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7"/>
      <c r="O68" s="17"/>
      <c r="P68" s="17"/>
      <c r="Q68" s="1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7"/>
      <c r="O69" s="17"/>
      <c r="P69" s="17"/>
      <c r="Q69" s="17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7"/>
      <c r="O70" s="17"/>
      <c r="P70" s="17"/>
      <c r="Q70" s="1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7"/>
      <c r="O71" s="17"/>
      <c r="P71" s="17"/>
      <c r="Q71" s="17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7"/>
      <c r="O72" s="17"/>
      <c r="P72" s="17"/>
      <c r="Q72" s="17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7"/>
      <c r="O73" s="17"/>
      <c r="P73" s="17"/>
      <c r="Q73" s="17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7"/>
      <c r="O74" s="17"/>
      <c r="P74" s="17"/>
      <c r="Q74" s="1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7"/>
      <c r="O75" s="17"/>
      <c r="P75" s="17"/>
      <c r="Q75" s="17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7"/>
      <c r="O76" s="17"/>
      <c r="P76" s="17"/>
      <c r="Q76" s="17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7"/>
      <c r="O77" s="17"/>
      <c r="P77" s="17"/>
      <c r="Q77" s="17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7"/>
      <c r="O78" s="17"/>
      <c r="P78" s="17"/>
      <c r="Q78" s="17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7"/>
      <c r="O79" s="17"/>
      <c r="P79" s="17"/>
      <c r="Q79" s="17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7"/>
      <c r="O80" s="17"/>
      <c r="P80" s="17"/>
      <c r="Q80" s="17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7"/>
      <c r="O81" s="17"/>
      <c r="P81" s="17"/>
      <c r="Q81" s="17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7"/>
      <c r="O82" s="17"/>
      <c r="P82" s="17"/>
      <c r="Q82" s="17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7"/>
      <c r="O83" s="17"/>
      <c r="P83" s="17"/>
      <c r="Q83" s="17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7"/>
      <c r="O84" s="17"/>
      <c r="P84" s="17"/>
      <c r="Q84" s="17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7"/>
      <c r="O85" s="17"/>
      <c r="P85" s="17"/>
      <c r="Q85" s="17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7"/>
      <c r="O86" s="17"/>
      <c r="P86" s="17"/>
      <c r="Q86" s="17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7"/>
      <c r="O87" s="17"/>
      <c r="P87" s="17"/>
      <c r="Q87" s="17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7"/>
      <c r="O88" s="17"/>
      <c r="P88" s="17"/>
      <c r="Q88" s="17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7"/>
      <c r="O89" s="17"/>
      <c r="P89" s="17"/>
      <c r="Q89" s="17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7"/>
      <c r="O90" s="17"/>
      <c r="P90" s="17"/>
      <c r="Q90" s="1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7"/>
      <c r="O91" s="17"/>
      <c r="P91" s="17"/>
      <c r="Q91" s="17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7"/>
      <c r="O92" s="17"/>
      <c r="P92" s="17"/>
      <c r="Q92" s="17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7"/>
      <c r="O93" s="17"/>
      <c r="P93" s="17"/>
      <c r="Q93" s="17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7"/>
      <c r="O94" s="17"/>
      <c r="P94" s="17"/>
      <c r="Q94" s="17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7"/>
      <c r="O95" s="17"/>
      <c r="P95" s="17"/>
      <c r="Q95" s="17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7"/>
      <c r="O96" s="17"/>
      <c r="P96" s="17"/>
      <c r="Q96" s="17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7"/>
      <c r="O97" s="17"/>
      <c r="P97" s="17"/>
      <c r="Q97" s="17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7"/>
      <c r="O98" s="17"/>
      <c r="P98" s="17"/>
      <c r="Q98" s="17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7"/>
      <c r="O99" s="17"/>
      <c r="P99" s="17"/>
      <c r="Q99" s="17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7"/>
      <c r="O100" s="17"/>
      <c r="P100" s="17"/>
      <c r="Q100" s="17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7"/>
      <c r="O101" s="17"/>
      <c r="P101" s="17"/>
      <c r="Q101" s="17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7"/>
      <c r="O102" s="17"/>
      <c r="P102" s="17"/>
      <c r="Q102" s="17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7"/>
      <c r="O103" s="17"/>
      <c r="P103" s="17"/>
      <c r="Q103" s="17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7"/>
      <c r="O104" s="17"/>
      <c r="P104" s="17"/>
      <c r="Q104" s="17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7"/>
      <c r="O105" s="17"/>
      <c r="P105" s="17"/>
      <c r="Q105" s="17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7"/>
      <c r="O106" s="17"/>
      <c r="P106" s="17"/>
      <c r="Q106" s="17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7"/>
      <c r="O107" s="17"/>
      <c r="P107" s="17"/>
      <c r="Q107" s="17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7"/>
      <c r="O108" s="17"/>
      <c r="P108" s="17"/>
      <c r="Q108" s="17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7"/>
      <c r="O109" s="17"/>
      <c r="P109" s="17"/>
      <c r="Q109" s="17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7"/>
      <c r="O110" s="17"/>
      <c r="P110" s="17"/>
      <c r="Q110" s="17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7"/>
      <c r="O111" s="17"/>
      <c r="P111" s="17"/>
      <c r="Q111" s="17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7"/>
      <c r="O112" s="17"/>
      <c r="P112" s="17"/>
      <c r="Q112" s="17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7"/>
      <c r="O113" s="17"/>
      <c r="P113" s="17"/>
      <c r="Q113" s="17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7"/>
      <c r="O114" s="17"/>
      <c r="P114" s="17"/>
      <c r="Q114" s="17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7"/>
      <c r="O115" s="17"/>
      <c r="P115" s="17"/>
      <c r="Q115" s="17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7"/>
      <c r="O116" s="17"/>
      <c r="P116" s="17"/>
      <c r="Q116" s="17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7"/>
      <c r="O117" s="17"/>
      <c r="P117" s="17"/>
      <c r="Q117" s="17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7"/>
      <c r="O118" s="17"/>
      <c r="P118" s="17"/>
      <c r="Q118" s="17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7"/>
      <c r="O119" s="17"/>
      <c r="P119" s="17"/>
      <c r="Q119" s="17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7"/>
      <c r="O120" s="17"/>
      <c r="P120" s="17"/>
      <c r="Q120" s="17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7"/>
      <c r="O121" s="17"/>
      <c r="P121" s="17"/>
      <c r="Q121" s="17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7"/>
      <c r="O122" s="17"/>
      <c r="P122" s="17"/>
      <c r="Q122" s="17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7"/>
      <c r="O123" s="17"/>
      <c r="P123" s="17"/>
      <c r="Q123" s="17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7"/>
      <c r="O124" s="17"/>
      <c r="P124" s="17"/>
      <c r="Q124" s="17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7"/>
      <c r="O125" s="17"/>
      <c r="P125" s="17"/>
      <c r="Q125" s="17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7"/>
      <c r="O126" s="17"/>
      <c r="P126" s="17"/>
      <c r="Q126" s="17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7"/>
      <c r="O127" s="17"/>
      <c r="P127" s="17"/>
      <c r="Q127" s="17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7"/>
      <c r="O128" s="17"/>
      <c r="P128" s="17"/>
      <c r="Q128" s="17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7"/>
      <c r="O129" s="17"/>
      <c r="P129" s="17"/>
      <c r="Q129" s="17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7"/>
      <c r="O130" s="17"/>
      <c r="P130" s="17"/>
      <c r="Q130" s="17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7"/>
      <c r="O131" s="17"/>
      <c r="P131" s="17"/>
      <c r="Q131" s="17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7"/>
      <c r="O132" s="17"/>
      <c r="P132" s="17"/>
      <c r="Q132" s="17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7"/>
      <c r="O133" s="17"/>
      <c r="P133" s="17"/>
      <c r="Q133" s="17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7"/>
      <c r="O134" s="17"/>
      <c r="P134" s="17"/>
      <c r="Q134" s="17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7"/>
      <c r="O135" s="17"/>
      <c r="P135" s="17"/>
      <c r="Q135" s="17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7"/>
      <c r="O136" s="17"/>
      <c r="P136" s="17"/>
      <c r="Q136" s="17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7"/>
      <c r="O137" s="17"/>
      <c r="P137" s="17"/>
      <c r="Q137" s="17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7"/>
      <c r="O138" s="17"/>
      <c r="P138" s="17"/>
      <c r="Q138" s="17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7"/>
      <c r="O139" s="17"/>
      <c r="P139" s="17"/>
      <c r="Q139" s="17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7"/>
      <c r="O140" s="17"/>
      <c r="P140" s="17"/>
      <c r="Q140" s="17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7"/>
      <c r="O141" s="17"/>
      <c r="P141" s="17"/>
      <c r="Q141" s="17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7"/>
      <c r="O142" s="17"/>
      <c r="P142" s="17"/>
      <c r="Q142" s="17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7"/>
      <c r="O143" s="17"/>
      <c r="P143" s="17"/>
      <c r="Q143" s="17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7"/>
      <c r="O144" s="17"/>
      <c r="P144" s="17"/>
      <c r="Q144" s="17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7"/>
      <c r="O145" s="17"/>
      <c r="P145" s="17"/>
      <c r="Q145" s="17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7"/>
      <c r="O146" s="17"/>
      <c r="P146" s="17"/>
      <c r="Q146" s="17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7"/>
      <c r="O147" s="17"/>
      <c r="P147" s="17"/>
      <c r="Q147" s="17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7"/>
      <c r="O148" s="17"/>
      <c r="P148" s="17"/>
      <c r="Q148" s="17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7"/>
      <c r="O149" s="17"/>
      <c r="P149" s="17"/>
      <c r="Q149" s="17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7"/>
      <c r="O150" s="17"/>
      <c r="P150" s="17"/>
      <c r="Q150" s="17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7"/>
      <c r="O151" s="17"/>
      <c r="P151" s="17"/>
      <c r="Q151" s="17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7"/>
      <c r="O152" s="17"/>
      <c r="P152" s="17"/>
      <c r="Q152" s="17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7"/>
      <c r="O153" s="17"/>
      <c r="P153" s="17"/>
      <c r="Q153" s="17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7"/>
      <c r="O154" s="17"/>
      <c r="P154" s="17"/>
      <c r="Q154" s="17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7"/>
      <c r="O155" s="17"/>
      <c r="P155" s="17"/>
      <c r="Q155" s="17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7"/>
      <c r="O156" s="17"/>
      <c r="P156" s="17"/>
      <c r="Q156" s="17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7"/>
      <c r="O157" s="17"/>
      <c r="P157" s="17"/>
      <c r="Q157" s="17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7"/>
      <c r="O158" s="17"/>
      <c r="P158" s="17"/>
      <c r="Q158" s="17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7"/>
      <c r="O159" s="17"/>
      <c r="P159" s="17"/>
      <c r="Q159" s="17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7"/>
      <c r="O160" s="17"/>
      <c r="P160" s="17"/>
      <c r="Q160" s="17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7"/>
      <c r="O161" s="17"/>
      <c r="P161" s="17"/>
      <c r="Q161" s="17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7"/>
      <c r="O162" s="17"/>
      <c r="P162" s="17"/>
      <c r="Q162" s="17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7"/>
      <c r="O163" s="17"/>
      <c r="P163" s="17"/>
      <c r="Q163" s="17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7"/>
      <c r="O164" s="17"/>
      <c r="P164" s="17"/>
      <c r="Q164" s="17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7"/>
      <c r="O165" s="17"/>
      <c r="P165" s="17"/>
      <c r="Q165" s="17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7"/>
      <c r="O166" s="17"/>
      <c r="P166" s="17"/>
      <c r="Q166" s="17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7"/>
      <c r="O167" s="17"/>
      <c r="P167" s="17"/>
      <c r="Q167" s="17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7"/>
      <c r="O168" s="17"/>
      <c r="P168" s="17"/>
      <c r="Q168" s="17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7"/>
      <c r="O169" s="17"/>
      <c r="P169" s="17"/>
      <c r="Q169" s="17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7"/>
      <c r="O170" s="17"/>
      <c r="P170" s="17"/>
      <c r="Q170" s="17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7"/>
      <c r="O171" s="17"/>
      <c r="P171" s="17"/>
      <c r="Q171" s="17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7"/>
      <c r="O172" s="17"/>
      <c r="P172" s="17"/>
      <c r="Q172" s="17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7"/>
      <c r="O173" s="17"/>
      <c r="P173" s="17"/>
      <c r="Q173" s="17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7"/>
      <c r="O174" s="17"/>
      <c r="P174" s="17"/>
      <c r="Q174" s="17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7"/>
      <c r="O175" s="17"/>
      <c r="P175" s="17"/>
      <c r="Q175" s="17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7"/>
      <c r="O176" s="17"/>
      <c r="P176" s="17"/>
      <c r="Q176" s="17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7"/>
      <c r="O177" s="17"/>
      <c r="P177" s="17"/>
      <c r="Q177" s="17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7"/>
      <c r="O178" s="17"/>
      <c r="P178" s="17"/>
      <c r="Q178" s="17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7"/>
      <c r="O179" s="17"/>
      <c r="P179" s="17"/>
      <c r="Q179" s="17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7"/>
      <c r="O180" s="17"/>
      <c r="P180" s="17"/>
      <c r="Q180" s="17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7"/>
      <c r="O181" s="17"/>
      <c r="P181" s="17"/>
      <c r="Q181" s="17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7"/>
      <c r="O182" s="17"/>
      <c r="P182" s="17"/>
      <c r="Q182" s="17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7"/>
      <c r="O183" s="17"/>
      <c r="P183" s="17"/>
      <c r="Q183" s="17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7"/>
      <c r="O184" s="17"/>
      <c r="P184" s="17"/>
      <c r="Q184" s="17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7"/>
      <c r="O185" s="17"/>
      <c r="P185" s="17"/>
      <c r="Q185" s="17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7"/>
      <c r="O186" s="17"/>
      <c r="P186" s="17"/>
      <c r="Q186" s="17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7"/>
      <c r="O187" s="17"/>
      <c r="P187" s="17"/>
      <c r="Q187" s="17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7"/>
      <c r="O188" s="17"/>
      <c r="P188" s="17"/>
      <c r="Q188" s="17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7"/>
      <c r="O189" s="17"/>
      <c r="P189" s="17"/>
      <c r="Q189" s="17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7"/>
      <c r="O190" s="17"/>
      <c r="P190" s="17"/>
      <c r="Q190" s="17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7"/>
      <c r="O191" s="17"/>
      <c r="P191" s="17"/>
      <c r="Q191" s="17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7"/>
      <c r="O192" s="17"/>
      <c r="P192" s="17"/>
      <c r="Q192" s="17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7"/>
      <c r="O193" s="17"/>
      <c r="P193" s="17"/>
      <c r="Q193" s="17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7"/>
      <c r="O194" s="17"/>
      <c r="P194" s="17"/>
      <c r="Q194" s="17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7"/>
      <c r="O195" s="17"/>
      <c r="P195" s="17"/>
      <c r="Q195" s="17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7"/>
      <c r="O196" s="17"/>
      <c r="P196" s="17"/>
      <c r="Q196" s="17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7"/>
      <c r="O197" s="17"/>
      <c r="P197" s="17"/>
      <c r="Q197" s="17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7"/>
      <c r="O198" s="17"/>
      <c r="P198" s="17"/>
      <c r="Q198" s="17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7"/>
      <c r="O199" s="17"/>
      <c r="P199" s="17"/>
      <c r="Q199" s="17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7"/>
      <c r="O200" s="17"/>
      <c r="P200" s="17"/>
      <c r="Q200" s="17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7"/>
      <c r="O201" s="17"/>
      <c r="P201" s="17"/>
      <c r="Q201" s="17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7"/>
      <c r="O202" s="17"/>
      <c r="P202" s="17"/>
      <c r="Q202" s="17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7"/>
      <c r="O203" s="17"/>
      <c r="P203" s="17"/>
      <c r="Q203" s="17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7"/>
      <c r="O204" s="17"/>
      <c r="P204" s="17"/>
      <c r="Q204" s="17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7"/>
      <c r="O205" s="17"/>
      <c r="P205" s="17"/>
      <c r="Q205" s="17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7"/>
      <c r="O206" s="17"/>
      <c r="P206" s="17"/>
      <c r="Q206" s="17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7"/>
      <c r="O207" s="17"/>
      <c r="P207" s="17"/>
      <c r="Q207" s="17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7"/>
      <c r="O208" s="17"/>
      <c r="P208" s="17"/>
      <c r="Q208" s="17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7"/>
      <c r="O209" s="17"/>
      <c r="P209" s="17"/>
      <c r="Q209" s="17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7"/>
      <c r="O210" s="17"/>
      <c r="P210" s="17"/>
      <c r="Q210" s="17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7"/>
      <c r="O211" s="17"/>
      <c r="P211" s="17"/>
      <c r="Q211" s="17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7"/>
      <c r="O212" s="17"/>
      <c r="P212" s="17"/>
      <c r="Q212" s="17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7"/>
      <c r="O213" s="17"/>
      <c r="P213" s="17"/>
      <c r="Q213" s="17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7"/>
      <c r="O214" s="17"/>
      <c r="P214" s="17"/>
      <c r="Q214" s="17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7"/>
      <c r="O215" s="17"/>
      <c r="P215" s="17"/>
      <c r="Q215" s="17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7"/>
      <c r="O216" s="17"/>
      <c r="P216" s="17"/>
      <c r="Q216" s="17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7"/>
      <c r="O217" s="17"/>
      <c r="P217" s="17"/>
      <c r="Q217" s="17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7"/>
      <c r="O218" s="17"/>
      <c r="P218" s="17"/>
      <c r="Q218" s="17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7"/>
      <c r="O219" s="17"/>
      <c r="P219" s="17"/>
      <c r="Q219" s="17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7"/>
      <c r="O220" s="17"/>
      <c r="P220" s="17"/>
      <c r="Q220" s="17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7"/>
      <c r="O221" s="17"/>
      <c r="P221" s="17"/>
      <c r="Q221" s="17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7"/>
      <c r="O222" s="17"/>
      <c r="P222" s="17"/>
      <c r="Q222" s="17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7"/>
      <c r="O223" s="17"/>
      <c r="P223" s="17"/>
      <c r="Q223" s="17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7"/>
      <c r="O224" s="17"/>
      <c r="P224" s="17"/>
      <c r="Q224" s="17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7"/>
      <c r="O225" s="17"/>
      <c r="P225" s="17"/>
      <c r="Q225" s="17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7"/>
      <c r="O226" s="17"/>
      <c r="P226" s="17"/>
      <c r="Q226" s="17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7"/>
      <c r="O227" s="17"/>
      <c r="P227" s="17"/>
      <c r="Q227" s="17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7"/>
      <c r="O228" s="17"/>
      <c r="P228" s="17"/>
      <c r="Q228" s="17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7"/>
      <c r="O229" s="17"/>
      <c r="P229" s="17"/>
      <c r="Q229" s="17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7"/>
      <c r="O230" s="17"/>
      <c r="P230" s="17"/>
      <c r="Q230" s="17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U5445"/>
  <sheetViews>
    <sheetView showGridLines="0" workbookViewId="0"/>
  </sheetViews>
  <sheetFormatPr defaultRowHeight="13.8"/>
  <cols>
    <col min="1" max="1" width="14" customWidth="1"/>
    <col min="2" max="2" width="28" customWidth="1"/>
    <col min="3" max="3" width="16" customWidth="1"/>
    <col min="4" max="4" width="14" customWidth="1"/>
    <col min="5" max="5" width="15" customWidth="1"/>
    <col min="6" max="6" width="16" customWidth="1"/>
    <col min="7" max="7" width="10" customWidth="1"/>
    <col min="8" max="8" width="52" customWidth="1"/>
    <col min="9" max="9" width="3" customWidth="1"/>
    <col min="10" max="10" width="12" customWidth="1"/>
    <col min="11" max="12" width="14" customWidth="1"/>
    <col min="13" max="13" width="32" customWidth="1"/>
  </cols>
  <sheetData>
    <row r="1" spans="1:47" ht="25.95" customHeight="1">
      <c r="A1" s="59" t="s">
        <v>640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60" t="s">
        <v>641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30" customHeight="1">
      <c r="A3" s="66" t="s">
        <v>642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643</v>
      </c>
      <c r="B5" s="4" t="s">
        <v>644</v>
      </c>
      <c r="C5" s="4" t="s">
        <v>645</v>
      </c>
      <c r="D5" s="4" t="s">
        <v>646</v>
      </c>
      <c r="E5" s="4" t="s">
        <v>647</v>
      </c>
      <c r="F5" s="4" t="s">
        <v>648</v>
      </c>
      <c r="G5" s="4" t="s">
        <v>649</v>
      </c>
      <c r="H5" s="4" t="s">
        <v>650</v>
      </c>
      <c r="I5" s="1"/>
      <c r="J5" s="4" t="s">
        <v>649</v>
      </c>
      <c r="K5" s="4" t="s">
        <v>651</v>
      </c>
      <c r="L5" s="4" t="s">
        <v>652</v>
      </c>
      <c r="M5" s="4" t="s">
        <v>653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36">
        <v>38229.15625</v>
      </c>
      <c r="B6" s="34" t="s">
        <v>654</v>
      </c>
      <c r="C6" s="34" t="s">
        <v>655</v>
      </c>
      <c r="D6" s="38">
        <v>25.946666717529297</v>
      </c>
      <c r="E6" s="38">
        <v>15.333723068237305</v>
      </c>
      <c r="F6" s="40">
        <v>26236432</v>
      </c>
      <c r="G6" s="34" t="s">
        <v>656</v>
      </c>
      <c r="H6" s="34" t="s">
        <v>115</v>
      </c>
      <c r="I6" s="1"/>
      <c r="J6" s="10" t="s">
        <v>657</v>
      </c>
      <c r="K6" s="42">
        <v>38442.15625</v>
      </c>
      <c r="L6" s="12">
        <v>16.866666793823242</v>
      </c>
      <c r="M6" s="10" t="s">
        <v>658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36">
        <v>38230.15625</v>
      </c>
      <c r="B7" s="34" t="s">
        <v>654</v>
      </c>
      <c r="C7" s="34" t="s">
        <v>655</v>
      </c>
      <c r="D7" s="38">
        <v>24.920000076293945</v>
      </c>
      <c r="E7" s="38">
        <v>14.726996421813965</v>
      </c>
      <c r="F7" s="40">
        <v>5131147</v>
      </c>
      <c r="G7" s="34" t="s">
        <v>656</v>
      </c>
      <c r="H7" s="34" t="s">
        <v>115</v>
      </c>
      <c r="I7" s="1"/>
      <c r="J7" s="10" t="s">
        <v>659</v>
      </c>
      <c r="K7" s="42">
        <v>38807.15625</v>
      </c>
      <c r="L7" s="12">
        <v>30.473333358764648</v>
      </c>
      <c r="M7" s="10" t="s">
        <v>658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36">
        <v>38231.15625</v>
      </c>
      <c r="B8" s="34" t="s">
        <v>654</v>
      </c>
      <c r="C8" s="34" t="s">
        <v>655</v>
      </c>
      <c r="D8" s="38">
        <v>24.299999237060547</v>
      </c>
      <c r="E8" s="38">
        <v>14.360596656799316</v>
      </c>
      <c r="F8" s="40">
        <v>2990947</v>
      </c>
      <c r="G8" s="34" t="s">
        <v>656</v>
      </c>
      <c r="H8" s="34" t="s">
        <v>115</v>
      </c>
      <c r="I8" s="1"/>
      <c r="J8" s="10" t="s">
        <v>660</v>
      </c>
      <c r="K8" s="42">
        <v>39171.15625</v>
      </c>
      <c r="L8" s="12">
        <v>58.560001373291016</v>
      </c>
      <c r="M8" s="10" t="s">
        <v>658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36">
        <v>38232.15625</v>
      </c>
      <c r="B9" s="34" t="s">
        <v>654</v>
      </c>
      <c r="C9" s="34" t="s">
        <v>655</v>
      </c>
      <c r="D9" s="38">
        <v>23.639999389648438</v>
      </c>
      <c r="E9" s="38">
        <v>13.970550537109375</v>
      </c>
      <c r="F9" s="40">
        <v>2615782</v>
      </c>
      <c r="G9" s="34" t="s">
        <v>656</v>
      </c>
      <c r="H9" s="34" t="s">
        <v>115</v>
      </c>
      <c r="I9" s="1"/>
      <c r="J9" s="10" t="s">
        <v>661</v>
      </c>
      <c r="K9" s="42">
        <v>39538.15625</v>
      </c>
      <c r="L9" s="12">
        <v>20.379999160766602</v>
      </c>
      <c r="M9" s="10" t="s">
        <v>658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36">
        <v>38233.15625</v>
      </c>
      <c r="B10" s="34" t="s">
        <v>654</v>
      </c>
      <c r="C10" s="34" t="s">
        <v>655</v>
      </c>
      <c r="D10" s="38">
        <v>23.633333206176758</v>
      </c>
      <c r="E10" s="38">
        <v>13.966616630554199</v>
      </c>
      <c r="F10" s="40">
        <v>2077365</v>
      </c>
      <c r="G10" s="34" t="s">
        <v>656</v>
      </c>
      <c r="H10" s="34" t="s">
        <v>115</v>
      </c>
      <c r="I10" s="1"/>
      <c r="J10" s="10" t="s">
        <v>662</v>
      </c>
      <c r="K10" s="42">
        <v>39903.15625</v>
      </c>
      <c r="L10" s="12">
        <v>10.560000419616699</v>
      </c>
      <c r="M10" s="10" t="s">
        <v>658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36">
        <v>38236.15625</v>
      </c>
      <c r="B11" s="34" t="s">
        <v>654</v>
      </c>
      <c r="C11" s="34" t="s">
        <v>655</v>
      </c>
      <c r="D11" s="38">
        <v>22.959999084472656</v>
      </c>
      <c r="E11" s="38">
        <v>13.568690299987793</v>
      </c>
      <c r="F11" s="40">
        <v>2076652</v>
      </c>
      <c r="G11" s="34" t="s">
        <v>656</v>
      </c>
      <c r="H11" s="34" t="s">
        <v>115</v>
      </c>
      <c r="I11" s="1"/>
      <c r="J11" s="10" t="s">
        <v>663</v>
      </c>
      <c r="K11" s="42">
        <v>40268.15625</v>
      </c>
      <c r="L11" s="12">
        <v>33.950000762939453</v>
      </c>
      <c r="M11" s="10" t="s">
        <v>658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36">
        <v>38237.15625</v>
      </c>
      <c r="B12" s="34" t="s">
        <v>654</v>
      </c>
      <c r="C12" s="34" t="s">
        <v>655</v>
      </c>
      <c r="D12" s="38">
        <v>23.106666564941406</v>
      </c>
      <c r="E12" s="38">
        <v>13.65537166595459</v>
      </c>
      <c r="F12" s="40">
        <v>1473630</v>
      </c>
      <c r="G12" s="34" t="s">
        <v>656</v>
      </c>
      <c r="H12" s="34" t="s">
        <v>115</v>
      </c>
      <c r="I12" s="1"/>
      <c r="J12" s="10" t="s">
        <v>664</v>
      </c>
      <c r="K12" s="42">
        <v>40633.15625</v>
      </c>
      <c r="L12" s="12">
        <v>36.900001525878906</v>
      </c>
      <c r="M12" s="10" t="s">
        <v>658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36">
        <v>38238.15625</v>
      </c>
      <c r="B13" s="34" t="s">
        <v>654</v>
      </c>
      <c r="C13" s="34" t="s">
        <v>655</v>
      </c>
      <c r="D13" s="38">
        <v>22.806665420532227</v>
      </c>
      <c r="E13" s="38">
        <v>13.478078842163086</v>
      </c>
      <c r="F13" s="40">
        <v>987772</v>
      </c>
      <c r="G13" s="34" t="s">
        <v>656</v>
      </c>
      <c r="H13" s="34" t="s">
        <v>115</v>
      </c>
      <c r="I13" s="1"/>
      <c r="J13" s="10" t="s">
        <v>665</v>
      </c>
      <c r="K13" s="42">
        <v>40998.15625</v>
      </c>
      <c r="L13" s="12">
        <v>54.520000457763672</v>
      </c>
      <c r="M13" s="10" t="s">
        <v>658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36">
        <v>38239.15625</v>
      </c>
      <c r="B14" s="34" t="s">
        <v>654</v>
      </c>
      <c r="C14" s="34" t="s">
        <v>655</v>
      </c>
      <c r="D14" s="38">
        <v>22.260000228881836</v>
      </c>
      <c r="E14" s="38">
        <v>13.155009269714355</v>
      </c>
      <c r="F14" s="40">
        <v>1111845</v>
      </c>
      <c r="G14" s="34" t="s">
        <v>656</v>
      </c>
      <c r="H14" s="34" t="s">
        <v>115</v>
      </c>
      <c r="I14" s="1"/>
      <c r="J14" s="10" t="s">
        <v>666</v>
      </c>
      <c r="K14" s="42">
        <v>41361.15625</v>
      </c>
      <c r="L14" s="12">
        <v>56.479999542236328</v>
      </c>
      <c r="M14" s="10" t="s">
        <v>658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36">
        <v>38240.15625</v>
      </c>
      <c r="B15" s="34" t="s">
        <v>654</v>
      </c>
      <c r="C15" s="34" t="s">
        <v>655</v>
      </c>
      <c r="D15" s="38">
        <v>22.526666641235352</v>
      </c>
      <c r="E15" s="38">
        <v>13.312609672546387</v>
      </c>
      <c r="F15" s="40">
        <v>1373212</v>
      </c>
      <c r="G15" s="34" t="s">
        <v>656</v>
      </c>
      <c r="H15" s="34" t="s">
        <v>115</v>
      </c>
      <c r="I15" s="1"/>
      <c r="J15" s="10" t="s">
        <v>667</v>
      </c>
      <c r="K15" s="42">
        <v>41729.15625</v>
      </c>
      <c r="L15" s="12">
        <v>80.510002136230469</v>
      </c>
      <c r="M15" s="10" t="s">
        <v>658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36">
        <v>38243.15625</v>
      </c>
      <c r="B16" s="34" t="s">
        <v>654</v>
      </c>
      <c r="C16" s="34" t="s">
        <v>655</v>
      </c>
      <c r="D16" s="38">
        <v>23.893333435058594</v>
      </c>
      <c r="E16" s="38">
        <v>14.120265007019043</v>
      </c>
      <c r="F16" s="40">
        <v>4477672</v>
      </c>
      <c r="G16" s="34" t="s">
        <v>656</v>
      </c>
      <c r="H16" s="34" t="s">
        <v>115</v>
      </c>
      <c r="I16" s="1"/>
      <c r="J16" s="10" t="s">
        <v>668</v>
      </c>
      <c r="K16" s="42">
        <v>42094.15625</v>
      </c>
      <c r="L16" s="12">
        <v>69.860000610351563</v>
      </c>
      <c r="M16" s="10" t="s">
        <v>658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36">
        <v>38244.15625</v>
      </c>
      <c r="B17" s="34" t="s">
        <v>654</v>
      </c>
      <c r="C17" s="34" t="s">
        <v>655</v>
      </c>
      <c r="D17" s="38">
        <v>24.020000457763672</v>
      </c>
      <c r="E17" s="38">
        <v>14.195124626159668</v>
      </c>
      <c r="F17" s="40">
        <v>2353867</v>
      </c>
      <c r="G17" s="34" t="s">
        <v>656</v>
      </c>
      <c r="H17" s="34" t="s">
        <v>115</v>
      </c>
      <c r="I17" s="1"/>
      <c r="J17" s="10" t="s">
        <v>30</v>
      </c>
      <c r="K17" s="42">
        <v>42460.15625</v>
      </c>
      <c r="L17" s="12">
        <v>99.339996337890625</v>
      </c>
      <c r="M17" s="10" t="s">
        <v>658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36">
        <v>38245.15625</v>
      </c>
      <c r="B18" s="34" t="s">
        <v>654</v>
      </c>
      <c r="C18" s="34" t="s">
        <v>655</v>
      </c>
      <c r="D18" s="38">
        <v>23.5</v>
      </c>
      <c r="E18" s="38">
        <v>13.8878173828125</v>
      </c>
      <c r="F18" s="40">
        <v>1368645</v>
      </c>
      <c r="G18" s="34" t="s">
        <v>656</v>
      </c>
      <c r="H18" s="34" t="s">
        <v>115</v>
      </c>
      <c r="I18" s="1"/>
      <c r="J18" s="10" t="s">
        <v>31</v>
      </c>
      <c r="K18" s="42">
        <v>42825.15625</v>
      </c>
      <c r="L18" s="12">
        <v>87.120002746582031</v>
      </c>
      <c r="M18" s="10" t="s">
        <v>658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36">
        <v>38246.15625</v>
      </c>
      <c r="B19" s="34" t="s">
        <v>654</v>
      </c>
      <c r="C19" s="34" t="s">
        <v>655</v>
      </c>
      <c r="D19" s="38">
        <v>22.906665802001953</v>
      </c>
      <c r="E19" s="38">
        <v>13.537176132202148</v>
      </c>
      <c r="F19" s="40">
        <v>1205775</v>
      </c>
      <c r="G19" s="34" t="s">
        <v>656</v>
      </c>
      <c r="H19" s="34" t="s">
        <v>115</v>
      </c>
      <c r="I19" s="1"/>
      <c r="J19" s="10" t="s">
        <v>32</v>
      </c>
      <c r="K19" s="42">
        <v>43187.15625</v>
      </c>
      <c r="L19" s="12">
        <v>173</v>
      </c>
      <c r="M19" s="10" t="s">
        <v>658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36">
        <v>38247.15625</v>
      </c>
      <c r="B20" s="34" t="s">
        <v>654</v>
      </c>
      <c r="C20" s="34" t="s">
        <v>655</v>
      </c>
      <c r="D20" s="38">
        <v>22.986665725708008</v>
      </c>
      <c r="E20" s="38">
        <v>13.584452629089355</v>
      </c>
      <c r="F20" s="40">
        <v>715012</v>
      </c>
      <c r="G20" s="34" t="s">
        <v>656</v>
      </c>
      <c r="H20" s="34" t="s">
        <v>115</v>
      </c>
      <c r="I20" s="1"/>
      <c r="J20" s="10" t="s">
        <v>33</v>
      </c>
      <c r="K20" s="42">
        <v>43552.15625</v>
      </c>
      <c r="L20" s="12">
        <v>266.79000854492188</v>
      </c>
      <c r="M20" s="10" t="s">
        <v>658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36">
        <v>38250.15625</v>
      </c>
      <c r="B21" s="34" t="s">
        <v>654</v>
      </c>
      <c r="C21" s="34" t="s">
        <v>655</v>
      </c>
      <c r="D21" s="38">
        <v>22.833332061767578</v>
      </c>
      <c r="E21" s="38">
        <v>13.493836402893066</v>
      </c>
      <c r="F21" s="40">
        <v>432712</v>
      </c>
      <c r="G21" s="34" t="s">
        <v>656</v>
      </c>
      <c r="H21" s="34" t="s">
        <v>115</v>
      </c>
      <c r="I21" s="1"/>
      <c r="J21" s="10" t="s">
        <v>34</v>
      </c>
      <c r="K21" s="42">
        <v>43921.15625</v>
      </c>
      <c r="L21" s="12">
        <v>229.55000305175781</v>
      </c>
      <c r="M21" s="10" t="s">
        <v>658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36">
        <v>38251.15625</v>
      </c>
      <c r="B22" s="34" t="s">
        <v>654</v>
      </c>
      <c r="C22" s="34" t="s">
        <v>655</v>
      </c>
      <c r="D22" s="38">
        <v>23.106666564941406</v>
      </c>
      <c r="E22" s="38">
        <v>13.65537166595459</v>
      </c>
      <c r="F22" s="40">
        <v>774960</v>
      </c>
      <c r="G22" s="34" t="s">
        <v>656</v>
      </c>
      <c r="H22" s="34" t="s">
        <v>115</v>
      </c>
      <c r="I22" s="1"/>
      <c r="J22" s="10" t="s">
        <v>35</v>
      </c>
      <c r="K22" s="42">
        <v>44286.15625</v>
      </c>
      <c r="L22" s="12">
        <v>585.3900146484375</v>
      </c>
      <c r="M22" s="10" t="s">
        <v>669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36">
        <v>38252.15625</v>
      </c>
      <c r="B23" s="34" t="s">
        <v>654</v>
      </c>
      <c r="C23" s="34" t="s">
        <v>655</v>
      </c>
      <c r="D23" s="38">
        <v>23</v>
      </c>
      <c r="E23" s="38">
        <v>13.592330932617188</v>
      </c>
      <c r="F23" s="40">
        <v>772965</v>
      </c>
      <c r="G23" s="34" t="s">
        <v>656</v>
      </c>
      <c r="H23" s="34" t="s">
        <v>115</v>
      </c>
      <c r="I23" s="1"/>
      <c r="J23" s="10" t="s">
        <v>36</v>
      </c>
      <c r="K23" s="42">
        <v>44651.15625</v>
      </c>
      <c r="L23" s="12">
        <v>891.5</v>
      </c>
      <c r="M23" s="10" t="s">
        <v>669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36">
        <v>38253.15625</v>
      </c>
      <c r="B24" s="34" t="s">
        <v>654</v>
      </c>
      <c r="C24" s="34" t="s">
        <v>655</v>
      </c>
      <c r="D24" s="38">
        <v>22.50666618347168</v>
      </c>
      <c r="E24" s="38">
        <v>13.300786018371582</v>
      </c>
      <c r="F24" s="40">
        <v>645390</v>
      </c>
      <c r="G24" s="34" t="s">
        <v>656</v>
      </c>
      <c r="H24" s="34" t="s">
        <v>115</v>
      </c>
      <c r="I24" s="1"/>
      <c r="J24" s="10" t="s">
        <v>37</v>
      </c>
      <c r="K24" s="42">
        <v>45016.15625</v>
      </c>
      <c r="L24" s="12">
        <v>762.82000732421875</v>
      </c>
      <c r="M24" s="10" t="s">
        <v>669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36">
        <v>38254.15625</v>
      </c>
      <c r="B25" s="34" t="s">
        <v>654</v>
      </c>
      <c r="C25" s="34" t="s">
        <v>655</v>
      </c>
      <c r="D25" s="38">
        <v>22.266666412353516</v>
      </c>
      <c r="E25" s="38">
        <v>13.158956527709961</v>
      </c>
      <c r="F25" s="40">
        <v>551175</v>
      </c>
      <c r="G25" s="34" t="s">
        <v>656</v>
      </c>
      <c r="H25" s="34" t="s">
        <v>115</v>
      </c>
      <c r="I25" s="1"/>
      <c r="J25" s="10" t="s">
        <v>38</v>
      </c>
      <c r="K25" s="42">
        <v>45379.15625</v>
      </c>
      <c r="L25" s="12">
        <v>1100.489990234375</v>
      </c>
      <c r="M25" s="10" t="s">
        <v>669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36">
        <v>38257.15625</v>
      </c>
      <c r="B26" s="34" t="s">
        <v>654</v>
      </c>
      <c r="C26" s="34" t="s">
        <v>655</v>
      </c>
      <c r="D26" s="38">
        <v>22.273332595825195</v>
      </c>
      <c r="E26" s="38">
        <v>13.162891387939453</v>
      </c>
      <c r="F26" s="40">
        <v>285780</v>
      </c>
      <c r="G26" s="34" t="s">
        <v>656</v>
      </c>
      <c r="H26" s="34" t="s">
        <v>115</v>
      </c>
      <c r="I26" s="1"/>
      <c r="J26" s="10" t="s">
        <v>39</v>
      </c>
      <c r="K26" s="42">
        <v>45744.15625</v>
      </c>
      <c r="L26" s="12">
        <v>1621.8399658203125</v>
      </c>
      <c r="M26" s="10" t="s">
        <v>669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36">
        <v>38258.15625</v>
      </c>
      <c r="B27" s="34" t="s">
        <v>654</v>
      </c>
      <c r="C27" s="34" t="s">
        <v>655</v>
      </c>
      <c r="D27" s="38">
        <v>21.899999618530273</v>
      </c>
      <c r="E27" s="38">
        <v>12.942263603210449</v>
      </c>
      <c r="F27" s="40">
        <v>418020</v>
      </c>
      <c r="G27" s="34" t="s">
        <v>656</v>
      </c>
      <c r="H27" s="34" t="s">
        <v>115</v>
      </c>
      <c r="I27" s="1"/>
      <c r="J27" s="10" t="s">
        <v>40</v>
      </c>
      <c r="K27" s="42">
        <v>46111.15625</v>
      </c>
      <c r="L27" s="12">
        <v>1114.699951171875</v>
      </c>
      <c r="M27" s="10" t="s">
        <v>669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36">
        <v>38259.15625</v>
      </c>
      <c r="B28" s="34" t="s">
        <v>654</v>
      </c>
      <c r="C28" s="34" t="s">
        <v>655</v>
      </c>
      <c r="D28" s="38">
        <v>22.00666618347168</v>
      </c>
      <c r="E28" s="38">
        <v>13.005298614501953</v>
      </c>
      <c r="F28" s="40">
        <v>379320</v>
      </c>
      <c r="G28" s="34" t="s">
        <v>656</v>
      </c>
      <c r="H28" s="34" t="s">
        <v>115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36">
        <v>38260.15625</v>
      </c>
      <c r="B29" s="34" t="s">
        <v>654</v>
      </c>
      <c r="C29" s="34" t="s">
        <v>655</v>
      </c>
      <c r="D29" s="38">
        <v>22.219999313354492</v>
      </c>
      <c r="E29" s="38">
        <v>13.131375312805176</v>
      </c>
      <c r="F29" s="40">
        <v>536137</v>
      </c>
      <c r="G29" s="34" t="s">
        <v>656</v>
      </c>
      <c r="H29" s="34" t="s">
        <v>115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36">
        <v>38261.15625</v>
      </c>
      <c r="B30" s="34" t="s">
        <v>654</v>
      </c>
      <c r="C30" s="34" t="s">
        <v>655</v>
      </c>
      <c r="D30" s="38">
        <v>22.366666793823242</v>
      </c>
      <c r="E30" s="38">
        <v>13.21805477142334</v>
      </c>
      <c r="F30" s="40">
        <v>478177</v>
      </c>
      <c r="G30" s="34" t="s">
        <v>656</v>
      </c>
      <c r="H30" s="34" t="s">
        <v>115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36">
        <v>38264.15625</v>
      </c>
      <c r="B31" s="34" t="s">
        <v>654</v>
      </c>
      <c r="C31" s="34" t="s">
        <v>655</v>
      </c>
      <c r="D31" s="38">
        <v>22.440000534057617</v>
      </c>
      <c r="E31" s="38">
        <v>13.261386871337891</v>
      </c>
      <c r="F31" s="40">
        <v>612765</v>
      </c>
      <c r="G31" s="34" t="s">
        <v>656</v>
      </c>
      <c r="H31" s="34" t="s">
        <v>115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36">
        <v>38265.15625</v>
      </c>
      <c r="B32" s="34" t="s">
        <v>654</v>
      </c>
      <c r="C32" s="34" t="s">
        <v>655</v>
      </c>
      <c r="D32" s="38">
        <v>22.586666107177734</v>
      </c>
      <c r="E32" s="38">
        <v>13.348058700561523</v>
      </c>
      <c r="F32" s="40">
        <v>658177</v>
      </c>
      <c r="G32" s="34" t="s">
        <v>656</v>
      </c>
      <c r="H32" s="34" t="s">
        <v>115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36">
        <v>38266.15625</v>
      </c>
      <c r="B33" s="34" t="s">
        <v>654</v>
      </c>
      <c r="C33" s="34" t="s">
        <v>655</v>
      </c>
      <c r="D33" s="38">
        <v>22.573333740234375</v>
      </c>
      <c r="E33" s="38">
        <v>13.340188026428223</v>
      </c>
      <c r="F33" s="40">
        <v>1273372</v>
      </c>
      <c r="G33" s="34" t="s">
        <v>656</v>
      </c>
      <c r="H33" s="34" t="s">
        <v>115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36">
        <v>38267.15625</v>
      </c>
      <c r="B34" s="34" t="s">
        <v>654</v>
      </c>
      <c r="C34" s="34" t="s">
        <v>655</v>
      </c>
      <c r="D34" s="38">
        <v>22.526666641235352</v>
      </c>
      <c r="E34" s="38">
        <v>13.312609672546387</v>
      </c>
      <c r="F34" s="40">
        <v>375022</v>
      </c>
      <c r="G34" s="34" t="s">
        <v>656</v>
      </c>
      <c r="H34" s="34" t="s">
        <v>115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36">
        <v>38268.15625</v>
      </c>
      <c r="B35" s="34" t="s">
        <v>654</v>
      </c>
      <c r="C35" s="34" t="s">
        <v>655</v>
      </c>
      <c r="D35" s="38">
        <v>22.659999847412109</v>
      </c>
      <c r="E35" s="38">
        <v>13.391403198242188</v>
      </c>
      <c r="F35" s="40">
        <v>892350</v>
      </c>
      <c r="G35" s="34" t="s">
        <v>656</v>
      </c>
      <c r="H35" s="34" t="s">
        <v>115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36">
        <v>38271.15625</v>
      </c>
      <c r="B36" s="34" t="s">
        <v>654</v>
      </c>
      <c r="C36" s="34" t="s">
        <v>655</v>
      </c>
      <c r="D36" s="38">
        <v>22.486665725708008</v>
      </c>
      <c r="E36" s="38">
        <v>13.28896427154541</v>
      </c>
      <c r="F36" s="40">
        <v>583492</v>
      </c>
      <c r="G36" s="34" t="s">
        <v>656</v>
      </c>
      <c r="H36" s="34" t="s">
        <v>115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36">
        <v>38272.15625</v>
      </c>
      <c r="B37" s="34" t="s">
        <v>654</v>
      </c>
      <c r="C37" s="34" t="s">
        <v>655</v>
      </c>
      <c r="D37" s="38">
        <v>22.233333587646484</v>
      </c>
      <c r="E37" s="38">
        <v>13.139250755310059</v>
      </c>
      <c r="F37" s="40">
        <v>398715</v>
      </c>
      <c r="G37" s="34" t="s">
        <v>656</v>
      </c>
      <c r="H37" s="34" t="s">
        <v>115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36">
        <v>38273.15625</v>
      </c>
      <c r="B38" s="34" t="s">
        <v>654</v>
      </c>
      <c r="C38" s="34" t="s">
        <v>655</v>
      </c>
      <c r="D38" s="38">
        <v>22.233333587646484</v>
      </c>
      <c r="E38" s="38">
        <v>13.139250755310059</v>
      </c>
      <c r="F38" s="40">
        <v>0</v>
      </c>
      <c r="G38" s="34" t="s">
        <v>656</v>
      </c>
      <c r="H38" s="34" t="s">
        <v>115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36">
        <v>38274.15625</v>
      </c>
      <c r="B39" s="34" t="s">
        <v>654</v>
      </c>
      <c r="C39" s="34" t="s">
        <v>655</v>
      </c>
      <c r="D39" s="38">
        <v>22.606666564941406</v>
      </c>
      <c r="E39" s="38">
        <v>13.359883308410645</v>
      </c>
      <c r="F39" s="40">
        <v>642742</v>
      </c>
      <c r="G39" s="34" t="s">
        <v>656</v>
      </c>
      <c r="H39" s="34" t="s">
        <v>115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36">
        <v>38275.15625</v>
      </c>
      <c r="B40" s="34" t="s">
        <v>654</v>
      </c>
      <c r="C40" s="34" t="s">
        <v>655</v>
      </c>
      <c r="D40" s="38">
        <v>22.219999313354492</v>
      </c>
      <c r="E40" s="38">
        <v>13.131375312805176</v>
      </c>
      <c r="F40" s="40">
        <v>593490</v>
      </c>
      <c r="G40" s="34" t="s">
        <v>656</v>
      </c>
      <c r="H40" s="34" t="s">
        <v>115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36">
        <v>38278.15625</v>
      </c>
      <c r="B41" s="34" t="s">
        <v>654</v>
      </c>
      <c r="C41" s="34" t="s">
        <v>655</v>
      </c>
      <c r="D41" s="38">
        <v>22</v>
      </c>
      <c r="E41" s="38">
        <v>13.001357078552246</v>
      </c>
      <c r="F41" s="40">
        <v>312652</v>
      </c>
      <c r="G41" s="34" t="s">
        <v>656</v>
      </c>
      <c r="H41" s="34" t="s">
        <v>115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36">
        <v>38279.15625</v>
      </c>
      <c r="B42" s="34" t="s">
        <v>654</v>
      </c>
      <c r="C42" s="34" t="s">
        <v>655</v>
      </c>
      <c r="D42" s="38">
        <v>21.733333587646484</v>
      </c>
      <c r="E42" s="38">
        <v>12.843770980834961</v>
      </c>
      <c r="F42" s="40">
        <v>411345</v>
      </c>
      <c r="G42" s="34" t="s">
        <v>656</v>
      </c>
      <c r="H42" s="34" t="s">
        <v>115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36">
        <v>38280.15625</v>
      </c>
      <c r="B43" s="34" t="s">
        <v>654</v>
      </c>
      <c r="C43" s="34" t="s">
        <v>655</v>
      </c>
      <c r="D43" s="38">
        <v>21.873332977294922</v>
      </c>
      <c r="E43" s="38">
        <v>12.926501274108887</v>
      </c>
      <c r="F43" s="40">
        <v>352267</v>
      </c>
      <c r="G43" s="34" t="s">
        <v>656</v>
      </c>
      <c r="H43" s="34" t="s">
        <v>115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36">
        <v>38281.15625</v>
      </c>
      <c r="B44" s="34" t="s">
        <v>654</v>
      </c>
      <c r="C44" s="34" t="s">
        <v>655</v>
      </c>
      <c r="D44" s="38">
        <v>21.84666633605957</v>
      </c>
      <c r="E44" s="38">
        <v>12.910744667053223</v>
      </c>
      <c r="F44" s="40">
        <v>484987</v>
      </c>
      <c r="G44" s="34" t="s">
        <v>656</v>
      </c>
      <c r="H44" s="34" t="s">
        <v>115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36">
        <v>38282.15625</v>
      </c>
      <c r="B45" s="34" t="s">
        <v>654</v>
      </c>
      <c r="C45" s="34" t="s">
        <v>655</v>
      </c>
      <c r="D45" s="38">
        <v>21.84666633605957</v>
      </c>
      <c r="E45" s="38">
        <v>12.910744667053223</v>
      </c>
      <c r="F45" s="40">
        <v>0</v>
      </c>
      <c r="G45" s="34" t="s">
        <v>656</v>
      </c>
      <c r="H45" s="34" t="s">
        <v>115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36">
        <v>38285.15625</v>
      </c>
      <c r="B46" s="34" t="s">
        <v>654</v>
      </c>
      <c r="C46" s="34" t="s">
        <v>655</v>
      </c>
      <c r="D46" s="38">
        <v>21.420000076293945</v>
      </c>
      <c r="E46" s="38">
        <v>12.658596038818359</v>
      </c>
      <c r="F46" s="40">
        <v>405210</v>
      </c>
      <c r="G46" s="34" t="s">
        <v>656</v>
      </c>
      <c r="H46" s="34" t="s">
        <v>115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36">
        <v>38286.15625</v>
      </c>
      <c r="B47" s="34" t="s">
        <v>654</v>
      </c>
      <c r="C47" s="34" t="s">
        <v>655</v>
      </c>
      <c r="D47" s="38">
        <v>21.15333366394043</v>
      </c>
      <c r="E47" s="38">
        <v>12.501003265380859</v>
      </c>
      <c r="F47" s="40">
        <v>331117</v>
      </c>
      <c r="G47" s="34" t="s">
        <v>656</v>
      </c>
      <c r="H47" s="34" t="s">
        <v>115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36">
        <v>38287.15625</v>
      </c>
      <c r="B48" s="34" t="s">
        <v>654</v>
      </c>
      <c r="C48" s="34" t="s">
        <v>655</v>
      </c>
      <c r="D48" s="38">
        <v>22.159999847412109</v>
      </c>
      <c r="E48" s="38">
        <v>13.095913887023926</v>
      </c>
      <c r="F48" s="40">
        <v>1355370</v>
      </c>
      <c r="G48" s="34" t="s">
        <v>656</v>
      </c>
      <c r="H48" s="34" t="s">
        <v>115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36">
        <v>38288.15625</v>
      </c>
      <c r="B49" s="34" t="s">
        <v>654</v>
      </c>
      <c r="C49" s="34" t="s">
        <v>655</v>
      </c>
      <c r="D49" s="38">
        <v>22.033332824707031</v>
      </c>
      <c r="E49" s="38">
        <v>13.021059036254883</v>
      </c>
      <c r="F49" s="40">
        <v>1382745</v>
      </c>
      <c r="G49" s="34" t="s">
        <v>656</v>
      </c>
      <c r="H49" s="34" t="s">
        <v>115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36">
        <v>38289.15625</v>
      </c>
      <c r="B50" s="34" t="s">
        <v>654</v>
      </c>
      <c r="C50" s="34" t="s">
        <v>655</v>
      </c>
      <c r="D50" s="38">
        <v>21.573333740234375</v>
      </c>
      <c r="E50" s="38">
        <v>12.749211311340332</v>
      </c>
      <c r="F50" s="40">
        <v>498570</v>
      </c>
      <c r="G50" s="34" t="s">
        <v>656</v>
      </c>
      <c r="H50" s="34" t="s">
        <v>115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36">
        <v>38292.15625</v>
      </c>
      <c r="B51" s="34" t="s">
        <v>654</v>
      </c>
      <c r="C51" s="34" t="s">
        <v>655</v>
      </c>
      <c r="D51" s="38">
        <v>21.393333435058594</v>
      </c>
      <c r="E51" s="38">
        <v>12.642839431762695</v>
      </c>
      <c r="F51" s="40">
        <v>324150</v>
      </c>
      <c r="G51" s="34" t="s">
        <v>656</v>
      </c>
      <c r="H51" s="34" t="s">
        <v>115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36">
        <v>38293.15625</v>
      </c>
      <c r="B52" s="34" t="s">
        <v>654</v>
      </c>
      <c r="C52" s="34" t="s">
        <v>655</v>
      </c>
      <c r="D52" s="38">
        <v>21.166666030883789</v>
      </c>
      <c r="E52" s="38">
        <v>12.508884429931641</v>
      </c>
      <c r="F52" s="40">
        <v>384007</v>
      </c>
      <c r="G52" s="34" t="s">
        <v>656</v>
      </c>
      <c r="H52" s="34" t="s">
        <v>115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36">
        <v>38294.15625</v>
      </c>
      <c r="B53" s="34" t="s">
        <v>654</v>
      </c>
      <c r="C53" s="34" t="s">
        <v>655</v>
      </c>
      <c r="D53" s="38">
        <v>21.639999389648438</v>
      </c>
      <c r="E53" s="38">
        <v>12.788610458374023</v>
      </c>
      <c r="F53" s="40">
        <v>704220</v>
      </c>
      <c r="G53" s="34" t="s">
        <v>656</v>
      </c>
      <c r="H53" s="34" t="s">
        <v>115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36">
        <v>38295.15625</v>
      </c>
      <c r="B54" s="34" t="s">
        <v>654</v>
      </c>
      <c r="C54" s="34" t="s">
        <v>655</v>
      </c>
      <c r="D54" s="38">
        <v>21.226665496826172</v>
      </c>
      <c r="E54" s="38">
        <v>12.544345855712891</v>
      </c>
      <c r="F54" s="40">
        <v>601372</v>
      </c>
      <c r="G54" s="34" t="s">
        <v>656</v>
      </c>
      <c r="H54" s="34" t="s">
        <v>115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36">
        <v>38296.15625</v>
      </c>
      <c r="B55" s="34" t="s">
        <v>654</v>
      </c>
      <c r="C55" s="34" t="s">
        <v>655</v>
      </c>
      <c r="D55" s="38">
        <v>20.799999237060547</v>
      </c>
      <c r="E55" s="38">
        <v>12.292195320129395</v>
      </c>
      <c r="F55" s="40">
        <v>482955</v>
      </c>
      <c r="G55" s="34" t="s">
        <v>656</v>
      </c>
      <c r="H55" s="34" t="s">
        <v>115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36">
        <v>38299.15625</v>
      </c>
      <c r="B56" s="34" t="s">
        <v>654</v>
      </c>
      <c r="C56" s="34" t="s">
        <v>655</v>
      </c>
      <c r="D56" s="38">
        <v>20.760000228881836</v>
      </c>
      <c r="E56" s="38">
        <v>12.268558502197266</v>
      </c>
      <c r="F56" s="40">
        <v>399247</v>
      </c>
      <c r="G56" s="34" t="s">
        <v>656</v>
      </c>
      <c r="H56" s="34" t="s">
        <v>115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36">
        <v>38300.15625</v>
      </c>
      <c r="B57" s="34" t="s">
        <v>654</v>
      </c>
      <c r="C57" s="34" t="s">
        <v>655</v>
      </c>
      <c r="D57" s="38">
        <v>20.826665878295898</v>
      </c>
      <c r="E57" s="38">
        <v>12.307950973510742</v>
      </c>
      <c r="F57" s="40">
        <v>358350</v>
      </c>
      <c r="G57" s="34" t="s">
        <v>656</v>
      </c>
      <c r="H57" s="34" t="s">
        <v>115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36">
        <v>38301.15625</v>
      </c>
      <c r="B58" s="34" t="s">
        <v>654</v>
      </c>
      <c r="C58" s="34" t="s">
        <v>655</v>
      </c>
      <c r="D58" s="38">
        <v>20.713333129882813</v>
      </c>
      <c r="E58" s="38">
        <v>12.240978240966797</v>
      </c>
      <c r="F58" s="40">
        <v>276960</v>
      </c>
      <c r="G58" s="34" t="s">
        <v>656</v>
      </c>
      <c r="H58" s="34" t="s">
        <v>115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36">
        <v>38302.15625</v>
      </c>
      <c r="B59" s="34" t="s">
        <v>654</v>
      </c>
      <c r="C59" s="34" t="s">
        <v>655</v>
      </c>
      <c r="D59" s="38">
        <v>20.659999847412109</v>
      </c>
      <c r="E59" s="38">
        <v>12.20946216583252</v>
      </c>
      <c r="F59" s="40">
        <v>496657</v>
      </c>
      <c r="G59" s="34" t="s">
        <v>656</v>
      </c>
      <c r="H59" s="34" t="s">
        <v>115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36">
        <v>38303.15625</v>
      </c>
      <c r="B60" s="34" t="s">
        <v>654</v>
      </c>
      <c r="C60" s="34" t="s">
        <v>655</v>
      </c>
      <c r="D60" s="38">
        <v>20.5</v>
      </c>
      <c r="E60" s="38">
        <v>12.114904403686523</v>
      </c>
      <c r="F60" s="40">
        <v>229537</v>
      </c>
      <c r="G60" s="34" t="s">
        <v>656</v>
      </c>
      <c r="H60" s="34" t="s">
        <v>115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36">
        <v>38306.15625</v>
      </c>
      <c r="B61" s="34" t="s">
        <v>654</v>
      </c>
      <c r="C61" s="34" t="s">
        <v>655</v>
      </c>
      <c r="D61" s="38">
        <v>20.5</v>
      </c>
      <c r="E61" s="38">
        <v>12.114904403686523</v>
      </c>
      <c r="F61" s="40">
        <v>0</v>
      </c>
      <c r="G61" s="34" t="s">
        <v>656</v>
      </c>
      <c r="H61" s="34" t="s">
        <v>115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36">
        <v>38307.15625</v>
      </c>
      <c r="B62" s="34" t="s">
        <v>654</v>
      </c>
      <c r="C62" s="34" t="s">
        <v>655</v>
      </c>
      <c r="D62" s="38">
        <v>19.753332138061523</v>
      </c>
      <c r="E62" s="38">
        <v>11.673647880554199</v>
      </c>
      <c r="F62" s="40">
        <v>908370</v>
      </c>
      <c r="G62" s="34" t="s">
        <v>656</v>
      </c>
      <c r="H62" s="34" t="s">
        <v>115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36">
        <v>38308.15625</v>
      </c>
      <c r="B63" s="34" t="s">
        <v>654</v>
      </c>
      <c r="C63" s="34" t="s">
        <v>655</v>
      </c>
      <c r="D63" s="38">
        <v>20.166666030883789</v>
      </c>
      <c r="E63" s="38">
        <v>11.917915344238281</v>
      </c>
      <c r="F63" s="40">
        <v>660945</v>
      </c>
      <c r="G63" s="34" t="s">
        <v>656</v>
      </c>
      <c r="H63" s="34" t="s">
        <v>115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36">
        <v>38309.15625</v>
      </c>
      <c r="B64" s="34" t="s">
        <v>654</v>
      </c>
      <c r="C64" s="34" t="s">
        <v>655</v>
      </c>
      <c r="D64" s="38">
        <v>20.406665802001953</v>
      </c>
      <c r="E64" s="38">
        <v>12.059746742248535</v>
      </c>
      <c r="F64" s="40">
        <v>507022</v>
      </c>
      <c r="G64" s="34" t="s">
        <v>656</v>
      </c>
      <c r="H64" s="34" t="s">
        <v>115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36">
        <v>38310.15625</v>
      </c>
      <c r="B65" s="34" t="s">
        <v>654</v>
      </c>
      <c r="C65" s="34" t="s">
        <v>655</v>
      </c>
      <c r="D65" s="38">
        <v>20.233333587646484</v>
      </c>
      <c r="E65" s="38">
        <v>11.957308769226074</v>
      </c>
      <c r="F65" s="40">
        <v>487837</v>
      </c>
      <c r="G65" s="34" t="s">
        <v>656</v>
      </c>
      <c r="H65" s="34" t="s">
        <v>115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36">
        <v>38313.15625</v>
      </c>
      <c r="B66" s="34" t="s">
        <v>654</v>
      </c>
      <c r="C66" s="34" t="s">
        <v>655</v>
      </c>
      <c r="D66" s="38">
        <v>20.15333366394043</v>
      </c>
      <c r="E66" s="38">
        <v>11.910037040710449</v>
      </c>
      <c r="F66" s="40">
        <v>300547</v>
      </c>
      <c r="G66" s="34" t="s">
        <v>656</v>
      </c>
      <c r="H66" s="34" t="s">
        <v>115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36">
        <v>38314.15625</v>
      </c>
      <c r="B67" s="34" t="s">
        <v>654</v>
      </c>
      <c r="C67" s="34" t="s">
        <v>655</v>
      </c>
      <c r="D67" s="38">
        <v>20.313333511352539</v>
      </c>
      <c r="E67" s="38">
        <v>12.004590034484863</v>
      </c>
      <c r="F67" s="40">
        <v>355282</v>
      </c>
      <c r="G67" s="34" t="s">
        <v>656</v>
      </c>
      <c r="H67" s="34" t="s">
        <v>115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36">
        <v>38315.15625</v>
      </c>
      <c r="B68" s="34" t="s">
        <v>654</v>
      </c>
      <c r="C68" s="34" t="s">
        <v>655</v>
      </c>
      <c r="D68" s="38">
        <v>20.233333587646484</v>
      </c>
      <c r="E68" s="38">
        <v>11.957308769226074</v>
      </c>
      <c r="F68" s="40">
        <v>331027</v>
      </c>
      <c r="G68" s="34" t="s">
        <v>656</v>
      </c>
      <c r="H68" s="34" t="s">
        <v>115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36">
        <v>38316.15625</v>
      </c>
      <c r="B69" s="34" t="s">
        <v>654</v>
      </c>
      <c r="C69" s="34" t="s">
        <v>655</v>
      </c>
      <c r="D69" s="38">
        <v>20.100000381469727</v>
      </c>
      <c r="E69" s="38">
        <v>11.878513336181641</v>
      </c>
      <c r="F69" s="40">
        <v>378292</v>
      </c>
      <c r="G69" s="34" t="s">
        <v>656</v>
      </c>
      <c r="H69" s="34" t="s">
        <v>115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36">
        <v>38317.15625</v>
      </c>
      <c r="B70" s="34" t="s">
        <v>654</v>
      </c>
      <c r="C70" s="34" t="s">
        <v>655</v>
      </c>
      <c r="D70" s="38">
        <v>20.100000381469727</v>
      </c>
      <c r="E70" s="38">
        <v>11.878513336181641</v>
      </c>
      <c r="F70" s="40">
        <v>0</v>
      </c>
      <c r="G70" s="34" t="s">
        <v>656</v>
      </c>
      <c r="H70" s="34" t="s">
        <v>115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36">
        <v>38320.15625</v>
      </c>
      <c r="B71" s="34" t="s">
        <v>654</v>
      </c>
      <c r="C71" s="34" t="s">
        <v>655</v>
      </c>
      <c r="D71" s="38">
        <v>21.173332214355469</v>
      </c>
      <c r="E71" s="38">
        <v>12.512825965881348</v>
      </c>
      <c r="F71" s="40">
        <v>1624245</v>
      </c>
      <c r="G71" s="34" t="s">
        <v>656</v>
      </c>
      <c r="H71" s="34" t="s">
        <v>115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36">
        <v>38321.15625</v>
      </c>
      <c r="B72" s="34" t="s">
        <v>654</v>
      </c>
      <c r="C72" s="34" t="s">
        <v>655</v>
      </c>
      <c r="D72" s="38">
        <v>20.873332977294922</v>
      </c>
      <c r="E72" s="38">
        <v>12.335536003112793</v>
      </c>
      <c r="F72" s="40">
        <v>1347075</v>
      </c>
      <c r="G72" s="34" t="s">
        <v>656</v>
      </c>
      <c r="H72" s="34" t="s">
        <v>115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36">
        <v>38322.15625</v>
      </c>
      <c r="B73" s="34" t="s">
        <v>654</v>
      </c>
      <c r="C73" s="34" t="s">
        <v>655</v>
      </c>
      <c r="D73" s="38">
        <v>20.526666641235352</v>
      </c>
      <c r="E73" s="38">
        <v>12.130664825439453</v>
      </c>
      <c r="F73" s="40">
        <v>837930</v>
      </c>
      <c r="G73" s="34" t="s">
        <v>656</v>
      </c>
      <c r="H73" s="34" t="s">
        <v>115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36">
        <v>38323.15625</v>
      </c>
      <c r="B74" s="34" t="s">
        <v>654</v>
      </c>
      <c r="C74" s="34" t="s">
        <v>655</v>
      </c>
      <c r="D74" s="38">
        <v>20.426666259765625</v>
      </c>
      <c r="E74" s="38">
        <v>12.071567535400391</v>
      </c>
      <c r="F74" s="40">
        <v>614452</v>
      </c>
      <c r="G74" s="34" t="s">
        <v>656</v>
      </c>
      <c r="H74" s="34" t="s">
        <v>115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36">
        <v>38324.15625</v>
      </c>
      <c r="B75" s="34" t="s">
        <v>654</v>
      </c>
      <c r="C75" s="34" t="s">
        <v>655</v>
      </c>
      <c r="D75" s="38">
        <v>20.293333053588867</v>
      </c>
      <c r="E75" s="38">
        <v>11.992770195007324</v>
      </c>
      <c r="F75" s="40">
        <v>413685</v>
      </c>
      <c r="G75" s="34" t="s">
        <v>656</v>
      </c>
      <c r="H75" s="34" t="s">
        <v>115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36">
        <v>38327.15625</v>
      </c>
      <c r="B76" s="34" t="s">
        <v>654</v>
      </c>
      <c r="C76" s="34" t="s">
        <v>655</v>
      </c>
      <c r="D76" s="38">
        <v>20.059999465942383</v>
      </c>
      <c r="E76" s="38">
        <v>11.854874610900879</v>
      </c>
      <c r="F76" s="40">
        <v>350910</v>
      </c>
      <c r="G76" s="34" t="s">
        <v>656</v>
      </c>
      <c r="H76" s="34" t="s">
        <v>115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36">
        <v>38328.15625</v>
      </c>
      <c r="B77" s="34" t="s">
        <v>654</v>
      </c>
      <c r="C77" s="34" t="s">
        <v>655</v>
      </c>
      <c r="D77" s="38">
        <v>19.833332061767578</v>
      </c>
      <c r="E77" s="38">
        <v>11.720920562744141</v>
      </c>
      <c r="F77" s="40">
        <v>588885</v>
      </c>
      <c r="G77" s="34" t="s">
        <v>656</v>
      </c>
      <c r="H77" s="34" t="s">
        <v>115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36">
        <v>38329.15625</v>
      </c>
      <c r="B78" s="34" t="s">
        <v>654</v>
      </c>
      <c r="C78" s="34" t="s">
        <v>655</v>
      </c>
      <c r="D78" s="38">
        <v>20.00666618347168</v>
      </c>
      <c r="E78" s="38">
        <v>11.823358535766602</v>
      </c>
      <c r="F78" s="40">
        <v>461475</v>
      </c>
      <c r="G78" s="34" t="s">
        <v>656</v>
      </c>
      <c r="H78" s="34" t="s">
        <v>115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36">
        <v>38330.15625</v>
      </c>
      <c r="B79" s="34" t="s">
        <v>654</v>
      </c>
      <c r="C79" s="34" t="s">
        <v>655</v>
      </c>
      <c r="D79" s="38">
        <v>19.766666412353516</v>
      </c>
      <c r="E79" s="38">
        <v>11.681524276733398</v>
      </c>
      <c r="F79" s="40">
        <v>305257</v>
      </c>
      <c r="G79" s="34" t="s">
        <v>656</v>
      </c>
      <c r="H79" s="34" t="s">
        <v>115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36">
        <v>38331.15625</v>
      </c>
      <c r="B80" s="34" t="s">
        <v>654</v>
      </c>
      <c r="C80" s="34" t="s">
        <v>655</v>
      </c>
      <c r="D80" s="38">
        <v>20.406665802001953</v>
      </c>
      <c r="E80" s="38">
        <v>12.059746742248535</v>
      </c>
      <c r="F80" s="40">
        <v>1309980</v>
      </c>
      <c r="G80" s="34" t="s">
        <v>656</v>
      </c>
      <c r="H80" s="34" t="s">
        <v>115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36">
        <v>38334.15625</v>
      </c>
      <c r="B81" s="34" t="s">
        <v>654</v>
      </c>
      <c r="C81" s="34" t="s">
        <v>655</v>
      </c>
      <c r="D81" s="38">
        <v>20.399999618530273</v>
      </c>
      <c r="E81" s="38">
        <v>12.055810928344727</v>
      </c>
      <c r="F81" s="40">
        <v>590730</v>
      </c>
      <c r="G81" s="34" t="s">
        <v>656</v>
      </c>
      <c r="H81" s="34" t="s">
        <v>115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36">
        <v>38335.15625</v>
      </c>
      <c r="B82" s="34" t="s">
        <v>654</v>
      </c>
      <c r="C82" s="34" t="s">
        <v>655</v>
      </c>
      <c r="D82" s="38">
        <v>20.266666412353516</v>
      </c>
      <c r="E82" s="38">
        <v>11.977010726928711</v>
      </c>
      <c r="F82" s="40">
        <v>348082</v>
      </c>
      <c r="G82" s="34" t="s">
        <v>656</v>
      </c>
      <c r="H82" s="34" t="s">
        <v>115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36">
        <v>38336.15625</v>
      </c>
      <c r="B83" s="34" t="s">
        <v>654</v>
      </c>
      <c r="C83" s="34" t="s">
        <v>655</v>
      </c>
      <c r="D83" s="38">
        <v>20.466665267944336</v>
      </c>
      <c r="E83" s="38">
        <v>12.095203399658203</v>
      </c>
      <c r="F83" s="40">
        <v>719497</v>
      </c>
      <c r="G83" s="34" t="s">
        <v>656</v>
      </c>
      <c r="H83" s="34" t="s">
        <v>115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36">
        <v>38337.15625</v>
      </c>
      <c r="B84" s="34" t="s">
        <v>654</v>
      </c>
      <c r="C84" s="34" t="s">
        <v>655</v>
      </c>
      <c r="D84" s="38">
        <v>20.533332824707031</v>
      </c>
      <c r="E84" s="38">
        <v>12.134604454040527</v>
      </c>
      <c r="F84" s="40">
        <v>735007</v>
      </c>
      <c r="G84" s="34" t="s">
        <v>656</v>
      </c>
      <c r="H84" s="34" t="s">
        <v>115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36">
        <v>38338.15625</v>
      </c>
      <c r="B85" s="34" t="s">
        <v>654</v>
      </c>
      <c r="C85" s="34" t="s">
        <v>655</v>
      </c>
      <c r="D85" s="38">
        <v>20.073333740234375</v>
      </c>
      <c r="E85" s="38">
        <v>11.862757682800293</v>
      </c>
      <c r="F85" s="40">
        <v>353392</v>
      </c>
      <c r="G85" s="34" t="s">
        <v>656</v>
      </c>
      <c r="H85" s="34" t="s">
        <v>115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36">
        <v>38341.15625</v>
      </c>
      <c r="B86" s="34" t="s">
        <v>654</v>
      </c>
      <c r="C86" s="34" t="s">
        <v>655</v>
      </c>
      <c r="D86" s="38">
        <v>20.193332672119141</v>
      </c>
      <c r="E86" s="38">
        <v>11.933672904968262</v>
      </c>
      <c r="F86" s="40">
        <v>420120</v>
      </c>
      <c r="G86" s="34" t="s">
        <v>656</v>
      </c>
      <c r="H86" s="34" t="s">
        <v>115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36">
        <v>38342.15625</v>
      </c>
      <c r="B87" s="34" t="s">
        <v>654</v>
      </c>
      <c r="C87" s="34" t="s">
        <v>655</v>
      </c>
      <c r="D87" s="38">
        <v>20.133333206176758</v>
      </c>
      <c r="E87" s="38">
        <v>11.898215293884277</v>
      </c>
      <c r="F87" s="40">
        <v>389617</v>
      </c>
      <c r="G87" s="34" t="s">
        <v>656</v>
      </c>
      <c r="H87" s="34" t="s">
        <v>115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36">
        <v>38343.15625</v>
      </c>
      <c r="B88" s="34" t="s">
        <v>654</v>
      </c>
      <c r="C88" s="34" t="s">
        <v>655</v>
      </c>
      <c r="D88" s="38">
        <v>20.126665115356445</v>
      </c>
      <c r="E88" s="38">
        <v>11.894274711608887</v>
      </c>
      <c r="F88" s="40">
        <v>663480</v>
      </c>
      <c r="G88" s="34" t="s">
        <v>656</v>
      </c>
      <c r="H88" s="34" t="s">
        <v>115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36">
        <v>38344.15625</v>
      </c>
      <c r="B89" s="34" t="s">
        <v>654</v>
      </c>
      <c r="C89" s="34" t="s">
        <v>655</v>
      </c>
      <c r="D89" s="38">
        <v>20.760000228881836</v>
      </c>
      <c r="E89" s="38">
        <v>12.268558502197266</v>
      </c>
      <c r="F89" s="40">
        <v>2113552</v>
      </c>
      <c r="G89" s="34" t="s">
        <v>656</v>
      </c>
      <c r="H89" s="34" t="s">
        <v>115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36">
        <v>38345.15625</v>
      </c>
      <c r="B90" s="34" t="s">
        <v>654</v>
      </c>
      <c r="C90" s="34" t="s">
        <v>655</v>
      </c>
      <c r="D90" s="38">
        <v>20.233333587646484</v>
      </c>
      <c r="E90" s="38">
        <v>11.957308769226074</v>
      </c>
      <c r="F90" s="40">
        <v>680407</v>
      </c>
      <c r="G90" s="34" t="s">
        <v>656</v>
      </c>
      <c r="H90" s="34" t="s">
        <v>115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36">
        <v>38348.15625</v>
      </c>
      <c r="B91" s="34" t="s">
        <v>654</v>
      </c>
      <c r="C91" s="34" t="s">
        <v>655</v>
      </c>
      <c r="D91" s="38">
        <v>20.093332290649414</v>
      </c>
      <c r="E91" s="38">
        <v>11.874575614929199</v>
      </c>
      <c r="F91" s="40">
        <v>659137</v>
      </c>
      <c r="G91" s="34" t="s">
        <v>656</v>
      </c>
      <c r="H91" s="34" t="s">
        <v>115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36">
        <v>38349.15625</v>
      </c>
      <c r="B92" s="34" t="s">
        <v>654</v>
      </c>
      <c r="C92" s="34" t="s">
        <v>655</v>
      </c>
      <c r="D92" s="38">
        <v>20.106666564941406</v>
      </c>
      <c r="E92" s="38">
        <v>11.882452964782715</v>
      </c>
      <c r="F92" s="40">
        <v>351112</v>
      </c>
      <c r="G92" s="34" t="s">
        <v>656</v>
      </c>
      <c r="H92" s="34" t="s">
        <v>115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36">
        <v>38350.15625</v>
      </c>
      <c r="B93" s="34" t="s">
        <v>654</v>
      </c>
      <c r="C93" s="34" t="s">
        <v>655</v>
      </c>
      <c r="D93" s="38">
        <v>20.180000305175781</v>
      </c>
      <c r="E93" s="38">
        <v>11.925792694091797</v>
      </c>
      <c r="F93" s="40">
        <v>403357</v>
      </c>
      <c r="G93" s="34" t="s">
        <v>656</v>
      </c>
      <c r="H93" s="34" t="s">
        <v>115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36">
        <v>38351.15625</v>
      </c>
      <c r="B94" s="34" t="s">
        <v>654</v>
      </c>
      <c r="C94" s="34" t="s">
        <v>655</v>
      </c>
      <c r="D94" s="38">
        <v>19.953332901000977</v>
      </c>
      <c r="E94" s="38">
        <v>11.791836738586426</v>
      </c>
      <c r="F94" s="40">
        <v>499882</v>
      </c>
      <c r="G94" s="34" t="s">
        <v>656</v>
      </c>
      <c r="H94" s="34" t="s">
        <v>115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36">
        <v>38352.15625</v>
      </c>
      <c r="B95" s="34" t="s">
        <v>654</v>
      </c>
      <c r="C95" s="34" t="s">
        <v>655</v>
      </c>
      <c r="D95" s="38">
        <v>20.026666641235352</v>
      </c>
      <c r="E95" s="38">
        <v>11.83518123626709</v>
      </c>
      <c r="F95" s="40">
        <v>435480</v>
      </c>
      <c r="G95" s="34" t="s">
        <v>656</v>
      </c>
      <c r="H95" s="34" t="s">
        <v>115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36">
        <v>38355.15625</v>
      </c>
      <c r="B96" s="34" t="s">
        <v>654</v>
      </c>
      <c r="C96" s="34" t="s">
        <v>655</v>
      </c>
      <c r="D96" s="38">
        <v>20.313333511352539</v>
      </c>
      <c r="E96" s="38">
        <v>12.004590034484863</v>
      </c>
      <c r="F96" s="40">
        <v>711285</v>
      </c>
      <c r="G96" s="34" t="s">
        <v>656</v>
      </c>
      <c r="H96" s="34" t="s">
        <v>115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36">
        <v>38356.15625</v>
      </c>
      <c r="B97" s="34" t="s">
        <v>654</v>
      </c>
      <c r="C97" s="34" t="s">
        <v>655</v>
      </c>
      <c r="D97" s="38">
        <v>20.65333366394043</v>
      </c>
      <c r="E97" s="38">
        <v>12.205523490905762</v>
      </c>
      <c r="F97" s="40">
        <v>1340317</v>
      </c>
      <c r="G97" s="34" t="s">
        <v>656</v>
      </c>
      <c r="H97" s="34" t="s">
        <v>115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36">
        <v>38357.15625</v>
      </c>
      <c r="B98" s="34" t="s">
        <v>654</v>
      </c>
      <c r="C98" s="34" t="s">
        <v>655</v>
      </c>
      <c r="D98" s="38">
        <v>19.833332061767578</v>
      </c>
      <c r="E98" s="38">
        <v>11.720920562744141</v>
      </c>
      <c r="F98" s="40">
        <v>1235700</v>
      </c>
      <c r="G98" s="34" t="s">
        <v>656</v>
      </c>
      <c r="H98" s="34" t="s">
        <v>115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36">
        <v>38358.15625</v>
      </c>
      <c r="B99" s="34" t="s">
        <v>654</v>
      </c>
      <c r="C99" s="34" t="s">
        <v>655</v>
      </c>
      <c r="D99" s="38">
        <v>19.739999771118164</v>
      </c>
      <c r="E99" s="38">
        <v>11.665766716003418</v>
      </c>
      <c r="F99" s="40">
        <v>660705</v>
      </c>
      <c r="G99" s="34" t="s">
        <v>656</v>
      </c>
      <c r="H99" s="34" t="s">
        <v>115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36">
        <v>38359.15625</v>
      </c>
      <c r="B100" s="34" t="s">
        <v>654</v>
      </c>
      <c r="C100" s="34" t="s">
        <v>655</v>
      </c>
      <c r="D100" s="38">
        <v>19.706666946411133</v>
      </c>
      <c r="E100" s="38">
        <v>11.646068572998047</v>
      </c>
      <c r="F100" s="40">
        <v>461895</v>
      </c>
      <c r="G100" s="34" t="s">
        <v>656</v>
      </c>
      <c r="H100" s="34" t="s">
        <v>115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36">
        <v>38362.15625</v>
      </c>
      <c r="B101" s="34" t="s">
        <v>654</v>
      </c>
      <c r="C101" s="34" t="s">
        <v>655</v>
      </c>
      <c r="D101" s="38">
        <v>19.680000305175781</v>
      </c>
      <c r="E101" s="38">
        <v>11.630309104919434</v>
      </c>
      <c r="F101" s="40">
        <v>374602</v>
      </c>
      <c r="G101" s="34" t="s">
        <v>656</v>
      </c>
      <c r="H101" s="34" t="s">
        <v>115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36">
        <v>38363.15625</v>
      </c>
      <c r="B102" s="34" t="s">
        <v>654</v>
      </c>
      <c r="C102" s="34" t="s">
        <v>655</v>
      </c>
      <c r="D102" s="38">
        <v>19.213333129882813</v>
      </c>
      <c r="E102" s="38">
        <v>11.354523658752441</v>
      </c>
      <c r="F102" s="40">
        <v>435735</v>
      </c>
      <c r="G102" s="34" t="s">
        <v>656</v>
      </c>
      <c r="H102" s="34" t="s">
        <v>115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36">
        <v>38364.15625</v>
      </c>
      <c r="B103" s="34" t="s">
        <v>654</v>
      </c>
      <c r="C103" s="34" t="s">
        <v>655</v>
      </c>
      <c r="D103" s="38">
        <v>18.073333740234375</v>
      </c>
      <c r="E103" s="38">
        <v>10.680813789367676</v>
      </c>
      <c r="F103" s="40">
        <v>556590</v>
      </c>
      <c r="G103" s="34" t="s">
        <v>656</v>
      </c>
      <c r="H103" s="34" t="s">
        <v>115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36">
        <v>38365.15625</v>
      </c>
      <c r="B104" s="34" t="s">
        <v>654</v>
      </c>
      <c r="C104" s="34" t="s">
        <v>655</v>
      </c>
      <c r="D104" s="38">
        <v>18.546665191650391</v>
      </c>
      <c r="E104" s="38">
        <v>10.960539817810059</v>
      </c>
      <c r="F104" s="40">
        <v>340530</v>
      </c>
      <c r="G104" s="34" t="s">
        <v>656</v>
      </c>
      <c r="H104" s="34" t="s">
        <v>115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36">
        <v>38366.15625</v>
      </c>
      <c r="B105" s="34" t="s">
        <v>654</v>
      </c>
      <c r="C105" s="34" t="s">
        <v>655</v>
      </c>
      <c r="D105" s="38">
        <v>18.520000457763672</v>
      </c>
      <c r="E105" s="38">
        <v>10.944782257080078</v>
      </c>
      <c r="F105" s="40">
        <v>239580</v>
      </c>
      <c r="G105" s="34" t="s">
        <v>656</v>
      </c>
      <c r="H105" s="34" t="s">
        <v>115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36">
        <v>38369.15625</v>
      </c>
      <c r="B106" s="34" t="s">
        <v>654</v>
      </c>
      <c r="C106" s="34" t="s">
        <v>655</v>
      </c>
      <c r="D106" s="38">
        <v>18.100000381469727</v>
      </c>
      <c r="E106" s="38">
        <v>10.696573257446289</v>
      </c>
      <c r="F106" s="40">
        <v>161272</v>
      </c>
      <c r="G106" s="34" t="s">
        <v>656</v>
      </c>
      <c r="H106" s="34" t="s">
        <v>115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36">
        <v>38370.15625</v>
      </c>
      <c r="B107" s="34" t="s">
        <v>654</v>
      </c>
      <c r="C107" s="34" t="s">
        <v>655</v>
      </c>
      <c r="D107" s="38">
        <v>18.426666259765625</v>
      </c>
      <c r="E107" s="38">
        <v>10.889626502990723</v>
      </c>
      <c r="F107" s="40">
        <v>244492</v>
      </c>
      <c r="G107" s="34" t="s">
        <v>656</v>
      </c>
      <c r="H107" s="34" t="s">
        <v>115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36">
        <v>38371.15625</v>
      </c>
      <c r="B108" s="34" t="s">
        <v>654</v>
      </c>
      <c r="C108" s="34" t="s">
        <v>655</v>
      </c>
      <c r="D108" s="38">
        <v>18.126665115356445</v>
      </c>
      <c r="E108" s="38">
        <v>10.712331771850586</v>
      </c>
      <c r="F108" s="40">
        <v>224730</v>
      </c>
      <c r="G108" s="34" t="s">
        <v>656</v>
      </c>
      <c r="H108" s="34" t="s">
        <v>115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36">
        <v>38372.15625</v>
      </c>
      <c r="B109" s="34" t="s">
        <v>654</v>
      </c>
      <c r="C109" s="34" t="s">
        <v>655</v>
      </c>
      <c r="D109" s="38">
        <v>17.920000076293945</v>
      </c>
      <c r="E109" s="38">
        <v>10.590198516845703</v>
      </c>
      <c r="F109" s="40">
        <v>161760</v>
      </c>
      <c r="G109" s="34" t="s">
        <v>656</v>
      </c>
      <c r="H109" s="34" t="s">
        <v>115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36">
        <v>38376.15625</v>
      </c>
      <c r="B110" s="34" t="s">
        <v>654</v>
      </c>
      <c r="C110" s="34" t="s">
        <v>655</v>
      </c>
      <c r="D110" s="38">
        <v>18.219999313354492</v>
      </c>
      <c r="E110" s="38">
        <v>10.767489433288574</v>
      </c>
      <c r="F110" s="40">
        <v>640395</v>
      </c>
      <c r="G110" s="34" t="s">
        <v>656</v>
      </c>
      <c r="H110" s="34" t="s">
        <v>115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36">
        <v>38377.15625</v>
      </c>
      <c r="B111" s="34" t="s">
        <v>654</v>
      </c>
      <c r="C111" s="34" t="s">
        <v>655</v>
      </c>
      <c r="D111" s="38">
        <v>18.319999694824219</v>
      </c>
      <c r="E111" s="38">
        <v>10.826586723327637</v>
      </c>
      <c r="F111" s="40">
        <v>321412</v>
      </c>
      <c r="G111" s="34" t="s">
        <v>656</v>
      </c>
      <c r="H111" s="34" t="s">
        <v>115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36">
        <v>38379.15625</v>
      </c>
      <c r="B112" s="34" t="s">
        <v>654</v>
      </c>
      <c r="C112" s="34" t="s">
        <v>655</v>
      </c>
      <c r="D112" s="38">
        <v>18.50666618347168</v>
      </c>
      <c r="E112" s="38">
        <v>10.936902046203613</v>
      </c>
      <c r="F112" s="40">
        <v>383092</v>
      </c>
      <c r="G112" s="34" t="s">
        <v>656</v>
      </c>
      <c r="H112" s="34" t="s">
        <v>115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36">
        <v>38380.15625</v>
      </c>
      <c r="B113" s="34" t="s">
        <v>654</v>
      </c>
      <c r="C113" s="34" t="s">
        <v>655</v>
      </c>
      <c r="D113" s="38">
        <v>18.433332443237305</v>
      </c>
      <c r="E113" s="38">
        <v>10.893560409545898</v>
      </c>
      <c r="F113" s="40">
        <v>306645</v>
      </c>
      <c r="G113" s="34" t="s">
        <v>656</v>
      </c>
      <c r="H113" s="34" t="s">
        <v>115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36">
        <v>38383.15625</v>
      </c>
      <c r="B114" s="34" t="s">
        <v>654</v>
      </c>
      <c r="C114" s="34" t="s">
        <v>655</v>
      </c>
      <c r="D114" s="38">
        <v>18.586666107177734</v>
      </c>
      <c r="E114" s="38">
        <v>10.984182357788086</v>
      </c>
      <c r="F114" s="40">
        <v>300375</v>
      </c>
      <c r="G114" s="34" t="s">
        <v>656</v>
      </c>
      <c r="H114" s="34" t="s">
        <v>115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36">
        <v>38384.15625</v>
      </c>
      <c r="B115" s="34" t="s">
        <v>654</v>
      </c>
      <c r="C115" s="34" t="s">
        <v>655</v>
      </c>
      <c r="D115" s="38">
        <v>18.34666633605957</v>
      </c>
      <c r="E115" s="38">
        <v>10.842345237731934</v>
      </c>
      <c r="F115" s="40">
        <v>297975</v>
      </c>
      <c r="G115" s="34" t="s">
        <v>656</v>
      </c>
      <c r="H115" s="34" t="s">
        <v>115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36">
        <v>38385.15625</v>
      </c>
      <c r="B116" s="34" t="s">
        <v>654</v>
      </c>
      <c r="C116" s="34" t="s">
        <v>655</v>
      </c>
      <c r="D116" s="38">
        <v>18.340000152587891</v>
      </c>
      <c r="E116" s="38">
        <v>10.838406562805176</v>
      </c>
      <c r="F116" s="40">
        <v>179610</v>
      </c>
      <c r="G116" s="34" t="s">
        <v>656</v>
      </c>
      <c r="H116" s="34" t="s">
        <v>115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36">
        <v>38386.15625</v>
      </c>
      <c r="B117" s="34" t="s">
        <v>654</v>
      </c>
      <c r="C117" s="34" t="s">
        <v>655</v>
      </c>
      <c r="D117" s="38">
        <v>18.413333892822266</v>
      </c>
      <c r="E117" s="38">
        <v>10.881745338439941</v>
      </c>
      <c r="F117" s="40">
        <v>347910</v>
      </c>
      <c r="G117" s="34" t="s">
        <v>656</v>
      </c>
      <c r="H117" s="34" t="s">
        <v>115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36">
        <v>38387.15625</v>
      </c>
      <c r="B118" s="34" t="s">
        <v>654</v>
      </c>
      <c r="C118" s="34" t="s">
        <v>655</v>
      </c>
      <c r="D118" s="38">
        <v>18.299999237060547</v>
      </c>
      <c r="E118" s="38">
        <v>10.814767837524414</v>
      </c>
      <c r="F118" s="40">
        <v>218460</v>
      </c>
      <c r="G118" s="34" t="s">
        <v>656</v>
      </c>
      <c r="H118" s="34" t="s">
        <v>115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36">
        <v>38390.15625</v>
      </c>
      <c r="B119" s="34" t="s">
        <v>654</v>
      </c>
      <c r="C119" s="34" t="s">
        <v>655</v>
      </c>
      <c r="D119" s="38">
        <v>18.200000762939453</v>
      </c>
      <c r="E119" s="38">
        <v>10.755669593811035</v>
      </c>
      <c r="F119" s="40">
        <v>364522</v>
      </c>
      <c r="G119" s="34" t="s">
        <v>656</v>
      </c>
      <c r="H119" s="34" t="s">
        <v>115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36">
        <v>38391.15625</v>
      </c>
      <c r="B120" s="34" t="s">
        <v>654</v>
      </c>
      <c r="C120" s="34" t="s">
        <v>655</v>
      </c>
      <c r="D120" s="38">
        <v>18.166666030883789</v>
      </c>
      <c r="E120" s="38">
        <v>10.735974311828613</v>
      </c>
      <c r="F120" s="40">
        <v>274665</v>
      </c>
      <c r="G120" s="34" t="s">
        <v>656</v>
      </c>
      <c r="H120" s="34" t="s">
        <v>115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36">
        <v>38392.15625</v>
      </c>
      <c r="B121" s="34" t="s">
        <v>654</v>
      </c>
      <c r="C121" s="34" t="s">
        <v>655</v>
      </c>
      <c r="D121" s="38">
        <v>19.273332595825195</v>
      </c>
      <c r="E121" s="38">
        <v>11.389981269836426</v>
      </c>
      <c r="F121" s="40">
        <v>2127255</v>
      </c>
      <c r="G121" s="34" t="s">
        <v>656</v>
      </c>
      <c r="H121" s="34" t="s">
        <v>115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36">
        <v>38393.15625</v>
      </c>
      <c r="B122" s="34" t="s">
        <v>654</v>
      </c>
      <c r="C122" s="34" t="s">
        <v>655</v>
      </c>
      <c r="D122" s="38">
        <v>19.040000915527344</v>
      </c>
      <c r="E122" s="38">
        <v>11.25208854675293</v>
      </c>
      <c r="F122" s="40">
        <v>1389600</v>
      </c>
      <c r="G122" s="34" t="s">
        <v>656</v>
      </c>
      <c r="H122" s="34" t="s">
        <v>115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36">
        <v>38394.15625</v>
      </c>
      <c r="B123" s="34" t="s">
        <v>654</v>
      </c>
      <c r="C123" s="34" t="s">
        <v>655</v>
      </c>
      <c r="D123" s="38">
        <v>19.159999847412109</v>
      </c>
      <c r="E123" s="38">
        <v>11.323003768920898</v>
      </c>
      <c r="F123" s="40">
        <v>664380</v>
      </c>
      <c r="G123" s="34" t="s">
        <v>656</v>
      </c>
      <c r="H123" s="34" t="s">
        <v>115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36">
        <v>38397.15625</v>
      </c>
      <c r="B124" s="34" t="s">
        <v>654</v>
      </c>
      <c r="C124" s="34" t="s">
        <v>655</v>
      </c>
      <c r="D124" s="38">
        <v>19.35333251953125</v>
      </c>
      <c r="E124" s="38">
        <v>11.437256813049316</v>
      </c>
      <c r="F124" s="40">
        <v>962535</v>
      </c>
      <c r="G124" s="34" t="s">
        <v>656</v>
      </c>
      <c r="H124" s="34" t="s">
        <v>115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36">
        <v>38398.15625</v>
      </c>
      <c r="B125" s="34" t="s">
        <v>654</v>
      </c>
      <c r="C125" s="34" t="s">
        <v>655</v>
      </c>
      <c r="D125" s="38">
        <v>18.893333435058594</v>
      </c>
      <c r="E125" s="38">
        <v>11.165411949157715</v>
      </c>
      <c r="F125" s="40">
        <v>601027</v>
      </c>
      <c r="G125" s="34" t="s">
        <v>656</v>
      </c>
      <c r="H125" s="34" t="s">
        <v>115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36">
        <v>38399.15625</v>
      </c>
      <c r="B126" s="34" t="s">
        <v>654</v>
      </c>
      <c r="C126" s="34" t="s">
        <v>655</v>
      </c>
      <c r="D126" s="38">
        <v>18.5</v>
      </c>
      <c r="E126" s="38">
        <v>10.93295955657959</v>
      </c>
      <c r="F126" s="40">
        <v>501030</v>
      </c>
      <c r="G126" s="34" t="s">
        <v>656</v>
      </c>
      <c r="H126" s="34" t="s">
        <v>115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36">
        <v>38400.15625</v>
      </c>
      <c r="B127" s="34" t="s">
        <v>654</v>
      </c>
      <c r="C127" s="34" t="s">
        <v>655</v>
      </c>
      <c r="D127" s="38">
        <v>18.540000915527344</v>
      </c>
      <c r="E127" s="38">
        <v>10.956601142883301</v>
      </c>
      <c r="F127" s="40">
        <v>307935</v>
      </c>
      <c r="G127" s="34" t="s">
        <v>656</v>
      </c>
      <c r="H127" s="34" t="s">
        <v>115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36">
        <v>38401.15625</v>
      </c>
      <c r="B128" s="34" t="s">
        <v>654</v>
      </c>
      <c r="C128" s="34" t="s">
        <v>655</v>
      </c>
      <c r="D128" s="38">
        <v>18.473333358764648</v>
      </c>
      <c r="E128" s="38">
        <v>10.917202949523926</v>
      </c>
      <c r="F128" s="40">
        <v>404865</v>
      </c>
      <c r="G128" s="34" t="s">
        <v>656</v>
      </c>
      <c r="H128" s="34" t="s">
        <v>115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36">
        <v>38404.15625</v>
      </c>
      <c r="B129" s="34" t="s">
        <v>654</v>
      </c>
      <c r="C129" s="34" t="s">
        <v>655</v>
      </c>
      <c r="D129" s="38">
        <v>18.386665344238281</v>
      </c>
      <c r="E129" s="38">
        <v>10.865987777709961</v>
      </c>
      <c r="F129" s="40">
        <v>231585</v>
      </c>
      <c r="G129" s="34" t="s">
        <v>656</v>
      </c>
      <c r="H129" s="34" t="s">
        <v>115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36">
        <v>38405.15625</v>
      </c>
      <c r="B130" s="34" t="s">
        <v>654</v>
      </c>
      <c r="C130" s="34" t="s">
        <v>655</v>
      </c>
      <c r="D130" s="38">
        <v>18.280000686645508</v>
      </c>
      <c r="E130" s="38">
        <v>10.802947998046875</v>
      </c>
      <c r="F130" s="40">
        <v>200880</v>
      </c>
      <c r="G130" s="34" t="s">
        <v>656</v>
      </c>
      <c r="H130" s="34" t="s">
        <v>115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36">
        <v>38406.15625</v>
      </c>
      <c r="B131" s="34" t="s">
        <v>654</v>
      </c>
      <c r="C131" s="34" t="s">
        <v>655</v>
      </c>
      <c r="D131" s="38">
        <v>18.246665954589844</v>
      </c>
      <c r="E131" s="38">
        <v>10.783251762390137</v>
      </c>
      <c r="F131" s="40">
        <v>202170</v>
      </c>
      <c r="G131" s="34" t="s">
        <v>656</v>
      </c>
      <c r="H131" s="34" t="s">
        <v>115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36">
        <v>38407.15625</v>
      </c>
      <c r="B132" s="34" t="s">
        <v>654</v>
      </c>
      <c r="C132" s="34" t="s">
        <v>655</v>
      </c>
      <c r="D132" s="38">
        <v>18.053333282470703</v>
      </c>
      <c r="E132" s="38">
        <v>10.668994903564453</v>
      </c>
      <c r="F132" s="40">
        <v>267630</v>
      </c>
      <c r="G132" s="34" t="s">
        <v>656</v>
      </c>
      <c r="H132" s="34" t="s">
        <v>115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36">
        <v>38408.15625</v>
      </c>
      <c r="B133" s="34" t="s">
        <v>654</v>
      </c>
      <c r="C133" s="34" t="s">
        <v>655</v>
      </c>
      <c r="D133" s="38">
        <v>17.713333129882813</v>
      </c>
      <c r="E133" s="38">
        <v>10.46806526184082</v>
      </c>
      <c r="F133" s="40">
        <v>306210</v>
      </c>
      <c r="G133" s="34" t="s">
        <v>656</v>
      </c>
      <c r="H133" s="34" t="s">
        <v>115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36">
        <v>38411.15625</v>
      </c>
      <c r="B134" s="34" t="s">
        <v>654</v>
      </c>
      <c r="C134" s="34" t="s">
        <v>655</v>
      </c>
      <c r="D134" s="38">
        <v>17.886665344238281</v>
      </c>
      <c r="E134" s="38">
        <v>10.570498466491699</v>
      </c>
      <c r="F134" s="40">
        <v>310260</v>
      </c>
      <c r="G134" s="34" t="s">
        <v>656</v>
      </c>
      <c r="H134" s="34" t="s">
        <v>115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36">
        <v>38412.15625</v>
      </c>
      <c r="B135" s="34" t="s">
        <v>654</v>
      </c>
      <c r="C135" s="34" t="s">
        <v>655</v>
      </c>
      <c r="D135" s="38">
        <v>17.766666412353516</v>
      </c>
      <c r="E135" s="38">
        <v>10.49958324432373</v>
      </c>
      <c r="F135" s="40">
        <v>218287</v>
      </c>
      <c r="G135" s="34" t="s">
        <v>656</v>
      </c>
      <c r="H135" s="34" t="s">
        <v>115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36">
        <v>38413.15625</v>
      </c>
      <c r="B136" s="34" t="s">
        <v>654</v>
      </c>
      <c r="C136" s="34" t="s">
        <v>655</v>
      </c>
      <c r="D136" s="38">
        <v>17.926666259765625</v>
      </c>
      <c r="E136" s="38">
        <v>10.594139099121094</v>
      </c>
      <c r="F136" s="40">
        <v>422070</v>
      </c>
      <c r="G136" s="34" t="s">
        <v>656</v>
      </c>
      <c r="H136" s="34" t="s">
        <v>115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36">
        <v>38414.15625</v>
      </c>
      <c r="B137" s="34" t="s">
        <v>654</v>
      </c>
      <c r="C137" s="34" t="s">
        <v>655</v>
      </c>
      <c r="D137" s="38">
        <v>18.753332138061523</v>
      </c>
      <c r="E137" s="38">
        <v>11.082675933837891</v>
      </c>
      <c r="F137" s="40">
        <v>999472</v>
      </c>
      <c r="G137" s="34" t="s">
        <v>656</v>
      </c>
      <c r="H137" s="34" t="s">
        <v>115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36">
        <v>38415.15625</v>
      </c>
      <c r="B138" s="34" t="s">
        <v>654</v>
      </c>
      <c r="C138" s="34" t="s">
        <v>655</v>
      </c>
      <c r="D138" s="38">
        <v>19.059999465942383</v>
      </c>
      <c r="E138" s="38">
        <v>11.26390552520752</v>
      </c>
      <c r="F138" s="40">
        <v>773962</v>
      </c>
      <c r="G138" s="34" t="s">
        <v>656</v>
      </c>
      <c r="H138" s="34" t="s">
        <v>115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36">
        <v>38418.15625</v>
      </c>
      <c r="B139" s="34" t="s">
        <v>654</v>
      </c>
      <c r="C139" s="34" t="s">
        <v>655</v>
      </c>
      <c r="D139" s="38">
        <v>19.5</v>
      </c>
      <c r="E139" s="38">
        <v>11.523935317993164</v>
      </c>
      <c r="F139" s="40">
        <v>1503810</v>
      </c>
      <c r="G139" s="34" t="s">
        <v>656</v>
      </c>
      <c r="H139" s="34" t="s">
        <v>115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36">
        <v>38419.15625</v>
      </c>
      <c r="B140" s="34" t="s">
        <v>654</v>
      </c>
      <c r="C140" s="34" t="s">
        <v>655</v>
      </c>
      <c r="D140" s="38">
        <v>20.319999694824219</v>
      </c>
      <c r="E140" s="38">
        <v>12.008527755737305</v>
      </c>
      <c r="F140" s="40">
        <v>2317590</v>
      </c>
      <c r="G140" s="34" t="s">
        <v>656</v>
      </c>
      <c r="H140" s="34" t="s">
        <v>115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36">
        <v>38420.15625</v>
      </c>
      <c r="B141" s="34" t="s">
        <v>654</v>
      </c>
      <c r="C141" s="34" t="s">
        <v>655</v>
      </c>
      <c r="D141" s="38">
        <v>20.446666717529297</v>
      </c>
      <c r="E141" s="38">
        <v>12.083385467529297</v>
      </c>
      <c r="F141" s="40">
        <v>2362852</v>
      </c>
      <c r="G141" s="34" t="s">
        <v>656</v>
      </c>
      <c r="H141" s="34" t="s">
        <v>115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36">
        <v>38421.15625</v>
      </c>
      <c r="B142" s="34" t="s">
        <v>654</v>
      </c>
      <c r="C142" s="34" t="s">
        <v>655</v>
      </c>
      <c r="D142" s="38">
        <v>20.459999084472656</v>
      </c>
      <c r="E142" s="38">
        <v>12.091261863708496</v>
      </c>
      <c r="F142" s="40">
        <v>1079130</v>
      </c>
      <c r="G142" s="34" t="s">
        <v>656</v>
      </c>
      <c r="H142" s="34" t="s">
        <v>115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36">
        <v>38422.15625</v>
      </c>
      <c r="B143" s="34" t="s">
        <v>654</v>
      </c>
      <c r="C143" s="34" t="s">
        <v>655</v>
      </c>
      <c r="D143" s="38">
        <v>20.366666793823242</v>
      </c>
      <c r="E143" s="38">
        <v>12.036104202270508</v>
      </c>
      <c r="F143" s="40">
        <v>811162</v>
      </c>
      <c r="G143" s="34" t="s">
        <v>656</v>
      </c>
      <c r="H143" s="34" t="s">
        <v>115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36">
        <v>38425.15625</v>
      </c>
      <c r="B144" s="34" t="s">
        <v>654</v>
      </c>
      <c r="C144" s="34" t="s">
        <v>655</v>
      </c>
      <c r="D144" s="38">
        <v>20.566665649414063</v>
      </c>
      <c r="E144" s="38">
        <v>12.154302597045898</v>
      </c>
      <c r="F144" s="40">
        <v>1116330</v>
      </c>
      <c r="G144" s="34" t="s">
        <v>656</v>
      </c>
      <c r="H144" s="34" t="s">
        <v>115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36">
        <v>38426.15625</v>
      </c>
      <c r="B145" s="34" t="s">
        <v>654</v>
      </c>
      <c r="C145" s="34" t="s">
        <v>655</v>
      </c>
      <c r="D145" s="38">
        <v>20.399999618530273</v>
      </c>
      <c r="E145" s="38">
        <v>12.055810928344727</v>
      </c>
      <c r="F145" s="40">
        <v>1045275</v>
      </c>
      <c r="G145" s="34" t="s">
        <v>656</v>
      </c>
      <c r="H145" s="34" t="s">
        <v>115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36">
        <v>38427.15625</v>
      </c>
      <c r="B146" s="34" t="s">
        <v>654</v>
      </c>
      <c r="C146" s="34" t="s">
        <v>655</v>
      </c>
      <c r="D146" s="38">
        <v>19.646665573120117</v>
      </c>
      <c r="E146" s="38">
        <v>11.610608100891113</v>
      </c>
      <c r="F146" s="40">
        <v>389595</v>
      </c>
      <c r="G146" s="34" t="s">
        <v>656</v>
      </c>
      <c r="H146" s="34" t="s">
        <v>115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36">
        <v>38428.15625</v>
      </c>
      <c r="B147" s="34" t="s">
        <v>654</v>
      </c>
      <c r="C147" s="34" t="s">
        <v>655</v>
      </c>
      <c r="D147" s="38">
        <v>19.166666030883789</v>
      </c>
      <c r="E147" s="38">
        <v>11.326945304870605</v>
      </c>
      <c r="F147" s="40">
        <v>308325</v>
      </c>
      <c r="G147" s="34" t="s">
        <v>656</v>
      </c>
      <c r="H147" s="34" t="s">
        <v>115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36">
        <v>38429.15625</v>
      </c>
      <c r="B148" s="34" t="s">
        <v>654</v>
      </c>
      <c r="C148" s="34" t="s">
        <v>655</v>
      </c>
      <c r="D148" s="38">
        <v>19.086666107177734</v>
      </c>
      <c r="E148" s="38">
        <v>11.279665946960449</v>
      </c>
      <c r="F148" s="40">
        <v>413025</v>
      </c>
      <c r="G148" s="34" t="s">
        <v>656</v>
      </c>
      <c r="H148" s="34" t="s">
        <v>115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36">
        <v>38432.15625</v>
      </c>
      <c r="B149" s="34" t="s">
        <v>654</v>
      </c>
      <c r="C149" s="34" t="s">
        <v>655</v>
      </c>
      <c r="D149" s="38">
        <v>19.373332977294922</v>
      </c>
      <c r="E149" s="38">
        <v>11.449075698852539</v>
      </c>
      <c r="F149" s="40">
        <v>400657</v>
      </c>
      <c r="G149" s="34" t="s">
        <v>656</v>
      </c>
      <c r="H149" s="34" t="s">
        <v>115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36">
        <v>38433.15625</v>
      </c>
      <c r="B150" s="34" t="s">
        <v>654</v>
      </c>
      <c r="C150" s="34" t="s">
        <v>655</v>
      </c>
      <c r="D150" s="38">
        <v>18.533332824707031</v>
      </c>
      <c r="E150" s="38">
        <v>10.952661514282227</v>
      </c>
      <c r="F150" s="40">
        <v>349500</v>
      </c>
      <c r="G150" s="34" t="s">
        <v>656</v>
      </c>
      <c r="H150" s="34" t="s">
        <v>115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36">
        <v>38434.15625</v>
      </c>
      <c r="B151" s="34" t="s">
        <v>654</v>
      </c>
      <c r="C151" s="34" t="s">
        <v>655</v>
      </c>
      <c r="D151" s="38">
        <v>17.760000228881836</v>
      </c>
      <c r="E151" s="38">
        <v>10.49564266204834</v>
      </c>
      <c r="F151" s="40">
        <v>474817</v>
      </c>
      <c r="G151" s="34" t="s">
        <v>656</v>
      </c>
      <c r="H151" s="34" t="s">
        <v>115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36">
        <v>38435.15625</v>
      </c>
      <c r="B152" s="34" t="s">
        <v>654</v>
      </c>
      <c r="C152" s="34" t="s">
        <v>655</v>
      </c>
      <c r="D152" s="38">
        <v>17.639999389648438</v>
      </c>
      <c r="E152" s="38">
        <v>10.424728393554688</v>
      </c>
      <c r="F152" s="40">
        <v>422197</v>
      </c>
      <c r="G152" s="34" t="s">
        <v>656</v>
      </c>
      <c r="H152" s="34" t="s">
        <v>115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36">
        <v>38439.15625</v>
      </c>
      <c r="B153" s="34" t="s">
        <v>654</v>
      </c>
      <c r="C153" s="34" t="s">
        <v>655</v>
      </c>
      <c r="D153" s="38">
        <v>16.926666259765625</v>
      </c>
      <c r="E153" s="38">
        <v>10.003169059753418</v>
      </c>
      <c r="F153" s="40">
        <v>526365</v>
      </c>
      <c r="G153" s="34" t="s">
        <v>656</v>
      </c>
      <c r="H153" s="34" t="s">
        <v>115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36">
        <v>38440.15625</v>
      </c>
      <c r="B154" s="34" t="s">
        <v>654</v>
      </c>
      <c r="C154" s="34" t="s">
        <v>655</v>
      </c>
      <c r="D154" s="38">
        <v>15.553333282470703</v>
      </c>
      <c r="E154" s="38">
        <v>9.1915674209594727</v>
      </c>
      <c r="F154" s="40">
        <v>1582215</v>
      </c>
      <c r="G154" s="34" t="s">
        <v>656</v>
      </c>
      <c r="H154" s="34" t="s">
        <v>115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36">
        <v>38441.15625</v>
      </c>
      <c r="B155" s="34" t="s">
        <v>654</v>
      </c>
      <c r="C155" s="34" t="s">
        <v>655</v>
      </c>
      <c r="D155" s="38">
        <v>16.026666641235352</v>
      </c>
      <c r="E155" s="38">
        <v>9.4712944030761719</v>
      </c>
      <c r="F155" s="40">
        <v>1167990</v>
      </c>
      <c r="G155" s="34" t="s">
        <v>656</v>
      </c>
      <c r="H155" s="34" t="s">
        <v>115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36">
        <v>38442.15625</v>
      </c>
      <c r="B156" s="34" t="s">
        <v>654</v>
      </c>
      <c r="C156" s="34" t="s">
        <v>655</v>
      </c>
      <c r="D156" s="38">
        <v>16.866666793823242</v>
      </c>
      <c r="E156" s="38">
        <v>9.9677095413208008</v>
      </c>
      <c r="F156" s="40">
        <v>1437150</v>
      </c>
      <c r="G156" s="34" t="s">
        <v>656</v>
      </c>
      <c r="H156" s="34" t="s">
        <v>115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36">
        <v>38443.15625</v>
      </c>
      <c r="B157" s="34" t="s">
        <v>654</v>
      </c>
      <c r="C157" s="34" t="s">
        <v>655</v>
      </c>
      <c r="D157" s="38">
        <v>17.200000762939453</v>
      </c>
      <c r="E157" s="38">
        <v>10.164700508117676</v>
      </c>
      <c r="F157" s="40">
        <v>1774342</v>
      </c>
      <c r="G157" s="34" t="s">
        <v>670</v>
      </c>
      <c r="H157" s="34" t="s">
        <v>115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36">
        <v>38446.15625</v>
      </c>
      <c r="B158" s="34" t="s">
        <v>654</v>
      </c>
      <c r="C158" s="34" t="s">
        <v>655</v>
      </c>
      <c r="D158" s="38">
        <v>17.673332214355469</v>
      </c>
      <c r="E158" s="38">
        <v>10.444425582885742</v>
      </c>
      <c r="F158" s="40">
        <v>849472</v>
      </c>
      <c r="G158" s="34" t="s">
        <v>670</v>
      </c>
      <c r="H158" s="34" t="s">
        <v>115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36">
        <v>38447.15625</v>
      </c>
      <c r="B159" s="34" t="s">
        <v>654</v>
      </c>
      <c r="C159" s="34" t="s">
        <v>655</v>
      </c>
      <c r="D159" s="38">
        <v>17.313333511352539</v>
      </c>
      <c r="E159" s="38">
        <v>10.231677055358887</v>
      </c>
      <c r="F159" s="40">
        <v>961560</v>
      </c>
      <c r="G159" s="34" t="s">
        <v>670</v>
      </c>
      <c r="H159" s="34" t="s">
        <v>115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36">
        <v>38448.15625</v>
      </c>
      <c r="B160" s="34" t="s">
        <v>654</v>
      </c>
      <c r="C160" s="34" t="s">
        <v>655</v>
      </c>
      <c r="D160" s="38">
        <v>16.979999542236328</v>
      </c>
      <c r="E160" s="38">
        <v>10.034686088562012</v>
      </c>
      <c r="F160" s="40">
        <v>544035</v>
      </c>
      <c r="G160" s="34" t="s">
        <v>670</v>
      </c>
      <c r="H160" s="34" t="s">
        <v>115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36">
        <v>38449.15625</v>
      </c>
      <c r="B161" s="34" t="s">
        <v>654</v>
      </c>
      <c r="C161" s="34" t="s">
        <v>655</v>
      </c>
      <c r="D161" s="38">
        <v>17.166666030883789</v>
      </c>
      <c r="E161" s="38">
        <v>10.145002365112305</v>
      </c>
      <c r="F161" s="40">
        <v>1103790</v>
      </c>
      <c r="G161" s="34" t="s">
        <v>670</v>
      </c>
      <c r="H161" s="34" t="s">
        <v>115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36">
        <v>38450.15625</v>
      </c>
      <c r="B162" s="34" t="s">
        <v>654</v>
      </c>
      <c r="C162" s="34" t="s">
        <v>655</v>
      </c>
      <c r="D162" s="38">
        <v>17.293333053588867</v>
      </c>
      <c r="E162" s="38">
        <v>10.219856262207031</v>
      </c>
      <c r="F162" s="40">
        <v>594517</v>
      </c>
      <c r="G162" s="34" t="s">
        <v>670</v>
      </c>
      <c r="H162" s="34" t="s">
        <v>115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36">
        <v>38453.15625</v>
      </c>
      <c r="B163" s="34" t="s">
        <v>654</v>
      </c>
      <c r="C163" s="34" t="s">
        <v>655</v>
      </c>
      <c r="D163" s="38">
        <v>17.193332672119141</v>
      </c>
      <c r="E163" s="38">
        <v>10.160760879516602</v>
      </c>
      <c r="F163" s="40">
        <v>419730</v>
      </c>
      <c r="G163" s="34" t="s">
        <v>670</v>
      </c>
      <c r="H163" s="34" t="s">
        <v>115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36">
        <v>38454.15625</v>
      </c>
      <c r="B164" s="34" t="s">
        <v>654</v>
      </c>
      <c r="C164" s="34" t="s">
        <v>655</v>
      </c>
      <c r="D164" s="38">
        <v>17.440000534057617</v>
      </c>
      <c r="E164" s="38">
        <v>10.306533813476563</v>
      </c>
      <c r="F164" s="40">
        <v>310770</v>
      </c>
      <c r="G164" s="34" t="s">
        <v>670</v>
      </c>
      <c r="H164" s="34" t="s">
        <v>115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36">
        <v>38455.15625</v>
      </c>
      <c r="B165" s="34" t="s">
        <v>654</v>
      </c>
      <c r="C165" s="34" t="s">
        <v>655</v>
      </c>
      <c r="D165" s="38">
        <v>18.879999160766602</v>
      </c>
      <c r="E165" s="38">
        <v>11.157533645629883</v>
      </c>
      <c r="F165" s="40">
        <v>3443137</v>
      </c>
      <c r="G165" s="34" t="s">
        <v>670</v>
      </c>
      <c r="H165" s="34" t="s">
        <v>115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36">
        <v>38457.15625</v>
      </c>
      <c r="B166" s="34" t="s">
        <v>654</v>
      </c>
      <c r="C166" s="34" t="s">
        <v>655</v>
      </c>
      <c r="D166" s="38">
        <v>17.706666946411133</v>
      </c>
      <c r="E166" s="38">
        <v>10.464126586914063</v>
      </c>
      <c r="F166" s="40">
        <v>2188102</v>
      </c>
      <c r="G166" s="34" t="s">
        <v>670</v>
      </c>
      <c r="H166" s="34" t="s">
        <v>115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36">
        <v>38460.15625</v>
      </c>
      <c r="B167" s="34" t="s">
        <v>654</v>
      </c>
      <c r="C167" s="34" t="s">
        <v>655</v>
      </c>
      <c r="D167" s="38">
        <v>17.453332901000977</v>
      </c>
      <c r="E167" s="38">
        <v>10.314412117004395</v>
      </c>
      <c r="F167" s="40">
        <v>1978147</v>
      </c>
      <c r="G167" s="34" t="s">
        <v>670</v>
      </c>
      <c r="H167" s="34" t="s">
        <v>115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36">
        <v>38461.15625</v>
      </c>
      <c r="B168" s="34" t="s">
        <v>654</v>
      </c>
      <c r="C168" s="34" t="s">
        <v>655</v>
      </c>
      <c r="D168" s="38">
        <v>16.246665954589844</v>
      </c>
      <c r="E168" s="38">
        <v>9.6013059616088867</v>
      </c>
      <c r="F168" s="40">
        <v>1288807</v>
      </c>
      <c r="G168" s="34" t="s">
        <v>670</v>
      </c>
      <c r="H168" s="34" t="s">
        <v>115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36">
        <v>38462.15625</v>
      </c>
      <c r="B169" s="34" t="s">
        <v>654</v>
      </c>
      <c r="C169" s="34" t="s">
        <v>655</v>
      </c>
      <c r="D169" s="38">
        <v>16.546665191650391</v>
      </c>
      <c r="E169" s="38">
        <v>9.7786006927490234</v>
      </c>
      <c r="F169" s="40">
        <v>1070685</v>
      </c>
      <c r="G169" s="34" t="s">
        <v>670</v>
      </c>
      <c r="H169" s="34" t="s">
        <v>115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36">
        <v>38463.15625</v>
      </c>
      <c r="B170" s="34" t="s">
        <v>654</v>
      </c>
      <c r="C170" s="34" t="s">
        <v>655</v>
      </c>
      <c r="D170" s="38">
        <v>15.953332901000977</v>
      </c>
      <c r="E170" s="38">
        <v>9.4279546737670898</v>
      </c>
      <c r="F170" s="40">
        <v>2041155</v>
      </c>
      <c r="G170" s="34" t="s">
        <v>670</v>
      </c>
      <c r="H170" s="34" t="s">
        <v>115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36">
        <v>38464.15625</v>
      </c>
      <c r="B171" s="34" t="s">
        <v>654</v>
      </c>
      <c r="C171" s="34" t="s">
        <v>655</v>
      </c>
      <c r="D171" s="38">
        <v>16.233333587646484</v>
      </c>
      <c r="E171" s="38">
        <v>9.5934286117553711</v>
      </c>
      <c r="F171" s="40">
        <v>2136592</v>
      </c>
      <c r="G171" s="34" t="s">
        <v>670</v>
      </c>
      <c r="H171" s="34" t="s">
        <v>115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36">
        <v>38467.15625</v>
      </c>
      <c r="B172" s="34" t="s">
        <v>654</v>
      </c>
      <c r="C172" s="34" t="s">
        <v>655</v>
      </c>
      <c r="D172" s="38">
        <v>17.713333129882813</v>
      </c>
      <c r="E172" s="38">
        <v>10.46806526184082</v>
      </c>
      <c r="F172" s="40">
        <v>2805645</v>
      </c>
      <c r="G172" s="34" t="s">
        <v>670</v>
      </c>
      <c r="H172" s="34" t="s">
        <v>115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36">
        <v>38468.15625</v>
      </c>
      <c r="B173" s="34" t="s">
        <v>654</v>
      </c>
      <c r="C173" s="34" t="s">
        <v>655</v>
      </c>
      <c r="D173" s="38">
        <v>17.533332824707031</v>
      </c>
      <c r="E173" s="38">
        <v>10.361688613891602</v>
      </c>
      <c r="F173" s="40">
        <v>1609627</v>
      </c>
      <c r="G173" s="34" t="s">
        <v>670</v>
      </c>
      <c r="H173" s="34" t="s">
        <v>115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36">
        <v>38469.15625</v>
      </c>
      <c r="B174" s="34" t="s">
        <v>654</v>
      </c>
      <c r="C174" s="34" t="s">
        <v>655</v>
      </c>
      <c r="D174" s="38">
        <v>17.34666633605957</v>
      </c>
      <c r="E174" s="38">
        <v>10.251378059387207</v>
      </c>
      <c r="F174" s="40">
        <v>877552</v>
      </c>
      <c r="G174" s="34" t="s">
        <v>670</v>
      </c>
      <c r="H174" s="34" t="s">
        <v>115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36">
        <v>38470.15625</v>
      </c>
      <c r="B175" s="34" t="s">
        <v>654</v>
      </c>
      <c r="C175" s="34" t="s">
        <v>655</v>
      </c>
      <c r="D175" s="38">
        <v>17.49333381652832</v>
      </c>
      <c r="E175" s="38">
        <v>10.338050842285156</v>
      </c>
      <c r="F175" s="40">
        <v>733800</v>
      </c>
      <c r="G175" s="34" t="s">
        <v>670</v>
      </c>
      <c r="H175" s="34" t="s">
        <v>115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36">
        <v>38471.15625</v>
      </c>
      <c r="B176" s="34" t="s">
        <v>654</v>
      </c>
      <c r="C176" s="34" t="s">
        <v>655</v>
      </c>
      <c r="D176" s="38">
        <v>17.49333381652832</v>
      </c>
      <c r="E176" s="38">
        <v>10.338050842285156</v>
      </c>
      <c r="F176" s="40">
        <v>546487</v>
      </c>
      <c r="G176" s="34" t="s">
        <v>670</v>
      </c>
      <c r="H176" s="34" t="s">
        <v>115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36">
        <v>38474.15625</v>
      </c>
      <c r="B177" s="34" t="s">
        <v>654</v>
      </c>
      <c r="C177" s="34" t="s">
        <v>655</v>
      </c>
      <c r="D177" s="38">
        <v>18.00666618347168</v>
      </c>
      <c r="E177" s="38">
        <v>10.641415596008301</v>
      </c>
      <c r="F177" s="40">
        <v>1067107</v>
      </c>
      <c r="G177" s="34" t="s">
        <v>670</v>
      </c>
      <c r="H177" s="34" t="s">
        <v>115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36">
        <v>38475.15625</v>
      </c>
      <c r="B178" s="34" t="s">
        <v>654</v>
      </c>
      <c r="C178" s="34" t="s">
        <v>655</v>
      </c>
      <c r="D178" s="38">
        <v>18.306665420532227</v>
      </c>
      <c r="E178" s="38">
        <v>10.818708419799805</v>
      </c>
      <c r="F178" s="40">
        <v>1205340</v>
      </c>
      <c r="G178" s="34" t="s">
        <v>670</v>
      </c>
      <c r="H178" s="34" t="s">
        <v>115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36">
        <v>38476.15625</v>
      </c>
      <c r="B179" s="34" t="s">
        <v>654</v>
      </c>
      <c r="C179" s="34" t="s">
        <v>655</v>
      </c>
      <c r="D179" s="38">
        <v>18.420000076293945</v>
      </c>
      <c r="E179" s="38">
        <v>10.885684967041016</v>
      </c>
      <c r="F179" s="40">
        <v>1714980</v>
      </c>
      <c r="G179" s="34" t="s">
        <v>670</v>
      </c>
      <c r="H179" s="34" t="s">
        <v>115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36">
        <v>38477.15625</v>
      </c>
      <c r="B180" s="34" t="s">
        <v>654</v>
      </c>
      <c r="C180" s="34" t="s">
        <v>655</v>
      </c>
      <c r="D180" s="38">
        <v>18.533332824707031</v>
      </c>
      <c r="E180" s="38">
        <v>10.952661514282227</v>
      </c>
      <c r="F180" s="40">
        <v>1100752</v>
      </c>
      <c r="G180" s="34" t="s">
        <v>670</v>
      </c>
      <c r="H180" s="34" t="s">
        <v>115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36">
        <v>38478.15625</v>
      </c>
      <c r="B181" s="34" t="s">
        <v>654</v>
      </c>
      <c r="C181" s="34" t="s">
        <v>655</v>
      </c>
      <c r="D181" s="38">
        <v>18.680000305175781</v>
      </c>
      <c r="E181" s="38">
        <v>11.039336204528809</v>
      </c>
      <c r="F181" s="40">
        <v>361762</v>
      </c>
      <c r="G181" s="34" t="s">
        <v>670</v>
      </c>
      <c r="H181" s="34" t="s">
        <v>115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36">
        <v>38481.15625</v>
      </c>
      <c r="B182" s="34" t="s">
        <v>654</v>
      </c>
      <c r="C182" s="34" t="s">
        <v>655</v>
      </c>
      <c r="D182" s="38">
        <v>19.026666641235352</v>
      </c>
      <c r="E182" s="38">
        <v>11.244205474853516</v>
      </c>
      <c r="F182" s="40">
        <v>542625</v>
      </c>
      <c r="G182" s="34" t="s">
        <v>670</v>
      </c>
      <c r="H182" s="34" t="s">
        <v>115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36">
        <v>38482.15625</v>
      </c>
      <c r="B183" s="34" t="s">
        <v>654</v>
      </c>
      <c r="C183" s="34" t="s">
        <v>655</v>
      </c>
      <c r="D183" s="38">
        <v>18.600000381469727</v>
      </c>
      <c r="E183" s="38">
        <v>10.992059707641602</v>
      </c>
      <c r="F183" s="40">
        <v>205395</v>
      </c>
      <c r="G183" s="34" t="s">
        <v>670</v>
      </c>
      <c r="H183" s="34" t="s">
        <v>115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36">
        <v>38483.15625</v>
      </c>
      <c r="B184" s="34" t="s">
        <v>654</v>
      </c>
      <c r="C184" s="34" t="s">
        <v>655</v>
      </c>
      <c r="D184" s="38">
        <v>18.406665802001953</v>
      </c>
      <c r="E184" s="38">
        <v>10.877806663513184</v>
      </c>
      <c r="F184" s="40">
        <v>624082</v>
      </c>
      <c r="G184" s="34" t="s">
        <v>670</v>
      </c>
      <c r="H184" s="34" t="s">
        <v>115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36">
        <v>38484.15625</v>
      </c>
      <c r="B185" s="34" t="s">
        <v>654</v>
      </c>
      <c r="C185" s="34" t="s">
        <v>655</v>
      </c>
      <c r="D185" s="38">
        <v>18.546665191650391</v>
      </c>
      <c r="E185" s="38">
        <v>10.960539817810059</v>
      </c>
      <c r="F185" s="40">
        <v>355597</v>
      </c>
      <c r="G185" s="34" t="s">
        <v>670</v>
      </c>
      <c r="H185" s="34" t="s">
        <v>115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36">
        <v>38485.15625</v>
      </c>
      <c r="B186" s="34" t="s">
        <v>654</v>
      </c>
      <c r="C186" s="34" t="s">
        <v>655</v>
      </c>
      <c r="D186" s="38">
        <v>19.253332138061523</v>
      </c>
      <c r="E186" s="38">
        <v>11.378162384033203</v>
      </c>
      <c r="F186" s="40">
        <v>1777680</v>
      </c>
      <c r="G186" s="34" t="s">
        <v>670</v>
      </c>
      <c r="H186" s="34" t="s">
        <v>115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36">
        <v>38488.15625</v>
      </c>
      <c r="B187" s="34" t="s">
        <v>654</v>
      </c>
      <c r="C187" s="34" t="s">
        <v>655</v>
      </c>
      <c r="D187" s="38">
        <v>19.546665191650391</v>
      </c>
      <c r="E187" s="38">
        <v>11.551508903503418</v>
      </c>
      <c r="F187" s="40">
        <v>1715857</v>
      </c>
      <c r="G187" s="34" t="s">
        <v>670</v>
      </c>
      <c r="H187" s="34" t="s">
        <v>115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36">
        <v>38489.15625</v>
      </c>
      <c r="B188" s="34" t="s">
        <v>654</v>
      </c>
      <c r="C188" s="34" t="s">
        <v>655</v>
      </c>
      <c r="D188" s="38">
        <v>18.926666259765625</v>
      </c>
      <c r="E188" s="38">
        <v>11.185108184814453</v>
      </c>
      <c r="F188" s="40">
        <v>749107</v>
      </c>
      <c r="G188" s="34" t="s">
        <v>670</v>
      </c>
      <c r="H188" s="34" t="s">
        <v>115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36">
        <v>38490.15625</v>
      </c>
      <c r="B189" s="34" t="s">
        <v>654</v>
      </c>
      <c r="C189" s="34" t="s">
        <v>655</v>
      </c>
      <c r="D189" s="38">
        <v>18.753332138061523</v>
      </c>
      <c r="E189" s="38">
        <v>11.082675933837891</v>
      </c>
      <c r="F189" s="40">
        <v>491212</v>
      </c>
      <c r="G189" s="34" t="s">
        <v>670</v>
      </c>
      <c r="H189" s="34" t="s">
        <v>115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36">
        <v>38491.15625</v>
      </c>
      <c r="B190" s="34" t="s">
        <v>654</v>
      </c>
      <c r="C190" s="34" t="s">
        <v>655</v>
      </c>
      <c r="D190" s="38">
        <v>18.586666107177734</v>
      </c>
      <c r="E190" s="38">
        <v>10.984182357788086</v>
      </c>
      <c r="F190" s="40">
        <v>653490</v>
      </c>
      <c r="G190" s="34" t="s">
        <v>670</v>
      </c>
      <c r="H190" s="34" t="s">
        <v>115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36">
        <v>38492.15625</v>
      </c>
      <c r="B191" s="34" t="s">
        <v>654</v>
      </c>
      <c r="C191" s="34" t="s">
        <v>655</v>
      </c>
      <c r="D191" s="38">
        <v>18.333332061767578</v>
      </c>
      <c r="E191" s="38">
        <v>10.834465026855469</v>
      </c>
      <c r="F191" s="40">
        <v>347722</v>
      </c>
      <c r="G191" s="34" t="s">
        <v>670</v>
      </c>
      <c r="H191" s="34" t="s">
        <v>115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36">
        <v>38495.15625</v>
      </c>
      <c r="B192" s="34" t="s">
        <v>654</v>
      </c>
      <c r="C192" s="34" t="s">
        <v>655</v>
      </c>
      <c r="D192" s="38">
        <v>18.739999771118164</v>
      </c>
      <c r="E192" s="38">
        <v>11.074795722961426</v>
      </c>
      <c r="F192" s="40">
        <v>658530</v>
      </c>
      <c r="G192" s="34" t="s">
        <v>670</v>
      </c>
      <c r="H192" s="34" t="s">
        <v>115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36">
        <v>38496.15625</v>
      </c>
      <c r="B193" s="34" t="s">
        <v>654</v>
      </c>
      <c r="C193" s="34" t="s">
        <v>655</v>
      </c>
      <c r="D193" s="38">
        <v>18.393333435058594</v>
      </c>
      <c r="E193" s="38">
        <v>10.869925498962402</v>
      </c>
      <c r="F193" s="40">
        <v>318292</v>
      </c>
      <c r="G193" s="34" t="s">
        <v>670</v>
      </c>
      <c r="H193" s="34" t="s">
        <v>115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36">
        <v>38497.15625</v>
      </c>
      <c r="B194" s="34" t="s">
        <v>654</v>
      </c>
      <c r="C194" s="34" t="s">
        <v>655</v>
      </c>
      <c r="D194" s="38">
        <v>18.433332443237305</v>
      </c>
      <c r="E194" s="38">
        <v>10.893560409545898</v>
      </c>
      <c r="F194" s="40">
        <v>665040</v>
      </c>
      <c r="G194" s="34" t="s">
        <v>670</v>
      </c>
      <c r="H194" s="34" t="s">
        <v>115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36">
        <v>38498.15625</v>
      </c>
      <c r="B195" s="34" t="s">
        <v>654</v>
      </c>
      <c r="C195" s="34" t="s">
        <v>655</v>
      </c>
      <c r="D195" s="38">
        <v>18.399999618530273</v>
      </c>
      <c r="E195" s="38">
        <v>10.873865127563477</v>
      </c>
      <c r="F195" s="40">
        <v>315225</v>
      </c>
      <c r="G195" s="34" t="s">
        <v>670</v>
      </c>
      <c r="H195" s="34" t="s">
        <v>115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36">
        <v>38499.15625</v>
      </c>
      <c r="B196" s="34" t="s">
        <v>654</v>
      </c>
      <c r="C196" s="34" t="s">
        <v>655</v>
      </c>
      <c r="D196" s="38">
        <v>18.233333587646484</v>
      </c>
      <c r="E196" s="38">
        <v>10.775370597839355</v>
      </c>
      <c r="F196" s="40">
        <v>459180</v>
      </c>
      <c r="G196" s="34" t="s">
        <v>670</v>
      </c>
      <c r="H196" s="34" t="s">
        <v>115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36">
        <v>38502.15625</v>
      </c>
      <c r="B197" s="34" t="s">
        <v>654</v>
      </c>
      <c r="C197" s="34" t="s">
        <v>655</v>
      </c>
      <c r="D197" s="38">
        <v>18.286666870117188</v>
      </c>
      <c r="E197" s="38">
        <v>10.806893348693848</v>
      </c>
      <c r="F197" s="40">
        <v>316290</v>
      </c>
      <c r="G197" s="34" t="s">
        <v>670</v>
      </c>
      <c r="H197" s="34" t="s">
        <v>115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36">
        <v>38503.15625</v>
      </c>
      <c r="B198" s="34" t="s">
        <v>654</v>
      </c>
      <c r="C198" s="34" t="s">
        <v>655</v>
      </c>
      <c r="D198" s="38">
        <v>18.299999237060547</v>
      </c>
      <c r="E198" s="38">
        <v>10.814767837524414</v>
      </c>
      <c r="F198" s="40">
        <v>197707</v>
      </c>
      <c r="G198" s="34" t="s">
        <v>670</v>
      </c>
      <c r="H198" s="34" t="s">
        <v>115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36">
        <v>38504.15625</v>
      </c>
      <c r="B199" s="34" t="s">
        <v>654</v>
      </c>
      <c r="C199" s="34" t="s">
        <v>655</v>
      </c>
      <c r="D199" s="38">
        <v>18.186666488647461</v>
      </c>
      <c r="E199" s="38">
        <v>10.747791290283203</v>
      </c>
      <c r="F199" s="40">
        <v>391515</v>
      </c>
      <c r="G199" s="34" t="s">
        <v>670</v>
      </c>
      <c r="H199" s="34" t="s">
        <v>115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36">
        <v>38505.15625</v>
      </c>
      <c r="B200" s="34" t="s">
        <v>654</v>
      </c>
      <c r="C200" s="34" t="s">
        <v>655</v>
      </c>
      <c r="D200" s="38">
        <v>17.860000610351563</v>
      </c>
      <c r="E200" s="38">
        <v>10.554742813110352</v>
      </c>
      <c r="F200" s="40">
        <v>372367</v>
      </c>
      <c r="G200" s="34" t="s">
        <v>670</v>
      </c>
      <c r="H200" s="34" t="s">
        <v>115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36">
        <v>38506.15625</v>
      </c>
      <c r="B201" s="34" t="s">
        <v>654</v>
      </c>
      <c r="C201" s="34" t="s">
        <v>655</v>
      </c>
      <c r="D201" s="38">
        <v>18.226665496826172</v>
      </c>
      <c r="E201" s="38">
        <v>10.771430015563965</v>
      </c>
      <c r="F201" s="40">
        <v>311962</v>
      </c>
      <c r="G201" s="34" t="s">
        <v>670</v>
      </c>
      <c r="H201" s="34" t="s">
        <v>115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36">
        <v>38509.15625</v>
      </c>
      <c r="B202" s="34" t="s">
        <v>654</v>
      </c>
      <c r="C202" s="34" t="s">
        <v>655</v>
      </c>
      <c r="D202" s="38">
        <v>18.620000839233398</v>
      </c>
      <c r="E202" s="38">
        <v>11.003878593444824</v>
      </c>
      <c r="F202" s="40">
        <v>1371472</v>
      </c>
      <c r="G202" s="34" t="s">
        <v>670</v>
      </c>
      <c r="H202" s="34" t="s">
        <v>115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36">
        <v>38510.15625</v>
      </c>
      <c r="B203" s="34" t="s">
        <v>654</v>
      </c>
      <c r="C203" s="34" t="s">
        <v>655</v>
      </c>
      <c r="D203" s="38">
        <v>18.593332290649414</v>
      </c>
      <c r="E203" s="38">
        <v>10.988122940063477</v>
      </c>
      <c r="F203" s="40">
        <v>1431187</v>
      </c>
      <c r="G203" s="34" t="s">
        <v>670</v>
      </c>
      <c r="H203" s="34" t="s">
        <v>115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36">
        <v>38511.15625</v>
      </c>
      <c r="B204" s="34" t="s">
        <v>654</v>
      </c>
      <c r="C204" s="34" t="s">
        <v>655</v>
      </c>
      <c r="D204" s="38">
        <v>22.313333511352539</v>
      </c>
      <c r="E204" s="38">
        <v>13.186532974243164</v>
      </c>
      <c r="F204" s="40">
        <v>18825450</v>
      </c>
      <c r="G204" s="34" t="s">
        <v>670</v>
      </c>
      <c r="H204" s="34" t="s">
        <v>115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36">
        <v>38512.15625</v>
      </c>
      <c r="B205" s="34" t="s">
        <v>654</v>
      </c>
      <c r="C205" s="34" t="s">
        <v>655</v>
      </c>
      <c r="D205" s="38">
        <v>23.200000762939453</v>
      </c>
      <c r="E205" s="38">
        <v>13.710524559020996</v>
      </c>
      <c r="F205" s="40">
        <v>35156962</v>
      </c>
      <c r="G205" s="34" t="s">
        <v>670</v>
      </c>
      <c r="H205" s="34" t="s">
        <v>115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36">
        <v>38513.15625</v>
      </c>
      <c r="B206" s="34" t="s">
        <v>654</v>
      </c>
      <c r="C206" s="34" t="s">
        <v>655</v>
      </c>
      <c r="D206" s="38">
        <v>22.626665115356445</v>
      </c>
      <c r="E206" s="38">
        <v>13.371700286865234</v>
      </c>
      <c r="F206" s="40">
        <v>8109000</v>
      </c>
      <c r="G206" s="34" t="s">
        <v>670</v>
      </c>
      <c r="H206" s="34" t="s">
        <v>115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36">
        <v>38516.15625</v>
      </c>
      <c r="B207" s="34" t="s">
        <v>654</v>
      </c>
      <c r="C207" s="34" t="s">
        <v>655</v>
      </c>
      <c r="D207" s="38">
        <v>23.49333381652832</v>
      </c>
      <c r="E207" s="38">
        <v>13.883874893188477</v>
      </c>
      <c r="F207" s="40">
        <v>12892747</v>
      </c>
      <c r="G207" s="34" t="s">
        <v>670</v>
      </c>
      <c r="H207" s="34" t="s">
        <v>115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36">
        <v>38517.15625</v>
      </c>
      <c r="B208" s="34" t="s">
        <v>654</v>
      </c>
      <c r="C208" s="34" t="s">
        <v>655</v>
      </c>
      <c r="D208" s="38">
        <v>23.253332138061523</v>
      </c>
      <c r="E208" s="38">
        <v>13.742044448852539</v>
      </c>
      <c r="F208" s="40">
        <v>4401285</v>
      </c>
      <c r="G208" s="34" t="s">
        <v>670</v>
      </c>
      <c r="H208" s="34" t="s">
        <v>115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36">
        <v>38518.15625</v>
      </c>
      <c r="B209" s="34" t="s">
        <v>654</v>
      </c>
      <c r="C209" s="34" t="s">
        <v>655</v>
      </c>
      <c r="D209" s="38">
        <v>23.013332366943359</v>
      </c>
      <c r="E209" s="38">
        <v>13.60020923614502</v>
      </c>
      <c r="F209" s="40">
        <v>2407672</v>
      </c>
      <c r="G209" s="34" t="s">
        <v>670</v>
      </c>
      <c r="H209" s="34" t="s">
        <v>115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36">
        <v>38519.15625</v>
      </c>
      <c r="B210" s="34" t="s">
        <v>654</v>
      </c>
      <c r="C210" s="34" t="s">
        <v>655</v>
      </c>
      <c r="D210" s="38">
        <v>22.840000152587891</v>
      </c>
      <c r="E210" s="38">
        <v>13.49777889251709</v>
      </c>
      <c r="F210" s="40">
        <v>10967340</v>
      </c>
      <c r="G210" s="34" t="s">
        <v>670</v>
      </c>
      <c r="H210" s="34" t="s">
        <v>115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36">
        <v>38520.15625</v>
      </c>
      <c r="B211" s="34" t="s">
        <v>654</v>
      </c>
      <c r="C211" s="34" t="s">
        <v>655</v>
      </c>
      <c r="D211" s="38">
        <v>22.226665496826172</v>
      </c>
      <c r="E211" s="38">
        <v>13.135313987731934</v>
      </c>
      <c r="F211" s="40">
        <v>2684857</v>
      </c>
      <c r="G211" s="34" t="s">
        <v>670</v>
      </c>
      <c r="H211" s="34" t="s">
        <v>115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36">
        <v>38523.15625</v>
      </c>
      <c r="B212" s="34" t="s">
        <v>654</v>
      </c>
      <c r="C212" s="34" t="s">
        <v>655</v>
      </c>
      <c r="D212" s="38">
        <v>22.020000457763672</v>
      </c>
      <c r="E212" s="38">
        <v>13.013182640075684</v>
      </c>
      <c r="F212" s="40">
        <v>2405265</v>
      </c>
      <c r="G212" s="34" t="s">
        <v>670</v>
      </c>
      <c r="H212" s="34" t="s">
        <v>115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36">
        <v>38524.15625</v>
      </c>
      <c r="B213" s="34" t="s">
        <v>654</v>
      </c>
      <c r="C213" s="34" t="s">
        <v>655</v>
      </c>
      <c r="D213" s="38">
        <v>22.113332748413086</v>
      </c>
      <c r="E213" s="38">
        <v>13.068340301513672</v>
      </c>
      <c r="F213" s="40">
        <v>1235062</v>
      </c>
      <c r="G213" s="34" t="s">
        <v>670</v>
      </c>
      <c r="H213" s="34" t="s">
        <v>115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36">
        <v>38525.15625</v>
      </c>
      <c r="B214" s="34" t="s">
        <v>654</v>
      </c>
      <c r="C214" s="34" t="s">
        <v>655</v>
      </c>
      <c r="D214" s="38">
        <v>22.040000915527344</v>
      </c>
      <c r="E214" s="38">
        <v>13.024995803833008</v>
      </c>
      <c r="F214" s="40">
        <v>1192912</v>
      </c>
      <c r="G214" s="34" t="s">
        <v>670</v>
      </c>
      <c r="H214" s="34" t="s">
        <v>115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36">
        <v>38526.15625</v>
      </c>
      <c r="B215" s="34" t="s">
        <v>654</v>
      </c>
      <c r="C215" s="34" t="s">
        <v>655</v>
      </c>
      <c r="D215" s="38">
        <v>22.233333587646484</v>
      </c>
      <c r="E215" s="38">
        <v>13.139250755310059</v>
      </c>
      <c r="F215" s="40">
        <v>1175790</v>
      </c>
      <c r="G215" s="34" t="s">
        <v>670</v>
      </c>
      <c r="H215" s="34" t="s">
        <v>115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36">
        <v>38527.15625</v>
      </c>
      <c r="B216" s="34" t="s">
        <v>654</v>
      </c>
      <c r="C216" s="34" t="s">
        <v>655</v>
      </c>
      <c r="D216" s="38">
        <v>22.566665649414063</v>
      </c>
      <c r="E216" s="38">
        <v>13.33624267578125</v>
      </c>
      <c r="F216" s="40">
        <v>1851022</v>
      </c>
      <c r="G216" s="34" t="s">
        <v>670</v>
      </c>
      <c r="H216" s="34" t="s">
        <v>115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36">
        <v>38530.15625</v>
      </c>
      <c r="B217" s="34" t="s">
        <v>654</v>
      </c>
      <c r="C217" s="34" t="s">
        <v>655</v>
      </c>
      <c r="D217" s="38">
        <v>22.146665573120117</v>
      </c>
      <c r="E217" s="38">
        <v>13.08803653717041</v>
      </c>
      <c r="F217" s="40">
        <v>2636205</v>
      </c>
      <c r="G217" s="34" t="s">
        <v>670</v>
      </c>
      <c r="H217" s="34" t="s">
        <v>115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36">
        <v>38531.15625</v>
      </c>
      <c r="B218" s="34" t="s">
        <v>654</v>
      </c>
      <c r="C218" s="34" t="s">
        <v>655</v>
      </c>
      <c r="D218" s="38">
        <v>21.086666107177734</v>
      </c>
      <c r="E218" s="38">
        <v>12.461607933044434</v>
      </c>
      <c r="F218" s="40">
        <v>1020787</v>
      </c>
      <c r="G218" s="34" t="s">
        <v>670</v>
      </c>
      <c r="H218" s="34" t="s">
        <v>115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36">
        <v>38532.15625</v>
      </c>
      <c r="B219" s="34" t="s">
        <v>654</v>
      </c>
      <c r="C219" s="34" t="s">
        <v>655</v>
      </c>
      <c r="D219" s="38">
        <v>20.833332061767578</v>
      </c>
      <c r="E219" s="38">
        <v>12.311893463134766</v>
      </c>
      <c r="F219" s="40">
        <v>1307647</v>
      </c>
      <c r="G219" s="34" t="s">
        <v>670</v>
      </c>
      <c r="H219" s="34" t="s">
        <v>115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36">
        <v>38533.15625</v>
      </c>
      <c r="B220" s="34" t="s">
        <v>654</v>
      </c>
      <c r="C220" s="34" t="s">
        <v>655</v>
      </c>
      <c r="D220" s="38">
        <v>20.700000762939453</v>
      </c>
      <c r="E220" s="38">
        <v>12.233098030090332</v>
      </c>
      <c r="F220" s="40">
        <v>1325647</v>
      </c>
      <c r="G220" s="34" t="s">
        <v>670</v>
      </c>
      <c r="H220" s="34" t="s">
        <v>115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36">
        <v>38534.15625</v>
      </c>
      <c r="B221" s="34" t="s">
        <v>654</v>
      </c>
      <c r="C221" s="34" t="s">
        <v>655</v>
      </c>
      <c r="D221" s="38">
        <v>20.326665878295898</v>
      </c>
      <c r="E221" s="38">
        <v>12.012466430664063</v>
      </c>
      <c r="F221" s="40">
        <v>4375725</v>
      </c>
      <c r="G221" s="34" t="s">
        <v>670</v>
      </c>
      <c r="H221" s="34" t="s">
        <v>115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36">
        <v>38537.15625</v>
      </c>
      <c r="B222" s="34" t="s">
        <v>654</v>
      </c>
      <c r="C222" s="34" t="s">
        <v>655</v>
      </c>
      <c r="D222" s="38">
        <v>20.646665573120117</v>
      </c>
      <c r="E222" s="38">
        <v>12.201581001281738</v>
      </c>
      <c r="F222" s="40">
        <v>1923007</v>
      </c>
      <c r="G222" s="34" t="s">
        <v>670</v>
      </c>
      <c r="H222" s="34" t="s">
        <v>115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36">
        <v>38538.15625</v>
      </c>
      <c r="B223" s="34" t="s">
        <v>654</v>
      </c>
      <c r="C223" s="34" t="s">
        <v>655</v>
      </c>
      <c r="D223" s="38">
        <v>20.093332290649414</v>
      </c>
      <c r="E223" s="38">
        <v>11.874575614929199</v>
      </c>
      <c r="F223" s="40">
        <v>7904092</v>
      </c>
      <c r="G223" s="34" t="s">
        <v>670</v>
      </c>
      <c r="H223" s="34" t="s">
        <v>115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36">
        <v>38539.15625</v>
      </c>
      <c r="B224" s="34" t="s">
        <v>654</v>
      </c>
      <c r="C224" s="34" t="s">
        <v>655</v>
      </c>
      <c r="D224" s="38">
        <v>20.626665115356445</v>
      </c>
      <c r="E224" s="38">
        <v>12.189760208129883</v>
      </c>
      <c r="F224" s="40">
        <v>2045640</v>
      </c>
      <c r="G224" s="34" t="s">
        <v>670</v>
      </c>
      <c r="H224" s="34" t="s">
        <v>115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36">
        <v>38540.15625</v>
      </c>
      <c r="B225" s="34" t="s">
        <v>654</v>
      </c>
      <c r="C225" s="34" t="s">
        <v>655</v>
      </c>
      <c r="D225" s="38">
        <v>20.986665725708008</v>
      </c>
      <c r="E225" s="38">
        <v>12.402510643005371</v>
      </c>
      <c r="F225" s="40">
        <v>4200210</v>
      </c>
      <c r="G225" s="34" t="s">
        <v>670</v>
      </c>
      <c r="H225" s="34" t="s">
        <v>115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36">
        <v>38541.15625</v>
      </c>
      <c r="B226" s="34" t="s">
        <v>654</v>
      </c>
      <c r="C226" s="34" t="s">
        <v>655</v>
      </c>
      <c r="D226" s="38">
        <v>21.253332138061523</v>
      </c>
      <c r="E226" s="38">
        <v>12.560100555419922</v>
      </c>
      <c r="F226" s="40">
        <v>1656390</v>
      </c>
      <c r="G226" s="34" t="s">
        <v>670</v>
      </c>
      <c r="H226" s="34" t="s">
        <v>115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36">
        <v>38544.15625</v>
      </c>
      <c r="B227" s="34" t="s">
        <v>654</v>
      </c>
      <c r="C227" s="34" t="s">
        <v>655</v>
      </c>
      <c r="D227" s="38">
        <v>21.293333053588867</v>
      </c>
      <c r="E227" s="38">
        <v>12.583742141723633</v>
      </c>
      <c r="F227" s="40">
        <v>1167210</v>
      </c>
      <c r="G227" s="34" t="s">
        <v>670</v>
      </c>
      <c r="H227" s="34" t="s">
        <v>115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36">
        <v>38545.15625</v>
      </c>
      <c r="B228" s="34" t="s">
        <v>654</v>
      </c>
      <c r="C228" s="34" t="s">
        <v>655</v>
      </c>
      <c r="D228" s="38">
        <v>22.239999771118164</v>
      </c>
      <c r="E228" s="38">
        <v>13.143196105957031</v>
      </c>
      <c r="F228" s="40">
        <v>3783292</v>
      </c>
      <c r="G228" s="34" t="s">
        <v>670</v>
      </c>
      <c r="H228" s="34" t="s">
        <v>115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36">
        <v>38546.15625</v>
      </c>
      <c r="B229" s="34" t="s">
        <v>654</v>
      </c>
      <c r="C229" s="34" t="s">
        <v>655</v>
      </c>
      <c r="D229" s="38">
        <v>22.120000839233398</v>
      </c>
      <c r="E229" s="38">
        <v>13.072278022766113</v>
      </c>
      <c r="F229" s="40">
        <v>1961130</v>
      </c>
      <c r="G229" s="34" t="s">
        <v>670</v>
      </c>
      <c r="H229" s="34" t="s">
        <v>115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36">
        <v>38547.15625</v>
      </c>
      <c r="B230" s="34" t="s">
        <v>654</v>
      </c>
      <c r="C230" s="34" t="s">
        <v>655</v>
      </c>
      <c r="D230" s="38">
        <v>22.120000839233398</v>
      </c>
      <c r="E230" s="38">
        <v>13.072278022766113</v>
      </c>
      <c r="F230" s="40">
        <v>1829070</v>
      </c>
      <c r="G230" s="34" t="s">
        <v>670</v>
      </c>
      <c r="H230" s="34" t="s">
        <v>115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36">
        <v>38548.15625</v>
      </c>
      <c r="B231" s="34" t="s">
        <v>654</v>
      </c>
      <c r="C231" s="34" t="s">
        <v>655</v>
      </c>
      <c r="D231" s="38">
        <v>21.959999084472656</v>
      </c>
      <c r="E231" s="38">
        <v>13.42271614074707</v>
      </c>
      <c r="F231" s="40">
        <v>1511640</v>
      </c>
      <c r="G231" s="34" t="s">
        <v>670</v>
      </c>
      <c r="H231" s="34" t="s">
        <v>115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36">
        <v>38551.15625</v>
      </c>
      <c r="B232" s="34" t="s">
        <v>654</v>
      </c>
      <c r="C232" s="34" t="s">
        <v>655</v>
      </c>
      <c r="D232" s="38">
        <v>22.453332901000977</v>
      </c>
      <c r="E232" s="38">
        <v>13.724257469177246</v>
      </c>
      <c r="F232" s="40">
        <v>2670412</v>
      </c>
      <c r="G232" s="34" t="s">
        <v>670</v>
      </c>
      <c r="H232" s="34" t="s">
        <v>115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36">
        <v>38552.15625</v>
      </c>
      <c r="B233" s="34" t="s">
        <v>654</v>
      </c>
      <c r="C233" s="34" t="s">
        <v>655</v>
      </c>
      <c r="D233" s="38">
        <v>22.99333381652832</v>
      </c>
      <c r="E233" s="38">
        <v>14.054328918457031</v>
      </c>
      <c r="F233" s="40">
        <v>3653220</v>
      </c>
      <c r="G233" s="34" t="s">
        <v>670</v>
      </c>
      <c r="H233" s="34" t="s">
        <v>115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36">
        <v>38553.15625</v>
      </c>
      <c r="B234" s="34" t="s">
        <v>654</v>
      </c>
      <c r="C234" s="34" t="s">
        <v>655</v>
      </c>
      <c r="D234" s="38">
        <v>22.326665878295898</v>
      </c>
      <c r="E234" s="38">
        <v>13.646838188171387</v>
      </c>
      <c r="F234" s="40">
        <v>1918875</v>
      </c>
      <c r="G234" s="34" t="s">
        <v>670</v>
      </c>
      <c r="H234" s="34" t="s">
        <v>115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36">
        <v>38554.15625</v>
      </c>
      <c r="B235" s="34" t="s">
        <v>654</v>
      </c>
      <c r="C235" s="34" t="s">
        <v>655</v>
      </c>
      <c r="D235" s="38">
        <v>22.326665878295898</v>
      </c>
      <c r="E235" s="38">
        <v>13.646838188171387</v>
      </c>
      <c r="F235" s="40">
        <v>1314217</v>
      </c>
      <c r="G235" s="34" t="s">
        <v>670</v>
      </c>
      <c r="H235" s="34" t="s">
        <v>115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36">
        <v>38555.15625</v>
      </c>
      <c r="B236" s="34" t="s">
        <v>654</v>
      </c>
      <c r="C236" s="34" t="s">
        <v>655</v>
      </c>
      <c r="D236" s="38">
        <v>22.286666870117188</v>
      </c>
      <c r="E236" s="38">
        <v>13.622389793395996</v>
      </c>
      <c r="F236" s="40">
        <v>1152997</v>
      </c>
      <c r="G236" s="34" t="s">
        <v>670</v>
      </c>
      <c r="H236" s="34" t="s">
        <v>115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36">
        <v>38558.15625</v>
      </c>
      <c r="B237" s="34" t="s">
        <v>654</v>
      </c>
      <c r="C237" s="34" t="s">
        <v>655</v>
      </c>
      <c r="D237" s="38">
        <v>21.639999389648438</v>
      </c>
      <c r="E237" s="38">
        <v>13.227126121520996</v>
      </c>
      <c r="F237" s="40">
        <v>2862525</v>
      </c>
      <c r="G237" s="34" t="s">
        <v>670</v>
      </c>
      <c r="H237" s="34" t="s">
        <v>115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36">
        <v>38559.15625</v>
      </c>
      <c r="B238" s="34" t="s">
        <v>654</v>
      </c>
      <c r="C238" s="34" t="s">
        <v>655</v>
      </c>
      <c r="D238" s="38">
        <v>21.65333366394043</v>
      </c>
      <c r="E238" s="38">
        <v>13.235276222229004</v>
      </c>
      <c r="F238" s="40">
        <v>3110272</v>
      </c>
      <c r="G238" s="34" t="s">
        <v>670</v>
      </c>
      <c r="H238" s="34" t="s">
        <v>115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36">
        <v>38560.15625</v>
      </c>
      <c r="B239" s="34" t="s">
        <v>654</v>
      </c>
      <c r="C239" s="34" t="s">
        <v>655</v>
      </c>
      <c r="D239" s="38">
        <v>21.026666641235352</v>
      </c>
      <c r="E239" s="38">
        <v>12.852231979370117</v>
      </c>
      <c r="F239" s="40">
        <v>1469887</v>
      </c>
      <c r="G239" s="34" t="s">
        <v>670</v>
      </c>
      <c r="H239" s="34" t="s">
        <v>115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36">
        <v>38561.15625</v>
      </c>
      <c r="B240" s="34" t="s">
        <v>654</v>
      </c>
      <c r="C240" s="34" t="s">
        <v>655</v>
      </c>
      <c r="D240" s="38">
        <v>21.026666641235352</v>
      </c>
      <c r="E240" s="38">
        <v>12.852231979370117</v>
      </c>
      <c r="F240" s="40">
        <v>0</v>
      </c>
      <c r="G240" s="34" t="s">
        <v>670</v>
      </c>
      <c r="H240" s="34" t="s">
        <v>115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36">
        <v>38562.15625</v>
      </c>
      <c r="B241" s="34" t="s">
        <v>654</v>
      </c>
      <c r="C241" s="34" t="s">
        <v>655</v>
      </c>
      <c r="D241" s="38">
        <v>20.399999618530273</v>
      </c>
      <c r="E241" s="38">
        <v>12.469197273254395</v>
      </c>
      <c r="F241" s="40">
        <v>2659785</v>
      </c>
      <c r="G241" s="34" t="s">
        <v>670</v>
      </c>
      <c r="H241" s="34" t="s">
        <v>115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36">
        <v>38565.15625</v>
      </c>
      <c r="B242" s="34" t="s">
        <v>654</v>
      </c>
      <c r="C242" s="34" t="s">
        <v>655</v>
      </c>
      <c r="D242" s="38">
        <v>19.933332443237305</v>
      </c>
      <c r="E242" s="38">
        <v>12.183953285217285</v>
      </c>
      <c r="F242" s="40">
        <v>927825</v>
      </c>
      <c r="G242" s="34" t="s">
        <v>670</v>
      </c>
      <c r="H242" s="34" t="s">
        <v>115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36">
        <v>38566.15625</v>
      </c>
      <c r="B243" s="34" t="s">
        <v>654</v>
      </c>
      <c r="C243" s="34" t="s">
        <v>655</v>
      </c>
      <c r="D243" s="38">
        <v>19.933332443237305</v>
      </c>
      <c r="E243" s="38">
        <v>12.183953285217285</v>
      </c>
      <c r="F243" s="40">
        <v>1446667</v>
      </c>
      <c r="G243" s="34" t="s">
        <v>670</v>
      </c>
      <c r="H243" s="34" t="s">
        <v>115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36">
        <v>38567.15625</v>
      </c>
      <c r="B244" s="34" t="s">
        <v>654</v>
      </c>
      <c r="C244" s="34" t="s">
        <v>655</v>
      </c>
      <c r="D244" s="38">
        <v>20.286666870117188</v>
      </c>
      <c r="E244" s="38">
        <v>12.399917602539063</v>
      </c>
      <c r="F244" s="40">
        <v>1492965</v>
      </c>
      <c r="G244" s="34" t="s">
        <v>670</v>
      </c>
      <c r="H244" s="34" t="s">
        <v>115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36">
        <v>38568.15625</v>
      </c>
      <c r="B245" s="34" t="s">
        <v>654</v>
      </c>
      <c r="C245" s="34" t="s">
        <v>655</v>
      </c>
      <c r="D245" s="38">
        <v>20.286666870117188</v>
      </c>
      <c r="E245" s="38">
        <v>12.399917602539063</v>
      </c>
      <c r="F245" s="40">
        <v>635775</v>
      </c>
      <c r="G245" s="34" t="s">
        <v>670</v>
      </c>
      <c r="H245" s="34" t="s">
        <v>115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36">
        <v>38569.15625</v>
      </c>
      <c r="B246" s="34" t="s">
        <v>654</v>
      </c>
      <c r="C246" s="34" t="s">
        <v>655</v>
      </c>
      <c r="D246" s="38">
        <v>20.473333358764648</v>
      </c>
      <c r="E246" s="38">
        <v>12.514016151428223</v>
      </c>
      <c r="F246" s="40">
        <v>851452</v>
      </c>
      <c r="G246" s="34" t="s">
        <v>670</v>
      </c>
      <c r="H246" s="34" t="s">
        <v>115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36">
        <v>38572.15625</v>
      </c>
      <c r="B247" s="34" t="s">
        <v>654</v>
      </c>
      <c r="C247" s="34" t="s">
        <v>655</v>
      </c>
      <c r="D247" s="38">
        <v>20.133333206176758</v>
      </c>
      <c r="E247" s="38">
        <v>12.306194305419922</v>
      </c>
      <c r="F247" s="40">
        <v>552532</v>
      </c>
      <c r="G247" s="34" t="s">
        <v>670</v>
      </c>
      <c r="H247" s="34" t="s">
        <v>115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36">
        <v>38573.15625</v>
      </c>
      <c r="B248" s="34" t="s">
        <v>654</v>
      </c>
      <c r="C248" s="34" t="s">
        <v>655</v>
      </c>
      <c r="D248" s="38">
        <v>20.013332366943359</v>
      </c>
      <c r="E248" s="38">
        <v>12.232850074768066</v>
      </c>
      <c r="F248" s="40">
        <v>544635</v>
      </c>
      <c r="G248" s="34" t="s">
        <v>670</v>
      </c>
      <c r="H248" s="34" t="s">
        <v>115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36">
        <v>38574.15625</v>
      </c>
      <c r="B249" s="34" t="s">
        <v>654</v>
      </c>
      <c r="C249" s="34" t="s">
        <v>655</v>
      </c>
      <c r="D249" s="38">
        <v>20.113332748413086</v>
      </c>
      <c r="E249" s="38">
        <v>12.293972969055176</v>
      </c>
      <c r="F249" s="40">
        <v>494752</v>
      </c>
      <c r="G249" s="34" t="s">
        <v>670</v>
      </c>
      <c r="H249" s="34" t="s">
        <v>115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36">
        <v>38575.15625</v>
      </c>
      <c r="B250" s="34" t="s">
        <v>654</v>
      </c>
      <c r="C250" s="34" t="s">
        <v>655</v>
      </c>
      <c r="D250" s="38">
        <v>20.486665725708008</v>
      </c>
      <c r="E250" s="38">
        <v>12.522162437438965</v>
      </c>
      <c r="F250" s="40">
        <v>1108335</v>
      </c>
      <c r="G250" s="34" t="s">
        <v>670</v>
      </c>
      <c r="H250" s="34" t="s">
        <v>115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36">
        <v>38576.15625</v>
      </c>
      <c r="B251" s="34" t="s">
        <v>654</v>
      </c>
      <c r="C251" s="34" t="s">
        <v>655</v>
      </c>
      <c r="D251" s="38">
        <v>20.00666618347168</v>
      </c>
      <c r="E251" s="38">
        <v>12.22877025604248</v>
      </c>
      <c r="F251" s="40">
        <v>949627</v>
      </c>
      <c r="G251" s="34" t="s">
        <v>670</v>
      </c>
      <c r="H251" s="34" t="s">
        <v>115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36">
        <v>38580.15625</v>
      </c>
      <c r="B252" s="34" t="s">
        <v>654</v>
      </c>
      <c r="C252" s="34" t="s">
        <v>655</v>
      </c>
      <c r="D252" s="38">
        <v>19.826665878295898</v>
      </c>
      <c r="E252" s="38">
        <v>12.118747711181641</v>
      </c>
      <c r="F252" s="40">
        <v>1760497</v>
      </c>
      <c r="G252" s="34" t="s">
        <v>670</v>
      </c>
      <c r="H252" s="34" t="s">
        <v>115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36">
        <v>38581.15625</v>
      </c>
      <c r="B253" s="34" t="s">
        <v>654</v>
      </c>
      <c r="C253" s="34" t="s">
        <v>655</v>
      </c>
      <c r="D253" s="38">
        <v>20.239999771118164</v>
      </c>
      <c r="E253" s="38">
        <v>12.371393203735352</v>
      </c>
      <c r="F253" s="40">
        <v>997027</v>
      </c>
      <c r="G253" s="34" t="s">
        <v>670</v>
      </c>
      <c r="H253" s="34" t="s">
        <v>115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36">
        <v>38582.15625</v>
      </c>
      <c r="B254" s="34" t="s">
        <v>654</v>
      </c>
      <c r="C254" s="34" t="s">
        <v>655</v>
      </c>
      <c r="D254" s="38">
        <v>21.313333511352539</v>
      </c>
      <c r="E254" s="38">
        <v>13.02745246887207</v>
      </c>
      <c r="F254" s="40">
        <v>5945872</v>
      </c>
      <c r="G254" s="34" t="s">
        <v>670</v>
      </c>
      <c r="H254" s="34" t="s">
        <v>115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36">
        <v>38583.15625</v>
      </c>
      <c r="B255" s="34" t="s">
        <v>654</v>
      </c>
      <c r="C255" s="34" t="s">
        <v>655</v>
      </c>
      <c r="D255" s="38">
        <v>21.946666717529297</v>
      </c>
      <c r="E255" s="38">
        <v>13.414567947387695</v>
      </c>
      <c r="F255" s="40">
        <v>4550362</v>
      </c>
      <c r="G255" s="34" t="s">
        <v>670</v>
      </c>
      <c r="H255" s="34" t="s">
        <v>115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36">
        <v>38586.15625</v>
      </c>
      <c r="B256" s="34" t="s">
        <v>654</v>
      </c>
      <c r="C256" s="34" t="s">
        <v>655</v>
      </c>
      <c r="D256" s="38">
        <v>21.306665420532227</v>
      </c>
      <c r="E256" s="38">
        <v>13.023377418518066</v>
      </c>
      <c r="F256" s="40">
        <v>1039147</v>
      </c>
      <c r="G256" s="34" t="s">
        <v>670</v>
      </c>
      <c r="H256" s="34" t="s">
        <v>115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36">
        <v>38587.15625</v>
      </c>
      <c r="B257" s="34" t="s">
        <v>654</v>
      </c>
      <c r="C257" s="34" t="s">
        <v>655</v>
      </c>
      <c r="D257" s="38">
        <v>21.35333251953125</v>
      </c>
      <c r="E257" s="38">
        <v>13.051901817321777</v>
      </c>
      <c r="F257" s="40">
        <v>2564137</v>
      </c>
      <c r="G257" s="34" t="s">
        <v>670</v>
      </c>
      <c r="H257" s="34" t="s">
        <v>115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36">
        <v>38588.15625</v>
      </c>
      <c r="B258" s="34" t="s">
        <v>654</v>
      </c>
      <c r="C258" s="34" t="s">
        <v>655</v>
      </c>
      <c r="D258" s="38">
        <v>20.893333435058594</v>
      </c>
      <c r="E258" s="38">
        <v>12.770735740661621</v>
      </c>
      <c r="F258" s="40">
        <v>807037</v>
      </c>
      <c r="G258" s="34" t="s">
        <v>670</v>
      </c>
      <c r="H258" s="34" t="s">
        <v>115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36">
        <v>38589.15625</v>
      </c>
      <c r="B259" s="34" t="s">
        <v>654</v>
      </c>
      <c r="C259" s="34" t="s">
        <v>655</v>
      </c>
      <c r="D259" s="38">
        <v>21.326665878295898</v>
      </c>
      <c r="E259" s="38">
        <v>13.035605430603027</v>
      </c>
      <c r="F259" s="40">
        <v>937050</v>
      </c>
      <c r="G259" s="34" t="s">
        <v>670</v>
      </c>
      <c r="H259" s="34" t="s">
        <v>115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36">
        <v>38590.15625</v>
      </c>
      <c r="B260" s="34" t="s">
        <v>654</v>
      </c>
      <c r="C260" s="34" t="s">
        <v>655</v>
      </c>
      <c r="D260" s="38">
        <v>20.893333435058594</v>
      </c>
      <c r="E260" s="38">
        <v>12.770735740661621</v>
      </c>
      <c r="F260" s="40">
        <v>1552207</v>
      </c>
      <c r="G260" s="34" t="s">
        <v>670</v>
      </c>
      <c r="H260" s="34" t="s">
        <v>115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>
      <c r="A261" s="37">
        <v>38593.15625</v>
      </c>
      <c r="B261" s="35" t="s">
        <v>654</v>
      </c>
      <c r="C261" s="35" t="s">
        <v>655</v>
      </c>
      <c r="D261" s="39">
        <v>21.246665954589844</v>
      </c>
      <c r="E261" s="39">
        <v>12.986702919006348</v>
      </c>
      <c r="F261" s="41">
        <v>1085752</v>
      </c>
      <c r="G261" s="35" t="s">
        <v>670</v>
      </c>
      <c r="H261" s="35" t="s">
        <v>115</v>
      </c>
    </row>
    <row r="262" spans="1:47">
      <c r="A262" s="37">
        <v>38594.15625</v>
      </c>
      <c r="B262" s="35" t="s">
        <v>654</v>
      </c>
      <c r="C262" s="35" t="s">
        <v>655</v>
      </c>
      <c r="D262" s="39">
        <v>21.586666107177734</v>
      </c>
      <c r="E262" s="39">
        <v>13.194523811340332</v>
      </c>
      <c r="F262" s="41">
        <v>1305292</v>
      </c>
      <c r="G262" s="35" t="s">
        <v>670</v>
      </c>
      <c r="H262" s="35" t="s">
        <v>115</v>
      </c>
    </row>
    <row r="263" spans="1:47">
      <c r="A263" s="37">
        <v>38595.15625</v>
      </c>
      <c r="B263" s="35" t="s">
        <v>654</v>
      </c>
      <c r="C263" s="35" t="s">
        <v>655</v>
      </c>
      <c r="D263" s="39">
        <v>22.753332138061523</v>
      </c>
      <c r="E263" s="39">
        <v>13.90762996673584</v>
      </c>
      <c r="F263" s="41">
        <v>4033462</v>
      </c>
      <c r="G263" s="35" t="s">
        <v>670</v>
      </c>
      <c r="H263" s="35" t="s">
        <v>115</v>
      </c>
    </row>
    <row r="264" spans="1:47">
      <c r="A264" s="37">
        <v>38596.15625</v>
      </c>
      <c r="B264" s="35" t="s">
        <v>654</v>
      </c>
      <c r="C264" s="35" t="s">
        <v>655</v>
      </c>
      <c r="D264" s="39">
        <v>24.233333587646484</v>
      </c>
      <c r="E264" s="39">
        <v>14.812255859375</v>
      </c>
      <c r="F264" s="41">
        <v>8214712</v>
      </c>
      <c r="G264" s="35" t="s">
        <v>670</v>
      </c>
      <c r="H264" s="35" t="s">
        <v>115</v>
      </c>
    </row>
    <row r="265" spans="1:47">
      <c r="A265" s="37">
        <v>38597.15625</v>
      </c>
      <c r="B265" s="35" t="s">
        <v>654</v>
      </c>
      <c r="C265" s="35" t="s">
        <v>655</v>
      </c>
      <c r="D265" s="39">
        <v>23.693332672119141</v>
      </c>
      <c r="E265" s="39">
        <v>14.482190132141113</v>
      </c>
      <c r="F265" s="41">
        <v>4332502</v>
      </c>
      <c r="G265" s="35" t="s">
        <v>670</v>
      </c>
      <c r="H265" s="35" t="s">
        <v>115</v>
      </c>
    </row>
    <row r="266" spans="1:47">
      <c r="A266" s="37">
        <v>38600.15625</v>
      </c>
      <c r="B266" s="35" t="s">
        <v>654</v>
      </c>
      <c r="C266" s="35" t="s">
        <v>655</v>
      </c>
      <c r="D266" s="39">
        <v>23.713333129882813</v>
      </c>
      <c r="E266" s="39">
        <v>14.494412422180176</v>
      </c>
      <c r="F266" s="41">
        <v>2259975</v>
      </c>
      <c r="G266" s="35" t="s">
        <v>670</v>
      </c>
      <c r="H266" s="35" t="s">
        <v>115</v>
      </c>
    </row>
    <row r="267" spans="1:47">
      <c r="A267" s="37">
        <v>38601.15625</v>
      </c>
      <c r="B267" s="35" t="s">
        <v>654</v>
      </c>
      <c r="C267" s="35" t="s">
        <v>655</v>
      </c>
      <c r="D267" s="39">
        <v>23.633333206176758</v>
      </c>
      <c r="E267" s="39">
        <v>14.445518493652344</v>
      </c>
      <c r="F267" s="41">
        <v>1208640</v>
      </c>
      <c r="G267" s="35" t="s">
        <v>670</v>
      </c>
      <c r="H267" s="35" t="s">
        <v>115</v>
      </c>
    </row>
    <row r="268" spans="1:47">
      <c r="A268" s="37">
        <v>38603.15625</v>
      </c>
      <c r="B268" s="35" t="s">
        <v>654</v>
      </c>
      <c r="C268" s="35" t="s">
        <v>655</v>
      </c>
      <c r="D268" s="39">
        <v>24.659999847412109</v>
      </c>
      <c r="E268" s="39">
        <v>15.073052406311035</v>
      </c>
      <c r="F268" s="41">
        <v>5025847</v>
      </c>
      <c r="G268" s="35" t="s">
        <v>670</v>
      </c>
      <c r="H268" s="35" t="s">
        <v>115</v>
      </c>
    </row>
    <row r="269" spans="1:47">
      <c r="A269" s="37">
        <v>38604.15625</v>
      </c>
      <c r="B269" s="35" t="s">
        <v>654</v>
      </c>
      <c r="C269" s="35" t="s">
        <v>655</v>
      </c>
      <c r="D269" s="39">
        <v>24.139999389648438</v>
      </c>
      <c r="E269" s="39">
        <v>14.755208969116211</v>
      </c>
      <c r="F269" s="41">
        <v>2313495</v>
      </c>
      <c r="G269" s="35" t="s">
        <v>670</v>
      </c>
      <c r="H269" s="35" t="s">
        <v>115</v>
      </c>
    </row>
    <row r="270" spans="1:47">
      <c r="A270" s="37">
        <v>38607.15625</v>
      </c>
      <c r="B270" s="35" t="s">
        <v>654</v>
      </c>
      <c r="C270" s="35" t="s">
        <v>655</v>
      </c>
      <c r="D270" s="39">
        <v>23.899999618530273</v>
      </c>
      <c r="E270" s="39">
        <v>14.608514785766602</v>
      </c>
      <c r="F270" s="41">
        <v>993802</v>
      </c>
      <c r="G270" s="35" t="s">
        <v>670</v>
      </c>
      <c r="H270" s="35" t="s">
        <v>115</v>
      </c>
    </row>
    <row r="271" spans="1:47">
      <c r="A271" s="37">
        <v>38608.15625</v>
      </c>
      <c r="B271" s="35" t="s">
        <v>654</v>
      </c>
      <c r="C271" s="35" t="s">
        <v>655</v>
      </c>
      <c r="D271" s="39">
        <v>24.386665344238281</v>
      </c>
      <c r="E271" s="39">
        <v>14.905980110168457</v>
      </c>
      <c r="F271" s="41">
        <v>1569360</v>
      </c>
      <c r="G271" s="35" t="s">
        <v>670</v>
      </c>
      <c r="H271" s="35" t="s">
        <v>115</v>
      </c>
    </row>
    <row r="272" spans="1:47">
      <c r="A272" s="37">
        <v>38609.15625</v>
      </c>
      <c r="B272" s="35" t="s">
        <v>654</v>
      </c>
      <c r="C272" s="35" t="s">
        <v>655</v>
      </c>
      <c r="D272" s="39">
        <v>24.246665954589844</v>
      </c>
      <c r="E272" s="39">
        <v>14.820406913757324</v>
      </c>
      <c r="F272" s="41">
        <v>2879295</v>
      </c>
      <c r="G272" s="35" t="s">
        <v>670</v>
      </c>
      <c r="H272" s="35" t="s">
        <v>115</v>
      </c>
    </row>
    <row r="273" spans="1:8">
      <c r="A273" s="37">
        <v>38610.15625</v>
      </c>
      <c r="B273" s="35" t="s">
        <v>654</v>
      </c>
      <c r="C273" s="35" t="s">
        <v>655</v>
      </c>
      <c r="D273" s="39">
        <v>25.086666107177734</v>
      </c>
      <c r="E273" s="39">
        <v>15.333842277526855</v>
      </c>
      <c r="F273" s="41">
        <v>6532552</v>
      </c>
      <c r="G273" s="35" t="s">
        <v>670</v>
      </c>
      <c r="H273" s="35" t="s">
        <v>115</v>
      </c>
    </row>
    <row r="274" spans="1:8">
      <c r="A274" s="37">
        <v>38611.15625</v>
      </c>
      <c r="B274" s="35" t="s">
        <v>654</v>
      </c>
      <c r="C274" s="35" t="s">
        <v>655</v>
      </c>
      <c r="D274" s="39">
        <v>25.933332443237305</v>
      </c>
      <c r="E274" s="39">
        <v>15.851354598999023</v>
      </c>
      <c r="F274" s="41">
        <v>5708857</v>
      </c>
      <c r="G274" s="35" t="s">
        <v>670</v>
      </c>
      <c r="H274" s="35" t="s">
        <v>115</v>
      </c>
    </row>
    <row r="275" spans="1:8">
      <c r="A275" s="37">
        <v>38614.15625</v>
      </c>
      <c r="B275" s="35" t="s">
        <v>654</v>
      </c>
      <c r="C275" s="35" t="s">
        <v>655</v>
      </c>
      <c r="D275" s="39">
        <v>25.420000076293945</v>
      </c>
      <c r="E275" s="39">
        <v>15.537589073181152</v>
      </c>
      <c r="F275" s="41">
        <v>1389840</v>
      </c>
      <c r="G275" s="35" t="s">
        <v>670</v>
      </c>
      <c r="H275" s="35" t="s">
        <v>115</v>
      </c>
    </row>
    <row r="276" spans="1:8">
      <c r="A276" s="37">
        <v>38615.15625</v>
      </c>
      <c r="B276" s="35" t="s">
        <v>654</v>
      </c>
      <c r="C276" s="35" t="s">
        <v>655</v>
      </c>
      <c r="D276" s="39">
        <v>24.946666717529297</v>
      </c>
      <c r="E276" s="39">
        <v>15.248271942138672</v>
      </c>
      <c r="F276" s="41">
        <v>1218187</v>
      </c>
      <c r="G276" s="35" t="s">
        <v>670</v>
      </c>
      <c r="H276" s="35" t="s">
        <v>115</v>
      </c>
    </row>
    <row r="277" spans="1:8">
      <c r="A277" s="37">
        <v>38616.15625</v>
      </c>
      <c r="B277" s="35" t="s">
        <v>654</v>
      </c>
      <c r="C277" s="35" t="s">
        <v>655</v>
      </c>
      <c r="D277" s="39">
        <v>24.159999847412109</v>
      </c>
      <c r="E277" s="39">
        <v>14.767436981201172</v>
      </c>
      <c r="F277" s="41">
        <v>2681850</v>
      </c>
      <c r="G277" s="35" t="s">
        <v>670</v>
      </c>
      <c r="H277" s="35" t="s">
        <v>115</v>
      </c>
    </row>
    <row r="278" spans="1:8">
      <c r="A278" s="37">
        <v>38617.15625</v>
      </c>
      <c r="B278" s="35" t="s">
        <v>654</v>
      </c>
      <c r="C278" s="35" t="s">
        <v>655</v>
      </c>
      <c r="D278" s="39">
        <v>22.120000839233398</v>
      </c>
      <c r="E278" s="39">
        <v>13.520517349243164</v>
      </c>
      <c r="F278" s="41">
        <v>2080162</v>
      </c>
      <c r="G278" s="35" t="s">
        <v>670</v>
      </c>
      <c r="H278" s="35" t="s">
        <v>115</v>
      </c>
    </row>
    <row r="279" spans="1:8">
      <c r="A279" s="37">
        <v>38618.15625</v>
      </c>
      <c r="B279" s="35" t="s">
        <v>654</v>
      </c>
      <c r="C279" s="35" t="s">
        <v>655</v>
      </c>
      <c r="D279" s="39">
        <v>22.760000228881836</v>
      </c>
      <c r="E279" s="39">
        <v>13.91170597076416</v>
      </c>
      <c r="F279" s="41">
        <v>1145017</v>
      </c>
      <c r="G279" s="35" t="s">
        <v>670</v>
      </c>
      <c r="H279" s="35" t="s">
        <v>115</v>
      </c>
    </row>
    <row r="280" spans="1:8">
      <c r="A280" s="37">
        <v>38621.15625</v>
      </c>
      <c r="B280" s="35" t="s">
        <v>654</v>
      </c>
      <c r="C280" s="35" t="s">
        <v>655</v>
      </c>
      <c r="D280" s="39">
        <v>23.626665115356445</v>
      </c>
      <c r="E280" s="39">
        <v>14.441439628601074</v>
      </c>
      <c r="F280" s="41">
        <v>648660</v>
      </c>
      <c r="G280" s="35" t="s">
        <v>670</v>
      </c>
      <c r="H280" s="35" t="s">
        <v>115</v>
      </c>
    </row>
    <row r="281" spans="1:8">
      <c r="A281" s="37">
        <v>38622.15625</v>
      </c>
      <c r="B281" s="35" t="s">
        <v>654</v>
      </c>
      <c r="C281" s="35" t="s">
        <v>655</v>
      </c>
      <c r="D281" s="39">
        <v>24.266666412353516</v>
      </c>
      <c r="E281" s="39">
        <v>14.832633018493652</v>
      </c>
      <c r="F281" s="41">
        <v>2300355</v>
      </c>
      <c r="G281" s="35" t="s">
        <v>670</v>
      </c>
      <c r="H281" s="35" t="s">
        <v>115</v>
      </c>
    </row>
    <row r="282" spans="1:8">
      <c r="A282" s="37">
        <v>38623.15625</v>
      </c>
      <c r="B282" s="35" t="s">
        <v>654</v>
      </c>
      <c r="C282" s="35" t="s">
        <v>655</v>
      </c>
      <c r="D282" s="39">
        <v>24.513332366943359</v>
      </c>
      <c r="E282" s="39">
        <v>14.983403205871582</v>
      </c>
      <c r="F282" s="41">
        <v>2010832</v>
      </c>
      <c r="G282" s="35" t="s">
        <v>670</v>
      </c>
      <c r="H282" s="35" t="s">
        <v>115</v>
      </c>
    </row>
    <row r="283" spans="1:8">
      <c r="A283" s="37">
        <v>38624.15625</v>
      </c>
      <c r="B283" s="35" t="s">
        <v>654</v>
      </c>
      <c r="C283" s="35" t="s">
        <v>655</v>
      </c>
      <c r="D283" s="39">
        <v>23.713333129882813</v>
      </c>
      <c r="E283" s="39">
        <v>14.494412422180176</v>
      </c>
      <c r="F283" s="41">
        <v>1627567</v>
      </c>
      <c r="G283" s="35" t="s">
        <v>670</v>
      </c>
      <c r="H283" s="35" t="s">
        <v>115</v>
      </c>
    </row>
    <row r="284" spans="1:8">
      <c r="A284" s="37">
        <v>38625.15625</v>
      </c>
      <c r="B284" s="35" t="s">
        <v>654</v>
      </c>
      <c r="C284" s="35" t="s">
        <v>655</v>
      </c>
      <c r="D284" s="39">
        <v>23.166666030883789</v>
      </c>
      <c r="E284" s="39">
        <v>14.160275459289551</v>
      </c>
      <c r="F284" s="41">
        <v>877132</v>
      </c>
      <c r="G284" s="35" t="s">
        <v>670</v>
      </c>
      <c r="H284" s="35" t="s">
        <v>115</v>
      </c>
    </row>
    <row r="285" spans="1:8">
      <c r="A285" s="37">
        <v>38628.15625</v>
      </c>
      <c r="B285" s="35" t="s">
        <v>654</v>
      </c>
      <c r="C285" s="35" t="s">
        <v>655</v>
      </c>
      <c r="D285" s="39">
        <v>23.766666412353516</v>
      </c>
      <c r="E285" s="39">
        <v>14.527013778686523</v>
      </c>
      <c r="F285" s="41">
        <v>733530</v>
      </c>
      <c r="G285" s="35" t="s">
        <v>670</v>
      </c>
      <c r="H285" s="35" t="s">
        <v>115</v>
      </c>
    </row>
    <row r="286" spans="1:8">
      <c r="A286" s="37">
        <v>38629.15625</v>
      </c>
      <c r="B286" s="35" t="s">
        <v>654</v>
      </c>
      <c r="C286" s="35" t="s">
        <v>655</v>
      </c>
      <c r="D286" s="39">
        <v>24.113332748413086</v>
      </c>
      <c r="E286" s="39">
        <v>14.738909721374512</v>
      </c>
      <c r="F286" s="41">
        <v>1242285</v>
      </c>
      <c r="G286" s="35" t="s">
        <v>670</v>
      </c>
      <c r="H286" s="35" t="s">
        <v>115</v>
      </c>
    </row>
    <row r="287" spans="1:8">
      <c r="A287" s="37">
        <v>38630.15625</v>
      </c>
      <c r="B287" s="35" t="s">
        <v>654</v>
      </c>
      <c r="C287" s="35" t="s">
        <v>655</v>
      </c>
      <c r="D287" s="39">
        <v>24.386665344238281</v>
      </c>
      <c r="E287" s="39">
        <v>14.905980110168457</v>
      </c>
      <c r="F287" s="41">
        <v>2597842</v>
      </c>
      <c r="G287" s="35" t="s">
        <v>670</v>
      </c>
      <c r="H287" s="35" t="s">
        <v>115</v>
      </c>
    </row>
    <row r="288" spans="1:8">
      <c r="A288" s="37">
        <v>38631.15625</v>
      </c>
      <c r="B288" s="35" t="s">
        <v>654</v>
      </c>
      <c r="C288" s="35" t="s">
        <v>655</v>
      </c>
      <c r="D288" s="39">
        <v>23.786666870117188</v>
      </c>
      <c r="E288" s="39">
        <v>14.539243698120117</v>
      </c>
      <c r="F288" s="41">
        <v>938527</v>
      </c>
      <c r="G288" s="35" t="s">
        <v>670</v>
      </c>
      <c r="H288" s="35" t="s">
        <v>115</v>
      </c>
    </row>
    <row r="289" spans="1:8">
      <c r="A289" s="37">
        <v>38632.15625</v>
      </c>
      <c r="B289" s="35" t="s">
        <v>654</v>
      </c>
      <c r="C289" s="35" t="s">
        <v>655</v>
      </c>
      <c r="D289" s="39">
        <v>23.546665191650391</v>
      </c>
      <c r="E289" s="39">
        <v>14.392542839050293</v>
      </c>
      <c r="F289" s="41">
        <v>606375</v>
      </c>
      <c r="G289" s="35" t="s">
        <v>670</v>
      </c>
      <c r="H289" s="35" t="s">
        <v>115</v>
      </c>
    </row>
    <row r="290" spans="1:8">
      <c r="A290" s="37">
        <v>38635.15625</v>
      </c>
      <c r="B290" s="35" t="s">
        <v>654</v>
      </c>
      <c r="C290" s="35" t="s">
        <v>655</v>
      </c>
      <c r="D290" s="39">
        <v>23.319999694824219</v>
      </c>
      <c r="E290" s="39">
        <v>14.253995895385742</v>
      </c>
      <c r="F290" s="41">
        <v>534787</v>
      </c>
      <c r="G290" s="35" t="s">
        <v>670</v>
      </c>
      <c r="H290" s="35" t="s">
        <v>115</v>
      </c>
    </row>
    <row r="291" spans="1:8">
      <c r="A291" s="37">
        <v>38636.15625</v>
      </c>
      <c r="B291" s="35" t="s">
        <v>654</v>
      </c>
      <c r="C291" s="35" t="s">
        <v>655</v>
      </c>
      <c r="D291" s="39">
        <v>23.146665573120117</v>
      </c>
      <c r="E291" s="39">
        <v>14.148051261901855</v>
      </c>
      <c r="F291" s="41">
        <v>627150</v>
      </c>
      <c r="G291" s="35" t="s">
        <v>670</v>
      </c>
      <c r="H291" s="35" t="s">
        <v>115</v>
      </c>
    </row>
    <row r="292" spans="1:8">
      <c r="A292" s="37">
        <v>38638.15625</v>
      </c>
      <c r="B292" s="35" t="s">
        <v>654</v>
      </c>
      <c r="C292" s="35" t="s">
        <v>655</v>
      </c>
      <c r="D292" s="39">
        <v>23.239999771118164</v>
      </c>
      <c r="E292" s="39">
        <v>14.205099105834961</v>
      </c>
      <c r="F292" s="41">
        <v>1048530</v>
      </c>
      <c r="G292" s="35" t="s">
        <v>670</v>
      </c>
      <c r="H292" s="35" t="s">
        <v>115</v>
      </c>
    </row>
    <row r="293" spans="1:8">
      <c r="A293" s="37">
        <v>38639.15625</v>
      </c>
      <c r="B293" s="35" t="s">
        <v>654</v>
      </c>
      <c r="C293" s="35" t="s">
        <v>655</v>
      </c>
      <c r="D293" s="39">
        <v>22.693332672119141</v>
      </c>
      <c r="E293" s="39">
        <v>13.87095832824707</v>
      </c>
      <c r="F293" s="41">
        <v>627157</v>
      </c>
      <c r="G293" s="35" t="s">
        <v>670</v>
      </c>
      <c r="H293" s="35" t="s">
        <v>115</v>
      </c>
    </row>
    <row r="294" spans="1:8">
      <c r="A294" s="37">
        <v>38642.15625</v>
      </c>
      <c r="B294" s="35" t="s">
        <v>654</v>
      </c>
      <c r="C294" s="35" t="s">
        <v>655</v>
      </c>
      <c r="D294" s="39">
        <v>23.233333587646484</v>
      </c>
      <c r="E294" s="39">
        <v>14.201025009155273</v>
      </c>
      <c r="F294" s="41">
        <v>1499895</v>
      </c>
      <c r="G294" s="35" t="s">
        <v>670</v>
      </c>
      <c r="H294" s="35" t="s">
        <v>115</v>
      </c>
    </row>
    <row r="295" spans="1:8">
      <c r="A295" s="37">
        <v>38643.15625</v>
      </c>
      <c r="B295" s="35" t="s">
        <v>654</v>
      </c>
      <c r="C295" s="35" t="s">
        <v>655</v>
      </c>
      <c r="D295" s="39">
        <v>22.913333892822266</v>
      </c>
      <c r="E295" s="39">
        <v>14.005430221557617</v>
      </c>
      <c r="F295" s="41">
        <v>721897</v>
      </c>
      <c r="G295" s="35" t="s">
        <v>670</v>
      </c>
      <c r="H295" s="35" t="s">
        <v>115</v>
      </c>
    </row>
    <row r="296" spans="1:8">
      <c r="A296" s="37">
        <v>38644.15625</v>
      </c>
      <c r="B296" s="35" t="s">
        <v>654</v>
      </c>
      <c r="C296" s="35" t="s">
        <v>655</v>
      </c>
      <c r="D296" s="39">
        <v>22.033332824707031</v>
      </c>
      <c r="E296" s="39">
        <v>13.46754264831543</v>
      </c>
      <c r="F296" s="41">
        <v>484567</v>
      </c>
      <c r="G296" s="35" t="s">
        <v>670</v>
      </c>
      <c r="H296" s="35" t="s">
        <v>115</v>
      </c>
    </row>
    <row r="297" spans="1:8">
      <c r="A297" s="37">
        <v>38645.15625</v>
      </c>
      <c r="B297" s="35" t="s">
        <v>654</v>
      </c>
      <c r="C297" s="35" t="s">
        <v>655</v>
      </c>
      <c r="D297" s="39">
        <v>21.686666488647461</v>
      </c>
      <c r="E297" s="39">
        <v>13.255647659301758</v>
      </c>
      <c r="F297" s="41">
        <v>644430</v>
      </c>
      <c r="G297" s="35" t="s">
        <v>670</v>
      </c>
      <c r="H297" s="35" t="s">
        <v>115</v>
      </c>
    </row>
    <row r="298" spans="1:8">
      <c r="A298" s="37">
        <v>38646.15625</v>
      </c>
      <c r="B298" s="35" t="s">
        <v>654</v>
      </c>
      <c r="C298" s="35" t="s">
        <v>655</v>
      </c>
      <c r="D298" s="39">
        <v>21.680000305175781</v>
      </c>
      <c r="E298" s="39">
        <v>13.251572608947754</v>
      </c>
      <c r="F298" s="41">
        <v>472230</v>
      </c>
      <c r="G298" s="35" t="s">
        <v>670</v>
      </c>
      <c r="H298" s="35" t="s">
        <v>115</v>
      </c>
    </row>
    <row r="299" spans="1:8">
      <c r="A299" s="37">
        <v>38649.15625</v>
      </c>
      <c r="B299" s="35" t="s">
        <v>654</v>
      </c>
      <c r="C299" s="35" t="s">
        <v>655</v>
      </c>
      <c r="D299" s="39">
        <v>21.633333206176758</v>
      </c>
      <c r="E299" s="39">
        <v>13.223051071166992</v>
      </c>
      <c r="F299" s="41">
        <v>317205</v>
      </c>
      <c r="G299" s="35" t="s">
        <v>670</v>
      </c>
      <c r="H299" s="35" t="s">
        <v>115</v>
      </c>
    </row>
    <row r="300" spans="1:8">
      <c r="A300" s="37">
        <v>38650.15625</v>
      </c>
      <c r="B300" s="35" t="s">
        <v>654</v>
      </c>
      <c r="C300" s="35" t="s">
        <v>655</v>
      </c>
      <c r="D300" s="39">
        <v>21.546665191650391</v>
      </c>
      <c r="E300" s="39">
        <v>13.170071601867676</v>
      </c>
      <c r="F300" s="41">
        <v>264892</v>
      </c>
      <c r="G300" s="35" t="s">
        <v>670</v>
      </c>
      <c r="H300" s="35" t="s">
        <v>115</v>
      </c>
    </row>
    <row r="301" spans="1:8">
      <c r="A301" s="37">
        <v>38651.15625</v>
      </c>
      <c r="B301" s="35" t="s">
        <v>654</v>
      </c>
      <c r="C301" s="35" t="s">
        <v>655</v>
      </c>
      <c r="D301" s="39">
        <v>21.899999618530273</v>
      </c>
      <c r="E301" s="39">
        <v>13.386044502258301</v>
      </c>
      <c r="F301" s="41">
        <v>342840</v>
      </c>
      <c r="G301" s="35" t="s">
        <v>670</v>
      </c>
      <c r="H301" s="35" t="s">
        <v>115</v>
      </c>
    </row>
    <row r="302" spans="1:8">
      <c r="A302" s="37">
        <v>38652.15625</v>
      </c>
      <c r="B302" s="35" t="s">
        <v>654</v>
      </c>
      <c r="C302" s="35" t="s">
        <v>655</v>
      </c>
      <c r="D302" s="39">
        <v>21.606666564941406</v>
      </c>
      <c r="E302" s="39">
        <v>13.20674991607666</v>
      </c>
      <c r="F302" s="41">
        <v>183622</v>
      </c>
      <c r="G302" s="35" t="s">
        <v>670</v>
      </c>
      <c r="H302" s="35" t="s">
        <v>115</v>
      </c>
    </row>
    <row r="303" spans="1:8">
      <c r="A303" s="37">
        <v>38653.15625</v>
      </c>
      <c r="B303" s="35" t="s">
        <v>654</v>
      </c>
      <c r="C303" s="35" t="s">
        <v>655</v>
      </c>
      <c r="D303" s="39">
        <v>20.486665725708008</v>
      </c>
      <c r="E303" s="39">
        <v>12.522162437438965</v>
      </c>
      <c r="F303" s="41">
        <v>461535</v>
      </c>
      <c r="G303" s="35" t="s">
        <v>670</v>
      </c>
      <c r="H303" s="35" t="s">
        <v>115</v>
      </c>
    </row>
    <row r="304" spans="1:8">
      <c r="A304" s="37">
        <v>38656.15625</v>
      </c>
      <c r="B304" s="35" t="s">
        <v>654</v>
      </c>
      <c r="C304" s="35" t="s">
        <v>655</v>
      </c>
      <c r="D304" s="39">
        <v>20.313333511352539</v>
      </c>
      <c r="E304" s="39">
        <v>12.416218757629395</v>
      </c>
      <c r="F304" s="41">
        <v>787807</v>
      </c>
      <c r="G304" s="35" t="s">
        <v>670</v>
      </c>
      <c r="H304" s="35" t="s">
        <v>115</v>
      </c>
    </row>
    <row r="305" spans="1:8">
      <c r="A305" s="37">
        <v>38658.15625</v>
      </c>
      <c r="B305" s="35" t="s">
        <v>654</v>
      </c>
      <c r="C305" s="35" t="s">
        <v>655</v>
      </c>
      <c r="D305" s="39">
        <v>20.926666259765625</v>
      </c>
      <c r="E305" s="39">
        <v>12.791109085083008</v>
      </c>
      <c r="F305" s="41">
        <v>567037</v>
      </c>
      <c r="G305" s="35" t="s">
        <v>670</v>
      </c>
      <c r="H305" s="35" t="s">
        <v>115</v>
      </c>
    </row>
    <row r="306" spans="1:8">
      <c r="A306" s="37">
        <v>38660.15625</v>
      </c>
      <c r="B306" s="35" t="s">
        <v>654</v>
      </c>
      <c r="C306" s="35" t="s">
        <v>655</v>
      </c>
      <c r="D306" s="39">
        <v>20.926666259765625</v>
      </c>
      <c r="E306" s="39">
        <v>12.791109085083008</v>
      </c>
      <c r="F306" s="41">
        <v>0</v>
      </c>
      <c r="G306" s="35" t="s">
        <v>670</v>
      </c>
      <c r="H306" s="35" t="s">
        <v>115</v>
      </c>
    </row>
    <row r="307" spans="1:8">
      <c r="A307" s="37">
        <v>38663.15625</v>
      </c>
      <c r="B307" s="35" t="s">
        <v>654</v>
      </c>
      <c r="C307" s="35" t="s">
        <v>655</v>
      </c>
      <c r="D307" s="39">
        <v>20.866666793823242</v>
      </c>
      <c r="E307" s="39">
        <v>12.754436492919922</v>
      </c>
      <c r="F307" s="41">
        <v>672975</v>
      </c>
      <c r="G307" s="35" t="s">
        <v>670</v>
      </c>
      <c r="H307" s="35" t="s">
        <v>115</v>
      </c>
    </row>
    <row r="308" spans="1:8">
      <c r="A308" s="37">
        <v>38664.15625</v>
      </c>
      <c r="B308" s="35" t="s">
        <v>654</v>
      </c>
      <c r="C308" s="35" t="s">
        <v>655</v>
      </c>
      <c r="D308" s="39">
        <v>21.659999847412109</v>
      </c>
      <c r="E308" s="39">
        <v>13.239348411560059</v>
      </c>
      <c r="F308" s="41">
        <v>2341440</v>
      </c>
      <c r="G308" s="35" t="s">
        <v>670</v>
      </c>
      <c r="H308" s="35" t="s">
        <v>115</v>
      </c>
    </row>
    <row r="309" spans="1:8">
      <c r="A309" s="37">
        <v>38665.15625</v>
      </c>
      <c r="B309" s="35" t="s">
        <v>654</v>
      </c>
      <c r="C309" s="35" t="s">
        <v>655</v>
      </c>
      <c r="D309" s="39">
        <v>22.306665420532227</v>
      </c>
      <c r="E309" s="39">
        <v>13.634611129760742</v>
      </c>
      <c r="F309" s="41">
        <v>1237290</v>
      </c>
      <c r="G309" s="35" t="s">
        <v>670</v>
      </c>
      <c r="H309" s="35" t="s">
        <v>115</v>
      </c>
    </row>
    <row r="310" spans="1:8">
      <c r="A310" s="37">
        <v>38666.15625</v>
      </c>
      <c r="B310" s="35" t="s">
        <v>654</v>
      </c>
      <c r="C310" s="35" t="s">
        <v>655</v>
      </c>
      <c r="D310" s="39">
        <v>21.940000534057617</v>
      </c>
      <c r="E310" s="39">
        <v>13.410492897033691</v>
      </c>
      <c r="F310" s="41">
        <v>249442</v>
      </c>
      <c r="G310" s="35" t="s">
        <v>670</v>
      </c>
      <c r="H310" s="35" t="s">
        <v>115</v>
      </c>
    </row>
    <row r="311" spans="1:8">
      <c r="A311" s="37">
        <v>38667.15625</v>
      </c>
      <c r="B311" s="35" t="s">
        <v>654</v>
      </c>
      <c r="C311" s="35" t="s">
        <v>655</v>
      </c>
      <c r="D311" s="39">
        <v>22.053333282470703</v>
      </c>
      <c r="E311" s="39">
        <v>13.479763031005859</v>
      </c>
      <c r="F311" s="41">
        <v>355927</v>
      </c>
      <c r="G311" s="35" t="s">
        <v>670</v>
      </c>
      <c r="H311" s="35" t="s">
        <v>115</v>
      </c>
    </row>
    <row r="312" spans="1:8">
      <c r="A312" s="37">
        <v>38670.15625</v>
      </c>
      <c r="B312" s="35" t="s">
        <v>654</v>
      </c>
      <c r="C312" s="35" t="s">
        <v>655</v>
      </c>
      <c r="D312" s="39">
        <v>22.213333129882813</v>
      </c>
      <c r="E312" s="39">
        <v>13.57756233215332</v>
      </c>
      <c r="F312" s="41">
        <v>342052</v>
      </c>
      <c r="G312" s="35" t="s">
        <v>670</v>
      </c>
      <c r="H312" s="35" t="s">
        <v>115</v>
      </c>
    </row>
    <row r="313" spans="1:8">
      <c r="A313" s="37">
        <v>38672.15625</v>
      </c>
      <c r="B313" s="35" t="s">
        <v>654</v>
      </c>
      <c r="C313" s="35" t="s">
        <v>655</v>
      </c>
      <c r="D313" s="39">
        <v>22.079999923706055</v>
      </c>
      <c r="E313" s="39">
        <v>13.496066093444824</v>
      </c>
      <c r="F313" s="41">
        <v>357817</v>
      </c>
      <c r="G313" s="35" t="s">
        <v>670</v>
      </c>
      <c r="H313" s="35" t="s">
        <v>115</v>
      </c>
    </row>
    <row r="314" spans="1:8">
      <c r="A314" s="37">
        <v>38673.15625</v>
      </c>
      <c r="B314" s="35" t="s">
        <v>654</v>
      </c>
      <c r="C314" s="35" t="s">
        <v>655</v>
      </c>
      <c r="D314" s="39">
        <v>22.533332824707031</v>
      </c>
      <c r="E314" s="39">
        <v>13.773159980773926</v>
      </c>
      <c r="F314" s="41">
        <v>749355</v>
      </c>
      <c r="G314" s="35" t="s">
        <v>670</v>
      </c>
      <c r="H314" s="35" t="s">
        <v>115</v>
      </c>
    </row>
    <row r="315" spans="1:8">
      <c r="A315" s="37">
        <v>38674.15625</v>
      </c>
      <c r="B315" s="35" t="s">
        <v>654</v>
      </c>
      <c r="C315" s="35" t="s">
        <v>655</v>
      </c>
      <c r="D315" s="39">
        <v>22.813333511352539</v>
      </c>
      <c r="E315" s="39">
        <v>13.944303512573242</v>
      </c>
      <c r="F315" s="41">
        <v>1135665</v>
      </c>
      <c r="G315" s="35" t="s">
        <v>670</v>
      </c>
      <c r="H315" s="35" t="s">
        <v>115</v>
      </c>
    </row>
    <row r="316" spans="1:8">
      <c r="A316" s="37">
        <v>38677.15625</v>
      </c>
      <c r="B316" s="35" t="s">
        <v>654</v>
      </c>
      <c r="C316" s="35" t="s">
        <v>655</v>
      </c>
      <c r="D316" s="39">
        <v>22.446666717529297</v>
      </c>
      <c r="E316" s="39">
        <v>13.720184326171875</v>
      </c>
      <c r="F316" s="41">
        <v>405412</v>
      </c>
      <c r="G316" s="35" t="s">
        <v>670</v>
      </c>
      <c r="H316" s="35" t="s">
        <v>115</v>
      </c>
    </row>
    <row r="317" spans="1:8">
      <c r="A317" s="37">
        <v>38678.15625</v>
      </c>
      <c r="B317" s="35" t="s">
        <v>654</v>
      </c>
      <c r="C317" s="35" t="s">
        <v>655</v>
      </c>
      <c r="D317" s="39">
        <v>22</v>
      </c>
      <c r="E317" s="39">
        <v>13.447168350219727</v>
      </c>
      <c r="F317" s="41">
        <v>248355</v>
      </c>
      <c r="G317" s="35" t="s">
        <v>670</v>
      </c>
      <c r="H317" s="35" t="s">
        <v>115</v>
      </c>
    </row>
    <row r="318" spans="1:8">
      <c r="A318" s="37">
        <v>38679.15625</v>
      </c>
      <c r="B318" s="35" t="s">
        <v>654</v>
      </c>
      <c r="C318" s="35" t="s">
        <v>655</v>
      </c>
      <c r="D318" s="39">
        <v>22.059999465942383</v>
      </c>
      <c r="E318" s="39">
        <v>13.483841896057129</v>
      </c>
      <c r="F318" s="41">
        <v>803115</v>
      </c>
      <c r="G318" s="35" t="s">
        <v>670</v>
      </c>
      <c r="H318" s="35" t="s">
        <v>115</v>
      </c>
    </row>
    <row r="319" spans="1:8">
      <c r="A319" s="37">
        <v>38680.15625</v>
      </c>
      <c r="B319" s="35" t="s">
        <v>654</v>
      </c>
      <c r="C319" s="35" t="s">
        <v>655</v>
      </c>
      <c r="D319" s="39">
        <v>22.166666030883789</v>
      </c>
      <c r="E319" s="39">
        <v>13.549042701721191</v>
      </c>
      <c r="F319" s="41">
        <v>392827</v>
      </c>
      <c r="G319" s="35" t="s">
        <v>670</v>
      </c>
      <c r="H319" s="35" t="s">
        <v>115</v>
      </c>
    </row>
    <row r="320" spans="1:8">
      <c r="A320" s="37">
        <v>38681.15625</v>
      </c>
      <c r="B320" s="35" t="s">
        <v>654</v>
      </c>
      <c r="C320" s="35" t="s">
        <v>655</v>
      </c>
      <c r="D320" s="39">
        <v>22.426666259765625</v>
      </c>
      <c r="E320" s="39">
        <v>13.707959175109863</v>
      </c>
      <c r="F320" s="41">
        <v>1182090</v>
      </c>
      <c r="G320" s="35" t="s">
        <v>670</v>
      </c>
      <c r="H320" s="35" t="s">
        <v>115</v>
      </c>
    </row>
    <row r="321" spans="1:8">
      <c r="A321" s="37">
        <v>38684.15625</v>
      </c>
      <c r="B321" s="35" t="s">
        <v>654</v>
      </c>
      <c r="C321" s="35" t="s">
        <v>655</v>
      </c>
      <c r="D321" s="39">
        <v>23.620000839233398</v>
      </c>
      <c r="E321" s="39">
        <v>14.437373161315918</v>
      </c>
      <c r="F321" s="41">
        <v>1395270</v>
      </c>
      <c r="G321" s="35" t="s">
        <v>670</v>
      </c>
      <c r="H321" s="35" t="s">
        <v>115</v>
      </c>
    </row>
    <row r="322" spans="1:8">
      <c r="A322" s="37">
        <v>38685.15625</v>
      </c>
      <c r="B322" s="35" t="s">
        <v>654</v>
      </c>
      <c r="C322" s="35" t="s">
        <v>655</v>
      </c>
      <c r="D322" s="39">
        <v>22.840000152587891</v>
      </c>
      <c r="E322" s="39">
        <v>13.960607528686523</v>
      </c>
      <c r="F322" s="41">
        <v>662437</v>
      </c>
      <c r="G322" s="35" t="s">
        <v>670</v>
      </c>
      <c r="H322" s="35" t="s">
        <v>115</v>
      </c>
    </row>
    <row r="323" spans="1:8">
      <c r="A323" s="37">
        <v>38686.15625</v>
      </c>
      <c r="B323" s="35" t="s">
        <v>654</v>
      </c>
      <c r="C323" s="35" t="s">
        <v>655</v>
      </c>
      <c r="D323" s="39">
        <v>22.50666618347168</v>
      </c>
      <c r="E323" s="39">
        <v>13.756861686706543</v>
      </c>
      <c r="F323" s="41">
        <v>938895</v>
      </c>
      <c r="G323" s="35" t="s">
        <v>670</v>
      </c>
      <c r="H323" s="35" t="s">
        <v>115</v>
      </c>
    </row>
    <row r="324" spans="1:8">
      <c r="A324" s="37">
        <v>38687.15625</v>
      </c>
      <c r="B324" s="35" t="s">
        <v>654</v>
      </c>
      <c r="C324" s="35" t="s">
        <v>655</v>
      </c>
      <c r="D324" s="39">
        <v>22.559999465942383</v>
      </c>
      <c r="E324" s="39">
        <v>13.789456367492676</v>
      </c>
      <c r="F324" s="41">
        <v>401692</v>
      </c>
      <c r="G324" s="35" t="s">
        <v>670</v>
      </c>
      <c r="H324" s="35" t="s">
        <v>115</v>
      </c>
    </row>
    <row r="325" spans="1:8">
      <c r="A325" s="37">
        <v>38688.15625</v>
      </c>
      <c r="B325" s="35" t="s">
        <v>654</v>
      </c>
      <c r="C325" s="35" t="s">
        <v>655</v>
      </c>
      <c r="D325" s="39">
        <v>22.100000381469727</v>
      </c>
      <c r="E325" s="39">
        <v>13.508293151855469</v>
      </c>
      <c r="F325" s="41">
        <v>1184227</v>
      </c>
      <c r="G325" s="35" t="s">
        <v>670</v>
      </c>
      <c r="H325" s="35" t="s">
        <v>115</v>
      </c>
    </row>
    <row r="326" spans="1:8">
      <c r="A326" s="37">
        <v>38691.15625</v>
      </c>
      <c r="B326" s="35" t="s">
        <v>654</v>
      </c>
      <c r="C326" s="35" t="s">
        <v>655</v>
      </c>
      <c r="D326" s="39">
        <v>22.266666412353516</v>
      </c>
      <c r="E326" s="39">
        <v>13.610162734985352</v>
      </c>
      <c r="F326" s="41">
        <v>774532</v>
      </c>
      <c r="G326" s="35" t="s">
        <v>670</v>
      </c>
      <c r="H326" s="35" t="s">
        <v>115</v>
      </c>
    </row>
    <row r="327" spans="1:8">
      <c r="A327" s="37">
        <v>38692.15625</v>
      </c>
      <c r="B327" s="35" t="s">
        <v>654</v>
      </c>
      <c r="C327" s="35" t="s">
        <v>655</v>
      </c>
      <c r="D327" s="39">
        <v>22.180000305175781</v>
      </c>
      <c r="E327" s="39">
        <v>13.557191848754883</v>
      </c>
      <c r="F327" s="41">
        <v>715732</v>
      </c>
      <c r="G327" s="35" t="s">
        <v>670</v>
      </c>
      <c r="H327" s="35" t="s">
        <v>115</v>
      </c>
    </row>
    <row r="328" spans="1:8">
      <c r="A328" s="37">
        <v>38693.15625</v>
      </c>
      <c r="B328" s="35" t="s">
        <v>654</v>
      </c>
      <c r="C328" s="35" t="s">
        <v>655</v>
      </c>
      <c r="D328" s="39">
        <v>21.99333381652832</v>
      </c>
      <c r="E328" s="39">
        <v>13.443093299865723</v>
      </c>
      <c r="F328" s="41">
        <v>761190</v>
      </c>
      <c r="G328" s="35" t="s">
        <v>670</v>
      </c>
      <c r="H328" s="35" t="s">
        <v>115</v>
      </c>
    </row>
    <row r="329" spans="1:8">
      <c r="A329" s="37">
        <v>38694.15625</v>
      </c>
      <c r="B329" s="35" t="s">
        <v>654</v>
      </c>
      <c r="C329" s="35" t="s">
        <v>655</v>
      </c>
      <c r="D329" s="39">
        <v>21.933332443237305</v>
      </c>
      <c r="E329" s="39">
        <v>13.406418800354004</v>
      </c>
      <c r="F329" s="41">
        <v>594592</v>
      </c>
      <c r="G329" s="35" t="s">
        <v>670</v>
      </c>
      <c r="H329" s="35" t="s">
        <v>115</v>
      </c>
    </row>
    <row r="330" spans="1:8">
      <c r="A330" s="37">
        <v>38695.15625</v>
      </c>
      <c r="B330" s="35" t="s">
        <v>654</v>
      </c>
      <c r="C330" s="35" t="s">
        <v>655</v>
      </c>
      <c r="D330" s="39">
        <v>21.866666793823242</v>
      </c>
      <c r="E330" s="39">
        <v>13.365670204162598</v>
      </c>
      <c r="F330" s="41">
        <v>1191427</v>
      </c>
      <c r="G330" s="35" t="s">
        <v>670</v>
      </c>
      <c r="H330" s="35" t="s">
        <v>115</v>
      </c>
    </row>
    <row r="331" spans="1:8">
      <c r="A331" s="37">
        <v>38698.15625</v>
      </c>
      <c r="B331" s="35" t="s">
        <v>654</v>
      </c>
      <c r="C331" s="35" t="s">
        <v>655</v>
      </c>
      <c r="D331" s="39">
        <v>21.886665344238281</v>
      </c>
      <c r="E331" s="39">
        <v>13.37789249420166</v>
      </c>
      <c r="F331" s="41">
        <v>851790</v>
      </c>
      <c r="G331" s="35" t="s">
        <v>670</v>
      </c>
      <c r="H331" s="35" t="s">
        <v>115</v>
      </c>
    </row>
    <row r="332" spans="1:8">
      <c r="A332" s="37">
        <v>38699.15625</v>
      </c>
      <c r="B332" s="35" t="s">
        <v>654</v>
      </c>
      <c r="C332" s="35" t="s">
        <v>655</v>
      </c>
      <c r="D332" s="39">
        <v>22.15333366394043</v>
      </c>
      <c r="E332" s="39">
        <v>13.540892601013184</v>
      </c>
      <c r="F332" s="41">
        <v>595702</v>
      </c>
      <c r="G332" s="35" t="s">
        <v>670</v>
      </c>
      <c r="H332" s="35" t="s">
        <v>115</v>
      </c>
    </row>
    <row r="333" spans="1:8">
      <c r="A333" s="37">
        <v>38700.15625</v>
      </c>
      <c r="B333" s="35" t="s">
        <v>654</v>
      </c>
      <c r="C333" s="35" t="s">
        <v>655</v>
      </c>
      <c r="D333" s="39">
        <v>22.020000457763672</v>
      </c>
      <c r="E333" s="39">
        <v>13.459396362304688</v>
      </c>
      <c r="F333" s="41">
        <v>572917</v>
      </c>
      <c r="G333" s="35" t="s">
        <v>670</v>
      </c>
      <c r="H333" s="35" t="s">
        <v>115</v>
      </c>
    </row>
    <row r="334" spans="1:8">
      <c r="A334" s="37">
        <v>38701.15625</v>
      </c>
      <c r="B334" s="35" t="s">
        <v>654</v>
      </c>
      <c r="C334" s="35" t="s">
        <v>655</v>
      </c>
      <c r="D334" s="39">
        <v>21.726665496826172</v>
      </c>
      <c r="E334" s="39">
        <v>13.280099868774414</v>
      </c>
      <c r="F334" s="41">
        <v>593805</v>
      </c>
      <c r="G334" s="35" t="s">
        <v>670</v>
      </c>
      <c r="H334" s="35" t="s">
        <v>115</v>
      </c>
    </row>
    <row r="335" spans="1:8">
      <c r="A335" s="37">
        <v>38702.15625</v>
      </c>
      <c r="B335" s="35" t="s">
        <v>654</v>
      </c>
      <c r="C335" s="35" t="s">
        <v>655</v>
      </c>
      <c r="D335" s="39">
        <v>21.979999542236328</v>
      </c>
      <c r="E335" s="39">
        <v>13.434940338134766</v>
      </c>
      <c r="F335" s="41">
        <v>362977</v>
      </c>
      <c r="G335" s="35" t="s">
        <v>670</v>
      </c>
      <c r="H335" s="35" t="s">
        <v>115</v>
      </c>
    </row>
    <row r="336" spans="1:8">
      <c r="A336" s="37">
        <v>38705.15625</v>
      </c>
      <c r="B336" s="35" t="s">
        <v>654</v>
      </c>
      <c r="C336" s="35" t="s">
        <v>655</v>
      </c>
      <c r="D336" s="39">
        <v>21.85333251953125</v>
      </c>
      <c r="E336" s="39">
        <v>13.357518196105957</v>
      </c>
      <c r="F336" s="41">
        <v>507157</v>
      </c>
      <c r="G336" s="35" t="s">
        <v>670</v>
      </c>
      <c r="H336" s="35" t="s">
        <v>115</v>
      </c>
    </row>
    <row r="337" spans="1:8">
      <c r="A337" s="37">
        <v>38706.15625</v>
      </c>
      <c r="B337" s="35" t="s">
        <v>654</v>
      </c>
      <c r="C337" s="35" t="s">
        <v>655</v>
      </c>
      <c r="D337" s="39">
        <v>21.526666641235352</v>
      </c>
      <c r="E337" s="39">
        <v>13.157848358154297</v>
      </c>
      <c r="F337" s="41">
        <v>553972</v>
      </c>
      <c r="G337" s="35" t="s">
        <v>670</v>
      </c>
      <c r="H337" s="35" t="s">
        <v>115</v>
      </c>
    </row>
    <row r="338" spans="1:8">
      <c r="A338" s="37">
        <v>38707.15625</v>
      </c>
      <c r="B338" s="35" t="s">
        <v>654</v>
      </c>
      <c r="C338" s="35" t="s">
        <v>655</v>
      </c>
      <c r="D338" s="39">
        <v>21.920000076293945</v>
      </c>
      <c r="E338" s="39">
        <v>13.398269653320313</v>
      </c>
      <c r="F338" s="41">
        <v>1270305</v>
      </c>
      <c r="G338" s="35" t="s">
        <v>670</v>
      </c>
      <c r="H338" s="35" t="s">
        <v>115</v>
      </c>
    </row>
    <row r="339" spans="1:8">
      <c r="A339" s="37">
        <v>38708.15625</v>
      </c>
      <c r="B339" s="35" t="s">
        <v>654</v>
      </c>
      <c r="C339" s="35" t="s">
        <v>655</v>
      </c>
      <c r="D339" s="39">
        <v>21.959999084472656</v>
      </c>
      <c r="E339" s="39">
        <v>13.42271614074707</v>
      </c>
      <c r="F339" s="41">
        <v>391252</v>
      </c>
      <c r="G339" s="35" t="s">
        <v>670</v>
      </c>
      <c r="H339" s="35" t="s">
        <v>115</v>
      </c>
    </row>
    <row r="340" spans="1:8">
      <c r="A340" s="37">
        <v>38709.15625</v>
      </c>
      <c r="B340" s="35" t="s">
        <v>654</v>
      </c>
      <c r="C340" s="35" t="s">
        <v>655</v>
      </c>
      <c r="D340" s="39">
        <v>21.606666564941406</v>
      </c>
      <c r="E340" s="39">
        <v>13.20674991607666</v>
      </c>
      <c r="F340" s="41">
        <v>308655</v>
      </c>
      <c r="G340" s="35" t="s">
        <v>670</v>
      </c>
      <c r="H340" s="35" t="s">
        <v>115</v>
      </c>
    </row>
    <row r="341" spans="1:8">
      <c r="A341" s="37">
        <v>38712.15625</v>
      </c>
      <c r="B341" s="35" t="s">
        <v>654</v>
      </c>
      <c r="C341" s="35" t="s">
        <v>655</v>
      </c>
      <c r="D341" s="39">
        <v>21.306665420532227</v>
      </c>
      <c r="E341" s="39">
        <v>13.023377418518066</v>
      </c>
      <c r="F341" s="41">
        <v>429165</v>
      </c>
      <c r="G341" s="35" t="s">
        <v>670</v>
      </c>
      <c r="H341" s="35" t="s">
        <v>115</v>
      </c>
    </row>
    <row r="342" spans="1:8">
      <c r="A342" s="37">
        <v>38713.15625</v>
      </c>
      <c r="B342" s="35" t="s">
        <v>654</v>
      </c>
      <c r="C342" s="35" t="s">
        <v>655</v>
      </c>
      <c r="D342" s="39">
        <v>21.559999465942383</v>
      </c>
      <c r="E342" s="39">
        <v>13.178226470947266</v>
      </c>
      <c r="F342" s="41">
        <v>182895</v>
      </c>
      <c r="G342" s="35" t="s">
        <v>670</v>
      </c>
      <c r="H342" s="35" t="s">
        <v>115</v>
      </c>
    </row>
    <row r="343" spans="1:8">
      <c r="A343" s="37">
        <v>38714.15625</v>
      </c>
      <c r="B343" s="35" t="s">
        <v>654</v>
      </c>
      <c r="C343" s="35" t="s">
        <v>655</v>
      </c>
      <c r="D343" s="39">
        <v>21.5</v>
      </c>
      <c r="E343" s="39">
        <v>13.141548156738281</v>
      </c>
      <c r="F343" s="41">
        <v>193080</v>
      </c>
      <c r="G343" s="35" t="s">
        <v>670</v>
      </c>
      <c r="H343" s="35" t="s">
        <v>115</v>
      </c>
    </row>
    <row r="344" spans="1:8">
      <c r="A344" s="37">
        <v>38715.15625</v>
      </c>
      <c r="B344" s="35" t="s">
        <v>654</v>
      </c>
      <c r="C344" s="35" t="s">
        <v>655</v>
      </c>
      <c r="D344" s="39">
        <v>21.420000076293945</v>
      </c>
      <c r="E344" s="39">
        <v>13.0926513671875</v>
      </c>
      <c r="F344" s="41">
        <v>370695</v>
      </c>
      <c r="G344" s="35" t="s">
        <v>670</v>
      </c>
      <c r="H344" s="35" t="s">
        <v>115</v>
      </c>
    </row>
    <row r="345" spans="1:8">
      <c r="A345" s="37">
        <v>38716.15625</v>
      </c>
      <c r="B345" s="35" t="s">
        <v>654</v>
      </c>
      <c r="C345" s="35" t="s">
        <v>655</v>
      </c>
      <c r="D345" s="39">
        <v>21.933332443237305</v>
      </c>
      <c r="E345" s="39">
        <v>13.406418800354004</v>
      </c>
      <c r="F345" s="41">
        <v>642120</v>
      </c>
      <c r="G345" s="35" t="s">
        <v>670</v>
      </c>
      <c r="H345" s="35" t="s">
        <v>115</v>
      </c>
    </row>
    <row r="346" spans="1:8">
      <c r="A346" s="37">
        <v>38719.15625</v>
      </c>
      <c r="B346" s="35" t="s">
        <v>654</v>
      </c>
      <c r="C346" s="35" t="s">
        <v>655</v>
      </c>
      <c r="D346" s="39">
        <v>21.806665420532227</v>
      </c>
      <c r="E346" s="39">
        <v>13.328994750976563</v>
      </c>
      <c r="F346" s="41">
        <v>280882</v>
      </c>
      <c r="G346" s="35" t="s">
        <v>670</v>
      </c>
      <c r="H346" s="35" t="s">
        <v>115</v>
      </c>
    </row>
    <row r="347" spans="1:8">
      <c r="A347" s="37">
        <v>38720.15625</v>
      </c>
      <c r="B347" s="35" t="s">
        <v>654</v>
      </c>
      <c r="C347" s="35" t="s">
        <v>655</v>
      </c>
      <c r="D347" s="39">
        <v>22.473333358764648</v>
      </c>
      <c r="E347" s="39">
        <v>13.736483573913574</v>
      </c>
      <c r="F347" s="41">
        <v>2346202</v>
      </c>
      <c r="G347" s="35" t="s">
        <v>670</v>
      </c>
      <c r="H347" s="35" t="s">
        <v>115</v>
      </c>
    </row>
    <row r="348" spans="1:8">
      <c r="A348" s="37">
        <v>38721.15625</v>
      </c>
      <c r="B348" s="35" t="s">
        <v>654</v>
      </c>
      <c r="C348" s="35" t="s">
        <v>655</v>
      </c>
      <c r="D348" s="39">
        <v>23.440000534057617</v>
      </c>
      <c r="E348" s="39">
        <v>14.32734203338623</v>
      </c>
      <c r="F348" s="41">
        <v>5549835</v>
      </c>
      <c r="G348" s="35" t="s">
        <v>670</v>
      </c>
      <c r="H348" s="35" t="s">
        <v>115</v>
      </c>
    </row>
    <row r="349" spans="1:8">
      <c r="A349" s="37">
        <v>38722.15625</v>
      </c>
      <c r="B349" s="35" t="s">
        <v>654</v>
      </c>
      <c r="C349" s="35" t="s">
        <v>655</v>
      </c>
      <c r="D349" s="39">
        <v>23.940000534057617</v>
      </c>
      <c r="E349" s="39">
        <v>14.632966041564941</v>
      </c>
      <c r="F349" s="41">
        <v>5672355</v>
      </c>
      <c r="G349" s="35" t="s">
        <v>670</v>
      </c>
      <c r="H349" s="35" t="s">
        <v>115</v>
      </c>
    </row>
    <row r="350" spans="1:8">
      <c r="A350" s="37">
        <v>38723.15625</v>
      </c>
      <c r="B350" s="35" t="s">
        <v>654</v>
      </c>
      <c r="C350" s="35" t="s">
        <v>655</v>
      </c>
      <c r="D350" s="39">
        <v>23.753332138061523</v>
      </c>
      <c r="E350" s="39">
        <v>14.518866539001465</v>
      </c>
      <c r="F350" s="41">
        <v>1855740</v>
      </c>
      <c r="G350" s="35" t="s">
        <v>670</v>
      </c>
      <c r="H350" s="35" t="s">
        <v>115</v>
      </c>
    </row>
    <row r="351" spans="1:8">
      <c r="A351" s="37">
        <v>38726.15625</v>
      </c>
      <c r="B351" s="35" t="s">
        <v>654</v>
      </c>
      <c r="C351" s="35" t="s">
        <v>655</v>
      </c>
      <c r="D351" s="39">
        <v>23.193332672119141</v>
      </c>
      <c r="E351" s="39">
        <v>14.176575660705566</v>
      </c>
      <c r="F351" s="41">
        <v>1357432</v>
      </c>
      <c r="G351" s="35" t="s">
        <v>670</v>
      </c>
      <c r="H351" s="35" t="s">
        <v>115</v>
      </c>
    </row>
    <row r="352" spans="1:8">
      <c r="A352" s="37">
        <v>38727.15625</v>
      </c>
      <c r="B352" s="35" t="s">
        <v>654</v>
      </c>
      <c r="C352" s="35" t="s">
        <v>655</v>
      </c>
      <c r="D352" s="39">
        <v>22.866666793823242</v>
      </c>
      <c r="E352" s="39">
        <v>13.976901054382324</v>
      </c>
      <c r="F352" s="41">
        <v>554152</v>
      </c>
      <c r="G352" s="35" t="s">
        <v>670</v>
      </c>
      <c r="H352" s="35" t="s">
        <v>115</v>
      </c>
    </row>
    <row r="353" spans="1:8">
      <c r="A353" s="37">
        <v>38729.15625</v>
      </c>
      <c r="B353" s="35" t="s">
        <v>654</v>
      </c>
      <c r="C353" s="35" t="s">
        <v>655</v>
      </c>
      <c r="D353" s="39">
        <v>22.413333892822266</v>
      </c>
      <c r="E353" s="39">
        <v>13.699810028076172</v>
      </c>
      <c r="F353" s="41">
        <v>871882</v>
      </c>
      <c r="G353" s="35" t="s">
        <v>670</v>
      </c>
      <c r="H353" s="35" t="s">
        <v>115</v>
      </c>
    </row>
    <row r="354" spans="1:8">
      <c r="A354" s="37">
        <v>38730.15625</v>
      </c>
      <c r="B354" s="35" t="s">
        <v>654</v>
      </c>
      <c r="C354" s="35" t="s">
        <v>655</v>
      </c>
      <c r="D354" s="39">
        <v>22.446666717529297</v>
      </c>
      <c r="E354" s="39">
        <v>13.720184326171875</v>
      </c>
      <c r="F354" s="41">
        <v>604905</v>
      </c>
      <c r="G354" s="35" t="s">
        <v>670</v>
      </c>
      <c r="H354" s="35" t="s">
        <v>115</v>
      </c>
    </row>
    <row r="355" spans="1:8">
      <c r="A355" s="37">
        <v>38733.15625</v>
      </c>
      <c r="B355" s="35" t="s">
        <v>654</v>
      </c>
      <c r="C355" s="35" t="s">
        <v>655</v>
      </c>
      <c r="D355" s="39">
        <v>22.313333511352539</v>
      </c>
      <c r="E355" s="39">
        <v>13.638689041137695</v>
      </c>
      <c r="F355" s="41">
        <v>408660</v>
      </c>
      <c r="G355" s="35" t="s">
        <v>670</v>
      </c>
      <c r="H355" s="35" t="s">
        <v>115</v>
      </c>
    </row>
    <row r="356" spans="1:8">
      <c r="A356" s="37">
        <v>38734.15625</v>
      </c>
      <c r="B356" s="35" t="s">
        <v>654</v>
      </c>
      <c r="C356" s="35" t="s">
        <v>655</v>
      </c>
      <c r="D356" s="39">
        <v>21.920000076293945</v>
      </c>
      <c r="E356" s="39">
        <v>13.398269653320313</v>
      </c>
      <c r="F356" s="41">
        <v>472395</v>
      </c>
      <c r="G356" s="35" t="s">
        <v>670</v>
      </c>
      <c r="H356" s="35" t="s">
        <v>115</v>
      </c>
    </row>
    <row r="357" spans="1:8">
      <c r="A357" s="37">
        <v>38735.15625</v>
      </c>
      <c r="B357" s="35" t="s">
        <v>654</v>
      </c>
      <c r="C357" s="35" t="s">
        <v>655</v>
      </c>
      <c r="D357" s="39">
        <v>22.479999542236328</v>
      </c>
      <c r="E357" s="39">
        <v>13.74056339263916</v>
      </c>
      <c r="F357" s="41">
        <v>458242</v>
      </c>
      <c r="G357" s="35" t="s">
        <v>670</v>
      </c>
      <c r="H357" s="35" t="s">
        <v>115</v>
      </c>
    </row>
    <row r="358" spans="1:8">
      <c r="A358" s="37">
        <v>38736.15625</v>
      </c>
      <c r="B358" s="35" t="s">
        <v>654</v>
      </c>
      <c r="C358" s="35" t="s">
        <v>655</v>
      </c>
      <c r="D358" s="39">
        <v>23.780000686645508</v>
      </c>
      <c r="E358" s="39">
        <v>14.535165786743164</v>
      </c>
      <c r="F358" s="41">
        <v>2315400</v>
      </c>
      <c r="G358" s="35" t="s">
        <v>670</v>
      </c>
      <c r="H358" s="35" t="s">
        <v>115</v>
      </c>
    </row>
    <row r="359" spans="1:8">
      <c r="A359" s="37">
        <v>38737.15625</v>
      </c>
      <c r="B359" s="35" t="s">
        <v>654</v>
      </c>
      <c r="C359" s="35" t="s">
        <v>655</v>
      </c>
      <c r="D359" s="39">
        <v>24.026666641235352</v>
      </c>
      <c r="E359" s="39">
        <v>14.685935974121094</v>
      </c>
      <c r="F359" s="41">
        <v>2290140</v>
      </c>
      <c r="G359" s="35" t="s">
        <v>670</v>
      </c>
      <c r="H359" s="35" t="s">
        <v>115</v>
      </c>
    </row>
    <row r="360" spans="1:8">
      <c r="A360" s="37">
        <v>38740.15625</v>
      </c>
      <c r="B360" s="35" t="s">
        <v>654</v>
      </c>
      <c r="C360" s="35" t="s">
        <v>655</v>
      </c>
      <c r="D360" s="39">
        <v>23.766666412353516</v>
      </c>
      <c r="E360" s="39">
        <v>14.527013778686523</v>
      </c>
      <c r="F360" s="41">
        <v>942015</v>
      </c>
      <c r="G360" s="35" t="s">
        <v>670</v>
      </c>
      <c r="H360" s="35" t="s">
        <v>115</v>
      </c>
    </row>
    <row r="361" spans="1:8">
      <c r="A361" s="37">
        <v>38741.15625</v>
      </c>
      <c r="B361" s="35" t="s">
        <v>654</v>
      </c>
      <c r="C361" s="35" t="s">
        <v>655</v>
      </c>
      <c r="D361" s="39">
        <v>24.093332290649414</v>
      </c>
      <c r="E361" s="39">
        <v>14.726683616638184</v>
      </c>
      <c r="F361" s="41">
        <v>1226730</v>
      </c>
      <c r="G361" s="35" t="s">
        <v>670</v>
      </c>
      <c r="H361" s="35" t="s">
        <v>115</v>
      </c>
    </row>
    <row r="362" spans="1:8">
      <c r="A362" s="37">
        <v>38742.15625</v>
      </c>
      <c r="B362" s="35" t="s">
        <v>654</v>
      </c>
      <c r="C362" s="35" t="s">
        <v>655</v>
      </c>
      <c r="D362" s="39">
        <v>23.806665420532227</v>
      </c>
      <c r="E362" s="39">
        <v>14.551467895507813</v>
      </c>
      <c r="F362" s="41">
        <v>782610</v>
      </c>
      <c r="G362" s="35" t="s">
        <v>670</v>
      </c>
      <c r="H362" s="35" t="s">
        <v>115</v>
      </c>
    </row>
    <row r="363" spans="1:8">
      <c r="A363" s="37">
        <v>38744.15625</v>
      </c>
      <c r="B363" s="35" t="s">
        <v>654</v>
      </c>
      <c r="C363" s="35" t="s">
        <v>655</v>
      </c>
      <c r="D363" s="39">
        <v>23.873332977294922</v>
      </c>
      <c r="E363" s="39">
        <v>14.592212677001953</v>
      </c>
      <c r="F363" s="41">
        <v>411150</v>
      </c>
      <c r="G363" s="35" t="s">
        <v>670</v>
      </c>
      <c r="H363" s="35" t="s">
        <v>115</v>
      </c>
    </row>
    <row r="364" spans="1:8">
      <c r="A364" s="37">
        <v>38747.15625</v>
      </c>
      <c r="B364" s="35" t="s">
        <v>654</v>
      </c>
      <c r="C364" s="35" t="s">
        <v>655</v>
      </c>
      <c r="D364" s="39">
        <v>23.780000686645508</v>
      </c>
      <c r="E364" s="39">
        <v>14.535165786743164</v>
      </c>
      <c r="F364" s="41">
        <v>592410</v>
      </c>
      <c r="G364" s="35" t="s">
        <v>670</v>
      </c>
      <c r="H364" s="35" t="s">
        <v>115</v>
      </c>
    </row>
    <row r="365" spans="1:8">
      <c r="A365" s="37">
        <v>38748.15625</v>
      </c>
      <c r="B365" s="35" t="s">
        <v>654</v>
      </c>
      <c r="C365" s="35" t="s">
        <v>655</v>
      </c>
      <c r="D365" s="39">
        <v>23.593332290649414</v>
      </c>
      <c r="E365" s="39">
        <v>14.421065330505371</v>
      </c>
      <c r="F365" s="41">
        <v>431092</v>
      </c>
      <c r="G365" s="35" t="s">
        <v>670</v>
      </c>
      <c r="H365" s="35" t="s">
        <v>115</v>
      </c>
    </row>
    <row r="366" spans="1:8">
      <c r="A366" s="37">
        <v>38749.15625</v>
      </c>
      <c r="B366" s="35" t="s">
        <v>654</v>
      </c>
      <c r="C366" s="35" t="s">
        <v>655</v>
      </c>
      <c r="D366" s="39">
        <v>23.34666633605957</v>
      </c>
      <c r="E366" s="39">
        <v>14.270299911499023</v>
      </c>
      <c r="F366" s="41">
        <v>393577</v>
      </c>
      <c r="G366" s="35" t="s">
        <v>670</v>
      </c>
      <c r="H366" s="35" t="s">
        <v>115</v>
      </c>
    </row>
    <row r="367" spans="1:8">
      <c r="A367" s="37">
        <v>38750.15625</v>
      </c>
      <c r="B367" s="35" t="s">
        <v>654</v>
      </c>
      <c r="C367" s="35" t="s">
        <v>655</v>
      </c>
      <c r="D367" s="39">
        <v>23.366666793823242</v>
      </c>
      <c r="E367" s="39">
        <v>14.28251838684082</v>
      </c>
      <c r="F367" s="41">
        <v>590370</v>
      </c>
      <c r="G367" s="35" t="s">
        <v>670</v>
      </c>
      <c r="H367" s="35" t="s">
        <v>115</v>
      </c>
    </row>
    <row r="368" spans="1:8">
      <c r="A368" s="37">
        <v>38751.15625</v>
      </c>
      <c r="B368" s="35" t="s">
        <v>654</v>
      </c>
      <c r="C368" s="35" t="s">
        <v>655</v>
      </c>
      <c r="D368" s="39">
        <v>23.420000076293945</v>
      </c>
      <c r="E368" s="39">
        <v>14.315121650695801</v>
      </c>
      <c r="F368" s="41">
        <v>273270</v>
      </c>
      <c r="G368" s="35" t="s">
        <v>670</v>
      </c>
      <c r="H368" s="35" t="s">
        <v>115</v>
      </c>
    </row>
    <row r="369" spans="1:8">
      <c r="A369" s="37">
        <v>38754.15625</v>
      </c>
      <c r="B369" s="35" t="s">
        <v>654</v>
      </c>
      <c r="C369" s="35" t="s">
        <v>655</v>
      </c>
      <c r="D369" s="39">
        <v>23.946666717529297</v>
      </c>
      <c r="E369" s="39">
        <v>14.63703727722168</v>
      </c>
      <c r="F369" s="41">
        <v>820185</v>
      </c>
      <c r="G369" s="35" t="s">
        <v>670</v>
      </c>
      <c r="H369" s="35" t="s">
        <v>115</v>
      </c>
    </row>
    <row r="370" spans="1:8">
      <c r="A370" s="37">
        <v>38755.15625</v>
      </c>
      <c r="B370" s="35" t="s">
        <v>654</v>
      </c>
      <c r="C370" s="35" t="s">
        <v>655</v>
      </c>
      <c r="D370" s="39">
        <v>23.979999542236328</v>
      </c>
      <c r="E370" s="39">
        <v>14.657414436340332</v>
      </c>
      <c r="F370" s="41">
        <v>2784142</v>
      </c>
      <c r="G370" s="35" t="s">
        <v>670</v>
      </c>
      <c r="H370" s="35" t="s">
        <v>115</v>
      </c>
    </row>
    <row r="371" spans="1:8">
      <c r="A371" s="37">
        <v>38756.15625</v>
      </c>
      <c r="B371" s="35" t="s">
        <v>654</v>
      </c>
      <c r="C371" s="35" t="s">
        <v>655</v>
      </c>
      <c r="D371" s="39">
        <v>25.046665191650391</v>
      </c>
      <c r="E371" s="39">
        <v>15.309394836425781</v>
      </c>
      <c r="F371" s="41">
        <v>2928420</v>
      </c>
      <c r="G371" s="35" t="s">
        <v>670</v>
      </c>
      <c r="H371" s="35" t="s">
        <v>115</v>
      </c>
    </row>
    <row r="372" spans="1:8">
      <c r="A372" s="37">
        <v>38758.15625</v>
      </c>
      <c r="B372" s="35" t="s">
        <v>654</v>
      </c>
      <c r="C372" s="35" t="s">
        <v>655</v>
      </c>
      <c r="D372" s="39">
        <v>24.799999237060547</v>
      </c>
      <c r="E372" s="39">
        <v>15.158628463745117</v>
      </c>
      <c r="F372" s="41">
        <v>2940135</v>
      </c>
      <c r="G372" s="35" t="s">
        <v>670</v>
      </c>
      <c r="H372" s="35" t="s">
        <v>115</v>
      </c>
    </row>
    <row r="373" spans="1:8">
      <c r="A373" s="37">
        <v>38761.15625</v>
      </c>
      <c r="B373" s="35" t="s">
        <v>654</v>
      </c>
      <c r="C373" s="35" t="s">
        <v>655</v>
      </c>
      <c r="D373" s="39">
        <v>24.233333587646484</v>
      </c>
      <c r="E373" s="39">
        <v>14.812255859375</v>
      </c>
      <c r="F373" s="41">
        <v>1567545</v>
      </c>
      <c r="G373" s="35" t="s">
        <v>670</v>
      </c>
      <c r="H373" s="35" t="s">
        <v>115</v>
      </c>
    </row>
    <row r="374" spans="1:8">
      <c r="A374" s="37">
        <v>38762.15625</v>
      </c>
      <c r="B374" s="35" t="s">
        <v>654</v>
      </c>
      <c r="C374" s="35" t="s">
        <v>655</v>
      </c>
      <c r="D374" s="39">
        <v>23.799999237060547</v>
      </c>
      <c r="E374" s="39">
        <v>14.547392845153809</v>
      </c>
      <c r="F374" s="41">
        <v>764940</v>
      </c>
      <c r="G374" s="35" t="s">
        <v>670</v>
      </c>
      <c r="H374" s="35" t="s">
        <v>115</v>
      </c>
    </row>
    <row r="375" spans="1:8">
      <c r="A375" s="37">
        <v>38763.15625</v>
      </c>
      <c r="B375" s="35" t="s">
        <v>654</v>
      </c>
      <c r="C375" s="35" t="s">
        <v>655</v>
      </c>
      <c r="D375" s="39">
        <v>24</v>
      </c>
      <c r="E375" s="39">
        <v>14.669633865356445</v>
      </c>
      <c r="F375" s="41">
        <v>635490</v>
      </c>
      <c r="G375" s="35" t="s">
        <v>670</v>
      </c>
      <c r="H375" s="35" t="s">
        <v>115</v>
      </c>
    </row>
    <row r="376" spans="1:8">
      <c r="A376" s="37">
        <v>38764.15625</v>
      </c>
      <c r="B376" s="35" t="s">
        <v>654</v>
      </c>
      <c r="C376" s="35" t="s">
        <v>655</v>
      </c>
      <c r="D376" s="39">
        <v>23.979999542236328</v>
      </c>
      <c r="E376" s="39">
        <v>14.657414436340332</v>
      </c>
      <c r="F376" s="41">
        <v>1639620</v>
      </c>
      <c r="G376" s="35" t="s">
        <v>670</v>
      </c>
      <c r="H376" s="35" t="s">
        <v>115</v>
      </c>
    </row>
    <row r="377" spans="1:8">
      <c r="A377" s="37">
        <v>38765.15625</v>
      </c>
      <c r="B377" s="35" t="s">
        <v>654</v>
      </c>
      <c r="C377" s="35" t="s">
        <v>655</v>
      </c>
      <c r="D377" s="39">
        <v>24.313333511352539</v>
      </c>
      <c r="E377" s="39">
        <v>14.861160278320313</v>
      </c>
      <c r="F377" s="41">
        <v>2544097</v>
      </c>
      <c r="G377" s="35" t="s">
        <v>670</v>
      </c>
      <c r="H377" s="35" t="s">
        <v>115</v>
      </c>
    </row>
    <row r="378" spans="1:8">
      <c r="A378" s="37">
        <v>38768.15625</v>
      </c>
      <c r="B378" s="35" t="s">
        <v>654</v>
      </c>
      <c r="C378" s="35" t="s">
        <v>655</v>
      </c>
      <c r="D378" s="39">
        <v>23.780000686645508</v>
      </c>
      <c r="E378" s="39">
        <v>14.535165786743164</v>
      </c>
      <c r="F378" s="41">
        <v>1346295</v>
      </c>
      <c r="G378" s="35" t="s">
        <v>670</v>
      </c>
      <c r="H378" s="35" t="s">
        <v>115</v>
      </c>
    </row>
    <row r="379" spans="1:8">
      <c r="A379" s="37">
        <v>38769.15625</v>
      </c>
      <c r="B379" s="35" t="s">
        <v>654</v>
      </c>
      <c r="C379" s="35" t="s">
        <v>655</v>
      </c>
      <c r="D379" s="39">
        <v>23.886665344238281</v>
      </c>
      <c r="E379" s="39">
        <v>14.600363731384277</v>
      </c>
      <c r="F379" s="41">
        <v>1494615</v>
      </c>
      <c r="G379" s="35" t="s">
        <v>670</v>
      </c>
      <c r="H379" s="35" t="s">
        <v>115</v>
      </c>
    </row>
    <row r="380" spans="1:8">
      <c r="A380" s="37">
        <v>38770.15625</v>
      </c>
      <c r="B380" s="35" t="s">
        <v>654</v>
      </c>
      <c r="C380" s="35" t="s">
        <v>655</v>
      </c>
      <c r="D380" s="39">
        <v>23.933332443237305</v>
      </c>
      <c r="E380" s="39">
        <v>14.628888130187988</v>
      </c>
      <c r="F380" s="41">
        <v>860992</v>
      </c>
      <c r="G380" s="35" t="s">
        <v>670</v>
      </c>
      <c r="H380" s="35" t="s">
        <v>115</v>
      </c>
    </row>
    <row r="381" spans="1:8">
      <c r="A381" s="37">
        <v>38771.15625</v>
      </c>
      <c r="B381" s="35" t="s">
        <v>654</v>
      </c>
      <c r="C381" s="35" t="s">
        <v>655</v>
      </c>
      <c r="D381" s="39">
        <v>23.239999771118164</v>
      </c>
      <c r="E381" s="39">
        <v>14.205099105834961</v>
      </c>
      <c r="F381" s="41">
        <v>617190</v>
      </c>
      <c r="G381" s="35" t="s">
        <v>670</v>
      </c>
      <c r="H381" s="35" t="s">
        <v>115</v>
      </c>
    </row>
    <row r="382" spans="1:8">
      <c r="A382" s="37">
        <v>38772.15625</v>
      </c>
      <c r="B382" s="35" t="s">
        <v>654</v>
      </c>
      <c r="C382" s="35" t="s">
        <v>655</v>
      </c>
      <c r="D382" s="39">
        <v>23.49333381652832</v>
      </c>
      <c r="E382" s="39">
        <v>14.359944343566895</v>
      </c>
      <c r="F382" s="41">
        <v>457005</v>
      </c>
      <c r="G382" s="35" t="s">
        <v>670</v>
      </c>
      <c r="H382" s="35" t="s">
        <v>115</v>
      </c>
    </row>
    <row r="383" spans="1:8">
      <c r="A383" s="37">
        <v>38775.15625</v>
      </c>
      <c r="B383" s="35" t="s">
        <v>654</v>
      </c>
      <c r="C383" s="35" t="s">
        <v>655</v>
      </c>
      <c r="D383" s="39">
        <v>23.020000457763672</v>
      </c>
      <c r="E383" s="39">
        <v>14.070627212524414</v>
      </c>
      <c r="F383" s="41">
        <v>534757</v>
      </c>
      <c r="G383" s="35" t="s">
        <v>670</v>
      </c>
      <c r="H383" s="35" t="s">
        <v>115</v>
      </c>
    </row>
    <row r="384" spans="1:8">
      <c r="A384" s="37">
        <v>38776.15625</v>
      </c>
      <c r="B384" s="35" t="s">
        <v>654</v>
      </c>
      <c r="C384" s="35" t="s">
        <v>655</v>
      </c>
      <c r="D384" s="39">
        <v>23.453332901000977</v>
      </c>
      <c r="E384" s="39">
        <v>14.33549690246582</v>
      </c>
      <c r="F384" s="41">
        <v>614340</v>
      </c>
      <c r="G384" s="35" t="s">
        <v>670</v>
      </c>
      <c r="H384" s="35" t="s">
        <v>115</v>
      </c>
    </row>
    <row r="385" spans="1:8">
      <c r="A385" s="37">
        <v>38777.15625</v>
      </c>
      <c r="B385" s="35" t="s">
        <v>654</v>
      </c>
      <c r="C385" s="35" t="s">
        <v>655</v>
      </c>
      <c r="D385" s="39">
        <v>23.786666870117188</v>
      </c>
      <c r="E385" s="39">
        <v>14.539243698120117</v>
      </c>
      <c r="F385" s="41">
        <v>902265</v>
      </c>
      <c r="G385" s="35" t="s">
        <v>670</v>
      </c>
      <c r="H385" s="35" t="s">
        <v>115</v>
      </c>
    </row>
    <row r="386" spans="1:8">
      <c r="A386" s="37">
        <v>38778.15625</v>
      </c>
      <c r="B386" s="35" t="s">
        <v>654</v>
      </c>
      <c r="C386" s="35" t="s">
        <v>655</v>
      </c>
      <c r="D386" s="39">
        <v>23.426666259765625</v>
      </c>
      <c r="E386" s="39">
        <v>14.319197654724121</v>
      </c>
      <c r="F386" s="41">
        <v>720007</v>
      </c>
      <c r="G386" s="35" t="s">
        <v>670</v>
      </c>
      <c r="H386" s="35" t="s">
        <v>115</v>
      </c>
    </row>
    <row r="387" spans="1:8">
      <c r="A387" s="37">
        <v>38779.15625</v>
      </c>
      <c r="B387" s="35" t="s">
        <v>654</v>
      </c>
      <c r="C387" s="35" t="s">
        <v>655</v>
      </c>
      <c r="D387" s="39">
        <v>24.406665802001953</v>
      </c>
      <c r="E387" s="39">
        <v>14.918207168579102</v>
      </c>
      <c r="F387" s="41">
        <v>3466372</v>
      </c>
      <c r="G387" s="35" t="s">
        <v>670</v>
      </c>
      <c r="H387" s="35" t="s">
        <v>115</v>
      </c>
    </row>
    <row r="388" spans="1:8">
      <c r="A388" s="37">
        <v>38782.15625</v>
      </c>
      <c r="B388" s="35" t="s">
        <v>654</v>
      </c>
      <c r="C388" s="35" t="s">
        <v>655</v>
      </c>
      <c r="D388" s="39">
        <v>24.253332138061523</v>
      </c>
      <c r="E388" s="39">
        <v>14.824487686157227</v>
      </c>
      <c r="F388" s="41">
        <v>2788402</v>
      </c>
      <c r="G388" s="35" t="s">
        <v>670</v>
      </c>
      <c r="H388" s="35" t="s">
        <v>115</v>
      </c>
    </row>
    <row r="389" spans="1:8">
      <c r="A389" s="37">
        <v>38783.15625</v>
      </c>
      <c r="B389" s="35" t="s">
        <v>654</v>
      </c>
      <c r="C389" s="35" t="s">
        <v>655</v>
      </c>
      <c r="D389" s="39">
        <v>23.99333381652832</v>
      </c>
      <c r="E389" s="39">
        <v>14.665565490722656</v>
      </c>
      <c r="F389" s="41">
        <v>1191502</v>
      </c>
      <c r="G389" s="35" t="s">
        <v>670</v>
      </c>
      <c r="H389" s="35" t="s">
        <v>115</v>
      </c>
    </row>
    <row r="390" spans="1:8">
      <c r="A390" s="37">
        <v>38784.15625</v>
      </c>
      <c r="B390" s="35" t="s">
        <v>654</v>
      </c>
      <c r="C390" s="35" t="s">
        <v>655</v>
      </c>
      <c r="D390" s="39">
        <v>24.020000457763672</v>
      </c>
      <c r="E390" s="39">
        <v>14.68186092376709</v>
      </c>
      <c r="F390" s="41">
        <v>1052235</v>
      </c>
      <c r="G390" s="35" t="s">
        <v>670</v>
      </c>
      <c r="H390" s="35" t="s">
        <v>115</v>
      </c>
    </row>
    <row r="391" spans="1:8">
      <c r="A391" s="37">
        <v>38785.15625</v>
      </c>
      <c r="B391" s="35" t="s">
        <v>654</v>
      </c>
      <c r="C391" s="35" t="s">
        <v>655</v>
      </c>
      <c r="D391" s="39">
        <v>23.933332443237305</v>
      </c>
      <c r="E391" s="39">
        <v>14.628888130187988</v>
      </c>
      <c r="F391" s="41">
        <v>607942</v>
      </c>
      <c r="G391" s="35" t="s">
        <v>670</v>
      </c>
      <c r="H391" s="35" t="s">
        <v>115</v>
      </c>
    </row>
    <row r="392" spans="1:8">
      <c r="A392" s="37">
        <v>38786.15625</v>
      </c>
      <c r="B392" s="35" t="s">
        <v>654</v>
      </c>
      <c r="C392" s="35" t="s">
        <v>655</v>
      </c>
      <c r="D392" s="39">
        <v>24.133333206176758</v>
      </c>
      <c r="E392" s="39">
        <v>14.751138687133789</v>
      </c>
      <c r="F392" s="41">
        <v>851640</v>
      </c>
      <c r="G392" s="35" t="s">
        <v>670</v>
      </c>
      <c r="H392" s="35" t="s">
        <v>115</v>
      </c>
    </row>
    <row r="393" spans="1:8">
      <c r="A393" s="37">
        <v>38789.15625</v>
      </c>
      <c r="B393" s="35" t="s">
        <v>654</v>
      </c>
      <c r="C393" s="35" t="s">
        <v>655</v>
      </c>
      <c r="D393" s="39">
        <v>25.026666641235352</v>
      </c>
      <c r="E393" s="39">
        <v>15.29716968536377</v>
      </c>
      <c r="F393" s="41">
        <v>2444295</v>
      </c>
      <c r="G393" s="35" t="s">
        <v>670</v>
      </c>
      <c r="H393" s="35" t="s">
        <v>115</v>
      </c>
    </row>
    <row r="394" spans="1:8">
      <c r="A394" s="37">
        <v>38790.15625</v>
      </c>
      <c r="B394" s="35" t="s">
        <v>654</v>
      </c>
      <c r="C394" s="35" t="s">
        <v>655</v>
      </c>
      <c r="D394" s="39">
        <v>25.093332290649414</v>
      </c>
      <c r="E394" s="39">
        <v>15.337919235229492</v>
      </c>
      <c r="F394" s="41">
        <v>1298430</v>
      </c>
      <c r="G394" s="35" t="s">
        <v>670</v>
      </c>
      <c r="H394" s="35" t="s">
        <v>115</v>
      </c>
    </row>
    <row r="395" spans="1:8">
      <c r="A395" s="37">
        <v>38792.15625</v>
      </c>
      <c r="B395" s="35" t="s">
        <v>654</v>
      </c>
      <c r="C395" s="35" t="s">
        <v>655</v>
      </c>
      <c r="D395" s="39">
        <v>27.586666107177734</v>
      </c>
      <c r="E395" s="39">
        <v>16.861930847167969</v>
      </c>
      <c r="F395" s="41">
        <v>8722110</v>
      </c>
      <c r="G395" s="35" t="s">
        <v>670</v>
      </c>
      <c r="H395" s="35" t="s">
        <v>115</v>
      </c>
    </row>
    <row r="396" spans="1:8">
      <c r="A396" s="37">
        <v>38793.15625</v>
      </c>
      <c r="B396" s="35" t="s">
        <v>654</v>
      </c>
      <c r="C396" s="35" t="s">
        <v>655</v>
      </c>
      <c r="D396" s="39">
        <v>26.50666618347168</v>
      </c>
      <c r="E396" s="39">
        <v>16.20179557800293</v>
      </c>
      <c r="F396" s="41">
        <v>3281812</v>
      </c>
      <c r="G396" s="35" t="s">
        <v>670</v>
      </c>
      <c r="H396" s="35" t="s">
        <v>115</v>
      </c>
    </row>
    <row r="397" spans="1:8">
      <c r="A397" s="37">
        <v>38796.15625</v>
      </c>
      <c r="B397" s="35" t="s">
        <v>654</v>
      </c>
      <c r="C397" s="35" t="s">
        <v>655</v>
      </c>
      <c r="D397" s="39">
        <v>26.786666870117188</v>
      </c>
      <c r="E397" s="39">
        <v>16.372947692871094</v>
      </c>
      <c r="F397" s="41">
        <v>1821705</v>
      </c>
      <c r="G397" s="35" t="s">
        <v>670</v>
      </c>
      <c r="H397" s="35" t="s">
        <v>115</v>
      </c>
    </row>
    <row r="398" spans="1:8">
      <c r="A398" s="37">
        <v>38797.15625</v>
      </c>
      <c r="B398" s="35" t="s">
        <v>654</v>
      </c>
      <c r="C398" s="35" t="s">
        <v>655</v>
      </c>
      <c r="D398" s="39">
        <v>26.933332443237305</v>
      </c>
      <c r="E398" s="39">
        <v>16.462594985961914</v>
      </c>
      <c r="F398" s="41">
        <v>1865992</v>
      </c>
      <c r="G398" s="35" t="s">
        <v>670</v>
      </c>
      <c r="H398" s="35" t="s">
        <v>115</v>
      </c>
    </row>
    <row r="399" spans="1:8">
      <c r="A399" s="37">
        <v>38798.15625</v>
      </c>
      <c r="B399" s="35" t="s">
        <v>654</v>
      </c>
      <c r="C399" s="35" t="s">
        <v>655</v>
      </c>
      <c r="D399" s="39">
        <v>26.420000076293945</v>
      </c>
      <c r="E399" s="39">
        <v>16.148828506469727</v>
      </c>
      <c r="F399" s="41">
        <v>964860</v>
      </c>
      <c r="G399" s="35" t="s">
        <v>670</v>
      </c>
      <c r="H399" s="35" t="s">
        <v>115</v>
      </c>
    </row>
    <row r="400" spans="1:8">
      <c r="A400" s="37">
        <v>38799.15625</v>
      </c>
      <c r="B400" s="35" t="s">
        <v>654</v>
      </c>
      <c r="C400" s="35" t="s">
        <v>655</v>
      </c>
      <c r="D400" s="39">
        <v>26.393333435058594</v>
      </c>
      <c r="E400" s="39">
        <v>16.132526397705078</v>
      </c>
      <c r="F400" s="41">
        <v>769912</v>
      </c>
      <c r="G400" s="35" t="s">
        <v>670</v>
      </c>
      <c r="H400" s="35" t="s">
        <v>115</v>
      </c>
    </row>
    <row r="401" spans="1:8">
      <c r="A401" s="37">
        <v>38800.15625</v>
      </c>
      <c r="B401" s="35" t="s">
        <v>654</v>
      </c>
      <c r="C401" s="35" t="s">
        <v>655</v>
      </c>
      <c r="D401" s="39">
        <v>26.739999771118164</v>
      </c>
      <c r="E401" s="39">
        <v>16.344417572021484</v>
      </c>
      <c r="F401" s="41">
        <v>1115265</v>
      </c>
      <c r="G401" s="35" t="s">
        <v>670</v>
      </c>
      <c r="H401" s="35" t="s">
        <v>115</v>
      </c>
    </row>
    <row r="402" spans="1:8">
      <c r="A402" s="37">
        <v>38803.15625</v>
      </c>
      <c r="B402" s="35" t="s">
        <v>654</v>
      </c>
      <c r="C402" s="35" t="s">
        <v>655</v>
      </c>
      <c r="D402" s="39">
        <v>26.933332443237305</v>
      </c>
      <c r="E402" s="39">
        <v>16.462594985961914</v>
      </c>
      <c r="F402" s="41">
        <v>1069890</v>
      </c>
      <c r="G402" s="35" t="s">
        <v>670</v>
      </c>
      <c r="H402" s="35" t="s">
        <v>115</v>
      </c>
    </row>
    <row r="403" spans="1:8">
      <c r="A403" s="37">
        <v>38804.15625</v>
      </c>
      <c r="B403" s="35" t="s">
        <v>654</v>
      </c>
      <c r="C403" s="35" t="s">
        <v>655</v>
      </c>
      <c r="D403" s="39">
        <v>26.073333740234375</v>
      </c>
      <c r="E403" s="39">
        <v>15.936929702758789</v>
      </c>
      <c r="F403" s="41">
        <v>385912</v>
      </c>
      <c r="G403" s="35" t="s">
        <v>670</v>
      </c>
      <c r="H403" s="35" t="s">
        <v>115</v>
      </c>
    </row>
    <row r="404" spans="1:8">
      <c r="A404" s="37">
        <v>38805.15625</v>
      </c>
      <c r="B404" s="35" t="s">
        <v>654</v>
      </c>
      <c r="C404" s="35" t="s">
        <v>655</v>
      </c>
      <c r="D404" s="39">
        <v>26.166666030883789</v>
      </c>
      <c r="E404" s="39">
        <v>15.993977546691895</v>
      </c>
      <c r="F404" s="41">
        <v>308835</v>
      </c>
      <c r="G404" s="35" t="s">
        <v>670</v>
      </c>
      <c r="H404" s="35" t="s">
        <v>115</v>
      </c>
    </row>
    <row r="405" spans="1:8">
      <c r="A405" s="37">
        <v>38806.15625</v>
      </c>
      <c r="B405" s="35" t="s">
        <v>654</v>
      </c>
      <c r="C405" s="35" t="s">
        <v>655</v>
      </c>
      <c r="D405" s="39">
        <v>27.120000839233398</v>
      </c>
      <c r="E405" s="39">
        <v>16.576690673828125</v>
      </c>
      <c r="F405" s="41">
        <v>857355</v>
      </c>
      <c r="G405" s="35" t="s">
        <v>670</v>
      </c>
      <c r="H405" s="35" t="s">
        <v>115</v>
      </c>
    </row>
    <row r="406" spans="1:8">
      <c r="A406" s="37">
        <v>38807.15625</v>
      </c>
      <c r="B406" s="35" t="s">
        <v>654</v>
      </c>
      <c r="C406" s="35" t="s">
        <v>655</v>
      </c>
      <c r="D406" s="39">
        <v>30.473333358764648</v>
      </c>
      <c r="E406" s="39">
        <v>18.626367568969727</v>
      </c>
      <c r="F406" s="41">
        <v>6763852</v>
      </c>
      <c r="G406" s="35" t="s">
        <v>670</v>
      </c>
      <c r="H406" s="35" t="s">
        <v>115</v>
      </c>
    </row>
    <row r="407" spans="1:8">
      <c r="A407" s="37">
        <v>38810.15625</v>
      </c>
      <c r="B407" s="35" t="s">
        <v>654</v>
      </c>
      <c r="C407" s="35" t="s">
        <v>655</v>
      </c>
      <c r="D407" s="39">
        <v>29.879999160766602</v>
      </c>
      <c r="E407" s="39">
        <v>18.263692855834961</v>
      </c>
      <c r="F407" s="41">
        <v>2069287</v>
      </c>
      <c r="G407" s="35" t="s">
        <v>671</v>
      </c>
      <c r="H407" s="35" t="s">
        <v>115</v>
      </c>
    </row>
    <row r="408" spans="1:8">
      <c r="A408" s="37">
        <v>38811.15625</v>
      </c>
      <c r="B408" s="35" t="s">
        <v>654</v>
      </c>
      <c r="C408" s="35" t="s">
        <v>655</v>
      </c>
      <c r="D408" s="39">
        <v>30.913333892822266</v>
      </c>
      <c r="E408" s="39">
        <v>18.89531135559082</v>
      </c>
      <c r="F408" s="41">
        <v>2886105</v>
      </c>
      <c r="G408" s="35" t="s">
        <v>671</v>
      </c>
      <c r="H408" s="35" t="s">
        <v>115</v>
      </c>
    </row>
    <row r="409" spans="1:8">
      <c r="A409" s="37">
        <v>38812.15625</v>
      </c>
      <c r="B409" s="35" t="s">
        <v>654</v>
      </c>
      <c r="C409" s="35" t="s">
        <v>655</v>
      </c>
      <c r="D409" s="39">
        <v>31.433332443237305</v>
      </c>
      <c r="E409" s="39">
        <v>19.213153839111328</v>
      </c>
      <c r="F409" s="41">
        <v>2129962</v>
      </c>
      <c r="G409" s="35" t="s">
        <v>671</v>
      </c>
      <c r="H409" s="35" t="s">
        <v>115</v>
      </c>
    </row>
    <row r="410" spans="1:8">
      <c r="A410" s="37">
        <v>38814.15625</v>
      </c>
      <c r="B410" s="35" t="s">
        <v>654</v>
      </c>
      <c r="C410" s="35" t="s">
        <v>655</v>
      </c>
      <c r="D410" s="39">
        <v>31.166666030883789</v>
      </c>
      <c r="E410" s="39">
        <v>19.050148010253906</v>
      </c>
      <c r="F410" s="41">
        <v>2508855</v>
      </c>
      <c r="G410" s="35" t="s">
        <v>671</v>
      </c>
      <c r="H410" s="35" t="s">
        <v>115</v>
      </c>
    </row>
    <row r="411" spans="1:8">
      <c r="A411" s="37">
        <v>38817.15625</v>
      </c>
      <c r="B411" s="35" t="s">
        <v>654</v>
      </c>
      <c r="C411" s="35" t="s">
        <v>655</v>
      </c>
      <c r="D411" s="39">
        <v>30.719999313354492</v>
      </c>
      <c r="E411" s="39">
        <v>18.777132034301758</v>
      </c>
      <c r="F411" s="41">
        <v>630592</v>
      </c>
      <c r="G411" s="35" t="s">
        <v>671</v>
      </c>
      <c r="H411" s="35" t="s">
        <v>115</v>
      </c>
    </row>
    <row r="412" spans="1:8">
      <c r="A412" s="37">
        <v>38819.15625</v>
      </c>
      <c r="B412" s="35" t="s">
        <v>654</v>
      </c>
      <c r="C412" s="35" t="s">
        <v>655</v>
      </c>
      <c r="D412" s="39">
        <v>28.146665573120117</v>
      </c>
      <c r="E412" s="39">
        <v>17.204229354858398</v>
      </c>
      <c r="F412" s="41">
        <v>2039910</v>
      </c>
      <c r="G412" s="35" t="s">
        <v>671</v>
      </c>
      <c r="H412" s="35" t="s">
        <v>115</v>
      </c>
    </row>
    <row r="413" spans="1:8">
      <c r="A413" s="37">
        <v>38820.15625</v>
      </c>
      <c r="B413" s="35" t="s">
        <v>654</v>
      </c>
      <c r="C413" s="35" t="s">
        <v>655</v>
      </c>
      <c r="D413" s="39">
        <v>27.333332061767578</v>
      </c>
      <c r="E413" s="39">
        <v>16.707084655761719</v>
      </c>
      <c r="F413" s="41">
        <v>1757925</v>
      </c>
      <c r="G413" s="35" t="s">
        <v>671</v>
      </c>
      <c r="H413" s="35" t="s">
        <v>115</v>
      </c>
    </row>
    <row r="414" spans="1:8">
      <c r="A414" s="37">
        <v>38824.15625</v>
      </c>
      <c r="B414" s="35" t="s">
        <v>654</v>
      </c>
      <c r="C414" s="35" t="s">
        <v>655</v>
      </c>
      <c r="D414" s="39">
        <v>29.99333381652832</v>
      </c>
      <c r="E414" s="39">
        <v>18.332969665527344</v>
      </c>
      <c r="F414" s="41">
        <v>1905082</v>
      </c>
      <c r="G414" s="35" t="s">
        <v>671</v>
      </c>
      <c r="H414" s="35" t="s">
        <v>115</v>
      </c>
    </row>
    <row r="415" spans="1:8">
      <c r="A415" s="37">
        <v>38825.15625</v>
      </c>
      <c r="B415" s="35" t="s">
        <v>654</v>
      </c>
      <c r="C415" s="35" t="s">
        <v>655</v>
      </c>
      <c r="D415" s="39">
        <v>29.786666870117188</v>
      </c>
      <c r="E415" s="39">
        <v>18.206653594970703</v>
      </c>
      <c r="F415" s="41">
        <v>578715</v>
      </c>
      <c r="G415" s="35" t="s">
        <v>671</v>
      </c>
      <c r="H415" s="35" t="s">
        <v>115</v>
      </c>
    </row>
    <row r="416" spans="1:8">
      <c r="A416" s="37">
        <v>38826.15625</v>
      </c>
      <c r="B416" s="35" t="s">
        <v>654</v>
      </c>
      <c r="C416" s="35" t="s">
        <v>655</v>
      </c>
      <c r="D416" s="39">
        <v>29.860000610351563</v>
      </c>
      <c r="E416" s="39">
        <v>18.251474380493164</v>
      </c>
      <c r="F416" s="41">
        <v>599542</v>
      </c>
      <c r="G416" s="35" t="s">
        <v>671</v>
      </c>
      <c r="H416" s="35" t="s">
        <v>115</v>
      </c>
    </row>
    <row r="417" spans="1:8">
      <c r="A417" s="37">
        <v>38827.15625</v>
      </c>
      <c r="B417" s="35" t="s">
        <v>654</v>
      </c>
      <c r="C417" s="35" t="s">
        <v>655</v>
      </c>
      <c r="D417" s="39">
        <v>30.173332214355469</v>
      </c>
      <c r="E417" s="39">
        <v>18.442995071411133</v>
      </c>
      <c r="F417" s="41">
        <v>462150</v>
      </c>
      <c r="G417" s="35" t="s">
        <v>671</v>
      </c>
      <c r="H417" s="35" t="s">
        <v>115</v>
      </c>
    </row>
    <row r="418" spans="1:8">
      <c r="A418" s="37">
        <v>38828.15625</v>
      </c>
      <c r="B418" s="35" t="s">
        <v>654</v>
      </c>
      <c r="C418" s="35" t="s">
        <v>655</v>
      </c>
      <c r="D418" s="39">
        <v>30.033332824707031</v>
      </c>
      <c r="E418" s="39">
        <v>18.357423782348633</v>
      </c>
      <c r="F418" s="41">
        <v>1338397</v>
      </c>
      <c r="G418" s="35" t="s">
        <v>671</v>
      </c>
      <c r="H418" s="35" t="s">
        <v>115</v>
      </c>
    </row>
    <row r="419" spans="1:8">
      <c r="A419" s="37">
        <v>38831.15625</v>
      </c>
      <c r="B419" s="35" t="s">
        <v>654</v>
      </c>
      <c r="C419" s="35" t="s">
        <v>655</v>
      </c>
      <c r="D419" s="39">
        <v>30.319999694824219</v>
      </c>
      <c r="E419" s="39">
        <v>18.53264045715332</v>
      </c>
      <c r="F419" s="41">
        <v>824445</v>
      </c>
      <c r="G419" s="35" t="s">
        <v>671</v>
      </c>
      <c r="H419" s="35" t="s">
        <v>115</v>
      </c>
    </row>
    <row r="420" spans="1:8">
      <c r="A420" s="37">
        <v>38832.15625</v>
      </c>
      <c r="B420" s="35" t="s">
        <v>654</v>
      </c>
      <c r="C420" s="35" t="s">
        <v>655</v>
      </c>
      <c r="D420" s="39">
        <v>29.086666107177734</v>
      </c>
      <c r="E420" s="39">
        <v>17.778787612915039</v>
      </c>
      <c r="F420" s="41">
        <v>766342</v>
      </c>
      <c r="G420" s="35" t="s">
        <v>671</v>
      </c>
      <c r="H420" s="35" t="s">
        <v>115</v>
      </c>
    </row>
    <row r="421" spans="1:8">
      <c r="A421" s="37">
        <v>38833.15625</v>
      </c>
      <c r="B421" s="35" t="s">
        <v>654</v>
      </c>
      <c r="C421" s="35" t="s">
        <v>655</v>
      </c>
      <c r="D421" s="39">
        <v>29.066665649414063</v>
      </c>
      <c r="E421" s="39">
        <v>17.766561508178711</v>
      </c>
      <c r="F421" s="41">
        <v>750405</v>
      </c>
      <c r="G421" s="35" t="s">
        <v>671</v>
      </c>
      <c r="H421" s="35" t="s">
        <v>115</v>
      </c>
    </row>
    <row r="422" spans="1:8">
      <c r="A422" s="37">
        <v>38834.15625</v>
      </c>
      <c r="B422" s="35" t="s">
        <v>654</v>
      </c>
      <c r="C422" s="35" t="s">
        <v>655</v>
      </c>
      <c r="D422" s="39">
        <v>29.306665420532227</v>
      </c>
      <c r="E422" s="39">
        <v>17.913259506225586</v>
      </c>
      <c r="F422" s="41">
        <v>362092</v>
      </c>
      <c r="G422" s="35" t="s">
        <v>671</v>
      </c>
      <c r="H422" s="35" t="s">
        <v>115</v>
      </c>
    </row>
    <row r="423" spans="1:8">
      <c r="A423" s="37">
        <v>38835.15625</v>
      </c>
      <c r="B423" s="35" t="s">
        <v>654</v>
      </c>
      <c r="C423" s="35" t="s">
        <v>655</v>
      </c>
      <c r="D423" s="39">
        <v>28.899999618530273</v>
      </c>
      <c r="E423" s="39">
        <v>17.66468620300293</v>
      </c>
      <c r="F423" s="41">
        <v>677722</v>
      </c>
      <c r="G423" s="35" t="s">
        <v>671</v>
      </c>
      <c r="H423" s="35" t="s">
        <v>115</v>
      </c>
    </row>
    <row r="424" spans="1:8">
      <c r="A424" s="37">
        <v>38839.15625</v>
      </c>
      <c r="B424" s="35" t="s">
        <v>654</v>
      </c>
      <c r="C424" s="35" t="s">
        <v>655</v>
      </c>
      <c r="D424" s="39">
        <v>29.386665344238281</v>
      </c>
      <c r="E424" s="39">
        <v>17.962156295776367</v>
      </c>
      <c r="F424" s="41">
        <v>488392</v>
      </c>
      <c r="G424" s="35" t="s">
        <v>671</v>
      </c>
      <c r="H424" s="35" t="s">
        <v>115</v>
      </c>
    </row>
    <row r="425" spans="1:8">
      <c r="A425" s="37">
        <v>38840.15625</v>
      </c>
      <c r="B425" s="35" t="s">
        <v>654</v>
      </c>
      <c r="C425" s="35" t="s">
        <v>655</v>
      </c>
      <c r="D425" s="39">
        <v>29.340000152587891</v>
      </c>
      <c r="E425" s="39">
        <v>17.933631896972656</v>
      </c>
      <c r="F425" s="41">
        <v>612772</v>
      </c>
      <c r="G425" s="35" t="s">
        <v>671</v>
      </c>
      <c r="H425" s="35" t="s">
        <v>115</v>
      </c>
    </row>
    <row r="426" spans="1:8">
      <c r="A426" s="37">
        <v>38841.15625</v>
      </c>
      <c r="B426" s="35" t="s">
        <v>654</v>
      </c>
      <c r="C426" s="35" t="s">
        <v>655</v>
      </c>
      <c r="D426" s="39">
        <v>30.133333206176758</v>
      </c>
      <c r="E426" s="39">
        <v>18.418544769287109</v>
      </c>
      <c r="F426" s="41">
        <v>1860315</v>
      </c>
      <c r="G426" s="35" t="s">
        <v>671</v>
      </c>
      <c r="H426" s="35" t="s">
        <v>115</v>
      </c>
    </row>
    <row r="427" spans="1:8">
      <c r="A427" s="37">
        <v>38842.15625</v>
      </c>
      <c r="B427" s="35" t="s">
        <v>654</v>
      </c>
      <c r="C427" s="35" t="s">
        <v>655</v>
      </c>
      <c r="D427" s="39">
        <v>30.046665191650391</v>
      </c>
      <c r="E427" s="39">
        <v>18.365573883056641</v>
      </c>
      <c r="F427" s="41">
        <v>954270</v>
      </c>
      <c r="G427" s="35" t="s">
        <v>671</v>
      </c>
      <c r="H427" s="35" t="s">
        <v>115</v>
      </c>
    </row>
    <row r="428" spans="1:8">
      <c r="A428" s="37">
        <v>38845.15625</v>
      </c>
      <c r="B428" s="35" t="s">
        <v>654</v>
      </c>
      <c r="C428" s="35" t="s">
        <v>655</v>
      </c>
      <c r="D428" s="39">
        <v>30.613332748413086</v>
      </c>
      <c r="E428" s="39">
        <v>18.711936950683594</v>
      </c>
      <c r="F428" s="41">
        <v>5120092</v>
      </c>
      <c r="G428" s="35" t="s">
        <v>671</v>
      </c>
      <c r="H428" s="35" t="s">
        <v>115</v>
      </c>
    </row>
    <row r="429" spans="1:8">
      <c r="A429" s="37">
        <v>38846.15625</v>
      </c>
      <c r="B429" s="35" t="s">
        <v>654</v>
      </c>
      <c r="C429" s="35" t="s">
        <v>655</v>
      </c>
      <c r="D429" s="39">
        <v>30.253332138061523</v>
      </c>
      <c r="E429" s="39">
        <v>18.491891860961914</v>
      </c>
      <c r="F429" s="41">
        <v>2052652</v>
      </c>
      <c r="G429" s="35" t="s">
        <v>671</v>
      </c>
      <c r="H429" s="35" t="s">
        <v>115</v>
      </c>
    </row>
    <row r="430" spans="1:8">
      <c r="A430" s="37">
        <v>38847.15625</v>
      </c>
      <c r="B430" s="35" t="s">
        <v>654</v>
      </c>
      <c r="C430" s="35" t="s">
        <v>655</v>
      </c>
      <c r="D430" s="39">
        <v>30.546665191650391</v>
      </c>
      <c r="E430" s="39">
        <v>18.671186447143555</v>
      </c>
      <c r="F430" s="41">
        <v>829912</v>
      </c>
      <c r="G430" s="35" t="s">
        <v>671</v>
      </c>
      <c r="H430" s="35" t="s">
        <v>115</v>
      </c>
    </row>
    <row r="431" spans="1:8">
      <c r="A431" s="37">
        <v>38848.15625</v>
      </c>
      <c r="B431" s="35" t="s">
        <v>654</v>
      </c>
      <c r="C431" s="35" t="s">
        <v>655</v>
      </c>
      <c r="D431" s="39">
        <v>30.213333129882813</v>
      </c>
      <c r="E431" s="39">
        <v>18.467443466186523</v>
      </c>
      <c r="F431" s="41">
        <v>751597</v>
      </c>
      <c r="G431" s="35" t="s">
        <v>671</v>
      </c>
      <c r="H431" s="35" t="s">
        <v>115</v>
      </c>
    </row>
    <row r="432" spans="1:8">
      <c r="A432" s="37">
        <v>38849.15625</v>
      </c>
      <c r="B432" s="35" t="s">
        <v>654</v>
      </c>
      <c r="C432" s="35" t="s">
        <v>655</v>
      </c>
      <c r="D432" s="39">
        <v>29.226665496826172</v>
      </c>
      <c r="E432" s="39">
        <v>17.864358901977539</v>
      </c>
      <c r="F432" s="41">
        <v>778680</v>
      </c>
      <c r="G432" s="35" t="s">
        <v>671</v>
      </c>
      <c r="H432" s="35" t="s">
        <v>115</v>
      </c>
    </row>
    <row r="433" spans="1:8">
      <c r="A433" s="37">
        <v>38852.15625</v>
      </c>
      <c r="B433" s="35" t="s">
        <v>654</v>
      </c>
      <c r="C433" s="35" t="s">
        <v>655</v>
      </c>
      <c r="D433" s="39">
        <v>29.286666870117188</v>
      </c>
      <c r="E433" s="39">
        <v>17.901031494140625</v>
      </c>
      <c r="F433" s="41">
        <v>2407132</v>
      </c>
      <c r="G433" s="35" t="s">
        <v>671</v>
      </c>
      <c r="H433" s="35" t="s">
        <v>115</v>
      </c>
    </row>
    <row r="434" spans="1:8">
      <c r="A434" s="37">
        <v>38853.15625</v>
      </c>
      <c r="B434" s="35" t="s">
        <v>654</v>
      </c>
      <c r="C434" s="35" t="s">
        <v>655</v>
      </c>
      <c r="D434" s="39">
        <v>29.219999313354492</v>
      </c>
      <c r="E434" s="39">
        <v>17.860284805297852</v>
      </c>
      <c r="F434" s="41">
        <v>1546860</v>
      </c>
      <c r="G434" s="35" t="s">
        <v>671</v>
      </c>
      <c r="H434" s="35" t="s">
        <v>115</v>
      </c>
    </row>
    <row r="435" spans="1:8">
      <c r="A435" s="37">
        <v>38854.15625</v>
      </c>
      <c r="B435" s="35" t="s">
        <v>654</v>
      </c>
      <c r="C435" s="35" t="s">
        <v>655</v>
      </c>
      <c r="D435" s="39">
        <v>29.566665649414063</v>
      </c>
      <c r="E435" s="39">
        <v>18.072177886962891</v>
      </c>
      <c r="F435" s="41">
        <v>1531560</v>
      </c>
      <c r="G435" s="35" t="s">
        <v>671</v>
      </c>
      <c r="H435" s="35" t="s">
        <v>115</v>
      </c>
    </row>
    <row r="436" spans="1:8">
      <c r="A436" s="37">
        <v>38855.15625</v>
      </c>
      <c r="B436" s="35" t="s">
        <v>654</v>
      </c>
      <c r="C436" s="35" t="s">
        <v>655</v>
      </c>
      <c r="D436" s="39">
        <v>29.466665267944336</v>
      </c>
      <c r="E436" s="39">
        <v>18.011051177978516</v>
      </c>
      <c r="F436" s="41">
        <v>889980</v>
      </c>
      <c r="G436" s="35" t="s">
        <v>671</v>
      </c>
      <c r="H436" s="35" t="s">
        <v>115</v>
      </c>
    </row>
    <row r="437" spans="1:8">
      <c r="A437" s="37">
        <v>38856.15625</v>
      </c>
      <c r="B437" s="35" t="s">
        <v>654</v>
      </c>
      <c r="C437" s="35" t="s">
        <v>655</v>
      </c>
      <c r="D437" s="39">
        <v>27.959999084472656</v>
      </c>
      <c r="E437" s="39">
        <v>17.090126037597656</v>
      </c>
      <c r="F437" s="41">
        <v>1724400</v>
      </c>
      <c r="G437" s="35" t="s">
        <v>671</v>
      </c>
      <c r="H437" s="35" t="s">
        <v>115</v>
      </c>
    </row>
    <row r="438" spans="1:8">
      <c r="A438" s="37">
        <v>38859.15625</v>
      </c>
      <c r="B438" s="35" t="s">
        <v>654</v>
      </c>
      <c r="C438" s="35" t="s">
        <v>655</v>
      </c>
      <c r="D438" s="39">
        <v>24.733333587646484</v>
      </c>
      <c r="E438" s="39">
        <v>15.117877006530762</v>
      </c>
      <c r="F438" s="41">
        <v>770572</v>
      </c>
      <c r="G438" s="35" t="s">
        <v>671</v>
      </c>
      <c r="H438" s="35" t="s">
        <v>115</v>
      </c>
    </row>
    <row r="439" spans="1:8">
      <c r="A439" s="37">
        <v>38860.15625</v>
      </c>
      <c r="B439" s="35" t="s">
        <v>654</v>
      </c>
      <c r="C439" s="35" t="s">
        <v>655</v>
      </c>
      <c r="D439" s="39">
        <v>26.266666412353516</v>
      </c>
      <c r="E439" s="39">
        <v>16.055097579956055</v>
      </c>
      <c r="F439" s="41">
        <v>266475</v>
      </c>
      <c r="G439" s="35" t="s">
        <v>671</v>
      </c>
      <c r="H439" s="35" t="s">
        <v>115</v>
      </c>
    </row>
    <row r="440" spans="1:8">
      <c r="A440" s="37">
        <v>38861.15625</v>
      </c>
      <c r="B440" s="35" t="s">
        <v>654</v>
      </c>
      <c r="C440" s="35" t="s">
        <v>655</v>
      </c>
      <c r="D440" s="39">
        <v>26.146665573120117</v>
      </c>
      <c r="E440" s="39">
        <v>15.981757164001465</v>
      </c>
      <c r="F440" s="41">
        <v>376117</v>
      </c>
      <c r="G440" s="35" t="s">
        <v>671</v>
      </c>
      <c r="H440" s="35" t="s">
        <v>115</v>
      </c>
    </row>
    <row r="441" spans="1:8">
      <c r="A441" s="37">
        <v>38862.15625</v>
      </c>
      <c r="B441" s="35" t="s">
        <v>654</v>
      </c>
      <c r="C441" s="35" t="s">
        <v>655</v>
      </c>
      <c r="D441" s="39">
        <v>24.819999694824219</v>
      </c>
      <c r="E441" s="39">
        <v>15.17085075378418</v>
      </c>
      <c r="F441" s="41">
        <v>475612</v>
      </c>
      <c r="G441" s="35" t="s">
        <v>671</v>
      </c>
      <c r="H441" s="35" t="s">
        <v>115</v>
      </c>
    </row>
    <row r="442" spans="1:8">
      <c r="A442" s="37">
        <v>38863.15625</v>
      </c>
      <c r="B442" s="35" t="s">
        <v>654</v>
      </c>
      <c r="C442" s="35" t="s">
        <v>655</v>
      </c>
      <c r="D442" s="39">
        <v>25.200000762939453</v>
      </c>
      <c r="E442" s="39">
        <v>15.403125762939453</v>
      </c>
      <c r="F442" s="41">
        <v>549555</v>
      </c>
      <c r="G442" s="35" t="s">
        <v>671</v>
      </c>
      <c r="H442" s="35" t="s">
        <v>115</v>
      </c>
    </row>
    <row r="443" spans="1:8">
      <c r="A443" s="37">
        <v>38866.15625</v>
      </c>
      <c r="B443" s="35" t="s">
        <v>654</v>
      </c>
      <c r="C443" s="35" t="s">
        <v>655</v>
      </c>
      <c r="D443" s="39">
        <v>25.266666412353516</v>
      </c>
      <c r="E443" s="39">
        <v>15.443870544433594</v>
      </c>
      <c r="F443" s="41">
        <v>350505</v>
      </c>
      <c r="G443" s="35" t="s">
        <v>671</v>
      </c>
      <c r="H443" s="35" t="s">
        <v>115</v>
      </c>
    </row>
    <row r="444" spans="1:8">
      <c r="A444" s="37">
        <v>38867.15625</v>
      </c>
      <c r="B444" s="35" t="s">
        <v>654</v>
      </c>
      <c r="C444" s="35" t="s">
        <v>655</v>
      </c>
      <c r="D444" s="39">
        <v>26.260000228881836</v>
      </c>
      <c r="E444" s="39">
        <v>16.051029205322266</v>
      </c>
      <c r="F444" s="41">
        <v>448245</v>
      </c>
      <c r="G444" s="35" t="s">
        <v>671</v>
      </c>
      <c r="H444" s="35" t="s">
        <v>115</v>
      </c>
    </row>
    <row r="445" spans="1:8">
      <c r="A445" s="37">
        <v>38868.15625</v>
      </c>
      <c r="B445" s="35" t="s">
        <v>654</v>
      </c>
      <c r="C445" s="35" t="s">
        <v>655</v>
      </c>
      <c r="D445" s="39">
        <v>25</v>
      </c>
      <c r="E445" s="39">
        <v>15.28087043762207</v>
      </c>
      <c r="F445" s="41">
        <v>263797</v>
      </c>
      <c r="G445" s="35" t="s">
        <v>671</v>
      </c>
      <c r="H445" s="35" t="s">
        <v>115</v>
      </c>
    </row>
    <row r="446" spans="1:8">
      <c r="A446" s="37">
        <v>38869.15625</v>
      </c>
      <c r="B446" s="35" t="s">
        <v>654</v>
      </c>
      <c r="C446" s="35" t="s">
        <v>655</v>
      </c>
      <c r="D446" s="39">
        <v>23.700000762939453</v>
      </c>
      <c r="E446" s="39">
        <v>14.48626708984375</v>
      </c>
      <c r="F446" s="41">
        <v>222997</v>
      </c>
      <c r="G446" s="35" t="s">
        <v>671</v>
      </c>
      <c r="H446" s="35" t="s">
        <v>115</v>
      </c>
    </row>
    <row r="447" spans="1:8">
      <c r="A447" s="37">
        <v>38870.15625</v>
      </c>
      <c r="B447" s="35" t="s">
        <v>654</v>
      </c>
      <c r="C447" s="35" t="s">
        <v>655</v>
      </c>
      <c r="D447" s="39">
        <v>23.573333740234375</v>
      </c>
      <c r="E447" s="39">
        <v>14.408844947814941</v>
      </c>
      <c r="F447" s="41">
        <v>280290</v>
      </c>
      <c r="G447" s="35" t="s">
        <v>671</v>
      </c>
      <c r="H447" s="35" t="s">
        <v>115</v>
      </c>
    </row>
    <row r="448" spans="1:8">
      <c r="A448" s="37">
        <v>38873.15625</v>
      </c>
      <c r="B448" s="35" t="s">
        <v>654</v>
      </c>
      <c r="C448" s="35" t="s">
        <v>655</v>
      </c>
      <c r="D448" s="39">
        <v>23.35333251953125</v>
      </c>
      <c r="E448" s="39">
        <v>14.274373054504395</v>
      </c>
      <c r="F448" s="41">
        <v>410820</v>
      </c>
      <c r="G448" s="35" t="s">
        <v>671</v>
      </c>
      <c r="H448" s="35" t="s">
        <v>115</v>
      </c>
    </row>
    <row r="449" spans="1:8">
      <c r="A449" s="37">
        <v>38874.15625</v>
      </c>
      <c r="B449" s="35" t="s">
        <v>654</v>
      </c>
      <c r="C449" s="35" t="s">
        <v>655</v>
      </c>
      <c r="D449" s="39">
        <v>21.826665878295898</v>
      </c>
      <c r="E449" s="39">
        <v>13.341217041015625</v>
      </c>
      <c r="F449" s="41">
        <v>196530</v>
      </c>
      <c r="G449" s="35" t="s">
        <v>671</v>
      </c>
      <c r="H449" s="35" t="s">
        <v>115</v>
      </c>
    </row>
    <row r="450" spans="1:8">
      <c r="A450" s="37">
        <v>38875.15625</v>
      </c>
      <c r="B450" s="35" t="s">
        <v>654</v>
      </c>
      <c r="C450" s="35" t="s">
        <v>655</v>
      </c>
      <c r="D450" s="39">
        <v>20.746665954589844</v>
      </c>
      <c r="E450" s="39">
        <v>12.681086540222168</v>
      </c>
      <c r="F450" s="41">
        <v>367215</v>
      </c>
      <c r="G450" s="35" t="s">
        <v>671</v>
      </c>
      <c r="H450" s="35" t="s">
        <v>115</v>
      </c>
    </row>
    <row r="451" spans="1:8">
      <c r="A451" s="37">
        <v>38876.15625</v>
      </c>
      <c r="B451" s="35" t="s">
        <v>654</v>
      </c>
      <c r="C451" s="35" t="s">
        <v>655</v>
      </c>
      <c r="D451" s="39">
        <v>18.706666946411133</v>
      </c>
      <c r="E451" s="39">
        <v>11.434165954589844</v>
      </c>
      <c r="F451" s="41">
        <v>987375</v>
      </c>
      <c r="G451" s="35" t="s">
        <v>671</v>
      </c>
      <c r="H451" s="35" t="s">
        <v>115</v>
      </c>
    </row>
    <row r="452" spans="1:8">
      <c r="A452" s="37">
        <v>38877.15625</v>
      </c>
      <c r="B452" s="35" t="s">
        <v>654</v>
      </c>
      <c r="C452" s="35" t="s">
        <v>655</v>
      </c>
      <c r="D452" s="39">
        <v>21.84666633605957</v>
      </c>
      <c r="E452" s="39">
        <v>13.35344409942627</v>
      </c>
      <c r="F452" s="41">
        <v>636352</v>
      </c>
      <c r="G452" s="35" t="s">
        <v>671</v>
      </c>
      <c r="H452" s="35" t="s">
        <v>115</v>
      </c>
    </row>
    <row r="453" spans="1:8">
      <c r="A453" s="37">
        <v>38880.15625</v>
      </c>
      <c r="B453" s="35" t="s">
        <v>654</v>
      </c>
      <c r="C453" s="35" t="s">
        <v>655</v>
      </c>
      <c r="D453" s="39">
        <v>20.959999084472656</v>
      </c>
      <c r="E453" s="39">
        <v>12.811483383178711</v>
      </c>
      <c r="F453" s="41">
        <v>481762</v>
      </c>
      <c r="G453" s="35" t="s">
        <v>671</v>
      </c>
      <c r="H453" s="35" t="s">
        <v>115</v>
      </c>
    </row>
    <row r="454" spans="1:8">
      <c r="A454" s="37">
        <v>38881.15625</v>
      </c>
      <c r="B454" s="35" t="s">
        <v>654</v>
      </c>
      <c r="C454" s="35" t="s">
        <v>655</v>
      </c>
      <c r="D454" s="39">
        <v>18.040000915527344</v>
      </c>
      <c r="E454" s="39">
        <v>11.026679039001465</v>
      </c>
      <c r="F454" s="41">
        <v>919477</v>
      </c>
      <c r="G454" s="35" t="s">
        <v>671</v>
      </c>
      <c r="H454" s="35" t="s">
        <v>115</v>
      </c>
    </row>
    <row r="455" spans="1:8">
      <c r="A455" s="37">
        <v>38882.15625</v>
      </c>
      <c r="B455" s="35" t="s">
        <v>654</v>
      </c>
      <c r="C455" s="35" t="s">
        <v>655</v>
      </c>
      <c r="D455" s="39">
        <v>18.219999313354492</v>
      </c>
      <c r="E455" s="39">
        <v>11.136699676513672</v>
      </c>
      <c r="F455" s="41">
        <v>623760</v>
      </c>
      <c r="G455" s="35" t="s">
        <v>671</v>
      </c>
      <c r="H455" s="35" t="s">
        <v>115</v>
      </c>
    </row>
    <row r="456" spans="1:8">
      <c r="A456" s="37">
        <v>38883.15625</v>
      </c>
      <c r="B456" s="35" t="s">
        <v>654</v>
      </c>
      <c r="C456" s="35" t="s">
        <v>655</v>
      </c>
      <c r="D456" s="39">
        <v>19.526666641235352</v>
      </c>
      <c r="E456" s="39">
        <v>11.935381889343262</v>
      </c>
      <c r="F456" s="41">
        <v>843232</v>
      </c>
      <c r="G456" s="35" t="s">
        <v>671</v>
      </c>
      <c r="H456" s="35" t="s">
        <v>115</v>
      </c>
    </row>
    <row r="457" spans="1:8">
      <c r="A457" s="37">
        <v>38884.15625</v>
      </c>
      <c r="B457" s="35" t="s">
        <v>654</v>
      </c>
      <c r="C457" s="35" t="s">
        <v>655</v>
      </c>
      <c r="D457" s="39">
        <v>20.159999847412109</v>
      </c>
      <c r="E457" s="39">
        <v>12.322497367858887</v>
      </c>
      <c r="F457" s="41">
        <v>638775</v>
      </c>
      <c r="G457" s="35" t="s">
        <v>671</v>
      </c>
      <c r="H457" s="35" t="s">
        <v>115</v>
      </c>
    </row>
    <row r="458" spans="1:8">
      <c r="A458" s="37">
        <v>38887.15625</v>
      </c>
      <c r="B458" s="35" t="s">
        <v>654</v>
      </c>
      <c r="C458" s="35" t="s">
        <v>655</v>
      </c>
      <c r="D458" s="39">
        <v>20</v>
      </c>
      <c r="E458" s="39">
        <v>12.224699020385742</v>
      </c>
      <c r="F458" s="41">
        <v>751342</v>
      </c>
      <c r="G458" s="35" t="s">
        <v>671</v>
      </c>
      <c r="H458" s="35" t="s">
        <v>115</v>
      </c>
    </row>
    <row r="459" spans="1:8">
      <c r="A459" s="37">
        <v>38888.15625</v>
      </c>
      <c r="B459" s="35" t="s">
        <v>654</v>
      </c>
      <c r="C459" s="35" t="s">
        <v>655</v>
      </c>
      <c r="D459" s="39">
        <v>20.399999618530273</v>
      </c>
      <c r="E459" s="39">
        <v>12.469197273254395</v>
      </c>
      <c r="F459" s="41">
        <v>609487</v>
      </c>
      <c r="G459" s="35" t="s">
        <v>671</v>
      </c>
      <c r="H459" s="35" t="s">
        <v>115</v>
      </c>
    </row>
    <row r="460" spans="1:8">
      <c r="A460" s="37">
        <v>38889.15625</v>
      </c>
      <c r="B460" s="35" t="s">
        <v>654</v>
      </c>
      <c r="C460" s="35" t="s">
        <v>655</v>
      </c>
      <c r="D460" s="39">
        <v>20.899999618530273</v>
      </c>
      <c r="E460" s="39">
        <v>12.774811744689941</v>
      </c>
      <c r="F460" s="41">
        <v>840075</v>
      </c>
      <c r="G460" s="35" t="s">
        <v>671</v>
      </c>
      <c r="H460" s="35" t="s">
        <v>115</v>
      </c>
    </row>
    <row r="461" spans="1:8">
      <c r="A461" s="37">
        <v>38890.15625</v>
      </c>
      <c r="B461" s="35" t="s">
        <v>654</v>
      </c>
      <c r="C461" s="35" t="s">
        <v>655</v>
      </c>
      <c r="D461" s="39">
        <v>21.166666030883789</v>
      </c>
      <c r="E461" s="39">
        <v>12.937802314758301</v>
      </c>
      <c r="F461" s="41">
        <v>499935</v>
      </c>
      <c r="G461" s="35" t="s">
        <v>671</v>
      </c>
      <c r="H461" s="35" t="s">
        <v>115</v>
      </c>
    </row>
    <row r="462" spans="1:8">
      <c r="A462" s="37">
        <v>38891.15625</v>
      </c>
      <c r="B462" s="35" t="s">
        <v>654</v>
      </c>
      <c r="C462" s="35" t="s">
        <v>655</v>
      </c>
      <c r="D462" s="39">
        <v>21.860000610351563</v>
      </c>
      <c r="E462" s="39">
        <v>13.361595153808594</v>
      </c>
      <c r="F462" s="41">
        <v>903067</v>
      </c>
      <c r="G462" s="35" t="s">
        <v>671</v>
      </c>
      <c r="H462" s="35" t="s">
        <v>115</v>
      </c>
    </row>
    <row r="463" spans="1:8">
      <c r="A463" s="37">
        <v>38894.15625</v>
      </c>
      <c r="B463" s="35" t="s">
        <v>654</v>
      </c>
      <c r="C463" s="35" t="s">
        <v>655</v>
      </c>
      <c r="D463" s="39">
        <v>22.040000915527344</v>
      </c>
      <c r="E463" s="39">
        <v>13.471615791320801</v>
      </c>
      <c r="F463" s="41">
        <v>924795</v>
      </c>
      <c r="G463" s="35" t="s">
        <v>671</v>
      </c>
      <c r="H463" s="35" t="s">
        <v>115</v>
      </c>
    </row>
    <row r="464" spans="1:8">
      <c r="A464" s="37">
        <v>38895.15625</v>
      </c>
      <c r="B464" s="35" t="s">
        <v>654</v>
      </c>
      <c r="C464" s="35" t="s">
        <v>655</v>
      </c>
      <c r="D464" s="39">
        <v>22.646665573120117</v>
      </c>
      <c r="E464" s="39">
        <v>13.842429161071777</v>
      </c>
      <c r="F464" s="41">
        <v>1364490</v>
      </c>
      <c r="G464" s="35" t="s">
        <v>671</v>
      </c>
      <c r="H464" s="35" t="s">
        <v>115</v>
      </c>
    </row>
    <row r="465" spans="1:8">
      <c r="A465" s="37">
        <v>38896.15625</v>
      </c>
      <c r="B465" s="35" t="s">
        <v>654</v>
      </c>
      <c r="C465" s="35" t="s">
        <v>655</v>
      </c>
      <c r="D465" s="39">
        <v>22.566665649414063</v>
      </c>
      <c r="E465" s="39">
        <v>13.793530464172363</v>
      </c>
      <c r="F465" s="41">
        <v>416415</v>
      </c>
      <c r="G465" s="35" t="s">
        <v>671</v>
      </c>
      <c r="H465" s="35" t="s">
        <v>115</v>
      </c>
    </row>
    <row r="466" spans="1:8">
      <c r="A466" s="37">
        <v>38897.15625</v>
      </c>
      <c r="B466" s="35" t="s">
        <v>654</v>
      </c>
      <c r="C466" s="35" t="s">
        <v>655</v>
      </c>
      <c r="D466" s="39">
        <v>22.933332443237305</v>
      </c>
      <c r="E466" s="39">
        <v>14.017653465270996</v>
      </c>
      <c r="F466" s="41">
        <v>291630</v>
      </c>
      <c r="G466" s="35" t="s">
        <v>671</v>
      </c>
      <c r="H466" s="35" t="s">
        <v>115</v>
      </c>
    </row>
    <row r="467" spans="1:8">
      <c r="A467" s="37">
        <v>38898.15625</v>
      </c>
      <c r="B467" s="35" t="s">
        <v>654</v>
      </c>
      <c r="C467" s="35" t="s">
        <v>655</v>
      </c>
      <c r="D467" s="39">
        <v>23.420000076293945</v>
      </c>
      <c r="E467" s="39">
        <v>14.315121650695801</v>
      </c>
      <c r="F467" s="41">
        <v>256132</v>
      </c>
      <c r="G467" s="35" t="s">
        <v>671</v>
      </c>
      <c r="H467" s="35" t="s">
        <v>115</v>
      </c>
    </row>
    <row r="468" spans="1:8">
      <c r="A468" s="37">
        <v>38901.15625</v>
      </c>
      <c r="B468" s="35" t="s">
        <v>654</v>
      </c>
      <c r="C468" s="35" t="s">
        <v>655</v>
      </c>
      <c r="D468" s="39">
        <v>23.966665267944336</v>
      </c>
      <c r="E468" s="39">
        <v>14.649261474609375</v>
      </c>
      <c r="F468" s="41">
        <v>326152</v>
      </c>
      <c r="G468" s="35" t="s">
        <v>671</v>
      </c>
      <c r="H468" s="35" t="s">
        <v>115</v>
      </c>
    </row>
    <row r="469" spans="1:8">
      <c r="A469" s="37">
        <v>38902.15625</v>
      </c>
      <c r="B469" s="35" t="s">
        <v>654</v>
      </c>
      <c r="C469" s="35" t="s">
        <v>655</v>
      </c>
      <c r="D469" s="39">
        <v>23.879999160766602</v>
      </c>
      <c r="E469" s="39">
        <v>14.596288681030273</v>
      </c>
      <c r="F469" s="41">
        <v>313597</v>
      </c>
      <c r="G469" s="35" t="s">
        <v>671</v>
      </c>
      <c r="H469" s="35" t="s">
        <v>115</v>
      </c>
    </row>
    <row r="470" spans="1:8">
      <c r="A470" s="37">
        <v>38903.15625</v>
      </c>
      <c r="B470" s="35" t="s">
        <v>654</v>
      </c>
      <c r="C470" s="35" t="s">
        <v>655</v>
      </c>
      <c r="D470" s="39">
        <v>23.253332138061523</v>
      </c>
      <c r="E470" s="39">
        <v>14.213247299194336</v>
      </c>
      <c r="F470" s="41">
        <v>326295</v>
      </c>
      <c r="G470" s="35" t="s">
        <v>671</v>
      </c>
      <c r="H470" s="35" t="s">
        <v>115</v>
      </c>
    </row>
    <row r="471" spans="1:8">
      <c r="A471" s="37">
        <v>38904.15625</v>
      </c>
      <c r="B471" s="35" t="s">
        <v>654</v>
      </c>
      <c r="C471" s="35" t="s">
        <v>655</v>
      </c>
      <c r="D471" s="39">
        <v>23.266666412353516</v>
      </c>
      <c r="E471" s="39">
        <v>14.221399307250977</v>
      </c>
      <c r="F471" s="41">
        <v>249892</v>
      </c>
      <c r="G471" s="35" t="s">
        <v>671</v>
      </c>
      <c r="H471" s="35" t="s">
        <v>115</v>
      </c>
    </row>
    <row r="472" spans="1:8">
      <c r="A472" s="37">
        <v>38905.15625</v>
      </c>
      <c r="B472" s="35" t="s">
        <v>654</v>
      </c>
      <c r="C472" s="35" t="s">
        <v>655</v>
      </c>
      <c r="D472" s="39">
        <v>23.639999389648438</v>
      </c>
      <c r="E472" s="39">
        <v>14.449592590332031</v>
      </c>
      <c r="F472" s="41">
        <v>1101787</v>
      </c>
      <c r="G472" s="35" t="s">
        <v>671</v>
      </c>
      <c r="H472" s="35" t="s">
        <v>115</v>
      </c>
    </row>
    <row r="473" spans="1:8">
      <c r="A473" s="37">
        <v>38908.15625</v>
      </c>
      <c r="B473" s="35" t="s">
        <v>654</v>
      </c>
      <c r="C473" s="35" t="s">
        <v>655</v>
      </c>
      <c r="D473" s="39">
        <v>23.626665115356445</v>
      </c>
      <c r="E473" s="39">
        <v>14.441439628601074</v>
      </c>
      <c r="F473" s="41">
        <v>227662</v>
      </c>
      <c r="G473" s="35" t="s">
        <v>671</v>
      </c>
      <c r="H473" s="35" t="s">
        <v>115</v>
      </c>
    </row>
    <row r="474" spans="1:8">
      <c r="A474" s="37">
        <v>38909.15625</v>
      </c>
      <c r="B474" s="35" t="s">
        <v>654</v>
      </c>
      <c r="C474" s="35" t="s">
        <v>655</v>
      </c>
      <c r="D474" s="39">
        <v>23.319999694824219</v>
      </c>
      <c r="E474" s="39">
        <v>14.253995895385742</v>
      </c>
      <c r="F474" s="41">
        <v>191452</v>
      </c>
      <c r="G474" s="35" t="s">
        <v>671</v>
      </c>
      <c r="H474" s="35" t="s">
        <v>115</v>
      </c>
    </row>
    <row r="475" spans="1:8">
      <c r="A475" s="37">
        <v>38910.15625</v>
      </c>
      <c r="B475" s="35" t="s">
        <v>654</v>
      </c>
      <c r="C475" s="35" t="s">
        <v>655</v>
      </c>
      <c r="D475" s="39">
        <v>24.473333358764648</v>
      </c>
      <c r="E475" s="39">
        <v>14.958956718444824</v>
      </c>
      <c r="F475" s="41">
        <v>601380</v>
      </c>
      <c r="G475" s="35" t="s">
        <v>671</v>
      </c>
      <c r="H475" s="35" t="s">
        <v>115</v>
      </c>
    </row>
    <row r="476" spans="1:8">
      <c r="A476" s="37">
        <v>38911.15625</v>
      </c>
      <c r="B476" s="35" t="s">
        <v>654</v>
      </c>
      <c r="C476" s="35" t="s">
        <v>655</v>
      </c>
      <c r="D476" s="39">
        <v>24.133333206176758</v>
      </c>
      <c r="E476" s="39">
        <v>14.751138687133789</v>
      </c>
      <c r="F476" s="41">
        <v>190507</v>
      </c>
      <c r="G476" s="35" t="s">
        <v>671</v>
      </c>
      <c r="H476" s="35" t="s">
        <v>115</v>
      </c>
    </row>
    <row r="477" spans="1:8">
      <c r="A477" s="37">
        <v>38912.15625</v>
      </c>
      <c r="B477" s="35" t="s">
        <v>654</v>
      </c>
      <c r="C477" s="35" t="s">
        <v>655</v>
      </c>
      <c r="D477" s="39">
        <v>24.093332290649414</v>
      </c>
      <c r="E477" s="39">
        <v>14.726683616638184</v>
      </c>
      <c r="F477" s="41">
        <v>205897</v>
      </c>
      <c r="G477" s="35" t="s">
        <v>671</v>
      </c>
      <c r="H477" s="35" t="s">
        <v>115</v>
      </c>
    </row>
    <row r="478" spans="1:8">
      <c r="A478" s="37">
        <v>38915.15625</v>
      </c>
      <c r="B478" s="35" t="s">
        <v>654</v>
      </c>
      <c r="C478" s="35" t="s">
        <v>655</v>
      </c>
      <c r="D478" s="39">
        <v>23.886665344238281</v>
      </c>
      <c r="E478" s="39">
        <v>14.600363731384277</v>
      </c>
      <c r="F478" s="41">
        <v>419512</v>
      </c>
      <c r="G478" s="35" t="s">
        <v>671</v>
      </c>
      <c r="H478" s="35" t="s">
        <v>115</v>
      </c>
    </row>
    <row r="479" spans="1:8">
      <c r="A479" s="37">
        <v>38916.15625</v>
      </c>
      <c r="B479" s="35" t="s">
        <v>654</v>
      </c>
      <c r="C479" s="35" t="s">
        <v>655</v>
      </c>
      <c r="D479" s="39">
        <v>24.466665267944336</v>
      </c>
      <c r="E479" s="39">
        <v>14.954876899719238</v>
      </c>
      <c r="F479" s="41">
        <v>371557</v>
      </c>
      <c r="G479" s="35" t="s">
        <v>671</v>
      </c>
      <c r="H479" s="35" t="s">
        <v>115</v>
      </c>
    </row>
    <row r="480" spans="1:8">
      <c r="A480" s="37">
        <v>38917.15625</v>
      </c>
      <c r="B480" s="35" t="s">
        <v>654</v>
      </c>
      <c r="C480" s="35" t="s">
        <v>655</v>
      </c>
      <c r="D480" s="39">
        <v>23.200000762939453</v>
      </c>
      <c r="E480" s="39">
        <v>14.180648803710938</v>
      </c>
      <c r="F480" s="41">
        <v>706695</v>
      </c>
      <c r="G480" s="35" t="s">
        <v>671</v>
      </c>
      <c r="H480" s="35" t="s">
        <v>115</v>
      </c>
    </row>
    <row r="481" spans="1:8">
      <c r="A481" s="37">
        <v>38918.15625</v>
      </c>
      <c r="B481" s="35" t="s">
        <v>654</v>
      </c>
      <c r="C481" s="35" t="s">
        <v>655</v>
      </c>
      <c r="D481" s="39">
        <v>24.020000457763672</v>
      </c>
      <c r="E481" s="39">
        <v>14.68186092376709</v>
      </c>
      <c r="F481" s="41">
        <v>425932</v>
      </c>
      <c r="G481" s="35" t="s">
        <v>671</v>
      </c>
      <c r="H481" s="35" t="s">
        <v>115</v>
      </c>
    </row>
    <row r="482" spans="1:8">
      <c r="A482" s="37">
        <v>38919.15625</v>
      </c>
      <c r="B482" s="35" t="s">
        <v>654</v>
      </c>
      <c r="C482" s="35" t="s">
        <v>655</v>
      </c>
      <c r="D482" s="39">
        <v>23.559999465942383</v>
      </c>
      <c r="E482" s="39">
        <v>14.400694847106934</v>
      </c>
      <c r="F482" s="41">
        <v>210660</v>
      </c>
      <c r="G482" s="35" t="s">
        <v>671</v>
      </c>
      <c r="H482" s="35" t="s">
        <v>115</v>
      </c>
    </row>
    <row r="483" spans="1:8">
      <c r="A483" s="37">
        <v>38922.15625</v>
      </c>
      <c r="B483" s="35" t="s">
        <v>654</v>
      </c>
      <c r="C483" s="35" t="s">
        <v>655</v>
      </c>
      <c r="D483" s="39">
        <v>24.133333206176758</v>
      </c>
      <c r="E483" s="39">
        <v>14.751138687133789</v>
      </c>
      <c r="F483" s="41">
        <v>276022</v>
      </c>
      <c r="G483" s="35" t="s">
        <v>671</v>
      </c>
      <c r="H483" s="35" t="s">
        <v>115</v>
      </c>
    </row>
    <row r="484" spans="1:8">
      <c r="A484" s="37">
        <v>38923.15625</v>
      </c>
      <c r="B484" s="35" t="s">
        <v>654</v>
      </c>
      <c r="C484" s="35" t="s">
        <v>655</v>
      </c>
      <c r="D484" s="39">
        <v>24.546665191650391</v>
      </c>
      <c r="E484" s="39">
        <v>15.003776550292969</v>
      </c>
      <c r="F484" s="41">
        <v>240082</v>
      </c>
      <c r="G484" s="35" t="s">
        <v>671</v>
      </c>
      <c r="H484" s="35" t="s">
        <v>115</v>
      </c>
    </row>
    <row r="485" spans="1:8">
      <c r="A485" s="37">
        <v>38924.15625</v>
      </c>
      <c r="B485" s="35" t="s">
        <v>654</v>
      </c>
      <c r="C485" s="35" t="s">
        <v>655</v>
      </c>
      <c r="D485" s="39">
        <v>25.193332672119141</v>
      </c>
      <c r="E485" s="39">
        <v>15.399039268493652</v>
      </c>
      <c r="F485" s="41">
        <v>333150</v>
      </c>
      <c r="G485" s="35" t="s">
        <v>671</v>
      </c>
      <c r="H485" s="35" t="s">
        <v>115</v>
      </c>
    </row>
    <row r="486" spans="1:8">
      <c r="A486" s="37">
        <v>38925.15625</v>
      </c>
      <c r="B486" s="35" t="s">
        <v>654</v>
      </c>
      <c r="C486" s="35" t="s">
        <v>655</v>
      </c>
      <c r="D486" s="39">
        <v>24.840000152587891</v>
      </c>
      <c r="E486" s="39">
        <v>15.183074951171875</v>
      </c>
      <c r="F486" s="41">
        <v>353407</v>
      </c>
      <c r="G486" s="35" t="s">
        <v>671</v>
      </c>
      <c r="H486" s="35" t="s">
        <v>115</v>
      </c>
    </row>
    <row r="487" spans="1:8">
      <c r="A487" s="37">
        <v>38926.15625</v>
      </c>
      <c r="B487" s="35" t="s">
        <v>654</v>
      </c>
      <c r="C487" s="35" t="s">
        <v>655</v>
      </c>
      <c r="D487" s="39">
        <v>24.706666946411133</v>
      </c>
      <c r="E487" s="39">
        <v>15.101572036743164</v>
      </c>
      <c r="F487" s="41">
        <v>903577</v>
      </c>
      <c r="G487" s="35" t="s">
        <v>671</v>
      </c>
      <c r="H487" s="35" t="s">
        <v>115</v>
      </c>
    </row>
    <row r="488" spans="1:8">
      <c r="A488" s="37">
        <v>38929.15625</v>
      </c>
      <c r="B488" s="35" t="s">
        <v>654</v>
      </c>
      <c r="C488" s="35" t="s">
        <v>655</v>
      </c>
      <c r="D488" s="39">
        <v>25.126665115356445</v>
      </c>
      <c r="E488" s="39">
        <v>15.35830020904541</v>
      </c>
      <c r="F488" s="41">
        <v>364867</v>
      </c>
      <c r="G488" s="35" t="s">
        <v>671</v>
      </c>
      <c r="H488" s="35" t="s">
        <v>115</v>
      </c>
    </row>
    <row r="489" spans="1:8">
      <c r="A489" s="37">
        <v>38930.15625</v>
      </c>
      <c r="B489" s="35" t="s">
        <v>654</v>
      </c>
      <c r="C489" s="35" t="s">
        <v>655</v>
      </c>
      <c r="D489" s="39">
        <v>24.953332901000977</v>
      </c>
      <c r="E489" s="39">
        <v>15.252346038818359</v>
      </c>
      <c r="F489" s="41">
        <v>184927</v>
      </c>
      <c r="G489" s="35" t="s">
        <v>671</v>
      </c>
      <c r="H489" s="35" t="s">
        <v>115</v>
      </c>
    </row>
    <row r="490" spans="1:8">
      <c r="A490" s="37">
        <v>38931.15625</v>
      </c>
      <c r="B490" s="35" t="s">
        <v>654</v>
      </c>
      <c r="C490" s="35" t="s">
        <v>655</v>
      </c>
      <c r="D490" s="39">
        <v>25.186666488647461</v>
      </c>
      <c r="E490" s="39">
        <v>15.394969940185547</v>
      </c>
      <c r="F490" s="41">
        <v>151912</v>
      </c>
      <c r="G490" s="35" t="s">
        <v>671</v>
      </c>
      <c r="H490" s="35" t="s">
        <v>115</v>
      </c>
    </row>
    <row r="491" spans="1:8">
      <c r="A491" s="37">
        <v>38932.15625</v>
      </c>
      <c r="B491" s="35" t="s">
        <v>654</v>
      </c>
      <c r="C491" s="35" t="s">
        <v>655</v>
      </c>
      <c r="D491" s="39">
        <v>25.173332214355469</v>
      </c>
      <c r="E491" s="39">
        <v>15.386820793151855</v>
      </c>
      <c r="F491" s="41">
        <v>283650</v>
      </c>
      <c r="G491" s="35" t="s">
        <v>671</v>
      </c>
      <c r="H491" s="35" t="s">
        <v>115</v>
      </c>
    </row>
    <row r="492" spans="1:8">
      <c r="A492" s="37">
        <v>38933.15625</v>
      </c>
      <c r="B492" s="35" t="s">
        <v>654</v>
      </c>
      <c r="C492" s="35" t="s">
        <v>655</v>
      </c>
      <c r="D492" s="39">
        <v>25.093332290649414</v>
      </c>
      <c r="E492" s="39">
        <v>15.337919235229492</v>
      </c>
      <c r="F492" s="41">
        <v>353835</v>
      </c>
      <c r="G492" s="35" t="s">
        <v>671</v>
      </c>
      <c r="H492" s="35" t="s">
        <v>115</v>
      </c>
    </row>
    <row r="493" spans="1:8">
      <c r="A493" s="37">
        <v>38936.15625</v>
      </c>
      <c r="B493" s="35" t="s">
        <v>654</v>
      </c>
      <c r="C493" s="35" t="s">
        <v>655</v>
      </c>
      <c r="D493" s="39">
        <v>25.34666633605957</v>
      </c>
      <c r="E493" s="39">
        <v>15.49277400970459</v>
      </c>
      <c r="F493" s="41">
        <v>698812</v>
      </c>
      <c r="G493" s="35" t="s">
        <v>671</v>
      </c>
      <c r="H493" s="35" t="s">
        <v>115</v>
      </c>
    </row>
    <row r="494" spans="1:8">
      <c r="A494" s="37">
        <v>38937.15625</v>
      </c>
      <c r="B494" s="35" t="s">
        <v>654</v>
      </c>
      <c r="C494" s="35" t="s">
        <v>655</v>
      </c>
      <c r="D494" s="39">
        <v>25.186666488647461</v>
      </c>
      <c r="E494" s="39">
        <v>15.394969940185547</v>
      </c>
      <c r="F494" s="41">
        <v>853747</v>
      </c>
      <c r="G494" s="35" t="s">
        <v>671</v>
      </c>
      <c r="H494" s="35" t="s">
        <v>115</v>
      </c>
    </row>
    <row r="495" spans="1:8">
      <c r="A495" s="37">
        <v>38938.15625</v>
      </c>
      <c r="B495" s="35" t="s">
        <v>654</v>
      </c>
      <c r="C495" s="35" t="s">
        <v>655</v>
      </c>
      <c r="D495" s="39">
        <v>24.879999160766602</v>
      </c>
      <c r="E495" s="39">
        <v>15.70640754699707</v>
      </c>
      <c r="F495" s="41">
        <v>577717</v>
      </c>
      <c r="G495" s="35" t="s">
        <v>671</v>
      </c>
      <c r="H495" s="35" t="s">
        <v>115</v>
      </c>
    </row>
    <row r="496" spans="1:8">
      <c r="A496" s="37">
        <v>38939.15625</v>
      </c>
      <c r="B496" s="35" t="s">
        <v>654</v>
      </c>
      <c r="C496" s="35" t="s">
        <v>655</v>
      </c>
      <c r="D496" s="39">
        <v>24.366666793823242</v>
      </c>
      <c r="E496" s="39">
        <v>15.382346153259277</v>
      </c>
      <c r="F496" s="41">
        <v>886980</v>
      </c>
      <c r="G496" s="35" t="s">
        <v>671</v>
      </c>
      <c r="H496" s="35" t="s">
        <v>115</v>
      </c>
    </row>
    <row r="497" spans="1:8">
      <c r="A497" s="37">
        <v>38940.15625</v>
      </c>
      <c r="B497" s="35" t="s">
        <v>654</v>
      </c>
      <c r="C497" s="35" t="s">
        <v>655</v>
      </c>
      <c r="D497" s="39">
        <v>24.146665573120117</v>
      </c>
      <c r="E497" s="39">
        <v>15.243461608886719</v>
      </c>
      <c r="F497" s="41">
        <v>1335817</v>
      </c>
      <c r="G497" s="35" t="s">
        <v>671</v>
      </c>
      <c r="H497" s="35" t="s">
        <v>115</v>
      </c>
    </row>
    <row r="498" spans="1:8">
      <c r="A498" s="37">
        <v>38943.15625</v>
      </c>
      <c r="B498" s="35" t="s">
        <v>654</v>
      </c>
      <c r="C498" s="35" t="s">
        <v>655</v>
      </c>
      <c r="D498" s="39">
        <v>24.573333740234375</v>
      </c>
      <c r="E498" s="39">
        <v>15.512813568115234</v>
      </c>
      <c r="F498" s="41">
        <v>1506345</v>
      </c>
      <c r="G498" s="35" t="s">
        <v>671</v>
      </c>
      <c r="H498" s="35" t="s">
        <v>115</v>
      </c>
    </row>
    <row r="499" spans="1:8">
      <c r="A499" s="37">
        <v>38945.15625</v>
      </c>
      <c r="B499" s="35" t="s">
        <v>654</v>
      </c>
      <c r="C499" s="35" t="s">
        <v>655</v>
      </c>
      <c r="D499" s="39">
        <v>24.826665878295898</v>
      </c>
      <c r="E499" s="39">
        <v>15.672732353210449</v>
      </c>
      <c r="F499" s="41">
        <v>2480932</v>
      </c>
      <c r="G499" s="35" t="s">
        <v>671</v>
      </c>
      <c r="H499" s="35" t="s">
        <v>115</v>
      </c>
    </row>
    <row r="500" spans="1:8">
      <c r="A500" s="37">
        <v>38946.15625</v>
      </c>
      <c r="B500" s="35" t="s">
        <v>654</v>
      </c>
      <c r="C500" s="35" t="s">
        <v>655</v>
      </c>
      <c r="D500" s="39">
        <v>24.35333251953125</v>
      </c>
      <c r="E500" s="39">
        <v>15.373926162719727</v>
      </c>
      <c r="F500" s="41">
        <v>799575</v>
      </c>
      <c r="G500" s="35" t="s">
        <v>671</v>
      </c>
      <c r="H500" s="35" t="s">
        <v>115</v>
      </c>
    </row>
    <row r="501" spans="1:8">
      <c r="A501" s="37">
        <v>38947.15625</v>
      </c>
      <c r="B501" s="35" t="s">
        <v>654</v>
      </c>
      <c r="C501" s="35" t="s">
        <v>655</v>
      </c>
      <c r="D501" s="39">
        <v>24.639999389648438</v>
      </c>
      <c r="E501" s="39">
        <v>15.554893493652344</v>
      </c>
      <c r="F501" s="41">
        <v>501862</v>
      </c>
      <c r="G501" s="35" t="s">
        <v>671</v>
      </c>
      <c r="H501" s="35" t="s">
        <v>115</v>
      </c>
    </row>
    <row r="502" spans="1:8">
      <c r="A502" s="37">
        <v>38950.15625</v>
      </c>
      <c r="B502" s="35" t="s">
        <v>654</v>
      </c>
      <c r="C502" s="35" t="s">
        <v>655</v>
      </c>
      <c r="D502" s="39">
        <v>24.733333587646484</v>
      </c>
      <c r="E502" s="39">
        <v>15.613818168640137</v>
      </c>
      <c r="F502" s="41">
        <v>545332</v>
      </c>
      <c r="G502" s="35" t="s">
        <v>671</v>
      </c>
      <c r="H502" s="35" t="s">
        <v>115</v>
      </c>
    </row>
    <row r="503" spans="1:8">
      <c r="A503" s="37">
        <v>38951.15625</v>
      </c>
      <c r="B503" s="35" t="s">
        <v>654</v>
      </c>
      <c r="C503" s="35" t="s">
        <v>655</v>
      </c>
      <c r="D503" s="39">
        <v>25.260000228881836</v>
      </c>
      <c r="E503" s="39">
        <v>15.946290016174316</v>
      </c>
      <c r="F503" s="41">
        <v>5027812</v>
      </c>
      <c r="G503" s="35" t="s">
        <v>671</v>
      </c>
      <c r="H503" s="35" t="s">
        <v>115</v>
      </c>
    </row>
    <row r="504" spans="1:8">
      <c r="A504" s="37">
        <v>38952.15625</v>
      </c>
      <c r="B504" s="35" t="s">
        <v>654</v>
      </c>
      <c r="C504" s="35" t="s">
        <v>655</v>
      </c>
      <c r="D504" s="39">
        <v>25.833332061767578</v>
      </c>
      <c r="E504" s="39">
        <v>16.308225631713867</v>
      </c>
      <c r="F504" s="41">
        <v>6835672</v>
      </c>
      <c r="G504" s="35" t="s">
        <v>671</v>
      </c>
      <c r="H504" s="35" t="s">
        <v>115</v>
      </c>
    </row>
    <row r="505" spans="1:8">
      <c r="A505" s="37">
        <v>38953.15625</v>
      </c>
      <c r="B505" s="35" t="s">
        <v>654</v>
      </c>
      <c r="C505" s="35" t="s">
        <v>655</v>
      </c>
      <c r="D505" s="39">
        <v>25.306665420532227</v>
      </c>
      <c r="E505" s="39">
        <v>15.975753784179688</v>
      </c>
      <c r="F505" s="41">
        <v>1344517</v>
      </c>
      <c r="G505" s="35" t="s">
        <v>671</v>
      </c>
      <c r="H505" s="35" t="s">
        <v>115</v>
      </c>
    </row>
    <row r="506" spans="1:8">
      <c r="A506" s="37">
        <v>38954.15625</v>
      </c>
      <c r="B506" s="35" t="s">
        <v>654</v>
      </c>
      <c r="C506" s="35" t="s">
        <v>655</v>
      </c>
      <c r="D506" s="39">
        <v>25.100000381469727</v>
      </c>
      <c r="E506" s="39">
        <v>15.845284461975098</v>
      </c>
      <c r="F506" s="41">
        <v>1354102</v>
      </c>
      <c r="G506" s="35" t="s">
        <v>671</v>
      </c>
      <c r="H506" s="35" t="s">
        <v>115</v>
      </c>
    </row>
    <row r="507" spans="1:8">
      <c r="A507" s="37">
        <v>38957.15625</v>
      </c>
      <c r="B507" s="35" t="s">
        <v>654</v>
      </c>
      <c r="C507" s="35" t="s">
        <v>655</v>
      </c>
      <c r="D507" s="39">
        <v>24.99333381652832</v>
      </c>
      <c r="E507" s="39">
        <v>15.777948379516602</v>
      </c>
      <c r="F507" s="41">
        <v>1256122</v>
      </c>
      <c r="G507" s="35" t="s">
        <v>671</v>
      </c>
      <c r="H507" s="35" t="s">
        <v>115</v>
      </c>
    </row>
    <row r="508" spans="1:8">
      <c r="A508" s="37">
        <v>38958.15625</v>
      </c>
      <c r="B508" s="35" t="s">
        <v>654</v>
      </c>
      <c r="C508" s="35" t="s">
        <v>655</v>
      </c>
      <c r="D508" s="39">
        <v>24.946666717529297</v>
      </c>
      <c r="E508" s="39">
        <v>15.74848747253418</v>
      </c>
      <c r="F508" s="41">
        <v>648682</v>
      </c>
      <c r="G508" s="35" t="s">
        <v>671</v>
      </c>
      <c r="H508" s="35" t="s">
        <v>115</v>
      </c>
    </row>
    <row r="509" spans="1:8">
      <c r="A509" s="37">
        <v>38959.15625</v>
      </c>
      <c r="B509" s="35" t="s">
        <v>654</v>
      </c>
      <c r="C509" s="35" t="s">
        <v>655</v>
      </c>
      <c r="D509" s="39">
        <v>24.906665802001953</v>
      </c>
      <c r="E509" s="39">
        <v>15.723237991333008</v>
      </c>
      <c r="F509" s="41">
        <v>926482</v>
      </c>
      <c r="G509" s="35" t="s">
        <v>671</v>
      </c>
      <c r="H509" s="35" t="s">
        <v>115</v>
      </c>
    </row>
    <row r="510" spans="1:8">
      <c r="A510" s="37">
        <v>38960.15625</v>
      </c>
      <c r="B510" s="35" t="s">
        <v>654</v>
      </c>
      <c r="C510" s="35" t="s">
        <v>655</v>
      </c>
      <c r="D510" s="39">
        <v>24.886665344238281</v>
      </c>
      <c r="E510" s="39">
        <v>15.710611343383789</v>
      </c>
      <c r="F510" s="41">
        <v>1007430</v>
      </c>
      <c r="G510" s="35" t="s">
        <v>671</v>
      </c>
      <c r="H510" s="35" t="s">
        <v>115</v>
      </c>
    </row>
    <row r="511" spans="1:8">
      <c r="A511" s="37">
        <v>38961.15625</v>
      </c>
      <c r="B511" s="35" t="s">
        <v>654</v>
      </c>
      <c r="C511" s="35" t="s">
        <v>655</v>
      </c>
      <c r="D511" s="39">
        <v>24.860000610351563</v>
      </c>
      <c r="E511" s="39">
        <v>15.693779945373535</v>
      </c>
      <c r="F511" s="41">
        <v>315337</v>
      </c>
      <c r="G511" s="35" t="s">
        <v>671</v>
      </c>
      <c r="H511" s="35" t="s">
        <v>115</v>
      </c>
    </row>
    <row r="512" spans="1:8">
      <c r="A512" s="37">
        <v>38964.15625</v>
      </c>
      <c r="B512" s="35" t="s">
        <v>654</v>
      </c>
      <c r="C512" s="35" t="s">
        <v>655</v>
      </c>
      <c r="D512" s="39">
        <v>25.053333282470703</v>
      </c>
      <c r="E512" s="39">
        <v>15.815827369689941</v>
      </c>
      <c r="F512" s="41">
        <v>544425</v>
      </c>
      <c r="G512" s="35" t="s">
        <v>671</v>
      </c>
      <c r="H512" s="35" t="s">
        <v>115</v>
      </c>
    </row>
    <row r="513" spans="1:8">
      <c r="A513" s="37">
        <v>38965.15625</v>
      </c>
      <c r="B513" s="35" t="s">
        <v>654</v>
      </c>
      <c r="C513" s="35" t="s">
        <v>655</v>
      </c>
      <c r="D513" s="39">
        <v>25.760000228881836</v>
      </c>
      <c r="E513" s="39">
        <v>16.261938095092773</v>
      </c>
      <c r="F513" s="41">
        <v>1722037</v>
      </c>
      <c r="G513" s="35" t="s">
        <v>671</v>
      </c>
      <c r="H513" s="35" t="s">
        <v>115</v>
      </c>
    </row>
    <row r="514" spans="1:8">
      <c r="A514" s="37">
        <v>38966.15625</v>
      </c>
      <c r="B514" s="35" t="s">
        <v>654</v>
      </c>
      <c r="C514" s="35" t="s">
        <v>655</v>
      </c>
      <c r="D514" s="39">
        <v>26.266666412353516</v>
      </c>
      <c r="E514" s="39">
        <v>16.581790924072266</v>
      </c>
      <c r="F514" s="41">
        <v>1374037</v>
      </c>
      <c r="G514" s="35" t="s">
        <v>671</v>
      </c>
      <c r="H514" s="35" t="s">
        <v>115</v>
      </c>
    </row>
    <row r="515" spans="1:8">
      <c r="A515" s="37">
        <v>38967.15625</v>
      </c>
      <c r="B515" s="35" t="s">
        <v>654</v>
      </c>
      <c r="C515" s="35" t="s">
        <v>655</v>
      </c>
      <c r="D515" s="39">
        <v>26.200000762939453</v>
      </c>
      <c r="E515" s="39">
        <v>16.539703369140625</v>
      </c>
      <c r="F515" s="41">
        <v>1908030</v>
      </c>
      <c r="G515" s="35" t="s">
        <v>671</v>
      </c>
      <c r="H515" s="35" t="s">
        <v>115</v>
      </c>
    </row>
    <row r="516" spans="1:8">
      <c r="A516" s="37">
        <v>38968.15625</v>
      </c>
      <c r="B516" s="35" t="s">
        <v>654</v>
      </c>
      <c r="C516" s="35" t="s">
        <v>655</v>
      </c>
      <c r="D516" s="39">
        <v>26.146665573120117</v>
      </c>
      <c r="E516" s="39">
        <v>16.506031036376953</v>
      </c>
      <c r="F516" s="41">
        <v>1326975</v>
      </c>
      <c r="G516" s="35" t="s">
        <v>671</v>
      </c>
      <c r="H516" s="35" t="s">
        <v>115</v>
      </c>
    </row>
    <row r="517" spans="1:8">
      <c r="A517" s="37">
        <v>38971.15625</v>
      </c>
      <c r="B517" s="35" t="s">
        <v>654</v>
      </c>
      <c r="C517" s="35" t="s">
        <v>655</v>
      </c>
      <c r="D517" s="39">
        <v>25.466665267944336</v>
      </c>
      <c r="E517" s="39">
        <v>16.076761245727539</v>
      </c>
      <c r="F517" s="41">
        <v>1844647</v>
      </c>
      <c r="G517" s="35" t="s">
        <v>671</v>
      </c>
      <c r="H517" s="35" t="s">
        <v>115</v>
      </c>
    </row>
    <row r="518" spans="1:8">
      <c r="A518" s="37">
        <v>38972.15625</v>
      </c>
      <c r="B518" s="35" t="s">
        <v>654</v>
      </c>
      <c r="C518" s="35" t="s">
        <v>655</v>
      </c>
      <c r="D518" s="39">
        <v>25.393333435058594</v>
      </c>
      <c r="E518" s="39">
        <v>16.030464172363281</v>
      </c>
      <c r="F518" s="41">
        <v>975232</v>
      </c>
      <c r="G518" s="35" t="s">
        <v>671</v>
      </c>
      <c r="H518" s="35" t="s">
        <v>115</v>
      </c>
    </row>
    <row r="519" spans="1:8">
      <c r="A519" s="37">
        <v>38973.15625</v>
      </c>
      <c r="B519" s="35" t="s">
        <v>654</v>
      </c>
      <c r="C519" s="35" t="s">
        <v>655</v>
      </c>
      <c r="D519" s="39">
        <v>25.866666793823242</v>
      </c>
      <c r="E519" s="39">
        <v>16.329275131225586</v>
      </c>
      <c r="F519" s="41">
        <v>726832</v>
      </c>
      <c r="G519" s="35" t="s">
        <v>671</v>
      </c>
      <c r="H519" s="35" t="s">
        <v>115</v>
      </c>
    </row>
    <row r="520" spans="1:8">
      <c r="A520" s="37">
        <v>38974.15625</v>
      </c>
      <c r="B520" s="35" t="s">
        <v>654</v>
      </c>
      <c r="C520" s="35" t="s">
        <v>655</v>
      </c>
      <c r="D520" s="39">
        <v>26.206666946411133</v>
      </c>
      <c r="E520" s="39">
        <v>16.543907165527344</v>
      </c>
      <c r="F520" s="41">
        <v>849277</v>
      </c>
      <c r="G520" s="35" t="s">
        <v>671</v>
      </c>
      <c r="H520" s="35" t="s">
        <v>115</v>
      </c>
    </row>
    <row r="521" spans="1:8">
      <c r="A521" s="37">
        <v>38975.15625</v>
      </c>
      <c r="B521" s="35" t="s">
        <v>654</v>
      </c>
      <c r="C521" s="35" t="s">
        <v>655</v>
      </c>
      <c r="D521" s="39">
        <v>26.079999923706055</v>
      </c>
      <c r="E521" s="39">
        <v>16.463951110839844</v>
      </c>
      <c r="F521" s="41">
        <v>328942</v>
      </c>
      <c r="G521" s="35" t="s">
        <v>671</v>
      </c>
      <c r="H521" s="35" t="s">
        <v>115</v>
      </c>
    </row>
    <row r="522" spans="1:8">
      <c r="A522" s="37">
        <v>38978.15625</v>
      </c>
      <c r="B522" s="35" t="s">
        <v>654</v>
      </c>
      <c r="C522" s="35" t="s">
        <v>655</v>
      </c>
      <c r="D522" s="39">
        <v>25.840000152587891</v>
      </c>
      <c r="E522" s="39">
        <v>16.312444686889648</v>
      </c>
      <c r="F522" s="41">
        <v>616965</v>
      </c>
      <c r="G522" s="35" t="s">
        <v>671</v>
      </c>
      <c r="H522" s="35" t="s">
        <v>115</v>
      </c>
    </row>
    <row r="523" spans="1:8">
      <c r="A523" s="37">
        <v>38979.15625</v>
      </c>
      <c r="B523" s="35" t="s">
        <v>654</v>
      </c>
      <c r="C523" s="35" t="s">
        <v>655</v>
      </c>
      <c r="D523" s="39">
        <v>25.600000381469727</v>
      </c>
      <c r="E523" s="39">
        <v>16.160934448242188</v>
      </c>
      <c r="F523" s="41">
        <v>564900</v>
      </c>
      <c r="G523" s="35" t="s">
        <v>671</v>
      </c>
      <c r="H523" s="35" t="s">
        <v>115</v>
      </c>
    </row>
    <row r="524" spans="1:8">
      <c r="A524" s="37">
        <v>38980.15625</v>
      </c>
      <c r="B524" s="35" t="s">
        <v>654</v>
      </c>
      <c r="C524" s="35" t="s">
        <v>655</v>
      </c>
      <c r="D524" s="39">
        <v>25.333332061767578</v>
      </c>
      <c r="E524" s="39">
        <v>15.992585182189941</v>
      </c>
      <c r="F524" s="41">
        <v>804315</v>
      </c>
      <c r="G524" s="35" t="s">
        <v>671</v>
      </c>
      <c r="H524" s="35" t="s">
        <v>115</v>
      </c>
    </row>
    <row r="525" spans="1:8">
      <c r="A525" s="37">
        <v>38981.15625</v>
      </c>
      <c r="B525" s="35" t="s">
        <v>654</v>
      </c>
      <c r="C525" s="35" t="s">
        <v>655</v>
      </c>
      <c r="D525" s="39">
        <v>25.253332138061523</v>
      </c>
      <c r="E525" s="39">
        <v>15.942081451416016</v>
      </c>
      <c r="F525" s="41">
        <v>527302</v>
      </c>
      <c r="G525" s="35" t="s">
        <v>671</v>
      </c>
      <c r="H525" s="35" t="s">
        <v>115</v>
      </c>
    </row>
    <row r="526" spans="1:8">
      <c r="A526" s="37">
        <v>38982.15625</v>
      </c>
      <c r="B526" s="35" t="s">
        <v>654</v>
      </c>
      <c r="C526" s="35" t="s">
        <v>655</v>
      </c>
      <c r="D526" s="39">
        <v>25.479999542236328</v>
      </c>
      <c r="E526" s="39">
        <v>16.085176467895508</v>
      </c>
      <c r="F526" s="41">
        <v>358935</v>
      </c>
      <c r="G526" s="35" t="s">
        <v>671</v>
      </c>
      <c r="H526" s="35" t="s">
        <v>115</v>
      </c>
    </row>
    <row r="527" spans="1:8">
      <c r="A527" s="37">
        <v>38985.15625</v>
      </c>
      <c r="B527" s="35" t="s">
        <v>654</v>
      </c>
      <c r="C527" s="35" t="s">
        <v>655</v>
      </c>
      <c r="D527" s="39">
        <v>25.286666870117188</v>
      </c>
      <c r="E527" s="39">
        <v>15.963129997253418</v>
      </c>
      <c r="F527" s="41">
        <v>326452</v>
      </c>
      <c r="G527" s="35" t="s">
        <v>671</v>
      </c>
      <c r="H527" s="35" t="s">
        <v>115</v>
      </c>
    </row>
    <row r="528" spans="1:8">
      <c r="A528" s="37">
        <v>38986.15625</v>
      </c>
      <c r="B528" s="35" t="s">
        <v>654</v>
      </c>
      <c r="C528" s="35" t="s">
        <v>655</v>
      </c>
      <c r="D528" s="39">
        <v>25.319999694824219</v>
      </c>
      <c r="E528" s="39">
        <v>15.984169960021973</v>
      </c>
      <c r="F528" s="41">
        <v>388282</v>
      </c>
      <c r="G528" s="35" t="s">
        <v>671</v>
      </c>
      <c r="H528" s="35" t="s">
        <v>115</v>
      </c>
    </row>
    <row r="529" spans="1:8">
      <c r="A529" s="37">
        <v>38987.15625</v>
      </c>
      <c r="B529" s="35" t="s">
        <v>654</v>
      </c>
      <c r="C529" s="35" t="s">
        <v>655</v>
      </c>
      <c r="D529" s="39">
        <v>25.49333381652832</v>
      </c>
      <c r="E529" s="39">
        <v>16.093591690063477</v>
      </c>
      <c r="F529" s="41">
        <v>359490</v>
      </c>
      <c r="G529" s="35" t="s">
        <v>671</v>
      </c>
      <c r="H529" s="35" t="s">
        <v>115</v>
      </c>
    </row>
    <row r="530" spans="1:8">
      <c r="A530" s="37">
        <v>38988.15625</v>
      </c>
      <c r="B530" s="35" t="s">
        <v>654</v>
      </c>
      <c r="C530" s="35" t="s">
        <v>655</v>
      </c>
      <c r="D530" s="39">
        <v>25.106666564941406</v>
      </c>
      <c r="E530" s="39">
        <v>15.849499702453613</v>
      </c>
      <c r="F530" s="41">
        <v>222960</v>
      </c>
      <c r="G530" s="35" t="s">
        <v>671</v>
      </c>
      <c r="H530" s="35" t="s">
        <v>115</v>
      </c>
    </row>
    <row r="531" spans="1:8">
      <c r="A531" s="37">
        <v>38989.15625</v>
      </c>
      <c r="B531" s="35" t="s">
        <v>654</v>
      </c>
      <c r="C531" s="35" t="s">
        <v>655</v>
      </c>
      <c r="D531" s="39">
        <v>24.979999542236328</v>
      </c>
      <c r="E531" s="39">
        <v>15.769532203674316</v>
      </c>
      <c r="F531" s="41">
        <v>419722</v>
      </c>
      <c r="G531" s="35" t="s">
        <v>671</v>
      </c>
      <c r="H531" s="35" t="s">
        <v>115</v>
      </c>
    </row>
    <row r="532" spans="1:8">
      <c r="A532" s="37">
        <v>38993.15625</v>
      </c>
      <c r="B532" s="35" t="s">
        <v>654</v>
      </c>
      <c r="C532" s="35" t="s">
        <v>655</v>
      </c>
      <c r="D532" s="39">
        <v>24.973333358764648</v>
      </c>
      <c r="E532" s="39">
        <v>15.765321731567383</v>
      </c>
      <c r="F532" s="41">
        <v>460432</v>
      </c>
      <c r="G532" s="35" t="s">
        <v>671</v>
      </c>
      <c r="H532" s="35" t="s">
        <v>115</v>
      </c>
    </row>
    <row r="533" spans="1:8">
      <c r="A533" s="37">
        <v>38994.15625</v>
      </c>
      <c r="B533" s="35" t="s">
        <v>654</v>
      </c>
      <c r="C533" s="35" t="s">
        <v>655</v>
      </c>
      <c r="D533" s="39">
        <v>25.013332366943359</v>
      </c>
      <c r="E533" s="39">
        <v>15.79057502746582</v>
      </c>
      <c r="F533" s="41">
        <v>447652</v>
      </c>
      <c r="G533" s="35" t="s">
        <v>671</v>
      </c>
      <c r="H533" s="35" t="s">
        <v>115</v>
      </c>
    </row>
    <row r="534" spans="1:8">
      <c r="A534" s="37">
        <v>38995.15625</v>
      </c>
      <c r="B534" s="35" t="s">
        <v>654</v>
      </c>
      <c r="C534" s="35" t="s">
        <v>655</v>
      </c>
      <c r="D534" s="39">
        <v>24.920000076293945</v>
      </c>
      <c r="E534" s="39">
        <v>15.731651306152344</v>
      </c>
      <c r="F534" s="41">
        <v>832192</v>
      </c>
      <c r="G534" s="35" t="s">
        <v>671</v>
      </c>
      <c r="H534" s="35" t="s">
        <v>115</v>
      </c>
    </row>
    <row r="535" spans="1:8">
      <c r="A535" s="37">
        <v>38996.15625</v>
      </c>
      <c r="B535" s="35" t="s">
        <v>654</v>
      </c>
      <c r="C535" s="35" t="s">
        <v>655</v>
      </c>
      <c r="D535" s="39">
        <v>25.073333740234375</v>
      </c>
      <c r="E535" s="39">
        <v>15.828456878662109</v>
      </c>
      <c r="F535" s="41">
        <v>784680</v>
      </c>
      <c r="G535" s="35" t="s">
        <v>671</v>
      </c>
      <c r="H535" s="35" t="s">
        <v>115</v>
      </c>
    </row>
    <row r="536" spans="1:8">
      <c r="A536" s="37">
        <v>38999.15625</v>
      </c>
      <c r="B536" s="35" t="s">
        <v>654</v>
      </c>
      <c r="C536" s="35" t="s">
        <v>655</v>
      </c>
      <c r="D536" s="39">
        <v>25.559999465942383</v>
      </c>
      <c r="E536" s="39">
        <v>16.13568115234375</v>
      </c>
      <c r="F536" s="41">
        <v>1329165</v>
      </c>
      <c r="G536" s="35" t="s">
        <v>671</v>
      </c>
      <c r="H536" s="35" t="s">
        <v>115</v>
      </c>
    </row>
    <row r="537" spans="1:8">
      <c r="A537" s="37">
        <v>39000.15625</v>
      </c>
      <c r="B537" s="35" t="s">
        <v>654</v>
      </c>
      <c r="C537" s="35" t="s">
        <v>655</v>
      </c>
      <c r="D537" s="39">
        <v>25.446666717529297</v>
      </c>
      <c r="E537" s="39">
        <v>16.06413459777832</v>
      </c>
      <c r="F537" s="41">
        <v>544372</v>
      </c>
      <c r="G537" s="35" t="s">
        <v>671</v>
      </c>
      <c r="H537" s="35" t="s">
        <v>115</v>
      </c>
    </row>
    <row r="538" spans="1:8">
      <c r="A538" s="37">
        <v>39001.15625</v>
      </c>
      <c r="B538" s="35" t="s">
        <v>654</v>
      </c>
      <c r="C538" s="35" t="s">
        <v>655</v>
      </c>
      <c r="D538" s="39">
        <v>25.486665725708008</v>
      </c>
      <c r="E538" s="39">
        <v>16.089382171630859</v>
      </c>
      <c r="F538" s="41">
        <v>442095</v>
      </c>
      <c r="G538" s="35" t="s">
        <v>671</v>
      </c>
      <c r="H538" s="35" t="s">
        <v>115</v>
      </c>
    </row>
    <row r="539" spans="1:8">
      <c r="A539" s="37">
        <v>39002.15625</v>
      </c>
      <c r="B539" s="35" t="s">
        <v>654</v>
      </c>
      <c r="C539" s="35" t="s">
        <v>655</v>
      </c>
      <c r="D539" s="39">
        <v>25.319999694824219</v>
      </c>
      <c r="E539" s="39">
        <v>15.984169960021973</v>
      </c>
      <c r="F539" s="41">
        <v>586080</v>
      </c>
      <c r="G539" s="35" t="s">
        <v>671</v>
      </c>
      <c r="H539" s="35" t="s">
        <v>115</v>
      </c>
    </row>
    <row r="540" spans="1:8">
      <c r="A540" s="37">
        <v>39003.15625</v>
      </c>
      <c r="B540" s="35" t="s">
        <v>654</v>
      </c>
      <c r="C540" s="35" t="s">
        <v>655</v>
      </c>
      <c r="D540" s="39">
        <v>24.966665267944336</v>
      </c>
      <c r="E540" s="39">
        <v>15.761116981506348</v>
      </c>
      <c r="F540" s="41">
        <v>526290</v>
      </c>
      <c r="G540" s="35" t="s">
        <v>671</v>
      </c>
      <c r="H540" s="35" t="s">
        <v>115</v>
      </c>
    </row>
    <row r="541" spans="1:8">
      <c r="A541" s="37">
        <v>39006.15625</v>
      </c>
      <c r="B541" s="35" t="s">
        <v>654</v>
      </c>
      <c r="C541" s="35" t="s">
        <v>655</v>
      </c>
      <c r="D541" s="39">
        <v>25.133333206176758</v>
      </c>
      <c r="E541" s="39">
        <v>15.866330146789551</v>
      </c>
      <c r="F541" s="41">
        <v>1072552</v>
      </c>
      <c r="G541" s="35" t="s">
        <v>671</v>
      </c>
      <c r="H541" s="35" t="s">
        <v>115</v>
      </c>
    </row>
    <row r="542" spans="1:8">
      <c r="A542" s="37">
        <v>39007.15625</v>
      </c>
      <c r="B542" s="35" t="s">
        <v>654</v>
      </c>
      <c r="C542" s="35" t="s">
        <v>655</v>
      </c>
      <c r="D542" s="39">
        <v>25.093332290649414</v>
      </c>
      <c r="E542" s="39">
        <v>15.84107780456543</v>
      </c>
      <c r="F542" s="41">
        <v>361650</v>
      </c>
      <c r="G542" s="35" t="s">
        <v>671</v>
      </c>
      <c r="H542" s="35" t="s">
        <v>115</v>
      </c>
    </row>
    <row r="543" spans="1:8">
      <c r="A543" s="37">
        <v>39008.15625</v>
      </c>
      <c r="B543" s="35" t="s">
        <v>654</v>
      </c>
      <c r="C543" s="35" t="s">
        <v>655</v>
      </c>
      <c r="D543" s="39">
        <v>25.113332748413086</v>
      </c>
      <c r="E543" s="39">
        <v>15.853701591491699</v>
      </c>
      <c r="F543" s="41">
        <v>523507</v>
      </c>
      <c r="G543" s="35" t="s">
        <v>671</v>
      </c>
      <c r="H543" s="35" t="s">
        <v>115</v>
      </c>
    </row>
    <row r="544" spans="1:8">
      <c r="A544" s="37">
        <v>39009.15625</v>
      </c>
      <c r="B544" s="35" t="s">
        <v>654</v>
      </c>
      <c r="C544" s="35" t="s">
        <v>655</v>
      </c>
      <c r="D544" s="39">
        <v>24.633333206176758</v>
      </c>
      <c r="E544" s="39">
        <v>15.550684928894043</v>
      </c>
      <c r="F544" s="41">
        <v>493065</v>
      </c>
      <c r="G544" s="35" t="s">
        <v>671</v>
      </c>
      <c r="H544" s="35" t="s">
        <v>115</v>
      </c>
    </row>
    <row r="545" spans="1:8">
      <c r="A545" s="37">
        <v>39010.15625</v>
      </c>
      <c r="B545" s="35" t="s">
        <v>654</v>
      </c>
      <c r="C545" s="35" t="s">
        <v>655</v>
      </c>
      <c r="D545" s="39">
        <v>27.513332366943359</v>
      </c>
      <c r="E545" s="39">
        <v>17.368791580200195</v>
      </c>
      <c r="F545" s="41">
        <v>7675582</v>
      </c>
      <c r="G545" s="35" t="s">
        <v>671</v>
      </c>
      <c r="H545" s="35" t="s">
        <v>115</v>
      </c>
    </row>
    <row r="546" spans="1:8">
      <c r="A546" s="37">
        <v>39013.15625</v>
      </c>
      <c r="B546" s="35" t="s">
        <v>654</v>
      </c>
      <c r="C546" s="35" t="s">
        <v>655</v>
      </c>
      <c r="D546" s="39">
        <v>30.360000610351563</v>
      </c>
      <c r="E546" s="39">
        <v>19.165855407714844</v>
      </c>
      <c r="F546" s="41">
        <v>10817197</v>
      </c>
      <c r="G546" s="35" t="s">
        <v>671</v>
      </c>
      <c r="H546" s="35" t="s">
        <v>115</v>
      </c>
    </row>
    <row r="547" spans="1:8">
      <c r="A547" s="37">
        <v>39016.15625</v>
      </c>
      <c r="B547" s="35" t="s">
        <v>654</v>
      </c>
      <c r="C547" s="35" t="s">
        <v>655</v>
      </c>
      <c r="D547" s="39">
        <v>31.260000228881836</v>
      </c>
      <c r="E547" s="39">
        <v>19.734012603759766</v>
      </c>
      <c r="F547" s="41">
        <v>5690917</v>
      </c>
      <c r="G547" s="35" t="s">
        <v>671</v>
      </c>
      <c r="H547" s="35" t="s">
        <v>115</v>
      </c>
    </row>
    <row r="548" spans="1:8">
      <c r="A548" s="37">
        <v>39017.15625</v>
      </c>
      <c r="B548" s="35" t="s">
        <v>654</v>
      </c>
      <c r="C548" s="35" t="s">
        <v>655</v>
      </c>
      <c r="D548" s="39">
        <v>31.379999160766602</v>
      </c>
      <c r="E548" s="39">
        <v>19.809768676757813</v>
      </c>
      <c r="F548" s="41">
        <v>2426872</v>
      </c>
      <c r="G548" s="35" t="s">
        <v>671</v>
      </c>
      <c r="H548" s="35" t="s">
        <v>115</v>
      </c>
    </row>
    <row r="549" spans="1:8">
      <c r="A549" s="37">
        <v>39020.15625</v>
      </c>
      <c r="B549" s="35" t="s">
        <v>654</v>
      </c>
      <c r="C549" s="35" t="s">
        <v>655</v>
      </c>
      <c r="D549" s="39">
        <v>33.926666259765625</v>
      </c>
      <c r="E549" s="39">
        <v>21.417442321777344</v>
      </c>
      <c r="F549" s="41">
        <v>8707447</v>
      </c>
      <c r="G549" s="35" t="s">
        <v>671</v>
      </c>
      <c r="H549" s="35" t="s">
        <v>115</v>
      </c>
    </row>
    <row r="550" spans="1:8">
      <c r="A550" s="37">
        <v>39021.15625</v>
      </c>
      <c r="B550" s="35" t="s">
        <v>654</v>
      </c>
      <c r="C550" s="35" t="s">
        <v>655</v>
      </c>
      <c r="D550" s="39">
        <v>32.5</v>
      </c>
      <c r="E550" s="39">
        <v>20.516807556152344</v>
      </c>
      <c r="F550" s="41">
        <v>3263947</v>
      </c>
      <c r="G550" s="35" t="s">
        <v>671</v>
      </c>
      <c r="H550" s="35" t="s">
        <v>115</v>
      </c>
    </row>
    <row r="551" spans="1:8">
      <c r="A551" s="37">
        <v>39022.15625</v>
      </c>
      <c r="B551" s="35" t="s">
        <v>654</v>
      </c>
      <c r="C551" s="35" t="s">
        <v>655</v>
      </c>
      <c r="D551" s="39">
        <v>34.066665649414063</v>
      </c>
      <c r="E551" s="39">
        <v>21.505819320678711</v>
      </c>
      <c r="F551" s="41">
        <v>5256907</v>
      </c>
      <c r="G551" s="35" t="s">
        <v>671</v>
      </c>
      <c r="H551" s="35" t="s">
        <v>115</v>
      </c>
    </row>
    <row r="552" spans="1:8">
      <c r="A552" s="37">
        <v>39023.15625</v>
      </c>
      <c r="B552" s="35" t="s">
        <v>654</v>
      </c>
      <c r="C552" s="35" t="s">
        <v>655</v>
      </c>
      <c r="D552" s="39">
        <v>33.880001068115234</v>
      </c>
      <c r="E552" s="39">
        <v>21.387985229492188</v>
      </c>
      <c r="F552" s="41">
        <v>2528850</v>
      </c>
      <c r="G552" s="35" t="s">
        <v>671</v>
      </c>
      <c r="H552" s="35" t="s">
        <v>115</v>
      </c>
    </row>
    <row r="553" spans="1:8">
      <c r="A553" s="37">
        <v>39024.15625</v>
      </c>
      <c r="B553" s="35" t="s">
        <v>654</v>
      </c>
      <c r="C553" s="35" t="s">
        <v>655</v>
      </c>
      <c r="D553" s="39">
        <v>32.373332977294922</v>
      </c>
      <c r="E553" s="39">
        <v>20.436845779418945</v>
      </c>
      <c r="F553" s="41">
        <v>1424992</v>
      </c>
      <c r="G553" s="35" t="s">
        <v>671</v>
      </c>
      <c r="H553" s="35" t="s">
        <v>115</v>
      </c>
    </row>
    <row r="554" spans="1:8">
      <c r="A554" s="37">
        <v>39027.15625</v>
      </c>
      <c r="B554" s="35" t="s">
        <v>654</v>
      </c>
      <c r="C554" s="35" t="s">
        <v>655</v>
      </c>
      <c r="D554" s="39">
        <v>32.846664428710938</v>
      </c>
      <c r="E554" s="39">
        <v>20.735651016235352</v>
      </c>
      <c r="F554" s="41">
        <v>868395</v>
      </c>
      <c r="G554" s="35" t="s">
        <v>671</v>
      </c>
      <c r="H554" s="35" t="s">
        <v>115</v>
      </c>
    </row>
    <row r="555" spans="1:8">
      <c r="A555" s="37">
        <v>39028.15625</v>
      </c>
      <c r="B555" s="35" t="s">
        <v>654</v>
      </c>
      <c r="C555" s="35" t="s">
        <v>655</v>
      </c>
      <c r="D555" s="39">
        <v>33.606666564941406</v>
      </c>
      <c r="E555" s="39">
        <v>21.215427398681641</v>
      </c>
      <c r="F555" s="41">
        <v>2248747</v>
      </c>
      <c r="G555" s="35" t="s">
        <v>671</v>
      </c>
      <c r="H555" s="35" t="s">
        <v>115</v>
      </c>
    </row>
    <row r="556" spans="1:8">
      <c r="A556" s="37">
        <v>39029.15625</v>
      </c>
      <c r="B556" s="35" t="s">
        <v>654</v>
      </c>
      <c r="C556" s="35" t="s">
        <v>655</v>
      </c>
      <c r="D556" s="39">
        <v>32.993331909179688</v>
      </c>
      <c r="E556" s="39">
        <v>20.828241348266602</v>
      </c>
      <c r="F556" s="41">
        <v>1283842</v>
      </c>
      <c r="G556" s="35" t="s">
        <v>671</v>
      </c>
      <c r="H556" s="35" t="s">
        <v>115</v>
      </c>
    </row>
    <row r="557" spans="1:8">
      <c r="A557" s="37">
        <v>39030.15625</v>
      </c>
      <c r="B557" s="35" t="s">
        <v>654</v>
      </c>
      <c r="C557" s="35" t="s">
        <v>655</v>
      </c>
      <c r="D557" s="39">
        <v>36.093334197998047</v>
      </c>
      <c r="E557" s="39">
        <v>22.785226821899414</v>
      </c>
      <c r="F557" s="41">
        <v>8790315</v>
      </c>
      <c r="G557" s="35" t="s">
        <v>671</v>
      </c>
      <c r="H557" s="35" t="s">
        <v>115</v>
      </c>
    </row>
    <row r="558" spans="1:8">
      <c r="A558" s="37">
        <v>39031.15625</v>
      </c>
      <c r="B558" s="35" t="s">
        <v>654</v>
      </c>
      <c r="C558" s="35" t="s">
        <v>655</v>
      </c>
      <c r="D558" s="39">
        <v>36.580001831054688</v>
      </c>
      <c r="E558" s="39">
        <v>23.092456817626953</v>
      </c>
      <c r="F558" s="41">
        <v>6247072</v>
      </c>
      <c r="G558" s="35" t="s">
        <v>671</v>
      </c>
      <c r="H558" s="35" t="s">
        <v>115</v>
      </c>
    </row>
    <row r="559" spans="1:8">
      <c r="A559" s="37">
        <v>39034.15625</v>
      </c>
      <c r="B559" s="35" t="s">
        <v>654</v>
      </c>
      <c r="C559" s="35" t="s">
        <v>655</v>
      </c>
      <c r="D559" s="39">
        <v>35.713333129882813</v>
      </c>
      <c r="E559" s="39">
        <v>22.54533576965332</v>
      </c>
      <c r="F559" s="41">
        <v>1899480</v>
      </c>
      <c r="G559" s="35" t="s">
        <v>671</v>
      </c>
      <c r="H559" s="35" t="s">
        <v>115</v>
      </c>
    </row>
    <row r="560" spans="1:8">
      <c r="A560" s="37">
        <v>39035.15625</v>
      </c>
      <c r="B560" s="35" t="s">
        <v>654</v>
      </c>
      <c r="C560" s="35" t="s">
        <v>655</v>
      </c>
      <c r="D560" s="39">
        <v>36.953334808349609</v>
      </c>
      <c r="E560" s="39">
        <v>23.328134536743164</v>
      </c>
      <c r="F560" s="41">
        <v>4948425</v>
      </c>
      <c r="G560" s="35" t="s">
        <v>671</v>
      </c>
      <c r="H560" s="35" t="s">
        <v>115</v>
      </c>
    </row>
    <row r="561" spans="1:8">
      <c r="A561" s="37">
        <v>39036.15625</v>
      </c>
      <c r="B561" s="35" t="s">
        <v>654</v>
      </c>
      <c r="C561" s="35" t="s">
        <v>655</v>
      </c>
      <c r="D561" s="39">
        <v>36.060001373291016</v>
      </c>
      <c r="E561" s="39">
        <v>22.764184951782227</v>
      </c>
      <c r="F561" s="41">
        <v>2081745</v>
      </c>
      <c r="G561" s="35" t="s">
        <v>671</v>
      </c>
      <c r="H561" s="35" t="s">
        <v>115</v>
      </c>
    </row>
    <row r="562" spans="1:8">
      <c r="A562" s="37">
        <v>39037.15625</v>
      </c>
      <c r="B562" s="35" t="s">
        <v>654</v>
      </c>
      <c r="C562" s="35" t="s">
        <v>655</v>
      </c>
      <c r="D562" s="39">
        <v>35.840000152587891</v>
      </c>
      <c r="E562" s="39">
        <v>22.625299453735352</v>
      </c>
      <c r="F562" s="41">
        <v>1076205</v>
      </c>
      <c r="G562" s="35" t="s">
        <v>671</v>
      </c>
      <c r="H562" s="35" t="s">
        <v>115</v>
      </c>
    </row>
    <row r="563" spans="1:8">
      <c r="A563" s="37">
        <v>39038.15625</v>
      </c>
      <c r="B563" s="35" t="s">
        <v>654</v>
      </c>
      <c r="C563" s="35" t="s">
        <v>655</v>
      </c>
      <c r="D563" s="39">
        <v>35.093334197998047</v>
      </c>
      <c r="E563" s="39">
        <v>22.153940200805664</v>
      </c>
      <c r="F563" s="41">
        <v>1186410</v>
      </c>
      <c r="G563" s="35" t="s">
        <v>671</v>
      </c>
      <c r="H563" s="35" t="s">
        <v>115</v>
      </c>
    </row>
    <row r="564" spans="1:8">
      <c r="A564" s="37">
        <v>39041.15625</v>
      </c>
      <c r="B564" s="35" t="s">
        <v>654</v>
      </c>
      <c r="C564" s="35" t="s">
        <v>655</v>
      </c>
      <c r="D564" s="39">
        <v>35.266666412353516</v>
      </c>
      <c r="E564" s="39">
        <v>22.263368606567383</v>
      </c>
      <c r="F564" s="41">
        <v>1112115</v>
      </c>
      <c r="G564" s="35" t="s">
        <v>671</v>
      </c>
      <c r="H564" s="35" t="s">
        <v>115</v>
      </c>
    </row>
    <row r="565" spans="1:8">
      <c r="A565" s="37">
        <v>39042.15625</v>
      </c>
      <c r="B565" s="35" t="s">
        <v>654</v>
      </c>
      <c r="C565" s="35" t="s">
        <v>655</v>
      </c>
      <c r="D565" s="39">
        <v>34.726665496826172</v>
      </c>
      <c r="E565" s="39">
        <v>21.922473907470703</v>
      </c>
      <c r="F565" s="41">
        <v>1287172</v>
      </c>
      <c r="G565" s="35" t="s">
        <v>671</v>
      </c>
      <c r="H565" s="35" t="s">
        <v>115</v>
      </c>
    </row>
    <row r="566" spans="1:8">
      <c r="A566" s="37">
        <v>39043.15625</v>
      </c>
      <c r="B566" s="35" t="s">
        <v>654</v>
      </c>
      <c r="C566" s="35" t="s">
        <v>655</v>
      </c>
      <c r="D566" s="39">
        <v>34.713333129882813</v>
      </c>
      <c r="E566" s="39">
        <v>21.914058685302734</v>
      </c>
      <c r="F566" s="41">
        <v>1303657</v>
      </c>
      <c r="G566" s="35" t="s">
        <v>671</v>
      </c>
      <c r="H566" s="35" t="s">
        <v>115</v>
      </c>
    </row>
    <row r="567" spans="1:8">
      <c r="A567" s="37">
        <v>39044.15625</v>
      </c>
      <c r="B567" s="35" t="s">
        <v>654</v>
      </c>
      <c r="C567" s="35" t="s">
        <v>655</v>
      </c>
      <c r="D567" s="39">
        <v>35.986667633056641</v>
      </c>
      <c r="E567" s="39">
        <v>22.717887878417969</v>
      </c>
      <c r="F567" s="41">
        <v>2132730</v>
      </c>
      <c r="G567" s="35" t="s">
        <v>671</v>
      </c>
      <c r="H567" s="35" t="s">
        <v>115</v>
      </c>
    </row>
    <row r="568" spans="1:8">
      <c r="A568" s="37">
        <v>39045.15625</v>
      </c>
      <c r="B568" s="35" t="s">
        <v>654</v>
      </c>
      <c r="C568" s="35" t="s">
        <v>655</v>
      </c>
      <c r="D568" s="39">
        <v>36.14666748046875</v>
      </c>
      <c r="E568" s="39">
        <v>22.818893432617188</v>
      </c>
      <c r="F568" s="41">
        <v>2244540</v>
      </c>
      <c r="G568" s="35" t="s">
        <v>671</v>
      </c>
      <c r="H568" s="35" t="s">
        <v>115</v>
      </c>
    </row>
    <row r="569" spans="1:8">
      <c r="A569" s="37">
        <v>39048.15625</v>
      </c>
      <c r="B569" s="35" t="s">
        <v>654</v>
      </c>
      <c r="C569" s="35" t="s">
        <v>655</v>
      </c>
      <c r="D569" s="39">
        <v>35.686664581298828</v>
      </c>
      <c r="E569" s="39">
        <v>22.52850341796875</v>
      </c>
      <c r="F569" s="41">
        <v>526770</v>
      </c>
      <c r="G569" s="35" t="s">
        <v>671</v>
      </c>
      <c r="H569" s="35" t="s">
        <v>115</v>
      </c>
    </row>
    <row r="570" spans="1:8">
      <c r="A570" s="37">
        <v>39049.15625</v>
      </c>
      <c r="B570" s="35" t="s">
        <v>654</v>
      </c>
      <c r="C570" s="35" t="s">
        <v>655</v>
      </c>
      <c r="D570" s="39">
        <v>35.153331756591797</v>
      </c>
      <c r="E570" s="39">
        <v>22.191818237304688</v>
      </c>
      <c r="F570" s="41">
        <v>491010</v>
      </c>
      <c r="G570" s="35" t="s">
        <v>671</v>
      </c>
      <c r="H570" s="35" t="s">
        <v>115</v>
      </c>
    </row>
    <row r="571" spans="1:8">
      <c r="A571" s="37">
        <v>39050.15625</v>
      </c>
      <c r="B571" s="35" t="s">
        <v>654</v>
      </c>
      <c r="C571" s="35" t="s">
        <v>655</v>
      </c>
      <c r="D571" s="39">
        <v>34.479999542236328</v>
      </c>
      <c r="E571" s="39">
        <v>21.766750335693359</v>
      </c>
      <c r="F571" s="41">
        <v>1445745</v>
      </c>
      <c r="G571" s="35" t="s">
        <v>671</v>
      </c>
      <c r="H571" s="35" t="s">
        <v>115</v>
      </c>
    </row>
    <row r="572" spans="1:8">
      <c r="A572" s="37">
        <v>39051.15625</v>
      </c>
      <c r="B572" s="35" t="s">
        <v>654</v>
      </c>
      <c r="C572" s="35" t="s">
        <v>655</v>
      </c>
      <c r="D572" s="39">
        <v>34.659999847412109</v>
      </c>
      <c r="E572" s="39">
        <v>21.880388259887695</v>
      </c>
      <c r="F572" s="41">
        <v>604605</v>
      </c>
      <c r="G572" s="35" t="s">
        <v>671</v>
      </c>
      <c r="H572" s="35" t="s">
        <v>115</v>
      </c>
    </row>
    <row r="573" spans="1:8">
      <c r="A573" s="37">
        <v>39052.15625</v>
      </c>
      <c r="B573" s="35" t="s">
        <v>654</v>
      </c>
      <c r="C573" s="35" t="s">
        <v>655</v>
      </c>
      <c r="D573" s="39">
        <v>35.693332672119141</v>
      </c>
      <c r="E573" s="39">
        <v>22.532709121704102</v>
      </c>
      <c r="F573" s="41">
        <v>958987</v>
      </c>
      <c r="G573" s="35" t="s">
        <v>671</v>
      </c>
      <c r="H573" s="35" t="s">
        <v>115</v>
      </c>
    </row>
    <row r="574" spans="1:8">
      <c r="A574" s="37">
        <v>39055.15625</v>
      </c>
      <c r="B574" s="35" t="s">
        <v>654</v>
      </c>
      <c r="C574" s="35" t="s">
        <v>655</v>
      </c>
      <c r="D574" s="39">
        <v>36.153331756591797</v>
      </c>
      <c r="E574" s="39">
        <v>22.823101043701172</v>
      </c>
      <c r="F574" s="41">
        <v>1814700</v>
      </c>
      <c r="G574" s="35" t="s">
        <v>671</v>
      </c>
      <c r="H574" s="35" t="s">
        <v>115</v>
      </c>
    </row>
    <row r="575" spans="1:8">
      <c r="A575" s="37">
        <v>39056.15625</v>
      </c>
      <c r="B575" s="35" t="s">
        <v>654</v>
      </c>
      <c r="C575" s="35" t="s">
        <v>655</v>
      </c>
      <c r="D575" s="39">
        <v>36.279998779296875</v>
      </c>
      <c r="E575" s="39">
        <v>22.903072357177734</v>
      </c>
      <c r="F575" s="41">
        <v>1491915</v>
      </c>
      <c r="G575" s="35" t="s">
        <v>671</v>
      </c>
      <c r="H575" s="35" t="s">
        <v>115</v>
      </c>
    </row>
    <row r="576" spans="1:8">
      <c r="A576" s="37">
        <v>39057.15625</v>
      </c>
      <c r="B576" s="35" t="s">
        <v>654</v>
      </c>
      <c r="C576" s="35" t="s">
        <v>655</v>
      </c>
      <c r="D576" s="39">
        <v>35.233333587646484</v>
      </c>
      <c r="E576" s="39">
        <v>22.242326736450195</v>
      </c>
      <c r="F576" s="41">
        <v>908152</v>
      </c>
      <c r="G576" s="35" t="s">
        <v>671</v>
      </c>
      <c r="H576" s="35" t="s">
        <v>115</v>
      </c>
    </row>
    <row r="577" spans="1:8">
      <c r="A577" s="37">
        <v>39058.15625</v>
      </c>
      <c r="B577" s="35" t="s">
        <v>654</v>
      </c>
      <c r="C577" s="35" t="s">
        <v>655</v>
      </c>
      <c r="D577" s="39">
        <v>34.979999542236328</v>
      </c>
      <c r="E577" s="39">
        <v>22.082395553588867</v>
      </c>
      <c r="F577" s="41">
        <v>527827</v>
      </c>
      <c r="G577" s="35" t="s">
        <v>671</v>
      </c>
      <c r="H577" s="35" t="s">
        <v>115</v>
      </c>
    </row>
    <row r="578" spans="1:8">
      <c r="A578" s="37">
        <v>39059.15625</v>
      </c>
      <c r="B578" s="35" t="s">
        <v>654</v>
      </c>
      <c r="C578" s="35" t="s">
        <v>655</v>
      </c>
      <c r="D578" s="39">
        <v>34.573333740234375</v>
      </c>
      <c r="E578" s="39">
        <v>21.825677871704102</v>
      </c>
      <c r="F578" s="41">
        <v>689910</v>
      </c>
      <c r="G578" s="35" t="s">
        <v>671</v>
      </c>
      <c r="H578" s="35" t="s">
        <v>115</v>
      </c>
    </row>
    <row r="579" spans="1:8">
      <c r="A579" s="37">
        <v>39062.15625</v>
      </c>
      <c r="B579" s="35" t="s">
        <v>654</v>
      </c>
      <c r="C579" s="35" t="s">
        <v>655</v>
      </c>
      <c r="D579" s="39">
        <v>34.099998474121094</v>
      </c>
      <c r="E579" s="39">
        <v>21.526866912841797</v>
      </c>
      <c r="F579" s="41">
        <v>730650</v>
      </c>
      <c r="G579" s="35" t="s">
        <v>671</v>
      </c>
      <c r="H579" s="35" t="s">
        <v>115</v>
      </c>
    </row>
    <row r="580" spans="1:8">
      <c r="A580" s="37">
        <v>39063.15625</v>
      </c>
      <c r="B580" s="35" t="s">
        <v>654</v>
      </c>
      <c r="C580" s="35" t="s">
        <v>655</v>
      </c>
      <c r="D580" s="39">
        <v>32.813331604003906</v>
      </c>
      <c r="E580" s="39">
        <v>20.714609146118164</v>
      </c>
      <c r="F580" s="41">
        <v>848985</v>
      </c>
      <c r="G580" s="35" t="s">
        <v>671</v>
      </c>
      <c r="H580" s="35" t="s">
        <v>115</v>
      </c>
    </row>
    <row r="581" spans="1:8">
      <c r="A581" s="37">
        <v>39064.15625</v>
      </c>
      <c r="B581" s="35" t="s">
        <v>654</v>
      </c>
      <c r="C581" s="35" t="s">
        <v>655</v>
      </c>
      <c r="D581" s="39">
        <v>33.373332977294922</v>
      </c>
      <c r="E581" s="39">
        <v>21.068126678466797</v>
      </c>
      <c r="F581" s="41">
        <v>429562</v>
      </c>
      <c r="G581" s="35" t="s">
        <v>671</v>
      </c>
      <c r="H581" s="35" t="s">
        <v>115</v>
      </c>
    </row>
    <row r="582" spans="1:8">
      <c r="A582" s="37">
        <v>39065.15625</v>
      </c>
      <c r="B582" s="35" t="s">
        <v>654</v>
      </c>
      <c r="C582" s="35" t="s">
        <v>655</v>
      </c>
      <c r="D582" s="39">
        <v>34.7066650390625</v>
      </c>
      <c r="E582" s="39">
        <v>21.909845352172852</v>
      </c>
      <c r="F582" s="41">
        <v>601815</v>
      </c>
      <c r="G582" s="35" t="s">
        <v>671</v>
      </c>
      <c r="H582" s="35" t="s">
        <v>115</v>
      </c>
    </row>
    <row r="583" spans="1:8">
      <c r="A583" s="37">
        <v>39066.15625</v>
      </c>
      <c r="B583" s="35" t="s">
        <v>654</v>
      </c>
      <c r="C583" s="35" t="s">
        <v>655</v>
      </c>
      <c r="D583" s="39">
        <v>34.979999542236328</v>
      </c>
      <c r="E583" s="39">
        <v>22.082395553588867</v>
      </c>
      <c r="F583" s="41">
        <v>265500</v>
      </c>
      <c r="G583" s="35" t="s">
        <v>671</v>
      </c>
      <c r="H583" s="35" t="s">
        <v>115</v>
      </c>
    </row>
    <row r="584" spans="1:8">
      <c r="A584" s="37">
        <v>39069.15625</v>
      </c>
      <c r="B584" s="35" t="s">
        <v>654</v>
      </c>
      <c r="C584" s="35" t="s">
        <v>655</v>
      </c>
      <c r="D584" s="39">
        <v>35.700000762939453</v>
      </c>
      <c r="E584" s="39">
        <v>22.536930084228516</v>
      </c>
      <c r="F584" s="41">
        <v>802800</v>
      </c>
      <c r="G584" s="35" t="s">
        <v>671</v>
      </c>
      <c r="H584" s="35" t="s">
        <v>115</v>
      </c>
    </row>
    <row r="585" spans="1:8">
      <c r="A585" s="37">
        <v>39070.15625</v>
      </c>
      <c r="B585" s="35" t="s">
        <v>654</v>
      </c>
      <c r="C585" s="35" t="s">
        <v>655</v>
      </c>
      <c r="D585" s="39">
        <v>34.645999908447266</v>
      </c>
      <c r="E585" s="39">
        <v>21.871545791625977</v>
      </c>
      <c r="F585" s="41">
        <v>513810</v>
      </c>
      <c r="G585" s="35" t="s">
        <v>671</v>
      </c>
      <c r="H585" s="35" t="s">
        <v>115</v>
      </c>
    </row>
    <row r="586" spans="1:8">
      <c r="A586" s="37">
        <v>39071.15625</v>
      </c>
      <c r="B586" s="35" t="s">
        <v>654</v>
      </c>
      <c r="C586" s="35" t="s">
        <v>655</v>
      </c>
      <c r="D586" s="39">
        <v>34.734001159667969</v>
      </c>
      <c r="E586" s="39">
        <v>21.927101135253906</v>
      </c>
      <c r="F586" s="41">
        <v>1258350</v>
      </c>
      <c r="G586" s="35" t="s">
        <v>671</v>
      </c>
      <c r="H586" s="35" t="s">
        <v>115</v>
      </c>
    </row>
    <row r="587" spans="1:8">
      <c r="A587" s="37">
        <v>39072.15625</v>
      </c>
      <c r="B587" s="35" t="s">
        <v>654</v>
      </c>
      <c r="C587" s="35" t="s">
        <v>655</v>
      </c>
      <c r="D587" s="39">
        <v>36.546001434326172</v>
      </c>
      <c r="E587" s="39">
        <v>23.070993423461914</v>
      </c>
      <c r="F587" s="41">
        <v>2492317</v>
      </c>
      <c r="G587" s="35" t="s">
        <v>671</v>
      </c>
      <c r="H587" s="35" t="s">
        <v>115</v>
      </c>
    </row>
    <row r="588" spans="1:8">
      <c r="A588" s="37">
        <v>39073.15625</v>
      </c>
      <c r="B588" s="35" t="s">
        <v>654</v>
      </c>
      <c r="C588" s="35" t="s">
        <v>655</v>
      </c>
      <c r="D588" s="39">
        <v>37.520000457763672</v>
      </c>
      <c r="E588" s="39">
        <v>23.68586540222168</v>
      </c>
      <c r="F588" s="41">
        <v>4524510</v>
      </c>
      <c r="G588" s="35" t="s">
        <v>671</v>
      </c>
      <c r="H588" s="35" t="s">
        <v>115</v>
      </c>
    </row>
    <row r="589" spans="1:8">
      <c r="A589" s="37">
        <v>39077.15625</v>
      </c>
      <c r="B589" s="35" t="s">
        <v>654</v>
      </c>
      <c r="C589" s="35" t="s">
        <v>655</v>
      </c>
      <c r="D589" s="39">
        <v>38.793998718261719</v>
      </c>
      <c r="E589" s="39">
        <v>24.49012565612793</v>
      </c>
      <c r="F589" s="41">
        <v>3465082</v>
      </c>
      <c r="G589" s="35" t="s">
        <v>671</v>
      </c>
      <c r="H589" s="35" t="s">
        <v>115</v>
      </c>
    </row>
    <row r="590" spans="1:8">
      <c r="A590" s="37">
        <v>39078.15625</v>
      </c>
      <c r="B590" s="35" t="s">
        <v>654</v>
      </c>
      <c r="C590" s="35" t="s">
        <v>655</v>
      </c>
      <c r="D590" s="39">
        <v>39.459999084472656</v>
      </c>
      <c r="E590" s="39">
        <v>24.910562515258789</v>
      </c>
      <c r="F590" s="41">
        <v>4441245</v>
      </c>
      <c r="G590" s="35" t="s">
        <v>671</v>
      </c>
      <c r="H590" s="35" t="s">
        <v>115</v>
      </c>
    </row>
    <row r="591" spans="1:8">
      <c r="A591" s="37">
        <v>39079.15625</v>
      </c>
      <c r="B591" s="35" t="s">
        <v>654</v>
      </c>
      <c r="C591" s="35" t="s">
        <v>655</v>
      </c>
      <c r="D591" s="39">
        <v>39.326000213623047</v>
      </c>
      <c r="E591" s="39">
        <v>24.825962066650391</v>
      </c>
      <c r="F591" s="41">
        <v>2180827</v>
      </c>
      <c r="G591" s="35" t="s">
        <v>671</v>
      </c>
      <c r="H591" s="35" t="s">
        <v>115</v>
      </c>
    </row>
    <row r="592" spans="1:8">
      <c r="A592" s="37">
        <v>39080.15625</v>
      </c>
      <c r="B592" s="35" t="s">
        <v>654</v>
      </c>
      <c r="C592" s="35" t="s">
        <v>655</v>
      </c>
      <c r="D592" s="39">
        <v>40.754001617431641</v>
      </c>
      <c r="E592" s="39">
        <v>25.727445602416992</v>
      </c>
      <c r="F592" s="41">
        <v>3131295</v>
      </c>
      <c r="G592" s="35" t="s">
        <v>671</v>
      </c>
      <c r="H592" s="35" t="s">
        <v>115</v>
      </c>
    </row>
    <row r="593" spans="1:8">
      <c r="A593" s="37">
        <v>39084.15625</v>
      </c>
      <c r="B593" s="35" t="s">
        <v>654</v>
      </c>
      <c r="C593" s="35" t="s">
        <v>655</v>
      </c>
      <c r="D593" s="39">
        <v>41.580001831054688</v>
      </c>
      <c r="E593" s="39">
        <v>26.248886108398438</v>
      </c>
      <c r="F593" s="41">
        <v>1854180</v>
      </c>
      <c r="G593" s="35" t="s">
        <v>671</v>
      </c>
      <c r="H593" s="35" t="s">
        <v>115</v>
      </c>
    </row>
    <row r="594" spans="1:8">
      <c r="A594" s="37">
        <v>39085.15625</v>
      </c>
      <c r="B594" s="35" t="s">
        <v>654</v>
      </c>
      <c r="C594" s="35" t="s">
        <v>655</v>
      </c>
      <c r="D594" s="39">
        <v>41.319999694824219</v>
      </c>
      <c r="E594" s="39">
        <v>26.084753036499023</v>
      </c>
      <c r="F594" s="41">
        <v>1643715</v>
      </c>
      <c r="G594" s="35" t="s">
        <v>671</v>
      </c>
      <c r="H594" s="35" t="s">
        <v>115</v>
      </c>
    </row>
    <row r="595" spans="1:8">
      <c r="A595" s="37">
        <v>39086.15625</v>
      </c>
      <c r="B595" s="35" t="s">
        <v>654</v>
      </c>
      <c r="C595" s="35" t="s">
        <v>655</v>
      </c>
      <c r="D595" s="39">
        <v>40.953998565673828</v>
      </c>
      <c r="E595" s="39">
        <v>25.853700637817383</v>
      </c>
      <c r="F595" s="41">
        <v>938715</v>
      </c>
      <c r="G595" s="35" t="s">
        <v>671</v>
      </c>
      <c r="H595" s="35" t="s">
        <v>115</v>
      </c>
    </row>
    <row r="596" spans="1:8">
      <c r="A596" s="37">
        <v>39087.15625</v>
      </c>
      <c r="B596" s="35" t="s">
        <v>654</v>
      </c>
      <c r="C596" s="35" t="s">
        <v>655</v>
      </c>
      <c r="D596" s="39">
        <v>41</v>
      </c>
      <c r="E596" s="39">
        <v>25.882734298706055</v>
      </c>
      <c r="F596" s="41">
        <v>954112</v>
      </c>
      <c r="G596" s="35" t="s">
        <v>671</v>
      </c>
      <c r="H596" s="35" t="s">
        <v>115</v>
      </c>
    </row>
    <row r="597" spans="1:8">
      <c r="A597" s="37">
        <v>39090.15625</v>
      </c>
      <c r="B597" s="35" t="s">
        <v>654</v>
      </c>
      <c r="C597" s="35" t="s">
        <v>655</v>
      </c>
      <c r="D597" s="39">
        <v>39.666000366210938</v>
      </c>
      <c r="E597" s="39">
        <v>25.040603637695313</v>
      </c>
      <c r="F597" s="41">
        <v>1161780</v>
      </c>
      <c r="G597" s="35" t="s">
        <v>671</v>
      </c>
      <c r="H597" s="35" t="s">
        <v>115</v>
      </c>
    </row>
    <row r="598" spans="1:8">
      <c r="A598" s="37">
        <v>39091.15625</v>
      </c>
      <c r="B598" s="35" t="s">
        <v>654</v>
      </c>
      <c r="C598" s="35" t="s">
        <v>655</v>
      </c>
      <c r="D598" s="39">
        <v>39.259998321533203</v>
      </c>
      <c r="E598" s="39">
        <v>24.7843017578125</v>
      </c>
      <c r="F598" s="41">
        <v>1161037</v>
      </c>
      <c r="G598" s="35" t="s">
        <v>671</v>
      </c>
      <c r="H598" s="35" t="s">
        <v>115</v>
      </c>
    </row>
    <row r="599" spans="1:8">
      <c r="A599" s="37">
        <v>39092.15625</v>
      </c>
      <c r="B599" s="35" t="s">
        <v>654</v>
      </c>
      <c r="C599" s="35" t="s">
        <v>655</v>
      </c>
      <c r="D599" s="39">
        <v>39.040000915527344</v>
      </c>
      <c r="E599" s="39">
        <v>24.645421981811523</v>
      </c>
      <c r="F599" s="41">
        <v>1398142</v>
      </c>
      <c r="G599" s="35" t="s">
        <v>671</v>
      </c>
      <c r="H599" s="35" t="s">
        <v>115</v>
      </c>
    </row>
    <row r="600" spans="1:8">
      <c r="A600" s="37">
        <v>39093.15625</v>
      </c>
      <c r="B600" s="35" t="s">
        <v>654</v>
      </c>
      <c r="C600" s="35" t="s">
        <v>655</v>
      </c>
      <c r="D600" s="39">
        <v>40.279998779296875</v>
      </c>
      <c r="E600" s="39">
        <v>25.428211212158203</v>
      </c>
      <c r="F600" s="41">
        <v>1140150</v>
      </c>
      <c r="G600" s="35" t="s">
        <v>671</v>
      </c>
      <c r="H600" s="35" t="s">
        <v>115</v>
      </c>
    </row>
    <row r="601" spans="1:8">
      <c r="A601" s="37">
        <v>39094.15625</v>
      </c>
      <c r="B601" s="35" t="s">
        <v>654</v>
      </c>
      <c r="C601" s="35" t="s">
        <v>655</v>
      </c>
      <c r="D601" s="39">
        <v>40.319999694824219</v>
      </c>
      <c r="E601" s="39">
        <v>25.453470230102539</v>
      </c>
      <c r="F601" s="41">
        <v>750360</v>
      </c>
      <c r="G601" s="35" t="s">
        <v>671</v>
      </c>
      <c r="H601" s="35" t="s">
        <v>115</v>
      </c>
    </row>
    <row r="602" spans="1:8">
      <c r="A602" s="37">
        <v>39097.15625</v>
      </c>
      <c r="B602" s="35" t="s">
        <v>654</v>
      </c>
      <c r="C602" s="35" t="s">
        <v>655</v>
      </c>
      <c r="D602" s="39">
        <v>41.08599853515625</v>
      </c>
      <c r="E602" s="39">
        <v>25.937028884887695</v>
      </c>
      <c r="F602" s="41">
        <v>896175</v>
      </c>
      <c r="G602" s="35" t="s">
        <v>671</v>
      </c>
      <c r="H602" s="35" t="s">
        <v>115</v>
      </c>
    </row>
    <row r="603" spans="1:8">
      <c r="A603" s="37">
        <v>39098.15625</v>
      </c>
      <c r="B603" s="35" t="s">
        <v>654</v>
      </c>
      <c r="C603" s="35" t="s">
        <v>655</v>
      </c>
      <c r="D603" s="39">
        <v>41.453998565673828</v>
      </c>
      <c r="E603" s="39">
        <v>26.169336318969727</v>
      </c>
      <c r="F603" s="41">
        <v>1068802</v>
      </c>
      <c r="G603" s="35" t="s">
        <v>671</v>
      </c>
      <c r="H603" s="35" t="s">
        <v>115</v>
      </c>
    </row>
    <row r="604" spans="1:8">
      <c r="A604" s="37">
        <v>39099.15625</v>
      </c>
      <c r="B604" s="35" t="s">
        <v>654</v>
      </c>
      <c r="C604" s="35" t="s">
        <v>655</v>
      </c>
      <c r="D604" s="39">
        <v>45.580001831054688</v>
      </c>
      <c r="E604" s="39">
        <v>28.774026870727539</v>
      </c>
      <c r="F604" s="41">
        <v>10163617</v>
      </c>
      <c r="G604" s="35" t="s">
        <v>671</v>
      </c>
      <c r="H604" s="35" t="s">
        <v>115</v>
      </c>
    </row>
    <row r="605" spans="1:8">
      <c r="A605" s="37">
        <v>39100.15625</v>
      </c>
      <c r="B605" s="35" t="s">
        <v>654</v>
      </c>
      <c r="C605" s="35" t="s">
        <v>655</v>
      </c>
      <c r="D605" s="39">
        <v>54.700000762939453</v>
      </c>
      <c r="E605" s="39">
        <v>34.531375885009766</v>
      </c>
      <c r="F605" s="41">
        <v>10234942</v>
      </c>
      <c r="G605" s="35" t="s">
        <v>671</v>
      </c>
      <c r="H605" s="35" t="s">
        <v>115</v>
      </c>
    </row>
    <row r="606" spans="1:8">
      <c r="A606" s="37">
        <v>39101.15625</v>
      </c>
      <c r="B606" s="35" t="s">
        <v>654</v>
      </c>
      <c r="C606" s="35" t="s">
        <v>655</v>
      </c>
      <c r="D606" s="39">
        <v>53.9739990234375</v>
      </c>
      <c r="E606" s="39">
        <v>34.073043823242188</v>
      </c>
      <c r="F606" s="41">
        <v>19523640</v>
      </c>
      <c r="G606" s="35" t="s">
        <v>671</v>
      </c>
      <c r="H606" s="35" t="s">
        <v>115</v>
      </c>
    </row>
    <row r="607" spans="1:8">
      <c r="A607" s="37">
        <v>39104.15625</v>
      </c>
      <c r="B607" s="35" t="s">
        <v>654</v>
      </c>
      <c r="C607" s="35" t="s">
        <v>655</v>
      </c>
      <c r="D607" s="39">
        <v>54.206001281738281</v>
      </c>
      <c r="E607" s="39">
        <v>34.219497680664063</v>
      </c>
      <c r="F607" s="41">
        <v>9313087</v>
      </c>
      <c r="G607" s="35" t="s">
        <v>671</v>
      </c>
      <c r="H607" s="35" t="s">
        <v>115</v>
      </c>
    </row>
    <row r="608" spans="1:8">
      <c r="A608" s="37">
        <v>39105.15625</v>
      </c>
      <c r="B608" s="35" t="s">
        <v>654</v>
      </c>
      <c r="C608" s="35" t="s">
        <v>655</v>
      </c>
      <c r="D608" s="39">
        <v>53.779998779296875</v>
      </c>
      <c r="E608" s="39">
        <v>33.950576782226563</v>
      </c>
      <c r="F608" s="41">
        <v>7060837</v>
      </c>
      <c r="G608" s="35" t="s">
        <v>671</v>
      </c>
      <c r="H608" s="35" t="s">
        <v>115</v>
      </c>
    </row>
    <row r="609" spans="1:8">
      <c r="A609" s="37">
        <v>39106.15625</v>
      </c>
      <c r="B609" s="35" t="s">
        <v>654</v>
      </c>
      <c r="C609" s="35" t="s">
        <v>655</v>
      </c>
      <c r="D609" s="39">
        <v>53.720001220703125</v>
      </c>
      <c r="E609" s="39">
        <v>33.912704467773438</v>
      </c>
      <c r="F609" s="41">
        <v>1926802</v>
      </c>
      <c r="G609" s="35" t="s">
        <v>671</v>
      </c>
      <c r="H609" s="35" t="s">
        <v>115</v>
      </c>
    </row>
    <row r="610" spans="1:8">
      <c r="A610" s="37">
        <v>39107.15625</v>
      </c>
      <c r="B610" s="35" t="s">
        <v>654</v>
      </c>
      <c r="C610" s="35" t="s">
        <v>655</v>
      </c>
      <c r="D610" s="39">
        <v>53.91400146484375</v>
      </c>
      <c r="E610" s="39">
        <v>34.035167694091797</v>
      </c>
      <c r="F610" s="41">
        <v>2442615</v>
      </c>
      <c r="G610" s="35" t="s">
        <v>671</v>
      </c>
      <c r="H610" s="35" t="s">
        <v>115</v>
      </c>
    </row>
    <row r="611" spans="1:8">
      <c r="A611" s="37">
        <v>39111.15625</v>
      </c>
      <c r="B611" s="35" t="s">
        <v>654</v>
      </c>
      <c r="C611" s="35" t="s">
        <v>655</v>
      </c>
      <c r="D611" s="39">
        <v>54.734001159667969</v>
      </c>
      <c r="E611" s="39">
        <v>34.552818298339844</v>
      </c>
      <c r="F611" s="41">
        <v>3489630</v>
      </c>
      <c r="G611" s="35" t="s">
        <v>671</v>
      </c>
      <c r="H611" s="35" t="s">
        <v>115</v>
      </c>
    </row>
    <row r="612" spans="1:8">
      <c r="A612" s="37">
        <v>39113.15625</v>
      </c>
      <c r="B612" s="35" t="s">
        <v>654</v>
      </c>
      <c r="C612" s="35" t="s">
        <v>655</v>
      </c>
      <c r="D612" s="39">
        <v>53.125999450683594</v>
      </c>
      <c r="E612" s="39">
        <v>33.537715911865234</v>
      </c>
      <c r="F612" s="41">
        <v>1783057</v>
      </c>
      <c r="G612" s="35" t="s">
        <v>671</v>
      </c>
      <c r="H612" s="35" t="s">
        <v>115</v>
      </c>
    </row>
    <row r="613" spans="1:8">
      <c r="A613" s="37">
        <v>39114.15625</v>
      </c>
      <c r="B613" s="35" t="s">
        <v>654</v>
      </c>
      <c r="C613" s="35" t="s">
        <v>655</v>
      </c>
      <c r="D613" s="39">
        <v>53.619998931884766</v>
      </c>
      <c r="E613" s="39">
        <v>33.849575042724609</v>
      </c>
      <c r="F613" s="41">
        <v>2364382</v>
      </c>
      <c r="G613" s="35" t="s">
        <v>671</v>
      </c>
      <c r="H613" s="35" t="s">
        <v>115</v>
      </c>
    </row>
    <row r="614" spans="1:8">
      <c r="A614" s="37">
        <v>39115.15625</v>
      </c>
      <c r="B614" s="35" t="s">
        <v>654</v>
      </c>
      <c r="C614" s="35" t="s">
        <v>655</v>
      </c>
      <c r="D614" s="39">
        <v>53.785999298095703</v>
      </c>
      <c r="E614" s="39">
        <v>33.954380035400391</v>
      </c>
      <c r="F614" s="41">
        <v>1554817</v>
      </c>
      <c r="G614" s="35" t="s">
        <v>671</v>
      </c>
      <c r="H614" s="35" t="s">
        <v>115</v>
      </c>
    </row>
    <row r="615" spans="1:8">
      <c r="A615" s="37">
        <v>39118.15625</v>
      </c>
      <c r="B615" s="35" t="s">
        <v>654</v>
      </c>
      <c r="C615" s="35" t="s">
        <v>655</v>
      </c>
      <c r="D615" s="39">
        <v>53.560001373291016</v>
      </c>
      <c r="E615" s="39">
        <v>33.811695098876953</v>
      </c>
      <c r="F615" s="41">
        <v>993900</v>
      </c>
      <c r="G615" s="35" t="s">
        <v>671</v>
      </c>
      <c r="H615" s="35" t="s">
        <v>115</v>
      </c>
    </row>
    <row r="616" spans="1:8">
      <c r="A616" s="37">
        <v>39119.15625</v>
      </c>
      <c r="B616" s="35" t="s">
        <v>654</v>
      </c>
      <c r="C616" s="35" t="s">
        <v>655</v>
      </c>
      <c r="D616" s="39">
        <v>53.740001678466797</v>
      </c>
      <c r="E616" s="39">
        <v>33.925323486328125</v>
      </c>
      <c r="F616" s="41">
        <v>1394137</v>
      </c>
      <c r="G616" s="35" t="s">
        <v>671</v>
      </c>
      <c r="H616" s="35" t="s">
        <v>115</v>
      </c>
    </row>
    <row r="617" spans="1:8">
      <c r="A617" s="37">
        <v>39120.15625</v>
      </c>
      <c r="B617" s="35" t="s">
        <v>654</v>
      </c>
      <c r="C617" s="35" t="s">
        <v>655</v>
      </c>
      <c r="D617" s="39">
        <v>58.759998321533203</v>
      </c>
      <c r="E617" s="39">
        <v>37.094383239746094</v>
      </c>
      <c r="F617" s="41">
        <v>11777032</v>
      </c>
      <c r="G617" s="35" t="s">
        <v>671</v>
      </c>
      <c r="H617" s="35" t="s">
        <v>115</v>
      </c>
    </row>
    <row r="618" spans="1:8">
      <c r="A618" s="37">
        <v>39121.15625</v>
      </c>
      <c r="B618" s="35" t="s">
        <v>654</v>
      </c>
      <c r="C618" s="35" t="s">
        <v>655</v>
      </c>
      <c r="D618" s="39">
        <v>58.326000213623047</v>
      </c>
      <c r="E618" s="39">
        <v>36.820415496826172</v>
      </c>
      <c r="F618" s="41">
        <v>6335512</v>
      </c>
      <c r="G618" s="35" t="s">
        <v>671</v>
      </c>
      <c r="H618" s="35" t="s">
        <v>115</v>
      </c>
    </row>
    <row r="619" spans="1:8">
      <c r="A619" s="37">
        <v>39122.15625</v>
      </c>
      <c r="B619" s="35" t="s">
        <v>654</v>
      </c>
      <c r="C619" s="35" t="s">
        <v>655</v>
      </c>
      <c r="D619" s="39">
        <v>56.520000457763672</v>
      </c>
      <c r="E619" s="39">
        <v>35.6802978515625</v>
      </c>
      <c r="F619" s="41">
        <v>2690287</v>
      </c>
      <c r="G619" s="35" t="s">
        <v>671</v>
      </c>
      <c r="H619" s="35" t="s">
        <v>115</v>
      </c>
    </row>
    <row r="620" spans="1:8">
      <c r="A620" s="37">
        <v>39125.15625</v>
      </c>
      <c r="B620" s="35" t="s">
        <v>654</v>
      </c>
      <c r="C620" s="35" t="s">
        <v>655</v>
      </c>
      <c r="D620" s="39">
        <v>54.220001220703125</v>
      </c>
      <c r="E620" s="39">
        <v>34.228355407714844</v>
      </c>
      <c r="F620" s="41">
        <v>2910360</v>
      </c>
      <c r="G620" s="35" t="s">
        <v>671</v>
      </c>
      <c r="H620" s="35" t="s">
        <v>115</v>
      </c>
    </row>
    <row r="621" spans="1:8">
      <c r="A621" s="37">
        <v>39126.15625</v>
      </c>
      <c r="B621" s="35" t="s">
        <v>654</v>
      </c>
      <c r="C621" s="35" t="s">
        <v>655</v>
      </c>
      <c r="D621" s="39">
        <v>54.040000915527344</v>
      </c>
      <c r="E621" s="39">
        <v>34.114715576171875</v>
      </c>
      <c r="F621" s="41">
        <v>2218987</v>
      </c>
      <c r="G621" s="35" t="s">
        <v>671</v>
      </c>
      <c r="H621" s="35" t="s">
        <v>115</v>
      </c>
    </row>
    <row r="622" spans="1:8">
      <c r="A622" s="37">
        <v>39127.15625</v>
      </c>
      <c r="B622" s="35" t="s">
        <v>654</v>
      </c>
      <c r="C622" s="35" t="s">
        <v>655</v>
      </c>
      <c r="D622" s="39">
        <v>57.119998931884766</v>
      </c>
      <c r="E622" s="39">
        <v>36.059066772460938</v>
      </c>
      <c r="F622" s="41">
        <v>2629485</v>
      </c>
      <c r="G622" s="35" t="s">
        <v>671</v>
      </c>
      <c r="H622" s="35" t="s">
        <v>115</v>
      </c>
    </row>
    <row r="623" spans="1:8">
      <c r="A623" s="37">
        <v>39128.15625</v>
      </c>
      <c r="B623" s="35" t="s">
        <v>654</v>
      </c>
      <c r="C623" s="35" t="s">
        <v>655</v>
      </c>
      <c r="D623" s="39">
        <v>60.846000671386719</v>
      </c>
      <c r="E623" s="39">
        <v>38.411251068115234</v>
      </c>
      <c r="F623" s="41">
        <v>6365010</v>
      </c>
      <c r="G623" s="35" t="s">
        <v>671</v>
      </c>
      <c r="H623" s="35" t="s">
        <v>115</v>
      </c>
    </row>
    <row r="624" spans="1:8">
      <c r="A624" s="37">
        <v>39132.15625</v>
      </c>
      <c r="B624" s="35" t="s">
        <v>654</v>
      </c>
      <c r="C624" s="35" t="s">
        <v>655</v>
      </c>
      <c r="D624" s="39">
        <v>62.439998626708984</v>
      </c>
      <c r="E624" s="39">
        <v>39.417522430419922</v>
      </c>
      <c r="F624" s="41">
        <v>3552382</v>
      </c>
      <c r="G624" s="35" t="s">
        <v>671</v>
      </c>
      <c r="H624" s="35" t="s">
        <v>115</v>
      </c>
    </row>
    <row r="625" spans="1:8">
      <c r="A625" s="37">
        <v>39133.15625</v>
      </c>
      <c r="B625" s="35" t="s">
        <v>654</v>
      </c>
      <c r="C625" s="35" t="s">
        <v>655</v>
      </c>
      <c r="D625" s="39">
        <v>68.374000549316406</v>
      </c>
      <c r="E625" s="39">
        <v>43.163570404052734</v>
      </c>
      <c r="F625" s="41">
        <v>20606325</v>
      </c>
      <c r="G625" s="35" t="s">
        <v>671</v>
      </c>
      <c r="H625" s="35" t="s">
        <v>115</v>
      </c>
    </row>
    <row r="626" spans="1:8">
      <c r="A626" s="37">
        <v>39134.15625</v>
      </c>
      <c r="B626" s="35" t="s">
        <v>654</v>
      </c>
      <c r="C626" s="35" t="s">
        <v>655</v>
      </c>
      <c r="D626" s="39">
        <v>66.667999267578125</v>
      </c>
      <c r="E626" s="39">
        <v>42.086597442626953</v>
      </c>
      <c r="F626" s="41">
        <v>14682577</v>
      </c>
      <c r="G626" s="35" t="s">
        <v>671</v>
      </c>
      <c r="H626" s="35" t="s">
        <v>115</v>
      </c>
    </row>
    <row r="627" spans="1:8">
      <c r="A627" s="37">
        <v>39135.15625</v>
      </c>
      <c r="B627" s="35" t="s">
        <v>654</v>
      </c>
      <c r="C627" s="35" t="s">
        <v>655</v>
      </c>
      <c r="D627" s="39">
        <v>65.566001892089844</v>
      </c>
      <c r="E627" s="39">
        <v>41.390926361083984</v>
      </c>
      <c r="F627" s="41">
        <v>6548287</v>
      </c>
      <c r="G627" s="35" t="s">
        <v>671</v>
      </c>
      <c r="H627" s="35" t="s">
        <v>115</v>
      </c>
    </row>
    <row r="628" spans="1:8">
      <c r="A628" s="37">
        <v>39136.15625</v>
      </c>
      <c r="B628" s="35" t="s">
        <v>654</v>
      </c>
      <c r="C628" s="35" t="s">
        <v>655</v>
      </c>
      <c r="D628" s="39">
        <v>64.433998107910156</v>
      </c>
      <c r="E628" s="39">
        <v>40.676292419433594</v>
      </c>
      <c r="F628" s="41">
        <v>5543347</v>
      </c>
      <c r="G628" s="35" t="s">
        <v>671</v>
      </c>
      <c r="H628" s="35" t="s">
        <v>115</v>
      </c>
    </row>
    <row r="629" spans="1:8">
      <c r="A629" s="37">
        <v>39139.15625</v>
      </c>
      <c r="B629" s="35" t="s">
        <v>654</v>
      </c>
      <c r="C629" s="35" t="s">
        <v>655</v>
      </c>
      <c r="D629" s="39">
        <v>65.405998229980469</v>
      </c>
      <c r="E629" s="39">
        <v>41.289928436279297</v>
      </c>
      <c r="F629" s="41">
        <v>4602720</v>
      </c>
      <c r="G629" s="35" t="s">
        <v>671</v>
      </c>
      <c r="H629" s="35" t="s">
        <v>115</v>
      </c>
    </row>
    <row r="630" spans="1:8">
      <c r="A630" s="37">
        <v>39140.15625</v>
      </c>
      <c r="B630" s="35" t="s">
        <v>654</v>
      </c>
      <c r="C630" s="35" t="s">
        <v>655</v>
      </c>
      <c r="D630" s="39">
        <v>64.253997802734375</v>
      </c>
      <c r="E630" s="39">
        <v>40.562667846679688</v>
      </c>
      <c r="F630" s="41">
        <v>2647852</v>
      </c>
      <c r="G630" s="35" t="s">
        <v>671</v>
      </c>
      <c r="H630" s="35" t="s">
        <v>115</v>
      </c>
    </row>
    <row r="631" spans="1:8">
      <c r="A631" s="37">
        <v>39141.15625</v>
      </c>
      <c r="B631" s="35" t="s">
        <v>654</v>
      </c>
      <c r="C631" s="35" t="s">
        <v>655</v>
      </c>
      <c r="D631" s="39">
        <v>52.873332977294922</v>
      </c>
      <c r="E631" s="39">
        <v>33.378211975097656</v>
      </c>
      <c r="F631" s="41">
        <v>7810987</v>
      </c>
      <c r="G631" s="35" t="s">
        <v>671</v>
      </c>
      <c r="H631" s="35" t="s">
        <v>115</v>
      </c>
    </row>
    <row r="632" spans="1:8">
      <c r="A632" s="37">
        <v>39142.15625</v>
      </c>
      <c r="B632" s="35" t="s">
        <v>654</v>
      </c>
      <c r="C632" s="35" t="s">
        <v>655</v>
      </c>
      <c r="D632" s="39">
        <v>61.08599853515625</v>
      </c>
      <c r="E632" s="39">
        <v>38.562755584716797</v>
      </c>
      <c r="F632" s="41">
        <v>9353655</v>
      </c>
      <c r="G632" s="35" t="s">
        <v>671</v>
      </c>
      <c r="H632" s="35" t="s">
        <v>115</v>
      </c>
    </row>
    <row r="633" spans="1:8">
      <c r="A633" s="37">
        <v>39143.15625</v>
      </c>
      <c r="B633" s="35" t="s">
        <v>654</v>
      </c>
      <c r="C633" s="35" t="s">
        <v>655</v>
      </c>
      <c r="D633" s="39">
        <v>59.105998992919922</v>
      </c>
      <c r="E633" s="39">
        <v>37.312808990478516</v>
      </c>
      <c r="F633" s="41">
        <v>7632330</v>
      </c>
      <c r="G633" s="35" t="s">
        <v>671</v>
      </c>
      <c r="H633" s="35" t="s">
        <v>115</v>
      </c>
    </row>
    <row r="634" spans="1:8">
      <c r="A634" s="37">
        <v>39146.15625</v>
      </c>
      <c r="B634" s="35" t="s">
        <v>654</v>
      </c>
      <c r="C634" s="35" t="s">
        <v>655</v>
      </c>
      <c r="D634" s="39">
        <v>55.740001678466797</v>
      </c>
      <c r="E634" s="39">
        <v>35.187908172607422</v>
      </c>
      <c r="F634" s="41">
        <v>5076217</v>
      </c>
      <c r="G634" s="35" t="s">
        <v>671</v>
      </c>
      <c r="H634" s="35" t="s">
        <v>115</v>
      </c>
    </row>
    <row r="635" spans="1:8">
      <c r="A635" s="37">
        <v>39147.15625</v>
      </c>
      <c r="B635" s="35" t="s">
        <v>654</v>
      </c>
      <c r="C635" s="35" t="s">
        <v>655</v>
      </c>
      <c r="D635" s="39">
        <v>54.986000061035156</v>
      </c>
      <c r="E635" s="39">
        <v>34.7119140625</v>
      </c>
      <c r="F635" s="41">
        <v>5048767</v>
      </c>
      <c r="G635" s="35" t="s">
        <v>671</v>
      </c>
      <c r="H635" s="35" t="s">
        <v>115</v>
      </c>
    </row>
    <row r="636" spans="1:8">
      <c r="A636" s="37">
        <v>39148.15625</v>
      </c>
      <c r="B636" s="35" t="s">
        <v>654</v>
      </c>
      <c r="C636" s="35" t="s">
        <v>655</v>
      </c>
      <c r="D636" s="39">
        <v>54.394001007080078</v>
      </c>
      <c r="E636" s="39">
        <v>34.33819580078125</v>
      </c>
      <c r="F636" s="41">
        <v>4579897</v>
      </c>
      <c r="G636" s="35" t="s">
        <v>671</v>
      </c>
      <c r="H636" s="35" t="s">
        <v>115</v>
      </c>
    </row>
    <row r="637" spans="1:8">
      <c r="A637" s="37">
        <v>39149.15625</v>
      </c>
      <c r="B637" s="35" t="s">
        <v>654</v>
      </c>
      <c r="C637" s="35" t="s">
        <v>655</v>
      </c>
      <c r="D637" s="39">
        <v>56.006000518798828</v>
      </c>
      <c r="E637" s="39">
        <v>35.355815887451172</v>
      </c>
      <c r="F637" s="41">
        <v>3179362</v>
      </c>
      <c r="G637" s="35" t="s">
        <v>671</v>
      </c>
      <c r="H637" s="35" t="s">
        <v>115</v>
      </c>
    </row>
    <row r="638" spans="1:8">
      <c r="A638" s="37">
        <v>39150.15625</v>
      </c>
      <c r="B638" s="35" t="s">
        <v>654</v>
      </c>
      <c r="C638" s="35" t="s">
        <v>655</v>
      </c>
      <c r="D638" s="39">
        <v>53.5260009765625</v>
      </c>
      <c r="E638" s="39">
        <v>33.790237426757813</v>
      </c>
      <c r="F638" s="41">
        <v>2950500</v>
      </c>
      <c r="G638" s="35" t="s">
        <v>671</v>
      </c>
      <c r="H638" s="35" t="s">
        <v>115</v>
      </c>
    </row>
    <row r="639" spans="1:8">
      <c r="A639" s="37">
        <v>39153.15625</v>
      </c>
      <c r="B639" s="35" t="s">
        <v>654</v>
      </c>
      <c r="C639" s="35" t="s">
        <v>655</v>
      </c>
      <c r="D639" s="39">
        <v>53.173999786376953</v>
      </c>
      <c r="E639" s="39">
        <v>33.568023681640625</v>
      </c>
      <c r="F639" s="41">
        <v>2960340</v>
      </c>
      <c r="G639" s="35" t="s">
        <v>671</v>
      </c>
      <c r="H639" s="35" t="s">
        <v>115</v>
      </c>
    </row>
    <row r="640" spans="1:8">
      <c r="A640" s="37">
        <v>39154.15625</v>
      </c>
      <c r="B640" s="35" t="s">
        <v>654</v>
      </c>
      <c r="C640" s="35" t="s">
        <v>655</v>
      </c>
      <c r="D640" s="39">
        <v>59.513999938964844</v>
      </c>
      <c r="E640" s="39">
        <v>37.570369720458984</v>
      </c>
      <c r="F640" s="41">
        <v>11469712</v>
      </c>
      <c r="G640" s="35" t="s">
        <v>671</v>
      </c>
      <c r="H640" s="35" t="s">
        <v>115</v>
      </c>
    </row>
    <row r="641" spans="1:8">
      <c r="A641" s="37">
        <v>39155.15625</v>
      </c>
      <c r="B641" s="35" t="s">
        <v>654</v>
      </c>
      <c r="C641" s="35" t="s">
        <v>655</v>
      </c>
      <c r="D641" s="39">
        <v>57.194000244140625</v>
      </c>
      <c r="E641" s="39">
        <v>36.105777740478516</v>
      </c>
      <c r="F641" s="41">
        <v>7497232</v>
      </c>
      <c r="G641" s="35" t="s">
        <v>671</v>
      </c>
      <c r="H641" s="35" t="s">
        <v>115</v>
      </c>
    </row>
    <row r="642" spans="1:8">
      <c r="A642" s="37">
        <v>39156.15625</v>
      </c>
      <c r="B642" s="35" t="s">
        <v>654</v>
      </c>
      <c r="C642" s="35" t="s">
        <v>655</v>
      </c>
      <c r="D642" s="39">
        <v>57.405998229980469</v>
      </c>
      <c r="E642" s="39">
        <v>36.239620208740234</v>
      </c>
      <c r="F642" s="41">
        <v>4954237</v>
      </c>
      <c r="G642" s="35" t="s">
        <v>671</v>
      </c>
      <c r="H642" s="35" t="s">
        <v>115</v>
      </c>
    </row>
    <row r="643" spans="1:8">
      <c r="A643" s="37">
        <v>39157.15625</v>
      </c>
      <c r="B643" s="35" t="s">
        <v>654</v>
      </c>
      <c r="C643" s="35" t="s">
        <v>655</v>
      </c>
      <c r="D643" s="39">
        <v>58.08599853515625</v>
      </c>
      <c r="E643" s="39">
        <v>36.668903350830078</v>
      </c>
      <c r="F643" s="41">
        <v>4007722</v>
      </c>
      <c r="G643" s="35" t="s">
        <v>671</v>
      </c>
      <c r="H643" s="35" t="s">
        <v>115</v>
      </c>
    </row>
    <row r="644" spans="1:8">
      <c r="A644" s="37">
        <v>39160.15625</v>
      </c>
      <c r="B644" s="35" t="s">
        <v>654</v>
      </c>
      <c r="C644" s="35" t="s">
        <v>655</v>
      </c>
      <c r="D644" s="39">
        <v>62.754001617431641</v>
      </c>
      <c r="E644" s="39">
        <v>39.615745544433594</v>
      </c>
      <c r="F644" s="41">
        <v>8938867</v>
      </c>
      <c r="G644" s="35" t="s">
        <v>671</v>
      </c>
      <c r="H644" s="35" t="s">
        <v>115</v>
      </c>
    </row>
    <row r="645" spans="1:8">
      <c r="A645" s="37">
        <v>39161.15625</v>
      </c>
      <c r="B645" s="35" t="s">
        <v>654</v>
      </c>
      <c r="C645" s="35" t="s">
        <v>655</v>
      </c>
      <c r="D645" s="39">
        <v>60.659999847412109</v>
      </c>
      <c r="E645" s="39">
        <v>38.293830871582031</v>
      </c>
      <c r="F645" s="41">
        <v>6747127</v>
      </c>
      <c r="G645" s="35" t="s">
        <v>671</v>
      </c>
      <c r="H645" s="35" t="s">
        <v>115</v>
      </c>
    </row>
    <row r="646" spans="1:8">
      <c r="A646" s="37">
        <v>39162.15625</v>
      </c>
      <c r="B646" s="35" t="s">
        <v>654</v>
      </c>
      <c r="C646" s="35" t="s">
        <v>655</v>
      </c>
      <c r="D646" s="39">
        <v>59</v>
      </c>
      <c r="E646" s="39">
        <v>37.245895385742188</v>
      </c>
      <c r="F646" s="41">
        <v>2995747</v>
      </c>
      <c r="G646" s="35" t="s">
        <v>671</v>
      </c>
      <c r="H646" s="35" t="s">
        <v>115</v>
      </c>
    </row>
    <row r="647" spans="1:8">
      <c r="A647" s="37">
        <v>39163.15625</v>
      </c>
      <c r="B647" s="35" t="s">
        <v>654</v>
      </c>
      <c r="C647" s="35" t="s">
        <v>655</v>
      </c>
      <c r="D647" s="39">
        <v>58.540000915527344</v>
      </c>
      <c r="E647" s="39">
        <v>36.955501556396484</v>
      </c>
      <c r="F647" s="41">
        <v>3034702</v>
      </c>
      <c r="G647" s="35" t="s">
        <v>671</v>
      </c>
      <c r="H647" s="35" t="s">
        <v>115</v>
      </c>
    </row>
    <row r="648" spans="1:8">
      <c r="A648" s="37">
        <v>39164.15625</v>
      </c>
      <c r="B648" s="35" t="s">
        <v>654</v>
      </c>
      <c r="C648" s="35" t="s">
        <v>655</v>
      </c>
      <c r="D648" s="39">
        <v>61.4739990234375</v>
      </c>
      <c r="E648" s="39">
        <v>38.807704925537109</v>
      </c>
      <c r="F648" s="41">
        <v>6886290</v>
      </c>
      <c r="G648" s="35" t="s">
        <v>671</v>
      </c>
      <c r="H648" s="35" t="s">
        <v>115</v>
      </c>
    </row>
    <row r="649" spans="1:8">
      <c r="A649" s="37">
        <v>39167.15625</v>
      </c>
      <c r="B649" s="35" t="s">
        <v>654</v>
      </c>
      <c r="C649" s="35" t="s">
        <v>655</v>
      </c>
      <c r="D649" s="39">
        <v>60.259998321533203</v>
      </c>
      <c r="E649" s="39">
        <v>38.041309356689453</v>
      </c>
      <c r="F649" s="41">
        <v>2796240</v>
      </c>
      <c r="G649" s="35" t="s">
        <v>671</v>
      </c>
      <c r="H649" s="35" t="s">
        <v>115</v>
      </c>
    </row>
    <row r="650" spans="1:8">
      <c r="A650" s="37">
        <v>39169.15625</v>
      </c>
      <c r="B650" s="35" t="s">
        <v>654</v>
      </c>
      <c r="C650" s="35" t="s">
        <v>655</v>
      </c>
      <c r="D650" s="39">
        <v>57.720001220703125</v>
      </c>
      <c r="E650" s="39">
        <v>36.437850952148438</v>
      </c>
      <c r="F650" s="41">
        <v>1640152</v>
      </c>
      <c r="G650" s="35" t="s">
        <v>671</v>
      </c>
      <c r="H650" s="35" t="s">
        <v>115</v>
      </c>
    </row>
    <row r="651" spans="1:8">
      <c r="A651" s="37">
        <v>39170.15625</v>
      </c>
      <c r="B651" s="35" t="s">
        <v>654</v>
      </c>
      <c r="C651" s="35" t="s">
        <v>655</v>
      </c>
      <c r="D651" s="39">
        <v>57.734001159667969</v>
      </c>
      <c r="E651" s="39">
        <v>36.446681976318359</v>
      </c>
      <c r="F651" s="41">
        <v>4264222</v>
      </c>
      <c r="G651" s="35" t="s">
        <v>671</v>
      </c>
      <c r="H651" s="35" t="s">
        <v>115</v>
      </c>
    </row>
    <row r="652" spans="1:8">
      <c r="A652" s="37">
        <v>39171.15625</v>
      </c>
      <c r="B652" s="35" t="s">
        <v>654</v>
      </c>
      <c r="C652" s="35" t="s">
        <v>655</v>
      </c>
      <c r="D652" s="39">
        <v>58.560001373291016</v>
      </c>
      <c r="E652" s="39">
        <v>36.968128204345703</v>
      </c>
      <c r="F652" s="41">
        <v>2506447</v>
      </c>
      <c r="G652" s="35" t="s">
        <v>671</v>
      </c>
      <c r="H652" s="35" t="s">
        <v>115</v>
      </c>
    </row>
    <row r="653" spans="1:8">
      <c r="A653" s="37">
        <v>39174.15625</v>
      </c>
      <c r="B653" s="35" t="s">
        <v>654</v>
      </c>
      <c r="C653" s="35" t="s">
        <v>655</v>
      </c>
      <c r="D653" s="39">
        <v>56.540000915527344</v>
      </c>
      <c r="E653" s="39">
        <v>35.692939758300781</v>
      </c>
      <c r="F653" s="41">
        <v>1837237</v>
      </c>
      <c r="G653" s="35" t="s">
        <v>672</v>
      </c>
      <c r="H653" s="35" t="s">
        <v>115</v>
      </c>
    </row>
    <row r="654" spans="1:8">
      <c r="A654" s="37">
        <v>39175.15625</v>
      </c>
      <c r="B654" s="35" t="s">
        <v>654</v>
      </c>
      <c r="C654" s="35" t="s">
        <v>655</v>
      </c>
      <c r="D654" s="39">
        <v>56.880001068115234</v>
      </c>
      <c r="E654" s="39">
        <v>35.907566070556641</v>
      </c>
      <c r="F654" s="41">
        <v>2947027</v>
      </c>
      <c r="G654" s="35" t="s">
        <v>672</v>
      </c>
      <c r="H654" s="35" t="s">
        <v>115</v>
      </c>
    </row>
    <row r="655" spans="1:8">
      <c r="A655" s="37">
        <v>39176.15625</v>
      </c>
      <c r="B655" s="35" t="s">
        <v>654</v>
      </c>
      <c r="C655" s="35" t="s">
        <v>655</v>
      </c>
      <c r="D655" s="39">
        <v>56.594001770019531</v>
      </c>
      <c r="E655" s="39">
        <v>35.727008819580078</v>
      </c>
      <c r="F655" s="41">
        <v>1806960</v>
      </c>
      <c r="G655" s="35" t="s">
        <v>672</v>
      </c>
      <c r="H655" s="35" t="s">
        <v>115</v>
      </c>
    </row>
    <row r="656" spans="1:8">
      <c r="A656" s="37">
        <v>39177.15625</v>
      </c>
      <c r="B656" s="35" t="s">
        <v>654</v>
      </c>
      <c r="C656" s="35" t="s">
        <v>655</v>
      </c>
      <c r="D656" s="39">
        <v>56.299999237060547</v>
      </c>
      <c r="E656" s="39">
        <v>35.541412353515625</v>
      </c>
      <c r="F656" s="41">
        <v>1664212</v>
      </c>
      <c r="G656" s="35" t="s">
        <v>672</v>
      </c>
      <c r="H656" s="35" t="s">
        <v>115</v>
      </c>
    </row>
    <row r="657" spans="1:8">
      <c r="A657" s="37">
        <v>39181.15625</v>
      </c>
      <c r="B657" s="35" t="s">
        <v>654</v>
      </c>
      <c r="C657" s="35" t="s">
        <v>655</v>
      </c>
      <c r="D657" s="39">
        <v>57.594001770019531</v>
      </c>
      <c r="E657" s="39">
        <v>36.358310699462891</v>
      </c>
      <c r="F657" s="41">
        <v>1916437</v>
      </c>
      <c r="G657" s="35" t="s">
        <v>672</v>
      </c>
      <c r="H657" s="35" t="s">
        <v>115</v>
      </c>
    </row>
    <row r="658" spans="1:8">
      <c r="A658" s="37">
        <v>39182.15625</v>
      </c>
      <c r="B658" s="35" t="s">
        <v>654</v>
      </c>
      <c r="C658" s="35" t="s">
        <v>655</v>
      </c>
      <c r="D658" s="39">
        <v>57.726001739501953</v>
      </c>
      <c r="E658" s="39">
        <v>36.441642761230469</v>
      </c>
      <c r="F658" s="41">
        <v>2600355</v>
      </c>
      <c r="G658" s="35" t="s">
        <v>672</v>
      </c>
      <c r="H658" s="35" t="s">
        <v>115</v>
      </c>
    </row>
    <row r="659" spans="1:8">
      <c r="A659" s="37">
        <v>39183.15625</v>
      </c>
      <c r="B659" s="35" t="s">
        <v>654</v>
      </c>
      <c r="C659" s="35" t="s">
        <v>655</v>
      </c>
      <c r="D659" s="39">
        <v>56.866001129150391</v>
      </c>
      <c r="E659" s="39">
        <v>35.898738861083984</v>
      </c>
      <c r="F659" s="41">
        <v>1628610</v>
      </c>
      <c r="G659" s="35" t="s">
        <v>672</v>
      </c>
      <c r="H659" s="35" t="s">
        <v>115</v>
      </c>
    </row>
    <row r="660" spans="1:8">
      <c r="A660" s="37">
        <v>39184.15625</v>
      </c>
      <c r="B660" s="35" t="s">
        <v>654</v>
      </c>
      <c r="C660" s="35" t="s">
        <v>655</v>
      </c>
      <c r="D660" s="39">
        <v>56.680000305175781</v>
      </c>
      <c r="E660" s="39">
        <v>35.781307220458984</v>
      </c>
      <c r="F660" s="41">
        <v>1941555</v>
      </c>
      <c r="G660" s="35" t="s">
        <v>672</v>
      </c>
      <c r="H660" s="35" t="s">
        <v>115</v>
      </c>
    </row>
    <row r="661" spans="1:8">
      <c r="A661" s="37">
        <v>39185.15625</v>
      </c>
      <c r="B661" s="35" t="s">
        <v>654</v>
      </c>
      <c r="C661" s="35" t="s">
        <v>655</v>
      </c>
      <c r="D661" s="39">
        <v>60.119998931884766</v>
      </c>
      <c r="E661" s="39">
        <v>37.952945709228516</v>
      </c>
      <c r="F661" s="41">
        <v>6313035</v>
      </c>
      <c r="G661" s="35" t="s">
        <v>672</v>
      </c>
      <c r="H661" s="35" t="s">
        <v>115</v>
      </c>
    </row>
    <row r="662" spans="1:8">
      <c r="A662" s="37">
        <v>39188.15625</v>
      </c>
      <c r="B662" s="35" t="s">
        <v>654</v>
      </c>
      <c r="C662" s="35" t="s">
        <v>655</v>
      </c>
      <c r="D662" s="39">
        <v>61.860000610351563</v>
      </c>
      <c r="E662" s="39">
        <v>39.051368713378906</v>
      </c>
      <c r="F662" s="41">
        <v>5508660</v>
      </c>
      <c r="G662" s="35" t="s">
        <v>672</v>
      </c>
      <c r="H662" s="35" t="s">
        <v>115</v>
      </c>
    </row>
    <row r="663" spans="1:8">
      <c r="A663" s="37">
        <v>39189.15625</v>
      </c>
      <c r="B663" s="35" t="s">
        <v>654</v>
      </c>
      <c r="C663" s="35" t="s">
        <v>655</v>
      </c>
      <c r="D663" s="39">
        <v>59.680000305175781</v>
      </c>
      <c r="E663" s="39">
        <v>37.6751708984375</v>
      </c>
      <c r="F663" s="41">
        <v>3194062</v>
      </c>
      <c r="G663" s="35" t="s">
        <v>672</v>
      </c>
      <c r="H663" s="35" t="s">
        <v>115</v>
      </c>
    </row>
    <row r="664" spans="1:8">
      <c r="A664" s="37">
        <v>39190.15625</v>
      </c>
      <c r="B664" s="35" t="s">
        <v>654</v>
      </c>
      <c r="C664" s="35" t="s">
        <v>655</v>
      </c>
      <c r="D664" s="39">
        <v>60.953998565673828</v>
      </c>
      <c r="E664" s="39">
        <v>38.47943115234375</v>
      </c>
      <c r="F664" s="41">
        <v>4454055</v>
      </c>
      <c r="G664" s="35" t="s">
        <v>672</v>
      </c>
      <c r="H664" s="35" t="s">
        <v>115</v>
      </c>
    </row>
    <row r="665" spans="1:8">
      <c r="A665" s="37">
        <v>39191.15625</v>
      </c>
      <c r="B665" s="35" t="s">
        <v>654</v>
      </c>
      <c r="C665" s="35" t="s">
        <v>655</v>
      </c>
      <c r="D665" s="39">
        <v>61.346000671386719</v>
      </c>
      <c r="E665" s="39">
        <v>38.726902008056641</v>
      </c>
      <c r="F665" s="41">
        <v>3328642</v>
      </c>
      <c r="G665" s="35" t="s">
        <v>672</v>
      </c>
      <c r="H665" s="35" t="s">
        <v>115</v>
      </c>
    </row>
    <row r="666" spans="1:8">
      <c r="A666" s="37">
        <v>39192.15625</v>
      </c>
      <c r="B666" s="35" t="s">
        <v>654</v>
      </c>
      <c r="C666" s="35" t="s">
        <v>655</v>
      </c>
      <c r="D666" s="39">
        <v>62.020000457763672</v>
      </c>
      <c r="E666" s="39">
        <v>39.152389526367188</v>
      </c>
      <c r="F666" s="41">
        <v>2747662</v>
      </c>
      <c r="G666" s="35" t="s">
        <v>672</v>
      </c>
      <c r="H666" s="35" t="s">
        <v>115</v>
      </c>
    </row>
    <row r="667" spans="1:8">
      <c r="A667" s="37">
        <v>39195.15625</v>
      </c>
      <c r="B667" s="35" t="s">
        <v>654</v>
      </c>
      <c r="C667" s="35" t="s">
        <v>655</v>
      </c>
      <c r="D667" s="39">
        <v>61.493999481201172</v>
      </c>
      <c r="E667" s="39">
        <v>38.820323944091797</v>
      </c>
      <c r="F667" s="41">
        <v>1379587</v>
      </c>
      <c r="G667" s="35" t="s">
        <v>672</v>
      </c>
      <c r="H667" s="35" t="s">
        <v>115</v>
      </c>
    </row>
    <row r="668" spans="1:8">
      <c r="A668" s="37">
        <v>39196.15625</v>
      </c>
      <c r="B668" s="35" t="s">
        <v>654</v>
      </c>
      <c r="C668" s="35" t="s">
        <v>655</v>
      </c>
      <c r="D668" s="39">
        <v>61.700000762939453</v>
      </c>
      <c r="E668" s="39">
        <v>38.950366973876953</v>
      </c>
      <c r="F668" s="41">
        <v>2073285</v>
      </c>
      <c r="G668" s="35" t="s">
        <v>672</v>
      </c>
      <c r="H668" s="35" t="s">
        <v>115</v>
      </c>
    </row>
    <row r="669" spans="1:8">
      <c r="A669" s="37">
        <v>39197.15625</v>
      </c>
      <c r="B669" s="35" t="s">
        <v>654</v>
      </c>
      <c r="C669" s="35" t="s">
        <v>655</v>
      </c>
      <c r="D669" s="39">
        <v>60.900001525878906</v>
      </c>
      <c r="E669" s="39">
        <v>38.445339202880859</v>
      </c>
      <c r="F669" s="41">
        <v>1572997</v>
      </c>
      <c r="G669" s="35" t="s">
        <v>672</v>
      </c>
      <c r="H669" s="35" t="s">
        <v>115</v>
      </c>
    </row>
    <row r="670" spans="1:8">
      <c r="A670" s="37">
        <v>39198.15625</v>
      </c>
      <c r="B670" s="35" t="s">
        <v>654</v>
      </c>
      <c r="C670" s="35" t="s">
        <v>655</v>
      </c>
      <c r="D670" s="39">
        <v>59.153999328613281</v>
      </c>
      <c r="E670" s="39">
        <v>37.343109130859375</v>
      </c>
      <c r="F670" s="41">
        <v>1148992</v>
      </c>
      <c r="G670" s="35" t="s">
        <v>672</v>
      </c>
      <c r="H670" s="35" t="s">
        <v>115</v>
      </c>
    </row>
    <row r="671" spans="1:8">
      <c r="A671" s="37">
        <v>39199.15625</v>
      </c>
      <c r="B671" s="35" t="s">
        <v>654</v>
      </c>
      <c r="C671" s="35" t="s">
        <v>655</v>
      </c>
      <c r="D671" s="39">
        <v>58.113998413085938</v>
      </c>
      <c r="E671" s="39">
        <v>36.686569213867188</v>
      </c>
      <c r="F671" s="41">
        <v>1255537</v>
      </c>
      <c r="G671" s="35" t="s">
        <v>672</v>
      </c>
      <c r="H671" s="35" t="s">
        <v>115</v>
      </c>
    </row>
    <row r="672" spans="1:8">
      <c r="A672" s="37">
        <v>39202.15625</v>
      </c>
      <c r="B672" s="35" t="s">
        <v>654</v>
      </c>
      <c r="C672" s="35" t="s">
        <v>655</v>
      </c>
      <c r="D672" s="39">
        <v>60.0260009765625</v>
      </c>
      <c r="E672" s="39">
        <v>37.893608093261719</v>
      </c>
      <c r="F672" s="41">
        <v>2541817</v>
      </c>
      <c r="G672" s="35" t="s">
        <v>672</v>
      </c>
      <c r="H672" s="35" t="s">
        <v>115</v>
      </c>
    </row>
    <row r="673" spans="1:8">
      <c r="A673" s="37">
        <v>39205.15625</v>
      </c>
      <c r="B673" s="35" t="s">
        <v>654</v>
      </c>
      <c r="C673" s="35" t="s">
        <v>655</v>
      </c>
      <c r="D673" s="39">
        <v>59.346000671386719</v>
      </c>
      <c r="E673" s="39">
        <v>37.464324951171875</v>
      </c>
      <c r="F673" s="41">
        <v>1501867</v>
      </c>
      <c r="G673" s="35" t="s">
        <v>672</v>
      </c>
      <c r="H673" s="35" t="s">
        <v>115</v>
      </c>
    </row>
    <row r="674" spans="1:8">
      <c r="A674" s="37">
        <v>39206.15625</v>
      </c>
      <c r="B674" s="35" t="s">
        <v>654</v>
      </c>
      <c r="C674" s="35" t="s">
        <v>655</v>
      </c>
      <c r="D674" s="39">
        <v>59.613998413085938</v>
      </c>
      <c r="E674" s="39">
        <v>37.633495330810547</v>
      </c>
      <c r="F674" s="41">
        <v>1306005</v>
      </c>
      <c r="G674" s="35" t="s">
        <v>672</v>
      </c>
      <c r="H674" s="35" t="s">
        <v>115</v>
      </c>
    </row>
    <row r="675" spans="1:8">
      <c r="A675" s="37">
        <v>39209.15625</v>
      </c>
      <c r="B675" s="35" t="s">
        <v>654</v>
      </c>
      <c r="C675" s="35" t="s">
        <v>655</v>
      </c>
      <c r="D675" s="39">
        <v>59.58599853515625</v>
      </c>
      <c r="E675" s="39">
        <v>37.615821838378906</v>
      </c>
      <c r="F675" s="41">
        <v>1244332</v>
      </c>
      <c r="G675" s="35" t="s">
        <v>672</v>
      </c>
      <c r="H675" s="35" t="s">
        <v>115</v>
      </c>
    </row>
    <row r="676" spans="1:8">
      <c r="A676" s="37">
        <v>39210.15625</v>
      </c>
      <c r="B676" s="35" t="s">
        <v>654</v>
      </c>
      <c r="C676" s="35" t="s">
        <v>655</v>
      </c>
      <c r="D676" s="39">
        <v>60.046001434326172</v>
      </c>
      <c r="E676" s="39">
        <v>37.906219482421875</v>
      </c>
      <c r="F676" s="41">
        <v>3438855</v>
      </c>
      <c r="G676" s="35" t="s">
        <v>672</v>
      </c>
      <c r="H676" s="35" t="s">
        <v>115</v>
      </c>
    </row>
    <row r="677" spans="1:8">
      <c r="A677" s="37">
        <v>39211.15625</v>
      </c>
      <c r="B677" s="35" t="s">
        <v>654</v>
      </c>
      <c r="C677" s="35" t="s">
        <v>655</v>
      </c>
      <c r="D677" s="39">
        <v>59.894001007080078</v>
      </c>
      <c r="E677" s="39">
        <v>37.810264587402344</v>
      </c>
      <c r="F677" s="41">
        <v>1292317</v>
      </c>
      <c r="G677" s="35" t="s">
        <v>672</v>
      </c>
      <c r="H677" s="35" t="s">
        <v>115</v>
      </c>
    </row>
    <row r="678" spans="1:8">
      <c r="A678" s="37">
        <v>39212.15625</v>
      </c>
      <c r="B678" s="35" t="s">
        <v>654</v>
      </c>
      <c r="C678" s="35" t="s">
        <v>655</v>
      </c>
      <c r="D678" s="39">
        <v>62.08599853515625</v>
      </c>
      <c r="E678" s="39">
        <v>39.194042205810547</v>
      </c>
      <c r="F678" s="41">
        <v>10009657</v>
      </c>
      <c r="G678" s="35" t="s">
        <v>672</v>
      </c>
      <c r="H678" s="35" t="s">
        <v>115</v>
      </c>
    </row>
    <row r="679" spans="1:8">
      <c r="A679" s="37">
        <v>39213.15625</v>
      </c>
      <c r="B679" s="35" t="s">
        <v>654</v>
      </c>
      <c r="C679" s="35" t="s">
        <v>655</v>
      </c>
      <c r="D679" s="39">
        <v>64.933998107910156</v>
      </c>
      <c r="E679" s="39">
        <v>40.991947174072266</v>
      </c>
      <c r="F679" s="41">
        <v>10491607</v>
      </c>
      <c r="G679" s="35" t="s">
        <v>672</v>
      </c>
      <c r="H679" s="35" t="s">
        <v>115</v>
      </c>
    </row>
    <row r="680" spans="1:8">
      <c r="A680" s="37">
        <v>39216.15625</v>
      </c>
      <c r="B680" s="35" t="s">
        <v>654</v>
      </c>
      <c r="C680" s="35" t="s">
        <v>655</v>
      </c>
      <c r="D680" s="39">
        <v>67.748001098632813</v>
      </c>
      <c r="E680" s="39">
        <v>42.768386840820313</v>
      </c>
      <c r="F680" s="41">
        <v>7894500</v>
      </c>
      <c r="G680" s="35" t="s">
        <v>672</v>
      </c>
      <c r="H680" s="35" t="s">
        <v>115</v>
      </c>
    </row>
    <row r="681" spans="1:8">
      <c r="A681" s="37">
        <v>39217.15625</v>
      </c>
      <c r="B681" s="35" t="s">
        <v>654</v>
      </c>
      <c r="C681" s="35" t="s">
        <v>655</v>
      </c>
      <c r="D681" s="39">
        <v>69.087997436523438</v>
      </c>
      <c r="E681" s="39">
        <v>43.614303588867188</v>
      </c>
      <c r="F681" s="41">
        <v>8479065</v>
      </c>
      <c r="G681" s="35" t="s">
        <v>672</v>
      </c>
      <c r="H681" s="35" t="s">
        <v>115</v>
      </c>
    </row>
    <row r="682" spans="1:8">
      <c r="A682" s="37">
        <v>39218.15625</v>
      </c>
      <c r="B682" s="35" t="s">
        <v>654</v>
      </c>
      <c r="C682" s="35" t="s">
        <v>655</v>
      </c>
      <c r="D682" s="39">
        <v>71.767997741699219</v>
      </c>
      <c r="E682" s="39">
        <v>45.306171417236328</v>
      </c>
      <c r="F682" s="41">
        <v>7989652</v>
      </c>
      <c r="G682" s="35" t="s">
        <v>672</v>
      </c>
      <c r="H682" s="35" t="s">
        <v>115</v>
      </c>
    </row>
    <row r="683" spans="1:8">
      <c r="A683" s="37">
        <v>39219.15625</v>
      </c>
      <c r="B683" s="35" t="s">
        <v>654</v>
      </c>
      <c r="C683" s="35" t="s">
        <v>655</v>
      </c>
      <c r="D683" s="39">
        <v>71.660003662109375</v>
      </c>
      <c r="E683" s="39">
        <v>45.237979888916016</v>
      </c>
      <c r="F683" s="41">
        <v>7095067</v>
      </c>
      <c r="G683" s="35" t="s">
        <v>672</v>
      </c>
      <c r="H683" s="35" t="s">
        <v>115</v>
      </c>
    </row>
    <row r="684" spans="1:8">
      <c r="A684" s="37">
        <v>39220.15625</v>
      </c>
      <c r="B684" s="35" t="s">
        <v>654</v>
      </c>
      <c r="C684" s="35" t="s">
        <v>655</v>
      </c>
      <c r="D684" s="39">
        <v>68.748001098632813</v>
      </c>
      <c r="E684" s="39">
        <v>43.399681091308594</v>
      </c>
      <c r="F684" s="41">
        <v>4353832</v>
      </c>
      <c r="G684" s="35" t="s">
        <v>672</v>
      </c>
      <c r="H684" s="35" t="s">
        <v>115</v>
      </c>
    </row>
    <row r="685" spans="1:8">
      <c r="A685" s="37">
        <v>39223.15625</v>
      </c>
      <c r="B685" s="35" t="s">
        <v>654</v>
      </c>
      <c r="C685" s="35" t="s">
        <v>655</v>
      </c>
      <c r="D685" s="39">
        <v>68.599998474121094</v>
      </c>
      <c r="E685" s="39">
        <v>43.306240081787109</v>
      </c>
      <c r="F685" s="41">
        <v>2032725</v>
      </c>
      <c r="G685" s="35" t="s">
        <v>672</v>
      </c>
      <c r="H685" s="35" t="s">
        <v>115</v>
      </c>
    </row>
    <row r="686" spans="1:8">
      <c r="A686" s="37">
        <v>39224.15625</v>
      </c>
      <c r="B686" s="35" t="s">
        <v>654</v>
      </c>
      <c r="C686" s="35" t="s">
        <v>655</v>
      </c>
      <c r="D686" s="39">
        <v>67.44000244140625</v>
      </c>
      <c r="E686" s="39">
        <v>42.573951721191406</v>
      </c>
      <c r="F686" s="41">
        <v>1731952</v>
      </c>
      <c r="G686" s="35" t="s">
        <v>672</v>
      </c>
      <c r="H686" s="35" t="s">
        <v>115</v>
      </c>
    </row>
    <row r="687" spans="1:8">
      <c r="A687" s="37">
        <v>39225.15625</v>
      </c>
      <c r="B687" s="35" t="s">
        <v>654</v>
      </c>
      <c r="C687" s="35" t="s">
        <v>655</v>
      </c>
      <c r="D687" s="39">
        <v>69.734001159667969</v>
      </c>
      <c r="E687" s="39">
        <v>44.022121429443359</v>
      </c>
      <c r="F687" s="41">
        <v>8605425</v>
      </c>
      <c r="G687" s="35" t="s">
        <v>672</v>
      </c>
      <c r="H687" s="35" t="s">
        <v>115</v>
      </c>
    </row>
    <row r="688" spans="1:8">
      <c r="A688" s="37">
        <v>39226.15625</v>
      </c>
      <c r="B688" s="35" t="s">
        <v>654</v>
      </c>
      <c r="C688" s="35" t="s">
        <v>655</v>
      </c>
      <c r="D688" s="39">
        <v>73.333999633789063</v>
      </c>
      <c r="E688" s="39">
        <v>46.294750213623047</v>
      </c>
      <c r="F688" s="41">
        <v>17440027</v>
      </c>
      <c r="G688" s="35" t="s">
        <v>672</v>
      </c>
      <c r="H688" s="35" t="s">
        <v>115</v>
      </c>
    </row>
    <row r="689" spans="1:8">
      <c r="A689" s="37">
        <v>39227.15625</v>
      </c>
      <c r="B689" s="35" t="s">
        <v>654</v>
      </c>
      <c r="C689" s="35" t="s">
        <v>655</v>
      </c>
      <c r="D689" s="39">
        <v>80.648002624511719</v>
      </c>
      <c r="E689" s="39">
        <v>50.911972045898438</v>
      </c>
      <c r="F689" s="41">
        <v>19272150</v>
      </c>
      <c r="G689" s="35" t="s">
        <v>672</v>
      </c>
      <c r="H689" s="35" t="s">
        <v>115</v>
      </c>
    </row>
    <row r="690" spans="1:8">
      <c r="A690" s="37">
        <v>39230.15625</v>
      </c>
      <c r="B690" s="35" t="s">
        <v>654</v>
      </c>
      <c r="C690" s="35" t="s">
        <v>655</v>
      </c>
      <c r="D690" s="39">
        <v>78.419998168945313</v>
      </c>
      <c r="E690" s="39">
        <v>49.505474090576172</v>
      </c>
      <c r="F690" s="41">
        <v>14109727</v>
      </c>
      <c r="G690" s="35" t="s">
        <v>672</v>
      </c>
      <c r="H690" s="35" t="s">
        <v>115</v>
      </c>
    </row>
    <row r="691" spans="1:8">
      <c r="A691" s="37">
        <v>39231.15625</v>
      </c>
      <c r="B691" s="35" t="s">
        <v>654</v>
      </c>
      <c r="C691" s="35" t="s">
        <v>655</v>
      </c>
      <c r="D691" s="39">
        <v>80.860000610351563</v>
      </c>
      <c r="E691" s="39">
        <v>51.045814514160156</v>
      </c>
      <c r="F691" s="41">
        <v>7814647</v>
      </c>
      <c r="G691" s="35" t="s">
        <v>672</v>
      </c>
      <c r="H691" s="35" t="s">
        <v>115</v>
      </c>
    </row>
    <row r="692" spans="1:8">
      <c r="A692" s="37">
        <v>39232.15625</v>
      </c>
      <c r="B692" s="35" t="s">
        <v>654</v>
      </c>
      <c r="C692" s="35" t="s">
        <v>655</v>
      </c>
      <c r="D692" s="39">
        <v>80.360000610351563</v>
      </c>
      <c r="E692" s="39">
        <v>50.73016357421875</v>
      </c>
      <c r="F692" s="41">
        <v>6323377</v>
      </c>
      <c r="G692" s="35" t="s">
        <v>672</v>
      </c>
      <c r="H692" s="35" t="s">
        <v>115</v>
      </c>
    </row>
    <row r="693" spans="1:8">
      <c r="A693" s="37">
        <v>39233.15625</v>
      </c>
      <c r="B693" s="35" t="s">
        <v>654</v>
      </c>
      <c r="C693" s="35" t="s">
        <v>655</v>
      </c>
      <c r="D693" s="39">
        <v>80.347999572753906</v>
      </c>
      <c r="E693" s="39">
        <v>50.722610473632813</v>
      </c>
      <c r="F693" s="41">
        <v>3272707</v>
      </c>
      <c r="G693" s="35" t="s">
        <v>672</v>
      </c>
      <c r="H693" s="35" t="s">
        <v>115</v>
      </c>
    </row>
    <row r="694" spans="1:8">
      <c r="A694" s="37">
        <v>39234.15625</v>
      </c>
      <c r="B694" s="35" t="s">
        <v>654</v>
      </c>
      <c r="C694" s="35" t="s">
        <v>655</v>
      </c>
      <c r="D694" s="39">
        <v>78.708000183105469</v>
      </c>
      <c r="E694" s="39">
        <v>49.687305450439453</v>
      </c>
      <c r="F694" s="41">
        <v>2261137</v>
      </c>
      <c r="G694" s="35" t="s">
        <v>672</v>
      </c>
      <c r="H694" s="35" t="s">
        <v>115</v>
      </c>
    </row>
    <row r="695" spans="1:8">
      <c r="A695" s="37">
        <v>39237.15625</v>
      </c>
      <c r="B695" s="35" t="s">
        <v>654</v>
      </c>
      <c r="C695" s="35" t="s">
        <v>655</v>
      </c>
      <c r="D695" s="39">
        <v>77.599998474121094</v>
      </c>
      <c r="E695" s="39">
        <v>48.987812042236328</v>
      </c>
      <c r="F695" s="41">
        <v>3632880</v>
      </c>
      <c r="G695" s="35" t="s">
        <v>672</v>
      </c>
      <c r="H695" s="35" t="s">
        <v>115</v>
      </c>
    </row>
    <row r="696" spans="1:8">
      <c r="A696" s="37">
        <v>39238.15625</v>
      </c>
      <c r="B696" s="35" t="s">
        <v>654</v>
      </c>
      <c r="C696" s="35" t="s">
        <v>655</v>
      </c>
      <c r="D696" s="39">
        <v>75.459999084472656</v>
      </c>
      <c r="E696" s="39">
        <v>47.636875152587891</v>
      </c>
      <c r="F696" s="41">
        <v>4730580</v>
      </c>
      <c r="G696" s="35" t="s">
        <v>672</v>
      </c>
      <c r="H696" s="35" t="s">
        <v>115</v>
      </c>
    </row>
    <row r="697" spans="1:8">
      <c r="A697" s="37">
        <v>39239.15625</v>
      </c>
      <c r="B697" s="35" t="s">
        <v>654</v>
      </c>
      <c r="C697" s="35" t="s">
        <v>655</v>
      </c>
      <c r="D697" s="39">
        <v>74.893997192382813</v>
      </c>
      <c r="E697" s="39">
        <v>47.279563903808594</v>
      </c>
      <c r="F697" s="41">
        <v>3559402</v>
      </c>
      <c r="G697" s="35" t="s">
        <v>672</v>
      </c>
      <c r="H697" s="35" t="s">
        <v>115</v>
      </c>
    </row>
    <row r="698" spans="1:8">
      <c r="A698" s="37">
        <v>39240.15625</v>
      </c>
      <c r="B698" s="35" t="s">
        <v>654</v>
      </c>
      <c r="C698" s="35" t="s">
        <v>655</v>
      </c>
      <c r="D698" s="39">
        <v>72.853996276855469</v>
      </c>
      <c r="E698" s="39">
        <v>45.991744995117188</v>
      </c>
      <c r="F698" s="41">
        <v>2674072</v>
      </c>
      <c r="G698" s="35" t="s">
        <v>672</v>
      </c>
      <c r="H698" s="35" t="s">
        <v>115</v>
      </c>
    </row>
    <row r="699" spans="1:8">
      <c r="A699" s="37">
        <v>39241.15625</v>
      </c>
      <c r="B699" s="35" t="s">
        <v>654</v>
      </c>
      <c r="C699" s="35" t="s">
        <v>655</v>
      </c>
      <c r="D699" s="39">
        <v>72.186668395996094</v>
      </c>
      <c r="E699" s="39">
        <v>45.570453643798828</v>
      </c>
      <c r="F699" s="41">
        <v>2756700</v>
      </c>
      <c r="G699" s="35" t="s">
        <v>672</v>
      </c>
      <c r="H699" s="35" t="s">
        <v>115</v>
      </c>
    </row>
    <row r="700" spans="1:8">
      <c r="A700" s="37">
        <v>39244.15625</v>
      </c>
      <c r="B700" s="35" t="s">
        <v>654</v>
      </c>
      <c r="C700" s="35" t="s">
        <v>655</v>
      </c>
      <c r="D700" s="39">
        <v>73.367996215820313</v>
      </c>
      <c r="E700" s="39">
        <v>46.316211700439453</v>
      </c>
      <c r="F700" s="41">
        <v>1729530</v>
      </c>
      <c r="G700" s="35" t="s">
        <v>672</v>
      </c>
      <c r="H700" s="35" t="s">
        <v>115</v>
      </c>
    </row>
    <row r="701" spans="1:8">
      <c r="A701" s="37">
        <v>39245.15625</v>
      </c>
      <c r="B701" s="35" t="s">
        <v>654</v>
      </c>
      <c r="C701" s="35" t="s">
        <v>655</v>
      </c>
      <c r="D701" s="39">
        <v>72.760002136230469</v>
      </c>
      <c r="E701" s="39">
        <v>45.932388305664063</v>
      </c>
      <c r="F701" s="41">
        <v>1979527</v>
      </c>
      <c r="G701" s="35" t="s">
        <v>672</v>
      </c>
      <c r="H701" s="35" t="s">
        <v>115</v>
      </c>
    </row>
    <row r="702" spans="1:8">
      <c r="A702" s="37">
        <v>39246.15625</v>
      </c>
      <c r="B702" s="35" t="s">
        <v>654</v>
      </c>
      <c r="C702" s="35" t="s">
        <v>655</v>
      </c>
      <c r="D702" s="39">
        <v>71.073997497558594</v>
      </c>
      <c r="E702" s="39">
        <v>44.868053436279297</v>
      </c>
      <c r="F702" s="41">
        <v>2650132</v>
      </c>
      <c r="G702" s="35" t="s">
        <v>672</v>
      </c>
      <c r="H702" s="35" t="s">
        <v>115</v>
      </c>
    </row>
    <row r="703" spans="1:8">
      <c r="A703" s="37">
        <v>39247.15625</v>
      </c>
      <c r="B703" s="35" t="s">
        <v>654</v>
      </c>
      <c r="C703" s="35" t="s">
        <v>655</v>
      </c>
      <c r="D703" s="39">
        <v>71.174003601074219</v>
      </c>
      <c r="E703" s="39">
        <v>44.931182861328125</v>
      </c>
      <c r="F703" s="41">
        <v>2123887</v>
      </c>
      <c r="G703" s="35" t="s">
        <v>672</v>
      </c>
      <c r="H703" s="35" t="s">
        <v>115</v>
      </c>
    </row>
    <row r="704" spans="1:8">
      <c r="A704" s="37">
        <v>39248.15625</v>
      </c>
      <c r="B704" s="35" t="s">
        <v>654</v>
      </c>
      <c r="C704" s="35" t="s">
        <v>655</v>
      </c>
      <c r="D704" s="39">
        <v>71.347999572753906</v>
      </c>
      <c r="E704" s="39">
        <v>45.041011810302734</v>
      </c>
      <c r="F704" s="41">
        <v>1580760</v>
      </c>
      <c r="G704" s="35" t="s">
        <v>672</v>
      </c>
      <c r="H704" s="35" t="s">
        <v>115</v>
      </c>
    </row>
    <row r="705" spans="1:8">
      <c r="A705" s="37">
        <v>39251.15625</v>
      </c>
      <c r="B705" s="35" t="s">
        <v>654</v>
      </c>
      <c r="C705" s="35" t="s">
        <v>655</v>
      </c>
      <c r="D705" s="39">
        <v>70.53399658203125</v>
      </c>
      <c r="E705" s="39">
        <v>44.527149200439453</v>
      </c>
      <c r="F705" s="41">
        <v>1347060</v>
      </c>
      <c r="G705" s="35" t="s">
        <v>672</v>
      </c>
      <c r="H705" s="35" t="s">
        <v>115</v>
      </c>
    </row>
    <row r="706" spans="1:8">
      <c r="A706" s="37">
        <v>39252.15625</v>
      </c>
      <c r="B706" s="35" t="s">
        <v>654</v>
      </c>
      <c r="C706" s="35" t="s">
        <v>655</v>
      </c>
      <c r="D706" s="39">
        <v>69.800003051757813</v>
      </c>
      <c r="E706" s="39">
        <v>44.063804626464844</v>
      </c>
      <c r="F706" s="41">
        <v>1894837</v>
      </c>
      <c r="G706" s="35" t="s">
        <v>672</v>
      </c>
      <c r="H706" s="35" t="s">
        <v>115</v>
      </c>
    </row>
    <row r="707" spans="1:8">
      <c r="A707" s="37">
        <v>39253.15625</v>
      </c>
      <c r="B707" s="35" t="s">
        <v>654</v>
      </c>
      <c r="C707" s="35" t="s">
        <v>655</v>
      </c>
      <c r="D707" s="39">
        <v>69.620002746582031</v>
      </c>
      <c r="E707" s="39">
        <v>43.950153350830078</v>
      </c>
      <c r="F707" s="41">
        <v>1445062</v>
      </c>
      <c r="G707" s="35" t="s">
        <v>672</v>
      </c>
      <c r="H707" s="35" t="s">
        <v>115</v>
      </c>
    </row>
    <row r="708" spans="1:8">
      <c r="A708" s="37">
        <v>39254.15625</v>
      </c>
      <c r="B708" s="35" t="s">
        <v>654</v>
      </c>
      <c r="C708" s="35" t="s">
        <v>655</v>
      </c>
      <c r="D708" s="39">
        <v>69.379997253417969</v>
      </c>
      <c r="E708" s="39">
        <v>43.79864501953125</v>
      </c>
      <c r="F708" s="41">
        <v>1897327</v>
      </c>
      <c r="G708" s="35" t="s">
        <v>672</v>
      </c>
      <c r="H708" s="35" t="s">
        <v>115</v>
      </c>
    </row>
    <row r="709" spans="1:8">
      <c r="A709" s="37">
        <v>39255.15625</v>
      </c>
      <c r="B709" s="35" t="s">
        <v>654</v>
      </c>
      <c r="C709" s="35" t="s">
        <v>655</v>
      </c>
      <c r="D709" s="39">
        <v>73.459999084472656</v>
      </c>
      <c r="E709" s="39">
        <v>46.374301910400391</v>
      </c>
      <c r="F709" s="41">
        <v>4140247</v>
      </c>
      <c r="G709" s="35" t="s">
        <v>672</v>
      </c>
      <c r="H709" s="35" t="s">
        <v>115</v>
      </c>
    </row>
    <row r="710" spans="1:8">
      <c r="A710" s="37">
        <v>39258.15625</v>
      </c>
      <c r="B710" s="35" t="s">
        <v>654</v>
      </c>
      <c r="C710" s="35" t="s">
        <v>655</v>
      </c>
      <c r="D710" s="39">
        <v>72.148002624511719</v>
      </c>
      <c r="E710" s="39">
        <v>45.546047210693359</v>
      </c>
      <c r="F710" s="41">
        <v>2100112</v>
      </c>
      <c r="G710" s="35" t="s">
        <v>672</v>
      </c>
      <c r="H710" s="35" t="s">
        <v>115</v>
      </c>
    </row>
    <row r="711" spans="1:8">
      <c r="A711" s="37">
        <v>39259.15625</v>
      </c>
      <c r="B711" s="35" t="s">
        <v>654</v>
      </c>
      <c r="C711" s="35" t="s">
        <v>655</v>
      </c>
      <c r="D711" s="39">
        <v>70.847999572753906</v>
      </c>
      <c r="E711" s="39">
        <v>44.725372314453125</v>
      </c>
      <c r="F711" s="41">
        <v>1686045</v>
      </c>
      <c r="G711" s="35" t="s">
        <v>672</v>
      </c>
      <c r="H711" s="35" t="s">
        <v>115</v>
      </c>
    </row>
    <row r="712" spans="1:8">
      <c r="A712" s="37">
        <v>39260.15625</v>
      </c>
      <c r="B712" s="35" t="s">
        <v>654</v>
      </c>
      <c r="C712" s="35" t="s">
        <v>655</v>
      </c>
      <c r="D712" s="39">
        <v>69.099998474121094</v>
      </c>
      <c r="E712" s="39">
        <v>43.62188720703125</v>
      </c>
      <c r="F712" s="41">
        <v>3068475</v>
      </c>
      <c r="G712" s="35" t="s">
        <v>672</v>
      </c>
      <c r="H712" s="35" t="s">
        <v>115</v>
      </c>
    </row>
    <row r="713" spans="1:8">
      <c r="A713" s="37">
        <v>39261.15625</v>
      </c>
      <c r="B713" s="35" t="s">
        <v>654</v>
      </c>
      <c r="C713" s="35" t="s">
        <v>655</v>
      </c>
      <c r="D713" s="39">
        <v>69.634002685546875</v>
      </c>
      <c r="E713" s="39">
        <v>43.958999633789063</v>
      </c>
      <c r="F713" s="41">
        <v>967372</v>
      </c>
      <c r="G713" s="35" t="s">
        <v>672</v>
      </c>
      <c r="H713" s="35" t="s">
        <v>115</v>
      </c>
    </row>
    <row r="714" spans="1:8">
      <c r="A714" s="37">
        <v>39262.15625</v>
      </c>
      <c r="B714" s="35" t="s">
        <v>654</v>
      </c>
      <c r="C714" s="35" t="s">
        <v>655</v>
      </c>
      <c r="D714" s="39">
        <v>68.8280029296875</v>
      </c>
      <c r="E714" s="39">
        <v>43.450180053710938</v>
      </c>
      <c r="F714" s="41">
        <v>2072850</v>
      </c>
      <c r="G714" s="35" t="s">
        <v>672</v>
      </c>
      <c r="H714" s="35" t="s">
        <v>115</v>
      </c>
    </row>
    <row r="715" spans="1:8">
      <c r="A715" s="37">
        <v>39265.15625</v>
      </c>
      <c r="B715" s="35" t="s">
        <v>654</v>
      </c>
      <c r="C715" s="35" t="s">
        <v>655</v>
      </c>
      <c r="D715" s="39">
        <v>68.047996520996094</v>
      </c>
      <c r="E715" s="39">
        <v>42.957767486572266</v>
      </c>
      <c r="F715" s="41">
        <v>2044275</v>
      </c>
      <c r="G715" s="35" t="s">
        <v>672</v>
      </c>
      <c r="H715" s="35" t="s">
        <v>115</v>
      </c>
    </row>
    <row r="716" spans="1:8">
      <c r="A716" s="37">
        <v>39266.15625</v>
      </c>
      <c r="B716" s="35" t="s">
        <v>654</v>
      </c>
      <c r="C716" s="35" t="s">
        <v>655</v>
      </c>
      <c r="D716" s="39">
        <v>70.433998107910156</v>
      </c>
      <c r="E716" s="39">
        <v>44.464015960693359</v>
      </c>
      <c r="F716" s="41">
        <v>3771397</v>
      </c>
      <c r="G716" s="35" t="s">
        <v>672</v>
      </c>
      <c r="H716" s="35" t="s">
        <v>115</v>
      </c>
    </row>
    <row r="717" spans="1:8">
      <c r="A717" s="37">
        <v>39267.15625</v>
      </c>
      <c r="B717" s="35" t="s">
        <v>654</v>
      </c>
      <c r="C717" s="35" t="s">
        <v>655</v>
      </c>
      <c r="D717" s="39">
        <v>69.339996337890625</v>
      </c>
      <c r="E717" s="39">
        <v>43.773391723632813</v>
      </c>
      <c r="F717" s="41">
        <v>1468942</v>
      </c>
      <c r="G717" s="35" t="s">
        <v>672</v>
      </c>
      <c r="H717" s="35" t="s">
        <v>115</v>
      </c>
    </row>
    <row r="718" spans="1:8">
      <c r="A718" s="37">
        <v>39268.15625</v>
      </c>
      <c r="B718" s="35" t="s">
        <v>654</v>
      </c>
      <c r="C718" s="35" t="s">
        <v>655</v>
      </c>
      <c r="D718" s="39">
        <v>68.680000305175781</v>
      </c>
      <c r="E718" s="39">
        <v>43.356739044189453</v>
      </c>
      <c r="F718" s="41">
        <v>1447507</v>
      </c>
      <c r="G718" s="35" t="s">
        <v>672</v>
      </c>
      <c r="H718" s="35" t="s">
        <v>115</v>
      </c>
    </row>
    <row r="719" spans="1:8">
      <c r="A719" s="37">
        <v>39269.15625</v>
      </c>
      <c r="B719" s="35" t="s">
        <v>654</v>
      </c>
      <c r="C719" s="35" t="s">
        <v>655</v>
      </c>
      <c r="D719" s="39">
        <v>68.648002624511719</v>
      </c>
      <c r="E719" s="39">
        <v>43.336551666259766</v>
      </c>
      <c r="F719" s="41">
        <v>1508377</v>
      </c>
      <c r="G719" s="35" t="s">
        <v>672</v>
      </c>
      <c r="H719" s="35" t="s">
        <v>115</v>
      </c>
    </row>
    <row r="720" spans="1:8">
      <c r="A720" s="37">
        <v>39272.15625</v>
      </c>
      <c r="B720" s="35" t="s">
        <v>654</v>
      </c>
      <c r="C720" s="35" t="s">
        <v>655</v>
      </c>
      <c r="D720" s="39">
        <v>69.120002746582031</v>
      </c>
      <c r="E720" s="39">
        <v>43.634510040283203</v>
      </c>
      <c r="F720" s="41">
        <v>2108212</v>
      </c>
      <c r="G720" s="35" t="s">
        <v>672</v>
      </c>
      <c r="H720" s="35" t="s">
        <v>115</v>
      </c>
    </row>
    <row r="721" spans="1:8">
      <c r="A721" s="37">
        <v>39273.15625</v>
      </c>
      <c r="B721" s="35" t="s">
        <v>654</v>
      </c>
      <c r="C721" s="35" t="s">
        <v>655</v>
      </c>
      <c r="D721" s="39">
        <v>70.260002136230469</v>
      </c>
      <c r="E721" s="39">
        <v>44.354190826416016</v>
      </c>
      <c r="F721" s="41">
        <v>2713432</v>
      </c>
      <c r="G721" s="35" t="s">
        <v>672</v>
      </c>
      <c r="H721" s="35" t="s">
        <v>115</v>
      </c>
    </row>
    <row r="722" spans="1:8">
      <c r="A722" s="37">
        <v>39274.15625</v>
      </c>
      <c r="B722" s="35" t="s">
        <v>654</v>
      </c>
      <c r="C722" s="35" t="s">
        <v>655</v>
      </c>
      <c r="D722" s="39">
        <v>68.819999694824219</v>
      </c>
      <c r="E722" s="39">
        <v>43.445125579833984</v>
      </c>
      <c r="F722" s="41">
        <v>1419480</v>
      </c>
      <c r="G722" s="35" t="s">
        <v>672</v>
      </c>
      <c r="H722" s="35" t="s">
        <v>115</v>
      </c>
    </row>
    <row r="723" spans="1:8">
      <c r="A723" s="37">
        <v>39275.15625</v>
      </c>
      <c r="B723" s="35" t="s">
        <v>654</v>
      </c>
      <c r="C723" s="35" t="s">
        <v>655</v>
      </c>
      <c r="D723" s="39">
        <v>67.994003295898438</v>
      </c>
      <c r="E723" s="39">
        <v>42.923683166503906</v>
      </c>
      <c r="F723" s="41">
        <v>1476750</v>
      </c>
      <c r="G723" s="35" t="s">
        <v>672</v>
      </c>
      <c r="H723" s="35" t="s">
        <v>115</v>
      </c>
    </row>
    <row r="724" spans="1:8">
      <c r="A724" s="37">
        <v>39276.15625</v>
      </c>
      <c r="B724" s="35" t="s">
        <v>654</v>
      </c>
      <c r="C724" s="35" t="s">
        <v>655</v>
      </c>
      <c r="D724" s="39">
        <v>67.713996887207031</v>
      </c>
      <c r="E724" s="39">
        <v>42.746932983398438</v>
      </c>
      <c r="F724" s="41">
        <v>1240005</v>
      </c>
      <c r="G724" s="35" t="s">
        <v>672</v>
      </c>
      <c r="H724" s="35" t="s">
        <v>115</v>
      </c>
    </row>
    <row r="725" spans="1:8">
      <c r="A725" s="37">
        <v>39279.15625</v>
      </c>
      <c r="B725" s="35" t="s">
        <v>654</v>
      </c>
      <c r="C725" s="35" t="s">
        <v>655</v>
      </c>
      <c r="D725" s="39">
        <v>65.945999145507813</v>
      </c>
      <c r="E725" s="39">
        <v>41.63079833984375</v>
      </c>
      <c r="F725" s="41">
        <v>1522935</v>
      </c>
      <c r="G725" s="35" t="s">
        <v>672</v>
      </c>
      <c r="H725" s="35" t="s">
        <v>115</v>
      </c>
    </row>
    <row r="726" spans="1:8">
      <c r="A726" s="37">
        <v>39280.15625</v>
      </c>
      <c r="B726" s="35" t="s">
        <v>654</v>
      </c>
      <c r="C726" s="35" t="s">
        <v>655</v>
      </c>
      <c r="D726" s="39">
        <v>66.365997314453125</v>
      </c>
      <c r="E726" s="39">
        <v>42.453880310058594</v>
      </c>
      <c r="F726" s="41">
        <v>2232900</v>
      </c>
      <c r="G726" s="35" t="s">
        <v>672</v>
      </c>
      <c r="H726" s="35" t="s">
        <v>115</v>
      </c>
    </row>
    <row r="727" spans="1:8">
      <c r="A727" s="37">
        <v>39281.15625</v>
      </c>
      <c r="B727" s="35" t="s">
        <v>654</v>
      </c>
      <c r="C727" s="35" t="s">
        <v>655</v>
      </c>
      <c r="D727" s="39">
        <v>63.520000457763672</v>
      </c>
      <c r="E727" s="39">
        <v>40.633312225341797</v>
      </c>
      <c r="F727" s="41">
        <v>1719652</v>
      </c>
      <c r="G727" s="35" t="s">
        <v>672</v>
      </c>
      <c r="H727" s="35" t="s">
        <v>115</v>
      </c>
    </row>
    <row r="728" spans="1:8">
      <c r="A728" s="37">
        <v>39282.15625</v>
      </c>
      <c r="B728" s="35" t="s">
        <v>654</v>
      </c>
      <c r="C728" s="35" t="s">
        <v>655</v>
      </c>
      <c r="D728" s="39">
        <v>64.433998107910156</v>
      </c>
      <c r="E728" s="39">
        <v>41.217987060546875</v>
      </c>
      <c r="F728" s="41">
        <v>2254785</v>
      </c>
      <c r="G728" s="35" t="s">
        <v>672</v>
      </c>
      <c r="H728" s="35" t="s">
        <v>115</v>
      </c>
    </row>
    <row r="729" spans="1:8">
      <c r="A729" s="37">
        <v>39283.15625</v>
      </c>
      <c r="B729" s="35" t="s">
        <v>654</v>
      </c>
      <c r="C729" s="35" t="s">
        <v>655</v>
      </c>
      <c r="D729" s="39">
        <v>65.286003112792969</v>
      </c>
      <c r="E729" s="39">
        <v>41.763008117675781</v>
      </c>
      <c r="F729" s="41">
        <v>1335787</v>
      </c>
      <c r="G729" s="35" t="s">
        <v>672</v>
      </c>
      <c r="H729" s="35" t="s">
        <v>115</v>
      </c>
    </row>
    <row r="730" spans="1:8">
      <c r="A730" s="37">
        <v>39286.15625</v>
      </c>
      <c r="B730" s="35" t="s">
        <v>654</v>
      </c>
      <c r="C730" s="35" t="s">
        <v>655</v>
      </c>
      <c r="D730" s="39">
        <v>67.800003051757813</v>
      </c>
      <c r="E730" s="39">
        <v>43.371204376220703</v>
      </c>
      <c r="F730" s="41">
        <v>4077112</v>
      </c>
      <c r="G730" s="35" t="s">
        <v>672</v>
      </c>
      <c r="H730" s="35" t="s">
        <v>115</v>
      </c>
    </row>
    <row r="731" spans="1:8">
      <c r="A731" s="37">
        <v>39287.15625</v>
      </c>
      <c r="B731" s="35" t="s">
        <v>654</v>
      </c>
      <c r="C731" s="35" t="s">
        <v>655</v>
      </c>
      <c r="D731" s="39">
        <v>67.293998718261719</v>
      </c>
      <c r="E731" s="39">
        <v>43.047515869140625</v>
      </c>
      <c r="F731" s="41">
        <v>2098575</v>
      </c>
      <c r="G731" s="35" t="s">
        <v>672</v>
      </c>
      <c r="H731" s="35" t="s">
        <v>115</v>
      </c>
    </row>
    <row r="732" spans="1:8">
      <c r="A732" s="37">
        <v>39288.15625</v>
      </c>
      <c r="B732" s="35" t="s">
        <v>654</v>
      </c>
      <c r="C732" s="35" t="s">
        <v>655</v>
      </c>
      <c r="D732" s="39">
        <v>71.959999084472656</v>
      </c>
      <c r="E732" s="39">
        <v>46.032321929931641</v>
      </c>
      <c r="F732" s="41">
        <v>8032140</v>
      </c>
      <c r="G732" s="35" t="s">
        <v>672</v>
      </c>
      <c r="H732" s="35" t="s">
        <v>115</v>
      </c>
    </row>
    <row r="733" spans="1:8">
      <c r="A733" s="37">
        <v>39289.15625</v>
      </c>
      <c r="B733" s="35" t="s">
        <v>654</v>
      </c>
      <c r="C733" s="35" t="s">
        <v>655</v>
      </c>
      <c r="D733" s="39">
        <v>72.4739990234375</v>
      </c>
      <c r="E733" s="39">
        <v>46.361133575439453</v>
      </c>
      <c r="F733" s="41">
        <v>5302695</v>
      </c>
      <c r="G733" s="35" t="s">
        <v>672</v>
      </c>
      <c r="H733" s="35" t="s">
        <v>115</v>
      </c>
    </row>
    <row r="734" spans="1:8">
      <c r="A734" s="37">
        <v>39290.15625</v>
      </c>
      <c r="B734" s="35" t="s">
        <v>654</v>
      </c>
      <c r="C734" s="35" t="s">
        <v>655</v>
      </c>
      <c r="D734" s="39">
        <v>65.540000915527344</v>
      </c>
      <c r="E734" s="39">
        <v>41.925487518310547</v>
      </c>
      <c r="F734" s="41">
        <v>3697057</v>
      </c>
      <c r="G734" s="35" t="s">
        <v>672</v>
      </c>
      <c r="H734" s="35" t="s">
        <v>115</v>
      </c>
    </row>
    <row r="735" spans="1:8">
      <c r="A735" s="37">
        <v>39293.15625</v>
      </c>
      <c r="B735" s="35" t="s">
        <v>654</v>
      </c>
      <c r="C735" s="35" t="s">
        <v>655</v>
      </c>
      <c r="D735" s="39">
        <v>61.773998260498047</v>
      </c>
      <c r="E735" s="39">
        <v>39.516403198242188</v>
      </c>
      <c r="F735" s="41">
        <v>4827697</v>
      </c>
      <c r="G735" s="35" t="s">
        <v>672</v>
      </c>
      <c r="H735" s="35" t="s">
        <v>115</v>
      </c>
    </row>
    <row r="736" spans="1:8">
      <c r="A736" s="37">
        <v>39294.15625</v>
      </c>
      <c r="B736" s="35" t="s">
        <v>654</v>
      </c>
      <c r="C736" s="35" t="s">
        <v>655</v>
      </c>
      <c r="D736" s="39">
        <v>63.299999237060547</v>
      </c>
      <c r="E736" s="39">
        <v>40.492576599121094</v>
      </c>
      <c r="F736" s="41">
        <v>2853667</v>
      </c>
      <c r="G736" s="35" t="s">
        <v>672</v>
      </c>
      <c r="H736" s="35" t="s">
        <v>115</v>
      </c>
    </row>
    <row r="737" spans="1:8">
      <c r="A737" s="37">
        <v>39295.15625</v>
      </c>
      <c r="B737" s="35" t="s">
        <v>654</v>
      </c>
      <c r="C737" s="35" t="s">
        <v>655</v>
      </c>
      <c r="D737" s="39">
        <v>60.880001068115234</v>
      </c>
      <c r="E737" s="39">
        <v>38.944526672363281</v>
      </c>
      <c r="F737" s="41">
        <v>1834522</v>
      </c>
      <c r="G737" s="35" t="s">
        <v>672</v>
      </c>
      <c r="H737" s="35" t="s">
        <v>115</v>
      </c>
    </row>
    <row r="738" spans="1:8">
      <c r="A738" s="37">
        <v>39296.15625</v>
      </c>
      <c r="B738" s="35" t="s">
        <v>654</v>
      </c>
      <c r="C738" s="35" t="s">
        <v>655</v>
      </c>
      <c r="D738" s="39">
        <v>62.925998687744141</v>
      </c>
      <c r="E738" s="39">
        <v>40.253341674804688</v>
      </c>
      <c r="F738" s="41">
        <v>1486402</v>
      </c>
      <c r="G738" s="35" t="s">
        <v>672</v>
      </c>
      <c r="H738" s="35" t="s">
        <v>115</v>
      </c>
    </row>
    <row r="739" spans="1:8">
      <c r="A739" s="37">
        <v>39297.15625</v>
      </c>
      <c r="B739" s="35" t="s">
        <v>654</v>
      </c>
      <c r="C739" s="35" t="s">
        <v>655</v>
      </c>
      <c r="D739" s="39">
        <v>63.846000671386719</v>
      </c>
      <c r="E739" s="39">
        <v>40.841869354248047</v>
      </c>
      <c r="F739" s="41">
        <v>1481235</v>
      </c>
      <c r="G739" s="35" t="s">
        <v>672</v>
      </c>
      <c r="H739" s="35" t="s">
        <v>115</v>
      </c>
    </row>
    <row r="740" spans="1:8">
      <c r="A740" s="37">
        <v>39300.15625</v>
      </c>
      <c r="B740" s="35" t="s">
        <v>654</v>
      </c>
      <c r="C740" s="35" t="s">
        <v>655</v>
      </c>
      <c r="D740" s="39">
        <v>60.554000854492188</v>
      </c>
      <c r="E740" s="39">
        <v>38.735988616943359</v>
      </c>
      <c r="F740" s="41">
        <v>1443487</v>
      </c>
      <c r="G740" s="35" t="s">
        <v>672</v>
      </c>
      <c r="H740" s="35" t="s">
        <v>115</v>
      </c>
    </row>
    <row r="741" spans="1:8">
      <c r="A741" s="37">
        <v>39301.15625</v>
      </c>
      <c r="B741" s="35" t="s">
        <v>654</v>
      </c>
      <c r="C741" s="35" t="s">
        <v>655</v>
      </c>
      <c r="D741" s="39">
        <v>59.613998413085938</v>
      </c>
      <c r="E741" s="39">
        <v>38.134662628173828</v>
      </c>
      <c r="F741" s="41">
        <v>2044747</v>
      </c>
      <c r="G741" s="35" t="s">
        <v>672</v>
      </c>
      <c r="H741" s="35" t="s">
        <v>115</v>
      </c>
    </row>
    <row r="742" spans="1:8">
      <c r="A742" s="37">
        <v>39302.15625</v>
      </c>
      <c r="B742" s="35" t="s">
        <v>654</v>
      </c>
      <c r="C742" s="35" t="s">
        <v>655</v>
      </c>
      <c r="D742" s="39">
        <v>61.419998168945313</v>
      </c>
      <c r="E742" s="39">
        <v>39.289951324462891</v>
      </c>
      <c r="F742" s="41">
        <v>3055005</v>
      </c>
      <c r="G742" s="35" t="s">
        <v>672</v>
      </c>
      <c r="H742" s="35" t="s">
        <v>115</v>
      </c>
    </row>
    <row r="743" spans="1:8">
      <c r="A743" s="37">
        <v>39303.15625</v>
      </c>
      <c r="B743" s="35" t="s">
        <v>654</v>
      </c>
      <c r="C743" s="35" t="s">
        <v>655</v>
      </c>
      <c r="D743" s="39">
        <v>60.479999542236328</v>
      </c>
      <c r="E743" s="39">
        <v>38.688652038574219</v>
      </c>
      <c r="F743" s="41">
        <v>1455157</v>
      </c>
      <c r="G743" s="35" t="s">
        <v>672</v>
      </c>
      <c r="H743" s="35" t="s">
        <v>115</v>
      </c>
    </row>
    <row r="744" spans="1:8">
      <c r="A744" s="37">
        <v>39304.15625</v>
      </c>
      <c r="B744" s="35" t="s">
        <v>654</v>
      </c>
      <c r="C744" s="35" t="s">
        <v>655</v>
      </c>
      <c r="D744" s="39">
        <v>58.599998474121094</v>
      </c>
      <c r="E744" s="39">
        <v>37.486030578613281</v>
      </c>
      <c r="F744" s="41">
        <v>1861462</v>
      </c>
      <c r="G744" s="35" t="s">
        <v>672</v>
      </c>
      <c r="H744" s="35" t="s">
        <v>115</v>
      </c>
    </row>
    <row r="745" spans="1:8">
      <c r="A745" s="37">
        <v>39307.15625</v>
      </c>
      <c r="B745" s="35" t="s">
        <v>654</v>
      </c>
      <c r="C745" s="35" t="s">
        <v>655</v>
      </c>
      <c r="D745" s="39">
        <v>58.259998321533203</v>
      </c>
      <c r="E745" s="39">
        <v>37.268524169921875</v>
      </c>
      <c r="F745" s="41">
        <v>954307</v>
      </c>
      <c r="G745" s="35" t="s">
        <v>672</v>
      </c>
      <c r="H745" s="35" t="s">
        <v>115</v>
      </c>
    </row>
    <row r="746" spans="1:8">
      <c r="A746" s="37">
        <v>39308.15625</v>
      </c>
      <c r="B746" s="35" t="s">
        <v>654</v>
      </c>
      <c r="C746" s="35" t="s">
        <v>655</v>
      </c>
      <c r="D746" s="39">
        <v>58.054000854492188</v>
      </c>
      <c r="E746" s="39">
        <v>37.136756896972656</v>
      </c>
      <c r="F746" s="41">
        <v>761227</v>
      </c>
      <c r="G746" s="35" t="s">
        <v>672</v>
      </c>
      <c r="H746" s="35" t="s">
        <v>115</v>
      </c>
    </row>
    <row r="747" spans="1:8">
      <c r="A747" s="37">
        <v>39310.15625</v>
      </c>
      <c r="B747" s="35" t="s">
        <v>654</v>
      </c>
      <c r="C747" s="35" t="s">
        <v>655</v>
      </c>
      <c r="D747" s="39">
        <v>56.599998474121094</v>
      </c>
      <c r="E747" s="39">
        <v>36.206634521484375</v>
      </c>
      <c r="F747" s="41">
        <v>1337437</v>
      </c>
      <c r="G747" s="35" t="s">
        <v>672</v>
      </c>
      <c r="H747" s="35" t="s">
        <v>115</v>
      </c>
    </row>
    <row r="748" spans="1:8">
      <c r="A748" s="37">
        <v>39311.15625</v>
      </c>
      <c r="B748" s="35" t="s">
        <v>654</v>
      </c>
      <c r="C748" s="35" t="s">
        <v>655</v>
      </c>
      <c r="D748" s="39">
        <v>54.645999908447266</v>
      </c>
      <c r="E748" s="39">
        <v>34.956672668457031</v>
      </c>
      <c r="F748" s="41">
        <v>1635142</v>
      </c>
      <c r="G748" s="35" t="s">
        <v>672</v>
      </c>
      <c r="H748" s="35" t="s">
        <v>115</v>
      </c>
    </row>
    <row r="749" spans="1:8">
      <c r="A749" s="37">
        <v>39314.15625</v>
      </c>
      <c r="B749" s="35" t="s">
        <v>654</v>
      </c>
      <c r="C749" s="35" t="s">
        <v>655</v>
      </c>
      <c r="D749" s="39">
        <v>55.874000549316406</v>
      </c>
      <c r="E749" s="39">
        <v>35.742210388183594</v>
      </c>
      <c r="F749" s="41">
        <v>1430490</v>
      </c>
      <c r="G749" s="35" t="s">
        <v>672</v>
      </c>
      <c r="H749" s="35" t="s">
        <v>115</v>
      </c>
    </row>
    <row r="750" spans="1:8">
      <c r="A750" s="37">
        <v>39315.15625</v>
      </c>
      <c r="B750" s="35" t="s">
        <v>654</v>
      </c>
      <c r="C750" s="35" t="s">
        <v>655</v>
      </c>
      <c r="D750" s="39">
        <v>51.374000549316406</v>
      </c>
      <c r="E750" s="39">
        <v>32.863597869873047</v>
      </c>
      <c r="F750" s="41">
        <v>1153132</v>
      </c>
      <c r="G750" s="35" t="s">
        <v>672</v>
      </c>
      <c r="H750" s="35" t="s">
        <v>115</v>
      </c>
    </row>
    <row r="751" spans="1:8">
      <c r="A751" s="37">
        <v>39316.15625</v>
      </c>
      <c r="B751" s="35" t="s">
        <v>654</v>
      </c>
      <c r="C751" s="35" t="s">
        <v>655</v>
      </c>
      <c r="D751" s="39">
        <v>53.105998992919922</v>
      </c>
      <c r="E751" s="39">
        <v>33.971546173095703</v>
      </c>
      <c r="F751" s="41">
        <v>1331670</v>
      </c>
      <c r="G751" s="35" t="s">
        <v>672</v>
      </c>
      <c r="H751" s="35" t="s">
        <v>115</v>
      </c>
    </row>
    <row r="752" spans="1:8">
      <c r="A752" s="37">
        <v>39317.15625</v>
      </c>
      <c r="B752" s="35" t="s">
        <v>654</v>
      </c>
      <c r="C752" s="35" t="s">
        <v>655</v>
      </c>
      <c r="D752" s="39">
        <v>52.459999084472656</v>
      </c>
      <c r="E752" s="39">
        <v>33.558300018310547</v>
      </c>
      <c r="F752" s="41">
        <v>1168897</v>
      </c>
      <c r="G752" s="35" t="s">
        <v>672</v>
      </c>
      <c r="H752" s="35" t="s">
        <v>115</v>
      </c>
    </row>
    <row r="753" spans="1:8">
      <c r="A753" s="37">
        <v>39318.15625</v>
      </c>
      <c r="B753" s="35" t="s">
        <v>654</v>
      </c>
      <c r="C753" s="35" t="s">
        <v>655</v>
      </c>
      <c r="D753" s="39">
        <v>54.366001129150391</v>
      </c>
      <c r="E753" s="39">
        <v>34.777557373046875</v>
      </c>
      <c r="F753" s="41">
        <v>634417</v>
      </c>
      <c r="G753" s="35" t="s">
        <v>672</v>
      </c>
      <c r="H753" s="35" t="s">
        <v>115</v>
      </c>
    </row>
    <row r="754" spans="1:8">
      <c r="A754" s="37">
        <v>39321.15625</v>
      </c>
      <c r="B754" s="35" t="s">
        <v>654</v>
      </c>
      <c r="C754" s="35" t="s">
        <v>655</v>
      </c>
      <c r="D754" s="39">
        <v>59.773998260498047</v>
      </c>
      <c r="E754" s="39">
        <v>38.237010955810547</v>
      </c>
      <c r="F754" s="41">
        <v>2592765</v>
      </c>
      <c r="G754" s="35" t="s">
        <v>672</v>
      </c>
      <c r="H754" s="35" t="s">
        <v>115</v>
      </c>
    </row>
    <row r="755" spans="1:8">
      <c r="A755" s="37">
        <v>39322.15625</v>
      </c>
      <c r="B755" s="35" t="s">
        <v>654</v>
      </c>
      <c r="C755" s="35" t="s">
        <v>655</v>
      </c>
      <c r="D755" s="39">
        <v>58.220001220703125</v>
      </c>
      <c r="E755" s="39">
        <v>37.242931365966797</v>
      </c>
      <c r="F755" s="41">
        <v>2028277</v>
      </c>
      <c r="G755" s="35" t="s">
        <v>672</v>
      </c>
      <c r="H755" s="35" t="s">
        <v>115</v>
      </c>
    </row>
    <row r="756" spans="1:8">
      <c r="A756" s="37">
        <v>39323.15625</v>
      </c>
      <c r="B756" s="35" t="s">
        <v>654</v>
      </c>
      <c r="C756" s="35" t="s">
        <v>655</v>
      </c>
      <c r="D756" s="39">
        <v>57.394001007080078</v>
      </c>
      <c r="E756" s="39">
        <v>36.714557647705078</v>
      </c>
      <c r="F756" s="41">
        <v>1872727</v>
      </c>
      <c r="G756" s="35" t="s">
        <v>672</v>
      </c>
      <c r="H756" s="35" t="s">
        <v>115</v>
      </c>
    </row>
    <row r="757" spans="1:8">
      <c r="A757" s="37">
        <v>39324.15625</v>
      </c>
      <c r="B757" s="35" t="s">
        <v>654</v>
      </c>
      <c r="C757" s="35" t="s">
        <v>655</v>
      </c>
      <c r="D757" s="39">
        <v>56.290000915527344</v>
      </c>
      <c r="E757" s="39">
        <v>36.008331298828125</v>
      </c>
      <c r="F757" s="41">
        <v>829345</v>
      </c>
      <c r="G757" s="35" t="s">
        <v>672</v>
      </c>
      <c r="H757" s="35" t="s">
        <v>115</v>
      </c>
    </row>
    <row r="758" spans="1:8">
      <c r="A758" s="37">
        <v>39325.15625</v>
      </c>
      <c r="B758" s="35" t="s">
        <v>654</v>
      </c>
      <c r="C758" s="35" t="s">
        <v>655</v>
      </c>
      <c r="D758" s="39">
        <v>61.909999847412109</v>
      </c>
      <c r="E758" s="39">
        <v>39.603401184082031</v>
      </c>
      <c r="F758" s="41">
        <v>3565325</v>
      </c>
      <c r="G758" s="35" t="s">
        <v>672</v>
      </c>
      <c r="H758" s="35" t="s">
        <v>115</v>
      </c>
    </row>
    <row r="759" spans="1:8">
      <c r="A759" s="37">
        <v>39328.15625</v>
      </c>
      <c r="B759" s="35" t="s">
        <v>654</v>
      </c>
      <c r="C759" s="35" t="s">
        <v>655</v>
      </c>
      <c r="D759" s="39">
        <v>69.480003356933594</v>
      </c>
      <c r="E759" s="39">
        <v>44.445884704589844</v>
      </c>
      <c r="F759" s="41">
        <v>9931615</v>
      </c>
      <c r="G759" s="35" t="s">
        <v>672</v>
      </c>
      <c r="H759" s="35" t="s">
        <v>115</v>
      </c>
    </row>
    <row r="760" spans="1:8">
      <c r="A760" s="37">
        <v>39329.15625</v>
      </c>
      <c r="B760" s="35" t="s">
        <v>654</v>
      </c>
      <c r="C760" s="35" t="s">
        <v>655</v>
      </c>
      <c r="D760" s="39">
        <v>70.120002746582031</v>
      </c>
      <c r="E760" s="39">
        <v>44.855289459228516</v>
      </c>
      <c r="F760" s="41">
        <v>6636435</v>
      </c>
      <c r="G760" s="35" t="s">
        <v>672</v>
      </c>
      <c r="H760" s="35" t="s">
        <v>115</v>
      </c>
    </row>
    <row r="761" spans="1:8">
      <c r="A761" s="37">
        <v>39330.15625</v>
      </c>
      <c r="B761" s="35" t="s">
        <v>654</v>
      </c>
      <c r="C761" s="35" t="s">
        <v>655</v>
      </c>
      <c r="D761" s="39">
        <v>68.529998779296875</v>
      </c>
      <c r="E761" s="39">
        <v>43.838176727294922</v>
      </c>
      <c r="F761" s="41">
        <v>3330040</v>
      </c>
      <c r="G761" s="35" t="s">
        <v>672</v>
      </c>
      <c r="H761" s="35" t="s">
        <v>115</v>
      </c>
    </row>
    <row r="762" spans="1:8">
      <c r="A762" s="37">
        <v>39331.15625</v>
      </c>
      <c r="B762" s="35" t="s">
        <v>654</v>
      </c>
      <c r="C762" s="35" t="s">
        <v>655</v>
      </c>
      <c r="D762" s="39">
        <v>72.569999694824219</v>
      </c>
      <c r="E762" s="39">
        <v>46.422538757324219</v>
      </c>
      <c r="F762" s="41">
        <v>12612275</v>
      </c>
      <c r="G762" s="35" t="s">
        <v>672</v>
      </c>
      <c r="H762" s="35" t="s">
        <v>115</v>
      </c>
    </row>
    <row r="763" spans="1:8">
      <c r="A763" s="37">
        <v>39332.15625</v>
      </c>
      <c r="B763" s="35" t="s">
        <v>654</v>
      </c>
      <c r="C763" s="35" t="s">
        <v>655</v>
      </c>
      <c r="D763" s="39">
        <v>73.680000305175781</v>
      </c>
      <c r="E763" s="39">
        <v>47.132591247558594</v>
      </c>
      <c r="F763" s="41">
        <v>9344670</v>
      </c>
      <c r="G763" s="35" t="s">
        <v>672</v>
      </c>
      <c r="H763" s="35" t="s">
        <v>115</v>
      </c>
    </row>
    <row r="764" spans="1:8">
      <c r="A764" s="37">
        <v>39335.15625</v>
      </c>
      <c r="B764" s="35" t="s">
        <v>654</v>
      </c>
      <c r="C764" s="35" t="s">
        <v>655</v>
      </c>
      <c r="D764" s="39">
        <v>72.139999389648438</v>
      </c>
      <c r="E764" s="39">
        <v>46.147464752197266</v>
      </c>
      <c r="F764" s="41">
        <v>5421670</v>
      </c>
      <c r="G764" s="35" t="s">
        <v>672</v>
      </c>
      <c r="H764" s="35" t="s">
        <v>115</v>
      </c>
    </row>
    <row r="765" spans="1:8">
      <c r="A765" s="37">
        <v>39336.15625</v>
      </c>
      <c r="B765" s="35" t="s">
        <v>654</v>
      </c>
      <c r="C765" s="35" t="s">
        <v>655</v>
      </c>
      <c r="D765" s="39">
        <v>70.589996337890625</v>
      </c>
      <c r="E765" s="39">
        <v>45.155929565429688</v>
      </c>
      <c r="F765" s="41">
        <v>2084790</v>
      </c>
      <c r="G765" s="35" t="s">
        <v>672</v>
      </c>
      <c r="H765" s="35" t="s">
        <v>115</v>
      </c>
    </row>
    <row r="766" spans="1:8">
      <c r="A766" s="37">
        <v>39337.15625</v>
      </c>
      <c r="B766" s="35" t="s">
        <v>654</v>
      </c>
      <c r="C766" s="35" t="s">
        <v>655</v>
      </c>
      <c r="D766" s="39">
        <v>68.389999389648438</v>
      </c>
      <c r="E766" s="39">
        <v>43.748615264892578</v>
      </c>
      <c r="F766" s="41">
        <v>3704495</v>
      </c>
      <c r="G766" s="35" t="s">
        <v>672</v>
      </c>
      <c r="H766" s="35" t="s">
        <v>115</v>
      </c>
    </row>
    <row r="767" spans="1:8">
      <c r="A767" s="37">
        <v>39338.15625</v>
      </c>
      <c r="B767" s="35" t="s">
        <v>654</v>
      </c>
      <c r="C767" s="35" t="s">
        <v>655</v>
      </c>
      <c r="D767" s="39">
        <v>68.930000305175781</v>
      </c>
      <c r="E767" s="39">
        <v>44.094066619873047</v>
      </c>
      <c r="F767" s="41">
        <v>5497850</v>
      </c>
      <c r="G767" s="35" t="s">
        <v>672</v>
      </c>
      <c r="H767" s="35" t="s">
        <v>115</v>
      </c>
    </row>
    <row r="768" spans="1:8">
      <c r="A768" s="37">
        <v>39339.15625</v>
      </c>
      <c r="B768" s="35" t="s">
        <v>654</v>
      </c>
      <c r="C768" s="35" t="s">
        <v>655</v>
      </c>
      <c r="D768" s="39">
        <v>68.269996643066406</v>
      </c>
      <c r="E768" s="39">
        <v>43.671844482421875</v>
      </c>
      <c r="F768" s="41">
        <v>3231820</v>
      </c>
      <c r="G768" s="35" t="s">
        <v>672</v>
      </c>
      <c r="H768" s="35" t="s">
        <v>115</v>
      </c>
    </row>
    <row r="769" spans="1:8">
      <c r="A769" s="37">
        <v>39342.15625</v>
      </c>
      <c r="B769" s="35" t="s">
        <v>654</v>
      </c>
      <c r="C769" s="35" t="s">
        <v>655</v>
      </c>
      <c r="D769" s="39">
        <v>67.599998474121094</v>
      </c>
      <c r="E769" s="39">
        <v>43.243259429931641</v>
      </c>
      <c r="F769" s="41">
        <v>3220010</v>
      </c>
      <c r="G769" s="35" t="s">
        <v>672</v>
      </c>
      <c r="H769" s="35" t="s">
        <v>115</v>
      </c>
    </row>
    <row r="770" spans="1:8">
      <c r="A770" s="37">
        <v>39343.15625</v>
      </c>
      <c r="B770" s="35" t="s">
        <v>654</v>
      </c>
      <c r="C770" s="35" t="s">
        <v>655</v>
      </c>
      <c r="D770" s="39">
        <v>70.839996337890625</v>
      </c>
      <c r="E770" s="39">
        <v>45.315864562988281</v>
      </c>
      <c r="F770" s="41">
        <v>9892170</v>
      </c>
      <c r="G770" s="35" t="s">
        <v>672</v>
      </c>
      <c r="H770" s="35" t="s">
        <v>115</v>
      </c>
    </row>
    <row r="771" spans="1:8">
      <c r="A771" s="37">
        <v>39344.15625</v>
      </c>
      <c r="B771" s="35" t="s">
        <v>654</v>
      </c>
      <c r="C771" s="35" t="s">
        <v>655</v>
      </c>
      <c r="D771" s="39">
        <v>71.239997863769531</v>
      </c>
      <c r="E771" s="39">
        <v>45.571739196777344</v>
      </c>
      <c r="F771" s="41">
        <v>8179880</v>
      </c>
      <c r="G771" s="35" t="s">
        <v>672</v>
      </c>
      <c r="H771" s="35" t="s">
        <v>115</v>
      </c>
    </row>
    <row r="772" spans="1:8">
      <c r="A772" s="37">
        <v>39345.15625</v>
      </c>
      <c r="B772" s="35" t="s">
        <v>654</v>
      </c>
      <c r="C772" s="35" t="s">
        <v>655</v>
      </c>
      <c r="D772" s="39">
        <v>68.080001831054688</v>
      </c>
      <c r="E772" s="39">
        <v>43.550315856933594</v>
      </c>
      <c r="F772" s="41">
        <v>7837455</v>
      </c>
      <c r="G772" s="35" t="s">
        <v>672</v>
      </c>
      <c r="H772" s="35" t="s">
        <v>115</v>
      </c>
    </row>
    <row r="773" spans="1:8">
      <c r="A773" s="37">
        <v>39346.15625</v>
      </c>
      <c r="B773" s="35" t="s">
        <v>654</v>
      </c>
      <c r="C773" s="35" t="s">
        <v>655</v>
      </c>
      <c r="D773" s="39">
        <v>66.889999389648438</v>
      </c>
      <c r="E773" s="39">
        <v>42.789093017578125</v>
      </c>
      <c r="F773" s="41">
        <v>7150590</v>
      </c>
      <c r="G773" s="35" t="s">
        <v>672</v>
      </c>
      <c r="H773" s="35" t="s">
        <v>115</v>
      </c>
    </row>
    <row r="774" spans="1:8">
      <c r="A774" s="37">
        <v>39349.15625</v>
      </c>
      <c r="B774" s="35" t="s">
        <v>654</v>
      </c>
      <c r="C774" s="35" t="s">
        <v>655</v>
      </c>
      <c r="D774" s="39">
        <v>64.410003662109375</v>
      </c>
      <c r="E774" s="39">
        <v>41.202655792236328</v>
      </c>
      <c r="F774" s="41">
        <v>3787655</v>
      </c>
      <c r="G774" s="35" t="s">
        <v>672</v>
      </c>
      <c r="H774" s="35" t="s">
        <v>115</v>
      </c>
    </row>
    <row r="775" spans="1:8">
      <c r="A775" s="37">
        <v>39350.15625</v>
      </c>
      <c r="B775" s="35" t="s">
        <v>654</v>
      </c>
      <c r="C775" s="35" t="s">
        <v>655</v>
      </c>
      <c r="D775" s="39">
        <v>65.400001525878906</v>
      </c>
      <c r="E775" s="39">
        <v>41.835933685302734</v>
      </c>
      <c r="F775" s="41">
        <v>2576110</v>
      </c>
      <c r="G775" s="35" t="s">
        <v>672</v>
      </c>
      <c r="H775" s="35" t="s">
        <v>115</v>
      </c>
    </row>
    <row r="776" spans="1:8">
      <c r="A776" s="37">
        <v>39351.15625</v>
      </c>
      <c r="B776" s="35" t="s">
        <v>654</v>
      </c>
      <c r="C776" s="35" t="s">
        <v>655</v>
      </c>
      <c r="D776" s="39">
        <v>67.379997253417969</v>
      </c>
      <c r="E776" s="39">
        <v>43.1025390625</v>
      </c>
      <c r="F776" s="41">
        <v>4524230</v>
      </c>
      <c r="G776" s="35" t="s">
        <v>672</v>
      </c>
      <c r="H776" s="35" t="s">
        <v>115</v>
      </c>
    </row>
    <row r="777" spans="1:8">
      <c r="A777" s="37">
        <v>39352.15625</v>
      </c>
      <c r="B777" s="35" t="s">
        <v>654</v>
      </c>
      <c r="C777" s="35" t="s">
        <v>655</v>
      </c>
      <c r="D777" s="39">
        <v>66.819999694824219</v>
      </c>
      <c r="E777" s="39">
        <v>42.744304656982422</v>
      </c>
      <c r="F777" s="41">
        <v>5134080</v>
      </c>
      <c r="G777" s="35" t="s">
        <v>672</v>
      </c>
      <c r="H777" s="35" t="s">
        <v>115</v>
      </c>
    </row>
    <row r="778" spans="1:8">
      <c r="A778" s="37">
        <v>39353.15625</v>
      </c>
      <c r="B778" s="35" t="s">
        <v>654</v>
      </c>
      <c r="C778" s="35" t="s">
        <v>655</v>
      </c>
      <c r="D778" s="39">
        <v>70.860000610351563</v>
      </c>
      <c r="E778" s="39">
        <v>45.328662872314453</v>
      </c>
      <c r="F778" s="41">
        <v>8410895</v>
      </c>
      <c r="G778" s="35" t="s">
        <v>672</v>
      </c>
      <c r="H778" s="35" t="s">
        <v>115</v>
      </c>
    </row>
    <row r="779" spans="1:8">
      <c r="A779" s="37">
        <v>39356.15625</v>
      </c>
      <c r="B779" s="35" t="s">
        <v>654</v>
      </c>
      <c r="C779" s="35" t="s">
        <v>655</v>
      </c>
      <c r="D779" s="39">
        <v>72.949996948242188</v>
      </c>
      <c r="E779" s="39">
        <v>46.665615081787109</v>
      </c>
      <c r="F779" s="41">
        <v>6467490</v>
      </c>
      <c r="G779" s="35" t="s">
        <v>672</v>
      </c>
      <c r="H779" s="35" t="s">
        <v>115</v>
      </c>
    </row>
    <row r="780" spans="1:8">
      <c r="A780" s="37">
        <v>39358.15625</v>
      </c>
      <c r="B780" s="35" t="s">
        <v>654</v>
      </c>
      <c r="C780" s="35" t="s">
        <v>655</v>
      </c>
      <c r="D780" s="39">
        <v>72.629997253417969</v>
      </c>
      <c r="E780" s="39">
        <v>46.460918426513672</v>
      </c>
      <c r="F780" s="41">
        <v>7411985</v>
      </c>
      <c r="G780" s="35" t="s">
        <v>672</v>
      </c>
      <c r="H780" s="35" t="s">
        <v>115</v>
      </c>
    </row>
    <row r="781" spans="1:8">
      <c r="A781" s="37">
        <v>39359.15625</v>
      </c>
      <c r="B781" s="35" t="s">
        <v>654</v>
      </c>
      <c r="C781" s="35" t="s">
        <v>655</v>
      </c>
      <c r="D781" s="39">
        <v>75.620002746582031</v>
      </c>
      <c r="E781" s="39">
        <v>48.37359619140625</v>
      </c>
      <c r="F781" s="41">
        <v>6636120</v>
      </c>
      <c r="G781" s="35" t="s">
        <v>672</v>
      </c>
      <c r="H781" s="35" t="s">
        <v>115</v>
      </c>
    </row>
    <row r="782" spans="1:8">
      <c r="A782" s="37">
        <v>39360.15625</v>
      </c>
      <c r="B782" s="35" t="s">
        <v>654</v>
      </c>
      <c r="C782" s="35" t="s">
        <v>655</v>
      </c>
      <c r="D782" s="39">
        <v>72.69000244140625</v>
      </c>
      <c r="E782" s="39">
        <v>46.499309539794922</v>
      </c>
      <c r="F782" s="41">
        <v>5041620</v>
      </c>
      <c r="G782" s="35" t="s">
        <v>672</v>
      </c>
      <c r="H782" s="35" t="s">
        <v>115</v>
      </c>
    </row>
    <row r="783" spans="1:8">
      <c r="A783" s="37">
        <v>39363.15625</v>
      </c>
      <c r="B783" s="35" t="s">
        <v>654</v>
      </c>
      <c r="C783" s="35" t="s">
        <v>655</v>
      </c>
      <c r="D783" s="39">
        <v>69.080001831054688</v>
      </c>
      <c r="E783" s="39">
        <v>44.190010070800781</v>
      </c>
      <c r="F783" s="41">
        <v>4041465</v>
      </c>
      <c r="G783" s="35" t="s">
        <v>672</v>
      </c>
      <c r="H783" s="35" t="s">
        <v>115</v>
      </c>
    </row>
    <row r="784" spans="1:8">
      <c r="A784" s="37">
        <v>39364.15625</v>
      </c>
      <c r="B784" s="35" t="s">
        <v>654</v>
      </c>
      <c r="C784" s="35" t="s">
        <v>655</v>
      </c>
      <c r="D784" s="39">
        <v>70.55999755859375</v>
      </c>
      <c r="E784" s="39">
        <v>45.136749267578125</v>
      </c>
      <c r="F784" s="41">
        <v>3851935</v>
      </c>
      <c r="G784" s="35" t="s">
        <v>672</v>
      </c>
      <c r="H784" s="35" t="s">
        <v>115</v>
      </c>
    </row>
    <row r="785" spans="1:8">
      <c r="A785" s="37">
        <v>39365.15625</v>
      </c>
      <c r="B785" s="35" t="s">
        <v>654</v>
      </c>
      <c r="C785" s="35" t="s">
        <v>655</v>
      </c>
      <c r="D785" s="39">
        <v>75.269996643066406</v>
      </c>
      <c r="E785" s="39">
        <v>48.149703979492188</v>
      </c>
      <c r="F785" s="41">
        <v>6460570</v>
      </c>
      <c r="G785" s="35" t="s">
        <v>672</v>
      </c>
      <c r="H785" s="35" t="s">
        <v>115</v>
      </c>
    </row>
    <row r="786" spans="1:8">
      <c r="A786" s="37">
        <v>39366.15625</v>
      </c>
      <c r="B786" s="35" t="s">
        <v>654</v>
      </c>
      <c r="C786" s="35" t="s">
        <v>655</v>
      </c>
      <c r="D786" s="39">
        <v>73.739997863769531</v>
      </c>
      <c r="E786" s="39">
        <v>47.170974731445313</v>
      </c>
      <c r="F786" s="41">
        <v>4418805</v>
      </c>
      <c r="G786" s="35" t="s">
        <v>672</v>
      </c>
      <c r="H786" s="35" t="s">
        <v>115</v>
      </c>
    </row>
    <row r="787" spans="1:8">
      <c r="A787" s="37">
        <v>39367.15625</v>
      </c>
      <c r="B787" s="35" t="s">
        <v>654</v>
      </c>
      <c r="C787" s="35" t="s">
        <v>655</v>
      </c>
      <c r="D787" s="39">
        <v>72.5</v>
      </c>
      <c r="E787" s="39">
        <v>46.377761840820313</v>
      </c>
      <c r="F787" s="41">
        <v>5945780</v>
      </c>
      <c r="G787" s="35" t="s">
        <v>672</v>
      </c>
      <c r="H787" s="35" t="s">
        <v>115</v>
      </c>
    </row>
    <row r="788" spans="1:8">
      <c r="A788" s="37">
        <v>39370.15625</v>
      </c>
      <c r="B788" s="35" t="s">
        <v>654</v>
      </c>
      <c r="C788" s="35" t="s">
        <v>655</v>
      </c>
      <c r="D788" s="39">
        <v>74.889999389648438</v>
      </c>
      <c r="E788" s="39">
        <v>47.906627655029297</v>
      </c>
      <c r="F788" s="41">
        <v>5658405</v>
      </c>
      <c r="G788" s="35" t="s">
        <v>672</v>
      </c>
      <c r="H788" s="35" t="s">
        <v>115</v>
      </c>
    </row>
    <row r="789" spans="1:8">
      <c r="A789" s="37">
        <v>39371.15625</v>
      </c>
      <c r="B789" s="35" t="s">
        <v>654</v>
      </c>
      <c r="C789" s="35" t="s">
        <v>655</v>
      </c>
      <c r="D789" s="39">
        <v>73.300003051757813</v>
      </c>
      <c r="E789" s="39">
        <v>46.889518737792969</v>
      </c>
      <c r="F789" s="41">
        <v>2980520</v>
      </c>
      <c r="G789" s="35" t="s">
        <v>672</v>
      </c>
      <c r="H789" s="35" t="s">
        <v>115</v>
      </c>
    </row>
    <row r="790" spans="1:8">
      <c r="A790" s="37">
        <v>39372.15625</v>
      </c>
      <c r="B790" s="35" t="s">
        <v>654</v>
      </c>
      <c r="C790" s="35" t="s">
        <v>655</v>
      </c>
      <c r="D790" s="39">
        <v>71.169998168945313</v>
      </c>
      <c r="E790" s="39">
        <v>45.526962280273438</v>
      </c>
      <c r="F790" s="41">
        <v>3307885</v>
      </c>
      <c r="G790" s="35" t="s">
        <v>672</v>
      </c>
      <c r="H790" s="35" t="s">
        <v>115</v>
      </c>
    </row>
    <row r="791" spans="1:8">
      <c r="A791" s="37">
        <v>39373.15625</v>
      </c>
      <c r="B791" s="35" t="s">
        <v>654</v>
      </c>
      <c r="C791" s="35" t="s">
        <v>655</v>
      </c>
      <c r="D791" s="39">
        <v>75.75</v>
      </c>
      <c r="E791" s="39">
        <v>48.456768035888672</v>
      </c>
      <c r="F791" s="41">
        <v>15605720</v>
      </c>
      <c r="G791" s="35" t="s">
        <v>672</v>
      </c>
      <c r="H791" s="35" t="s">
        <v>115</v>
      </c>
    </row>
    <row r="792" spans="1:8">
      <c r="A792" s="37">
        <v>39374.15625</v>
      </c>
      <c r="B792" s="35" t="s">
        <v>654</v>
      </c>
      <c r="C792" s="35" t="s">
        <v>655</v>
      </c>
      <c r="D792" s="39">
        <v>75.010002136230469</v>
      </c>
      <c r="E792" s="39">
        <v>47.9833984375</v>
      </c>
      <c r="F792" s="41">
        <v>9454255</v>
      </c>
      <c r="G792" s="35" t="s">
        <v>672</v>
      </c>
      <c r="H792" s="35" t="s">
        <v>115</v>
      </c>
    </row>
    <row r="793" spans="1:8">
      <c r="A793" s="37">
        <v>39377.15625</v>
      </c>
      <c r="B793" s="35" t="s">
        <v>654</v>
      </c>
      <c r="C793" s="35" t="s">
        <v>655</v>
      </c>
      <c r="D793" s="39">
        <v>69.55999755859375</v>
      </c>
      <c r="E793" s="39">
        <v>44.497058868408203</v>
      </c>
      <c r="F793" s="41">
        <v>5112145</v>
      </c>
      <c r="G793" s="35" t="s">
        <v>672</v>
      </c>
      <c r="H793" s="35" t="s">
        <v>115</v>
      </c>
    </row>
    <row r="794" spans="1:8">
      <c r="A794" s="37">
        <v>39378.15625</v>
      </c>
      <c r="B794" s="35" t="s">
        <v>654</v>
      </c>
      <c r="C794" s="35" t="s">
        <v>655</v>
      </c>
      <c r="D794" s="39">
        <v>70.930000305175781</v>
      </c>
      <c r="E794" s="39">
        <v>45.373439788818359</v>
      </c>
      <c r="F794" s="41">
        <v>9080550</v>
      </c>
      <c r="G794" s="35" t="s">
        <v>672</v>
      </c>
      <c r="H794" s="35" t="s">
        <v>115</v>
      </c>
    </row>
    <row r="795" spans="1:8">
      <c r="A795" s="37">
        <v>39379.15625</v>
      </c>
      <c r="B795" s="35" t="s">
        <v>654</v>
      </c>
      <c r="C795" s="35" t="s">
        <v>655</v>
      </c>
      <c r="D795" s="39">
        <v>66.230003356933594</v>
      </c>
      <c r="E795" s="39">
        <v>42.366886138916016</v>
      </c>
      <c r="F795" s="41">
        <v>12405170</v>
      </c>
      <c r="G795" s="35" t="s">
        <v>672</v>
      </c>
      <c r="H795" s="35" t="s">
        <v>115</v>
      </c>
    </row>
    <row r="796" spans="1:8">
      <c r="A796" s="37">
        <v>39380.15625</v>
      </c>
      <c r="B796" s="35" t="s">
        <v>654</v>
      </c>
      <c r="C796" s="35" t="s">
        <v>655</v>
      </c>
      <c r="D796" s="39">
        <v>68.989997863769531</v>
      </c>
      <c r="E796" s="39">
        <v>44.1324462890625</v>
      </c>
      <c r="F796" s="41">
        <v>14768680</v>
      </c>
      <c r="G796" s="35" t="s">
        <v>672</v>
      </c>
      <c r="H796" s="35" t="s">
        <v>115</v>
      </c>
    </row>
    <row r="797" spans="1:8">
      <c r="A797" s="37">
        <v>39381.15625</v>
      </c>
      <c r="B797" s="35" t="s">
        <v>654</v>
      </c>
      <c r="C797" s="35" t="s">
        <v>655</v>
      </c>
      <c r="D797" s="39">
        <v>70</v>
      </c>
      <c r="E797" s="39">
        <v>44.778526306152344</v>
      </c>
      <c r="F797" s="41">
        <v>7129050</v>
      </c>
      <c r="G797" s="35" t="s">
        <v>672</v>
      </c>
      <c r="H797" s="35" t="s">
        <v>115</v>
      </c>
    </row>
    <row r="798" spans="1:8">
      <c r="A798" s="37">
        <v>39384.15625</v>
      </c>
      <c r="B798" s="35" t="s">
        <v>654</v>
      </c>
      <c r="C798" s="35" t="s">
        <v>655</v>
      </c>
      <c r="D798" s="39">
        <v>73.080001831054688</v>
      </c>
      <c r="E798" s="39">
        <v>46.748779296875</v>
      </c>
      <c r="F798" s="41">
        <v>7322440</v>
      </c>
      <c r="G798" s="35" t="s">
        <v>672</v>
      </c>
      <c r="H798" s="35" t="s">
        <v>115</v>
      </c>
    </row>
    <row r="799" spans="1:8">
      <c r="A799" s="37">
        <v>39385.15625</v>
      </c>
      <c r="B799" s="35" t="s">
        <v>654</v>
      </c>
      <c r="C799" s="35" t="s">
        <v>655</v>
      </c>
      <c r="D799" s="39">
        <v>70.800003051757813</v>
      </c>
      <c r="E799" s="39">
        <v>45.290294647216797</v>
      </c>
      <c r="F799" s="41">
        <v>2653245</v>
      </c>
      <c r="G799" s="35" t="s">
        <v>672</v>
      </c>
      <c r="H799" s="35" t="s">
        <v>115</v>
      </c>
    </row>
    <row r="800" spans="1:8">
      <c r="A800" s="37">
        <v>39386.15625</v>
      </c>
      <c r="B800" s="35" t="s">
        <v>654</v>
      </c>
      <c r="C800" s="35" t="s">
        <v>655</v>
      </c>
      <c r="D800" s="39">
        <v>66.760002136230469</v>
      </c>
      <c r="E800" s="39">
        <v>42.705924987792969</v>
      </c>
      <c r="F800" s="41">
        <v>8169640</v>
      </c>
      <c r="G800" s="35" t="s">
        <v>672</v>
      </c>
      <c r="H800" s="35" t="s">
        <v>115</v>
      </c>
    </row>
    <row r="801" spans="1:8">
      <c r="A801" s="37">
        <v>39387.15625</v>
      </c>
      <c r="B801" s="35" t="s">
        <v>654</v>
      </c>
      <c r="C801" s="35" t="s">
        <v>655</v>
      </c>
      <c r="D801" s="39">
        <v>59.400001525878906</v>
      </c>
      <c r="E801" s="39">
        <v>37.997783660888672</v>
      </c>
      <c r="F801" s="41">
        <v>8936380</v>
      </c>
      <c r="G801" s="35" t="s">
        <v>672</v>
      </c>
      <c r="H801" s="35" t="s">
        <v>115</v>
      </c>
    </row>
    <row r="802" spans="1:8">
      <c r="A802" s="37">
        <v>39388.15625</v>
      </c>
      <c r="B802" s="35" t="s">
        <v>654</v>
      </c>
      <c r="C802" s="35" t="s">
        <v>655</v>
      </c>
      <c r="D802" s="39">
        <v>60.200000762939453</v>
      </c>
      <c r="E802" s="39">
        <v>38.509525299072266</v>
      </c>
      <c r="F802" s="41">
        <v>4153525</v>
      </c>
      <c r="G802" s="35" t="s">
        <v>672</v>
      </c>
      <c r="H802" s="35" t="s">
        <v>115</v>
      </c>
    </row>
    <row r="803" spans="1:8">
      <c r="A803" s="37">
        <v>39391.15625</v>
      </c>
      <c r="B803" s="35" t="s">
        <v>654</v>
      </c>
      <c r="C803" s="35" t="s">
        <v>655</v>
      </c>
      <c r="D803" s="39">
        <v>57.770000457763672</v>
      </c>
      <c r="E803" s="39">
        <v>36.955085754394531</v>
      </c>
      <c r="F803" s="41">
        <v>3001035</v>
      </c>
      <c r="G803" s="35" t="s">
        <v>672</v>
      </c>
      <c r="H803" s="35" t="s">
        <v>115</v>
      </c>
    </row>
    <row r="804" spans="1:8">
      <c r="A804" s="37">
        <v>39392.15625</v>
      </c>
      <c r="B804" s="35" t="s">
        <v>654</v>
      </c>
      <c r="C804" s="35" t="s">
        <v>655</v>
      </c>
      <c r="D804" s="39">
        <v>56.200000762939453</v>
      </c>
      <c r="E804" s="39">
        <v>35.950759887695313</v>
      </c>
      <c r="F804" s="41">
        <v>2190405</v>
      </c>
      <c r="G804" s="35" t="s">
        <v>672</v>
      </c>
      <c r="H804" s="35" t="s">
        <v>115</v>
      </c>
    </row>
    <row r="805" spans="1:8">
      <c r="A805" s="37">
        <v>39393.15625</v>
      </c>
      <c r="B805" s="35" t="s">
        <v>654</v>
      </c>
      <c r="C805" s="35" t="s">
        <v>655</v>
      </c>
      <c r="D805" s="39">
        <v>54.069999694824219</v>
      </c>
      <c r="E805" s="39">
        <v>34.588211059570313</v>
      </c>
      <c r="F805" s="41">
        <v>1589840</v>
      </c>
      <c r="G805" s="35" t="s">
        <v>672</v>
      </c>
      <c r="H805" s="35" t="s">
        <v>115</v>
      </c>
    </row>
    <row r="806" spans="1:8">
      <c r="A806" s="37">
        <v>39394.15625</v>
      </c>
      <c r="B806" s="35" t="s">
        <v>654</v>
      </c>
      <c r="C806" s="35" t="s">
        <v>655</v>
      </c>
      <c r="D806" s="39">
        <v>52.259998321533203</v>
      </c>
      <c r="E806" s="39">
        <v>33.43035888671875</v>
      </c>
      <c r="F806" s="41">
        <v>1624980</v>
      </c>
      <c r="G806" s="35" t="s">
        <v>672</v>
      </c>
      <c r="H806" s="35" t="s">
        <v>115</v>
      </c>
    </row>
    <row r="807" spans="1:8">
      <c r="A807" s="37">
        <v>39398.15625</v>
      </c>
      <c r="B807" s="35" t="s">
        <v>654</v>
      </c>
      <c r="C807" s="35" t="s">
        <v>655</v>
      </c>
      <c r="D807" s="39">
        <v>51.720001220703125</v>
      </c>
      <c r="E807" s="39">
        <v>33.084930419921875</v>
      </c>
      <c r="F807" s="41">
        <v>3756340</v>
      </c>
      <c r="G807" s="35" t="s">
        <v>672</v>
      </c>
      <c r="H807" s="35" t="s">
        <v>115</v>
      </c>
    </row>
    <row r="808" spans="1:8">
      <c r="A808" s="37">
        <v>39399.15625</v>
      </c>
      <c r="B808" s="35" t="s">
        <v>654</v>
      </c>
      <c r="C808" s="35" t="s">
        <v>655</v>
      </c>
      <c r="D808" s="39">
        <v>52.090000152587891</v>
      </c>
      <c r="E808" s="39">
        <v>33.321624755859375</v>
      </c>
      <c r="F808" s="41">
        <v>2597305</v>
      </c>
      <c r="G808" s="35" t="s">
        <v>672</v>
      </c>
      <c r="H808" s="35" t="s">
        <v>115</v>
      </c>
    </row>
    <row r="809" spans="1:8">
      <c r="A809" s="37">
        <v>39400.15625</v>
      </c>
      <c r="B809" s="35" t="s">
        <v>654</v>
      </c>
      <c r="C809" s="35" t="s">
        <v>655</v>
      </c>
      <c r="D809" s="39">
        <v>52.299999237060547</v>
      </c>
      <c r="E809" s="39">
        <v>33.455951690673828</v>
      </c>
      <c r="F809" s="41">
        <v>2036470</v>
      </c>
      <c r="G809" s="35" t="s">
        <v>672</v>
      </c>
      <c r="H809" s="35" t="s">
        <v>115</v>
      </c>
    </row>
    <row r="810" spans="1:8">
      <c r="A810" s="37">
        <v>39401.15625</v>
      </c>
      <c r="B810" s="35" t="s">
        <v>654</v>
      </c>
      <c r="C810" s="35" t="s">
        <v>655</v>
      </c>
      <c r="D810" s="39">
        <v>50.159999847412109</v>
      </c>
      <c r="E810" s="39">
        <v>32.086997985839844</v>
      </c>
      <c r="F810" s="41">
        <v>1319090</v>
      </c>
      <c r="G810" s="35" t="s">
        <v>672</v>
      </c>
      <c r="H810" s="35" t="s">
        <v>115</v>
      </c>
    </row>
    <row r="811" spans="1:8">
      <c r="A811" s="37">
        <v>39402.15625</v>
      </c>
      <c r="B811" s="35" t="s">
        <v>654</v>
      </c>
      <c r="C811" s="35" t="s">
        <v>655</v>
      </c>
      <c r="D811" s="39">
        <v>47.580001831054688</v>
      </c>
      <c r="E811" s="39">
        <v>30.436609268188477</v>
      </c>
      <c r="F811" s="41">
        <v>2553755</v>
      </c>
      <c r="G811" s="35" t="s">
        <v>672</v>
      </c>
      <c r="H811" s="35" t="s">
        <v>115</v>
      </c>
    </row>
    <row r="812" spans="1:8">
      <c r="A812" s="37">
        <v>39405.15625</v>
      </c>
      <c r="B812" s="35" t="s">
        <v>654</v>
      </c>
      <c r="C812" s="35" t="s">
        <v>655</v>
      </c>
      <c r="D812" s="39">
        <v>49.099998474121094</v>
      </c>
      <c r="E812" s="39">
        <v>31.408946990966797</v>
      </c>
      <c r="F812" s="41">
        <v>2241075</v>
      </c>
      <c r="G812" s="35" t="s">
        <v>672</v>
      </c>
      <c r="H812" s="35" t="s">
        <v>115</v>
      </c>
    </row>
    <row r="813" spans="1:8">
      <c r="A813" s="37">
        <v>39406.15625</v>
      </c>
      <c r="B813" s="35" t="s">
        <v>654</v>
      </c>
      <c r="C813" s="35" t="s">
        <v>655</v>
      </c>
      <c r="D813" s="39">
        <v>48</v>
      </c>
      <c r="E813" s="39">
        <v>30.705268859863281</v>
      </c>
      <c r="F813" s="41">
        <v>2561360</v>
      </c>
      <c r="G813" s="35" t="s">
        <v>672</v>
      </c>
      <c r="H813" s="35" t="s">
        <v>115</v>
      </c>
    </row>
    <row r="814" spans="1:8">
      <c r="A814" s="37">
        <v>39407.15625</v>
      </c>
      <c r="B814" s="35" t="s">
        <v>654</v>
      </c>
      <c r="C814" s="35" t="s">
        <v>655</v>
      </c>
      <c r="D814" s="39">
        <v>44.290000915527344</v>
      </c>
      <c r="E814" s="39">
        <v>28.332015991210938</v>
      </c>
      <c r="F814" s="41">
        <v>3083175</v>
      </c>
      <c r="G814" s="35" t="s">
        <v>672</v>
      </c>
      <c r="H814" s="35" t="s">
        <v>115</v>
      </c>
    </row>
    <row r="815" spans="1:8">
      <c r="A815" s="37">
        <v>39408.15625</v>
      </c>
      <c r="B815" s="35" t="s">
        <v>654</v>
      </c>
      <c r="C815" s="35" t="s">
        <v>655</v>
      </c>
      <c r="D815" s="39">
        <v>42.799999237060547</v>
      </c>
      <c r="E815" s="39">
        <v>27.378871917724609</v>
      </c>
      <c r="F815" s="41">
        <v>2349930</v>
      </c>
      <c r="G815" s="35" t="s">
        <v>672</v>
      </c>
      <c r="H815" s="35" t="s">
        <v>115</v>
      </c>
    </row>
    <row r="816" spans="1:8">
      <c r="A816" s="37">
        <v>39409.15625</v>
      </c>
      <c r="B816" s="35" t="s">
        <v>654</v>
      </c>
      <c r="C816" s="35" t="s">
        <v>655</v>
      </c>
      <c r="D816" s="39">
        <v>44.159999847412109</v>
      </c>
      <c r="E816" s="39">
        <v>28.248847961425781</v>
      </c>
      <c r="F816" s="41">
        <v>1990645</v>
      </c>
      <c r="G816" s="35" t="s">
        <v>672</v>
      </c>
      <c r="H816" s="35" t="s">
        <v>115</v>
      </c>
    </row>
    <row r="817" spans="1:8">
      <c r="A817" s="37">
        <v>39412.15625</v>
      </c>
      <c r="B817" s="35" t="s">
        <v>654</v>
      </c>
      <c r="C817" s="35" t="s">
        <v>655</v>
      </c>
      <c r="D817" s="39">
        <v>46.599998474121094</v>
      </c>
      <c r="E817" s="39">
        <v>29.809707641601563</v>
      </c>
      <c r="F817" s="41">
        <v>2073950</v>
      </c>
      <c r="G817" s="35" t="s">
        <v>672</v>
      </c>
      <c r="H817" s="35" t="s">
        <v>115</v>
      </c>
    </row>
    <row r="818" spans="1:8">
      <c r="A818" s="37">
        <v>39413.15625</v>
      </c>
      <c r="B818" s="35" t="s">
        <v>654</v>
      </c>
      <c r="C818" s="35" t="s">
        <v>655</v>
      </c>
      <c r="D818" s="39">
        <v>45.180000305175781</v>
      </c>
      <c r="E818" s="39">
        <v>28.901350021362305</v>
      </c>
      <c r="F818" s="41">
        <v>971600</v>
      </c>
      <c r="G818" s="35" t="s">
        <v>672</v>
      </c>
      <c r="H818" s="35" t="s">
        <v>115</v>
      </c>
    </row>
    <row r="819" spans="1:8">
      <c r="A819" s="37">
        <v>39414.15625</v>
      </c>
      <c r="B819" s="35" t="s">
        <v>654</v>
      </c>
      <c r="C819" s="35" t="s">
        <v>655</v>
      </c>
      <c r="D819" s="39">
        <v>45.599998474121094</v>
      </c>
      <c r="E819" s="39">
        <v>29.170011520385742</v>
      </c>
      <c r="F819" s="41">
        <v>2216855</v>
      </c>
      <c r="G819" s="35" t="s">
        <v>672</v>
      </c>
      <c r="H819" s="35" t="s">
        <v>115</v>
      </c>
    </row>
    <row r="820" spans="1:8">
      <c r="A820" s="37">
        <v>39415.15625</v>
      </c>
      <c r="B820" s="35" t="s">
        <v>654</v>
      </c>
      <c r="C820" s="35" t="s">
        <v>655</v>
      </c>
      <c r="D820" s="39">
        <v>42.669998168945313</v>
      </c>
      <c r="E820" s="39">
        <v>27.295709609985352</v>
      </c>
      <c r="F820" s="41">
        <v>9098360</v>
      </c>
      <c r="G820" s="35" t="s">
        <v>672</v>
      </c>
      <c r="H820" s="35" t="s">
        <v>115</v>
      </c>
    </row>
    <row r="821" spans="1:8">
      <c r="A821" s="37">
        <v>39416.15625</v>
      </c>
      <c r="B821" s="35" t="s">
        <v>654</v>
      </c>
      <c r="C821" s="35" t="s">
        <v>655</v>
      </c>
      <c r="D821" s="39">
        <v>44.569999694824219</v>
      </c>
      <c r="E821" s="39">
        <v>28.511123657226563</v>
      </c>
      <c r="F821" s="41">
        <v>4971620</v>
      </c>
      <c r="G821" s="35" t="s">
        <v>672</v>
      </c>
      <c r="H821" s="35" t="s">
        <v>115</v>
      </c>
    </row>
    <row r="822" spans="1:8">
      <c r="A822" s="37">
        <v>39419.15625</v>
      </c>
      <c r="B822" s="35" t="s">
        <v>654</v>
      </c>
      <c r="C822" s="35" t="s">
        <v>655</v>
      </c>
      <c r="D822" s="39">
        <v>45.430000305175781</v>
      </c>
      <c r="E822" s="39">
        <v>29.061256408691406</v>
      </c>
      <c r="F822" s="41">
        <v>2623680</v>
      </c>
      <c r="G822" s="35" t="s">
        <v>672</v>
      </c>
      <c r="H822" s="35" t="s">
        <v>115</v>
      </c>
    </row>
    <row r="823" spans="1:8">
      <c r="A823" s="37">
        <v>39420.15625</v>
      </c>
      <c r="B823" s="35" t="s">
        <v>654</v>
      </c>
      <c r="C823" s="35" t="s">
        <v>655</v>
      </c>
      <c r="D823" s="39">
        <v>44.709999084472656</v>
      </c>
      <c r="E823" s="39">
        <v>28.600681304931641</v>
      </c>
      <c r="F823" s="41">
        <v>2351120</v>
      </c>
      <c r="G823" s="35" t="s">
        <v>672</v>
      </c>
      <c r="H823" s="35" t="s">
        <v>115</v>
      </c>
    </row>
    <row r="824" spans="1:8">
      <c r="A824" s="37">
        <v>39421.15625</v>
      </c>
      <c r="B824" s="35" t="s">
        <v>654</v>
      </c>
      <c r="C824" s="35" t="s">
        <v>655</v>
      </c>
      <c r="D824" s="39">
        <v>45.229999542236328</v>
      </c>
      <c r="E824" s="39">
        <v>28.933332443237305</v>
      </c>
      <c r="F824" s="41">
        <v>1310730</v>
      </c>
      <c r="G824" s="35" t="s">
        <v>672</v>
      </c>
      <c r="H824" s="35" t="s">
        <v>115</v>
      </c>
    </row>
    <row r="825" spans="1:8">
      <c r="A825" s="37">
        <v>39422.15625</v>
      </c>
      <c r="B825" s="35" t="s">
        <v>654</v>
      </c>
      <c r="C825" s="35" t="s">
        <v>655</v>
      </c>
      <c r="D825" s="39">
        <v>45.659999847412109</v>
      </c>
      <c r="E825" s="39">
        <v>29.208383560180664</v>
      </c>
      <c r="F825" s="41">
        <v>2776655</v>
      </c>
      <c r="G825" s="35" t="s">
        <v>672</v>
      </c>
      <c r="H825" s="35" t="s">
        <v>115</v>
      </c>
    </row>
    <row r="826" spans="1:8">
      <c r="A826" s="37">
        <v>39423.15625</v>
      </c>
      <c r="B826" s="35" t="s">
        <v>654</v>
      </c>
      <c r="C826" s="35" t="s">
        <v>655</v>
      </c>
      <c r="D826" s="39">
        <v>48.979999542236328</v>
      </c>
      <c r="E826" s="39">
        <v>31.332168579101563</v>
      </c>
      <c r="F826" s="41">
        <v>5790735</v>
      </c>
      <c r="G826" s="35" t="s">
        <v>672</v>
      </c>
      <c r="H826" s="35" t="s">
        <v>115</v>
      </c>
    </row>
    <row r="827" spans="1:8">
      <c r="A827" s="37">
        <v>39426.15625</v>
      </c>
      <c r="B827" s="35" t="s">
        <v>654</v>
      </c>
      <c r="C827" s="35" t="s">
        <v>655</v>
      </c>
      <c r="D827" s="39">
        <v>50.060001373291016</v>
      </c>
      <c r="E827" s="39">
        <v>32.023040771484375</v>
      </c>
      <c r="F827" s="41">
        <v>5283885</v>
      </c>
      <c r="G827" s="35" t="s">
        <v>672</v>
      </c>
      <c r="H827" s="35" t="s">
        <v>115</v>
      </c>
    </row>
    <row r="828" spans="1:8">
      <c r="A828" s="37">
        <v>39427.15625</v>
      </c>
      <c r="B828" s="35" t="s">
        <v>654</v>
      </c>
      <c r="C828" s="35" t="s">
        <v>655</v>
      </c>
      <c r="D828" s="39">
        <v>48.430000305175781</v>
      </c>
      <c r="E828" s="39">
        <v>30.980342864990234</v>
      </c>
      <c r="F828" s="41">
        <v>2246545</v>
      </c>
      <c r="G828" s="35" t="s">
        <v>672</v>
      </c>
      <c r="H828" s="35" t="s">
        <v>115</v>
      </c>
    </row>
    <row r="829" spans="1:8">
      <c r="A829" s="37">
        <v>39428.15625</v>
      </c>
      <c r="B829" s="35" t="s">
        <v>654</v>
      </c>
      <c r="C829" s="35" t="s">
        <v>655</v>
      </c>
      <c r="D829" s="39">
        <v>47.860000610351563</v>
      </c>
      <c r="E829" s="39">
        <v>30.615724563598633</v>
      </c>
      <c r="F829" s="41">
        <v>1586800</v>
      </c>
      <c r="G829" s="35" t="s">
        <v>672</v>
      </c>
      <c r="H829" s="35" t="s">
        <v>115</v>
      </c>
    </row>
    <row r="830" spans="1:8">
      <c r="A830" s="37">
        <v>39429.15625</v>
      </c>
      <c r="B830" s="35" t="s">
        <v>654</v>
      </c>
      <c r="C830" s="35" t="s">
        <v>655</v>
      </c>
      <c r="D830" s="39">
        <v>47.659999847412109</v>
      </c>
      <c r="E830" s="39">
        <v>30.48777961730957</v>
      </c>
      <c r="F830" s="41">
        <v>1550730</v>
      </c>
      <c r="G830" s="35" t="s">
        <v>672</v>
      </c>
      <c r="H830" s="35" t="s">
        <v>115</v>
      </c>
    </row>
    <row r="831" spans="1:8">
      <c r="A831" s="37">
        <v>39430.15625</v>
      </c>
      <c r="B831" s="35" t="s">
        <v>654</v>
      </c>
      <c r="C831" s="35" t="s">
        <v>655</v>
      </c>
      <c r="D831" s="39">
        <v>47.060001373291016</v>
      </c>
      <c r="E831" s="39">
        <v>30.103963851928711</v>
      </c>
      <c r="F831" s="41">
        <v>2234805</v>
      </c>
      <c r="G831" s="35" t="s">
        <v>672</v>
      </c>
      <c r="H831" s="35" t="s">
        <v>115</v>
      </c>
    </row>
    <row r="832" spans="1:8">
      <c r="A832" s="37">
        <v>39433.15625</v>
      </c>
      <c r="B832" s="35" t="s">
        <v>654</v>
      </c>
      <c r="C832" s="35" t="s">
        <v>655</v>
      </c>
      <c r="D832" s="39">
        <v>45.689998626708984</v>
      </c>
      <c r="E832" s="39">
        <v>29.227579116821289</v>
      </c>
      <c r="F832" s="41">
        <v>1489620</v>
      </c>
      <c r="G832" s="35" t="s">
        <v>672</v>
      </c>
      <c r="H832" s="35" t="s">
        <v>115</v>
      </c>
    </row>
    <row r="833" spans="1:8">
      <c r="A833" s="37">
        <v>39434.15625</v>
      </c>
      <c r="B833" s="35" t="s">
        <v>654</v>
      </c>
      <c r="C833" s="35" t="s">
        <v>655</v>
      </c>
      <c r="D833" s="39">
        <v>45.080001831054688</v>
      </c>
      <c r="E833" s="39">
        <v>28.837369918823242</v>
      </c>
      <c r="F833" s="41">
        <v>1621055</v>
      </c>
      <c r="G833" s="35" t="s">
        <v>672</v>
      </c>
      <c r="H833" s="35" t="s">
        <v>115</v>
      </c>
    </row>
    <row r="834" spans="1:8">
      <c r="A834" s="37">
        <v>39435.15625</v>
      </c>
      <c r="B834" s="35" t="s">
        <v>654</v>
      </c>
      <c r="C834" s="35" t="s">
        <v>655</v>
      </c>
      <c r="D834" s="39">
        <v>45.209999084472656</v>
      </c>
      <c r="E834" s="39">
        <v>28.9205322265625</v>
      </c>
      <c r="F834" s="41">
        <v>1658640</v>
      </c>
      <c r="G834" s="35" t="s">
        <v>672</v>
      </c>
      <c r="H834" s="35" t="s">
        <v>115</v>
      </c>
    </row>
    <row r="835" spans="1:8">
      <c r="A835" s="37">
        <v>39436.15625</v>
      </c>
      <c r="B835" s="35" t="s">
        <v>654</v>
      </c>
      <c r="C835" s="35" t="s">
        <v>655</v>
      </c>
      <c r="D835" s="39">
        <v>46.279998779296875</v>
      </c>
      <c r="E835" s="39">
        <v>29.604997634887695</v>
      </c>
      <c r="F835" s="41">
        <v>1853620</v>
      </c>
      <c r="G835" s="35" t="s">
        <v>672</v>
      </c>
      <c r="H835" s="35" t="s">
        <v>115</v>
      </c>
    </row>
    <row r="836" spans="1:8">
      <c r="A836" s="37">
        <v>39440.15625</v>
      </c>
      <c r="B836" s="35" t="s">
        <v>654</v>
      </c>
      <c r="C836" s="35" t="s">
        <v>655</v>
      </c>
      <c r="D836" s="39">
        <v>48.189998626708984</v>
      </c>
      <c r="E836" s="39">
        <v>30.826812744140625</v>
      </c>
      <c r="F836" s="41">
        <v>2643275</v>
      </c>
      <c r="G836" s="35" t="s">
        <v>672</v>
      </c>
      <c r="H836" s="35" t="s">
        <v>115</v>
      </c>
    </row>
    <row r="837" spans="1:8">
      <c r="A837" s="37">
        <v>39442.15625</v>
      </c>
      <c r="B837" s="35" t="s">
        <v>654</v>
      </c>
      <c r="C837" s="35" t="s">
        <v>655</v>
      </c>
      <c r="D837" s="39">
        <v>47.799999237060547</v>
      </c>
      <c r="E837" s="39">
        <v>30.577337265014648</v>
      </c>
      <c r="F837" s="41">
        <v>1364005</v>
      </c>
      <c r="G837" s="35" t="s">
        <v>672</v>
      </c>
      <c r="H837" s="35" t="s">
        <v>115</v>
      </c>
    </row>
    <row r="838" spans="1:8">
      <c r="A838" s="37">
        <v>39443.15625</v>
      </c>
      <c r="B838" s="35" t="s">
        <v>654</v>
      </c>
      <c r="C838" s="35" t="s">
        <v>655</v>
      </c>
      <c r="D838" s="39">
        <v>47.169998168945313</v>
      </c>
      <c r="E838" s="39">
        <v>30.174324035644531</v>
      </c>
      <c r="F838" s="41">
        <v>3962580</v>
      </c>
      <c r="G838" s="35" t="s">
        <v>672</v>
      </c>
      <c r="H838" s="35" t="s">
        <v>115</v>
      </c>
    </row>
    <row r="839" spans="1:8">
      <c r="A839" s="37">
        <v>39444.15625</v>
      </c>
      <c r="B839" s="35" t="s">
        <v>654</v>
      </c>
      <c r="C839" s="35" t="s">
        <v>655</v>
      </c>
      <c r="D839" s="39">
        <v>47.569999694824219</v>
      </c>
      <c r="E839" s="39">
        <v>30.430210113525391</v>
      </c>
      <c r="F839" s="41">
        <v>1347445</v>
      </c>
      <c r="G839" s="35" t="s">
        <v>672</v>
      </c>
      <c r="H839" s="35" t="s">
        <v>115</v>
      </c>
    </row>
    <row r="840" spans="1:8">
      <c r="A840" s="37">
        <v>39447.15625</v>
      </c>
      <c r="B840" s="35" t="s">
        <v>654</v>
      </c>
      <c r="C840" s="35" t="s">
        <v>655</v>
      </c>
      <c r="D840" s="39">
        <v>47.319999694824219</v>
      </c>
      <c r="E840" s="39">
        <v>30.270284652709961</v>
      </c>
      <c r="F840" s="41">
        <v>2241900</v>
      </c>
      <c r="G840" s="35" t="s">
        <v>672</v>
      </c>
      <c r="H840" s="35" t="s">
        <v>115</v>
      </c>
    </row>
    <row r="841" spans="1:8">
      <c r="A841" s="37">
        <v>39448.15625</v>
      </c>
      <c r="B841" s="35" t="s">
        <v>654</v>
      </c>
      <c r="C841" s="35" t="s">
        <v>655</v>
      </c>
      <c r="D841" s="39">
        <v>47.630001068115234</v>
      </c>
      <c r="E841" s="39">
        <v>30.468597412109375</v>
      </c>
      <c r="F841" s="41">
        <v>1043950</v>
      </c>
      <c r="G841" s="35" t="s">
        <v>672</v>
      </c>
      <c r="H841" s="35" t="s">
        <v>115</v>
      </c>
    </row>
    <row r="842" spans="1:8">
      <c r="A842" s="37">
        <v>39449.15625</v>
      </c>
      <c r="B842" s="35" t="s">
        <v>654</v>
      </c>
      <c r="C842" s="35" t="s">
        <v>655</v>
      </c>
      <c r="D842" s="39">
        <v>48.229999542236328</v>
      </c>
      <c r="E842" s="39">
        <v>30.852401733398438</v>
      </c>
      <c r="F842" s="41">
        <v>2067780</v>
      </c>
      <c r="G842" s="35" t="s">
        <v>672</v>
      </c>
      <c r="H842" s="35" t="s">
        <v>115</v>
      </c>
    </row>
    <row r="843" spans="1:8">
      <c r="A843" s="37">
        <v>39450.15625</v>
      </c>
      <c r="B843" s="35" t="s">
        <v>654</v>
      </c>
      <c r="C843" s="35" t="s">
        <v>655</v>
      </c>
      <c r="D843" s="39">
        <v>47.979999542236328</v>
      </c>
      <c r="E843" s="39">
        <v>30.692468643188477</v>
      </c>
      <c r="F843" s="41">
        <v>5623475</v>
      </c>
      <c r="G843" s="35" t="s">
        <v>672</v>
      </c>
      <c r="H843" s="35" t="s">
        <v>115</v>
      </c>
    </row>
    <row r="844" spans="1:8">
      <c r="A844" s="37">
        <v>39451.15625</v>
      </c>
      <c r="B844" s="35" t="s">
        <v>654</v>
      </c>
      <c r="C844" s="35" t="s">
        <v>655</v>
      </c>
      <c r="D844" s="39">
        <v>47.860000610351563</v>
      </c>
      <c r="E844" s="39">
        <v>30.615724563598633</v>
      </c>
      <c r="F844" s="41">
        <v>1369565</v>
      </c>
      <c r="G844" s="35" t="s">
        <v>672</v>
      </c>
      <c r="H844" s="35" t="s">
        <v>115</v>
      </c>
    </row>
    <row r="845" spans="1:8">
      <c r="A845" s="37">
        <v>39454.15625</v>
      </c>
      <c r="B845" s="35" t="s">
        <v>654</v>
      </c>
      <c r="C845" s="35" t="s">
        <v>655</v>
      </c>
      <c r="D845" s="39">
        <v>46.220001220703125</v>
      </c>
      <c r="E845" s="39">
        <v>29.566614151000977</v>
      </c>
      <c r="F845" s="41">
        <v>1136615</v>
      </c>
      <c r="G845" s="35" t="s">
        <v>672</v>
      </c>
      <c r="H845" s="35" t="s">
        <v>115</v>
      </c>
    </row>
    <row r="846" spans="1:8">
      <c r="A846" s="37">
        <v>39455.15625</v>
      </c>
      <c r="B846" s="35" t="s">
        <v>654</v>
      </c>
      <c r="C846" s="35" t="s">
        <v>655</v>
      </c>
      <c r="D846" s="39">
        <v>46.529998779296875</v>
      </c>
      <c r="E846" s="39">
        <v>29.764919281005859</v>
      </c>
      <c r="F846" s="41">
        <v>1751060</v>
      </c>
      <c r="G846" s="35" t="s">
        <v>672</v>
      </c>
      <c r="H846" s="35" t="s">
        <v>115</v>
      </c>
    </row>
    <row r="847" spans="1:8">
      <c r="A847" s="37">
        <v>39456.15625</v>
      </c>
      <c r="B847" s="35" t="s">
        <v>654</v>
      </c>
      <c r="C847" s="35" t="s">
        <v>655</v>
      </c>
      <c r="D847" s="39">
        <v>46.180000305175781</v>
      </c>
      <c r="E847" s="39">
        <v>29.54102897644043</v>
      </c>
      <c r="F847" s="41">
        <v>1933190</v>
      </c>
      <c r="G847" s="35" t="s">
        <v>672</v>
      </c>
      <c r="H847" s="35" t="s">
        <v>115</v>
      </c>
    </row>
    <row r="848" spans="1:8">
      <c r="A848" s="37">
        <v>39457.15625</v>
      </c>
      <c r="B848" s="35" t="s">
        <v>654</v>
      </c>
      <c r="C848" s="35" t="s">
        <v>655</v>
      </c>
      <c r="D848" s="39">
        <v>44.729999542236328</v>
      </c>
      <c r="E848" s="39">
        <v>28.613470077514648</v>
      </c>
      <c r="F848" s="41">
        <v>1789665</v>
      </c>
      <c r="G848" s="35" t="s">
        <v>672</v>
      </c>
      <c r="H848" s="35" t="s">
        <v>115</v>
      </c>
    </row>
    <row r="849" spans="1:8">
      <c r="A849" s="37">
        <v>39458.15625</v>
      </c>
      <c r="B849" s="35" t="s">
        <v>654</v>
      </c>
      <c r="C849" s="35" t="s">
        <v>655</v>
      </c>
      <c r="D849" s="39">
        <v>43.599998474121094</v>
      </c>
      <c r="E849" s="39">
        <v>27.890623092651367</v>
      </c>
      <c r="F849" s="41">
        <v>1408275</v>
      </c>
      <c r="G849" s="35" t="s">
        <v>672</v>
      </c>
      <c r="H849" s="35" t="s">
        <v>115</v>
      </c>
    </row>
    <row r="850" spans="1:8">
      <c r="A850" s="37">
        <v>39461.15625</v>
      </c>
      <c r="B850" s="35" t="s">
        <v>654</v>
      </c>
      <c r="C850" s="35" t="s">
        <v>655</v>
      </c>
      <c r="D850" s="39">
        <v>43.229999542236328</v>
      </c>
      <c r="E850" s="39">
        <v>27.653942108154297</v>
      </c>
      <c r="F850" s="41">
        <v>800715</v>
      </c>
      <c r="G850" s="35" t="s">
        <v>672</v>
      </c>
      <c r="H850" s="35" t="s">
        <v>115</v>
      </c>
    </row>
    <row r="851" spans="1:8">
      <c r="A851" s="37">
        <v>39462.15625</v>
      </c>
      <c r="B851" s="35" t="s">
        <v>654</v>
      </c>
      <c r="C851" s="35" t="s">
        <v>655</v>
      </c>
      <c r="D851" s="39">
        <v>42.349998474121094</v>
      </c>
      <c r="E851" s="39">
        <v>27.091007232666016</v>
      </c>
      <c r="F851" s="41">
        <v>917935</v>
      </c>
      <c r="G851" s="35" t="s">
        <v>672</v>
      </c>
      <c r="H851" s="35" t="s">
        <v>115</v>
      </c>
    </row>
    <row r="852" spans="1:8">
      <c r="A852" s="37">
        <v>39463.15625</v>
      </c>
      <c r="B852" s="35" t="s">
        <v>654</v>
      </c>
      <c r="C852" s="35" t="s">
        <v>655</v>
      </c>
      <c r="D852" s="39">
        <v>40.520000457763672</v>
      </c>
      <c r="E852" s="39">
        <v>25.920366287231445</v>
      </c>
      <c r="F852" s="41">
        <v>1068005</v>
      </c>
      <c r="G852" s="35" t="s">
        <v>672</v>
      </c>
      <c r="H852" s="35" t="s">
        <v>115</v>
      </c>
    </row>
    <row r="853" spans="1:8">
      <c r="A853" s="37">
        <v>39464.15625</v>
      </c>
      <c r="B853" s="35" t="s">
        <v>654</v>
      </c>
      <c r="C853" s="35" t="s">
        <v>655</v>
      </c>
      <c r="D853" s="39">
        <v>40.220001220703125</v>
      </c>
      <c r="E853" s="39">
        <v>25.728456497192383</v>
      </c>
      <c r="F853" s="41">
        <v>1130610</v>
      </c>
      <c r="G853" s="35" t="s">
        <v>672</v>
      </c>
      <c r="H853" s="35" t="s">
        <v>115</v>
      </c>
    </row>
    <row r="854" spans="1:8">
      <c r="A854" s="37">
        <v>39465.15625</v>
      </c>
      <c r="B854" s="35" t="s">
        <v>654</v>
      </c>
      <c r="C854" s="35" t="s">
        <v>655</v>
      </c>
      <c r="D854" s="39">
        <v>37.509998321533203</v>
      </c>
      <c r="E854" s="39">
        <v>23.994894027709961</v>
      </c>
      <c r="F854" s="41">
        <v>1424540</v>
      </c>
      <c r="G854" s="35" t="s">
        <v>672</v>
      </c>
      <c r="H854" s="35" t="s">
        <v>115</v>
      </c>
    </row>
    <row r="855" spans="1:8">
      <c r="A855" s="37">
        <v>39468.15625</v>
      </c>
      <c r="B855" s="35" t="s">
        <v>654</v>
      </c>
      <c r="C855" s="35" t="s">
        <v>655</v>
      </c>
      <c r="D855" s="39">
        <v>29.530000686645508</v>
      </c>
      <c r="E855" s="39">
        <v>18.890142440795898</v>
      </c>
      <c r="F855" s="41">
        <v>3250465</v>
      </c>
      <c r="G855" s="35" t="s">
        <v>672</v>
      </c>
      <c r="H855" s="35" t="s">
        <v>115</v>
      </c>
    </row>
    <row r="856" spans="1:8">
      <c r="A856" s="37">
        <v>39469.15625</v>
      </c>
      <c r="B856" s="35" t="s">
        <v>654</v>
      </c>
      <c r="C856" s="35" t="s">
        <v>655</v>
      </c>
      <c r="D856" s="39">
        <v>23.479999542236328</v>
      </c>
      <c r="E856" s="39">
        <v>15.019999504089355</v>
      </c>
      <c r="F856" s="41">
        <v>3982655</v>
      </c>
      <c r="G856" s="35" t="s">
        <v>672</v>
      </c>
      <c r="H856" s="35" t="s">
        <v>115</v>
      </c>
    </row>
    <row r="857" spans="1:8">
      <c r="A857" s="37">
        <v>39470.15625</v>
      </c>
      <c r="B857" s="35" t="s">
        <v>654</v>
      </c>
      <c r="C857" s="35" t="s">
        <v>655</v>
      </c>
      <c r="D857" s="39">
        <v>27.229999542236328</v>
      </c>
      <c r="E857" s="39">
        <v>17.418848037719727</v>
      </c>
      <c r="F857" s="41">
        <v>2728230</v>
      </c>
      <c r="G857" s="35" t="s">
        <v>672</v>
      </c>
      <c r="H857" s="35" t="s">
        <v>115</v>
      </c>
    </row>
    <row r="858" spans="1:8">
      <c r="A858" s="37">
        <v>39471.15625</v>
      </c>
      <c r="B858" s="35" t="s">
        <v>654</v>
      </c>
      <c r="C858" s="35" t="s">
        <v>655</v>
      </c>
      <c r="D858" s="39">
        <v>24.760000228881836</v>
      </c>
      <c r="E858" s="39">
        <v>15.838803291320801</v>
      </c>
      <c r="F858" s="41">
        <v>3132050</v>
      </c>
      <c r="G858" s="35" t="s">
        <v>672</v>
      </c>
      <c r="H858" s="35" t="s">
        <v>115</v>
      </c>
    </row>
    <row r="859" spans="1:8">
      <c r="A859" s="37">
        <v>39472.15625</v>
      </c>
      <c r="B859" s="35" t="s">
        <v>654</v>
      </c>
      <c r="C859" s="35" t="s">
        <v>655</v>
      </c>
      <c r="D859" s="39">
        <v>28.969999313354492</v>
      </c>
      <c r="E859" s="39">
        <v>18.531909942626953</v>
      </c>
      <c r="F859" s="41">
        <v>2190890</v>
      </c>
      <c r="G859" s="35" t="s">
        <v>672</v>
      </c>
      <c r="H859" s="35" t="s">
        <v>115</v>
      </c>
    </row>
    <row r="860" spans="1:8">
      <c r="A860" s="37">
        <v>39475.15625</v>
      </c>
      <c r="B860" s="35" t="s">
        <v>654</v>
      </c>
      <c r="C860" s="35" t="s">
        <v>655</v>
      </c>
      <c r="D860" s="39">
        <v>30.5</v>
      </c>
      <c r="E860" s="39">
        <v>19.510644912719727</v>
      </c>
      <c r="F860" s="41">
        <v>2432840</v>
      </c>
      <c r="G860" s="35" t="s">
        <v>672</v>
      </c>
      <c r="H860" s="35" t="s">
        <v>115</v>
      </c>
    </row>
    <row r="861" spans="1:8">
      <c r="A861" s="37">
        <v>39476.15625</v>
      </c>
      <c r="B861" s="35" t="s">
        <v>654</v>
      </c>
      <c r="C861" s="35" t="s">
        <v>655</v>
      </c>
      <c r="D861" s="39">
        <v>30.069999694824219</v>
      </c>
      <c r="E861" s="39">
        <v>19.235570907592773</v>
      </c>
      <c r="F861" s="41">
        <v>2581285</v>
      </c>
      <c r="G861" s="35" t="s">
        <v>672</v>
      </c>
      <c r="H861" s="35" t="s">
        <v>115</v>
      </c>
    </row>
    <row r="862" spans="1:8">
      <c r="A862" s="37">
        <v>39477.15625</v>
      </c>
      <c r="B862" s="35" t="s">
        <v>654</v>
      </c>
      <c r="C862" s="35" t="s">
        <v>655</v>
      </c>
      <c r="D862" s="39">
        <v>27.030000686645508</v>
      </c>
      <c r="E862" s="39">
        <v>17.29090690612793</v>
      </c>
      <c r="F862" s="41">
        <v>3087190</v>
      </c>
      <c r="G862" s="35" t="s">
        <v>672</v>
      </c>
      <c r="H862" s="35" t="s">
        <v>115</v>
      </c>
    </row>
    <row r="863" spans="1:8">
      <c r="A863" s="37">
        <v>39478.15625</v>
      </c>
      <c r="B863" s="35" t="s">
        <v>654</v>
      </c>
      <c r="C863" s="35" t="s">
        <v>655</v>
      </c>
      <c r="D863" s="39">
        <v>26.370000839233398</v>
      </c>
      <c r="E863" s="39">
        <v>16.86871337890625</v>
      </c>
      <c r="F863" s="41">
        <v>6245540</v>
      </c>
      <c r="G863" s="35" t="s">
        <v>672</v>
      </c>
      <c r="H863" s="35" t="s">
        <v>115</v>
      </c>
    </row>
    <row r="864" spans="1:8">
      <c r="A864" s="37">
        <v>39479.15625</v>
      </c>
      <c r="B864" s="35" t="s">
        <v>654</v>
      </c>
      <c r="C864" s="35" t="s">
        <v>655</v>
      </c>
      <c r="D864" s="39">
        <v>28.059999465942383</v>
      </c>
      <c r="E864" s="39">
        <v>17.949790954589844</v>
      </c>
      <c r="F864" s="41">
        <v>2374965</v>
      </c>
      <c r="G864" s="35" t="s">
        <v>672</v>
      </c>
      <c r="H864" s="35" t="s">
        <v>115</v>
      </c>
    </row>
    <row r="865" spans="1:8">
      <c r="A865" s="37">
        <v>39482.15625</v>
      </c>
      <c r="B865" s="35" t="s">
        <v>654</v>
      </c>
      <c r="C865" s="35" t="s">
        <v>655</v>
      </c>
      <c r="D865" s="39">
        <v>28.840000152587891</v>
      </c>
      <c r="E865" s="39">
        <v>18.448751449584961</v>
      </c>
      <c r="F865" s="41">
        <v>2255110</v>
      </c>
      <c r="G865" s="35" t="s">
        <v>672</v>
      </c>
      <c r="H865" s="35" t="s">
        <v>115</v>
      </c>
    </row>
    <row r="866" spans="1:8">
      <c r="A866" s="37">
        <v>39483.15625</v>
      </c>
      <c r="B866" s="35" t="s">
        <v>654</v>
      </c>
      <c r="C866" s="35" t="s">
        <v>655</v>
      </c>
      <c r="D866" s="39">
        <v>29.180000305175781</v>
      </c>
      <c r="E866" s="39">
        <v>18.666250228881836</v>
      </c>
      <c r="F866" s="41">
        <v>1135765</v>
      </c>
      <c r="G866" s="35" t="s">
        <v>672</v>
      </c>
      <c r="H866" s="35" t="s">
        <v>115</v>
      </c>
    </row>
    <row r="867" spans="1:8">
      <c r="A867" s="37">
        <v>39484.15625</v>
      </c>
      <c r="B867" s="35" t="s">
        <v>654</v>
      </c>
      <c r="C867" s="35" t="s">
        <v>655</v>
      </c>
      <c r="D867" s="39">
        <v>27.879999160766602</v>
      </c>
      <c r="E867" s="39">
        <v>17.834644317626953</v>
      </c>
      <c r="F867" s="41">
        <v>1314595</v>
      </c>
      <c r="G867" s="35" t="s">
        <v>672</v>
      </c>
      <c r="H867" s="35" t="s">
        <v>115</v>
      </c>
    </row>
    <row r="868" spans="1:8">
      <c r="A868" s="37">
        <v>39485.15625</v>
      </c>
      <c r="B868" s="35" t="s">
        <v>654</v>
      </c>
      <c r="C868" s="35" t="s">
        <v>655</v>
      </c>
      <c r="D868" s="39">
        <v>26.979999542236328</v>
      </c>
      <c r="E868" s="39">
        <v>17.258920669555664</v>
      </c>
      <c r="F868" s="41">
        <v>1136560</v>
      </c>
      <c r="G868" s="35" t="s">
        <v>672</v>
      </c>
      <c r="H868" s="35" t="s">
        <v>115</v>
      </c>
    </row>
    <row r="869" spans="1:8">
      <c r="A869" s="37">
        <v>39486.15625</v>
      </c>
      <c r="B869" s="35" t="s">
        <v>654</v>
      </c>
      <c r="C869" s="35" t="s">
        <v>655</v>
      </c>
      <c r="D869" s="39">
        <v>26.340000152587891</v>
      </c>
      <c r="E869" s="39">
        <v>16.849512100219727</v>
      </c>
      <c r="F869" s="41">
        <v>1384635</v>
      </c>
      <c r="G869" s="35" t="s">
        <v>672</v>
      </c>
      <c r="H869" s="35" t="s">
        <v>115</v>
      </c>
    </row>
    <row r="870" spans="1:8">
      <c r="A870" s="37">
        <v>39489.15625</v>
      </c>
      <c r="B870" s="35" t="s">
        <v>654</v>
      </c>
      <c r="C870" s="35" t="s">
        <v>655</v>
      </c>
      <c r="D870" s="39">
        <v>24.829999923706055</v>
      </c>
      <c r="E870" s="39">
        <v>15.883583068847656</v>
      </c>
      <c r="F870" s="41">
        <v>2299475</v>
      </c>
      <c r="G870" s="35" t="s">
        <v>672</v>
      </c>
      <c r="H870" s="35" t="s">
        <v>115</v>
      </c>
    </row>
    <row r="871" spans="1:8">
      <c r="A871" s="37">
        <v>39490.15625</v>
      </c>
      <c r="B871" s="35" t="s">
        <v>654</v>
      </c>
      <c r="C871" s="35" t="s">
        <v>655</v>
      </c>
      <c r="D871" s="39">
        <v>23.559999465942383</v>
      </c>
      <c r="E871" s="39">
        <v>15.071168899536133</v>
      </c>
      <c r="F871" s="41">
        <v>2353335</v>
      </c>
      <c r="G871" s="35" t="s">
        <v>672</v>
      </c>
      <c r="H871" s="35" t="s">
        <v>115</v>
      </c>
    </row>
    <row r="872" spans="1:8">
      <c r="A872" s="37">
        <v>39491.15625</v>
      </c>
      <c r="B872" s="35" t="s">
        <v>654</v>
      </c>
      <c r="C872" s="35" t="s">
        <v>655</v>
      </c>
      <c r="D872" s="39">
        <v>22.940000534057617</v>
      </c>
      <c r="E872" s="39">
        <v>14.674563407897949</v>
      </c>
      <c r="F872" s="41">
        <v>3230910</v>
      </c>
      <c r="G872" s="35" t="s">
        <v>672</v>
      </c>
      <c r="H872" s="35" t="s">
        <v>115</v>
      </c>
    </row>
    <row r="873" spans="1:8">
      <c r="A873" s="37">
        <v>39492.15625</v>
      </c>
      <c r="B873" s="35" t="s">
        <v>654</v>
      </c>
      <c r="C873" s="35" t="s">
        <v>655</v>
      </c>
      <c r="D873" s="39">
        <v>24.459999084472656</v>
      </c>
      <c r="E873" s="39">
        <v>15.646895408630371</v>
      </c>
      <c r="F873" s="41">
        <v>2879390</v>
      </c>
      <c r="G873" s="35" t="s">
        <v>672</v>
      </c>
      <c r="H873" s="35" t="s">
        <v>115</v>
      </c>
    </row>
    <row r="874" spans="1:8">
      <c r="A874" s="37">
        <v>39493.15625</v>
      </c>
      <c r="B874" s="35" t="s">
        <v>654</v>
      </c>
      <c r="C874" s="35" t="s">
        <v>655</v>
      </c>
      <c r="D874" s="39">
        <v>25.489999771118164</v>
      </c>
      <c r="E874" s="39">
        <v>16.305780410766602</v>
      </c>
      <c r="F874" s="41">
        <v>1705810</v>
      </c>
      <c r="G874" s="35" t="s">
        <v>672</v>
      </c>
      <c r="H874" s="35" t="s">
        <v>115</v>
      </c>
    </row>
    <row r="875" spans="1:8">
      <c r="A875" s="37">
        <v>39496.15625</v>
      </c>
      <c r="B875" s="35" t="s">
        <v>654</v>
      </c>
      <c r="C875" s="35" t="s">
        <v>655</v>
      </c>
      <c r="D875" s="39">
        <v>24.049999237060547</v>
      </c>
      <c r="E875" s="39">
        <v>15.384618759155273</v>
      </c>
      <c r="F875" s="41">
        <v>2667120</v>
      </c>
      <c r="G875" s="35" t="s">
        <v>672</v>
      </c>
      <c r="H875" s="35" t="s">
        <v>115</v>
      </c>
    </row>
    <row r="876" spans="1:8">
      <c r="A876" s="37">
        <v>39497.15625</v>
      </c>
      <c r="B876" s="35" t="s">
        <v>654</v>
      </c>
      <c r="C876" s="35" t="s">
        <v>655</v>
      </c>
      <c r="D876" s="39">
        <v>25.569999694824219</v>
      </c>
      <c r="E876" s="39">
        <v>16.356956481933594</v>
      </c>
      <c r="F876" s="41">
        <v>8542390</v>
      </c>
      <c r="G876" s="35" t="s">
        <v>672</v>
      </c>
      <c r="H876" s="35" t="s">
        <v>115</v>
      </c>
    </row>
    <row r="877" spans="1:8">
      <c r="A877" s="37">
        <v>39498.15625</v>
      </c>
      <c r="B877" s="35" t="s">
        <v>654</v>
      </c>
      <c r="C877" s="35" t="s">
        <v>655</v>
      </c>
      <c r="D877" s="39">
        <v>25.860000610351563</v>
      </c>
      <c r="E877" s="39">
        <v>16.542465209960938</v>
      </c>
      <c r="F877" s="41">
        <v>2913735</v>
      </c>
      <c r="G877" s="35" t="s">
        <v>672</v>
      </c>
      <c r="H877" s="35" t="s">
        <v>115</v>
      </c>
    </row>
    <row r="878" spans="1:8">
      <c r="A878" s="37">
        <v>39499.15625</v>
      </c>
      <c r="B878" s="35" t="s">
        <v>654</v>
      </c>
      <c r="C878" s="35" t="s">
        <v>655</v>
      </c>
      <c r="D878" s="39">
        <v>26.659999847412109</v>
      </c>
      <c r="E878" s="39">
        <v>17.054222106933594</v>
      </c>
      <c r="F878" s="41">
        <v>5840730</v>
      </c>
      <c r="G878" s="35" t="s">
        <v>672</v>
      </c>
      <c r="H878" s="35" t="s">
        <v>115</v>
      </c>
    </row>
    <row r="879" spans="1:8">
      <c r="A879" s="37">
        <v>39500.15625</v>
      </c>
      <c r="B879" s="35" t="s">
        <v>654</v>
      </c>
      <c r="C879" s="35" t="s">
        <v>655</v>
      </c>
      <c r="D879" s="39">
        <v>26.510000228881836</v>
      </c>
      <c r="E879" s="39">
        <v>16.958267211914063</v>
      </c>
      <c r="F879" s="41">
        <v>4461075</v>
      </c>
      <c r="G879" s="35" t="s">
        <v>672</v>
      </c>
      <c r="H879" s="35" t="s">
        <v>115</v>
      </c>
    </row>
    <row r="880" spans="1:8">
      <c r="A880" s="37">
        <v>39503.15625</v>
      </c>
      <c r="B880" s="35" t="s">
        <v>654</v>
      </c>
      <c r="C880" s="35" t="s">
        <v>655</v>
      </c>
      <c r="D880" s="39">
        <v>26.520000457763672</v>
      </c>
      <c r="E880" s="39">
        <v>16.964664459228516</v>
      </c>
      <c r="F880" s="41">
        <v>2132740</v>
      </c>
      <c r="G880" s="35" t="s">
        <v>672</v>
      </c>
      <c r="H880" s="35" t="s">
        <v>115</v>
      </c>
    </row>
    <row r="881" spans="1:8">
      <c r="A881" s="37">
        <v>39504.15625</v>
      </c>
      <c r="B881" s="35" t="s">
        <v>654</v>
      </c>
      <c r="C881" s="35" t="s">
        <v>655</v>
      </c>
      <c r="D881" s="39">
        <v>27.010000228881836</v>
      </c>
      <c r="E881" s="39">
        <v>17.278110504150391</v>
      </c>
      <c r="F881" s="41">
        <v>1906580</v>
      </c>
      <c r="G881" s="35" t="s">
        <v>672</v>
      </c>
      <c r="H881" s="35" t="s">
        <v>115</v>
      </c>
    </row>
    <row r="882" spans="1:8">
      <c r="A882" s="37">
        <v>39505.15625</v>
      </c>
      <c r="B882" s="35" t="s">
        <v>654</v>
      </c>
      <c r="C882" s="35" t="s">
        <v>655</v>
      </c>
      <c r="D882" s="39">
        <v>27.010000228881836</v>
      </c>
      <c r="E882" s="39">
        <v>17.278110504150391</v>
      </c>
      <c r="F882" s="41">
        <v>1892970</v>
      </c>
      <c r="G882" s="35" t="s">
        <v>672</v>
      </c>
      <c r="H882" s="35" t="s">
        <v>115</v>
      </c>
    </row>
    <row r="883" spans="1:8">
      <c r="A883" s="37">
        <v>39506.15625</v>
      </c>
      <c r="B883" s="35" t="s">
        <v>654</v>
      </c>
      <c r="C883" s="35" t="s">
        <v>655</v>
      </c>
      <c r="D883" s="39">
        <v>26.139999389648438</v>
      </c>
      <c r="E883" s="39">
        <v>16.721578598022461</v>
      </c>
      <c r="F883" s="41">
        <v>3999585</v>
      </c>
      <c r="G883" s="35" t="s">
        <v>672</v>
      </c>
      <c r="H883" s="35" t="s">
        <v>115</v>
      </c>
    </row>
    <row r="884" spans="1:8">
      <c r="A884" s="37">
        <v>39507.15625</v>
      </c>
      <c r="B884" s="35" t="s">
        <v>654</v>
      </c>
      <c r="C884" s="35" t="s">
        <v>655</v>
      </c>
      <c r="D884" s="39">
        <v>26.219999313354492</v>
      </c>
      <c r="E884" s="39">
        <v>16.772754669189453</v>
      </c>
      <c r="F884" s="41">
        <v>2192715</v>
      </c>
      <c r="G884" s="35" t="s">
        <v>672</v>
      </c>
      <c r="H884" s="35" t="s">
        <v>115</v>
      </c>
    </row>
    <row r="885" spans="1:8">
      <c r="A885" s="37">
        <v>39510.15625</v>
      </c>
      <c r="B885" s="35" t="s">
        <v>654</v>
      </c>
      <c r="C885" s="35" t="s">
        <v>655</v>
      </c>
      <c r="D885" s="39">
        <v>24.940000534057617</v>
      </c>
      <c r="E885" s="39">
        <v>15.953952789306641</v>
      </c>
      <c r="F885" s="41">
        <v>1198260</v>
      </c>
      <c r="G885" s="35" t="s">
        <v>672</v>
      </c>
      <c r="H885" s="35" t="s">
        <v>115</v>
      </c>
    </row>
    <row r="886" spans="1:8">
      <c r="A886" s="37">
        <v>39511.15625</v>
      </c>
      <c r="B886" s="35" t="s">
        <v>654</v>
      </c>
      <c r="C886" s="35" t="s">
        <v>655</v>
      </c>
      <c r="D886" s="39">
        <v>23.540000915527344</v>
      </c>
      <c r="E886" s="39">
        <v>15.058380126953125</v>
      </c>
      <c r="F886" s="41">
        <v>2207270</v>
      </c>
      <c r="G886" s="35" t="s">
        <v>672</v>
      </c>
      <c r="H886" s="35" t="s">
        <v>115</v>
      </c>
    </row>
    <row r="887" spans="1:8">
      <c r="A887" s="37">
        <v>39512.15625</v>
      </c>
      <c r="B887" s="35" t="s">
        <v>654</v>
      </c>
      <c r="C887" s="35" t="s">
        <v>655</v>
      </c>
      <c r="D887" s="39">
        <v>23.780000686645508</v>
      </c>
      <c r="E887" s="39">
        <v>15.211902618408203</v>
      </c>
      <c r="F887" s="41">
        <v>1244690</v>
      </c>
      <c r="G887" s="35" t="s">
        <v>672</v>
      </c>
      <c r="H887" s="35" t="s">
        <v>115</v>
      </c>
    </row>
    <row r="888" spans="1:8">
      <c r="A888" s="37">
        <v>39514.15625</v>
      </c>
      <c r="B888" s="35" t="s">
        <v>654</v>
      </c>
      <c r="C888" s="35" t="s">
        <v>655</v>
      </c>
      <c r="D888" s="39">
        <v>22.340000152587891</v>
      </c>
      <c r="E888" s="39">
        <v>14.290743827819824</v>
      </c>
      <c r="F888" s="41">
        <v>1659315</v>
      </c>
      <c r="G888" s="35" t="s">
        <v>672</v>
      </c>
      <c r="H888" s="35" t="s">
        <v>115</v>
      </c>
    </row>
    <row r="889" spans="1:8">
      <c r="A889" s="37">
        <v>39517.15625</v>
      </c>
      <c r="B889" s="35" t="s">
        <v>654</v>
      </c>
      <c r="C889" s="35" t="s">
        <v>655</v>
      </c>
      <c r="D889" s="39">
        <v>22.430000305175781</v>
      </c>
      <c r="E889" s="39">
        <v>14.348321914672852</v>
      </c>
      <c r="F889" s="41">
        <v>1836875</v>
      </c>
      <c r="G889" s="35" t="s">
        <v>672</v>
      </c>
      <c r="H889" s="35" t="s">
        <v>115</v>
      </c>
    </row>
    <row r="890" spans="1:8">
      <c r="A890" s="37">
        <v>39518.15625</v>
      </c>
      <c r="B890" s="35" t="s">
        <v>654</v>
      </c>
      <c r="C890" s="35" t="s">
        <v>655</v>
      </c>
      <c r="D890" s="39">
        <v>22.590000152587891</v>
      </c>
      <c r="E890" s="39">
        <v>14.450675010681152</v>
      </c>
      <c r="F890" s="41">
        <v>991960</v>
      </c>
      <c r="G890" s="35" t="s">
        <v>672</v>
      </c>
      <c r="H890" s="35" t="s">
        <v>115</v>
      </c>
    </row>
    <row r="891" spans="1:8">
      <c r="A891" s="37">
        <v>39519.15625</v>
      </c>
      <c r="B891" s="35" t="s">
        <v>654</v>
      </c>
      <c r="C891" s="35" t="s">
        <v>655</v>
      </c>
      <c r="D891" s="39">
        <v>21.979999542236328</v>
      </c>
      <c r="E891" s="39">
        <v>14.060455322265625</v>
      </c>
      <c r="F891" s="41">
        <v>1613270</v>
      </c>
      <c r="G891" s="35" t="s">
        <v>672</v>
      </c>
      <c r="H891" s="35" t="s">
        <v>115</v>
      </c>
    </row>
    <row r="892" spans="1:8">
      <c r="A892" s="37">
        <v>39520.15625</v>
      </c>
      <c r="B892" s="35" t="s">
        <v>654</v>
      </c>
      <c r="C892" s="35" t="s">
        <v>655</v>
      </c>
      <c r="D892" s="39">
        <v>20.110000610351563</v>
      </c>
      <c r="E892" s="39">
        <v>12.864228248596191</v>
      </c>
      <c r="F892" s="41">
        <v>2004880</v>
      </c>
      <c r="G892" s="35" t="s">
        <v>672</v>
      </c>
      <c r="H892" s="35" t="s">
        <v>115</v>
      </c>
    </row>
    <row r="893" spans="1:8">
      <c r="A893" s="37">
        <v>39521.15625</v>
      </c>
      <c r="B893" s="35" t="s">
        <v>654</v>
      </c>
      <c r="C893" s="35" t="s">
        <v>655</v>
      </c>
      <c r="D893" s="39">
        <v>20.530000686645508</v>
      </c>
      <c r="E893" s="39">
        <v>13.132902145385742</v>
      </c>
      <c r="F893" s="41">
        <v>1081440</v>
      </c>
      <c r="G893" s="35" t="s">
        <v>672</v>
      </c>
      <c r="H893" s="35" t="s">
        <v>115</v>
      </c>
    </row>
    <row r="894" spans="1:8">
      <c r="A894" s="37">
        <v>39524.15625</v>
      </c>
      <c r="B894" s="35" t="s">
        <v>654</v>
      </c>
      <c r="C894" s="35" t="s">
        <v>655</v>
      </c>
      <c r="D894" s="39">
        <v>19.079999923706055</v>
      </c>
      <c r="E894" s="39">
        <v>12.205343246459961</v>
      </c>
      <c r="F894" s="41">
        <v>1389455</v>
      </c>
      <c r="G894" s="35" t="s">
        <v>672</v>
      </c>
      <c r="H894" s="35" t="s">
        <v>115</v>
      </c>
    </row>
    <row r="895" spans="1:8">
      <c r="A895" s="37">
        <v>39525.15625</v>
      </c>
      <c r="B895" s="35" t="s">
        <v>654</v>
      </c>
      <c r="C895" s="35" t="s">
        <v>655</v>
      </c>
      <c r="D895" s="39">
        <v>19.239999771118164</v>
      </c>
      <c r="E895" s="39">
        <v>12.307696342468262</v>
      </c>
      <c r="F895" s="41">
        <v>973555</v>
      </c>
      <c r="G895" s="35" t="s">
        <v>672</v>
      </c>
      <c r="H895" s="35" t="s">
        <v>115</v>
      </c>
    </row>
    <row r="896" spans="1:8">
      <c r="A896" s="37">
        <v>39526.15625</v>
      </c>
      <c r="B896" s="35" t="s">
        <v>654</v>
      </c>
      <c r="C896" s="35" t="s">
        <v>655</v>
      </c>
      <c r="D896" s="39">
        <v>18.120000839233398</v>
      </c>
      <c r="E896" s="39">
        <v>11.591243743896484</v>
      </c>
      <c r="F896" s="41">
        <v>2076330</v>
      </c>
      <c r="G896" s="35" t="s">
        <v>672</v>
      </c>
      <c r="H896" s="35" t="s">
        <v>115</v>
      </c>
    </row>
    <row r="897" spans="1:8">
      <c r="A897" s="37">
        <v>39531.15625</v>
      </c>
      <c r="B897" s="35" t="s">
        <v>654</v>
      </c>
      <c r="C897" s="35" t="s">
        <v>655</v>
      </c>
      <c r="D897" s="39">
        <v>17.280000686645508</v>
      </c>
      <c r="E897" s="39">
        <v>11.053897857666016</v>
      </c>
      <c r="F897" s="41">
        <v>1446770</v>
      </c>
      <c r="G897" s="35" t="s">
        <v>672</v>
      </c>
      <c r="H897" s="35" t="s">
        <v>115</v>
      </c>
    </row>
    <row r="898" spans="1:8">
      <c r="A898" s="37">
        <v>39532.15625</v>
      </c>
      <c r="B898" s="35" t="s">
        <v>654</v>
      </c>
      <c r="C898" s="35" t="s">
        <v>655</v>
      </c>
      <c r="D898" s="39">
        <v>20.309999465942383</v>
      </c>
      <c r="E898" s="39">
        <v>12.992172241210938</v>
      </c>
      <c r="F898" s="41">
        <v>5815345</v>
      </c>
      <c r="G898" s="35" t="s">
        <v>672</v>
      </c>
      <c r="H898" s="35" t="s">
        <v>115</v>
      </c>
    </row>
    <row r="899" spans="1:8">
      <c r="A899" s="37">
        <v>39533.15625</v>
      </c>
      <c r="B899" s="35" t="s">
        <v>654</v>
      </c>
      <c r="C899" s="35" t="s">
        <v>655</v>
      </c>
      <c r="D899" s="39">
        <v>20.270000457763672</v>
      </c>
      <c r="E899" s="39">
        <v>12.966581344604492</v>
      </c>
      <c r="F899" s="41">
        <v>2964790</v>
      </c>
      <c r="G899" s="35" t="s">
        <v>672</v>
      </c>
      <c r="H899" s="35" t="s">
        <v>115</v>
      </c>
    </row>
    <row r="900" spans="1:8">
      <c r="A900" s="37">
        <v>39534.15625</v>
      </c>
      <c r="B900" s="35" t="s">
        <v>654</v>
      </c>
      <c r="C900" s="35" t="s">
        <v>655</v>
      </c>
      <c r="D900" s="39">
        <v>19.909999847412109</v>
      </c>
      <c r="E900" s="39">
        <v>12.736293792724609</v>
      </c>
      <c r="F900" s="41">
        <v>5717115</v>
      </c>
      <c r="G900" s="35" t="s">
        <v>672</v>
      </c>
      <c r="H900" s="35" t="s">
        <v>115</v>
      </c>
    </row>
    <row r="901" spans="1:8">
      <c r="A901" s="37">
        <v>39535.15625</v>
      </c>
      <c r="B901" s="35" t="s">
        <v>654</v>
      </c>
      <c r="C901" s="35" t="s">
        <v>655</v>
      </c>
      <c r="D901" s="39">
        <v>21.280000686645508</v>
      </c>
      <c r="E901" s="39">
        <v>13.612669944763184</v>
      </c>
      <c r="F901" s="41">
        <v>3585880</v>
      </c>
      <c r="G901" s="35" t="s">
        <v>672</v>
      </c>
      <c r="H901" s="35" t="s">
        <v>115</v>
      </c>
    </row>
    <row r="902" spans="1:8">
      <c r="A902" s="37">
        <v>39538.15625</v>
      </c>
      <c r="B902" s="35" t="s">
        <v>654</v>
      </c>
      <c r="C902" s="35" t="s">
        <v>655</v>
      </c>
      <c r="D902" s="39">
        <v>20.379999160766602</v>
      </c>
      <c r="E902" s="39">
        <v>13.036945343017578</v>
      </c>
      <c r="F902" s="41">
        <v>1350220</v>
      </c>
      <c r="G902" s="35" t="s">
        <v>672</v>
      </c>
      <c r="H902" s="35" t="s">
        <v>115</v>
      </c>
    </row>
    <row r="903" spans="1:8">
      <c r="A903" s="37">
        <v>39539.15625</v>
      </c>
      <c r="B903" s="35" t="s">
        <v>654</v>
      </c>
      <c r="C903" s="35" t="s">
        <v>655</v>
      </c>
      <c r="D903" s="39">
        <v>21.290000915527344</v>
      </c>
      <c r="E903" s="39">
        <v>13.619070053100586</v>
      </c>
      <c r="F903" s="41">
        <v>2427260</v>
      </c>
      <c r="G903" s="35" t="s">
        <v>673</v>
      </c>
      <c r="H903" s="35" t="s">
        <v>115</v>
      </c>
    </row>
    <row r="904" spans="1:8">
      <c r="A904" s="37">
        <v>39540.15625</v>
      </c>
      <c r="B904" s="35" t="s">
        <v>654</v>
      </c>
      <c r="C904" s="35" t="s">
        <v>655</v>
      </c>
      <c r="D904" s="39">
        <v>21.069999694824219</v>
      </c>
      <c r="E904" s="39">
        <v>13.478334426879883</v>
      </c>
      <c r="F904" s="41">
        <v>1874785</v>
      </c>
      <c r="G904" s="35" t="s">
        <v>673</v>
      </c>
      <c r="H904" s="35" t="s">
        <v>115</v>
      </c>
    </row>
    <row r="905" spans="1:8">
      <c r="A905" s="37">
        <v>39541.15625</v>
      </c>
      <c r="B905" s="35" t="s">
        <v>654</v>
      </c>
      <c r="C905" s="35" t="s">
        <v>655</v>
      </c>
      <c r="D905" s="39">
        <v>21.709999084472656</v>
      </c>
      <c r="E905" s="39">
        <v>13.887737274169922</v>
      </c>
      <c r="F905" s="41">
        <v>2166890</v>
      </c>
      <c r="G905" s="35" t="s">
        <v>673</v>
      </c>
      <c r="H905" s="35" t="s">
        <v>115</v>
      </c>
    </row>
    <row r="906" spans="1:8">
      <c r="A906" s="37">
        <v>39542.15625</v>
      </c>
      <c r="B906" s="35" t="s">
        <v>654</v>
      </c>
      <c r="C906" s="35" t="s">
        <v>655</v>
      </c>
      <c r="D906" s="39">
        <v>21.260000228881836</v>
      </c>
      <c r="E906" s="39">
        <v>13.59987735748291</v>
      </c>
      <c r="F906" s="41">
        <v>2088905</v>
      </c>
      <c r="G906" s="35" t="s">
        <v>673</v>
      </c>
      <c r="H906" s="35" t="s">
        <v>115</v>
      </c>
    </row>
    <row r="907" spans="1:8">
      <c r="A907" s="37">
        <v>39545.15625</v>
      </c>
      <c r="B907" s="35" t="s">
        <v>654</v>
      </c>
      <c r="C907" s="35" t="s">
        <v>655</v>
      </c>
      <c r="D907" s="39">
        <v>22.159999847412109</v>
      </c>
      <c r="E907" s="39">
        <v>14.175601959228516</v>
      </c>
      <c r="F907" s="41">
        <v>2379025</v>
      </c>
      <c r="G907" s="35" t="s">
        <v>673</v>
      </c>
      <c r="H907" s="35" t="s">
        <v>115</v>
      </c>
    </row>
    <row r="908" spans="1:8">
      <c r="A908" s="37">
        <v>39546.15625</v>
      </c>
      <c r="B908" s="35" t="s">
        <v>654</v>
      </c>
      <c r="C908" s="35" t="s">
        <v>655</v>
      </c>
      <c r="D908" s="39">
        <v>22.180000305175781</v>
      </c>
      <c r="E908" s="39">
        <v>14.188395500183105</v>
      </c>
      <c r="F908" s="41">
        <v>1215700</v>
      </c>
      <c r="G908" s="35" t="s">
        <v>673</v>
      </c>
      <c r="H908" s="35" t="s">
        <v>115</v>
      </c>
    </row>
    <row r="909" spans="1:8">
      <c r="A909" s="37">
        <v>39547.15625</v>
      </c>
      <c r="B909" s="35" t="s">
        <v>654</v>
      </c>
      <c r="C909" s="35" t="s">
        <v>655</v>
      </c>
      <c r="D909" s="39">
        <v>25.030000686645508</v>
      </c>
      <c r="E909" s="39">
        <v>16.011520385742188</v>
      </c>
      <c r="F909" s="41">
        <v>6980835</v>
      </c>
      <c r="G909" s="35" t="s">
        <v>673</v>
      </c>
      <c r="H909" s="35" t="s">
        <v>115</v>
      </c>
    </row>
    <row r="910" spans="1:8">
      <c r="A910" s="37">
        <v>39548.15625</v>
      </c>
      <c r="B910" s="35" t="s">
        <v>654</v>
      </c>
      <c r="C910" s="35" t="s">
        <v>655</v>
      </c>
      <c r="D910" s="39">
        <v>24.290000915527344</v>
      </c>
      <c r="E910" s="39">
        <v>15.538154602050781</v>
      </c>
      <c r="F910" s="41">
        <v>7340150</v>
      </c>
      <c r="G910" s="35" t="s">
        <v>673</v>
      </c>
      <c r="H910" s="35" t="s">
        <v>115</v>
      </c>
    </row>
    <row r="911" spans="1:8">
      <c r="A911" s="37">
        <v>39549.15625</v>
      </c>
      <c r="B911" s="35" t="s">
        <v>654</v>
      </c>
      <c r="C911" s="35" t="s">
        <v>655</v>
      </c>
      <c r="D911" s="39">
        <v>25.030000686645508</v>
      </c>
      <c r="E911" s="39">
        <v>16.011520385742188</v>
      </c>
      <c r="F911" s="41">
        <v>3908560</v>
      </c>
      <c r="G911" s="35" t="s">
        <v>673</v>
      </c>
      <c r="H911" s="35" t="s">
        <v>115</v>
      </c>
    </row>
    <row r="912" spans="1:8">
      <c r="A912" s="37">
        <v>39553.15625</v>
      </c>
      <c r="B912" s="35" t="s">
        <v>654</v>
      </c>
      <c r="C912" s="35" t="s">
        <v>655</v>
      </c>
      <c r="D912" s="39">
        <v>25.729999542236328</v>
      </c>
      <c r="E912" s="39">
        <v>16.459306716918945</v>
      </c>
      <c r="F912" s="41">
        <v>5730005</v>
      </c>
      <c r="G912" s="35" t="s">
        <v>673</v>
      </c>
      <c r="H912" s="35" t="s">
        <v>115</v>
      </c>
    </row>
    <row r="913" spans="1:8">
      <c r="A913" s="37">
        <v>39554.15625</v>
      </c>
      <c r="B913" s="35" t="s">
        <v>654</v>
      </c>
      <c r="C913" s="35" t="s">
        <v>655</v>
      </c>
      <c r="D913" s="39">
        <v>26.559999465942383</v>
      </c>
      <c r="E913" s="39">
        <v>16.990251541137695</v>
      </c>
      <c r="F913" s="41">
        <v>6217825</v>
      </c>
      <c r="G913" s="35" t="s">
        <v>673</v>
      </c>
      <c r="H913" s="35" t="s">
        <v>115</v>
      </c>
    </row>
    <row r="914" spans="1:8">
      <c r="A914" s="37">
        <v>39555.15625</v>
      </c>
      <c r="B914" s="35" t="s">
        <v>654</v>
      </c>
      <c r="C914" s="35" t="s">
        <v>655</v>
      </c>
      <c r="D914" s="39">
        <v>27.770000457763672</v>
      </c>
      <c r="E914" s="39">
        <v>17.764278411865234</v>
      </c>
      <c r="F914" s="41">
        <v>6324525</v>
      </c>
      <c r="G914" s="35" t="s">
        <v>673</v>
      </c>
      <c r="H914" s="35" t="s">
        <v>115</v>
      </c>
    </row>
    <row r="915" spans="1:8">
      <c r="A915" s="37">
        <v>39559.15625</v>
      </c>
      <c r="B915" s="35" t="s">
        <v>654</v>
      </c>
      <c r="C915" s="35" t="s">
        <v>655</v>
      </c>
      <c r="D915" s="39">
        <v>29.200000762939453</v>
      </c>
      <c r="E915" s="39">
        <v>18.679042816162109</v>
      </c>
      <c r="F915" s="41">
        <v>5864685</v>
      </c>
      <c r="G915" s="35" t="s">
        <v>673</v>
      </c>
      <c r="H915" s="35" t="s">
        <v>115</v>
      </c>
    </row>
    <row r="916" spans="1:8">
      <c r="A916" s="37">
        <v>39560.15625</v>
      </c>
      <c r="B916" s="35" t="s">
        <v>654</v>
      </c>
      <c r="C916" s="35" t="s">
        <v>655</v>
      </c>
      <c r="D916" s="39">
        <v>27.309999465942383</v>
      </c>
      <c r="E916" s="39">
        <v>17.470026016235352</v>
      </c>
      <c r="F916" s="41">
        <v>3405320</v>
      </c>
      <c r="G916" s="35" t="s">
        <v>673</v>
      </c>
      <c r="H916" s="35" t="s">
        <v>115</v>
      </c>
    </row>
    <row r="917" spans="1:8">
      <c r="A917" s="37">
        <v>39561.15625</v>
      </c>
      <c r="B917" s="35" t="s">
        <v>654</v>
      </c>
      <c r="C917" s="35" t="s">
        <v>655</v>
      </c>
      <c r="D917" s="39">
        <v>27.309999465942383</v>
      </c>
      <c r="E917" s="39">
        <v>17.470026016235352</v>
      </c>
      <c r="F917" s="41">
        <v>2822975</v>
      </c>
      <c r="G917" s="35" t="s">
        <v>673</v>
      </c>
      <c r="H917" s="35" t="s">
        <v>115</v>
      </c>
    </row>
    <row r="918" spans="1:8">
      <c r="A918" s="37">
        <v>39562.15625</v>
      </c>
      <c r="B918" s="35" t="s">
        <v>654</v>
      </c>
      <c r="C918" s="35" t="s">
        <v>655</v>
      </c>
      <c r="D918" s="39">
        <v>26.280000686645508</v>
      </c>
      <c r="E918" s="39">
        <v>16.811141967773438</v>
      </c>
      <c r="F918" s="41">
        <v>3587475</v>
      </c>
      <c r="G918" s="35" t="s">
        <v>673</v>
      </c>
      <c r="H918" s="35" t="s">
        <v>115</v>
      </c>
    </row>
    <row r="919" spans="1:8">
      <c r="A919" s="37">
        <v>39563.15625</v>
      </c>
      <c r="B919" s="35" t="s">
        <v>654</v>
      </c>
      <c r="C919" s="35" t="s">
        <v>655</v>
      </c>
      <c r="D919" s="39">
        <v>26.209999084472656</v>
      </c>
      <c r="E919" s="39">
        <v>16.766359329223633</v>
      </c>
      <c r="F919" s="41">
        <v>2720065</v>
      </c>
      <c r="G919" s="35" t="s">
        <v>673</v>
      </c>
      <c r="H919" s="35" t="s">
        <v>115</v>
      </c>
    </row>
    <row r="920" spans="1:8">
      <c r="A920" s="37">
        <v>39566.15625</v>
      </c>
      <c r="B920" s="35" t="s">
        <v>654</v>
      </c>
      <c r="C920" s="35" t="s">
        <v>655</v>
      </c>
      <c r="D920" s="39">
        <v>25.760000228881836</v>
      </c>
      <c r="E920" s="39">
        <v>16.478498458862305</v>
      </c>
      <c r="F920" s="41">
        <v>1382470</v>
      </c>
      <c r="G920" s="35" t="s">
        <v>673</v>
      </c>
      <c r="H920" s="35" t="s">
        <v>115</v>
      </c>
    </row>
    <row r="921" spans="1:8">
      <c r="A921" s="37">
        <v>39567.15625</v>
      </c>
      <c r="B921" s="35" t="s">
        <v>654</v>
      </c>
      <c r="C921" s="35" t="s">
        <v>655</v>
      </c>
      <c r="D921" s="39">
        <v>27.649999618530273</v>
      </c>
      <c r="E921" s="39">
        <v>17.687520980834961</v>
      </c>
      <c r="F921" s="41">
        <v>7751775</v>
      </c>
      <c r="G921" s="35" t="s">
        <v>673</v>
      </c>
      <c r="H921" s="35" t="s">
        <v>115</v>
      </c>
    </row>
    <row r="922" spans="1:8">
      <c r="A922" s="37">
        <v>39568.15625</v>
      </c>
      <c r="B922" s="35" t="s">
        <v>654</v>
      </c>
      <c r="C922" s="35" t="s">
        <v>655</v>
      </c>
      <c r="D922" s="39">
        <v>28.350000381469727</v>
      </c>
      <c r="E922" s="39">
        <v>18.13530158996582</v>
      </c>
      <c r="F922" s="41">
        <v>5962490</v>
      </c>
      <c r="G922" s="35" t="s">
        <v>673</v>
      </c>
      <c r="H922" s="35" t="s">
        <v>115</v>
      </c>
    </row>
    <row r="923" spans="1:8">
      <c r="A923" s="37">
        <v>39570.15625</v>
      </c>
      <c r="B923" s="35" t="s">
        <v>654</v>
      </c>
      <c r="C923" s="35" t="s">
        <v>655</v>
      </c>
      <c r="D923" s="39">
        <v>30.270000457763672</v>
      </c>
      <c r="E923" s="39">
        <v>19.363513946533203</v>
      </c>
      <c r="F923" s="41">
        <v>8316305</v>
      </c>
      <c r="G923" s="35" t="s">
        <v>673</v>
      </c>
      <c r="H923" s="35" t="s">
        <v>115</v>
      </c>
    </row>
    <row r="924" spans="1:8">
      <c r="A924" s="37">
        <v>39573.15625</v>
      </c>
      <c r="B924" s="35" t="s">
        <v>654</v>
      </c>
      <c r="C924" s="35" t="s">
        <v>655</v>
      </c>
      <c r="D924" s="39">
        <v>29.399999618530273</v>
      </c>
      <c r="E924" s="39">
        <v>18.806974411010742</v>
      </c>
      <c r="F924" s="41">
        <v>5042030</v>
      </c>
      <c r="G924" s="35" t="s">
        <v>673</v>
      </c>
      <c r="H924" s="35" t="s">
        <v>115</v>
      </c>
    </row>
    <row r="925" spans="1:8">
      <c r="A925" s="37">
        <v>39574.15625</v>
      </c>
      <c r="B925" s="35" t="s">
        <v>654</v>
      </c>
      <c r="C925" s="35" t="s">
        <v>655</v>
      </c>
      <c r="D925" s="39">
        <v>29.030000686645508</v>
      </c>
      <c r="E925" s="39">
        <v>18.570293426513672</v>
      </c>
      <c r="F925" s="41">
        <v>4160525</v>
      </c>
      <c r="G925" s="35" t="s">
        <v>673</v>
      </c>
      <c r="H925" s="35" t="s">
        <v>115</v>
      </c>
    </row>
    <row r="926" spans="1:8">
      <c r="A926" s="37">
        <v>39575.15625</v>
      </c>
      <c r="B926" s="35" t="s">
        <v>654</v>
      </c>
      <c r="C926" s="35" t="s">
        <v>655</v>
      </c>
      <c r="D926" s="39">
        <v>29.309999465942383</v>
      </c>
      <c r="E926" s="39">
        <v>18.74940299987793</v>
      </c>
      <c r="F926" s="41">
        <v>5322785</v>
      </c>
      <c r="G926" s="35" t="s">
        <v>673</v>
      </c>
      <c r="H926" s="35" t="s">
        <v>115</v>
      </c>
    </row>
    <row r="927" spans="1:8">
      <c r="A927" s="37">
        <v>39576.15625</v>
      </c>
      <c r="B927" s="35" t="s">
        <v>654</v>
      </c>
      <c r="C927" s="35" t="s">
        <v>655</v>
      </c>
      <c r="D927" s="39">
        <v>28.979999542236328</v>
      </c>
      <c r="E927" s="39">
        <v>18.538307189941406</v>
      </c>
      <c r="F927" s="41">
        <v>2710375</v>
      </c>
      <c r="G927" s="35" t="s">
        <v>673</v>
      </c>
      <c r="H927" s="35" t="s">
        <v>115</v>
      </c>
    </row>
    <row r="928" spans="1:8">
      <c r="A928" s="37">
        <v>39577.15625</v>
      </c>
      <c r="B928" s="35" t="s">
        <v>654</v>
      </c>
      <c r="C928" s="35" t="s">
        <v>655</v>
      </c>
      <c r="D928" s="39">
        <v>27.770000457763672</v>
      </c>
      <c r="E928" s="39">
        <v>17.764278411865234</v>
      </c>
      <c r="F928" s="41">
        <v>2622320</v>
      </c>
      <c r="G928" s="35" t="s">
        <v>673</v>
      </c>
      <c r="H928" s="35" t="s">
        <v>115</v>
      </c>
    </row>
    <row r="929" spans="1:8">
      <c r="A929" s="37">
        <v>39580.15625</v>
      </c>
      <c r="B929" s="35" t="s">
        <v>654</v>
      </c>
      <c r="C929" s="35" t="s">
        <v>655</v>
      </c>
      <c r="D929" s="39">
        <v>28.209999084472656</v>
      </c>
      <c r="E929" s="39">
        <v>18.045743942260742</v>
      </c>
      <c r="F929" s="41">
        <v>3985465</v>
      </c>
      <c r="G929" s="35" t="s">
        <v>673</v>
      </c>
      <c r="H929" s="35" t="s">
        <v>115</v>
      </c>
    </row>
    <row r="930" spans="1:8">
      <c r="A930" s="37">
        <v>39581.15625</v>
      </c>
      <c r="B930" s="35" t="s">
        <v>654</v>
      </c>
      <c r="C930" s="35" t="s">
        <v>655</v>
      </c>
      <c r="D930" s="39">
        <v>27.709999084472656</v>
      </c>
      <c r="E930" s="39">
        <v>17.725896835327148</v>
      </c>
      <c r="F930" s="41">
        <v>2636550</v>
      </c>
      <c r="G930" s="35" t="s">
        <v>673</v>
      </c>
      <c r="H930" s="35" t="s">
        <v>115</v>
      </c>
    </row>
    <row r="931" spans="1:8">
      <c r="A931" s="37">
        <v>39582.15625</v>
      </c>
      <c r="B931" s="35" t="s">
        <v>654</v>
      </c>
      <c r="C931" s="35" t="s">
        <v>655</v>
      </c>
      <c r="D931" s="39">
        <v>29.170000076293945</v>
      </c>
      <c r="E931" s="39">
        <v>18.659854888916016</v>
      </c>
      <c r="F931" s="41">
        <v>4103675</v>
      </c>
      <c r="G931" s="35" t="s">
        <v>673</v>
      </c>
      <c r="H931" s="35" t="s">
        <v>115</v>
      </c>
    </row>
    <row r="932" spans="1:8">
      <c r="A932" s="37">
        <v>39583.15625</v>
      </c>
      <c r="B932" s="35" t="s">
        <v>654</v>
      </c>
      <c r="C932" s="35" t="s">
        <v>655</v>
      </c>
      <c r="D932" s="39">
        <v>29.75</v>
      </c>
      <c r="E932" s="39">
        <v>19.030872344970703</v>
      </c>
      <c r="F932" s="41">
        <v>4057095</v>
      </c>
      <c r="G932" s="35" t="s">
        <v>673</v>
      </c>
      <c r="H932" s="35" t="s">
        <v>115</v>
      </c>
    </row>
    <row r="933" spans="1:8">
      <c r="A933" s="37">
        <v>39584.15625</v>
      </c>
      <c r="B933" s="35" t="s">
        <v>654</v>
      </c>
      <c r="C933" s="35" t="s">
        <v>655</v>
      </c>
      <c r="D933" s="39">
        <v>30.379999160766602</v>
      </c>
      <c r="E933" s="39">
        <v>19.433879852294922</v>
      </c>
      <c r="F933" s="41">
        <v>6387585</v>
      </c>
      <c r="G933" s="35" t="s">
        <v>673</v>
      </c>
      <c r="H933" s="35" t="s">
        <v>115</v>
      </c>
    </row>
    <row r="934" spans="1:8">
      <c r="A934" s="37">
        <v>39588.15625</v>
      </c>
      <c r="B934" s="35" t="s">
        <v>654</v>
      </c>
      <c r="C934" s="35" t="s">
        <v>655</v>
      </c>
      <c r="D934" s="39">
        <v>29.950000762939453</v>
      </c>
      <c r="E934" s="39">
        <v>19.158811569213867</v>
      </c>
      <c r="F934" s="41">
        <v>3265610</v>
      </c>
      <c r="G934" s="35" t="s">
        <v>673</v>
      </c>
      <c r="H934" s="35" t="s">
        <v>115</v>
      </c>
    </row>
    <row r="935" spans="1:8">
      <c r="A935" s="37">
        <v>39589.15625</v>
      </c>
      <c r="B935" s="35" t="s">
        <v>654</v>
      </c>
      <c r="C935" s="35" t="s">
        <v>655</v>
      </c>
      <c r="D935" s="39">
        <v>30.510000228881836</v>
      </c>
      <c r="E935" s="39">
        <v>19.517044067382813</v>
      </c>
      <c r="F935" s="41">
        <v>3054180</v>
      </c>
      <c r="G935" s="35" t="s">
        <v>673</v>
      </c>
      <c r="H935" s="35" t="s">
        <v>115</v>
      </c>
    </row>
    <row r="936" spans="1:8">
      <c r="A936" s="37">
        <v>39590.15625</v>
      </c>
      <c r="B936" s="35" t="s">
        <v>654</v>
      </c>
      <c r="C936" s="35" t="s">
        <v>655</v>
      </c>
      <c r="D936" s="39">
        <v>31.370000839233398</v>
      </c>
      <c r="E936" s="39">
        <v>20.067178726196289</v>
      </c>
      <c r="F936" s="41">
        <v>10665000</v>
      </c>
      <c r="G936" s="35" t="s">
        <v>673</v>
      </c>
      <c r="H936" s="35" t="s">
        <v>115</v>
      </c>
    </row>
    <row r="937" spans="1:8">
      <c r="A937" s="37">
        <v>39591.15625</v>
      </c>
      <c r="B937" s="35" t="s">
        <v>654</v>
      </c>
      <c r="C937" s="35" t="s">
        <v>655</v>
      </c>
      <c r="D937" s="39">
        <v>31.120000839233398</v>
      </c>
      <c r="E937" s="39">
        <v>19.907257080078125</v>
      </c>
      <c r="F937" s="41">
        <v>7015810</v>
      </c>
      <c r="G937" s="35" t="s">
        <v>673</v>
      </c>
      <c r="H937" s="35" t="s">
        <v>115</v>
      </c>
    </row>
    <row r="938" spans="1:8">
      <c r="A938" s="37">
        <v>39594.15625</v>
      </c>
      <c r="B938" s="35" t="s">
        <v>654</v>
      </c>
      <c r="C938" s="35" t="s">
        <v>655</v>
      </c>
      <c r="D938" s="39">
        <v>29.579999923706055</v>
      </c>
      <c r="E938" s="39">
        <v>18.922124862670898</v>
      </c>
      <c r="F938" s="41">
        <v>3255630</v>
      </c>
      <c r="G938" s="35" t="s">
        <v>673</v>
      </c>
      <c r="H938" s="35" t="s">
        <v>115</v>
      </c>
    </row>
    <row r="939" spans="1:8">
      <c r="A939" s="37">
        <v>39595.15625</v>
      </c>
      <c r="B939" s="35" t="s">
        <v>654</v>
      </c>
      <c r="C939" s="35" t="s">
        <v>655</v>
      </c>
      <c r="D939" s="39">
        <v>28.75</v>
      </c>
      <c r="E939" s="39">
        <v>18.391183853149414</v>
      </c>
      <c r="F939" s="41">
        <v>3131715</v>
      </c>
      <c r="G939" s="35" t="s">
        <v>673</v>
      </c>
      <c r="H939" s="35" t="s">
        <v>115</v>
      </c>
    </row>
    <row r="940" spans="1:8">
      <c r="A940" s="37">
        <v>39596.15625</v>
      </c>
      <c r="B940" s="35" t="s">
        <v>654</v>
      </c>
      <c r="C940" s="35" t="s">
        <v>655</v>
      </c>
      <c r="D940" s="39">
        <v>29.659999847412109</v>
      </c>
      <c r="E940" s="39">
        <v>18.973297119140625</v>
      </c>
      <c r="F940" s="41">
        <v>3345835</v>
      </c>
      <c r="G940" s="35" t="s">
        <v>673</v>
      </c>
      <c r="H940" s="35" t="s">
        <v>115</v>
      </c>
    </row>
    <row r="941" spans="1:8">
      <c r="A941" s="37">
        <v>39597.15625</v>
      </c>
      <c r="B941" s="35" t="s">
        <v>654</v>
      </c>
      <c r="C941" s="35" t="s">
        <v>655</v>
      </c>
      <c r="D941" s="39">
        <v>28.610000610351563</v>
      </c>
      <c r="E941" s="39">
        <v>18.301616668701172</v>
      </c>
      <c r="F941" s="41">
        <v>5416600</v>
      </c>
      <c r="G941" s="35" t="s">
        <v>673</v>
      </c>
      <c r="H941" s="35" t="s">
        <v>115</v>
      </c>
    </row>
    <row r="942" spans="1:8">
      <c r="A942" s="37">
        <v>39598.15625</v>
      </c>
      <c r="B942" s="35" t="s">
        <v>654</v>
      </c>
      <c r="C942" s="35" t="s">
        <v>655</v>
      </c>
      <c r="D942" s="39">
        <v>28.799999237060547</v>
      </c>
      <c r="E942" s="39">
        <v>18.423158645629883</v>
      </c>
      <c r="F942" s="41">
        <v>2718385</v>
      </c>
      <c r="G942" s="35" t="s">
        <v>673</v>
      </c>
      <c r="H942" s="35" t="s">
        <v>115</v>
      </c>
    </row>
    <row r="943" spans="1:8">
      <c r="A943" s="37">
        <v>39601.15625</v>
      </c>
      <c r="B943" s="35" t="s">
        <v>654</v>
      </c>
      <c r="C943" s="35" t="s">
        <v>655</v>
      </c>
      <c r="D943" s="39">
        <v>27.540000915527344</v>
      </c>
      <c r="E943" s="39">
        <v>17.617153167724609</v>
      </c>
      <c r="F943" s="41">
        <v>1846385</v>
      </c>
      <c r="G943" s="35" t="s">
        <v>673</v>
      </c>
      <c r="H943" s="35" t="s">
        <v>115</v>
      </c>
    </row>
    <row r="944" spans="1:8">
      <c r="A944" s="37">
        <v>39602.15625</v>
      </c>
      <c r="B944" s="35" t="s">
        <v>654</v>
      </c>
      <c r="C944" s="35" t="s">
        <v>655</v>
      </c>
      <c r="D944" s="39">
        <v>27.489999771118164</v>
      </c>
      <c r="E944" s="39">
        <v>17.585170745849609</v>
      </c>
      <c r="F944" s="41">
        <v>2223665</v>
      </c>
      <c r="G944" s="35" t="s">
        <v>673</v>
      </c>
      <c r="H944" s="35" t="s">
        <v>115</v>
      </c>
    </row>
    <row r="945" spans="1:8">
      <c r="A945" s="37">
        <v>39603.15625</v>
      </c>
      <c r="B945" s="35" t="s">
        <v>654</v>
      </c>
      <c r="C945" s="35" t="s">
        <v>655</v>
      </c>
      <c r="D945" s="39">
        <v>25.850000381469727</v>
      </c>
      <c r="E945" s="39">
        <v>16.536064147949219</v>
      </c>
      <c r="F945" s="41">
        <v>2081955</v>
      </c>
      <c r="G945" s="35" t="s">
        <v>673</v>
      </c>
      <c r="H945" s="35" t="s">
        <v>115</v>
      </c>
    </row>
    <row r="946" spans="1:8">
      <c r="A946" s="37">
        <v>39604.15625</v>
      </c>
      <c r="B946" s="35" t="s">
        <v>654</v>
      </c>
      <c r="C946" s="35" t="s">
        <v>655</v>
      </c>
      <c r="D946" s="39">
        <v>28.180000305175781</v>
      </c>
      <c r="E946" s="39">
        <v>18.026557922363281</v>
      </c>
      <c r="F946" s="41">
        <v>2965505</v>
      </c>
      <c r="G946" s="35" t="s">
        <v>673</v>
      </c>
      <c r="H946" s="35" t="s">
        <v>115</v>
      </c>
    </row>
    <row r="947" spans="1:8">
      <c r="A947" s="37">
        <v>39605.15625</v>
      </c>
      <c r="B947" s="35" t="s">
        <v>654</v>
      </c>
      <c r="C947" s="35" t="s">
        <v>655</v>
      </c>
      <c r="D947" s="39">
        <v>27.299999237060547</v>
      </c>
      <c r="E947" s="39">
        <v>17.463626861572266</v>
      </c>
      <c r="F947" s="41">
        <v>2851180</v>
      </c>
      <c r="G947" s="35" t="s">
        <v>673</v>
      </c>
      <c r="H947" s="35" t="s">
        <v>115</v>
      </c>
    </row>
    <row r="948" spans="1:8">
      <c r="A948" s="37">
        <v>39608.15625</v>
      </c>
      <c r="B948" s="35" t="s">
        <v>654</v>
      </c>
      <c r="C948" s="35" t="s">
        <v>655</v>
      </c>
      <c r="D948" s="39">
        <v>25.540000915527344</v>
      </c>
      <c r="E948" s="39">
        <v>16.337764739990234</v>
      </c>
      <c r="F948" s="41">
        <v>2028890</v>
      </c>
      <c r="G948" s="35" t="s">
        <v>673</v>
      </c>
      <c r="H948" s="35" t="s">
        <v>115</v>
      </c>
    </row>
    <row r="949" spans="1:8">
      <c r="A949" s="37">
        <v>39609.15625</v>
      </c>
      <c r="B949" s="35" t="s">
        <v>654</v>
      </c>
      <c r="C949" s="35" t="s">
        <v>655</v>
      </c>
      <c r="D949" s="39">
        <v>24.690000534057617</v>
      </c>
      <c r="E949" s="39">
        <v>15.794029235839844</v>
      </c>
      <c r="F949" s="41">
        <v>2143260</v>
      </c>
      <c r="G949" s="35" t="s">
        <v>673</v>
      </c>
      <c r="H949" s="35" t="s">
        <v>115</v>
      </c>
    </row>
    <row r="950" spans="1:8">
      <c r="A950" s="37">
        <v>39610.15625</v>
      </c>
      <c r="B950" s="35" t="s">
        <v>654</v>
      </c>
      <c r="C950" s="35" t="s">
        <v>655</v>
      </c>
      <c r="D950" s="39">
        <v>27.040000915527344</v>
      </c>
      <c r="E950" s="39">
        <v>17.297306060791016</v>
      </c>
      <c r="F950" s="41">
        <v>4278420</v>
      </c>
      <c r="G950" s="35" t="s">
        <v>673</v>
      </c>
      <c r="H950" s="35" t="s">
        <v>115</v>
      </c>
    </row>
    <row r="951" spans="1:8">
      <c r="A951" s="37">
        <v>39611.15625</v>
      </c>
      <c r="B951" s="35" t="s">
        <v>654</v>
      </c>
      <c r="C951" s="35" t="s">
        <v>655</v>
      </c>
      <c r="D951" s="39">
        <v>27.620000839233398</v>
      </c>
      <c r="E951" s="39">
        <v>17.668327331542969</v>
      </c>
      <c r="F951" s="41">
        <v>4949780</v>
      </c>
      <c r="G951" s="35" t="s">
        <v>673</v>
      </c>
      <c r="H951" s="35" t="s">
        <v>115</v>
      </c>
    </row>
    <row r="952" spans="1:8">
      <c r="A952" s="37">
        <v>39612.15625</v>
      </c>
      <c r="B952" s="35" t="s">
        <v>654</v>
      </c>
      <c r="C952" s="35" t="s">
        <v>655</v>
      </c>
      <c r="D952" s="39">
        <v>28.440000534057617</v>
      </c>
      <c r="E952" s="39">
        <v>18.192874908447266</v>
      </c>
      <c r="F952" s="41">
        <v>3449920</v>
      </c>
      <c r="G952" s="35" t="s">
        <v>673</v>
      </c>
      <c r="H952" s="35" t="s">
        <v>115</v>
      </c>
    </row>
    <row r="953" spans="1:8">
      <c r="A953" s="37">
        <v>39615.15625</v>
      </c>
      <c r="B953" s="35" t="s">
        <v>654</v>
      </c>
      <c r="C953" s="35" t="s">
        <v>655</v>
      </c>
      <c r="D953" s="39">
        <v>29.149999618530273</v>
      </c>
      <c r="E953" s="39">
        <v>18.647060394287109</v>
      </c>
      <c r="F953" s="41">
        <v>2833465</v>
      </c>
      <c r="G953" s="35" t="s">
        <v>673</v>
      </c>
      <c r="H953" s="35" t="s">
        <v>115</v>
      </c>
    </row>
    <row r="954" spans="1:8">
      <c r="A954" s="37">
        <v>39616.15625</v>
      </c>
      <c r="B954" s="35" t="s">
        <v>654</v>
      </c>
      <c r="C954" s="35" t="s">
        <v>655</v>
      </c>
      <c r="D954" s="39">
        <v>29.180000305175781</v>
      </c>
      <c r="E954" s="39">
        <v>18.666250228881836</v>
      </c>
      <c r="F954" s="41">
        <v>2344590</v>
      </c>
      <c r="G954" s="35" t="s">
        <v>673</v>
      </c>
      <c r="H954" s="35" t="s">
        <v>115</v>
      </c>
    </row>
    <row r="955" spans="1:8">
      <c r="A955" s="37">
        <v>39617.15625</v>
      </c>
      <c r="B955" s="35" t="s">
        <v>654</v>
      </c>
      <c r="C955" s="35" t="s">
        <v>655</v>
      </c>
      <c r="D955" s="39">
        <v>28.840000152587891</v>
      </c>
      <c r="E955" s="39">
        <v>18.448751449584961</v>
      </c>
      <c r="F955" s="41">
        <v>2251215</v>
      </c>
      <c r="G955" s="35" t="s">
        <v>673</v>
      </c>
      <c r="H955" s="35" t="s">
        <v>115</v>
      </c>
    </row>
    <row r="956" spans="1:8">
      <c r="A956" s="37">
        <v>39618.15625</v>
      </c>
      <c r="B956" s="35" t="s">
        <v>654</v>
      </c>
      <c r="C956" s="35" t="s">
        <v>655</v>
      </c>
      <c r="D956" s="39">
        <v>27.760000228881836</v>
      </c>
      <c r="E956" s="39">
        <v>17.75788688659668</v>
      </c>
      <c r="F956" s="41">
        <v>1599605</v>
      </c>
      <c r="G956" s="35" t="s">
        <v>673</v>
      </c>
      <c r="H956" s="35" t="s">
        <v>115</v>
      </c>
    </row>
    <row r="957" spans="1:8">
      <c r="A957" s="37">
        <v>39619.15625</v>
      </c>
      <c r="B957" s="35" t="s">
        <v>654</v>
      </c>
      <c r="C957" s="35" t="s">
        <v>655</v>
      </c>
      <c r="D957" s="39">
        <v>25.850000381469727</v>
      </c>
      <c r="E957" s="39">
        <v>16.536064147949219</v>
      </c>
      <c r="F957" s="41">
        <v>2381645</v>
      </c>
      <c r="G957" s="35" t="s">
        <v>673</v>
      </c>
      <c r="H957" s="35" t="s">
        <v>115</v>
      </c>
    </row>
    <row r="958" spans="1:8">
      <c r="A958" s="37">
        <v>39622.15625</v>
      </c>
      <c r="B958" s="35" t="s">
        <v>654</v>
      </c>
      <c r="C958" s="35" t="s">
        <v>655</v>
      </c>
      <c r="D958" s="39">
        <v>25.329999923706055</v>
      </c>
      <c r="E958" s="39">
        <v>16.20343017578125</v>
      </c>
      <c r="F958" s="41">
        <v>2841785</v>
      </c>
      <c r="G958" s="35" t="s">
        <v>673</v>
      </c>
      <c r="H958" s="35" t="s">
        <v>115</v>
      </c>
    </row>
    <row r="959" spans="1:8">
      <c r="A959" s="37">
        <v>39623.15625</v>
      </c>
      <c r="B959" s="35" t="s">
        <v>654</v>
      </c>
      <c r="C959" s="35" t="s">
        <v>655</v>
      </c>
      <c r="D959" s="39">
        <v>25.610000610351563</v>
      </c>
      <c r="E959" s="39">
        <v>16.382541656494141</v>
      </c>
      <c r="F959" s="41">
        <v>1907845</v>
      </c>
      <c r="G959" s="35" t="s">
        <v>673</v>
      </c>
      <c r="H959" s="35" t="s">
        <v>115</v>
      </c>
    </row>
    <row r="960" spans="1:8">
      <c r="A960" s="37">
        <v>39624.15625</v>
      </c>
      <c r="B960" s="35" t="s">
        <v>654</v>
      </c>
      <c r="C960" s="35" t="s">
        <v>655</v>
      </c>
      <c r="D960" s="39">
        <v>26.399999618530273</v>
      </c>
      <c r="E960" s="39">
        <v>16.887899398803711</v>
      </c>
      <c r="F960" s="41">
        <v>2222690</v>
      </c>
      <c r="G960" s="35" t="s">
        <v>673</v>
      </c>
      <c r="H960" s="35" t="s">
        <v>115</v>
      </c>
    </row>
    <row r="961" spans="1:8">
      <c r="A961" s="37">
        <v>39625.15625</v>
      </c>
      <c r="B961" s="35" t="s">
        <v>654</v>
      </c>
      <c r="C961" s="35" t="s">
        <v>655</v>
      </c>
      <c r="D961" s="39">
        <v>26.200000762939453</v>
      </c>
      <c r="E961" s="39">
        <v>16.759965896606445</v>
      </c>
      <c r="F961" s="41">
        <v>8499985</v>
      </c>
      <c r="G961" s="35" t="s">
        <v>673</v>
      </c>
      <c r="H961" s="35" t="s">
        <v>115</v>
      </c>
    </row>
    <row r="962" spans="1:8">
      <c r="A962" s="37">
        <v>39626.15625</v>
      </c>
      <c r="B962" s="35" t="s">
        <v>654</v>
      </c>
      <c r="C962" s="35" t="s">
        <v>655</v>
      </c>
      <c r="D962" s="39">
        <v>25.819999694824219</v>
      </c>
      <c r="E962" s="39">
        <v>16.516880035400391</v>
      </c>
      <c r="F962" s="41">
        <v>2429550</v>
      </c>
      <c r="G962" s="35" t="s">
        <v>673</v>
      </c>
      <c r="H962" s="35" t="s">
        <v>115</v>
      </c>
    </row>
    <row r="963" spans="1:8">
      <c r="A963" s="37">
        <v>39629.15625</v>
      </c>
      <c r="B963" s="35" t="s">
        <v>654</v>
      </c>
      <c r="C963" s="35" t="s">
        <v>655</v>
      </c>
      <c r="D963" s="39">
        <v>24.299999237060547</v>
      </c>
      <c r="E963" s="39">
        <v>15.544543266296387</v>
      </c>
      <c r="F963" s="41">
        <v>1867610</v>
      </c>
      <c r="G963" s="35" t="s">
        <v>673</v>
      </c>
      <c r="H963" s="35" t="s">
        <v>115</v>
      </c>
    </row>
    <row r="964" spans="1:8">
      <c r="A964" s="37">
        <v>39630.15625</v>
      </c>
      <c r="B964" s="35" t="s">
        <v>654</v>
      </c>
      <c r="C964" s="35" t="s">
        <v>655</v>
      </c>
      <c r="D964" s="39">
        <v>23.350000381469727</v>
      </c>
      <c r="E964" s="39">
        <v>14.93684196472168</v>
      </c>
      <c r="F964" s="41">
        <v>1803355</v>
      </c>
      <c r="G964" s="35" t="s">
        <v>673</v>
      </c>
      <c r="H964" s="35" t="s">
        <v>115</v>
      </c>
    </row>
    <row r="965" spans="1:8">
      <c r="A965" s="37">
        <v>39631.15625</v>
      </c>
      <c r="B965" s="35" t="s">
        <v>654</v>
      </c>
      <c r="C965" s="35" t="s">
        <v>655</v>
      </c>
      <c r="D965" s="39">
        <v>24.260000228881836</v>
      </c>
      <c r="E965" s="39">
        <v>15.518961906433105</v>
      </c>
      <c r="F965" s="41">
        <v>2489575</v>
      </c>
      <c r="G965" s="35" t="s">
        <v>673</v>
      </c>
      <c r="H965" s="35" t="s">
        <v>115</v>
      </c>
    </row>
    <row r="966" spans="1:8">
      <c r="A966" s="37">
        <v>39632.15625</v>
      </c>
      <c r="B966" s="35" t="s">
        <v>654</v>
      </c>
      <c r="C966" s="35" t="s">
        <v>655</v>
      </c>
      <c r="D966" s="39">
        <v>23.270000457763672</v>
      </c>
      <c r="E966" s="39">
        <v>14.885661125183105</v>
      </c>
      <c r="F966" s="41">
        <v>996670</v>
      </c>
      <c r="G966" s="35" t="s">
        <v>673</v>
      </c>
      <c r="H966" s="35" t="s">
        <v>115</v>
      </c>
    </row>
    <row r="967" spans="1:8">
      <c r="A967" s="37">
        <v>39633.15625</v>
      </c>
      <c r="B967" s="35" t="s">
        <v>654</v>
      </c>
      <c r="C967" s="35" t="s">
        <v>655</v>
      </c>
      <c r="D967" s="39">
        <v>24.059999465942383</v>
      </c>
      <c r="E967" s="39">
        <v>15.391019821166992</v>
      </c>
      <c r="F967" s="41">
        <v>1197705</v>
      </c>
      <c r="G967" s="35" t="s">
        <v>673</v>
      </c>
      <c r="H967" s="35" t="s">
        <v>115</v>
      </c>
    </row>
    <row r="968" spans="1:8">
      <c r="A968" s="37">
        <v>39636.15625</v>
      </c>
      <c r="B968" s="35" t="s">
        <v>654</v>
      </c>
      <c r="C968" s="35" t="s">
        <v>655</v>
      </c>
      <c r="D968" s="39">
        <v>24.510000228881836</v>
      </c>
      <c r="E968" s="39">
        <v>15.678874969482422</v>
      </c>
      <c r="F968" s="41">
        <v>2089210</v>
      </c>
      <c r="G968" s="35" t="s">
        <v>673</v>
      </c>
      <c r="H968" s="35" t="s">
        <v>115</v>
      </c>
    </row>
    <row r="969" spans="1:8">
      <c r="A969" s="37">
        <v>39637.15625</v>
      </c>
      <c r="B969" s="35" t="s">
        <v>654</v>
      </c>
      <c r="C969" s="35" t="s">
        <v>655</v>
      </c>
      <c r="D969" s="39">
        <v>23.870000839233398</v>
      </c>
      <c r="E969" s="39">
        <v>15.269475936889648</v>
      </c>
      <c r="F969" s="41">
        <v>1190895</v>
      </c>
      <c r="G969" s="35" t="s">
        <v>673</v>
      </c>
      <c r="H969" s="35" t="s">
        <v>115</v>
      </c>
    </row>
    <row r="970" spans="1:8">
      <c r="A970" s="37">
        <v>39638.15625</v>
      </c>
      <c r="B970" s="35" t="s">
        <v>654</v>
      </c>
      <c r="C970" s="35" t="s">
        <v>655</v>
      </c>
      <c r="D970" s="39">
        <v>24.75</v>
      </c>
      <c r="E970" s="39">
        <v>15.832413673400879</v>
      </c>
      <c r="F970" s="41">
        <v>2622005</v>
      </c>
      <c r="G970" s="35" t="s">
        <v>673</v>
      </c>
      <c r="H970" s="35" t="s">
        <v>115</v>
      </c>
    </row>
    <row r="971" spans="1:8">
      <c r="A971" s="37">
        <v>39639.15625</v>
      </c>
      <c r="B971" s="35" t="s">
        <v>654</v>
      </c>
      <c r="C971" s="35" t="s">
        <v>655</v>
      </c>
      <c r="D971" s="39">
        <v>24.709999084472656</v>
      </c>
      <c r="E971" s="39">
        <v>15.80681324005127</v>
      </c>
      <c r="F971" s="41">
        <v>3094255</v>
      </c>
      <c r="G971" s="35" t="s">
        <v>673</v>
      </c>
      <c r="H971" s="35" t="s">
        <v>115</v>
      </c>
    </row>
    <row r="972" spans="1:8">
      <c r="A972" s="37">
        <v>39640.15625</v>
      </c>
      <c r="B972" s="35" t="s">
        <v>654</v>
      </c>
      <c r="C972" s="35" t="s">
        <v>655</v>
      </c>
      <c r="D972" s="39">
        <v>24.010000228881836</v>
      </c>
      <c r="E972" s="39">
        <v>15.359033584594727</v>
      </c>
      <c r="F972" s="41">
        <v>2346650</v>
      </c>
      <c r="G972" s="35" t="s">
        <v>673</v>
      </c>
      <c r="H972" s="35" t="s">
        <v>115</v>
      </c>
    </row>
    <row r="973" spans="1:8">
      <c r="A973" s="37">
        <v>39643.15625</v>
      </c>
      <c r="B973" s="35" t="s">
        <v>654</v>
      </c>
      <c r="C973" s="35" t="s">
        <v>655</v>
      </c>
      <c r="D973" s="39">
        <v>23.110000610351563</v>
      </c>
      <c r="E973" s="39">
        <v>14.783307075500488</v>
      </c>
      <c r="F973" s="41">
        <v>1416605</v>
      </c>
      <c r="G973" s="35" t="s">
        <v>673</v>
      </c>
      <c r="H973" s="35" t="s">
        <v>115</v>
      </c>
    </row>
    <row r="974" spans="1:8">
      <c r="A974" s="37">
        <v>39644.15625</v>
      </c>
      <c r="B974" s="35" t="s">
        <v>654</v>
      </c>
      <c r="C974" s="35" t="s">
        <v>655</v>
      </c>
      <c r="D974" s="39">
        <v>22.559999465942383</v>
      </c>
      <c r="E974" s="39">
        <v>14.431479454040527</v>
      </c>
      <c r="F974" s="41">
        <v>2149205</v>
      </c>
      <c r="G974" s="35" t="s">
        <v>673</v>
      </c>
      <c r="H974" s="35" t="s">
        <v>115</v>
      </c>
    </row>
    <row r="975" spans="1:8">
      <c r="A975" s="37">
        <v>39645.15625</v>
      </c>
      <c r="B975" s="35" t="s">
        <v>654</v>
      </c>
      <c r="C975" s="35" t="s">
        <v>655</v>
      </c>
      <c r="D975" s="39">
        <v>22.360000610351563</v>
      </c>
      <c r="E975" s="39">
        <v>14.303543090820313</v>
      </c>
      <c r="F975" s="41">
        <v>1570120</v>
      </c>
      <c r="G975" s="35" t="s">
        <v>673</v>
      </c>
      <c r="H975" s="35" t="s">
        <v>115</v>
      </c>
    </row>
    <row r="976" spans="1:8">
      <c r="A976" s="37">
        <v>39646.15625</v>
      </c>
      <c r="B976" s="35" t="s">
        <v>654</v>
      </c>
      <c r="C976" s="35" t="s">
        <v>655</v>
      </c>
      <c r="D976" s="39">
        <v>23.059999465942383</v>
      </c>
      <c r="E976" s="39">
        <v>14.751326560974121</v>
      </c>
      <c r="F976" s="41">
        <v>2088930</v>
      </c>
      <c r="G976" s="35" t="s">
        <v>673</v>
      </c>
      <c r="H976" s="35" t="s">
        <v>115</v>
      </c>
    </row>
    <row r="977" spans="1:8">
      <c r="A977" s="37">
        <v>39647.15625</v>
      </c>
      <c r="B977" s="35" t="s">
        <v>654</v>
      </c>
      <c r="C977" s="35" t="s">
        <v>655</v>
      </c>
      <c r="D977" s="39">
        <v>22.069999694824219</v>
      </c>
      <c r="E977" s="39">
        <v>14.961478233337402</v>
      </c>
      <c r="F977" s="41">
        <v>2163055</v>
      </c>
      <c r="G977" s="35" t="s">
        <v>673</v>
      </c>
      <c r="H977" s="35" t="s">
        <v>115</v>
      </c>
    </row>
    <row r="978" spans="1:8">
      <c r="A978" s="37">
        <v>39650.15625</v>
      </c>
      <c r="B978" s="35" t="s">
        <v>654</v>
      </c>
      <c r="C978" s="35" t="s">
        <v>655</v>
      </c>
      <c r="D978" s="39">
        <v>21.639999389648438</v>
      </c>
      <c r="E978" s="39">
        <v>14.669973373413086</v>
      </c>
      <c r="F978" s="41">
        <v>952805</v>
      </c>
      <c r="G978" s="35" t="s">
        <v>673</v>
      </c>
      <c r="H978" s="35" t="s">
        <v>115</v>
      </c>
    </row>
    <row r="979" spans="1:8">
      <c r="A979" s="37">
        <v>39651.15625</v>
      </c>
      <c r="B979" s="35" t="s">
        <v>654</v>
      </c>
      <c r="C979" s="35" t="s">
        <v>655</v>
      </c>
      <c r="D979" s="39">
        <v>21.510000228881836</v>
      </c>
      <c r="E979" s="39">
        <v>14.581849098205566</v>
      </c>
      <c r="F979" s="41">
        <v>4389560</v>
      </c>
      <c r="G979" s="35" t="s">
        <v>673</v>
      </c>
      <c r="H979" s="35" t="s">
        <v>115</v>
      </c>
    </row>
    <row r="980" spans="1:8">
      <c r="A980" s="37">
        <v>39652.15625</v>
      </c>
      <c r="B980" s="35" t="s">
        <v>654</v>
      </c>
      <c r="C980" s="35" t="s">
        <v>655</v>
      </c>
      <c r="D980" s="39">
        <v>22.129999160766602</v>
      </c>
      <c r="E980" s="39">
        <v>15.002151489257813</v>
      </c>
      <c r="F980" s="41">
        <v>5118625</v>
      </c>
      <c r="G980" s="35" t="s">
        <v>673</v>
      </c>
      <c r="H980" s="35" t="s">
        <v>115</v>
      </c>
    </row>
    <row r="981" spans="1:8">
      <c r="A981" s="37">
        <v>39653.15625</v>
      </c>
      <c r="B981" s="35" t="s">
        <v>654</v>
      </c>
      <c r="C981" s="35" t="s">
        <v>655</v>
      </c>
      <c r="D981" s="39">
        <v>21.969999313354492</v>
      </c>
      <c r="E981" s="39">
        <v>14.893689155578613</v>
      </c>
      <c r="F981" s="41">
        <v>4603955</v>
      </c>
      <c r="G981" s="35" t="s">
        <v>673</v>
      </c>
      <c r="H981" s="35" t="s">
        <v>115</v>
      </c>
    </row>
    <row r="982" spans="1:8">
      <c r="A982" s="37">
        <v>39654.15625</v>
      </c>
      <c r="B982" s="35" t="s">
        <v>654</v>
      </c>
      <c r="C982" s="35" t="s">
        <v>655</v>
      </c>
      <c r="D982" s="39">
        <v>21.479999542236328</v>
      </c>
      <c r="E982" s="39">
        <v>14.561511993408203</v>
      </c>
      <c r="F982" s="41">
        <v>4755920</v>
      </c>
      <c r="G982" s="35" t="s">
        <v>673</v>
      </c>
      <c r="H982" s="35" t="s">
        <v>115</v>
      </c>
    </row>
    <row r="983" spans="1:8">
      <c r="A983" s="37">
        <v>39657.15625</v>
      </c>
      <c r="B983" s="35" t="s">
        <v>654</v>
      </c>
      <c r="C983" s="35" t="s">
        <v>655</v>
      </c>
      <c r="D983" s="39">
        <v>23.090000152587891</v>
      </c>
      <c r="E983" s="39">
        <v>15.65294361114502</v>
      </c>
      <c r="F983" s="41">
        <v>2937325</v>
      </c>
      <c r="G983" s="35" t="s">
        <v>673</v>
      </c>
      <c r="H983" s="35" t="s">
        <v>115</v>
      </c>
    </row>
    <row r="984" spans="1:8">
      <c r="A984" s="37">
        <v>39658.15625</v>
      </c>
      <c r="B984" s="35" t="s">
        <v>654</v>
      </c>
      <c r="C984" s="35" t="s">
        <v>655</v>
      </c>
      <c r="D984" s="39">
        <v>22.159999847412109</v>
      </c>
      <c r="E984" s="39">
        <v>15.022488594055176</v>
      </c>
      <c r="F984" s="41">
        <v>2653555</v>
      </c>
      <c r="G984" s="35" t="s">
        <v>673</v>
      </c>
      <c r="H984" s="35" t="s">
        <v>115</v>
      </c>
    </row>
    <row r="985" spans="1:8">
      <c r="A985" s="37">
        <v>39659.15625</v>
      </c>
      <c r="B985" s="35" t="s">
        <v>654</v>
      </c>
      <c r="C985" s="35" t="s">
        <v>655</v>
      </c>
      <c r="D985" s="39">
        <v>22.489999771118164</v>
      </c>
      <c r="E985" s="39">
        <v>15.246200561523438</v>
      </c>
      <c r="F985" s="41">
        <v>1348515</v>
      </c>
      <c r="G985" s="35" t="s">
        <v>673</v>
      </c>
      <c r="H985" s="35" t="s">
        <v>115</v>
      </c>
    </row>
    <row r="986" spans="1:8">
      <c r="A986" s="37">
        <v>39660.15625</v>
      </c>
      <c r="B986" s="35" t="s">
        <v>654</v>
      </c>
      <c r="C986" s="35" t="s">
        <v>655</v>
      </c>
      <c r="D986" s="39">
        <v>21.860000610351563</v>
      </c>
      <c r="E986" s="39">
        <v>14.819118499755859</v>
      </c>
      <c r="F986" s="41">
        <v>1873305</v>
      </c>
      <c r="G986" s="35" t="s">
        <v>673</v>
      </c>
      <c r="H986" s="35" t="s">
        <v>115</v>
      </c>
    </row>
    <row r="987" spans="1:8">
      <c r="A987" s="37">
        <v>39661.15625</v>
      </c>
      <c r="B987" s="35" t="s">
        <v>654</v>
      </c>
      <c r="C987" s="35" t="s">
        <v>655</v>
      </c>
      <c r="D987" s="39">
        <v>22.219999313354492</v>
      </c>
      <c r="E987" s="39">
        <v>15.063164710998535</v>
      </c>
      <c r="F987" s="41">
        <v>1368615</v>
      </c>
      <c r="G987" s="35" t="s">
        <v>673</v>
      </c>
      <c r="H987" s="35" t="s">
        <v>115</v>
      </c>
    </row>
    <row r="988" spans="1:8">
      <c r="A988" s="37">
        <v>39664.15625</v>
      </c>
      <c r="B988" s="35" t="s">
        <v>654</v>
      </c>
      <c r="C988" s="35" t="s">
        <v>655</v>
      </c>
      <c r="D988" s="39">
        <v>22.370000839233398</v>
      </c>
      <c r="E988" s="39">
        <v>15.164851188659668</v>
      </c>
      <c r="F988" s="41">
        <v>1664575</v>
      </c>
      <c r="G988" s="35" t="s">
        <v>673</v>
      </c>
      <c r="H988" s="35" t="s">
        <v>115</v>
      </c>
    </row>
    <row r="989" spans="1:8">
      <c r="A989" s="37">
        <v>39665.15625</v>
      </c>
      <c r="B989" s="35" t="s">
        <v>654</v>
      </c>
      <c r="C989" s="35" t="s">
        <v>655</v>
      </c>
      <c r="D989" s="39">
        <v>22.739999771118164</v>
      </c>
      <c r="E989" s="39">
        <v>15.415677070617676</v>
      </c>
      <c r="F989" s="41">
        <v>1384045</v>
      </c>
      <c r="G989" s="35" t="s">
        <v>673</v>
      </c>
      <c r="H989" s="35" t="s">
        <v>115</v>
      </c>
    </row>
    <row r="990" spans="1:8">
      <c r="A990" s="37">
        <v>39666.15625</v>
      </c>
      <c r="B990" s="35" t="s">
        <v>654</v>
      </c>
      <c r="C990" s="35" t="s">
        <v>655</v>
      </c>
      <c r="D990" s="39">
        <v>23.940000534057617</v>
      </c>
      <c r="E990" s="39">
        <v>16.229171752929688</v>
      </c>
      <c r="F990" s="41">
        <v>4354685</v>
      </c>
      <c r="G990" s="35" t="s">
        <v>673</v>
      </c>
      <c r="H990" s="35" t="s">
        <v>115</v>
      </c>
    </row>
    <row r="991" spans="1:8">
      <c r="A991" s="37">
        <v>39667.15625</v>
      </c>
      <c r="B991" s="35" t="s">
        <v>654</v>
      </c>
      <c r="C991" s="35" t="s">
        <v>655</v>
      </c>
      <c r="D991" s="39">
        <v>24.659999847412109</v>
      </c>
      <c r="E991" s="39">
        <v>16.717262268066406</v>
      </c>
      <c r="F991" s="41">
        <v>6975070</v>
      </c>
      <c r="G991" s="35" t="s">
        <v>673</v>
      </c>
      <c r="H991" s="35" t="s">
        <v>115</v>
      </c>
    </row>
    <row r="992" spans="1:8">
      <c r="A992" s="37">
        <v>39668.15625</v>
      </c>
      <c r="B992" s="35" t="s">
        <v>654</v>
      </c>
      <c r="C992" s="35" t="s">
        <v>655</v>
      </c>
      <c r="D992" s="39">
        <v>24.620000839233398</v>
      </c>
      <c r="E992" s="39">
        <v>16.690147399902344</v>
      </c>
      <c r="F992" s="41">
        <v>2989010</v>
      </c>
      <c r="G992" s="35" t="s">
        <v>673</v>
      </c>
      <c r="H992" s="35" t="s">
        <v>115</v>
      </c>
    </row>
    <row r="993" spans="1:8">
      <c r="A993" s="37">
        <v>39671.15625</v>
      </c>
      <c r="B993" s="35" t="s">
        <v>654</v>
      </c>
      <c r="C993" s="35" t="s">
        <v>655</v>
      </c>
      <c r="D993" s="39">
        <v>24.489999771118164</v>
      </c>
      <c r="E993" s="39">
        <v>16.602018356323242</v>
      </c>
      <c r="F993" s="41">
        <v>1621585</v>
      </c>
      <c r="G993" s="35" t="s">
        <v>673</v>
      </c>
      <c r="H993" s="35" t="s">
        <v>115</v>
      </c>
    </row>
    <row r="994" spans="1:8">
      <c r="A994" s="37">
        <v>39672.15625</v>
      </c>
      <c r="B994" s="35" t="s">
        <v>654</v>
      </c>
      <c r="C994" s="35" t="s">
        <v>655</v>
      </c>
      <c r="D994" s="39">
        <v>23.829999923706055</v>
      </c>
      <c r="E994" s="39">
        <v>16.15460205078125</v>
      </c>
      <c r="F994" s="41">
        <v>1347750</v>
      </c>
      <c r="G994" s="35" t="s">
        <v>673</v>
      </c>
      <c r="H994" s="35" t="s">
        <v>115</v>
      </c>
    </row>
    <row r="995" spans="1:8">
      <c r="A995" s="37">
        <v>39673.15625</v>
      </c>
      <c r="B995" s="35" t="s">
        <v>654</v>
      </c>
      <c r="C995" s="35" t="s">
        <v>655</v>
      </c>
      <c r="D995" s="39">
        <v>23.5</v>
      </c>
      <c r="E995" s="39">
        <v>15.930893898010254</v>
      </c>
      <c r="F995" s="41">
        <v>2578740</v>
      </c>
      <c r="G995" s="35" t="s">
        <v>673</v>
      </c>
      <c r="H995" s="35" t="s">
        <v>115</v>
      </c>
    </row>
    <row r="996" spans="1:8">
      <c r="A996" s="37">
        <v>39674.15625</v>
      </c>
      <c r="B996" s="35" t="s">
        <v>654</v>
      </c>
      <c r="C996" s="35" t="s">
        <v>655</v>
      </c>
      <c r="D996" s="39">
        <v>23.600000381469727</v>
      </c>
      <c r="E996" s="39">
        <v>15.998680114746094</v>
      </c>
      <c r="F996" s="41">
        <v>3562145</v>
      </c>
      <c r="G996" s="35" t="s">
        <v>673</v>
      </c>
      <c r="H996" s="35" t="s">
        <v>115</v>
      </c>
    </row>
    <row r="997" spans="1:8">
      <c r="A997" s="37">
        <v>39678.15625</v>
      </c>
      <c r="B997" s="35" t="s">
        <v>654</v>
      </c>
      <c r="C997" s="35" t="s">
        <v>655</v>
      </c>
      <c r="D997" s="39">
        <v>23.309999465942383</v>
      </c>
      <c r="E997" s="39">
        <v>15.80208683013916</v>
      </c>
      <c r="F997" s="41">
        <v>1571360</v>
      </c>
      <c r="G997" s="35" t="s">
        <v>673</v>
      </c>
      <c r="H997" s="35" t="s">
        <v>115</v>
      </c>
    </row>
    <row r="998" spans="1:8">
      <c r="A998" s="37">
        <v>39679.15625</v>
      </c>
      <c r="B998" s="35" t="s">
        <v>654</v>
      </c>
      <c r="C998" s="35" t="s">
        <v>655</v>
      </c>
      <c r="D998" s="39">
        <v>22.979999542236328</v>
      </c>
      <c r="E998" s="39">
        <v>15.578374862670898</v>
      </c>
      <c r="F998" s="41">
        <v>1745175</v>
      </c>
      <c r="G998" s="35" t="s">
        <v>673</v>
      </c>
      <c r="H998" s="35" t="s">
        <v>115</v>
      </c>
    </row>
    <row r="999" spans="1:8">
      <c r="A999" s="37">
        <v>39680.15625</v>
      </c>
      <c r="B999" s="35" t="s">
        <v>654</v>
      </c>
      <c r="C999" s="35" t="s">
        <v>655</v>
      </c>
      <c r="D999" s="39">
        <v>23.569999694824219</v>
      </c>
      <c r="E999" s="39">
        <v>15.978344917297363</v>
      </c>
      <c r="F999" s="41">
        <v>1930550</v>
      </c>
      <c r="G999" s="35" t="s">
        <v>673</v>
      </c>
      <c r="H999" s="35" t="s">
        <v>115</v>
      </c>
    </row>
    <row r="1000" spans="1:8">
      <c r="A1000" s="37">
        <v>39681.15625</v>
      </c>
      <c r="B1000" s="35" t="s">
        <v>654</v>
      </c>
      <c r="C1000" s="35" t="s">
        <v>655</v>
      </c>
      <c r="D1000" s="39">
        <v>22.760000228881836</v>
      </c>
      <c r="E1000" s="39">
        <v>15.429235458374023</v>
      </c>
      <c r="F1000" s="41">
        <v>943085</v>
      </c>
      <c r="G1000" s="35" t="s">
        <v>673</v>
      </c>
      <c r="H1000" s="35" t="s">
        <v>115</v>
      </c>
    </row>
    <row r="1001" spans="1:8">
      <c r="A1001" s="37">
        <v>39682.15625</v>
      </c>
      <c r="B1001" s="35" t="s">
        <v>654</v>
      </c>
      <c r="C1001" s="35" t="s">
        <v>655</v>
      </c>
      <c r="D1001" s="39">
        <v>22.479999542236328</v>
      </c>
      <c r="E1001" s="39">
        <v>15.239422798156738</v>
      </c>
      <c r="F1001" s="41">
        <v>1421780</v>
      </c>
      <c r="G1001" s="35" t="s">
        <v>673</v>
      </c>
      <c r="H1001" s="35" t="s">
        <v>115</v>
      </c>
    </row>
    <row r="1002" spans="1:8">
      <c r="A1002" s="37">
        <v>39685.15625</v>
      </c>
      <c r="B1002" s="35" t="s">
        <v>654</v>
      </c>
      <c r="C1002" s="35" t="s">
        <v>655</v>
      </c>
      <c r="D1002" s="39">
        <v>22.639999389648438</v>
      </c>
      <c r="E1002" s="39">
        <v>15.347890853881836</v>
      </c>
      <c r="F1002" s="41">
        <v>786470</v>
      </c>
      <c r="G1002" s="35" t="s">
        <v>673</v>
      </c>
      <c r="H1002" s="35" t="s">
        <v>115</v>
      </c>
    </row>
    <row r="1003" spans="1:8">
      <c r="A1003" s="37">
        <v>39686.15625</v>
      </c>
      <c r="B1003" s="35" t="s">
        <v>654</v>
      </c>
      <c r="C1003" s="35" t="s">
        <v>655</v>
      </c>
      <c r="D1003" s="39">
        <v>22.969999313354492</v>
      </c>
      <c r="E1003" s="39">
        <v>15.571600914001465</v>
      </c>
      <c r="F1003" s="41">
        <v>1684305</v>
      </c>
      <c r="G1003" s="35" t="s">
        <v>673</v>
      </c>
      <c r="H1003" s="35" t="s">
        <v>115</v>
      </c>
    </row>
    <row r="1004" spans="1:8">
      <c r="A1004" s="37">
        <v>39687.15625</v>
      </c>
      <c r="B1004" s="35" t="s">
        <v>654</v>
      </c>
      <c r="C1004" s="35" t="s">
        <v>655</v>
      </c>
      <c r="D1004" s="39">
        <v>23.020000457763672</v>
      </c>
      <c r="E1004" s="39">
        <v>15.605491638183594</v>
      </c>
      <c r="F1004" s="41">
        <v>2069200</v>
      </c>
      <c r="G1004" s="35" t="s">
        <v>673</v>
      </c>
      <c r="H1004" s="35" t="s">
        <v>115</v>
      </c>
    </row>
    <row r="1005" spans="1:8">
      <c r="A1005" s="37">
        <v>39688.15625</v>
      </c>
      <c r="B1005" s="35" t="s">
        <v>654</v>
      </c>
      <c r="C1005" s="35" t="s">
        <v>655</v>
      </c>
      <c r="D1005" s="39">
        <v>22.420000076293945</v>
      </c>
      <c r="E1005" s="39">
        <v>15.198746681213379</v>
      </c>
      <c r="F1005" s="41">
        <v>2904040</v>
      </c>
      <c r="G1005" s="35" t="s">
        <v>673</v>
      </c>
      <c r="H1005" s="35" t="s">
        <v>115</v>
      </c>
    </row>
    <row r="1006" spans="1:8">
      <c r="A1006" s="37">
        <v>39689.15625</v>
      </c>
      <c r="B1006" s="35" t="s">
        <v>654</v>
      </c>
      <c r="C1006" s="35" t="s">
        <v>655</v>
      </c>
      <c r="D1006" s="39">
        <v>23.069999694824219</v>
      </c>
      <c r="E1006" s="39">
        <v>15.639389038085938</v>
      </c>
      <c r="F1006" s="41">
        <v>877755</v>
      </c>
      <c r="G1006" s="35" t="s">
        <v>673</v>
      </c>
      <c r="H1006" s="35" t="s">
        <v>115</v>
      </c>
    </row>
    <row r="1007" spans="1:8">
      <c r="A1007" s="37">
        <v>39692.15625</v>
      </c>
      <c r="B1007" s="35" t="s">
        <v>654</v>
      </c>
      <c r="C1007" s="35" t="s">
        <v>655</v>
      </c>
      <c r="D1007" s="39">
        <v>23.280000686645508</v>
      </c>
      <c r="E1007" s="39">
        <v>15.781747817993164</v>
      </c>
      <c r="F1007" s="41">
        <v>953445</v>
      </c>
      <c r="G1007" s="35" t="s">
        <v>673</v>
      </c>
      <c r="H1007" s="35" t="s">
        <v>115</v>
      </c>
    </row>
    <row r="1008" spans="1:8">
      <c r="A1008" s="37">
        <v>39693.15625</v>
      </c>
      <c r="B1008" s="35" t="s">
        <v>654</v>
      </c>
      <c r="C1008" s="35" t="s">
        <v>655</v>
      </c>
      <c r="D1008" s="39">
        <v>23.590000152587891</v>
      </c>
      <c r="E1008" s="39">
        <v>15.991899490356445</v>
      </c>
      <c r="F1008" s="41">
        <v>1138460</v>
      </c>
      <c r="G1008" s="35" t="s">
        <v>673</v>
      </c>
      <c r="H1008" s="35" t="s">
        <v>115</v>
      </c>
    </row>
    <row r="1009" spans="1:8">
      <c r="A1009" s="37">
        <v>39695.15625</v>
      </c>
      <c r="B1009" s="35" t="s">
        <v>654</v>
      </c>
      <c r="C1009" s="35" t="s">
        <v>655</v>
      </c>
      <c r="D1009" s="39">
        <v>24.079999923706055</v>
      </c>
      <c r="E1009" s="39">
        <v>16.324077606201172</v>
      </c>
      <c r="F1009" s="41">
        <v>2210145</v>
      </c>
      <c r="G1009" s="35" t="s">
        <v>673</v>
      </c>
      <c r="H1009" s="35" t="s">
        <v>115</v>
      </c>
    </row>
    <row r="1010" spans="1:8">
      <c r="A1010" s="37">
        <v>39696.15625</v>
      </c>
      <c r="B1010" s="35" t="s">
        <v>654</v>
      </c>
      <c r="C1010" s="35" t="s">
        <v>655</v>
      </c>
      <c r="D1010" s="39">
        <v>23.829999923706055</v>
      </c>
      <c r="E1010" s="39">
        <v>16.15460205078125</v>
      </c>
      <c r="F1010" s="41">
        <v>1010500</v>
      </c>
      <c r="G1010" s="35" t="s">
        <v>673</v>
      </c>
      <c r="H1010" s="35" t="s">
        <v>115</v>
      </c>
    </row>
    <row r="1011" spans="1:8">
      <c r="A1011" s="37">
        <v>39699.15625</v>
      </c>
      <c r="B1011" s="35" t="s">
        <v>654</v>
      </c>
      <c r="C1011" s="35" t="s">
        <v>655</v>
      </c>
      <c r="D1011" s="39">
        <v>23.950000762939453</v>
      </c>
      <c r="E1011" s="39">
        <v>16.23594856262207</v>
      </c>
      <c r="F1011" s="41">
        <v>703110</v>
      </c>
      <c r="G1011" s="35" t="s">
        <v>673</v>
      </c>
      <c r="H1011" s="35" t="s">
        <v>115</v>
      </c>
    </row>
    <row r="1012" spans="1:8">
      <c r="A1012" s="37">
        <v>39700.15625</v>
      </c>
      <c r="B1012" s="35" t="s">
        <v>654</v>
      </c>
      <c r="C1012" s="35" t="s">
        <v>655</v>
      </c>
      <c r="D1012" s="39">
        <v>23.870000839233398</v>
      </c>
      <c r="E1012" s="39">
        <v>16.18171501159668</v>
      </c>
      <c r="F1012" s="41">
        <v>1029115</v>
      </c>
      <c r="G1012" s="35" t="s">
        <v>673</v>
      </c>
      <c r="H1012" s="35" t="s">
        <v>115</v>
      </c>
    </row>
    <row r="1013" spans="1:8">
      <c r="A1013" s="37">
        <v>39701.15625</v>
      </c>
      <c r="B1013" s="35" t="s">
        <v>654</v>
      </c>
      <c r="C1013" s="35" t="s">
        <v>655</v>
      </c>
      <c r="D1013" s="39">
        <v>23.940000534057617</v>
      </c>
      <c r="E1013" s="39">
        <v>16.229171752929688</v>
      </c>
      <c r="F1013" s="41">
        <v>1219970</v>
      </c>
      <c r="G1013" s="35" t="s">
        <v>673</v>
      </c>
      <c r="H1013" s="35" t="s">
        <v>115</v>
      </c>
    </row>
    <row r="1014" spans="1:8">
      <c r="A1014" s="37">
        <v>39702.15625</v>
      </c>
      <c r="B1014" s="35" t="s">
        <v>654</v>
      </c>
      <c r="C1014" s="35" t="s">
        <v>655</v>
      </c>
      <c r="D1014" s="39">
        <v>23.809999465942383</v>
      </c>
      <c r="E1014" s="39">
        <v>16.14103889465332</v>
      </c>
      <c r="F1014" s="41">
        <v>1643475</v>
      </c>
      <c r="G1014" s="35" t="s">
        <v>673</v>
      </c>
      <c r="H1014" s="35" t="s">
        <v>115</v>
      </c>
    </row>
    <row r="1015" spans="1:8">
      <c r="A1015" s="37">
        <v>39703.15625</v>
      </c>
      <c r="B1015" s="35" t="s">
        <v>654</v>
      </c>
      <c r="C1015" s="35" t="s">
        <v>655</v>
      </c>
      <c r="D1015" s="39">
        <v>23.430000305175781</v>
      </c>
      <c r="E1015" s="39">
        <v>15.883435249328613</v>
      </c>
      <c r="F1015" s="41">
        <v>1260630</v>
      </c>
      <c r="G1015" s="35" t="s">
        <v>673</v>
      </c>
      <c r="H1015" s="35" t="s">
        <v>115</v>
      </c>
    </row>
    <row r="1016" spans="1:8">
      <c r="A1016" s="37">
        <v>39706.15625</v>
      </c>
      <c r="B1016" s="35" t="s">
        <v>654</v>
      </c>
      <c r="C1016" s="35" t="s">
        <v>655</v>
      </c>
      <c r="D1016" s="39">
        <v>22.450000762939453</v>
      </c>
      <c r="E1016" s="39">
        <v>15.219084739685059</v>
      </c>
      <c r="F1016" s="41">
        <v>2074420</v>
      </c>
      <c r="G1016" s="35" t="s">
        <v>673</v>
      </c>
      <c r="H1016" s="35" t="s">
        <v>115</v>
      </c>
    </row>
    <row r="1017" spans="1:8">
      <c r="A1017" s="37">
        <v>39707.15625</v>
      </c>
      <c r="B1017" s="35" t="s">
        <v>654</v>
      </c>
      <c r="C1017" s="35" t="s">
        <v>655</v>
      </c>
      <c r="D1017" s="39">
        <v>21.350000381469727</v>
      </c>
      <c r="E1017" s="39">
        <v>14.473386764526367</v>
      </c>
      <c r="F1017" s="41">
        <v>1696285</v>
      </c>
      <c r="G1017" s="35" t="s">
        <v>673</v>
      </c>
      <c r="H1017" s="35" t="s">
        <v>115</v>
      </c>
    </row>
    <row r="1018" spans="1:8">
      <c r="A1018" s="37">
        <v>39708.15625</v>
      </c>
      <c r="B1018" s="35" t="s">
        <v>654</v>
      </c>
      <c r="C1018" s="35" t="s">
        <v>655</v>
      </c>
      <c r="D1018" s="39">
        <v>20.309999465942383</v>
      </c>
      <c r="E1018" s="39">
        <v>13.76835823059082</v>
      </c>
      <c r="F1018" s="41">
        <v>1062910</v>
      </c>
      <c r="G1018" s="35" t="s">
        <v>673</v>
      </c>
      <c r="H1018" s="35" t="s">
        <v>115</v>
      </c>
    </row>
    <row r="1019" spans="1:8">
      <c r="A1019" s="37">
        <v>39709.15625</v>
      </c>
      <c r="B1019" s="35" t="s">
        <v>654</v>
      </c>
      <c r="C1019" s="35" t="s">
        <v>655</v>
      </c>
      <c r="D1019" s="39">
        <v>18.579999923706055</v>
      </c>
      <c r="E1019" s="39">
        <v>12.595569610595703</v>
      </c>
      <c r="F1019" s="41">
        <v>2145105</v>
      </c>
      <c r="G1019" s="35" t="s">
        <v>673</v>
      </c>
      <c r="H1019" s="35" t="s">
        <v>115</v>
      </c>
    </row>
    <row r="1020" spans="1:8">
      <c r="A1020" s="37">
        <v>39710.15625</v>
      </c>
      <c r="B1020" s="35" t="s">
        <v>654</v>
      </c>
      <c r="C1020" s="35" t="s">
        <v>655</v>
      </c>
      <c r="D1020" s="39">
        <v>18.809999465942383</v>
      </c>
      <c r="E1020" s="39">
        <v>12.751489639282227</v>
      </c>
      <c r="F1020" s="41">
        <v>2013765</v>
      </c>
      <c r="G1020" s="35" t="s">
        <v>673</v>
      </c>
      <c r="H1020" s="35" t="s">
        <v>115</v>
      </c>
    </row>
    <row r="1021" spans="1:8">
      <c r="A1021" s="37">
        <v>39713.15625</v>
      </c>
      <c r="B1021" s="35" t="s">
        <v>654</v>
      </c>
      <c r="C1021" s="35" t="s">
        <v>655</v>
      </c>
      <c r="D1021" s="39">
        <v>19.040000915527344</v>
      </c>
      <c r="E1021" s="39">
        <v>12.90740966796875</v>
      </c>
      <c r="F1021" s="41">
        <v>1379110</v>
      </c>
      <c r="G1021" s="35" t="s">
        <v>673</v>
      </c>
      <c r="H1021" s="35" t="s">
        <v>115</v>
      </c>
    </row>
    <row r="1022" spans="1:8">
      <c r="A1022" s="37">
        <v>39714.15625</v>
      </c>
      <c r="B1022" s="35" t="s">
        <v>654</v>
      </c>
      <c r="C1022" s="35" t="s">
        <v>655</v>
      </c>
      <c r="D1022" s="39">
        <v>19.200000762939453</v>
      </c>
      <c r="E1022" s="39">
        <v>13.015876770019531</v>
      </c>
      <c r="F1022" s="41">
        <v>2067605</v>
      </c>
      <c r="G1022" s="35" t="s">
        <v>673</v>
      </c>
      <c r="H1022" s="35" t="s">
        <v>115</v>
      </c>
    </row>
    <row r="1023" spans="1:8">
      <c r="A1023" s="37">
        <v>39715.15625</v>
      </c>
      <c r="B1023" s="35" t="s">
        <v>654</v>
      </c>
      <c r="C1023" s="35" t="s">
        <v>655</v>
      </c>
      <c r="D1023" s="39">
        <v>18.979999542236328</v>
      </c>
      <c r="E1023" s="39">
        <v>12.866735458374023</v>
      </c>
      <c r="F1023" s="41">
        <v>872110</v>
      </c>
      <c r="G1023" s="35" t="s">
        <v>673</v>
      </c>
      <c r="H1023" s="35" t="s">
        <v>115</v>
      </c>
    </row>
    <row r="1024" spans="1:8">
      <c r="A1024" s="37">
        <v>39716.15625</v>
      </c>
      <c r="B1024" s="35" t="s">
        <v>654</v>
      </c>
      <c r="C1024" s="35" t="s">
        <v>655</v>
      </c>
      <c r="D1024" s="39">
        <v>18.930000305175781</v>
      </c>
      <c r="E1024" s="39">
        <v>12.832843780517578</v>
      </c>
      <c r="F1024" s="41">
        <v>2087000</v>
      </c>
      <c r="G1024" s="35" t="s">
        <v>673</v>
      </c>
      <c r="H1024" s="35" t="s">
        <v>115</v>
      </c>
    </row>
    <row r="1025" spans="1:8">
      <c r="A1025" s="37">
        <v>39717.15625</v>
      </c>
      <c r="B1025" s="35" t="s">
        <v>654</v>
      </c>
      <c r="C1025" s="35" t="s">
        <v>655</v>
      </c>
      <c r="D1025" s="39">
        <v>18.670000076293945</v>
      </c>
      <c r="E1025" s="39">
        <v>12.656584739685059</v>
      </c>
      <c r="F1025" s="41">
        <v>4525055</v>
      </c>
      <c r="G1025" s="35" t="s">
        <v>673</v>
      </c>
      <c r="H1025" s="35" t="s">
        <v>115</v>
      </c>
    </row>
    <row r="1026" spans="1:8">
      <c r="A1026" s="37">
        <v>39720.15625</v>
      </c>
      <c r="B1026" s="35" t="s">
        <v>654</v>
      </c>
      <c r="C1026" s="35" t="s">
        <v>655</v>
      </c>
      <c r="D1026" s="39">
        <v>17.549999237060547</v>
      </c>
      <c r="E1026" s="39">
        <v>11.897320747375488</v>
      </c>
      <c r="F1026" s="41">
        <v>1881775</v>
      </c>
      <c r="G1026" s="35" t="s">
        <v>673</v>
      </c>
      <c r="H1026" s="35" t="s">
        <v>115</v>
      </c>
    </row>
    <row r="1027" spans="1:8">
      <c r="A1027" s="37">
        <v>39721.15625</v>
      </c>
      <c r="B1027" s="35" t="s">
        <v>654</v>
      </c>
      <c r="C1027" s="35" t="s">
        <v>655</v>
      </c>
      <c r="D1027" s="39">
        <v>17.329999923706055</v>
      </c>
      <c r="E1027" s="39">
        <v>11.748186111450195</v>
      </c>
      <c r="F1027" s="41">
        <v>1286950</v>
      </c>
      <c r="G1027" s="35" t="s">
        <v>673</v>
      </c>
      <c r="H1027" s="35" t="s">
        <v>115</v>
      </c>
    </row>
    <row r="1028" spans="1:8">
      <c r="A1028" s="37">
        <v>39722.15625</v>
      </c>
      <c r="B1028" s="35" t="s">
        <v>654</v>
      </c>
      <c r="C1028" s="35" t="s">
        <v>655</v>
      </c>
      <c r="D1028" s="39">
        <v>17.379999160766602</v>
      </c>
      <c r="E1028" s="39">
        <v>11.782074928283691</v>
      </c>
      <c r="F1028" s="41">
        <v>724575</v>
      </c>
      <c r="G1028" s="35" t="s">
        <v>673</v>
      </c>
      <c r="H1028" s="35" t="s">
        <v>115</v>
      </c>
    </row>
    <row r="1029" spans="1:8">
      <c r="A1029" s="37">
        <v>39724.15625</v>
      </c>
      <c r="B1029" s="35" t="s">
        <v>654</v>
      </c>
      <c r="C1029" s="35" t="s">
        <v>655</v>
      </c>
      <c r="D1029" s="39">
        <v>16.809999465942383</v>
      </c>
      <c r="E1029" s="39">
        <v>11.395669937133789</v>
      </c>
      <c r="F1029" s="41">
        <v>515930</v>
      </c>
      <c r="G1029" s="35" t="s">
        <v>673</v>
      </c>
      <c r="H1029" s="35" t="s">
        <v>115</v>
      </c>
    </row>
    <row r="1030" spans="1:8">
      <c r="A1030" s="37">
        <v>39727.15625</v>
      </c>
      <c r="B1030" s="35" t="s">
        <v>654</v>
      </c>
      <c r="C1030" s="35" t="s">
        <v>655</v>
      </c>
      <c r="D1030" s="39">
        <v>14.819999694824219</v>
      </c>
      <c r="E1030" s="39">
        <v>10.046630859375</v>
      </c>
      <c r="F1030" s="41">
        <v>1901615</v>
      </c>
      <c r="G1030" s="35" t="s">
        <v>673</v>
      </c>
      <c r="H1030" s="35" t="s">
        <v>115</v>
      </c>
    </row>
    <row r="1031" spans="1:8">
      <c r="A1031" s="37">
        <v>39728.15625</v>
      </c>
      <c r="B1031" s="35" t="s">
        <v>654</v>
      </c>
      <c r="C1031" s="35" t="s">
        <v>655</v>
      </c>
      <c r="D1031" s="39">
        <v>14.789999961853027</v>
      </c>
      <c r="E1031" s="39">
        <v>10.026293754577637</v>
      </c>
      <c r="F1031" s="41">
        <v>905140</v>
      </c>
      <c r="G1031" s="35" t="s">
        <v>673</v>
      </c>
      <c r="H1031" s="35" t="s">
        <v>115</v>
      </c>
    </row>
    <row r="1032" spans="1:8">
      <c r="A1032" s="37">
        <v>39729.15625</v>
      </c>
      <c r="B1032" s="35" t="s">
        <v>654</v>
      </c>
      <c r="C1032" s="35" t="s">
        <v>655</v>
      </c>
      <c r="D1032" s="39">
        <v>14.260000228881836</v>
      </c>
      <c r="E1032" s="39">
        <v>9.6669988632202148</v>
      </c>
      <c r="F1032" s="41">
        <v>1268200</v>
      </c>
      <c r="G1032" s="35" t="s">
        <v>673</v>
      </c>
      <c r="H1032" s="35" t="s">
        <v>115</v>
      </c>
    </row>
    <row r="1033" spans="1:8">
      <c r="A1033" s="37">
        <v>39731.15625</v>
      </c>
      <c r="B1033" s="35" t="s">
        <v>654</v>
      </c>
      <c r="C1033" s="35" t="s">
        <v>655</v>
      </c>
      <c r="D1033" s="39">
        <v>13.069999694824219</v>
      </c>
      <c r="E1033" s="39">
        <v>8.860285758972168</v>
      </c>
      <c r="F1033" s="41">
        <v>1404615</v>
      </c>
      <c r="G1033" s="35" t="s">
        <v>673</v>
      </c>
      <c r="H1033" s="35" t="s">
        <v>115</v>
      </c>
    </row>
    <row r="1034" spans="1:8">
      <c r="A1034" s="37">
        <v>39734.15625</v>
      </c>
      <c r="B1034" s="35" t="s">
        <v>654</v>
      </c>
      <c r="C1034" s="35" t="s">
        <v>655</v>
      </c>
      <c r="D1034" s="39">
        <v>14.260000228881836</v>
      </c>
      <c r="E1034" s="39">
        <v>9.6669988632202148</v>
      </c>
      <c r="F1034" s="41">
        <v>1127930</v>
      </c>
      <c r="G1034" s="35" t="s">
        <v>673</v>
      </c>
      <c r="H1034" s="35" t="s">
        <v>115</v>
      </c>
    </row>
    <row r="1035" spans="1:8">
      <c r="A1035" s="37">
        <v>39735.15625</v>
      </c>
      <c r="B1035" s="35" t="s">
        <v>654</v>
      </c>
      <c r="C1035" s="35" t="s">
        <v>655</v>
      </c>
      <c r="D1035" s="39">
        <v>15.069999694824219</v>
      </c>
      <c r="E1035" s="39">
        <v>10.216104507446289</v>
      </c>
      <c r="F1035" s="41">
        <v>1791785</v>
      </c>
      <c r="G1035" s="35" t="s">
        <v>673</v>
      </c>
      <c r="H1035" s="35" t="s">
        <v>115</v>
      </c>
    </row>
    <row r="1036" spans="1:8">
      <c r="A1036" s="37">
        <v>39736.15625</v>
      </c>
      <c r="B1036" s="35" t="s">
        <v>654</v>
      </c>
      <c r="C1036" s="35" t="s">
        <v>655</v>
      </c>
      <c r="D1036" s="39">
        <v>14.619999885559082</v>
      </c>
      <c r="E1036" s="39">
        <v>9.9110469818115234</v>
      </c>
      <c r="F1036" s="41">
        <v>737505</v>
      </c>
      <c r="G1036" s="35" t="s">
        <v>673</v>
      </c>
      <c r="H1036" s="35" t="s">
        <v>115</v>
      </c>
    </row>
    <row r="1037" spans="1:8">
      <c r="A1037" s="37">
        <v>39737.15625</v>
      </c>
      <c r="B1037" s="35" t="s">
        <v>654</v>
      </c>
      <c r="C1037" s="35" t="s">
        <v>655</v>
      </c>
      <c r="D1037" s="39">
        <v>15.659999847412109</v>
      </c>
      <c r="E1037" s="39">
        <v>10.61607551574707</v>
      </c>
      <c r="F1037" s="41">
        <v>3037865</v>
      </c>
      <c r="G1037" s="35" t="s">
        <v>673</v>
      </c>
      <c r="H1037" s="35" t="s">
        <v>115</v>
      </c>
    </row>
    <row r="1038" spans="1:8">
      <c r="A1038" s="37">
        <v>39738.15625</v>
      </c>
      <c r="B1038" s="35" t="s">
        <v>654</v>
      </c>
      <c r="C1038" s="35" t="s">
        <v>655</v>
      </c>
      <c r="D1038" s="39">
        <v>14.439999580383301</v>
      </c>
      <c r="E1038" s="39">
        <v>9.7890233993530273</v>
      </c>
      <c r="F1038" s="41">
        <v>1103685</v>
      </c>
      <c r="G1038" s="35" t="s">
        <v>673</v>
      </c>
      <c r="H1038" s="35" t="s">
        <v>115</v>
      </c>
    </row>
    <row r="1039" spans="1:8">
      <c r="A1039" s="37">
        <v>39741.15625</v>
      </c>
      <c r="B1039" s="35" t="s">
        <v>654</v>
      </c>
      <c r="C1039" s="35" t="s">
        <v>655</v>
      </c>
      <c r="D1039" s="39">
        <v>13.890000343322754</v>
      </c>
      <c r="E1039" s="39">
        <v>9.4161691665649414</v>
      </c>
      <c r="F1039" s="41">
        <v>1475640</v>
      </c>
      <c r="G1039" s="35" t="s">
        <v>673</v>
      </c>
      <c r="H1039" s="35" t="s">
        <v>115</v>
      </c>
    </row>
    <row r="1040" spans="1:8">
      <c r="A1040" s="37">
        <v>39742.15625</v>
      </c>
      <c r="B1040" s="35" t="s">
        <v>654</v>
      </c>
      <c r="C1040" s="35" t="s">
        <v>655</v>
      </c>
      <c r="D1040" s="39">
        <v>14.939999580383301</v>
      </c>
      <c r="E1040" s="39">
        <v>10.127974510192871</v>
      </c>
      <c r="F1040" s="41">
        <v>908090</v>
      </c>
      <c r="G1040" s="35" t="s">
        <v>673</v>
      </c>
      <c r="H1040" s="35" t="s">
        <v>115</v>
      </c>
    </row>
    <row r="1041" spans="1:8">
      <c r="A1041" s="37">
        <v>39743.15625</v>
      </c>
      <c r="B1041" s="35" t="s">
        <v>654</v>
      </c>
      <c r="C1041" s="35" t="s">
        <v>655</v>
      </c>
      <c r="D1041" s="39">
        <v>15.010000228881836</v>
      </c>
      <c r="E1041" s="39">
        <v>10.175434112548828</v>
      </c>
      <c r="F1041" s="41">
        <v>973965</v>
      </c>
      <c r="G1041" s="35" t="s">
        <v>673</v>
      </c>
      <c r="H1041" s="35" t="s">
        <v>115</v>
      </c>
    </row>
    <row r="1042" spans="1:8">
      <c r="A1042" s="37">
        <v>39744.15625</v>
      </c>
      <c r="B1042" s="35" t="s">
        <v>654</v>
      </c>
      <c r="C1042" s="35" t="s">
        <v>655</v>
      </c>
      <c r="D1042" s="39">
        <v>14.939999580383301</v>
      </c>
      <c r="E1042" s="39">
        <v>10.127974510192871</v>
      </c>
      <c r="F1042" s="41">
        <v>768130</v>
      </c>
      <c r="G1042" s="35" t="s">
        <v>673</v>
      </c>
      <c r="H1042" s="35" t="s">
        <v>115</v>
      </c>
    </row>
    <row r="1043" spans="1:8">
      <c r="A1043" s="37">
        <v>39745.15625</v>
      </c>
      <c r="B1043" s="35" t="s">
        <v>654</v>
      </c>
      <c r="C1043" s="35" t="s">
        <v>655</v>
      </c>
      <c r="D1043" s="39">
        <v>13.329999923706055</v>
      </c>
      <c r="E1043" s="39">
        <v>9.0365428924560547</v>
      </c>
      <c r="F1043" s="41">
        <v>1289990</v>
      </c>
      <c r="G1043" s="35" t="s">
        <v>673</v>
      </c>
      <c r="H1043" s="35" t="s">
        <v>115</v>
      </c>
    </row>
    <row r="1044" spans="1:8">
      <c r="A1044" s="37">
        <v>39748.15625</v>
      </c>
      <c r="B1044" s="35" t="s">
        <v>654</v>
      </c>
      <c r="C1044" s="35" t="s">
        <v>655</v>
      </c>
      <c r="D1044" s="39">
        <v>11.960000038146973</v>
      </c>
      <c r="E1044" s="39">
        <v>8.1078071594238281</v>
      </c>
      <c r="F1044" s="41">
        <v>1273275</v>
      </c>
      <c r="G1044" s="35" t="s">
        <v>673</v>
      </c>
      <c r="H1044" s="35" t="s">
        <v>115</v>
      </c>
    </row>
    <row r="1045" spans="1:8">
      <c r="A1045" s="37">
        <v>39750.15625</v>
      </c>
      <c r="B1045" s="35" t="s">
        <v>654</v>
      </c>
      <c r="C1045" s="35" t="s">
        <v>655</v>
      </c>
      <c r="D1045" s="39">
        <v>12.270000457763672</v>
      </c>
      <c r="E1045" s="39">
        <v>8.3179588317871094</v>
      </c>
      <c r="F1045" s="41">
        <v>1670805</v>
      </c>
      <c r="G1045" s="35" t="s">
        <v>673</v>
      </c>
      <c r="H1045" s="35" t="s">
        <v>115</v>
      </c>
    </row>
    <row r="1046" spans="1:8">
      <c r="A1046" s="37">
        <v>39752.15625</v>
      </c>
      <c r="B1046" s="35" t="s">
        <v>654</v>
      </c>
      <c r="C1046" s="35" t="s">
        <v>655</v>
      </c>
      <c r="D1046" s="39">
        <v>12.75</v>
      </c>
      <c r="E1046" s="39">
        <v>8.6433553695678711</v>
      </c>
      <c r="F1046" s="41">
        <v>685165</v>
      </c>
      <c r="G1046" s="35" t="s">
        <v>673</v>
      </c>
      <c r="H1046" s="35" t="s">
        <v>115</v>
      </c>
    </row>
    <row r="1047" spans="1:8">
      <c r="A1047" s="37">
        <v>39755.15625</v>
      </c>
      <c r="B1047" s="35" t="s">
        <v>654</v>
      </c>
      <c r="C1047" s="35" t="s">
        <v>655</v>
      </c>
      <c r="D1047" s="39">
        <v>13.569999694824219</v>
      </c>
      <c r="E1047" s="39">
        <v>9.1992397308349609</v>
      </c>
      <c r="F1047" s="41">
        <v>1032660</v>
      </c>
      <c r="G1047" s="35" t="s">
        <v>673</v>
      </c>
      <c r="H1047" s="35" t="s">
        <v>115</v>
      </c>
    </row>
    <row r="1048" spans="1:8">
      <c r="A1048" s="37">
        <v>39756.15625</v>
      </c>
      <c r="B1048" s="35" t="s">
        <v>654</v>
      </c>
      <c r="C1048" s="35" t="s">
        <v>655</v>
      </c>
      <c r="D1048" s="39">
        <v>13.770000457763672</v>
      </c>
      <c r="E1048" s="39">
        <v>9.3348245620727539</v>
      </c>
      <c r="F1048" s="41">
        <v>640595</v>
      </c>
      <c r="G1048" s="35" t="s">
        <v>673</v>
      </c>
      <c r="H1048" s="35" t="s">
        <v>115</v>
      </c>
    </row>
    <row r="1049" spans="1:8">
      <c r="A1049" s="37">
        <v>39757.15625</v>
      </c>
      <c r="B1049" s="35" t="s">
        <v>654</v>
      </c>
      <c r="C1049" s="35" t="s">
        <v>655</v>
      </c>
      <c r="D1049" s="39">
        <v>13.210000038146973</v>
      </c>
      <c r="E1049" s="39">
        <v>8.9551944732666016</v>
      </c>
      <c r="F1049" s="41">
        <v>925735</v>
      </c>
      <c r="G1049" s="35" t="s">
        <v>673</v>
      </c>
      <c r="H1049" s="35" t="s">
        <v>115</v>
      </c>
    </row>
    <row r="1050" spans="1:8">
      <c r="A1050" s="37">
        <v>39758.15625</v>
      </c>
      <c r="B1050" s="35" t="s">
        <v>654</v>
      </c>
      <c r="C1050" s="35" t="s">
        <v>655</v>
      </c>
      <c r="D1050" s="39">
        <v>12.920000076293945</v>
      </c>
      <c r="E1050" s="39">
        <v>8.758601188659668</v>
      </c>
      <c r="F1050" s="41">
        <v>360985</v>
      </c>
      <c r="G1050" s="35" t="s">
        <v>673</v>
      </c>
      <c r="H1050" s="35" t="s">
        <v>115</v>
      </c>
    </row>
    <row r="1051" spans="1:8">
      <c r="A1051" s="37">
        <v>39759.15625</v>
      </c>
      <c r="B1051" s="35" t="s">
        <v>654</v>
      </c>
      <c r="C1051" s="35" t="s">
        <v>655</v>
      </c>
      <c r="D1051" s="39">
        <v>12.529999732971191</v>
      </c>
      <c r="E1051" s="39">
        <v>8.4942140579223633</v>
      </c>
      <c r="F1051" s="41">
        <v>1098735</v>
      </c>
      <c r="G1051" s="35" t="s">
        <v>673</v>
      </c>
      <c r="H1051" s="35" t="s">
        <v>115</v>
      </c>
    </row>
    <row r="1052" spans="1:8">
      <c r="A1052" s="37">
        <v>39762.15625</v>
      </c>
      <c r="B1052" s="35" t="s">
        <v>654</v>
      </c>
      <c r="C1052" s="35" t="s">
        <v>655</v>
      </c>
      <c r="D1052" s="39">
        <v>12.859999656677246</v>
      </c>
      <c r="E1052" s="39">
        <v>8.7179241180419922</v>
      </c>
      <c r="F1052" s="41">
        <v>1143625</v>
      </c>
      <c r="G1052" s="35" t="s">
        <v>673</v>
      </c>
      <c r="H1052" s="35" t="s">
        <v>115</v>
      </c>
    </row>
    <row r="1053" spans="1:8">
      <c r="A1053" s="37">
        <v>39763.15625</v>
      </c>
      <c r="B1053" s="35" t="s">
        <v>654</v>
      </c>
      <c r="C1053" s="35" t="s">
        <v>655</v>
      </c>
      <c r="D1053" s="39">
        <v>12.560000419616699</v>
      </c>
      <c r="E1053" s="39">
        <v>8.5145530700683594</v>
      </c>
      <c r="F1053" s="41">
        <v>1016570</v>
      </c>
      <c r="G1053" s="35" t="s">
        <v>673</v>
      </c>
      <c r="H1053" s="35" t="s">
        <v>115</v>
      </c>
    </row>
    <row r="1054" spans="1:8">
      <c r="A1054" s="37">
        <v>39764.15625</v>
      </c>
      <c r="B1054" s="35" t="s">
        <v>654</v>
      </c>
      <c r="C1054" s="35" t="s">
        <v>655</v>
      </c>
      <c r="D1054" s="39">
        <v>12.119999885559082</v>
      </c>
      <c r="E1054" s="39">
        <v>8.2162742614746094</v>
      </c>
      <c r="F1054" s="41">
        <v>511840</v>
      </c>
      <c r="G1054" s="35" t="s">
        <v>673</v>
      </c>
      <c r="H1054" s="35" t="s">
        <v>115</v>
      </c>
    </row>
    <row r="1055" spans="1:8">
      <c r="A1055" s="37">
        <v>39766.15625</v>
      </c>
      <c r="B1055" s="35" t="s">
        <v>654</v>
      </c>
      <c r="C1055" s="35" t="s">
        <v>655</v>
      </c>
      <c r="D1055" s="39">
        <v>12.720000267028809</v>
      </c>
      <c r="E1055" s="39">
        <v>8.6230154037475586</v>
      </c>
      <c r="F1055" s="41">
        <v>1055650</v>
      </c>
      <c r="G1055" s="35" t="s">
        <v>673</v>
      </c>
      <c r="H1055" s="35" t="s">
        <v>115</v>
      </c>
    </row>
    <row r="1056" spans="1:8">
      <c r="A1056" s="37">
        <v>39769.15625</v>
      </c>
      <c r="B1056" s="35" t="s">
        <v>654</v>
      </c>
      <c r="C1056" s="35" t="s">
        <v>655</v>
      </c>
      <c r="D1056" s="39">
        <v>12.390000343322754</v>
      </c>
      <c r="E1056" s="39">
        <v>8.3993062973022461</v>
      </c>
      <c r="F1056" s="41">
        <v>732745</v>
      </c>
      <c r="G1056" s="35" t="s">
        <v>673</v>
      </c>
      <c r="H1056" s="35" t="s">
        <v>115</v>
      </c>
    </row>
    <row r="1057" spans="1:8">
      <c r="A1057" s="37">
        <v>39770.15625</v>
      </c>
      <c r="B1057" s="35" t="s">
        <v>654</v>
      </c>
      <c r="C1057" s="35" t="s">
        <v>655</v>
      </c>
      <c r="D1057" s="39">
        <v>12.090000152587891</v>
      </c>
      <c r="E1057" s="39">
        <v>8.1959342956542969</v>
      </c>
      <c r="F1057" s="41">
        <v>263840</v>
      </c>
      <c r="G1057" s="35" t="s">
        <v>673</v>
      </c>
      <c r="H1057" s="35" t="s">
        <v>115</v>
      </c>
    </row>
    <row r="1058" spans="1:8">
      <c r="A1058" s="37">
        <v>39771.15625</v>
      </c>
      <c r="B1058" s="35" t="s">
        <v>654</v>
      </c>
      <c r="C1058" s="35" t="s">
        <v>655</v>
      </c>
      <c r="D1058" s="39">
        <v>12.020000457763672</v>
      </c>
      <c r="E1058" s="39">
        <v>8.1484823226928711</v>
      </c>
      <c r="F1058" s="41">
        <v>298190</v>
      </c>
      <c r="G1058" s="35" t="s">
        <v>673</v>
      </c>
      <c r="H1058" s="35" t="s">
        <v>115</v>
      </c>
    </row>
    <row r="1059" spans="1:8">
      <c r="A1059" s="37">
        <v>39772.15625</v>
      </c>
      <c r="B1059" s="35" t="s">
        <v>654</v>
      </c>
      <c r="C1059" s="35" t="s">
        <v>655</v>
      </c>
      <c r="D1059" s="39">
        <v>11.350000381469727</v>
      </c>
      <c r="E1059" s="39">
        <v>7.6942811012268066</v>
      </c>
      <c r="F1059" s="41">
        <v>259485</v>
      </c>
      <c r="G1059" s="35" t="s">
        <v>673</v>
      </c>
      <c r="H1059" s="35" t="s">
        <v>115</v>
      </c>
    </row>
    <row r="1060" spans="1:8">
      <c r="A1060" s="37">
        <v>39773.15625</v>
      </c>
      <c r="B1060" s="35" t="s">
        <v>654</v>
      </c>
      <c r="C1060" s="35" t="s">
        <v>655</v>
      </c>
      <c r="D1060" s="39">
        <v>11.369999885559082</v>
      </c>
      <c r="E1060" s="39">
        <v>7.7078385353088379</v>
      </c>
      <c r="F1060" s="41">
        <v>359445</v>
      </c>
      <c r="G1060" s="35" t="s">
        <v>673</v>
      </c>
      <c r="H1060" s="35" t="s">
        <v>115</v>
      </c>
    </row>
    <row r="1061" spans="1:8">
      <c r="A1061" s="37">
        <v>39776.15625</v>
      </c>
      <c r="B1061" s="35" t="s">
        <v>654</v>
      </c>
      <c r="C1061" s="35" t="s">
        <v>655</v>
      </c>
      <c r="D1061" s="39">
        <v>11.289999961853027</v>
      </c>
      <c r="E1061" s="39">
        <v>7.6536068916320801</v>
      </c>
      <c r="F1061" s="41">
        <v>136735</v>
      </c>
      <c r="G1061" s="35" t="s">
        <v>673</v>
      </c>
      <c r="H1061" s="35" t="s">
        <v>115</v>
      </c>
    </row>
    <row r="1062" spans="1:8">
      <c r="A1062" s="37">
        <v>39777.15625</v>
      </c>
      <c r="B1062" s="35" t="s">
        <v>654</v>
      </c>
      <c r="C1062" s="35" t="s">
        <v>655</v>
      </c>
      <c r="D1062" s="39">
        <v>11.380000114440918</v>
      </c>
      <c r="E1062" s="39">
        <v>7.7146177291870117</v>
      </c>
      <c r="F1062" s="41">
        <v>251840</v>
      </c>
      <c r="G1062" s="35" t="s">
        <v>673</v>
      </c>
      <c r="H1062" s="35" t="s">
        <v>115</v>
      </c>
    </row>
    <row r="1063" spans="1:8">
      <c r="A1063" s="37">
        <v>39778.15625</v>
      </c>
      <c r="B1063" s="35" t="s">
        <v>654</v>
      </c>
      <c r="C1063" s="35" t="s">
        <v>655</v>
      </c>
      <c r="D1063" s="39">
        <v>11.310000419616699</v>
      </c>
      <c r="E1063" s="39">
        <v>7.6671648025512695</v>
      </c>
      <c r="F1063" s="41">
        <v>311235</v>
      </c>
      <c r="G1063" s="35" t="s">
        <v>673</v>
      </c>
      <c r="H1063" s="35" t="s">
        <v>115</v>
      </c>
    </row>
    <row r="1064" spans="1:8">
      <c r="A1064" s="37">
        <v>39779.15625</v>
      </c>
      <c r="B1064" s="35" t="s">
        <v>654</v>
      </c>
      <c r="C1064" s="35" t="s">
        <v>655</v>
      </c>
      <c r="D1064" s="39">
        <v>11.310000419616699</v>
      </c>
      <c r="E1064" s="39">
        <v>7.6671648025512695</v>
      </c>
      <c r="F1064" s="41">
        <v>0</v>
      </c>
      <c r="G1064" s="35" t="s">
        <v>673</v>
      </c>
      <c r="H1064" s="35" t="s">
        <v>115</v>
      </c>
    </row>
    <row r="1065" spans="1:8">
      <c r="A1065" s="37">
        <v>39780.15625</v>
      </c>
      <c r="B1065" s="35" t="s">
        <v>654</v>
      </c>
      <c r="C1065" s="35" t="s">
        <v>655</v>
      </c>
      <c r="D1065" s="39">
        <v>10.869999885559082</v>
      </c>
      <c r="E1065" s="39">
        <v>7.3688826560974121</v>
      </c>
      <c r="F1065" s="41">
        <v>582380</v>
      </c>
      <c r="G1065" s="35" t="s">
        <v>673</v>
      </c>
      <c r="H1065" s="35" t="s">
        <v>115</v>
      </c>
    </row>
    <row r="1066" spans="1:8">
      <c r="A1066" s="37">
        <v>39783.15625</v>
      </c>
      <c r="B1066" s="35" t="s">
        <v>654</v>
      </c>
      <c r="C1066" s="35" t="s">
        <v>655</v>
      </c>
      <c r="D1066" s="39">
        <v>11.300000190734863</v>
      </c>
      <c r="E1066" s="39">
        <v>7.6603846549987793</v>
      </c>
      <c r="F1066" s="41">
        <v>368825</v>
      </c>
      <c r="G1066" s="35" t="s">
        <v>673</v>
      </c>
      <c r="H1066" s="35" t="s">
        <v>115</v>
      </c>
    </row>
    <row r="1067" spans="1:8">
      <c r="A1067" s="37">
        <v>39784.15625</v>
      </c>
      <c r="B1067" s="35" t="s">
        <v>654</v>
      </c>
      <c r="C1067" s="35" t="s">
        <v>655</v>
      </c>
      <c r="D1067" s="39">
        <v>11.010000228881836</v>
      </c>
      <c r="E1067" s="39">
        <v>7.4637918472290039</v>
      </c>
      <c r="F1067" s="41">
        <v>176855</v>
      </c>
      <c r="G1067" s="35" t="s">
        <v>673</v>
      </c>
      <c r="H1067" s="35" t="s">
        <v>115</v>
      </c>
    </row>
    <row r="1068" spans="1:8">
      <c r="A1068" s="37">
        <v>39785.15625</v>
      </c>
      <c r="B1068" s="35" t="s">
        <v>654</v>
      </c>
      <c r="C1068" s="35" t="s">
        <v>655</v>
      </c>
      <c r="D1068" s="39">
        <v>11.279999732971191</v>
      </c>
      <c r="E1068" s="39">
        <v>7.6468253135681152</v>
      </c>
      <c r="F1068" s="41">
        <v>1261975</v>
      </c>
      <c r="G1068" s="35" t="s">
        <v>673</v>
      </c>
      <c r="H1068" s="35" t="s">
        <v>115</v>
      </c>
    </row>
    <row r="1069" spans="1:8">
      <c r="A1069" s="37">
        <v>39786.15625</v>
      </c>
      <c r="B1069" s="35" t="s">
        <v>654</v>
      </c>
      <c r="C1069" s="35" t="s">
        <v>655</v>
      </c>
      <c r="D1069" s="39">
        <v>11.079999923706055</v>
      </c>
      <c r="E1069" s="39">
        <v>7.5112442970275879</v>
      </c>
      <c r="F1069" s="41">
        <v>1644085</v>
      </c>
      <c r="G1069" s="35" t="s">
        <v>673</v>
      </c>
      <c r="H1069" s="35" t="s">
        <v>115</v>
      </c>
    </row>
    <row r="1070" spans="1:8">
      <c r="A1070" s="37">
        <v>39787.15625</v>
      </c>
      <c r="B1070" s="35" t="s">
        <v>654</v>
      </c>
      <c r="C1070" s="35" t="s">
        <v>655</v>
      </c>
      <c r="D1070" s="39">
        <v>11.170000076293945</v>
      </c>
      <c r="E1070" s="39">
        <v>7.5722565650939941</v>
      </c>
      <c r="F1070" s="41">
        <v>889995</v>
      </c>
      <c r="G1070" s="35" t="s">
        <v>673</v>
      </c>
      <c r="H1070" s="35" t="s">
        <v>115</v>
      </c>
    </row>
    <row r="1071" spans="1:8">
      <c r="A1071" s="37">
        <v>39790.15625</v>
      </c>
      <c r="B1071" s="35" t="s">
        <v>654</v>
      </c>
      <c r="C1071" s="35" t="s">
        <v>655</v>
      </c>
      <c r="D1071" s="39">
        <v>11.159999847412109</v>
      </c>
      <c r="E1071" s="39">
        <v>7.5654797554016113</v>
      </c>
      <c r="F1071" s="41">
        <v>230140</v>
      </c>
      <c r="G1071" s="35" t="s">
        <v>673</v>
      </c>
      <c r="H1071" s="35" t="s">
        <v>115</v>
      </c>
    </row>
    <row r="1072" spans="1:8">
      <c r="A1072" s="37">
        <v>39792.15625</v>
      </c>
      <c r="B1072" s="35" t="s">
        <v>654</v>
      </c>
      <c r="C1072" s="35" t="s">
        <v>655</v>
      </c>
      <c r="D1072" s="39">
        <v>11.310000419616699</v>
      </c>
      <c r="E1072" s="39">
        <v>7.6671648025512695</v>
      </c>
      <c r="F1072" s="41">
        <v>199515</v>
      </c>
      <c r="G1072" s="35" t="s">
        <v>673</v>
      </c>
      <c r="H1072" s="35" t="s">
        <v>115</v>
      </c>
    </row>
    <row r="1073" spans="1:8">
      <c r="A1073" s="37">
        <v>39793.15625</v>
      </c>
      <c r="B1073" s="35" t="s">
        <v>654</v>
      </c>
      <c r="C1073" s="35" t="s">
        <v>655</v>
      </c>
      <c r="D1073" s="39">
        <v>11.710000038146973</v>
      </c>
      <c r="E1073" s="39">
        <v>7.9383273124694824</v>
      </c>
      <c r="F1073" s="41">
        <v>1273460</v>
      </c>
      <c r="G1073" s="35" t="s">
        <v>673</v>
      </c>
      <c r="H1073" s="35" t="s">
        <v>115</v>
      </c>
    </row>
    <row r="1074" spans="1:8">
      <c r="A1074" s="37">
        <v>39794.15625</v>
      </c>
      <c r="B1074" s="35" t="s">
        <v>654</v>
      </c>
      <c r="C1074" s="35" t="s">
        <v>655</v>
      </c>
      <c r="D1074" s="39">
        <v>11.640000343322754</v>
      </c>
      <c r="E1074" s="39">
        <v>7.890873908996582</v>
      </c>
      <c r="F1074" s="41">
        <v>369135</v>
      </c>
      <c r="G1074" s="35" t="s">
        <v>673</v>
      </c>
      <c r="H1074" s="35" t="s">
        <v>115</v>
      </c>
    </row>
    <row r="1075" spans="1:8">
      <c r="A1075" s="37">
        <v>39797.15625</v>
      </c>
      <c r="B1075" s="35" t="s">
        <v>654</v>
      </c>
      <c r="C1075" s="35" t="s">
        <v>655</v>
      </c>
      <c r="D1075" s="39">
        <v>11.890000343322754</v>
      </c>
      <c r="E1075" s="39">
        <v>8.0603513717651367</v>
      </c>
      <c r="F1075" s="41">
        <v>919285</v>
      </c>
      <c r="G1075" s="35" t="s">
        <v>673</v>
      </c>
      <c r="H1075" s="35" t="s">
        <v>115</v>
      </c>
    </row>
    <row r="1076" spans="1:8">
      <c r="A1076" s="37">
        <v>39798.15625</v>
      </c>
      <c r="B1076" s="35" t="s">
        <v>654</v>
      </c>
      <c r="C1076" s="35" t="s">
        <v>655</v>
      </c>
      <c r="D1076" s="39">
        <v>12.979999542236328</v>
      </c>
      <c r="E1076" s="39">
        <v>8.7992734909057617</v>
      </c>
      <c r="F1076" s="41">
        <v>1699205</v>
      </c>
      <c r="G1076" s="35" t="s">
        <v>673</v>
      </c>
      <c r="H1076" s="35" t="s">
        <v>115</v>
      </c>
    </row>
    <row r="1077" spans="1:8">
      <c r="A1077" s="37">
        <v>39799.15625</v>
      </c>
      <c r="B1077" s="35" t="s">
        <v>654</v>
      </c>
      <c r="C1077" s="35" t="s">
        <v>655</v>
      </c>
      <c r="D1077" s="39">
        <v>12.119999885559082</v>
      </c>
      <c r="E1077" s="39">
        <v>8.2162742614746094</v>
      </c>
      <c r="F1077" s="41">
        <v>901730</v>
      </c>
      <c r="G1077" s="35" t="s">
        <v>673</v>
      </c>
      <c r="H1077" s="35" t="s">
        <v>115</v>
      </c>
    </row>
    <row r="1078" spans="1:8">
      <c r="A1078" s="37">
        <v>39800.15625</v>
      </c>
      <c r="B1078" s="35" t="s">
        <v>654</v>
      </c>
      <c r="C1078" s="35" t="s">
        <v>655</v>
      </c>
      <c r="D1078" s="39">
        <v>12.409999847412109</v>
      </c>
      <c r="E1078" s="39">
        <v>8.4128637313842773</v>
      </c>
      <c r="F1078" s="41">
        <v>568250</v>
      </c>
      <c r="G1078" s="35" t="s">
        <v>673</v>
      </c>
      <c r="H1078" s="35" t="s">
        <v>115</v>
      </c>
    </row>
    <row r="1079" spans="1:8">
      <c r="A1079" s="37">
        <v>39801.15625</v>
      </c>
      <c r="B1079" s="35" t="s">
        <v>654</v>
      </c>
      <c r="C1079" s="35" t="s">
        <v>655</v>
      </c>
      <c r="D1079" s="39">
        <v>12.510000228881836</v>
      </c>
      <c r="E1079" s="39">
        <v>8.4806556701660156</v>
      </c>
      <c r="F1079" s="41">
        <v>605190</v>
      </c>
      <c r="G1079" s="35" t="s">
        <v>673</v>
      </c>
      <c r="H1079" s="35" t="s">
        <v>115</v>
      </c>
    </row>
    <row r="1080" spans="1:8">
      <c r="A1080" s="37">
        <v>39804.15625</v>
      </c>
      <c r="B1080" s="35" t="s">
        <v>654</v>
      </c>
      <c r="C1080" s="35" t="s">
        <v>655</v>
      </c>
      <c r="D1080" s="39">
        <v>12.689999580383301</v>
      </c>
      <c r="E1080" s="39">
        <v>8.6026802062988281</v>
      </c>
      <c r="F1080" s="41">
        <v>1074320</v>
      </c>
      <c r="G1080" s="35" t="s">
        <v>673</v>
      </c>
      <c r="H1080" s="35" t="s">
        <v>115</v>
      </c>
    </row>
    <row r="1081" spans="1:8">
      <c r="A1081" s="37">
        <v>39805.15625</v>
      </c>
      <c r="B1081" s="35" t="s">
        <v>654</v>
      </c>
      <c r="C1081" s="35" t="s">
        <v>655</v>
      </c>
      <c r="D1081" s="39">
        <v>11.899999618530273</v>
      </c>
      <c r="E1081" s="39">
        <v>8.0671319961547852</v>
      </c>
      <c r="F1081" s="41">
        <v>773585</v>
      </c>
      <c r="G1081" s="35" t="s">
        <v>673</v>
      </c>
      <c r="H1081" s="35" t="s">
        <v>115</v>
      </c>
    </row>
    <row r="1082" spans="1:8">
      <c r="A1082" s="37">
        <v>39806.15625</v>
      </c>
      <c r="B1082" s="35" t="s">
        <v>654</v>
      </c>
      <c r="C1082" s="35" t="s">
        <v>655</v>
      </c>
      <c r="D1082" s="39">
        <v>12.199999809265137</v>
      </c>
      <c r="E1082" s="39">
        <v>8.270503044128418</v>
      </c>
      <c r="F1082" s="41">
        <v>452065</v>
      </c>
      <c r="G1082" s="35" t="s">
        <v>673</v>
      </c>
      <c r="H1082" s="35" t="s">
        <v>115</v>
      </c>
    </row>
    <row r="1083" spans="1:8">
      <c r="A1083" s="37">
        <v>39808.15625</v>
      </c>
      <c r="B1083" s="35" t="s">
        <v>654</v>
      </c>
      <c r="C1083" s="35" t="s">
        <v>655</v>
      </c>
      <c r="D1083" s="39">
        <v>12.550000190734863</v>
      </c>
      <c r="E1083" s="39">
        <v>8.5077714920043945</v>
      </c>
      <c r="F1083" s="41">
        <v>778470</v>
      </c>
      <c r="G1083" s="35" t="s">
        <v>673</v>
      </c>
      <c r="H1083" s="35" t="s">
        <v>115</v>
      </c>
    </row>
    <row r="1084" spans="1:8">
      <c r="A1084" s="37">
        <v>39811.15625</v>
      </c>
      <c r="B1084" s="35" t="s">
        <v>654</v>
      </c>
      <c r="C1084" s="35" t="s">
        <v>655</v>
      </c>
      <c r="D1084" s="39">
        <v>12.590000152587891</v>
      </c>
      <c r="E1084" s="39">
        <v>8.5348892211914063</v>
      </c>
      <c r="F1084" s="41">
        <v>355200</v>
      </c>
      <c r="G1084" s="35" t="s">
        <v>673</v>
      </c>
      <c r="H1084" s="35" t="s">
        <v>115</v>
      </c>
    </row>
    <row r="1085" spans="1:8">
      <c r="A1085" s="37">
        <v>39812.15625</v>
      </c>
      <c r="B1085" s="35" t="s">
        <v>654</v>
      </c>
      <c r="C1085" s="35" t="s">
        <v>655</v>
      </c>
      <c r="D1085" s="39">
        <v>13.430000305175781</v>
      </c>
      <c r="E1085" s="39">
        <v>9.1043338775634766</v>
      </c>
      <c r="F1085" s="41">
        <v>1212065</v>
      </c>
      <c r="G1085" s="35" t="s">
        <v>673</v>
      </c>
      <c r="H1085" s="35" t="s">
        <v>115</v>
      </c>
    </row>
    <row r="1086" spans="1:8">
      <c r="A1086" s="37">
        <v>39813.15625</v>
      </c>
      <c r="B1086" s="35" t="s">
        <v>654</v>
      </c>
      <c r="C1086" s="35" t="s">
        <v>655</v>
      </c>
      <c r="D1086" s="39">
        <v>14.100000381469727</v>
      </c>
      <c r="E1086" s="39">
        <v>9.5585365295410156</v>
      </c>
      <c r="F1086" s="41">
        <v>1595340</v>
      </c>
      <c r="G1086" s="35" t="s">
        <v>673</v>
      </c>
      <c r="H1086" s="35" t="s">
        <v>115</v>
      </c>
    </row>
    <row r="1087" spans="1:8">
      <c r="A1087" s="37">
        <v>39815.15625</v>
      </c>
      <c r="B1087" s="35" t="s">
        <v>654</v>
      </c>
      <c r="C1087" s="35" t="s">
        <v>655</v>
      </c>
      <c r="D1087" s="39">
        <v>14.670000076293945</v>
      </c>
      <c r="E1087" s="39">
        <v>9.9449405670166016</v>
      </c>
      <c r="F1087" s="41">
        <v>751250</v>
      </c>
      <c r="G1087" s="35" t="s">
        <v>673</v>
      </c>
      <c r="H1087" s="35" t="s">
        <v>115</v>
      </c>
    </row>
    <row r="1088" spans="1:8">
      <c r="A1088" s="37">
        <v>39818.15625</v>
      </c>
      <c r="B1088" s="35" t="s">
        <v>654</v>
      </c>
      <c r="C1088" s="35" t="s">
        <v>655</v>
      </c>
      <c r="D1088" s="39">
        <v>15.180000305175781</v>
      </c>
      <c r="E1088" s="39">
        <v>10.290675163269043</v>
      </c>
      <c r="F1088" s="41">
        <v>957380</v>
      </c>
      <c r="G1088" s="35" t="s">
        <v>673</v>
      </c>
      <c r="H1088" s="35" t="s">
        <v>115</v>
      </c>
    </row>
    <row r="1089" spans="1:8">
      <c r="A1089" s="37">
        <v>39819.15625</v>
      </c>
      <c r="B1089" s="35" t="s">
        <v>654</v>
      </c>
      <c r="C1089" s="35" t="s">
        <v>655</v>
      </c>
      <c r="D1089" s="39">
        <v>15.010000228881836</v>
      </c>
      <c r="E1089" s="39">
        <v>10.175434112548828</v>
      </c>
      <c r="F1089" s="41">
        <v>1666165</v>
      </c>
      <c r="G1089" s="35" t="s">
        <v>673</v>
      </c>
      <c r="H1089" s="35" t="s">
        <v>115</v>
      </c>
    </row>
    <row r="1090" spans="1:8">
      <c r="A1090" s="37">
        <v>39820.15625</v>
      </c>
      <c r="B1090" s="35" t="s">
        <v>654</v>
      </c>
      <c r="C1090" s="35" t="s">
        <v>655</v>
      </c>
      <c r="D1090" s="39">
        <v>12.869999885559082</v>
      </c>
      <c r="E1090" s="39">
        <v>8.7247037887573242</v>
      </c>
      <c r="F1090" s="41">
        <v>1164810</v>
      </c>
      <c r="G1090" s="35" t="s">
        <v>673</v>
      </c>
      <c r="H1090" s="35" t="s">
        <v>115</v>
      </c>
    </row>
    <row r="1091" spans="1:8">
      <c r="A1091" s="37">
        <v>39822.15625</v>
      </c>
      <c r="B1091" s="35" t="s">
        <v>654</v>
      </c>
      <c r="C1091" s="35" t="s">
        <v>655</v>
      </c>
      <c r="D1091" s="39">
        <v>12.439999580383301</v>
      </c>
      <c r="E1091" s="39">
        <v>8.433201789855957</v>
      </c>
      <c r="F1091" s="41">
        <v>501775</v>
      </c>
      <c r="G1091" s="35" t="s">
        <v>673</v>
      </c>
      <c r="H1091" s="35" t="s">
        <v>115</v>
      </c>
    </row>
    <row r="1092" spans="1:8">
      <c r="A1092" s="37">
        <v>39825.15625</v>
      </c>
      <c r="B1092" s="35" t="s">
        <v>654</v>
      </c>
      <c r="C1092" s="35" t="s">
        <v>655</v>
      </c>
      <c r="D1092" s="39">
        <v>12.380000114440918</v>
      </c>
      <c r="E1092" s="39">
        <v>8.3925294876098633</v>
      </c>
      <c r="F1092" s="41">
        <v>367275</v>
      </c>
      <c r="G1092" s="35" t="s">
        <v>673</v>
      </c>
      <c r="H1092" s="35" t="s">
        <v>115</v>
      </c>
    </row>
    <row r="1093" spans="1:8">
      <c r="A1093" s="37">
        <v>39826.15625</v>
      </c>
      <c r="B1093" s="35" t="s">
        <v>654</v>
      </c>
      <c r="C1093" s="35" t="s">
        <v>655</v>
      </c>
      <c r="D1093" s="39">
        <v>12.180000305175781</v>
      </c>
      <c r="E1093" s="39">
        <v>8.2569475173950195</v>
      </c>
      <c r="F1093" s="41">
        <v>667400</v>
      </c>
      <c r="G1093" s="35" t="s">
        <v>673</v>
      </c>
      <c r="H1093" s="35" t="s">
        <v>115</v>
      </c>
    </row>
    <row r="1094" spans="1:8">
      <c r="A1094" s="37">
        <v>39827.15625</v>
      </c>
      <c r="B1094" s="35" t="s">
        <v>654</v>
      </c>
      <c r="C1094" s="35" t="s">
        <v>655</v>
      </c>
      <c r="D1094" s="39">
        <v>11.810000419616699</v>
      </c>
      <c r="E1094" s="39">
        <v>8.0061187744140625</v>
      </c>
      <c r="F1094" s="41">
        <v>3004380</v>
      </c>
      <c r="G1094" s="35" t="s">
        <v>673</v>
      </c>
      <c r="H1094" s="35" t="s">
        <v>115</v>
      </c>
    </row>
    <row r="1095" spans="1:8">
      <c r="A1095" s="37">
        <v>39828.15625</v>
      </c>
      <c r="B1095" s="35" t="s">
        <v>654</v>
      </c>
      <c r="C1095" s="35" t="s">
        <v>655</v>
      </c>
      <c r="D1095" s="39">
        <v>11.020000457763672</v>
      </c>
      <c r="E1095" s="39">
        <v>7.4705696105957031</v>
      </c>
      <c r="F1095" s="41">
        <v>1997815</v>
      </c>
      <c r="G1095" s="35" t="s">
        <v>673</v>
      </c>
      <c r="H1095" s="35" t="s">
        <v>115</v>
      </c>
    </row>
    <row r="1096" spans="1:8">
      <c r="A1096" s="37">
        <v>39829.15625</v>
      </c>
      <c r="B1096" s="35" t="s">
        <v>654</v>
      </c>
      <c r="C1096" s="35" t="s">
        <v>655</v>
      </c>
      <c r="D1096" s="39">
        <v>11.079999923706055</v>
      </c>
      <c r="E1096" s="39">
        <v>7.5112442970275879</v>
      </c>
      <c r="F1096" s="41">
        <v>541530</v>
      </c>
      <c r="G1096" s="35" t="s">
        <v>673</v>
      </c>
      <c r="H1096" s="35" t="s">
        <v>115</v>
      </c>
    </row>
    <row r="1097" spans="1:8">
      <c r="A1097" s="37">
        <v>39832.15625</v>
      </c>
      <c r="B1097" s="35" t="s">
        <v>654</v>
      </c>
      <c r="C1097" s="35" t="s">
        <v>655</v>
      </c>
      <c r="D1097" s="39">
        <v>11.239999771118164</v>
      </c>
      <c r="E1097" s="39">
        <v>7.6197113990783691</v>
      </c>
      <c r="F1097" s="41">
        <v>249575</v>
      </c>
      <c r="G1097" s="35" t="s">
        <v>673</v>
      </c>
      <c r="H1097" s="35" t="s">
        <v>115</v>
      </c>
    </row>
    <row r="1098" spans="1:8">
      <c r="A1098" s="37">
        <v>39833.15625</v>
      </c>
      <c r="B1098" s="35" t="s">
        <v>654</v>
      </c>
      <c r="C1098" s="35" t="s">
        <v>655</v>
      </c>
      <c r="D1098" s="39">
        <v>11.229999542236328</v>
      </c>
      <c r="E1098" s="39">
        <v>7.6129317283630371</v>
      </c>
      <c r="F1098" s="41">
        <v>362675</v>
      </c>
      <c r="G1098" s="35" t="s">
        <v>673</v>
      </c>
      <c r="H1098" s="35" t="s">
        <v>115</v>
      </c>
    </row>
    <row r="1099" spans="1:8">
      <c r="A1099" s="37">
        <v>39834.15625</v>
      </c>
      <c r="B1099" s="35" t="s">
        <v>654</v>
      </c>
      <c r="C1099" s="35" t="s">
        <v>655</v>
      </c>
      <c r="D1099" s="39">
        <v>10.979999542236328</v>
      </c>
      <c r="E1099" s="39">
        <v>7.443453311920166</v>
      </c>
      <c r="F1099" s="41">
        <v>190235</v>
      </c>
      <c r="G1099" s="35" t="s">
        <v>673</v>
      </c>
      <c r="H1099" s="35" t="s">
        <v>115</v>
      </c>
    </row>
    <row r="1100" spans="1:8">
      <c r="A1100" s="37">
        <v>39835.15625</v>
      </c>
      <c r="B1100" s="35" t="s">
        <v>654</v>
      </c>
      <c r="C1100" s="35" t="s">
        <v>655</v>
      </c>
      <c r="D1100" s="39">
        <v>10.989999771118164</v>
      </c>
      <c r="E1100" s="39">
        <v>7.4502315521240234</v>
      </c>
      <c r="F1100" s="41">
        <v>161345</v>
      </c>
      <c r="G1100" s="35" t="s">
        <v>673</v>
      </c>
      <c r="H1100" s="35" t="s">
        <v>115</v>
      </c>
    </row>
    <row r="1101" spans="1:8">
      <c r="A1101" s="37">
        <v>39836.15625</v>
      </c>
      <c r="B1101" s="35" t="s">
        <v>654</v>
      </c>
      <c r="C1101" s="35" t="s">
        <v>655</v>
      </c>
      <c r="D1101" s="39">
        <v>10.319999694824219</v>
      </c>
      <c r="E1101" s="39">
        <v>6.996030330657959</v>
      </c>
      <c r="F1101" s="41">
        <v>282075</v>
      </c>
      <c r="G1101" s="35" t="s">
        <v>673</v>
      </c>
      <c r="H1101" s="35" t="s">
        <v>115</v>
      </c>
    </row>
    <row r="1102" spans="1:8">
      <c r="A1102" s="37">
        <v>39840.15625</v>
      </c>
      <c r="B1102" s="35" t="s">
        <v>654</v>
      </c>
      <c r="C1102" s="35" t="s">
        <v>655</v>
      </c>
      <c r="D1102" s="39">
        <v>10.789999961853027</v>
      </c>
      <c r="E1102" s="39">
        <v>7.3146505355834961</v>
      </c>
      <c r="F1102" s="41">
        <v>459235</v>
      </c>
      <c r="G1102" s="35" t="s">
        <v>673</v>
      </c>
      <c r="H1102" s="35" t="s">
        <v>115</v>
      </c>
    </row>
    <row r="1103" spans="1:8">
      <c r="A1103" s="37">
        <v>39841.15625</v>
      </c>
      <c r="B1103" s="35" t="s">
        <v>654</v>
      </c>
      <c r="C1103" s="35" t="s">
        <v>655</v>
      </c>
      <c r="D1103" s="39">
        <v>10.819999694824219</v>
      </c>
      <c r="E1103" s="39">
        <v>7.334986686706543</v>
      </c>
      <c r="F1103" s="41">
        <v>262355</v>
      </c>
      <c r="G1103" s="35" t="s">
        <v>673</v>
      </c>
      <c r="H1103" s="35" t="s">
        <v>115</v>
      </c>
    </row>
    <row r="1104" spans="1:8">
      <c r="A1104" s="37">
        <v>39842.15625</v>
      </c>
      <c r="B1104" s="35" t="s">
        <v>654</v>
      </c>
      <c r="C1104" s="35" t="s">
        <v>655</v>
      </c>
      <c r="D1104" s="39">
        <v>10.590000152587891</v>
      </c>
      <c r="E1104" s="39">
        <v>7.1790714263916016</v>
      </c>
      <c r="F1104" s="41">
        <v>938285</v>
      </c>
      <c r="G1104" s="35" t="s">
        <v>673</v>
      </c>
      <c r="H1104" s="35" t="s">
        <v>115</v>
      </c>
    </row>
    <row r="1105" spans="1:8">
      <c r="A1105" s="37">
        <v>39843.15625</v>
      </c>
      <c r="B1105" s="35" t="s">
        <v>654</v>
      </c>
      <c r="C1105" s="35" t="s">
        <v>655</v>
      </c>
      <c r="D1105" s="39">
        <v>10.710000038146973</v>
      </c>
      <c r="E1105" s="39">
        <v>7.2604179382324219</v>
      </c>
      <c r="F1105" s="41">
        <v>286380</v>
      </c>
      <c r="G1105" s="35" t="s">
        <v>673</v>
      </c>
      <c r="H1105" s="35" t="s">
        <v>115</v>
      </c>
    </row>
    <row r="1106" spans="1:8">
      <c r="A1106" s="37">
        <v>39846.15625</v>
      </c>
      <c r="B1106" s="35" t="s">
        <v>654</v>
      </c>
      <c r="C1106" s="35" t="s">
        <v>655</v>
      </c>
      <c r="D1106" s="39">
        <v>10.819999694824219</v>
      </c>
      <c r="E1106" s="39">
        <v>7.334986686706543</v>
      </c>
      <c r="F1106" s="41">
        <v>179155</v>
      </c>
      <c r="G1106" s="35" t="s">
        <v>673</v>
      </c>
      <c r="H1106" s="35" t="s">
        <v>115</v>
      </c>
    </row>
    <row r="1107" spans="1:8">
      <c r="A1107" s="37">
        <v>39847.15625</v>
      </c>
      <c r="B1107" s="35" t="s">
        <v>654</v>
      </c>
      <c r="C1107" s="35" t="s">
        <v>655</v>
      </c>
      <c r="D1107" s="39">
        <v>10.819999694824219</v>
      </c>
      <c r="E1107" s="39">
        <v>7.334986686706543</v>
      </c>
      <c r="F1107" s="41">
        <v>736880</v>
      </c>
      <c r="G1107" s="35" t="s">
        <v>673</v>
      </c>
      <c r="H1107" s="35" t="s">
        <v>115</v>
      </c>
    </row>
    <row r="1108" spans="1:8">
      <c r="A1108" s="37">
        <v>39848.15625</v>
      </c>
      <c r="B1108" s="35" t="s">
        <v>654</v>
      </c>
      <c r="C1108" s="35" t="s">
        <v>655</v>
      </c>
      <c r="D1108" s="39">
        <v>10.789999961853027</v>
      </c>
      <c r="E1108" s="39">
        <v>7.3146505355834961</v>
      </c>
      <c r="F1108" s="41">
        <v>540530</v>
      </c>
      <c r="G1108" s="35" t="s">
        <v>673</v>
      </c>
      <c r="H1108" s="35" t="s">
        <v>115</v>
      </c>
    </row>
    <row r="1109" spans="1:8">
      <c r="A1109" s="37">
        <v>39849.15625</v>
      </c>
      <c r="B1109" s="35" t="s">
        <v>654</v>
      </c>
      <c r="C1109" s="35" t="s">
        <v>655</v>
      </c>
      <c r="D1109" s="39">
        <v>10.800000190734863</v>
      </c>
      <c r="E1109" s="39">
        <v>7.3214297294616699</v>
      </c>
      <c r="F1109" s="41">
        <v>329885</v>
      </c>
      <c r="G1109" s="35" t="s">
        <v>673</v>
      </c>
      <c r="H1109" s="35" t="s">
        <v>115</v>
      </c>
    </row>
    <row r="1110" spans="1:8">
      <c r="A1110" s="37">
        <v>39850.15625</v>
      </c>
      <c r="B1110" s="35" t="s">
        <v>654</v>
      </c>
      <c r="C1110" s="35" t="s">
        <v>655</v>
      </c>
      <c r="D1110" s="39">
        <v>11</v>
      </c>
      <c r="E1110" s="39">
        <v>7.4570107460021973</v>
      </c>
      <c r="F1110" s="41">
        <v>1951080</v>
      </c>
      <c r="G1110" s="35" t="s">
        <v>673</v>
      </c>
      <c r="H1110" s="35" t="s">
        <v>115</v>
      </c>
    </row>
    <row r="1111" spans="1:8">
      <c r="A1111" s="37">
        <v>39853.15625</v>
      </c>
      <c r="B1111" s="35" t="s">
        <v>654</v>
      </c>
      <c r="C1111" s="35" t="s">
        <v>655</v>
      </c>
      <c r="D1111" s="39">
        <v>10.970000267028809</v>
      </c>
      <c r="E1111" s="39">
        <v>7.4366750717163086</v>
      </c>
      <c r="F1111" s="41">
        <v>432270</v>
      </c>
      <c r="G1111" s="35" t="s">
        <v>673</v>
      </c>
      <c r="H1111" s="35" t="s">
        <v>115</v>
      </c>
    </row>
    <row r="1112" spans="1:8">
      <c r="A1112" s="37">
        <v>39854.15625</v>
      </c>
      <c r="B1112" s="35" t="s">
        <v>654</v>
      </c>
      <c r="C1112" s="35" t="s">
        <v>655</v>
      </c>
      <c r="D1112" s="39">
        <v>11.010000228881836</v>
      </c>
      <c r="E1112" s="39">
        <v>7.4637918472290039</v>
      </c>
      <c r="F1112" s="41">
        <v>370360</v>
      </c>
      <c r="G1112" s="35" t="s">
        <v>673</v>
      </c>
      <c r="H1112" s="35" t="s">
        <v>115</v>
      </c>
    </row>
    <row r="1113" spans="1:8">
      <c r="A1113" s="37">
        <v>39855.15625</v>
      </c>
      <c r="B1113" s="35" t="s">
        <v>654</v>
      </c>
      <c r="C1113" s="35" t="s">
        <v>655</v>
      </c>
      <c r="D1113" s="39">
        <v>11.069999694824219</v>
      </c>
      <c r="E1113" s="39">
        <v>7.5044679641723633</v>
      </c>
      <c r="F1113" s="41">
        <v>341305</v>
      </c>
      <c r="G1113" s="35" t="s">
        <v>673</v>
      </c>
      <c r="H1113" s="35" t="s">
        <v>115</v>
      </c>
    </row>
    <row r="1114" spans="1:8">
      <c r="A1114" s="37">
        <v>39856.15625</v>
      </c>
      <c r="B1114" s="35" t="s">
        <v>654</v>
      </c>
      <c r="C1114" s="35" t="s">
        <v>655</v>
      </c>
      <c r="D1114" s="39">
        <v>11.350000381469727</v>
      </c>
      <c r="E1114" s="39">
        <v>7.6942811012268066</v>
      </c>
      <c r="F1114" s="41">
        <v>1934295</v>
      </c>
      <c r="G1114" s="35" t="s">
        <v>673</v>
      </c>
      <c r="H1114" s="35" t="s">
        <v>115</v>
      </c>
    </row>
    <row r="1115" spans="1:8">
      <c r="A1115" s="37">
        <v>39857.15625</v>
      </c>
      <c r="B1115" s="35" t="s">
        <v>654</v>
      </c>
      <c r="C1115" s="35" t="s">
        <v>655</v>
      </c>
      <c r="D1115" s="39">
        <v>11.600000381469727</v>
      </c>
      <c r="E1115" s="39">
        <v>7.8637571334838867</v>
      </c>
      <c r="F1115" s="41">
        <v>572345</v>
      </c>
      <c r="G1115" s="35" t="s">
        <v>673</v>
      </c>
      <c r="H1115" s="35" t="s">
        <v>115</v>
      </c>
    </row>
    <row r="1116" spans="1:8">
      <c r="A1116" s="37">
        <v>39860.15625</v>
      </c>
      <c r="B1116" s="35" t="s">
        <v>654</v>
      </c>
      <c r="C1116" s="35" t="s">
        <v>655</v>
      </c>
      <c r="D1116" s="39">
        <v>11.319999694824219</v>
      </c>
      <c r="E1116" s="39">
        <v>7.673945426940918</v>
      </c>
      <c r="F1116" s="41">
        <v>526270</v>
      </c>
      <c r="G1116" s="35" t="s">
        <v>673</v>
      </c>
      <c r="H1116" s="35" t="s">
        <v>115</v>
      </c>
    </row>
    <row r="1117" spans="1:8">
      <c r="A1117" s="37">
        <v>39861.15625</v>
      </c>
      <c r="B1117" s="35" t="s">
        <v>654</v>
      </c>
      <c r="C1117" s="35" t="s">
        <v>655</v>
      </c>
      <c r="D1117" s="39">
        <v>10.810000419616699</v>
      </c>
      <c r="E1117" s="39">
        <v>7.3282098770141602</v>
      </c>
      <c r="F1117" s="41">
        <v>207315</v>
      </c>
      <c r="G1117" s="35" t="s">
        <v>673</v>
      </c>
      <c r="H1117" s="35" t="s">
        <v>115</v>
      </c>
    </row>
    <row r="1118" spans="1:8">
      <c r="A1118" s="37">
        <v>39862.15625</v>
      </c>
      <c r="B1118" s="35" t="s">
        <v>654</v>
      </c>
      <c r="C1118" s="35" t="s">
        <v>655</v>
      </c>
      <c r="D1118" s="39">
        <v>10.649999618530273</v>
      </c>
      <c r="E1118" s="39">
        <v>7.2197446823120117</v>
      </c>
      <c r="F1118" s="41">
        <v>178080</v>
      </c>
      <c r="G1118" s="35" t="s">
        <v>673</v>
      </c>
      <c r="H1118" s="35" t="s">
        <v>115</v>
      </c>
    </row>
    <row r="1119" spans="1:8">
      <c r="A1119" s="37">
        <v>39863.15625</v>
      </c>
      <c r="B1119" s="35" t="s">
        <v>654</v>
      </c>
      <c r="C1119" s="35" t="s">
        <v>655</v>
      </c>
      <c r="D1119" s="39">
        <v>10.510000228881836</v>
      </c>
      <c r="E1119" s="39">
        <v>7.1248359680175781</v>
      </c>
      <c r="F1119" s="41">
        <v>229600</v>
      </c>
      <c r="G1119" s="35" t="s">
        <v>673</v>
      </c>
      <c r="H1119" s="35" t="s">
        <v>115</v>
      </c>
    </row>
    <row r="1120" spans="1:8">
      <c r="A1120" s="37">
        <v>39864.15625</v>
      </c>
      <c r="B1120" s="35" t="s">
        <v>654</v>
      </c>
      <c r="C1120" s="35" t="s">
        <v>655</v>
      </c>
      <c r="D1120" s="39">
        <v>10.409999847412109</v>
      </c>
      <c r="E1120" s="39">
        <v>7.0570449829101563</v>
      </c>
      <c r="F1120" s="41">
        <v>248225</v>
      </c>
      <c r="G1120" s="35" t="s">
        <v>673</v>
      </c>
      <c r="H1120" s="35" t="s">
        <v>115</v>
      </c>
    </row>
    <row r="1121" spans="1:8">
      <c r="A1121" s="37">
        <v>39868.15625</v>
      </c>
      <c r="B1121" s="35" t="s">
        <v>654</v>
      </c>
      <c r="C1121" s="35" t="s">
        <v>655</v>
      </c>
      <c r="D1121" s="39">
        <v>10.319999694824219</v>
      </c>
      <c r="E1121" s="39">
        <v>6.996030330657959</v>
      </c>
      <c r="F1121" s="41">
        <v>1895725</v>
      </c>
      <c r="G1121" s="35" t="s">
        <v>673</v>
      </c>
      <c r="H1121" s="35" t="s">
        <v>115</v>
      </c>
    </row>
    <row r="1122" spans="1:8">
      <c r="A1122" s="37">
        <v>39869.15625</v>
      </c>
      <c r="B1122" s="35" t="s">
        <v>654</v>
      </c>
      <c r="C1122" s="35" t="s">
        <v>655</v>
      </c>
      <c r="D1122" s="39">
        <v>9.9899997711181641</v>
      </c>
      <c r="E1122" s="39">
        <v>6.7723221778869629</v>
      </c>
      <c r="F1122" s="41">
        <v>1019575</v>
      </c>
      <c r="G1122" s="35" t="s">
        <v>673</v>
      </c>
      <c r="H1122" s="35" t="s">
        <v>115</v>
      </c>
    </row>
    <row r="1123" spans="1:8">
      <c r="A1123" s="37">
        <v>39870.15625</v>
      </c>
      <c r="B1123" s="35" t="s">
        <v>654</v>
      </c>
      <c r="C1123" s="35" t="s">
        <v>655</v>
      </c>
      <c r="D1123" s="39">
        <v>9.5399999618530273</v>
      </c>
      <c r="E1123" s="39">
        <v>6.4672627449035645</v>
      </c>
      <c r="F1123" s="41">
        <v>925680</v>
      </c>
      <c r="G1123" s="35" t="s">
        <v>673</v>
      </c>
      <c r="H1123" s="35" t="s">
        <v>115</v>
      </c>
    </row>
    <row r="1124" spans="1:8">
      <c r="A1124" s="37">
        <v>39871.15625</v>
      </c>
      <c r="B1124" s="35" t="s">
        <v>654</v>
      </c>
      <c r="C1124" s="35" t="s">
        <v>655</v>
      </c>
      <c r="D1124" s="39">
        <v>9.6000003814697266</v>
      </c>
      <c r="E1124" s="39">
        <v>6.5079383850097656</v>
      </c>
      <c r="F1124" s="41">
        <v>189865</v>
      </c>
      <c r="G1124" s="35" t="s">
        <v>673</v>
      </c>
      <c r="H1124" s="35" t="s">
        <v>115</v>
      </c>
    </row>
    <row r="1125" spans="1:8">
      <c r="A1125" s="37">
        <v>39874.15625</v>
      </c>
      <c r="B1125" s="35" t="s">
        <v>654</v>
      </c>
      <c r="C1125" s="35" t="s">
        <v>655</v>
      </c>
      <c r="D1125" s="39">
        <v>9.3400001525878906</v>
      </c>
      <c r="E1125" s="39">
        <v>6.3316812515258789</v>
      </c>
      <c r="F1125" s="41">
        <v>134740</v>
      </c>
      <c r="G1125" s="35" t="s">
        <v>673</v>
      </c>
      <c r="H1125" s="35" t="s">
        <v>115</v>
      </c>
    </row>
    <row r="1126" spans="1:8">
      <c r="A1126" s="37">
        <v>39875.15625</v>
      </c>
      <c r="B1126" s="35" t="s">
        <v>654</v>
      </c>
      <c r="C1126" s="35" t="s">
        <v>655</v>
      </c>
      <c r="D1126" s="39">
        <v>8.869999885559082</v>
      </c>
      <c r="E1126" s="39">
        <v>6.0130629539489746</v>
      </c>
      <c r="F1126" s="41">
        <v>279220</v>
      </c>
      <c r="G1126" s="35" t="s">
        <v>673</v>
      </c>
      <c r="H1126" s="35" t="s">
        <v>115</v>
      </c>
    </row>
    <row r="1127" spans="1:8">
      <c r="A1127" s="37">
        <v>39876.15625</v>
      </c>
      <c r="B1127" s="35" t="s">
        <v>654</v>
      </c>
      <c r="C1127" s="35" t="s">
        <v>655</v>
      </c>
      <c r="D1127" s="39">
        <v>9.0100002288818359</v>
      </c>
      <c r="E1127" s="39">
        <v>6.1079697608947754</v>
      </c>
      <c r="F1127" s="41">
        <v>152150</v>
      </c>
      <c r="G1127" s="35" t="s">
        <v>673</v>
      </c>
      <c r="H1127" s="35" t="s">
        <v>115</v>
      </c>
    </row>
    <row r="1128" spans="1:8">
      <c r="A1128" s="37">
        <v>39877.15625</v>
      </c>
      <c r="B1128" s="35" t="s">
        <v>654</v>
      </c>
      <c r="C1128" s="35" t="s">
        <v>655</v>
      </c>
      <c r="D1128" s="39">
        <v>9.1400003433227539</v>
      </c>
      <c r="E1128" s="39">
        <v>6.1960992813110352</v>
      </c>
      <c r="F1128" s="41">
        <v>599865</v>
      </c>
      <c r="G1128" s="35" t="s">
        <v>673</v>
      </c>
      <c r="H1128" s="35" t="s">
        <v>115</v>
      </c>
    </row>
    <row r="1129" spans="1:8">
      <c r="A1129" s="37">
        <v>39878.15625</v>
      </c>
      <c r="B1129" s="35" t="s">
        <v>654</v>
      </c>
      <c r="C1129" s="35" t="s">
        <v>655</v>
      </c>
      <c r="D1129" s="39">
        <v>8.8000001907348633</v>
      </c>
      <c r="E1129" s="39">
        <v>5.9656085968017578</v>
      </c>
      <c r="F1129" s="41">
        <v>304930</v>
      </c>
      <c r="G1129" s="35" t="s">
        <v>673</v>
      </c>
      <c r="H1129" s="35" t="s">
        <v>115</v>
      </c>
    </row>
    <row r="1130" spans="1:8">
      <c r="A1130" s="37">
        <v>39881.15625</v>
      </c>
      <c r="B1130" s="35" t="s">
        <v>654</v>
      </c>
      <c r="C1130" s="35" t="s">
        <v>655</v>
      </c>
      <c r="D1130" s="39">
        <v>8.6899995803833008</v>
      </c>
      <c r="E1130" s="39">
        <v>5.8910374641418457</v>
      </c>
      <c r="F1130" s="41">
        <v>345690</v>
      </c>
      <c r="G1130" s="35" t="s">
        <v>673</v>
      </c>
      <c r="H1130" s="35" t="s">
        <v>115</v>
      </c>
    </row>
    <row r="1131" spans="1:8">
      <c r="A1131" s="37">
        <v>39884.15625</v>
      </c>
      <c r="B1131" s="35" t="s">
        <v>654</v>
      </c>
      <c r="C1131" s="35" t="s">
        <v>655</v>
      </c>
      <c r="D1131" s="39">
        <v>8.6999998092651367</v>
      </c>
      <c r="E1131" s="39">
        <v>5.8978190422058105</v>
      </c>
      <c r="F1131" s="41">
        <v>126130</v>
      </c>
      <c r="G1131" s="35" t="s">
        <v>673</v>
      </c>
      <c r="H1131" s="35" t="s">
        <v>115</v>
      </c>
    </row>
    <row r="1132" spans="1:8">
      <c r="A1132" s="37">
        <v>39885.15625</v>
      </c>
      <c r="B1132" s="35" t="s">
        <v>654</v>
      </c>
      <c r="C1132" s="35" t="s">
        <v>655</v>
      </c>
      <c r="D1132" s="39">
        <v>8.6599998474121094</v>
      </c>
      <c r="E1132" s="39">
        <v>5.8707013130187988</v>
      </c>
      <c r="F1132" s="41">
        <v>1953675</v>
      </c>
      <c r="G1132" s="35" t="s">
        <v>673</v>
      </c>
      <c r="H1132" s="35" t="s">
        <v>115</v>
      </c>
    </row>
    <row r="1133" spans="1:8">
      <c r="A1133" s="37">
        <v>39888.15625</v>
      </c>
      <c r="B1133" s="35" t="s">
        <v>654</v>
      </c>
      <c r="C1133" s="35" t="s">
        <v>655</v>
      </c>
      <c r="D1133" s="39">
        <v>9.1899995803833008</v>
      </c>
      <c r="E1133" s="39">
        <v>6.2299947738647461</v>
      </c>
      <c r="F1133" s="41">
        <v>1050140</v>
      </c>
      <c r="G1133" s="35" t="s">
        <v>673</v>
      </c>
      <c r="H1133" s="35" t="s">
        <v>115</v>
      </c>
    </row>
    <row r="1134" spans="1:8">
      <c r="A1134" s="37">
        <v>39889.15625</v>
      </c>
      <c r="B1134" s="35" t="s">
        <v>654</v>
      </c>
      <c r="C1134" s="35" t="s">
        <v>655</v>
      </c>
      <c r="D1134" s="39">
        <v>9.1999998092651367</v>
      </c>
      <c r="E1134" s="39">
        <v>6.2367730140686035</v>
      </c>
      <c r="F1134" s="41">
        <v>501655</v>
      </c>
      <c r="G1134" s="35" t="s">
        <v>673</v>
      </c>
      <c r="H1134" s="35" t="s">
        <v>115</v>
      </c>
    </row>
    <row r="1135" spans="1:8">
      <c r="A1135" s="37">
        <v>39890.15625</v>
      </c>
      <c r="B1135" s="35" t="s">
        <v>654</v>
      </c>
      <c r="C1135" s="35" t="s">
        <v>655</v>
      </c>
      <c r="D1135" s="39">
        <v>10.020000457763672</v>
      </c>
      <c r="E1135" s="39">
        <v>6.7926602363586426</v>
      </c>
      <c r="F1135" s="41">
        <v>1246540</v>
      </c>
      <c r="G1135" s="35" t="s">
        <v>673</v>
      </c>
      <c r="H1135" s="35" t="s">
        <v>115</v>
      </c>
    </row>
    <row r="1136" spans="1:8">
      <c r="A1136" s="37">
        <v>39891.15625</v>
      </c>
      <c r="B1136" s="35" t="s">
        <v>654</v>
      </c>
      <c r="C1136" s="35" t="s">
        <v>655</v>
      </c>
      <c r="D1136" s="39">
        <v>10.470000267028809</v>
      </c>
      <c r="E1136" s="39">
        <v>7.097719669342041</v>
      </c>
      <c r="F1136" s="41">
        <v>4188490</v>
      </c>
      <c r="G1136" s="35" t="s">
        <v>673</v>
      </c>
      <c r="H1136" s="35" t="s">
        <v>115</v>
      </c>
    </row>
    <row r="1137" spans="1:8">
      <c r="A1137" s="37">
        <v>39892.15625</v>
      </c>
      <c r="B1137" s="35" t="s">
        <v>654</v>
      </c>
      <c r="C1137" s="35" t="s">
        <v>655</v>
      </c>
      <c r="D1137" s="39">
        <v>9.9700002670288086</v>
      </c>
      <c r="E1137" s="39">
        <v>6.7587666511535645</v>
      </c>
      <c r="F1137" s="41">
        <v>525450</v>
      </c>
      <c r="G1137" s="35" t="s">
        <v>673</v>
      </c>
      <c r="H1137" s="35" t="s">
        <v>115</v>
      </c>
    </row>
    <row r="1138" spans="1:8">
      <c r="A1138" s="37">
        <v>39895.15625</v>
      </c>
      <c r="B1138" s="35" t="s">
        <v>654</v>
      </c>
      <c r="C1138" s="35" t="s">
        <v>655</v>
      </c>
      <c r="D1138" s="39">
        <v>10.079999923706055</v>
      </c>
      <c r="E1138" s="39">
        <v>6.8333358764648438</v>
      </c>
      <c r="F1138" s="41">
        <v>788270</v>
      </c>
      <c r="G1138" s="35" t="s">
        <v>673</v>
      </c>
      <c r="H1138" s="35" t="s">
        <v>115</v>
      </c>
    </row>
    <row r="1139" spans="1:8">
      <c r="A1139" s="37">
        <v>39896.15625</v>
      </c>
      <c r="B1139" s="35" t="s">
        <v>654</v>
      </c>
      <c r="C1139" s="35" t="s">
        <v>655</v>
      </c>
      <c r="D1139" s="39">
        <v>10.270000457763672</v>
      </c>
      <c r="E1139" s="39">
        <v>6.9621386528015137</v>
      </c>
      <c r="F1139" s="41">
        <v>999945</v>
      </c>
      <c r="G1139" s="35" t="s">
        <v>673</v>
      </c>
      <c r="H1139" s="35" t="s">
        <v>115</v>
      </c>
    </row>
    <row r="1140" spans="1:8">
      <c r="A1140" s="37">
        <v>39897.15625</v>
      </c>
      <c r="B1140" s="35" t="s">
        <v>654</v>
      </c>
      <c r="C1140" s="35" t="s">
        <v>655</v>
      </c>
      <c r="D1140" s="39">
        <v>10.409999847412109</v>
      </c>
      <c r="E1140" s="39">
        <v>7.0570449829101563</v>
      </c>
      <c r="F1140" s="41">
        <v>801610</v>
      </c>
      <c r="G1140" s="35" t="s">
        <v>673</v>
      </c>
      <c r="H1140" s="35" t="s">
        <v>115</v>
      </c>
    </row>
    <row r="1141" spans="1:8">
      <c r="A1141" s="37">
        <v>39898.15625</v>
      </c>
      <c r="B1141" s="35" t="s">
        <v>654</v>
      </c>
      <c r="C1141" s="35" t="s">
        <v>655</v>
      </c>
      <c r="D1141" s="39">
        <v>10.430000305175781</v>
      </c>
      <c r="E1141" s="39">
        <v>7.0706038475036621</v>
      </c>
      <c r="F1141" s="41">
        <v>1025335</v>
      </c>
      <c r="G1141" s="35" t="s">
        <v>673</v>
      </c>
      <c r="H1141" s="35" t="s">
        <v>115</v>
      </c>
    </row>
    <row r="1142" spans="1:8">
      <c r="A1142" s="37">
        <v>39899.15625</v>
      </c>
      <c r="B1142" s="35" t="s">
        <v>654</v>
      </c>
      <c r="C1142" s="35" t="s">
        <v>655</v>
      </c>
      <c r="D1142" s="39">
        <v>10.619999885559082</v>
      </c>
      <c r="E1142" s="39">
        <v>7.199409008026123</v>
      </c>
      <c r="F1142" s="41">
        <v>448760</v>
      </c>
      <c r="G1142" s="35" t="s">
        <v>673</v>
      </c>
      <c r="H1142" s="35" t="s">
        <v>115</v>
      </c>
    </row>
    <row r="1143" spans="1:8">
      <c r="A1143" s="37">
        <v>39902.15625</v>
      </c>
      <c r="B1143" s="35" t="s">
        <v>654</v>
      </c>
      <c r="C1143" s="35" t="s">
        <v>655</v>
      </c>
      <c r="D1143" s="39">
        <v>10.310000419616699</v>
      </c>
      <c r="E1143" s="39">
        <v>6.989255428314209</v>
      </c>
      <c r="F1143" s="41">
        <v>566085</v>
      </c>
      <c r="G1143" s="35" t="s">
        <v>673</v>
      </c>
      <c r="H1143" s="35" t="s">
        <v>115</v>
      </c>
    </row>
    <row r="1144" spans="1:8">
      <c r="A1144" s="37">
        <v>39903.15625</v>
      </c>
      <c r="B1144" s="35" t="s">
        <v>654</v>
      </c>
      <c r="C1144" s="35" t="s">
        <v>655</v>
      </c>
      <c r="D1144" s="39">
        <v>10.560000419616699</v>
      </c>
      <c r="E1144" s="39">
        <v>7.1587305068969727</v>
      </c>
      <c r="F1144" s="41">
        <v>737990</v>
      </c>
      <c r="G1144" s="35" t="s">
        <v>673</v>
      </c>
      <c r="H1144" s="35" t="s">
        <v>115</v>
      </c>
    </row>
    <row r="1145" spans="1:8">
      <c r="A1145" s="37">
        <v>39904.15625</v>
      </c>
      <c r="B1145" s="35" t="s">
        <v>654</v>
      </c>
      <c r="C1145" s="35" t="s">
        <v>655</v>
      </c>
      <c r="D1145" s="39">
        <v>10.609999656677246</v>
      </c>
      <c r="E1145" s="39">
        <v>7.1926288604736328</v>
      </c>
      <c r="F1145" s="41">
        <v>1300800</v>
      </c>
      <c r="G1145" s="35" t="s">
        <v>674</v>
      </c>
      <c r="H1145" s="35" t="s">
        <v>115</v>
      </c>
    </row>
    <row r="1146" spans="1:8">
      <c r="A1146" s="37">
        <v>39905.15625</v>
      </c>
      <c r="B1146" s="35" t="s">
        <v>654</v>
      </c>
      <c r="C1146" s="35" t="s">
        <v>655</v>
      </c>
      <c r="D1146" s="39">
        <v>10.880000114440918</v>
      </c>
      <c r="E1146" s="39">
        <v>7.3756623268127441</v>
      </c>
      <c r="F1146" s="41">
        <v>1277110</v>
      </c>
      <c r="G1146" s="35" t="s">
        <v>674</v>
      </c>
      <c r="H1146" s="35" t="s">
        <v>115</v>
      </c>
    </row>
    <row r="1147" spans="1:8">
      <c r="A1147" s="37">
        <v>39909.15625</v>
      </c>
      <c r="B1147" s="35" t="s">
        <v>654</v>
      </c>
      <c r="C1147" s="35" t="s">
        <v>655</v>
      </c>
      <c r="D1147" s="39">
        <v>10.899999618530273</v>
      </c>
      <c r="E1147" s="39">
        <v>7.3892221450805664</v>
      </c>
      <c r="F1147" s="41">
        <v>1278255</v>
      </c>
      <c r="G1147" s="35" t="s">
        <v>674</v>
      </c>
      <c r="H1147" s="35" t="s">
        <v>115</v>
      </c>
    </row>
    <row r="1148" spans="1:8">
      <c r="A1148" s="37">
        <v>39911.15625</v>
      </c>
      <c r="B1148" s="35" t="s">
        <v>654</v>
      </c>
      <c r="C1148" s="35" t="s">
        <v>655</v>
      </c>
      <c r="D1148" s="39">
        <v>11.189999580383301</v>
      </c>
      <c r="E1148" s="39">
        <v>7.5858139991760254</v>
      </c>
      <c r="F1148" s="41">
        <v>1935065</v>
      </c>
      <c r="G1148" s="35" t="s">
        <v>674</v>
      </c>
      <c r="H1148" s="35" t="s">
        <v>115</v>
      </c>
    </row>
    <row r="1149" spans="1:8">
      <c r="A1149" s="37">
        <v>39912.15625</v>
      </c>
      <c r="B1149" s="35" t="s">
        <v>654</v>
      </c>
      <c r="C1149" s="35" t="s">
        <v>655</v>
      </c>
      <c r="D1149" s="39">
        <v>12.020000457763672</v>
      </c>
      <c r="E1149" s="39">
        <v>8.1484823226928711</v>
      </c>
      <c r="F1149" s="41">
        <v>2482155</v>
      </c>
      <c r="G1149" s="35" t="s">
        <v>674</v>
      </c>
      <c r="H1149" s="35" t="s">
        <v>115</v>
      </c>
    </row>
    <row r="1150" spans="1:8">
      <c r="A1150" s="37">
        <v>39916.15625</v>
      </c>
      <c r="B1150" s="35" t="s">
        <v>654</v>
      </c>
      <c r="C1150" s="35" t="s">
        <v>655</v>
      </c>
      <c r="D1150" s="39">
        <v>12.659999847412109</v>
      </c>
      <c r="E1150" s="39">
        <v>8.5823450088500977</v>
      </c>
      <c r="F1150" s="41">
        <v>2007570</v>
      </c>
      <c r="G1150" s="35" t="s">
        <v>674</v>
      </c>
      <c r="H1150" s="35" t="s">
        <v>115</v>
      </c>
    </row>
    <row r="1151" spans="1:8">
      <c r="A1151" s="37">
        <v>39918.15625</v>
      </c>
      <c r="B1151" s="35" t="s">
        <v>654</v>
      </c>
      <c r="C1151" s="35" t="s">
        <v>655</v>
      </c>
      <c r="D1151" s="39">
        <v>13.439999580383301</v>
      </c>
      <c r="E1151" s="39">
        <v>9.1111135482788086</v>
      </c>
      <c r="F1151" s="41">
        <v>2223395</v>
      </c>
      <c r="G1151" s="35" t="s">
        <v>674</v>
      </c>
      <c r="H1151" s="35" t="s">
        <v>115</v>
      </c>
    </row>
    <row r="1152" spans="1:8">
      <c r="A1152" s="37">
        <v>39919.15625</v>
      </c>
      <c r="B1152" s="35" t="s">
        <v>654</v>
      </c>
      <c r="C1152" s="35" t="s">
        <v>655</v>
      </c>
      <c r="D1152" s="39">
        <v>13.800000190734863</v>
      </c>
      <c r="E1152" s="39">
        <v>9.355158805847168</v>
      </c>
      <c r="F1152" s="41">
        <v>2149965</v>
      </c>
      <c r="G1152" s="35" t="s">
        <v>674</v>
      </c>
      <c r="H1152" s="35" t="s">
        <v>115</v>
      </c>
    </row>
    <row r="1153" spans="1:8">
      <c r="A1153" s="37">
        <v>39920.15625</v>
      </c>
      <c r="B1153" s="35" t="s">
        <v>654</v>
      </c>
      <c r="C1153" s="35" t="s">
        <v>655</v>
      </c>
      <c r="D1153" s="39">
        <v>14.649999618530273</v>
      </c>
      <c r="E1153" s="39">
        <v>9.9313831329345703</v>
      </c>
      <c r="F1153" s="41">
        <v>2835135</v>
      </c>
      <c r="G1153" s="35" t="s">
        <v>674</v>
      </c>
      <c r="H1153" s="35" t="s">
        <v>115</v>
      </c>
    </row>
    <row r="1154" spans="1:8">
      <c r="A1154" s="37">
        <v>39923.15625</v>
      </c>
      <c r="B1154" s="35" t="s">
        <v>654</v>
      </c>
      <c r="C1154" s="35" t="s">
        <v>655</v>
      </c>
      <c r="D1154" s="39">
        <v>15.25</v>
      </c>
      <c r="E1154" s="39">
        <v>10.338129997253418</v>
      </c>
      <c r="F1154" s="41">
        <v>2315640</v>
      </c>
      <c r="G1154" s="35" t="s">
        <v>674</v>
      </c>
      <c r="H1154" s="35" t="s">
        <v>115</v>
      </c>
    </row>
    <row r="1155" spans="1:8">
      <c r="A1155" s="37">
        <v>39924.15625</v>
      </c>
      <c r="B1155" s="35" t="s">
        <v>654</v>
      </c>
      <c r="C1155" s="35" t="s">
        <v>655</v>
      </c>
      <c r="D1155" s="39">
        <v>14.609999656677246</v>
      </c>
      <c r="E1155" s="39">
        <v>9.9042682647705078</v>
      </c>
      <c r="F1155" s="41">
        <v>744690</v>
      </c>
      <c r="G1155" s="35" t="s">
        <v>674</v>
      </c>
      <c r="H1155" s="35" t="s">
        <v>115</v>
      </c>
    </row>
    <row r="1156" spans="1:8">
      <c r="A1156" s="37">
        <v>39925.15625</v>
      </c>
      <c r="B1156" s="35" t="s">
        <v>654</v>
      </c>
      <c r="C1156" s="35" t="s">
        <v>655</v>
      </c>
      <c r="D1156" s="39">
        <v>13.609999656677246</v>
      </c>
      <c r="E1156" s="39">
        <v>9.2263565063476563</v>
      </c>
      <c r="F1156" s="41">
        <v>690495</v>
      </c>
      <c r="G1156" s="35" t="s">
        <v>674</v>
      </c>
      <c r="H1156" s="35" t="s">
        <v>115</v>
      </c>
    </row>
    <row r="1157" spans="1:8">
      <c r="A1157" s="37">
        <v>39926.15625</v>
      </c>
      <c r="B1157" s="35" t="s">
        <v>654</v>
      </c>
      <c r="C1157" s="35" t="s">
        <v>655</v>
      </c>
      <c r="D1157" s="39">
        <v>13.239999771118164</v>
      </c>
      <c r="E1157" s="39">
        <v>8.9755287170410156</v>
      </c>
      <c r="F1157" s="41">
        <v>750475</v>
      </c>
      <c r="G1157" s="35" t="s">
        <v>674</v>
      </c>
      <c r="H1157" s="35" t="s">
        <v>115</v>
      </c>
    </row>
    <row r="1158" spans="1:8">
      <c r="A1158" s="37">
        <v>39927.15625</v>
      </c>
      <c r="B1158" s="35" t="s">
        <v>654</v>
      </c>
      <c r="C1158" s="35" t="s">
        <v>655</v>
      </c>
      <c r="D1158" s="39">
        <v>13.630000114440918</v>
      </c>
      <c r="E1158" s="39">
        <v>9.2399139404296875</v>
      </c>
      <c r="F1158" s="41">
        <v>416810</v>
      </c>
      <c r="G1158" s="35" t="s">
        <v>674</v>
      </c>
      <c r="H1158" s="35" t="s">
        <v>115</v>
      </c>
    </row>
    <row r="1159" spans="1:8">
      <c r="A1159" s="37">
        <v>39930.15625</v>
      </c>
      <c r="B1159" s="35" t="s">
        <v>654</v>
      </c>
      <c r="C1159" s="35" t="s">
        <v>655</v>
      </c>
      <c r="D1159" s="39">
        <v>14.079999923706055</v>
      </c>
      <c r="E1159" s="39">
        <v>9.5449771881103516</v>
      </c>
      <c r="F1159" s="41">
        <v>884405</v>
      </c>
      <c r="G1159" s="35" t="s">
        <v>674</v>
      </c>
      <c r="H1159" s="35" t="s">
        <v>115</v>
      </c>
    </row>
    <row r="1160" spans="1:8">
      <c r="A1160" s="37">
        <v>39931.15625</v>
      </c>
      <c r="B1160" s="35" t="s">
        <v>654</v>
      </c>
      <c r="C1160" s="35" t="s">
        <v>655</v>
      </c>
      <c r="D1160" s="39">
        <v>13.829999923706055</v>
      </c>
      <c r="E1160" s="39">
        <v>9.3754997253417969</v>
      </c>
      <c r="F1160" s="41">
        <v>541610</v>
      </c>
      <c r="G1160" s="35" t="s">
        <v>674</v>
      </c>
      <c r="H1160" s="35" t="s">
        <v>115</v>
      </c>
    </row>
    <row r="1161" spans="1:8">
      <c r="A1161" s="37">
        <v>39932.15625</v>
      </c>
      <c r="B1161" s="35" t="s">
        <v>654</v>
      </c>
      <c r="C1161" s="35" t="s">
        <v>655</v>
      </c>
      <c r="D1161" s="39">
        <v>13.920000076293945</v>
      </c>
      <c r="E1161" s="39">
        <v>9.4365100860595703</v>
      </c>
      <c r="F1161" s="41">
        <v>587245</v>
      </c>
      <c r="G1161" s="35" t="s">
        <v>674</v>
      </c>
      <c r="H1161" s="35" t="s">
        <v>115</v>
      </c>
    </row>
    <row r="1162" spans="1:8">
      <c r="A1162" s="37">
        <v>39933.15625</v>
      </c>
      <c r="B1162" s="35" t="s">
        <v>654</v>
      </c>
      <c r="C1162" s="35" t="s">
        <v>655</v>
      </c>
      <c r="D1162" s="39">
        <v>13.699999809265137</v>
      </c>
      <c r="E1162" s="39">
        <v>9.2873687744140625</v>
      </c>
      <c r="F1162" s="41">
        <v>0</v>
      </c>
      <c r="G1162" s="35" t="s">
        <v>674</v>
      </c>
      <c r="H1162" s="35" t="s">
        <v>115</v>
      </c>
    </row>
    <row r="1163" spans="1:8">
      <c r="A1163" s="37">
        <v>39937.15625</v>
      </c>
      <c r="B1163" s="35" t="s">
        <v>654</v>
      </c>
      <c r="C1163" s="35" t="s">
        <v>655</v>
      </c>
      <c r="D1163" s="39">
        <v>14.529999732971191</v>
      </c>
      <c r="E1163" s="39">
        <v>9.8500347137451172</v>
      </c>
      <c r="F1163" s="41">
        <v>744075</v>
      </c>
      <c r="G1163" s="35" t="s">
        <v>674</v>
      </c>
      <c r="H1163" s="35" t="s">
        <v>115</v>
      </c>
    </row>
    <row r="1164" spans="1:8">
      <c r="A1164" s="37">
        <v>39938.15625</v>
      </c>
      <c r="B1164" s="35" t="s">
        <v>654</v>
      </c>
      <c r="C1164" s="35" t="s">
        <v>655</v>
      </c>
      <c r="D1164" s="39">
        <v>15.210000038146973</v>
      </c>
      <c r="E1164" s="39">
        <v>10.311013221740723</v>
      </c>
      <c r="F1164" s="41">
        <v>1524160</v>
      </c>
      <c r="G1164" s="35" t="s">
        <v>674</v>
      </c>
      <c r="H1164" s="35" t="s">
        <v>115</v>
      </c>
    </row>
    <row r="1165" spans="1:8">
      <c r="A1165" s="37">
        <v>39939.15625</v>
      </c>
      <c r="B1165" s="35" t="s">
        <v>654</v>
      </c>
      <c r="C1165" s="35" t="s">
        <v>655</v>
      </c>
      <c r="D1165" s="39">
        <v>14.869999885559082</v>
      </c>
      <c r="E1165" s="39">
        <v>10.080525398254395</v>
      </c>
      <c r="F1165" s="41">
        <v>912740</v>
      </c>
      <c r="G1165" s="35" t="s">
        <v>674</v>
      </c>
      <c r="H1165" s="35" t="s">
        <v>115</v>
      </c>
    </row>
    <row r="1166" spans="1:8">
      <c r="A1166" s="37">
        <v>39940.15625</v>
      </c>
      <c r="B1166" s="35" t="s">
        <v>654</v>
      </c>
      <c r="C1166" s="35" t="s">
        <v>655</v>
      </c>
      <c r="D1166" s="39">
        <v>16.129999160766602</v>
      </c>
      <c r="E1166" s="39">
        <v>10.934689521789551</v>
      </c>
      <c r="F1166" s="41">
        <v>5170555</v>
      </c>
      <c r="G1166" s="35" t="s">
        <v>674</v>
      </c>
      <c r="H1166" s="35" t="s">
        <v>115</v>
      </c>
    </row>
    <row r="1167" spans="1:8">
      <c r="A1167" s="37">
        <v>39941.15625</v>
      </c>
      <c r="B1167" s="35" t="s">
        <v>654</v>
      </c>
      <c r="C1167" s="35" t="s">
        <v>655</v>
      </c>
      <c r="D1167" s="39">
        <v>15.390000343322754</v>
      </c>
      <c r="E1167" s="39">
        <v>10.433037757873535</v>
      </c>
      <c r="F1167" s="41">
        <v>1207085</v>
      </c>
      <c r="G1167" s="35" t="s">
        <v>674</v>
      </c>
      <c r="H1167" s="35" t="s">
        <v>115</v>
      </c>
    </row>
    <row r="1168" spans="1:8">
      <c r="A1168" s="37">
        <v>39944.15625</v>
      </c>
      <c r="B1168" s="35" t="s">
        <v>654</v>
      </c>
      <c r="C1168" s="35" t="s">
        <v>655</v>
      </c>
      <c r="D1168" s="39">
        <v>15.270000457763672</v>
      </c>
      <c r="E1168" s="39">
        <v>10.351687431335449</v>
      </c>
      <c r="F1168" s="41">
        <v>657250</v>
      </c>
      <c r="G1168" s="35" t="s">
        <v>674</v>
      </c>
      <c r="H1168" s="35" t="s">
        <v>115</v>
      </c>
    </row>
    <row r="1169" spans="1:8">
      <c r="A1169" s="37">
        <v>39945.15625</v>
      </c>
      <c r="B1169" s="35" t="s">
        <v>654</v>
      </c>
      <c r="C1169" s="35" t="s">
        <v>655</v>
      </c>
      <c r="D1169" s="39">
        <v>16.059999465942383</v>
      </c>
      <c r="E1169" s="39">
        <v>10.887240409851074</v>
      </c>
      <c r="F1169" s="41">
        <v>1187065</v>
      </c>
      <c r="G1169" s="35" t="s">
        <v>674</v>
      </c>
      <c r="H1169" s="35" t="s">
        <v>115</v>
      </c>
    </row>
    <row r="1170" spans="1:8">
      <c r="A1170" s="37">
        <v>39946.15625</v>
      </c>
      <c r="B1170" s="35" t="s">
        <v>654</v>
      </c>
      <c r="C1170" s="35" t="s">
        <v>655</v>
      </c>
      <c r="D1170" s="39">
        <v>15.439999580383301</v>
      </c>
      <c r="E1170" s="39">
        <v>10.466933250427246</v>
      </c>
      <c r="F1170" s="41">
        <v>677855</v>
      </c>
      <c r="G1170" s="35" t="s">
        <v>674</v>
      </c>
      <c r="H1170" s="35" t="s">
        <v>115</v>
      </c>
    </row>
    <row r="1171" spans="1:8">
      <c r="A1171" s="37">
        <v>39947.15625</v>
      </c>
      <c r="B1171" s="35" t="s">
        <v>654</v>
      </c>
      <c r="C1171" s="35" t="s">
        <v>655</v>
      </c>
      <c r="D1171" s="39">
        <v>15.930000305175781</v>
      </c>
      <c r="E1171" s="39">
        <v>10.799111366271973</v>
      </c>
      <c r="F1171" s="41">
        <v>665275</v>
      </c>
      <c r="G1171" s="35" t="s">
        <v>674</v>
      </c>
      <c r="H1171" s="35" t="s">
        <v>115</v>
      </c>
    </row>
    <row r="1172" spans="1:8">
      <c r="A1172" s="37">
        <v>39948.15625</v>
      </c>
      <c r="B1172" s="35" t="s">
        <v>654</v>
      </c>
      <c r="C1172" s="35" t="s">
        <v>655</v>
      </c>
      <c r="D1172" s="39">
        <v>15.539999961853027</v>
      </c>
      <c r="E1172" s="39">
        <v>10.534722328186035</v>
      </c>
      <c r="F1172" s="41">
        <v>1023060</v>
      </c>
      <c r="G1172" s="35" t="s">
        <v>674</v>
      </c>
      <c r="H1172" s="35" t="s">
        <v>115</v>
      </c>
    </row>
    <row r="1173" spans="1:8">
      <c r="A1173" s="37">
        <v>39951.15625</v>
      </c>
      <c r="B1173" s="35" t="s">
        <v>654</v>
      </c>
      <c r="C1173" s="35" t="s">
        <v>655</v>
      </c>
      <c r="D1173" s="39">
        <v>17.559999465942383</v>
      </c>
      <c r="E1173" s="39">
        <v>11.904101371765137</v>
      </c>
      <c r="F1173" s="41">
        <v>3075</v>
      </c>
      <c r="G1173" s="35" t="s">
        <v>674</v>
      </c>
      <c r="H1173" s="35" t="s">
        <v>115</v>
      </c>
    </row>
    <row r="1174" spans="1:8">
      <c r="A1174" s="37">
        <v>39952.15625</v>
      </c>
      <c r="B1174" s="35" t="s">
        <v>654</v>
      </c>
      <c r="C1174" s="35" t="s">
        <v>655</v>
      </c>
      <c r="D1174" s="39">
        <v>17.010000228881836</v>
      </c>
      <c r="E1174" s="39">
        <v>11.531251907348633</v>
      </c>
      <c r="F1174" s="41">
        <v>1328445</v>
      </c>
      <c r="G1174" s="35" t="s">
        <v>674</v>
      </c>
      <c r="H1174" s="35" t="s">
        <v>115</v>
      </c>
    </row>
    <row r="1175" spans="1:8">
      <c r="A1175" s="37">
        <v>39953.15625</v>
      </c>
      <c r="B1175" s="35" t="s">
        <v>654</v>
      </c>
      <c r="C1175" s="35" t="s">
        <v>655</v>
      </c>
      <c r="D1175" s="39">
        <v>18.510000228881836</v>
      </c>
      <c r="E1175" s="39">
        <v>12.548118591308594</v>
      </c>
      <c r="F1175" s="41">
        <v>1628785</v>
      </c>
      <c r="G1175" s="35" t="s">
        <v>674</v>
      </c>
      <c r="H1175" s="35" t="s">
        <v>115</v>
      </c>
    </row>
    <row r="1176" spans="1:8">
      <c r="A1176" s="37">
        <v>39954.15625</v>
      </c>
      <c r="B1176" s="35" t="s">
        <v>654</v>
      </c>
      <c r="C1176" s="35" t="s">
        <v>655</v>
      </c>
      <c r="D1176" s="39">
        <v>19.280000686645508</v>
      </c>
      <c r="E1176" s="39">
        <v>13.070108413696289</v>
      </c>
      <c r="F1176" s="41">
        <v>2965815</v>
      </c>
      <c r="G1176" s="35" t="s">
        <v>674</v>
      </c>
      <c r="H1176" s="35" t="s">
        <v>115</v>
      </c>
    </row>
    <row r="1177" spans="1:8">
      <c r="A1177" s="37">
        <v>39955.15625</v>
      </c>
      <c r="B1177" s="35" t="s">
        <v>654</v>
      </c>
      <c r="C1177" s="35" t="s">
        <v>655</v>
      </c>
      <c r="D1177" s="39">
        <v>20.549999237060547</v>
      </c>
      <c r="E1177" s="39">
        <v>13.931052207946777</v>
      </c>
      <c r="F1177" s="41">
        <v>3950320</v>
      </c>
      <c r="G1177" s="35" t="s">
        <v>674</v>
      </c>
      <c r="H1177" s="35" t="s">
        <v>115</v>
      </c>
    </row>
    <row r="1178" spans="1:8">
      <c r="A1178" s="37">
        <v>39958.15625</v>
      </c>
      <c r="B1178" s="35" t="s">
        <v>654</v>
      </c>
      <c r="C1178" s="35" t="s">
        <v>655</v>
      </c>
      <c r="D1178" s="39">
        <v>21.409999847412109</v>
      </c>
      <c r="E1178" s="39">
        <v>14.514056205749512</v>
      </c>
      <c r="F1178" s="41">
        <v>2014305</v>
      </c>
      <c r="G1178" s="35" t="s">
        <v>674</v>
      </c>
      <c r="H1178" s="35" t="s">
        <v>115</v>
      </c>
    </row>
    <row r="1179" spans="1:8">
      <c r="A1179" s="37">
        <v>39959.15625</v>
      </c>
      <c r="B1179" s="35" t="s">
        <v>654</v>
      </c>
      <c r="C1179" s="35" t="s">
        <v>655</v>
      </c>
      <c r="D1179" s="39">
        <v>20.780000686645508</v>
      </c>
      <c r="E1179" s="39">
        <v>14.086978912353516</v>
      </c>
      <c r="F1179" s="41">
        <v>3557105</v>
      </c>
      <c r="G1179" s="35" t="s">
        <v>674</v>
      </c>
      <c r="H1179" s="35" t="s">
        <v>115</v>
      </c>
    </row>
    <row r="1180" spans="1:8">
      <c r="A1180" s="37">
        <v>39960.15625</v>
      </c>
      <c r="B1180" s="35" t="s">
        <v>654</v>
      </c>
      <c r="C1180" s="35" t="s">
        <v>655</v>
      </c>
      <c r="D1180" s="39">
        <v>21.170000076293945</v>
      </c>
      <c r="E1180" s="39">
        <v>14.351357460021973</v>
      </c>
      <c r="F1180" s="41">
        <v>1896195</v>
      </c>
      <c r="G1180" s="35" t="s">
        <v>674</v>
      </c>
      <c r="H1180" s="35" t="s">
        <v>115</v>
      </c>
    </row>
    <row r="1181" spans="1:8">
      <c r="A1181" s="37">
        <v>39961.15625</v>
      </c>
      <c r="B1181" s="35" t="s">
        <v>654</v>
      </c>
      <c r="C1181" s="35" t="s">
        <v>655</v>
      </c>
      <c r="D1181" s="39">
        <v>21.219999313354492</v>
      </c>
      <c r="E1181" s="39">
        <v>14.385257720947266</v>
      </c>
      <c r="F1181" s="41">
        <v>1232110</v>
      </c>
      <c r="G1181" s="35" t="s">
        <v>674</v>
      </c>
      <c r="H1181" s="35" t="s">
        <v>115</v>
      </c>
    </row>
    <row r="1182" spans="1:8">
      <c r="A1182" s="37">
        <v>39962.15625</v>
      </c>
      <c r="B1182" s="35" t="s">
        <v>654</v>
      </c>
      <c r="C1182" s="35" t="s">
        <v>655</v>
      </c>
      <c r="D1182" s="39">
        <v>21.850000381469727</v>
      </c>
      <c r="E1182" s="39">
        <v>14.812339782714844</v>
      </c>
      <c r="F1182" s="41">
        <v>1541885</v>
      </c>
      <c r="G1182" s="35" t="s">
        <v>674</v>
      </c>
      <c r="H1182" s="35" t="s">
        <v>115</v>
      </c>
    </row>
    <row r="1183" spans="1:8">
      <c r="A1183" s="37">
        <v>39965.15625</v>
      </c>
      <c r="B1183" s="35" t="s">
        <v>654</v>
      </c>
      <c r="C1183" s="35" t="s">
        <v>655</v>
      </c>
      <c r="D1183" s="39">
        <v>21.479999542236328</v>
      </c>
      <c r="E1183" s="39">
        <v>14.561511993408203</v>
      </c>
      <c r="F1183" s="41">
        <v>2142275</v>
      </c>
      <c r="G1183" s="35" t="s">
        <v>674</v>
      </c>
      <c r="H1183" s="35" t="s">
        <v>115</v>
      </c>
    </row>
    <row r="1184" spans="1:8">
      <c r="A1184" s="37">
        <v>39966.15625</v>
      </c>
      <c r="B1184" s="35" t="s">
        <v>654</v>
      </c>
      <c r="C1184" s="35" t="s">
        <v>655</v>
      </c>
      <c r="D1184" s="39">
        <v>21.870000839233398</v>
      </c>
      <c r="E1184" s="39">
        <v>14.825898170471191</v>
      </c>
      <c r="F1184" s="41">
        <v>2912030</v>
      </c>
      <c r="G1184" s="35" t="s">
        <v>674</v>
      </c>
      <c r="H1184" s="35" t="s">
        <v>115</v>
      </c>
    </row>
    <row r="1185" spans="1:8">
      <c r="A1185" s="37">
        <v>39967.15625</v>
      </c>
      <c r="B1185" s="35" t="s">
        <v>654</v>
      </c>
      <c r="C1185" s="35" t="s">
        <v>655</v>
      </c>
      <c r="D1185" s="39">
        <v>21.829999923706055</v>
      </c>
      <c r="E1185" s="39">
        <v>14.79877758026123</v>
      </c>
      <c r="F1185" s="41">
        <v>2311505</v>
      </c>
      <c r="G1185" s="35" t="s">
        <v>674</v>
      </c>
      <c r="H1185" s="35" t="s">
        <v>115</v>
      </c>
    </row>
    <row r="1186" spans="1:8">
      <c r="A1186" s="37">
        <v>39968.15625</v>
      </c>
      <c r="B1186" s="35" t="s">
        <v>654</v>
      </c>
      <c r="C1186" s="35" t="s">
        <v>655</v>
      </c>
      <c r="D1186" s="39">
        <v>21.829999923706055</v>
      </c>
      <c r="E1186" s="39">
        <v>14.79877758026123</v>
      </c>
      <c r="F1186" s="41">
        <v>1963100</v>
      </c>
      <c r="G1186" s="35" t="s">
        <v>674</v>
      </c>
      <c r="H1186" s="35" t="s">
        <v>115</v>
      </c>
    </row>
    <row r="1187" spans="1:8">
      <c r="A1187" s="37">
        <v>39969.15625</v>
      </c>
      <c r="B1187" s="35" t="s">
        <v>654</v>
      </c>
      <c r="C1187" s="35" t="s">
        <v>655</v>
      </c>
      <c r="D1187" s="39">
        <v>21.540000915527344</v>
      </c>
      <c r="E1187" s="39">
        <v>14.60218334197998</v>
      </c>
      <c r="F1187" s="41">
        <v>1530130</v>
      </c>
      <c r="G1187" s="35" t="s">
        <v>674</v>
      </c>
      <c r="H1187" s="35" t="s">
        <v>115</v>
      </c>
    </row>
    <row r="1188" spans="1:8">
      <c r="A1188" s="37">
        <v>39972.15625</v>
      </c>
      <c r="B1188" s="35" t="s">
        <v>654</v>
      </c>
      <c r="C1188" s="35" t="s">
        <v>655</v>
      </c>
      <c r="D1188" s="39">
        <v>21.090000152587891</v>
      </c>
      <c r="E1188" s="39">
        <v>14.297128677368164</v>
      </c>
      <c r="F1188" s="41">
        <v>2276360</v>
      </c>
      <c r="G1188" s="35" t="s">
        <v>674</v>
      </c>
      <c r="H1188" s="35" t="s">
        <v>115</v>
      </c>
    </row>
    <row r="1189" spans="1:8">
      <c r="A1189" s="37">
        <v>39973.15625</v>
      </c>
      <c r="B1189" s="35" t="s">
        <v>654</v>
      </c>
      <c r="C1189" s="35" t="s">
        <v>655</v>
      </c>
      <c r="D1189" s="39">
        <v>21.920000076293945</v>
      </c>
      <c r="E1189" s="39">
        <v>14.859789848327637</v>
      </c>
      <c r="F1189" s="41">
        <v>2725005</v>
      </c>
      <c r="G1189" s="35" t="s">
        <v>674</v>
      </c>
      <c r="H1189" s="35" t="s">
        <v>115</v>
      </c>
    </row>
    <row r="1190" spans="1:8">
      <c r="A1190" s="37">
        <v>39974.15625</v>
      </c>
      <c r="B1190" s="35" t="s">
        <v>654</v>
      </c>
      <c r="C1190" s="35" t="s">
        <v>655</v>
      </c>
      <c r="D1190" s="39">
        <v>22.180000305175781</v>
      </c>
      <c r="E1190" s="39">
        <v>15.036049842834473</v>
      </c>
      <c r="F1190" s="41">
        <v>2790615</v>
      </c>
      <c r="G1190" s="35" t="s">
        <v>674</v>
      </c>
      <c r="H1190" s="35" t="s">
        <v>115</v>
      </c>
    </row>
    <row r="1191" spans="1:8">
      <c r="A1191" s="37">
        <v>39975.15625</v>
      </c>
      <c r="B1191" s="35" t="s">
        <v>654</v>
      </c>
      <c r="C1191" s="35" t="s">
        <v>655</v>
      </c>
      <c r="D1191" s="39">
        <v>21.920000076293945</v>
      </c>
      <c r="E1191" s="39">
        <v>14.859789848327637</v>
      </c>
      <c r="F1191" s="41">
        <v>1959100</v>
      </c>
      <c r="G1191" s="35" t="s">
        <v>674</v>
      </c>
      <c r="H1191" s="35" t="s">
        <v>115</v>
      </c>
    </row>
    <row r="1192" spans="1:8">
      <c r="A1192" s="37">
        <v>39976.15625</v>
      </c>
      <c r="B1192" s="35" t="s">
        <v>654</v>
      </c>
      <c r="C1192" s="35" t="s">
        <v>655</v>
      </c>
      <c r="D1192" s="39">
        <v>21.170000076293945</v>
      </c>
      <c r="E1192" s="39">
        <v>14.351357460021973</v>
      </c>
      <c r="F1192" s="41">
        <v>6808410</v>
      </c>
      <c r="G1192" s="35" t="s">
        <v>674</v>
      </c>
      <c r="H1192" s="35" t="s">
        <v>115</v>
      </c>
    </row>
    <row r="1193" spans="1:8">
      <c r="A1193" s="37">
        <v>39979.15625</v>
      </c>
      <c r="B1193" s="35" t="s">
        <v>654</v>
      </c>
      <c r="C1193" s="35" t="s">
        <v>655</v>
      </c>
      <c r="D1193" s="39">
        <v>20.149999618530273</v>
      </c>
      <c r="E1193" s="39">
        <v>13.659889221191406</v>
      </c>
      <c r="F1193" s="41">
        <v>1708820</v>
      </c>
      <c r="G1193" s="35" t="s">
        <v>674</v>
      </c>
      <c r="H1193" s="35" t="s">
        <v>115</v>
      </c>
    </row>
    <row r="1194" spans="1:8">
      <c r="A1194" s="37">
        <v>39980.15625</v>
      </c>
      <c r="B1194" s="35" t="s">
        <v>654</v>
      </c>
      <c r="C1194" s="35" t="s">
        <v>655</v>
      </c>
      <c r="D1194" s="39">
        <v>20.290000915527344</v>
      </c>
      <c r="E1194" s="39">
        <v>13.754795074462891</v>
      </c>
      <c r="F1194" s="41">
        <v>1834115</v>
      </c>
      <c r="G1194" s="35" t="s">
        <v>674</v>
      </c>
      <c r="H1194" s="35" t="s">
        <v>115</v>
      </c>
    </row>
    <row r="1195" spans="1:8">
      <c r="A1195" s="37">
        <v>39981.15625</v>
      </c>
      <c r="B1195" s="35" t="s">
        <v>654</v>
      </c>
      <c r="C1195" s="35" t="s">
        <v>655</v>
      </c>
      <c r="D1195" s="39">
        <v>19.770000457763672</v>
      </c>
      <c r="E1195" s="39">
        <v>13.402283668518066</v>
      </c>
      <c r="F1195" s="41">
        <v>1318710</v>
      </c>
      <c r="G1195" s="35" t="s">
        <v>674</v>
      </c>
      <c r="H1195" s="35" t="s">
        <v>115</v>
      </c>
    </row>
    <row r="1196" spans="1:8">
      <c r="A1196" s="37">
        <v>39982.15625</v>
      </c>
      <c r="B1196" s="35" t="s">
        <v>654</v>
      </c>
      <c r="C1196" s="35" t="s">
        <v>655</v>
      </c>
      <c r="D1196" s="39">
        <v>18.819999694824219</v>
      </c>
      <c r="E1196" s="39">
        <v>12.758270263671875</v>
      </c>
      <c r="F1196" s="41">
        <v>1558215</v>
      </c>
      <c r="G1196" s="35" t="s">
        <v>674</v>
      </c>
      <c r="H1196" s="35" t="s">
        <v>115</v>
      </c>
    </row>
    <row r="1197" spans="1:8">
      <c r="A1197" s="37">
        <v>39983.15625</v>
      </c>
      <c r="B1197" s="35" t="s">
        <v>654</v>
      </c>
      <c r="C1197" s="35" t="s">
        <v>655</v>
      </c>
      <c r="D1197" s="39">
        <v>19.139999389648438</v>
      </c>
      <c r="E1197" s="39">
        <v>12.975204467773438</v>
      </c>
      <c r="F1197" s="41">
        <v>1284695</v>
      </c>
      <c r="G1197" s="35" t="s">
        <v>674</v>
      </c>
      <c r="H1197" s="35" t="s">
        <v>115</v>
      </c>
    </row>
    <row r="1198" spans="1:8">
      <c r="A1198" s="37">
        <v>39986.15625</v>
      </c>
      <c r="B1198" s="35" t="s">
        <v>654</v>
      </c>
      <c r="C1198" s="35" t="s">
        <v>655</v>
      </c>
      <c r="D1198" s="39">
        <v>19.280000686645508</v>
      </c>
      <c r="E1198" s="39">
        <v>13.070108413696289</v>
      </c>
      <c r="F1198" s="41">
        <v>1052205</v>
      </c>
      <c r="G1198" s="35" t="s">
        <v>674</v>
      </c>
      <c r="H1198" s="35" t="s">
        <v>115</v>
      </c>
    </row>
    <row r="1199" spans="1:8">
      <c r="A1199" s="37">
        <v>39987.15625</v>
      </c>
      <c r="B1199" s="35" t="s">
        <v>654</v>
      </c>
      <c r="C1199" s="35" t="s">
        <v>655</v>
      </c>
      <c r="D1199" s="39">
        <v>19.370000839233398</v>
      </c>
      <c r="E1199" s="39">
        <v>13.131117820739746</v>
      </c>
      <c r="F1199" s="41">
        <v>697795</v>
      </c>
      <c r="G1199" s="35" t="s">
        <v>674</v>
      </c>
      <c r="H1199" s="35" t="s">
        <v>115</v>
      </c>
    </row>
    <row r="1200" spans="1:8">
      <c r="A1200" s="37">
        <v>39988.15625</v>
      </c>
      <c r="B1200" s="35" t="s">
        <v>654</v>
      </c>
      <c r="C1200" s="35" t="s">
        <v>655</v>
      </c>
      <c r="D1200" s="39">
        <v>19.979999542236328</v>
      </c>
      <c r="E1200" s="39">
        <v>13.544644355773926</v>
      </c>
      <c r="F1200" s="41">
        <v>898040</v>
      </c>
      <c r="G1200" s="35" t="s">
        <v>674</v>
      </c>
      <c r="H1200" s="35" t="s">
        <v>115</v>
      </c>
    </row>
    <row r="1201" spans="1:8">
      <c r="A1201" s="37">
        <v>39989.15625</v>
      </c>
      <c r="B1201" s="35" t="s">
        <v>654</v>
      </c>
      <c r="C1201" s="35" t="s">
        <v>655</v>
      </c>
      <c r="D1201" s="39">
        <v>20.139999389648438</v>
      </c>
      <c r="E1201" s="39">
        <v>13.653112411499023</v>
      </c>
      <c r="F1201" s="41">
        <v>1292100</v>
      </c>
      <c r="G1201" s="35" t="s">
        <v>674</v>
      </c>
      <c r="H1201" s="35" t="s">
        <v>115</v>
      </c>
    </row>
    <row r="1202" spans="1:8">
      <c r="A1202" s="37">
        <v>39990.15625</v>
      </c>
      <c r="B1202" s="35" t="s">
        <v>654</v>
      </c>
      <c r="C1202" s="35" t="s">
        <v>655</v>
      </c>
      <c r="D1202" s="39">
        <v>20.379999160766602</v>
      </c>
      <c r="E1202" s="39">
        <v>13.815807342529297</v>
      </c>
      <c r="F1202" s="41">
        <v>712835</v>
      </c>
      <c r="G1202" s="35" t="s">
        <v>674</v>
      </c>
      <c r="H1202" s="35" t="s">
        <v>115</v>
      </c>
    </row>
    <row r="1203" spans="1:8">
      <c r="A1203" s="37">
        <v>39993.15625</v>
      </c>
      <c r="B1203" s="35" t="s">
        <v>654</v>
      </c>
      <c r="C1203" s="35" t="s">
        <v>655</v>
      </c>
      <c r="D1203" s="39">
        <v>20.610000610351563</v>
      </c>
      <c r="E1203" s="39">
        <v>13.97172737121582</v>
      </c>
      <c r="F1203" s="41">
        <v>537125</v>
      </c>
      <c r="G1203" s="35" t="s">
        <v>674</v>
      </c>
      <c r="H1203" s="35" t="s">
        <v>115</v>
      </c>
    </row>
    <row r="1204" spans="1:8">
      <c r="A1204" s="37">
        <v>39994.15625</v>
      </c>
      <c r="B1204" s="35" t="s">
        <v>654</v>
      </c>
      <c r="C1204" s="35" t="s">
        <v>655</v>
      </c>
      <c r="D1204" s="39">
        <v>20</v>
      </c>
      <c r="E1204" s="39">
        <v>13.558205604553223</v>
      </c>
      <c r="F1204" s="41">
        <v>731215</v>
      </c>
      <c r="G1204" s="35" t="s">
        <v>674</v>
      </c>
      <c r="H1204" s="35" t="s">
        <v>115</v>
      </c>
    </row>
    <row r="1205" spans="1:8">
      <c r="A1205" s="37">
        <v>39995.15625</v>
      </c>
      <c r="B1205" s="35" t="s">
        <v>654</v>
      </c>
      <c r="C1205" s="35" t="s">
        <v>655</v>
      </c>
      <c r="D1205" s="39">
        <v>21.340000152587891</v>
      </c>
      <c r="E1205" s="39">
        <v>14.46660327911377</v>
      </c>
      <c r="F1205" s="41">
        <v>4003000</v>
      </c>
      <c r="G1205" s="35" t="s">
        <v>674</v>
      </c>
      <c r="H1205" s="35" t="s">
        <v>115</v>
      </c>
    </row>
    <row r="1206" spans="1:8">
      <c r="A1206" s="37">
        <v>39996.15625</v>
      </c>
      <c r="B1206" s="35" t="s">
        <v>654</v>
      </c>
      <c r="C1206" s="35" t="s">
        <v>655</v>
      </c>
      <c r="D1206" s="39">
        <v>21.200000762939453</v>
      </c>
      <c r="E1206" s="39">
        <v>14.371694564819336</v>
      </c>
      <c r="F1206" s="41">
        <v>3812995</v>
      </c>
      <c r="G1206" s="35" t="s">
        <v>674</v>
      </c>
      <c r="H1206" s="35" t="s">
        <v>115</v>
      </c>
    </row>
    <row r="1207" spans="1:8">
      <c r="A1207" s="37">
        <v>39997.15625</v>
      </c>
      <c r="B1207" s="35" t="s">
        <v>654</v>
      </c>
      <c r="C1207" s="35" t="s">
        <v>655</v>
      </c>
      <c r="D1207" s="39">
        <v>21.090000152587891</v>
      </c>
      <c r="E1207" s="39">
        <v>14.297128677368164</v>
      </c>
      <c r="F1207" s="41">
        <v>1146135</v>
      </c>
      <c r="G1207" s="35" t="s">
        <v>674</v>
      </c>
      <c r="H1207" s="35" t="s">
        <v>115</v>
      </c>
    </row>
    <row r="1208" spans="1:8">
      <c r="A1208" s="37">
        <v>40000.15625</v>
      </c>
      <c r="B1208" s="35" t="s">
        <v>654</v>
      </c>
      <c r="C1208" s="35" t="s">
        <v>655</v>
      </c>
      <c r="D1208" s="39">
        <v>20.25</v>
      </c>
      <c r="E1208" s="39">
        <v>13.727682113647461</v>
      </c>
      <c r="F1208" s="41">
        <v>1713715</v>
      </c>
      <c r="G1208" s="35" t="s">
        <v>674</v>
      </c>
      <c r="H1208" s="35" t="s">
        <v>115</v>
      </c>
    </row>
    <row r="1209" spans="1:8">
      <c r="A1209" s="37">
        <v>40001.15625</v>
      </c>
      <c r="B1209" s="35" t="s">
        <v>654</v>
      </c>
      <c r="C1209" s="35" t="s">
        <v>655</v>
      </c>
      <c r="D1209" s="39">
        <v>20</v>
      </c>
      <c r="E1209" s="39">
        <v>13.558205604553223</v>
      </c>
      <c r="F1209" s="41">
        <v>851080</v>
      </c>
      <c r="G1209" s="35" t="s">
        <v>674</v>
      </c>
      <c r="H1209" s="35" t="s">
        <v>115</v>
      </c>
    </row>
    <row r="1210" spans="1:8">
      <c r="A1210" s="37">
        <v>40002.15625</v>
      </c>
      <c r="B1210" s="35" t="s">
        <v>654</v>
      </c>
      <c r="C1210" s="35" t="s">
        <v>655</v>
      </c>
      <c r="D1210" s="39">
        <v>19.590000152587891</v>
      </c>
      <c r="E1210" s="39">
        <v>13.280261993408203</v>
      </c>
      <c r="F1210" s="41">
        <v>711105</v>
      </c>
      <c r="G1210" s="35" t="s">
        <v>674</v>
      </c>
      <c r="H1210" s="35" t="s">
        <v>115</v>
      </c>
    </row>
    <row r="1211" spans="1:8">
      <c r="A1211" s="37">
        <v>40003.15625</v>
      </c>
      <c r="B1211" s="35" t="s">
        <v>654</v>
      </c>
      <c r="C1211" s="35" t="s">
        <v>655</v>
      </c>
      <c r="D1211" s="39">
        <v>19.209999084472656</v>
      </c>
      <c r="E1211" s="39">
        <v>13.022651672363281</v>
      </c>
      <c r="F1211" s="41">
        <v>1385865</v>
      </c>
      <c r="G1211" s="35" t="s">
        <v>674</v>
      </c>
      <c r="H1211" s="35" t="s">
        <v>115</v>
      </c>
    </row>
    <row r="1212" spans="1:8">
      <c r="A1212" s="37">
        <v>40004.15625</v>
      </c>
      <c r="B1212" s="35" t="s">
        <v>654</v>
      </c>
      <c r="C1212" s="35" t="s">
        <v>655</v>
      </c>
      <c r="D1212" s="39">
        <v>19.229999542236328</v>
      </c>
      <c r="E1212" s="39">
        <v>13.036211967468262</v>
      </c>
      <c r="F1212" s="41">
        <v>928485</v>
      </c>
      <c r="G1212" s="35" t="s">
        <v>674</v>
      </c>
      <c r="H1212" s="35" t="s">
        <v>115</v>
      </c>
    </row>
    <row r="1213" spans="1:8">
      <c r="A1213" s="37">
        <v>40007.15625</v>
      </c>
      <c r="B1213" s="35" t="s">
        <v>654</v>
      </c>
      <c r="C1213" s="35" t="s">
        <v>655</v>
      </c>
      <c r="D1213" s="39">
        <v>19.020000457763672</v>
      </c>
      <c r="E1213" s="39">
        <v>12.89384937286377</v>
      </c>
      <c r="F1213" s="41">
        <v>851370</v>
      </c>
      <c r="G1213" s="35" t="s">
        <v>674</v>
      </c>
      <c r="H1213" s="35" t="s">
        <v>115</v>
      </c>
    </row>
    <row r="1214" spans="1:8">
      <c r="A1214" s="37">
        <v>40008.15625</v>
      </c>
      <c r="B1214" s="35" t="s">
        <v>654</v>
      </c>
      <c r="C1214" s="35" t="s">
        <v>655</v>
      </c>
      <c r="D1214" s="39">
        <v>19.969999313354492</v>
      </c>
      <c r="E1214" s="39">
        <v>13.53786563873291</v>
      </c>
      <c r="F1214" s="41">
        <v>1021445</v>
      </c>
      <c r="G1214" s="35" t="s">
        <v>674</v>
      </c>
      <c r="H1214" s="35" t="s">
        <v>115</v>
      </c>
    </row>
    <row r="1215" spans="1:8">
      <c r="A1215" s="37">
        <v>40009.15625</v>
      </c>
      <c r="B1215" s="35" t="s">
        <v>654</v>
      </c>
      <c r="C1215" s="35" t="s">
        <v>655</v>
      </c>
      <c r="D1215" s="39">
        <v>21.219999313354492</v>
      </c>
      <c r="E1215" s="39">
        <v>14.385257720947266</v>
      </c>
      <c r="F1215" s="41">
        <v>1440225</v>
      </c>
      <c r="G1215" s="35" t="s">
        <v>674</v>
      </c>
      <c r="H1215" s="35" t="s">
        <v>115</v>
      </c>
    </row>
    <row r="1216" spans="1:8">
      <c r="A1216" s="37">
        <v>40010.15625</v>
      </c>
      <c r="B1216" s="35" t="s">
        <v>654</v>
      </c>
      <c r="C1216" s="35" t="s">
        <v>655</v>
      </c>
      <c r="D1216" s="39">
        <v>21.290000915527344</v>
      </c>
      <c r="E1216" s="39">
        <v>14.432711601257324</v>
      </c>
      <c r="F1216" s="41">
        <v>1908855</v>
      </c>
      <c r="G1216" s="35" t="s">
        <v>674</v>
      </c>
      <c r="H1216" s="35" t="s">
        <v>115</v>
      </c>
    </row>
    <row r="1217" spans="1:8">
      <c r="A1217" s="37">
        <v>40011.15625</v>
      </c>
      <c r="B1217" s="35" t="s">
        <v>654</v>
      </c>
      <c r="C1217" s="35" t="s">
        <v>655</v>
      </c>
      <c r="D1217" s="39">
        <v>20.909999847412109</v>
      </c>
      <c r="E1217" s="39">
        <v>15.096942901611328</v>
      </c>
      <c r="F1217" s="41">
        <v>4330610</v>
      </c>
      <c r="G1217" s="35" t="s">
        <v>674</v>
      </c>
      <c r="H1217" s="35" t="s">
        <v>115</v>
      </c>
    </row>
    <row r="1218" spans="1:8">
      <c r="A1218" s="37">
        <v>40014.15625</v>
      </c>
      <c r="B1218" s="35" t="s">
        <v>654</v>
      </c>
      <c r="C1218" s="35" t="s">
        <v>655</v>
      </c>
      <c r="D1218" s="39">
        <v>21.850000381469727</v>
      </c>
      <c r="E1218" s="39">
        <v>15.775617599487305</v>
      </c>
      <c r="F1218" s="41">
        <v>4308855</v>
      </c>
      <c r="G1218" s="35" t="s">
        <v>674</v>
      </c>
      <c r="H1218" s="35" t="s">
        <v>115</v>
      </c>
    </row>
    <row r="1219" spans="1:8">
      <c r="A1219" s="37">
        <v>40015.15625</v>
      </c>
      <c r="B1219" s="35" t="s">
        <v>654</v>
      </c>
      <c r="C1219" s="35" t="s">
        <v>655</v>
      </c>
      <c r="D1219" s="39">
        <v>21.909999847412109</v>
      </c>
      <c r="E1219" s="39">
        <v>15.818943023681641</v>
      </c>
      <c r="F1219" s="41">
        <v>1892755</v>
      </c>
      <c r="G1219" s="35" t="s">
        <v>674</v>
      </c>
      <c r="H1219" s="35" t="s">
        <v>115</v>
      </c>
    </row>
    <row r="1220" spans="1:8">
      <c r="A1220" s="37">
        <v>40016.15625</v>
      </c>
      <c r="B1220" s="35" t="s">
        <v>654</v>
      </c>
      <c r="C1220" s="35" t="s">
        <v>655</v>
      </c>
      <c r="D1220" s="39">
        <v>21.530000686645508</v>
      </c>
      <c r="E1220" s="39">
        <v>15.544581413269043</v>
      </c>
      <c r="F1220" s="41">
        <v>1269075</v>
      </c>
      <c r="G1220" s="35" t="s">
        <v>674</v>
      </c>
      <c r="H1220" s="35" t="s">
        <v>115</v>
      </c>
    </row>
    <row r="1221" spans="1:8">
      <c r="A1221" s="37">
        <v>40017.15625</v>
      </c>
      <c r="B1221" s="35" t="s">
        <v>654</v>
      </c>
      <c r="C1221" s="35" t="s">
        <v>655</v>
      </c>
      <c r="D1221" s="39">
        <v>21.700000762939453</v>
      </c>
      <c r="E1221" s="39">
        <v>15.667319297790527</v>
      </c>
      <c r="F1221" s="41">
        <v>695480</v>
      </c>
      <c r="G1221" s="35" t="s">
        <v>674</v>
      </c>
      <c r="H1221" s="35" t="s">
        <v>115</v>
      </c>
    </row>
    <row r="1222" spans="1:8">
      <c r="A1222" s="37">
        <v>40018.15625</v>
      </c>
      <c r="B1222" s="35" t="s">
        <v>654</v>
      </c>
      <c r="C1222" s="35" t="s">
        <v>655</v>
      </c>
      <c r="D1222" s="39">
        <v>22.090000152587891</v>
      </c>
      <c r="E1222" s="39">
        <v>15.948899269104004</v>
      </c>
      <c r="F1222" s="41">
        <v>1347695</v>
      </c>
      <c r="G1222" s="35" t="s">
        <v>674</v>
      </c>
      <c r="H1222" s="35" t="s">
        <v>115</v>
      </c>
    </row>
    <row r="1223" spans="1:8">
      <c r="A1223" s="37">
        <v>40021.15625</v>
      </c>
      <c r="B1223" s="35" t="s">
        <v>654</v>
      </c>
      <c r="C1223" s="35" t="s">
        <v>655</v>
      </c>
      <c r="D1223" s="39">
        <v>22.110000610351563</v>
      </c>
      <c r="E1223" s="39">
        <v>15.963340759277344</v>
      </c>
      <c r="F1223" s="41">
        <v>1913555</v>
      </c>
      <c r="G1223" s="35" t="s">
        <v>674</v>
      </c>
      <c r="H1223" s="35" t="s">
        <v>115</v>
      </c>
    </row>
    <row r="1224" spans="1:8">
      <c r="A1224" s="37">
        <v>40022.15625</v>
      </c>
      <c r="B1224" s="35" t="s">
        <v>654</v>
      </c>
      <c r="C1224" s="35" t="s">
        <v>655</v>
      </c>
      <c r="D1224" s="39">
        <v>21.829999923706055</v>
      </c>
      <c r="E1224" s="39">
        <v>15.761181831359863</v>
      </c>
      <c r="F1224" s="41">
        <v>943420</v>
      </c>
      <c r="G1224" s="35" t="s">
        <v>674</v>
      </c>
      <c r="H1224" s="35" t="s">
        <v>115</v>
      </c>
    </row>
    <row r="1225" spans="1:8">
      <c r="A1225" s="37">
        <v>40023.15625</v>
      </c>
      <c r="B1225" s="35" t="s">
        <v>654</v>
      </c>
      <c r="C1225" s="35" t="s">
        <v>655</v>
      </c>
      <c r="D1225" s="39">
        <v>19.530000686645508</v>
      </c>
      <c r="E1225" s="39">
        <v>14.100588798522949</v>
      </c>
      <c r="F1225" s="41">
        <v>5370690</v>
      </c>
      <c r="G1225" s="35" t="s">
        <v>674</v>
      </c>
      <c r="H1225" s="35" t="s">
        <v>115</v>
      </c>
    </row>
    <row r="1226" spans="1:8">
      <c r="A1226" s="37">
        <v>40024.15625</v>
      </c>
      <c r="B1226" s="35" t="s">
        <v>654</v>
      </c>
      <c r="C1226" s="35" t="s">
        <v>655</v>
      </c>
      <c r="D1226" s="39">
        <v>19.790000915527344</v>
      </c>
      <c r="E1226" s="39">
        <v>14.288308143615723</v>
      </c>
      <c r="F1226" s="41">
        <v>4306605</v>
      </c>
      <c r="G1226" s="35" t="s">
        <v>674</v>
      </c>
      <c r="H1226" s="35" t="s">
        <v>115</v>
      </c>
    </row>
    <row r="1227" spans="1:8">
      <c r="A1227" s="37">
        <v>40025.15625</v>
      </c>
      <c r="B1227" s="35" t="s">
        <v>654</v>
      </c>
      <c r="C1227" s="35" t="s">
        <v>655</v>
      </c>
      <c r="D1227" s="39">
        <v>20.049999237060547</v>
      </c>
      <c r="E1227" s="39">
        <v>14.476022720336914</v>
      </c>
      <c r="F1227" s="41">
        <v>1977465</v>
      </c>
      <c r="G1227" s="35" t="s">
        <v>674</v>
      </c>
      <c r="H1227" s="35" t="s">
        <v>115</v>
      </c>
    </row>
    <row r="1228" spans="1:8">
      <c r="A1228" s="37">
        <v>40028.15625</v>
      </c>
      <c r="B1228" s="35" t="s">
        <v>654</v>
      </c>
      <c r="C1228" s="35" t="s">
        <v>655</v>
      </c>
      <c r="D1228" s="39">
        <v>20.399999618530273</v>
      </c>
      <c r="E1228" s="39">
        <v>14.728729248046875</v>
      </c>
      <c r="F1228" s="41">
        <v>1180030</v>
      </c>
      <c r="G1228" s="35" t="s">
        <v>674</v>
      </c>
      <c r="H1228" s="35" t="s">
        <v>115</v>
      </c>
    </row>
    <row r="1229" spans="1:8">
      <c r="A1229" s="37">
        <v>40029.15625</v>
      </c>
      <c r="B1229" s="35" t="s">
        <v>654</v>
      </c>
      <c r="C1229" s="35" t="s">
        <v>655</v>
      </c>
      <c r="D1229" s="39">
        <v>21.110000610351563</v>
      </c>
      <c r="E1229" s="39">
        <v>15.241339683532715</v>
      </c>
      <c r="F1229" s="41">
        <v>2765915</v>
      </c>
      <c r="G1229" s="35" t="s">
        <v>674</v>
      </c>
      <c r="H1229" s="35" t="s">
        <v>115</v>
      </c>
    </row>
    <row r="1230" spans="1:8">
      <c r="A1230" s="37">
        <v>40030.15625</v>
      </c>
      <c r="B1230" s="35" t="s">
        <v>654</v>
      </c>
      <c r="C1230" s="35" t="s">
        <v>655</v>
      </c>
      <c r="D1230" s="39">
        <v>21.180000305175781</v>
      </c>
      <c r="E1230" s="39">
        <v>15.291886329650879</v>
      </c>
      <c r="F1230" s="41">
        <v>1379930</v>
      </c>
      <c r="G1230" s="35" t="s">
        <v>674</v>
      </c>
      <c r="H1230" s="35" t="s">
        <v>115</v>
      </c>
    </row>
    <row r="1231" spans="1:8">
      <c r="A1231" s="37">
        <v>40031.15625</v>
      </c>
      <c r="B1231" s="35" t="s">
        <v>654</v>
      </c>
      <c r="C1231" s="35" t="s">
        <v>655</v>
      </c>
      <c r="D1231" s="39">
        <v>21.280000686645508</v>
      </c>
      <c r="E1231" s="39">
        <v>15.364083290100098</v>
      </c>
      <c r="F1231" s="41">
        <v>2517790</v>
      </c>
      <c r="G1231" s="35" t="s">
        <v>674</v>
      </c>
      <c r="H1231" s="35" t="s">
        <v>115</v>
      </c>
    </row>
    <row r="1232" spans="1:8">
      <c r="A1232" s="37">
        <v>40032.15625</v>
      </c>
      <c r="B1232" s="35" t="s">
        <v>654</v>
      </c>
      <c r="C1232" s="35" t="s">
        <v>655</v>
      </c>
      <c r="D1232" s="39">
        <v>20.950000762939453</v>
      </c>
      <c r="E1232" s="39">
        <v>15.125825881958008</v>
      </c>
      <c r="F1232" s="41">
        <v>1459630</v>
      </c>
      <c r="G1232" s="35" t="s">
        <v>674</v>
      </c>
      <c r="H1232" s="35" t="s">
        <v>115</v>
      </c>
    </row>
    <row r="1233" spans="1:8">
      <c r="A1233" s="37">
        <v>40035.15625</v>
      </c>
      <c r="B1233" s="35" t="s">
        <v>654</v>
      </c>
      <c r="C1233" s="35" t="s">
        <v>655</v>
      </c>
      <c r="D1233" s="39">
        <v>21</v>
      </c>
      <c r="E1233" s="39">
        <v>15.16192626953125</v>
      </c>
      <c r="F1233" s="41">
        <v>619785</v>
      </c>
      <c r="G1233" s="35" t="s">
        <v>674</v>
      </c>
      <c r="H1233" s="35" t="s">
        <v>115</v>
      </c>
    </row>
    <row r="1234" spans="1:8">
      <c r="A1234" s="37">
        <v>40036.15625</v>
      </c>
      <c r="B1234" s="35" t="s">
        <v>654</v>
      </c>
      <c r="C1234" s="35" t="s">
        <v>655</v>
      </c>
      <c r="D1234" s="39">
        <v>20.840000152587891</v>
      </c>
      <c r="E1234" s="39">
        <v>15.046406745910645</v>
      </c>
      <c r="F1234" s="41">
        <v>481945</v>
      </c>
      <c r="G1234" s="35" t="s">
        <v>674</v>
      </c>
      <c r="H1234" s="35" t="s">
        <v>115</v>
      </c>
    </row>
    <row r="1235" spans="1:8">
      <c r="A1235" s="37">
        <v>40037.15625</v>
      </c>
      <c r="B1235" s="35" t="s">
        <v>654</v>
      </c>
      <c r="C1235" s="35" t="s">
        <v>655</v>
      </c>
      <c r="D1235" s="39">
        <v>20.860000610351563</v>
      </c>
      <c r="E1235" s="39">
        <v>15.060842514038086</v>
      </c>
      <c r="F1235" s="41">
        <v>505855</v>
      </c>
      <c r="G1235" s="35" t="s">
        <v>674</v>
      </c>
      <c r="H1235" s="35" t="s">
        <v>115</v>
      </c>
    </row>
    <row r="1236" spans="1:8">
      <c r="A1236" s="37">
        <v>40038.15625</v>
      </c>
      <c r="B1236" s="35" t="s">
        <v>654</v>
      </c>
      <c r="C1236" s="35" t="s">
        <v>655</v>
      </c>
      <c r="D1236" s="39">
        <v>21.170000076293945</v>
      </c>
      <c r="E1236" s="39">
        <v>15.284662246704102</v>
      </c>
      <c r="F1236" s="41">
        <v>1062465</v>
      </c>
      <c r="G1236" s="35" t="s">
        <v>674</v>
      </c>
      <c r="H1236" s="35" t="s">
        <v>115</v>
      </c>
    </row>
    <row r="1237" spans="1:8">
      <c r="A1237" s="37">
        <v>40039.15625</v>
      </c>
      <c r="B1237" s="35" t="s">
        <v>654</v>
      </c>
      <c r="C1237" s="35" t="s">
        <v>655</v>
      </c>
      <c r="D1237" s="39">
        <v>25.409999847412109</v>
      </c>
      <c r="E1237" s="39">
        <v>18.345930099487305</v>
      </c>
      <c r="F1237" s="41">
        <v>29734060</v>
      </c>
      <c r="G1237" s="35" t="s">
        <v>674</v>
      </c>
      <c r="H1237" s="35" t="s">
        <v>115</v>
      </c>
    </row>
    <row r="1238" spans="1:8">
      <c r="A1238" s="37">
        <v>40042.15625</v>
      </c>
      <c r="B1238" s="35" t="s">
        <v>654</v>
      </c>
      <c r="C1238" s="35" t="s">
        <v>655</v>
      </c>
      <c r="D1238" s="39">
        <v>26.069999694824219</v>
      </c>
      <c r="E1238" s="39">
        <v>18.822443008422852</v>
      </c>
      <c r="F1238" s="41">
        <v>60173015</v>
      </c>
      <c r="G1238" s="35" t="s">
        <v>674</v>
      </c>
      <c r="H1238" s="35" t="s">
        <v>115</v>
      </c>
    </row>
    <row r="1239" spans="1:8">
      <c r="A1239" s="37">
        <v>40043.15625</v>
      </c>
      <c r="B1239" s="35" t="s">
        <v>654</v>
      </c>
      <c r="C1239" s="35" t="s">
        <v>655</v>
      </c>
      <c r="D1239" s="39">
        <v>26.799999237060547</v>
      </c>
      <c r="E1239" s="39">
        <v>19.349502563476563</v>
      </c>
      <c r="F1239" s="41">
        <v>28315755</v>
      </c>
      <c r="G1239" s="35" t="s">
        <v>674</v>
      </c>
      <c r="H1239" s="35" t="s">
        <v>115</v>
      </c>
    </row>
    <row r="1240" spans="1:8">
      <c r="A1240" s="37">
        <v>40044.15625</v>
      </c>
      <c r="B1240" s="35" t="s">
        <v>654</v>
      </c>
      <c r="C1240" s="35" t="s">
        <v>655</v>
      </c>
      <c r="D1240" s="39">
        <v>26.299999237060547</v>
      </c>
      <c r="E1240" s="39">
        <v>18.988502502441406</v>
      </c>
      <c r="F1240" s="41">
        <v>9008095</v>
      </c>
      <c r="G1240" s="35" t="s">
        <v>674</v>
      </c>
      <c r="H1240" s="35" t="s">
        <v>115</v>
      </c>
    </row>
    <row r="1241" spans="1:8">
      <c r="A1241" s="37">
        <v>40045.15625</v>
      </c>
      <c r="B1241" s="35" t="s">
        <v>654</v>
      </c>
      <c r="C1241" s="35" t="s">
        <v>655</v>
      </c>
      <c r="D1241" s="39">
        <v>25.719999313354492</v>
      </c>
      <c r="E1241" s="39">
        <v>18.569747924804688</v>
      </c>
      <c r="F1241" s="41">
        <v>6328625</v>
      </c>
      <c r="G1241" s="35" t="s">
        <v>674</v>
      </c>
      <c r="H1241" s="35" t="s">
        <v>115</v>
      </c>
    </row>
    <row r="1242" spans="1:8">
      <c r="A1242" s="37">
        <v>40046.15625</v>
      </c>
      <c r="B1242" s="35" t="s">
        <v>654</v>
      </c>
      <c r="C1242" s="35" t="s">
        <v>655</v>
      </c>
      <c r="D1242" s="39">
        <v>25.850000381469727</v>
      </c>
      <c r="E1242" s="39">
        <v>18.663604736328125</v>
      </c>
      <c r="F1242" s="41">
        <v>4171365</v>
      </c>
      <c r="G1242" s="35" t="s">
        <v>674</v>
      </c>
      <c r="H1242" s="35" t="s">
        <v>115</v>
      </c>
    </row>
    <row r="1243" spans="1:8">
      <c r="A1243" s="37">
        <v>40049.15625</v>
      </c>
      <c r="B1243" s="35" t="s">
        <v>654</v>
      </c>
      <c r="C1243" s="35" t="s">
        <v>655</v>
      </c>
      <c r="D1243" s="39">
        <v>26.489999771118164</v>
      </c>
      <c r="E1243" s="39">
        <v>19.125682830810547</v>
      </c>
      <c r="F1243" s="41">
        <v>5122590</v>
      </c>
      <c r="G1243" s="35" t="s">
        <v>674</v>
      </c>
      <c r="H1243" s="35" t="s">
        <v>115</v>
      </c>
    </row>
    <row r="1244" spans="1:8">
      <c r="A1244" s="37">
        <v>40050.15625</v>
      </c>
      <c r="B1244" s="35" t="s">
        <v>654</v>
      </c>
      <c r="C1244" s="35" t="s">
        <v>655</v>
      </c>
      <c r="D1244" s="39">
        <v>27.180000305175781</v>
      </c>
      <c r="E1244" s="39">
        <v>19.623859405517578</v>
      </c>
      <c r="F1244" s="41">
        <v>10652765</v>
      </c>
      <c r="G1244" s="35" t="s">
        <v>674</v>
      </c>
      <c r="H1244" s="35" t="s">
        <v>115</v>
      </c>
    </row>
    <row r="1245" spans="1:8">
      <c r="A1245" s="37">
        <v>40051.15625</v>
      </c>
      <c r="B1245" s="35" t="s">
        <v>654</v>
      </c>
      <c r="C1245" s="35" t="s">
        <v>655</v>
      </c>
      <c r="D1245" s="39">
        <v>26.719999313354492</v>
      </c>
      <c r="E1245" s="39">
        <v>19.291740417480469</v>
      </c>
      <c r="F1245" s="41">
        <v>10096650</v>
      </c>
      <c r="G1245" s="35" t="s">
        <v>674</v>
      </c>
      <c r="H1245" s="35" t="s">
        <v>115</v>
      </c>
    </row>
    <row r="1246" spans="1:8">
      <c r="A1246" s="37">
        <v>40052.15625</v>
      </c>
      <c r="B1246" s="35" t="s">
        <v>654</v>
      </c>
      <c r="C1246" s="35" t="s">
        <v>655</v>
      </c>
      <c r="D1246" s="39">
        <v>26.209999084472656</v>
      </c>
      <c r="E1246" s="39">
        <v>18.92352294921875</v>
      </c>
      <c r="F1246" s="41">
        <v>2191350</v>
      </c>
      <c r="G1246" s="35" t="s">
        <v>674</v>
      </c>
      <c r="H1246" s="35" t="s">
        <v>115</v>
      </c>
    </row>
    <row r="1247" spans="1:8">
      <c r="A1247" s="37">
        <v>40053.15625</v>
      </c>
      <c r="B1247" s="35" t="s">
        <v>654</v>
      </c>
      <c r="C1247" s="35" t="s">
        <v>655</v>
      </c>
      <c r="D1247" s="39">
        <v>25.579999923706055</v>
      </c>
      <c r="E1247" s="39">
        <v>18.468667984008789</v>
      </c>
      <c r="F1247" s="41">
        <v>2077430</v>
      </c>
      <c r="G1247" s="35" t="s">
        <v>674</v>
      </c>
      <c r="H1247" s="35" t="s">
        <v>115</v>
      </c>
    </row>
    <row r="1248" spans="1:8">
      <c r="A1248" s="37">
        <v>40056.15625</v>
      </c>
      <c r="B1248" s="35" t="s">
        <v>654</v>
      </c>
      <c r="C1248" s="35" t="s">
        <v>655</v>
      </c>
      <c r="D1248" s="39">
        <v>25.319999694824219</v>
      </c>
      <c r="E1248" s="39">
        <v>18.280946731567383</v>
      </c>
      <c r="F1248" s="41">
        <v>2178545</v>
      </c>
      <c r="G1248" s="35" t="s">
        <v>674</v>
      </c>
      <c r="H1248" s="35" t="s">
        <v>115</v>
      </c>
    </row>
    <row r="1249" spans="1:8">
      <c r="A1249" s="37">
        <v>40057.15625</v>
      </c>
      <c r="B1249" s="35" t="s">
        <v>654</v>
      </c>
      <c r="C1249" s="35" t="s">
        <v>655</v>
      </c>
      <c r="D1249" s="39">
        <v>25.229999542236328</v>
      </c>
      <c r="E1249" s="39">
        <v>18.215965270996094</v>
      </c>
      <c r="F1249" s="41">
        <v>4355385</v>
      </c>
      <c r="G1249" s="35" t="s">
        <v>674</v>
      </c>
      <c r="H1249" s="35" t="s">
        <v>115</v>
      </c>
    </row>
    <row r="1250" spans="1:8">
      <c r="A1250" s="37">
        <v>40058.15625</v>
      </c>
      <c r="B1250" s="35" t="s">
        <v>654</v>
      </c>
      <c r="C1250" s="35" t="s">
        <v>655</v>
      </c>
      <c r="D1250" s="39">
        <v>25</v>
      </c>
      <c r="E1250" s="39">
        <v>18.049911499023438</v>
      </c>
      <c r="F1250" s="41">
        <v>1699950</v>
      </c>
      <c r="G1250" s="35" t="s">
        <v>674</v>
      </c>
      <c r="H1250" s="35" t="s">
        <v>115</v>
      </c>
    </row>
    <row r="1251" spans="1:8">
      <c r="A1251" s="37">
        <v>40059.15625</v>
      </c>
      <c r="B1251" s="35" t="s">
        <v>654</v>
      </c>
      <c r="C1251" s="35" t="s">
        <v>655</v>
      </c>
      <c r="D1251" s="39">
        <v>25.129999160766602</v>
      </c>
      <c r="E1251" s="39">
        <v>18.143766403198242</v>
      </c>
      <c r="F1251" s="41">
        <v>2825195</v>
      </c>
      <c r="G1251" s="35" t="s">
        <v>674</v>
      </c>
      <c r="H1251" s="35" t="s">
        <v>115</v>
      </c>
    </row>
    <row r="1252" spans="1:8">
      <c r="A1252" s="37">
        <v>40060.15625</v>
      </c>
      <c r="B1252" s="35" t="s">
        <v>654</v>
      </c>
      <c r="C1252" s="35" t="s">
        <v>655</v>
      </c>
      <c r="D1252" s="39">
        <v>25</v>
      </c>
      <c r="E1252" s="39">
        <v>18.049911499023438</v>
      </c>
      <c r="F1252" s="41">
        <v>1234440</v>
      </c>
      <c r="G1252" s="35" t="s">
        <v>674</v>
      </c>
      <c r="H1252" s="35" t="s">
        <v>115</v>
      </c>
    </row>
    <row r="1253" spans="1:8">
      <c r="A1253" s="37">
        <v>40063.15625</v>
      </c>
      <c r="B1253" s="35" t="s">
        <v>654</v>
      </c>
      <c r="C1253" s="35" t="s">
        <v>655</v>
      </c>
      <c r="D1253" s="39">
        <v>25.729999542236328</v>
      </c>
      <c r="E1253" s="39">
        <v>18.576963424682617</v>
      </c>
      <c r="F1253" s="41">
        <v>4766915</v>
      </c>
      <c r="G1253" s="35" t="s">
        <v>674</v>
      </c>
      <c r="H1253" s="35" t="s">
        <v>115</v>
      </c>
    </row>
    <row r="1254" spans="1:8">
      <c r="A1254" s="37">
        <v>40064.15625</v>
      </c>
      <c r="B1254" s="35" t="s">
        <v>654</v>
      </c>
      <c r="C1254" s="35" t="s">
        <v>655</v>
      </c>
      <c r="D1254" s="39">
        <v>25.389999389648438</v>
      </c>
      <c r="E1254" s="39">
        <v>18.331489562988281</v>
      </c>
      <c r="F1254" s="41">
        <v>2948380</v>
      </c>
      <c r="G1254" s="35" t="s">
        <v>674</v>
      </c>
      <c r="H1254" s="35" t="s">
        <v>115</v>
      </c>
    </row>
    <row r="1255" spans="1:8">
      <c r="A1255" s="37">
        <v>40065.15625</v>
      </c>
      <c r="B1255" s="35" t="s">
        <v>654</v>
      </c>
      <c r="C1255" s="35" t="s">
        <v>655</v>
      </c>
      <c r="D1255" s="39">
        <v>25.299999237060547</v>
      </c>
      <c r="E1255" s="39">
        <v>18.266506195068359</v>
      </c>
      <c r="F1255" s="41">
        <v>2049280</v>
      </c>
      <c r="G1255" s="35" t="s">
        <v>674</v>
      </c>
      <c r="H1255" s="35" t="s">
        <v>115</v>
      </c>
    </row>
    <row r="1256" spans="1:8">
      <c r="A1256" s="37">
        <v>40066.15625</v>
      </c>
      <c r="B1256" s="35" t="s">
        <v>654</v>
      </c>
      <c r="C1256" s="35" t="s">
        <v>655</v>
      </c>
      <c r="D1256" s="39">
        <v>24.020000457763672</v>
      </c>
      <c r="E1256" s="39">
        <v>17.342353820800781</v>
      </c>
      <c r="F1256" s="41">
        <v>3805995</v>
      </c>
      <c r="G1256" s="35" t="s">
        <v>674</v>
      </c>
      <c r="H1256" s="35" t="s">
        <v>115</v>
      </c>
    </row>
    <row r="1257" spans="1:8">
      <c r="A1257" s="37">
        <v>40067.15625</v>
      </c>
      <c r="B1257" s="35" t="s">
        <v>654</v>
      </c>
      <c r="C1257" s="35" t="s">
        <v>655</v>
      </c>
      <c r="D1257" s="39">
        <v>23.549999237060547</v>
      </c>
      <c r="E1257" s="39">
        <v>17.003011703491211</v>
      </c>
      <c r="F1257" s="41">
        <v>1616965</v>
      </c>
      <c r="G1257" s="35" t="s">
        <v>674</v>
      </c>
      <c r="H1257" s="35" t="s">
        <v>115</v>
      </c>
    </row>
    <row r="1258" spans="1:8">
      <c r="A1258" s="37">
        <v>40070.15625</v>
      </c>
      <c r="B1258" s="35" t="s">
        <v>654</v>
      </c>
      <c r="C1258" s="35" t="s">
        <v>655</v>
      </c>
      <c r="D1258" s="39">
        <v>23.459999084472656</v>
      </c>
      <c r="E1258" s="39">
        <v>16.938037872314453</v>
      </c>
      <c r="F1258" s="41">
        <v>1401605</v>
      </c>
      <c r="G1258" s="35" t="s">
        <v>674</v>
      </c>
      <c r="H1258" s="35" t="s">
        <v>115</v>
      </c>
    </row>
    <row r="1259" spans="1:8">
      <c r="A1259" s="37">
        <v>40071.15625</v>
      </c>
      <c r="B1259" s="35" t="s">
        <v>654</v>
      </c>
      <c r="C1259" s="35" t="s">
        <v>655</v>
      </c>
      <c r="D1259" s="39">
        <v>25.209999084472656</v>
      </c>
      <c r="E1259" s="39">
        <v>18.201530456542969</v>
      </c>
      <c r="F1259" s="41">
        <v>7617435</v>
      </c>
      <c r="G1259" s="35" t="s">
        <v>674</v>
      </c>
      <c r="H1259" s="35" t="s">
        <v>115</v>
      </c>
    </row>
    <row r="1260" spans="1:8">
      <c r="A1260" s="37">
        <v>40072.15625</v>
      </c>
      <c r="B1260" s="35" t="s">
        <v>654</v>
      </c>
      <c r="C1260" s="35" t="s">
        <v>655</v>
      </c>
      <c r="D1260" s="39">
        <v>24.579999923706055</v>
      </c>
      <c r="E1260" s="39">
        <v>17.746673583984375</v>
      </c>
      <c r="F1260" s="41">
        <v>5135900</v>
      </c>
      <c r="G1260" s="35" t="s">
        <v>674</v>
      </c>
      <c r="H1260" s="35" t="s">
        <v>115</v>
      </c>
    </row>
    <row r="1261" spans="1:8">
      <c r="A1261" s="37">
        <v>40073.15625</v>
      </c>
      <c r="B1261" s="35" t="s">
        <v>654</v>
      </c>
      <c r="C1261" s="35" t="s">
        <v>655</v>
      </c>
      <c r="D1261" s="39">
        <v>24.5</v>
      </c>
      <c r="E1261" s="39">
        <v>17.688915252685547</v>
      </c>
      <c r="F1261" s="41">
        <v>3579945</v>
      </c>
      <c r="G1261" s="35" t="s">
        <v>674</v>
      </c>
      <c r="H1261" s="35" t="s">
        <v>115</v>
      </c>
    </row>
    <row r="1262" spans="1:8">
      <c r="A1262" s="37">
        <v>40074.15625</v>
      </c>
      <c r="B1262" s="35" t="s">
        <v>654</v>
      </c>
      <c r="C1262" s="35" t="s">
        <v>655</v>
      </c>
      <c r="D1262" s="39">
        <v>24.610000610351563</v>
      </c>
      <c r="E1262" s="39">
        <v>17.768329620361328</v>
      </c>
      <c r="F1262" s="41">
        <v>2796610</v>
      </c>
      <c r="G1262" s="35" t="s">
        <v>674</v>
      </c>
      <c r="H1262" s="35" t="s">
        <v>115</v>
      </c>
    </row>
    <row r="1263" spans="1:8">
      <c r="A1263" s="37">
        <v>40078.15625</v>
      </c>
      <c r="B1263" s="35" t="s">
        <v>654</v>
      </c>
      <c r="C1263" s="35" t="s">
        <v>655</v>
      </c>
      <c r="D1263" s="39">
        <v>25.469999313354492</v>
      </c>
      <c r="E1263" s="39">
        <v>18.389245986938477</v>
      </c>
      <c r="F1263" s="41">
        <v>4128425</v>
      </c>
      <c r="G1263" s="35" t="s">
        <v>674</v>
      </c>
      <c r="H1263" s="35" t="s">
        <v>115</v>
      </c>
    </row>
    <row r="1264" spans="1:8">
      <c r="A1264" s="37">
        <v>40079.15625</v>
      </c>
      <c r="B1264" s="35" t="s">
        <v>654</v>
      </c>
      <c r="C1264" s="35" t="s">
        <v>655</v>
      </c>
      <c r="D1264" s="39">
        <v>24.489999771118164</v>
      </c>
      <c r="E1264" s="39">
        <v>17.68168830871582</v>
      </c>
      <c r="F1264" s="41">
        <v>3492365</v>
      </c>
      <c r="G1264" s="35" t="s">
        <v>674</v>
      </c>
      <c r="H1264" s="35" t="s">
        <v>115</v>
      </c>
    </row>
    <row r="1265" spans="1:8">
      <c r="A1265" s="37">
        <v>40080.15625</v>
      </c>
      <c r="B1265" s="35" t="s">
        <v>654</v>
      </c>
      <c r="C1265" s="35" t="s">
        <v>655</v>
      </c>
      <c r="D1265" s="39">
        <v>24.840000152587891</v>
      </c>
      <c r="E1265" s="39">
        <v>17.934392929077148</v>
      </c>
      <c r="F1265" s="41">
        <v>1644800</v>
      </c>
      <c r="G1265" s="35" t="s">
        <v>674</v>
      </c>
      <c r="H1265" s="35" t="s">
        <v>115</v>
      </c>
    </row>
    <row r="1266" spans="1:8">
      <c r="A1266" s="37">
        <v>40081.15625</v>
      </c>
      <c r="B1266" s="35" t="s">
        <v>654</v>
      </c>
      <c r="C1266" s="35" t="s">
        <v>655</v>
      </c>
      <c r="D1266" s="39">
        <v>24.350000381469727</v>
      </c>
      <c r="E1266" s="39">
        <v>17.580617904663086</v>
      </c>
      <c r="F1266" s="41">
        <v>1716735</v>
      </c>
      <c r="G1266" s="35" t="s">
        <v>674</v>
      </c>
      <c r="H1266" s="35" t="s">
        <v>115</v>
      </c>
    </row>
    <row r="1267" spans="1:8">
      <c r="A1267" s="37">
        <v>40085.15625</v>
      </c>
      <c r="B1267" s="35" t="s">
        <v>654</v>
      </c>
      <c r="C1267" s="35" t="s">
        <v>655</v>
      </c>
      <c r="D1267" s="39">
        <v>24.979999542236328</v>
      </c>
      <c r="E1267" s="39">
        <v>18.035470962524414</v>
      </c>
      <c r="F1267" s="41">
        <v>3511020</v>
      </c>
      <c r="G1267" s="35" t="s">
        <v>674</v>
      </c>
      <c r="H1267" s="35" t="s">
        <v>115</v>
      </c>
    </row>
    <row r="1268" spans="1:8">
      <c r="A1268" s="37">
        <v>40086.15625</v>
      </c>
      <c r="B1268" s="35" t="s">
        <v>654</v>
      </c>
      <c r="C1268" s="35" t="s">
        <v>655</v>
      </c>
      <c r="D1268" s="39">
        <v>24.620000839233398</v>
      </c>
      <c r="E1268" s="39">
        <v>17.775550842285156</v>
      </c>
      <c r="F1268" s="41">
        <v>1541350</v>
      </c>
      <c r="G1268" s="35" t="s">
        <v>674</v>
      </c>
      <c r="H1268" s="35" t="s">
        <v>115</v>
      </c>
    </row>
    <row r="1269" spans="1:8">
      <c r="A1269" s="37">
        <v>40087.15625</v>
      </c>
      <c r="B1269" s="35" t="s">
        <v>654</v>
      </c>
      <c r="C1269" s="35" t="s">
        <v>655</v>
      </c>
      <c r="D1269" s="39">
        <v>24.989999771118164</v>
      </c>
      <c r="E1269" s="39">
        <v>18.042684555053711</v>
      </c>
      <c r="F1269" s="41">
        <v>4137025</v>
      </c>
      <c r="G1269" s="35" t="s">
        <v>674</v>
      </c>
      <c r="H1269" s="35" t="s">
        <v>115</v>
      </c>
    </row>
    <row r="1270" spans="1:8">
      <c r="A1270" s="37">
        <v>40091.15625</v>
      </c>
      <c r="B1270" s="35" t="s">
        <v>654</v>
      </c>
      <c r="C1270" s="35" t="s">
        <v>655</v>
      </c>
      <c r="D1270" s="39">
        <v>24.780000686645508</v>
      </c>
      <c r="E1270" s="39">
        <v>17.891071319580078</v>
      </c>
      <c r="F1270" s="41">
        <v>3462235</v>
      </c>
      <c r="G1270" s="35" t="s">
        <v>674</v>
      </c>
      <c r="H1270" s="35" t="s">
        <v>115</v>
      </c>
    </row>
    <row r="1271" spans="1:8">
      <c r="A1271" s="37">
        <v>40092.15625</v>
      </c>
      <c r="B1271" s="35" t="s">
        <v>654</v>
      </c>
      <c r="C1271" s="35" t="s">
        <v>655</v>
      </c>
      <c r="D1271" s="39">
        <v>25.079999923706055</v>
      </c>
      <c r="E1271" s="39">
        <v>18.107664108276367</v>
      </c>
      <c r="F1271" s="41">
        <v>2282525</v>
      </c>
      <c r="G1271" s="35" t="s">
        <v>674</v>
      </c>
      <c r="H1271" s="35" t="s">
        <v>115</v>
      </c>
    </row>
    <row r="1272" spans="1:8">
      <c r="A1272" s="37">
        <v>40093.15625</v>
      </c>
      <c r="B1272" s="35" t="s">
        <v>654</v>
      </c>
      <c r="C1272" s="35" t="s">
        <v>655</v>
      </c>
      <c r="D1272" s="39">
        <v>26.180000305175781</v>
      </c>
      <c r="E1272" s="39">
        <v>18.901859283447266</v>
      </c>
      <c r="F1272" s="41">
        <v>10939575</v>
      </c>
      <c r="G1272" s="35" t="s">
        <v>674</v>
      </c>
      <c r="H1272" s="35" t="s">
        <v>115</v>
      </c>
    </row>
    <row r="1273" spans="1:8">
      <c r="A1273" s="37">
        <v>40094.15625</v>
      </c>
      <c r="B1273" s="35" t="s">
        <v>654</v>
      </c>
      <c r="C1273" s="35" t="s">
        <v>655</v>
      </c>
      <c r="D1273" s="39">
        <v>25.149999618530273</v>
      </c>
      <c r="E1273" s="39">
        <v>18.158205032348633</v>
      </c>
      <c r="F1273" s="41">
        <v>3635615</v>
      </c>
      <c r="G1273" s="35" t="s">
        <v>674</v>
      </c>
      <c r="H1273" s="35" t="s">
        <v>115</v>
      </c>
    </row>
    <row r="1274" spans="1:8">
      <c r="A1274" s="37">
        <v>40095.15625</v>
      </c>
      <c r="B1274" s="35" t="s">
        <v>654</v>
      </c>
      <c r="C1274" s="35" t="s">
        <v>655</v>
      </c>
      <c r="D1274" s="39">
        <v>24.610000610351563</v>
      </c>
      <c r="E1274" s="39">
        <v>17.768329620361328</v>
      </c>
      <c r="F1274" s="41">
        <v>3441765</v>
      </c>
      <c r="G1274" s="35" t="s">
        <v>674</v>
      </c>
      <c r="H1274" s="35" t="s">
        <v>115</v>
      </c>
    </row>
    <row r="1275" spans="1:8">
      <c r="A1275" s="37">
        <v>40098.15625</v>
      </c>
      <c r="B1275" s="35" t="s">
        <v>654</v>
      </c>
      <c r="C1275" s="35" t="s">
        <v>655</v>
      </c>
      <c r="D1275" s="39">
        <v>25.079999923706055</v>
      </c>
      <c r="E1275" s="39">
        <v>18.107664108276367</v>
      </c>
      <c r="F1275" s="41">
        <v>1405535</v>
      </c>
      <c r="G1275" s="35" t="s">
        <v>674</v>
      </c>
      <c r="H1275" s="35" t="s">
        <v>115</v>
      </c>
    </row>
    <row r="1276" spans="1:8">
      <c r="A1276" s="37">
        <v>40099.15625</v>
      </c>
      <c r="B1276" s="35" t="s">
        <v>654</v>
      </c>
      <c r="C1276" s="35" t="s">
        <v>655</v>
      </c>
      <c r="D1276" s="39">
        <v>25.139999389648438</v>
      </c>
      <c r="E1276" s="39">
        <v>18.150989532470703</v>
      </c>
      <c r="F1276" s="41">
        <v>0</v>
      </c>
      <c r="G1276" s="35" t="s">
        <v>674</v>
      </c>
      <c r="H1276" s="35" t="s">
        <v>115</v>
      </c>
    </row>
    <row r="1277" spans="1:8">
      <c r="A1277" s="37">
        <v>40100.15625</v>
      </c>
      <c r="B1277" s="35" t="s">
        <v>654</v>
      </c>
      <c r="C1277" s="35" t="s">
        <v>655</v>
      </c>
      <c r="D1277" s="39">
        <v>25.549999237060547</v>
      </c>
      <c r="E1277" s="39">
        <v>18.447010040283203</v>
      </c>
      <c r="F1277" s="41">
        <v>2504540</v>
      </c>
      <c r="G1277" s="35" t="s">
        <v>674</v>
      </c>
      <c r="H1277" s="35" t="s">
        <v>115</v>
      </c>
    </row>
    <row r="1278" spans="1:8">
      <c r="A1278" s="37">
        <v>40101.15625</v>
      </c>
      <c r="B1278" s="35" t="s">
        <v>654</v>
      </c>
      <c r="C1278" s="35" t="s">
        <v>655</v>
      </c>
      <c r="D1278" s="39">
        <v>25.340000152587891</v>
      </c>
      <c r="E1278" s="39">
        <v>18.295392990112305</v>
      </c>
      <c r="F1278" s="41">
        <v>1281330</v>
      </c>
      <c r="G1278" s="35" t="s">
        <v>674</v>
      </c>
      <c r="H1278" s="35" t="s">
        <v>115</v>
      </c>
    </row>
    <row r="1279" spans="1:8">
      <c r="A1279" s="37">
        <v>40102.15625</v>
      </c>
      <c r="B1279" s="35" t="s">
        <v>654</v>
      </c>
      <c r="C1279" s="35" t="s">
        <v>655</v>
      </c>
      <c r="D1279" s="39">
        <v>24.950000762939453</v>
      </c>
      <c r="E1279" s="39">
        <v>18.013813018798828</v>
      </c>
      <c r="F1279" s="41">
        <v>1508815</v>
      </c>
      <c r="G1279" s="35" t="s">
        <v>674</v>
      </c>
      <c r="H1279" s="35" t="s">
        <v>115</v>
      </c>
    </row>
    <row r="1280" spans="1:8">
      <c r="A1280" s="37">
        <v>40106.15625</v>
      </c>
      <c r="B1280" s="35" t="s">
        <v>654</v>
      </c>
      <c r="C1280" s="35" t="s">
        <v>655</v>
      </c>
      <c r="D1280" s="39">
        <v>26</v>
      </c>
      <c r="E1280" s="39">
        <v>18.771903991699219</v>
      </c>
      <c r="F1280" s="41">
        <v>7951160</v>
      </c>
      <c r="G1280" s="35" t="s">
        <v>674</v>
      </c>
      <c r="H1280" s="35" t="s">
        <v>115</v>
      </c>
    </row>
    <row r="1281" spans="1:8">
      <c r="A1281" s="37">
        <v>40107.15625</v>
      </c>
      <c r="B1281" s="35" t="s">
        <v>654</v>
      </c>
      <c r="C1281" s="35" t="s">
        <v>655</v>
      </c>
      <c r="D1281" s="39">
        <v>29.059999465942383</v>
      </c>
      <c r="E1281" s="39">
        <v>20.981212615966797</v>
      </c>
      <c r="F1281" s="41">
        <v>27735990</v>
      </c>
      <c r="G1281" s="35" t="s">
        <v>674</v>
      </c>
      <c r="H1281" s="35" t="s">
        <v>115</v>
      </c>
    </row>
    <row r="1282" spans="1:8">
      <c r="A1282" s="37">
        <v>40108.15625</v>
      </c>
      <c r="B1282" s="35" t="s">
        <v>654</v>
      </c>
      <c r="C1282" s="35" t="s">
        <v>655</v>
      </c>
      <c r="D1282" s="39">
        <v>28.959999084472656</v>
      </c>
      <c r="E1282" s="39">
        <v>20.909013748168945</v>
      </c>
      <c r="F1282" s="41">
        <v>21669370</v>
      </c>
      <c r="G1282" s="35" t="s">
        <v>674</v>
      </c>
      <c r="H1282" s="35" t="s">
        <v>115</v>
      </c>
    </row>
    <row r="1283" spans="1:8">
      <c r="A1283" s="37">
        <v>40109.15625</v>
      </c>
      <c r="B1283" s="35" t="s">
        <v>654</v>
      </c>
      <c r="C1283" s="35" t="s">
        <v>655</v>
      </c>
      <c r="D1283" s="39">
        <v>29.709999084472656</v>
      </c>
      <c r="E1283" s="39">
        <v>21.450510025024414</v>
      </c>
      <c r="F1283" s="41">
        <v>9102560</v>
      </c>
      <c r="G1283" s="35" t="s">
        <v>674</v>
      </c>
      <c r="H1283" s="35" t="s">
        <v>115</v>
      </c>
    </row>
    <row r="1284" spans="1:8">
      <c r="A1284" s="37">
        <v>40112.15625</v>
      </c>
      <c r="B1284" s="35" t="s">
        <v>654</v>
      </c>
      <c r="C1284" s="35" t="s">
        <v>655</v>
      </c>
      <c r="D1284" s="39">
        <v>28.030000686645508</v>
      </c>
      <c r="E1284" s="39">
        <v>20.237560272216797</v>
      </c>
      <c r="F1284" s="41">
        <v>2915980</v>
      </c>
      <c r="G1284" s="35" t="s">
        <v>674</v>
      </c>
      <c r="H1284" s="35" t="s">
        <v>115</v>
      </c>
    </row>
    <row r="1285" spans="1:8">
      <c r="A1285" s="37">
        <v>40113.15625</v>
      </c>
      <c r="B1285" s="35" t="s">
        <v>654</v>
      </c>
      <c r="C1285" s="35" t="s">
        <v>655</v>
      </c>
      <c r="D1285" s="39">
        <v>27.069999694824219</v>
      </c>
      <c r="E1285" s="39">
        <v>19.544439315795898</v>
      </c>
      <c r="F1285" s="41">
        <v>4332325</v>
      </c>
      <c r="G1285" s="35" t="s">
        <v>674</v>
      </c>
      <c r="H1285" s="35" t="s">
        <v>115</v>
      </c>
    </row>
    <row r="1286" spans="1:8">
      <c r="A1286" s="37">
        <v>40114.15625</v>
      </c>
      <c r="B1286" s="35" t="s">
        <v>654</v>
      </c>
      <c r="C1286" s="35" t="s">
        <v>655</v>
      </c>
      <c r="D1286" s="39">
        <v>27.680000305175781</v>
      </c>
      <c r="E1286" s="39">
        <v>19.984859466552734</v>
      </c>
      <c r="F1286" s="41">
        <v>2667220</v>
      </c>
      <c r="G1286" s="35" t="s">
        <v>674</v>
      </c>
      <c r="H1286" s="35" t="s">
        <v>115</v>
      </c>
    </row>
    <row r="1287" spans="1:8">
      <c r="A1287" s="37">
        <v>40115.15625</v>
      </c>
      <c r="B1287" s="35" t="s">
        <v>654</v>
      </c>
      <c r="C1287" s="35" t="s">
        <v>655</v>
      </c>
      <c r="D1287" s="39">
        <v>27.920000076293945</v>
      </c>
      <c r="E1287" s="39">
        <v>20.158143997192383</v>
      </c>
      <c r="F1287" s="41">
        <v>3666330</v>
      </c>
      <c r="G1287" s="35" t="s">
        <v>674</v>
      </c>
      <c r="H1287" s="35" t="s">
        <v>115</v>
      </c>
    </row>
    <row r="1288" spans="1:8">
      <c r="A1288" s="37">
        <v>40116.15625</v>
      </c>
      <c r="B1288" s="35" t="s">
        <v>654</v>
      </c>
      <c r="C1288" s="35" t="s">
        <v>655</v>
      </c>
      <c r="D1288" s="39">
        <v>27.309999465942383</v>
      </c>
      <c r="E1288" s="39">
        <v>19.717721939086914</v>
      </c>
      <c r="F1288" s="41">
        <v>2296055</v>
      </c>
      <c r="G1288" s="35" t="s">
        <v>674</v>
      </c>
      <c r="H1288" s="35" t="s">
        <v>115</v>
      </c>
    </row>
    <row r="1289" spans="1:8">
      <c r="A1289" s="37">
        <v>40120.15625</v>
      </c>
      <c r="B1289" s="35" t="s">
        <v>654</v>
      </c>
      <c r="C1289" s="35" t="s">
        <v>655</v>
      </c>
      <c r="D1289" s="39">
        <v>27.079999923706055</v>
      </c>
      <c r="E1289" s="39">
        <v>19.551666259765625</v>
      </c>
      <c r="F1289" s="41">
        <v>2883405</v>
      </c>
      <c r="G1289" s="35" t="s">
        <v>674</v>
      </c>
      <c r="H1289" s="35" t="s">
        <v>115</v>
      </c>
    </row>
    <row r="1290" spans="1:8">
      <c r="A1290" s="37">
        <v>40121.15625</v>
      </c>
      <c r="B1290" s="35" t="s">
        <v>654</v>
      </c>
      <c r="C1290" s="35" t="s">
        <v>655</v>
      </c>
      <c r="D1290" s="39">
        <v>26.829999923706055</v>
      </c>
      <c r="E1290" s="39">
        <v>19.371164321899414</v>
      </c>
      <c r="F1290" s="41">
        <v>2130230</v>
      </c>
      <c r="G1290" s="35" t="s">
        <v>674</v>
      </c>
      <c r="H1290" s="35" t="s">
        <v>115</v>
      </c>
    </row>
    <row r="1291" spans="1:8">
      <c r="A1291" s="37">
        <v>40122.15625</v>
      </c>
      <c r="B1291" s="35" t="s">
        <v>654</v>
      </c>
      <c r="C1291" s="35" t="s">
        <v>655</v>
      </c>
      <c r="D1291" s="39">
        <v>27.760000228881836</v>
      </c>
      <c r="E1291" s="39">
        <v>20.042625427246094</v>
      </c>
      <c r="F1291" s="41">
        <v>2235600</v>
      </c>
      <c r="G1291" s="35" t="s">
        <v>674</v>
      </c>
      <c r="H1291" s="35" t="s">
        <v>115</v>
      </c>
    </row>
    <row r="1292" spans="1:8">
      <c r="A1292" s="37">
        <v>40123.15625</v>
      </c>
      <c r="B1292" s="35" t="s">
        <v>654</v>
      </c>
      <c r="C1292" s="35" t="s">
        <v>655</v>
      </c>
      <c r="D1292" s="39">
        <v>28.270000457763672</v>
      </c>
      <c r="E1292" s="39">
        <v>20.410837173461914</v>
      </c>
      <c r="F1292" s="41">
        <v>1743370</v>
      </c>
      <c r="G1292" s="35" t="s">
        <v>674</v>
      </c>
      <c r="H1292" s="35" t="s">
        <v>115</v>
      </c>
    </row>
    <row r="1293" spans="1:8">
      <c r="A1293" s="37">
        <v>40126.15625</v>
      </c>
      <c r="B1293" s="35" t="s">
        <v>654</v>
      </c>
      <c r="C1293" s="35" t="s">
        <v>655</v>
      </c>
      <c r="D1293" s="39">
        <v>29.200000762939453</v>
      </c>
      <c r="E1293" s="39">
        <v>21.082294464111328</v>
      </c>
      <c r="F1293" s="41">
        <v>3570230</v>
      </c>
      <c r="G1293" s="35" t="s">
        <v>674</v>
      </c>
      <c r="H1293" s="35" t="s">
        <v>115</v>
      </c>
    </row>
    <row r="1294" spans="1:8">
      <c r="A1294" s="37">
        <v>40127.15625</v>
      </c>
      <c r="B1294" s="35" t="s">
        <v>654</v>
      </c>
      <c r="C1294" s="35" t="s">
        <v>655</v>
      </c>
      <c r="D1294" s="39">
        <v>28.760000228881836</v>
      </c>
      <c r="E1294" s="39">
        <v>20.764616012573242</v>
      </c>
      <c r="F1294" s="41">
        <v>1362845</v>
      </c>
      <c r="G1294" s="35" t="s">
        <v>674</v>
      </c>
      <c r="H1294" s="35" t="s">
        <v>115</v>
      </c>
    </row>
    <row r="1295" spans="1:8">
      <c r="A1295" s="37">
        <v>40128.15625</v>
      </c>
      <c r="B1295" s="35" t="s">
        <v>654</v>
      </c>
      <c r="C1295" s="35" t="s">
        <v>655</v>
      </c>
      <c r="D1295" s="39">
        <v>28.299999237060547</v>
      </c>
      <c r="E1295" s="39">
        <v>20.432498931884766</v>
      </c>
      <c r="F1295" s="41">
        <v>2033340</v>
      </c>
      <c r="G1295" s="35" t="s">
        <v>674</v>
      </c>
      <c r="H1295" s="35" t="s">
        <v>115</v>
      </c>
    </row>
    <row r="1296" spans="1:8">
      <c r="A1296" s="37">
        <v>40129.15625</v>
      </c>
      <c r="B1296" s="35" t="s">
        <v>654</v>
      </c>
      <c r="C1296" s="35" t="s">
        <v>655</v>
      </c>
      <c r="D1296" s="39">
        <v>27.469999313354492</v>
      </c>
      <c r="E1296" s="39">
        <v>19.83323860168457</v>
      </c>
      <c r="F1296" s="41">
        <v>3687065</v>
      </c>
      <c r="G1296" s="35" t="s">
        <v>674</v>
      </c>
      <c r="H1296" s="35" t="s">
        <v>115</v>
      </c>
    </row>
    <row r="1297" spans="1:8">
      <c r="A1297" s="37">
        <v>40130.15625</v>
      </c>
      <c r="B1297" s="35" t="s">
        <v>654</v>
      </c>
      <c r="C1297" s="35" t="s">
        <v>655</v>
      </c>
      <c r="D1297" s="39">
        <v>27.639999389648438</v>
      </c>
      <c r="E1297" s="39">
        <v>19.95598030090332</v>
      </c>
      <c r="F1297" s="41">
        <v>2965840</v>
      </c>
      <c r="G1297" s="35" t="s">
        <v>674</v>
      </c>
      <c r="H1297" s="35" t="s">
        <v>115</v>
      </c>
    </row>
    <row r="1298" spans="1:8">
      <c r="A1298" s="37">
        <v>40133.15625</v>
      </c>
      <c r="B1298" s="35" t="s">
        <v>654</v>
      </c>
      <c r="C1298" s="35" t="s">
        <v>655</v>
      </c>
      <c r="D1298" s="39">
        <v>28.069999694824219</v>
      </c>
      <c r="E1298" s="39">
        <v>20.266437530517578</v>
      </c>
      <c r="F1298" s="41">
        <v>1743705</v>
      </c>
      <c r="G1298" s="35" t="s">
        <v>674</v>
      </c>
      <c r="H1298" s="35" t="s">
        <v>115</v>
      </c>
    </row>
    <row r="1299" spans="1:8">
      <c r="A1299" s="37">
        <v>40134.15625</v>
      </c>
      <c r="B1299" s="35" t="s">
        <v>654</v>
      </c>
      <c r="C1299" s="35" t="s">
        <v>655</v>
      </c>
      <c r="D1299" s="39">
        <v>28.590000152587891</v>
      </c>
      <c r="E1299" s="39">
        <v>20.641872406005859</v>
      </c>
      <c r="F1299" s="41">
        <v>3570135</v>
      </c>
      <c r="G1299" s="35" t="s">
        <v>674</v>
      </c>
      <c r="H1299" s="35" t="s">
        <v>115</v>
      </c>
    </row>
    <row r="1300" spans="1:8">
      <c r="A1300" s="37">
        <v>40135.15625</v>
      </c>
      <c r="B1300" s="35" t="s">
        <v>654</v>
      </c>
      <c r="C1300" s="35" t="s">
        <v>655</v>
      </c>
      <c r="D1300" s="39">
        <v>29.010000228881836</v>
      </c>
      <c r="E1300" s="39">
        <v>20.945119857788086</v>
      </c>
      <c r="F1300" s="41">
        <v>3667190</v>
      </c>
      <c r="G1300" s="35" t="s">
        <v>674</v>
      </c>
      <c r="H1300" s="35" t="s">
        <v>115</v>
      </c>
    </row>
    <row r="1301" spans="1:8">
      <c r="A1301" s="37">
        <v>40136.15625</v>
      </c>
      <c r="B1301" s="35" t="s">
        <v>654</v>
      </c>
      <c r="C1301" s="35" t="s">
        <v>655</v>
      </c>
      <c r="D1301" s="39">
        <v>28.840000152587891</v>
      </c>
      <c r="E1301" s="39">
        <v>20.82237434387207</v>
      </c>
      <c r="F1301" s="41">
        <v>2319895</v>
      </c>
      <c r="G1301" s="35" t="s">
        <v>674</v>
      </c>
      <c r="H1301" s="35" t="s">
        <v>115</v>
      </c>
    </row>
    <row r="1302" spans="1:8">
      <c r="A1302" s="37">
        <v>40137.15625</v>
      </c>
      <c r="B1302" s="35" t="s">
        <v>654</v>
      </c>
      <c r="C1302" s="35" t="s">
        <v>655</v>
      </c>
      <c r="D1302" s="39">
        <v>29.430000305175781</v>
      </c>
      <c r="E1302" s="39">
        <v>21.24835205078125</v>
      </c>
      <c r="F1302" s="41">
        <v>4717400</v>
      </c>
      <c r="G1302" s="35" t="s">
        <v>674</v>
      </c>
      <c r="H1302" s="35" t="s">
        <v>115</v>
      </c>
    </row>
    <row r="1303" spans="1:8">
      <c r="A1303" s="37">
        <v>40140.15625</v>
      </c>
      <c r="B1303" s="35" t="s">
        <v>654</v>
      </c>
      <c r="C1303" s="35" t="s">
        <v>655</v>
      </c>
      <c r="D1303" s="39">
        <v>31.670000076293945</v>
      </c>
      <c r="E1303" s="39">
        <v>22.865631103515625</v>
      </c>
      <c r="F1303" s="41">
        <v>9852890</v>
      </c>
      <c r="G1303" s="35" t="s">
        <v>674</v>
      </c>
      <c r="H1303" s="35" t="s">
        <v>115</v>
      </c>
    </row>
    <row r="1304" spans="1:8">
      <c r="A1304" s="37">
        <v>40141.15625</v>
      </c>
      <c r="B1304" s="35" t="s">
        <v>654</v>
      </c>
      <c r="C1304" s="35" t="s">
        <v>655</v>
      </c>
      <c r="D1304" s="39">
        <v>31.040000915527344</v>
      </c>
      <c r="E1304" s="39">
        <v>22.410768508911133</v>
      </c>
      <c r="F1304" s="41">
        <v>6016940</v>
      </c>
      <c r="G1304" s="35" t="s">
        <v>674</v>
      </c>
      <c r="H1304" s="35" t="s">
        <v>115</v>
      </c>
    </row>
    <row r="1305" spans="1:8">
      <c r="A1305" s="37">
        <v>40142.15625</v>
      </c>
      <c r="B1305" s="35" t="s">
        <v>654</v>
      </c>
      <c r="C1305" s="35" t="s">
        <v>655</v>
      </c>
      <c r="D1305" s="39">
        <v>31.729999542236328</v>
      </c>
      <c r="E1305" s="39">
        <v>22.908943176269531</v>
      </c>
      <c r="F1305" s="41">
        <v>2727820</v>
      </c>
      <c r="G1305" s="35" t="s">
        <v>674</v>
      </c>
      <c r="H1305" s="35" t="s">
        <v>115</v>
      </c>
    </row>
    <row r="1306" spans="1:8">
      <c r="A1306" s="37">
        <v>40143.15625</v>
      </c>
      <c r="B1306" s="35" t="s">
        <v>654</v>
      </c>
      <c r="C1306" s="35" t="s">
        <v>655</v>
      </c>
      <c r="D1306" s="39">
        <v>30.989999771118164</v>
      </c>
      <c r="E1306" s="39">
        <v>22.374670028686523</v>
      </c>
      <c r="F1306" s="41">
        <v>1994605</v>
      </c>
      <c r="G1306" s="35" t="s">
        <v>674</v>
      </c>
      <c r="H1306" s="35" t="s">
        <v>115</v>
      </c>
    </row>
    <row r="1307" spans="1:8">
      <c r="A1307" s="37">
        <v>40144.15625</v>
      </c>
      <c r="B1307" s="35" t="s">
        <v>654</v>
      </c>
      <c r="C1307" s="35" t="s">
        <v>655</v>
      </c>
      <c r="D1307" s="39">
        <v>31.549999237060547</v>
      </c>
      <c r="E1307" s="39">
        <v>22.778985977172852</v>
      </c>
      <c r="F1307" s="41">
        <v>3045355</v>
      </c>
      <c r="G1307" s="35" t="s">
        <v>674</v>
      </c>
      <c r="H1307" s="35" t="s">
        <v>115</v>
      </c>
    </row>
    <row r="1308" spans="1:8">
      <c r="A1308" s="37">
        <v>40147.15625</v>
      </c>
      <c r="B1308" s="35" t="s">
        <v>654</v>
      </c>
      <c r="C1308" s="35" t="s">
        <v>655</v>
      </c>
      <c r="D1308" s="39">
        <v>32.470001220703125</v>
      </c>
      <c r="E1308" s="39">
        <v>23.44322395324707</v>
      </c>
      <c r="F1308" s="41">
        <v>6284580</v>
      </c>
      <c r="G1308" s="35" t="s">
        <v>674</v>
      </c>
      <c r="H1308" s="35" t="s">
        <v>115</v>
      </c>
    </row>
    <row r="1309" spans="1:8">
      <c r="A1309" s="37">
        <v>40148.15625</v>
      </c>
      <c r="B1309" s="35" t="s">
        <v>654</v>
      </c>
      <c r="C1309" s="35" t="s">
        <v>655</v>
      </c>
      <c r="D1309" s="39">
        <v>32.810001373291016</v>
      </c>
      <c r="E1309" s="39">
        <v>23.688699722290039</v>
      </c>
      <c r="F1309" s="41">
        <v>3837795</v>
      </c>
      <c r="G1309" s="35" t="s">
        <v>674</v>
      </c>
      <c r="H1309" s="35" t="s">
        <v>115</v>
      </c>
    </row>
    <row r="1310" spans="1:8">
      <c r="A1310" s="37">
        <v>40149.15625</v>
      </c>
      <c r="B1310" s="35" t="s">
        <v>654</v>
      </c>
      <c r="C1310" s="35" t="s">
        <v>655</v>
      </c>
      <c r="D1310" s="39">
        <v>34.439998626708984</v>
      </c>
      <c r="E1310" s="39">
        <v>24.865547180175781</v>
      </c>
      <c r="F1310" s="41">
        <v>6319400</v>
      </c>
      <c r="G1310" s="35" t="s">
        <v>674</v>
      </c>
      <c r="H1310" s="35" t="s">
        <v>115</v>
      </c>
    </row>
    <row r="1311" spans="1:8">
      <c r="A1311" s="37">
        <v>40150.15625</v>
      </c>
      <c r="B1311" s="35" t="s">
        <v>654</v>
      </c>
      <c r="C1311" s="35" t="s">
        <v>655</v>
      </c>
      <c r="D1311" s="39">
        <v>34.869998931884766</v>
      </c>
      <c r="E1311" s="39">
        <v>25.176010131835938</v>
      </c>
      <c r="F1311" s="41">
        <v>5041465</v>
      </c>
      <c r="G1311" s="35" t="s">
        <v>674</v>
      </c>
      <c r="H1311" s="35" t="s">
        <v>115</v>
      </c>
    </row>
    <row r="1312" spans="1:8">
      <c r="A1312" s="37">
        <v>40151.15625</v>
      </c>
      <c r="B1312" s="35" t="s">
        <v>654</v>
      </c>
      <c r="C1312" s="35" t="s">
        <v>655</v>
      </c>
      <c r="D1312" s="39">
        <v>33.509998321533203</v>
      </c>
      <c r="E1312" s="39">
        <v>24.194095611572266</v>
      </c>
      <c r="F1312" s="41">
        <v>2726470</v>
      </c>
      <c r="G1312" s="35" t="s">
        <v>674</v>
      </c>
      <c r="H1312" s="35" t="s">
        <v>115</v>
      </c>
    </row>
    <row r="1313" spans="1:8">
      <c r="A1313" s="37">
        <v>40154.15625</v>
      </c>
      <c r="B1313" s="35" t="s">
        <v>654</v>
      </c>
      <c r="C1313" s="35" t="s">
        <v>655</v>
      </c>
      <c r="D1313" s="39">
        <v>33.990001678466797</v>
      </c>
      <c r="E1313" s="39">
        <v>24.540660858154297</v>
      </c>
      <c r="F1313" s="41">
        <v>1732860</v>
      </c>
      <c r="G1313" s="35" t="s">
        <v>674</v>
      </c>
      <c r="H1313" s="35" t="s">
        <v>115</v>
      </c>
    </row>
    <row r="1314" spans="1:8">
      <c r="A1314" s="37">
        <v>40155.15625</v>
      </c>
      <c r="B1314" s="35" t="s">
        <v>654</v>
      </c>
      <c r="C1314" s="35" t="s">
        <v>655</v>
      </c>
      <c r="D1314" s="39">
        <v>34.880001068115234</v>
      </c>
      <c r="E1314" s="39">
        <v>25.183235168457031</v>
      </c>
      <c r="F1314" s="41">
        <v>2857815</v>
      </c>
      <c r="G1314" s="35" t="s">
        <v>674</v>
      </c>
      <c r="H1314" s="35" t="s">
        <v>115</v>
      </c>
    </row>
    <row r="1315" spans="1:8">
      <c r="A1315" s="37">
        <v>40156.15625</v>
      </c>
      <c r="B1315" s="35" t="s">
        <v>654</v>
      </c>
      <c r="C1315" s="35" t="s">
        <v>655</v>
      </c>
      <c r="D1315" s="39">
        <v>34.5</v>
      </c>
      <c r="E1315" s="39">
        <v>24.908880233764648</v>
      </c>
      <c r="F1315" s="41">
        <v>2284850</v>
      </c>
      <c r="G1315" s="35" t="s">
        <v>674</v>
      </c>
      <c r="H1315" s="35" t="s">
        <v>115</v>
      </c>
    </row>
    <row r="1316" spans="1:8">
      <c r="A1316" s="37">
        <v>40157.15625</v>
      </c>
      <c r="B1316" s="35" t="s">
        <v>654</v>
      </c>
      <c r="C1316" s="35" t="s">
        <v>655</v>
      </c>
      <c r="D1316" s="39">
        <v>34.599998474121094</v>
      </c>
      <c r="E1316" s="39">
        <v>24.981073379516602</v>
      </c>
      <c r="F1316" s="41">
        <v>2629060</v>
      </c>
      <c r="G1316" s="35" t="s">
        <v>674</v>
      </c>
      <c r="H1316" s="35" t="s">
        <v>115</v>
      </c>
    </row>
    <row r="1317" spans="1:8">
      <c r="A1317" s="37">
        <v>40158.15625</v>
      </c>
      <c r="B1317" s="35" t="s">
        <v>654</v>
      </c>
      <c r="C1317" s="35" t="s">
        <v>655</v>
      </c>
      <c r="D1317" s="39">
        <v>34.25</v>
      </c>
      <c r="E1317" s="39">
        <v>24.728382110595703</v>
      </c>
      <c r="F1317" s="41">
        <v>1674830</v>
      </c>
      <c r="G1317" s="35" t="s">
        <v>674</v>
      </c>
      <c r="H1317" s="35" t="s">
        <v>115</v>
      </c>
    </row>
    <row r="1318" spans="1:8">
      <c r="A1318" s="37">
        <v>40161.15625</v>
      </c>
      <c r="B1318" s="35" t="s">
        <v>654</v>
      </c>
      <c r="C1318" s="35" t="s">
        <v>655</v>
      </c>
      <c r="D1318" s="39">
        <v>35.310001373291016</v>
      </c>
      <c r="E1318" s="39">
        <v>25.493694305419922</v>
      </c>
      <c r="F1318" s="41">
        <v>3117275</v>
      </c>
      <c r="G1318" s="35" t="s">
        <v>674</v>
      </c>
      <c r="H1318" s="35" t="s">
        <v>115</v>
      </c>
    </row>
    <row r="1319" spans="1:8">
      <c r="A1319" s="37">
        <v>40162.15625</v>
      </c>
      <c r="B1319" s="35" t="s">
        <v>654</v>
      </c>
      <c r="C1319" s="35" t="s">
        <v>655</v>
      </c>
      <c r="D1319" s="39">
        <v>37.889999389648438</v>
      </c>
      <c r="E1319" s="39">
        <v>27.356439590454102</v>
      </c>
      <c r="F1319" s="41">
        <v>11689225</v>
      </c>
      <c r="G1319" s="35" t="s">
        <v>674</v>
      </c>
      <c r="H1319" s="35" t="s">
        <v>115</v>
      </c>
    </row>
    <row r="1320" spans="1:8">
      <c r="A1320" s="37">
        <v>40163.15625</v>
      </c>
      <c r="B1320" s="35" t="s">
        <v>654</v>
      </c>
      <c r="C1320" s="35" t="s">
        <v>655</v>
      </c>
      <c r="D1320" s="39">
        <v>36.680000305175781</v>
      </c>
      <c r="E1320" s="39">
        <v>26.482828140258789</v>
      </c>
      <c r="F1320" s="41">
        <v>4241520</v>
      </c>
      <c r="G1320" s="35" t="s">
        <v>674</v>
      </c>
      <c r="H1320" s="35" t="s">
        <v>115</v>
      </c>
    </row>
    <row r="1321" spans="1:8">
      <c r="A1321" s="37">
        <v>40164.15625</v>
      </c>
      <c r="B1321" s="35" t="s">
        <v>654</v>
      </c>
      <c r="C1321" s="35" t="s">
        <v>655</v>
      </c>
      <c r="D1321" s="39">
        <v>36.630001068115234</v>
      </c>
      <c r="E1321" s="39">
        <v>26.446725845336914</v>
      </c>
      <c r="F1321" s="41">
        <v>2717210</v>
      </c>
      <c r="G1321" s="35" t="s">
        <v>674</v>
      </c>
      <c r="H1321" s="35" t="s">
        <v>115</v>
      </c>
    </row>
    <row r="1322" spans="1:8">
      <c r="A1322" s="37">
        <v>40165.15625</v>
      </c>
      <c r="B1322" s="35" t="s">
        <v>654</v>
      </c>
      <c r="C1322" s="35" t="s">
        <v>655</v>
      </c>
      <c r="D1322" s="39">
        <v>36.709999084472656</v>
      </c>
      <c r="E1322" s="39">
        <v>26.504486083984375</v>
      </c>
      <c r="F1322" s="41">
        <v>9962610</v>
      </c>
      <c r="G1322" s="35" t="s">
        <v>674</v>
      </c>
      <c r="H1322" s="35" t="s">
        <v>115</v>
      </c>
    </row>
    <row r="1323" spans="1:8">
      <c r="A1323" s="37">
        <v>40168.15625</v>
      </c>
      <c r="B1323" s="35" t="s">
        <v>654</v>
      </c>
      <c r="C1323" s="35" t="s">
        <v>655</v>
      </c>
      <c r="D1323" s="39">
        <v>35.549999237060547</v>
      </c>
      <c r="E1323" s="39">
        <v>25.666975021362305</v>
      </c>
      <c r="F1323" s="41">
        <v>2195475</v>
      </c>
      <c r="G1323" s="35" t="s">
        <v>674</v>
      </c>
      <c r="H1323" s="35" t="s">
        <v>115</v>
      </c>
    </row>
    <row r="1324" spans="1:8">
      <c r="A1324" s="37">
        <v>40169.15625</v>
      </c>
      <c r="B1324" s="35" t="s">
        <v>654</v>
      </c>
      <c r="C1324" s="35" t="s">
        <v>655</v>
      </c>
      <c r="D1324" s="39">
        <v>36.069999694824219</v>
      </c>
      <c r="E1324" s="39">
        <v>26.042402267456055</v>
      </c>
      <c r="F1324" s="41">
        <v>1949585</v>
      </c>
      <c r="G1324" s="35" t="s">
        <v>674</v>
      </c>
      <c r="H1324" s="35" t="s">
        <v>115</v>
      </c>
    </row>
    <row r="1325" spans="1:8">
      <c r="A1325" s="37">
        <v>40170.184027777781</v>
      </c>
      <c r="B1325" s="35" t="s">
        <v>654</v>
      </c>
      <c r="C1325" s="35" t="s">
        <v>655</v>
      </c>
      <c r="D1325" s="39">
        <v>36.360000610351563</v>
      </c>
      <c r="E1325" s="39">
        <v>26.251794815063477</v>
      </c>
      <c r="F1325" s="41">
        <v>1886575</v>
      </c>
      <c r="G1325" s="35" t="s">
        <v>674</v>
      </c>
      <c r="H1325" s="35" t="s">
        <v>115</v>
      </c>
    </row>
    <row r="1326" spans="1:8">
      <c r="A1326" s="37">
        <v>40171.184027777781</v>
      </c>
      <c r="B1326" s="35" t="s">
        <v>654</v>
      </c>
      <c r="C1326" s="35" t="s">
        <v>655</v>
      </c>
      <c r="D1326" s="39">
        <v>36.590000152587891</v>
      </c>
      <c r="E1326" s="39">
        <v>26.417844772338867</v>
      </c>
      <c r="F1326" s="41">
        <v>1697070</v>
      </c>
      <c r="G1326" s="35" t="s">
        <v>674</v>
      </c>
      <c r="H1326" s="35" t="s">
        <v>115</v>
      </c>
    </row>
    <row r="1327" spans="1:8">
      <c r="A1327" s="37">
        <v>40176.184027777781</v>
      </c>
      <c r="B1327" s="35" t="s">
        <v>654</v>
      </c>
      <c r="C1327" s="35" t="s">
        <v>655</v>
      </c>
      <c r="D1327" s="39">
        <v>36.200000762939453</v>
      </c>
      <c r="E1327" s="39">
        <v>26.136264801025391</v>
      </c>
      <c r="F1327" s="41">
        <v>880760</v>
      </c>
      <c r="G1327" s="35" t="s">
        <v>674</v>
      </c>
      <c r="H1327" s="35" t="s">
        <v>115</v>
      </c>
    </row>
    <row r="1328" spans="1:8">
      <c r="A1328" s="37">
        <v>40177.184027777781</v>
      </c>
      <c r="B1328" s="35" t="s">
        <v>654</v>
      </c>
      <c r="C1328" s="35" t="s">
        <v>655</v>
      </c>
      <c r="D1328" s="39">
        <v>35.979999542236328</v>
      </c>
      <c r="E1328" s="39">
        <v>25.977428436279297</v>
      </c>
      <c r="F1328" s="41">
        <v>1053670</v>
      </c>
      <c r="G1328" s="35" t="s">
        <v>674</v>
      </c>
      <c r="H1328" s="35" t="s">
        <v>115</v>
      </c>
    </row>
    <row r="1329" spans="1:8">
      <c r="A1329" s="37">
        <v>40178.184027777781</v>
      </c>
      <c r="B1329" s="35" t="s">
        <v>654</v>
      </c>
      <c r="C1329" s="35" t="s">
        <v>655</v>
      </c>
      <c r="D1329" s="39">
        <v>35.939998626708984</v>
      </c>
      <c r="E1329" s="39">
        <v>25.948549270629883</v>
      </c>
      <c r="F1329" s="41">
        <v>775960</v>
      </c>
      <c r="G1329" s="35" t="s">
        <v>674</v>
      </c>
      <c r="H1329" s="35" t="s">
        <v>115</v>
      </c>
    </row>
    <row r="1330" spans="1:8">
      <c r="A1330" s="37">
        <v>40182.15625</v>
      </c>
      <c r="B1330" s="35" t="s">
        <v>654</v>
      </c>
      <c r="C1330" s="35" t="s">
        <v>655</v>
      </c>
      <c r="D1330" s="39">
        <v>35.849998474121094</v>
      </c>
      <c r="E1330" s="39">
        <v>25.883565902709961</v>
      </c>
      <c r="F1330" s="41">
        <v>1113885</v>
      </c>
      <c r="G1330" s="35" t="s">
        <v>674</v>
      </c>
      <c r="H1330" s="35" t="s">
        <v>115</v>
      </c>
    </row>
    <row r="1331" spans="1:8">
      <c r="A1331" s="37">
        <v>40183.15625</v>
      </c>
      <c r="B1331" s="35" t="s">
        <v>654</v>
      </c>
      <c r="C1331" s="35" t="s">
        <v>655</v>
      </c>
      <c r="D1331" s="39">
        <v>35.720001220703125</v>
      </c>
      <c r="E1331" s="39">
        <v>25.789714813232422</v>
      </c>
      <c r="F1331" s="41">
        <v>2299495</v>
      </c>
      <c r="G1331" s="35" t="s">
        <v>674</v>
      </c>
      <c r="H1331" s="35" t="s">
        <v>115</v>
      </c>
    </row>
    <row r="1332" spans="1:8">
      <c r="A1332" s="37">
        <v>40184.15625</v>
      </c>
      <c r="B1332" s="35" t="s">
        <v>654</v>
      </c>
      <c r="C1332" s="35" t="s">
        <v>655</v>
      </c>
      <c r="D1332" s="39">
        <v>35.349998474121094</v>
      </c>
      <c r="E1332" s="39">
        <v>25.522571563720703</v>
      </c>
      <c r="F1332" s="41">
        <v>1262190</v>
      </c>
      <c r="G1332" s="35" t="s">
        <v>674</v>
      </c>
      <c r="H1332" s="35" t="s">
        <v>115</v>
      </c>
    </row>
    <row r="1333" spans="1:8">
      <c r="A1333" s="37">
        <v>40185.15625</v>
      </c>
      <c r="B1333" s="35" t="s">
        <v>654</v>
      </c>
      <c r="C1333" s="35" t="s">
        <v>655</v>
      </c>
      <c r="D1333" s="39">
        <v>34.830001831054688</v>
      </c>
      <c r="E1333" s="39">
        <v>25.147140502929688</v>
      </c>
      <c r="F1333" s="41">
        <v>1364970</v>
      </c>
      <c r="G1333" s="35" t="s">
        <v>674</v>
      </c>
      <c r="H1333" s="35" t="s">
        <v>115</v>
      </c>
    </row>
    <row r="1334" spans="1:8">
      <c r="A1334" s="37">
        <v>40186.15625</v>
      </c>
      <c r="B1334" s="35" t="s">
        <v>654</v>
      </c>
      <c r="C1334" s="35" t="s">
        <v>655</v>
      </c>
      <c r="D1334" s="39">
        <v>35.130001068115234</v>
      </c>
      <c r="E1334" s="39">
        <v>25.363733291625977</v>
      </c>
      <c r="F1334" s="41">
        <v>903010</v>
      </c>
      <c r="G1334" s="35" t="s">
        <v>674</v>
      </c>
      <c r="H1334" s="35" t="s">
        <v>115</v>
      </c>
    </row>
    <row r="1335" spans="1:8">
      <c r="A1335" s="37">
        <v>40189.15625</v>
      </c>
      <c r="B1335" s="35" t="s">
        <v>654</v>
      </c>
      <c r="C1335" s="35" t="s">
        <v>655</v>
      </c>
      <c r="D1335" s="39">
        <v>35.790000915527344</v>
      </c>
      <c r="E1335" s="39">
        <v>25.840250015258789</v>
      </c>
      <c r="F1335" s="41">
        <v>1304325</v>
      </c>
      <c r="G1335" s="35" t="s">
        <v>674</v>
      </c>
      <c r="H1335" s="35" t="s">
        <v>115</v>
      </c>
    </row>
    <row r="1336" spans="1:8">
      <c r="A1336" s="37">
        <v>40190.15625</v>
      </c>
      <c r="B1336" s="35" t="s">
        <v>654</v>
      </c>
      <c r="C1336" s="35" t="s">
        <v>655</v>
      </c>
      <c r="D1336" s="39">
        <v>37.009998321533203</v>
      </c>
      <c r="E1336" s="39">
        <v>26.721088409423828</v>
      </c>
      <c r="F1336" s="41">
        <v>5285980</v>
      </c>
      <c r="G1336" s="35" t="s">
        <v>674</v>
      </c>
      <c r="H1336" s="35" t="s">
        <v>115</v>
      </c>
    </row>
    <row r="1337" spans="1:8">
      <c r="A1337" s="37">
        <v>40191.15625</v>
      </c>
      <c r="B1337" s="35" t="s">
        <v>654</v>
      </c>
      <c r="C1337" s="35" t="s">
        <v>655</v>
      </c>
      <c r="D1337" s="39">
        <v>36.189998626708984</v>
      </c>
      <c r="E1337" s="39">
        <v>26.129045486450195</v>
      </c>
      <c r="F1337" s="41">
        <v>3269120</v>
      </c>
      <c r="G1337" s="35" t="s">
        <v>674</v>
      </c>
      <c r="H1337" s="35" t="s">
        <v>115</v>
      </c>
    </row>
    <row r="1338" spans="1:8">
      <c r="A1338" s="37">
        <v>40192.15625</v>
      </c>
      <c r="B1338" s="35" t="s">
        <v>654</v>
      </c>
      <c r="C1338" s="35" t="s">
        <v>655</v>
      </c>
      <c r="D1338" s="39">
        <v>37</v>
      </c>
      <c r="E1338" s="39">
        <v>26.7138671875</v>
      </c>
      <c r="F1338" s="41">
        <v>1421175</v>
      </c>
      <c r="G1338" s="35" t="s">
        <v>674</v>
      </c>
      <c r="H1338" s="35" t="s">
        <v>115</v>
      </c>
    </row>
    <row r="1339" spans="1:8">
      <c r="A1339" s="37">
        <v>40193.15625</v>
      </c>
      <c r="B1339" s="35" t="s">
        <v>654</v>
      </c>
      <c r="C1339" s="35" t="s">
        <v>655</v>
      </c>
      <c r="D1339" s="39">
        <v>37.349998474121094</v>
      </c>
      <c r="E1339" s="39">
        <v>26.966564178466797</v>
      </c>
      <c r="F1339" s="41">
        <v>4422815</v>
      </c>
      <c r="G1339" s="35" t="s">
        <v>674</v>
      </c>
      <c r="H1339" s="35" t="s">
        <v>115</v>
      </c>
    </row>
    <row r="1340" spans="1:8">
      <c r="A1340" s="37">
        <v>40196.15625</v>
      </c>
      <c r="B1340" s="35" t="s">
        <v>654</v>
      </c>
      <c r="C1340" s="35" t="s">
        <v>655</v>
      </c>
      <c r="D1340" s="39">
        <v>39.549999237060547</v>
      </c>
      <c r="E1340" s="39">
        <v>28.554943084716797</v>
      </c>
      <c r="F1340" s="41">
        <v>6303285</v>
      </c>
      <c r="G1340" s="35" t="s">
        <v>674</v>
      </c>
      <c r="H1340" s="35" t="s">
        <v>115</v>
      </c>
    </row>
    <row r="1341" spans="1:8">
      <c r="A1341" s="37">
        <v>40197.15625</v>
      </c>
      <c r="B1341" s="35" t="s">
        <v>654</v>
      </c>
      <c r="C1341" s="35" t="s">
        <v>655</v>
      </c>
      <c r="D1341" s="39">
        <v>39.139999389648438</v>
      </c>
      <c r="E1341" s="39">
        <v>28.258935928344727</v>
      </c>
      <c r="F1341" s="41">
        <v>2286980</v>
      </c>
      <c r="G1341" s="35" t="s">
        <v>674</v>
      </c>
      <c r="H1341" s="35" t="s">
        <v>115</v>
      </c>
    </row>
    <row r="1342" spans="1:8">
      <c r="A1342" s="37">
        <v>40198.15625</v>
      </c>
      <c r="B1342" s="35" t="s">
        <v>654</v>
      </c>
      <c r="C1342" s="35" t="s">
        <v>655</v>
      </c>
      <c r="D1342" s="39">
        <v>39.819999694824219</v>
      </c>
      <c r="E1342" s="39">
        <v>28.749893188476563</v>
      </c>
      <c r="F1342" s="41">
        <v>4022965</v>
      </c>
      <c r="G1342" s="35" t="s">
        <v>674</v>
      </c>
      <c r="H1342" s="35" t="s">
        <v>115</v>
      </c>
    </row>
    <row r="1343" spans="1:8">
      <c r="A1343" s="37">
        <v>40199.15625</v>
      </c>
      <c r="B1343" s="35" t="s">
        <v>654</v>
      </c>
      <c r="C1343" s="35" t="s">
        <v>655</v>
      </c>
      <c r="D1343" s="39">
        <v>38.389999389648438</v>
      </c>
      <c r="E1343" s="39">
        <v>27.717441558837891</v>
      </c>
      <c r="F1343" s="41">
        <v>1852655</v>
      </c>
      <c r="G1343" s="35" t="s">
        <v>674</v>
      </c>
      <c r="H1343" s="35" t="s">
        <v>115</v>
      </c>
    </row>
    <row r="1344" spans="1:8">
      <c r="A1344" s="37">
        <v>40200.15625</v>
      </c>
      <c r="B1344" s="35" t="s">
        <v>654</v>
      </c>
      <c r="C1344" s="35" t="s">
        <v>655</v>
      </c>
      <c r="D1344" s="39">
        <v>37.270000457763672</v>
      </c>
      <c r="E1344" s="39">
        <v>26.908805847167969</v>
      </c>
      <c r="F1344" s="41">
        <v>1288460</v>
      </c>
      <c r="G1344" s="35" t="s">
        <v>674</v>
      </c>
      <c r="H1344" s="35" t="s">
        <v>115</v>
      </c>
    </row>
    <row r="1345" spans="1:8">
      <c r="A1345" s="37">
        <v>40203.15625</v>
      </c>
      <c r="B1345" s="35" t="s">
        <v>654</v>
      </c>
      <c r="C1345" s="35" t="s">
        <v>655</v>
      </c>
      <c r="D1345" s="39">
        <v>38</v>
      </c>
      <c r="E1345" s="39">
        <v>27.435867309570313</v>
      </c>
      <c r="F1345" s="41">
        <v>2117030</v>
      </c>
      <c r="G1345" s="35" t="s">
        <v>674</v>
      </c>
      <c r="H1345" s="35" t="s">
        <v>115</v>
      </c>
    </row>
    <row r="1346" spans="1:8">
      <c r="A1346" s="37">
        <v>40205.15625</v>
      </c>
      <c r="B1346" s="35" t="s">
        <v>654</v>
      </c>
      <c r="C1346" s="35" t="s">
        <v>655</v>
      </c>
      <c r="D1346" s="39">
        <v>35.040000915527344</v>
      </c>
      <c r="E1346" s="39">
        <v>25.298759460449219</v>
      </c>
      <c r="F1346" s="41">
        <v>1618025</v>
      </c>
      <c r="G1346" s="35" t="s">
        <v>674</v>
      </c>
      <c r="H1346" s="35" t="s">
        <v>115</v>
      </c>
    </row>
    <row r="1347" spans="1:8">
      <c r="A1347" s="37">
        <v>40206.15625</v>
      </c>
      <c r="B1347" s="35" t="s">
        <v>654</v>
      </c>
      <c r="C1347" s="35" t="s">
        <v>655</v>
      </c>
      <c r="D1347" s="39">
        <v>34.689998626708984</v>
      </c>
      <c r="E1347" s="39">
        <v>25.046054840087891</v>
      </c>
      <c r="F1347" s="41">
        <v>1424510</v>
      </c>
      <c r="G1347" s="35" t="s">
        <v>674</v>
      </c>
      <c r="H1347" s="35" t="s">
        <v>115</v>
      </c>
    </row>
    <row r="1348" spans="1:8">
      <c r="A1348" s="37">
        <v>40207.15625</v>
      </c>
      <c r="B1348" s="35" t="s">
        <v>654</v>
      </c>
      <c r="C1348" s="35" t="s">
        <v>655</v>
      </c>
      <c r="D1348" s="39">
        <v>33.959999084472656</v>
      </c>
      <c r="E1348" s="39">
        <v>24.518997192382813</v>
      </c>
      <c r="F1348" s="41">
        <v>1332810</v>
      </c>
      <c r="G1348" s="35" t="s">
        <v>674</v>
      </c>
      <c r="H1348" s="35" t="s">
        <v>115</v>
      </c>
    </row>
    <row r="1349" spans="1:8">
      <c r="A1349" s="37">
        <v>40210.15625</v>
      </c>
      <c r="B1349" s="35" t="s">
        <v>654</v>
      </c>
      <c r="C1349" s="35" t="s">
        <v>655</v>
      </c>
      <c r="D1349" s="39">
        <v>33.75</v>
      </c>
      <c r="E1349" s="39">
        <v>24.367380142211914</v>
      </c>
      <c r="F1349" s="41">
        <v>1655815</v>
      </c>
      <c r="G1349" s="35" t="s">
        <v>674</v>
      </c>
      <c r="H1349" s="35" t="s">
        <v>115</v>
      </c>
    </row>
    <row r="1350" spans="1:8">
      <c r="A1350" s="37">
        <v>40211.15625</v>
      </c>
      <c r="B1350" s="35" t="s">
        <v>654</v>
      </c>
      <c r="C1350" s="35" t="s">
        <v>655</v>
      </c>
      <c r="D1350" s="39">
        <v>33.610000610351563</v>
      </c>
      <c r="E1350" s="39">
        <v>24.26629638671875</v>
      </c>
      <c r="F1350" s="41">
        <v>1274000</v>
      </c>
      <c r="G1350" s="35" t="s">
        <v>674</v>
      </c>
      <c r="H1350" s="35" t="s">
        <v>115</v>
      </c>
    </row>
    <row r="1351" spans="1:8">
      <c r="A1351" s="37">
        <v>40212.15625</v>
      </c>
      <c r="B1351" s="35" t="s">
        <v>654</v>
      </c>
      <c r="C1351" s="35" t="s">
        <v>655</v>
      </c>
      <c r="D1351" s="39">
        <v>33.970001220703125</v>
      </c>
      <c r="E1351" s="39">
        <v>24.526220321655273</v>
      </c>
      <c r="F1351" s="41">
        <v>965570</v>
      </c>
      <c r="G1351" s="35" t="s">
        <v>674</v>
      </c>
      <c r="H1351" s="35" t="s">
        <v>115</v>
      </c>
    </row>
    <row r="1352" spans="1:8">
      <c r="A1352" s="37">
        <v>40213.15625</v>
      </c>
      <c r="B1352" s="35" t="s">
        <v>654</v>
      </c>
      <c r="C1352" s="35" t="s">
        <v>655</v>
      </c>
      <c r="D1352" s="39">
        <v>33.090000152587891</v>
      </c>
      <c r="E1352" s="39">
        <v>23.890865325927734</v>
      </c>
      <c r="F1352" s="41">
        <v>1750790</v>
      </c>
      <c r="G1352" s="35" t="s">
        <v>674</v>
      </c>
      <c r="H1352" s="35" t="s">
        <v>115</v>
      </c>
    </row>
    <row r="1353" spans="1:8">
      <c r="A1353" s="37">
        <v>40214.15625</v>
      </c>
      <c r="B1353" s="35" t="s">
        <v>654</v>
      </c>
      <c r="C1353" s="35" t="s">
        <v>655</v>
      </c>
      <c r="D1353" s="39">
        <v>32.779998779296875</v>
      </c>
      <c r="E1353" s="39">
        <v>23.66703987121582</v>
      </c>
      <c r="F1353" s="41">
        <v>1259425</v>
      </c>
      <c r="G1353" s="35" t="s">
        <v>674</v>
      </c>
      <c r="H1353" s="35" t="s">
        <v>115</v>
      </c>
    </row>
    <row r="1354" spans="1:8">
      <c r="A1354" s="37">
        <v>40217.15625</v>
      </c>
      <c r="B1354" s="35" t="s">
        <v>654</v>
      </c>
      <c r="C1354" s="35" t="s">
        <v>655</v>
      </c>
      <c r="D1354" s="39">
        <v>31.680000305175781</v>
      </c>
      <c r="E1354" s="39">
        <v>22.872846603393555</v>
      </c>
      <c r="F1354" s="41">
        <v>1320025</v>
      </c>
      <c r="G1354" s="35" t="s">
        <v>674</v>
      </c>
      <c r="H1354" s="35" t="s">
        <v>115</v>
      </c>
    </row>
    <row r="1355" spans="1:8">
      <c r="A1355" s="37">
        <v>40218.15625</v>
      </c>
      <c r="B1355" s="35" t="s">
        <v>654</v>
      </c>
      <c r="C1355" s="35" t="s">
        <v>655</v>
      </c>
      <c r="D1355" s="39">
        <v>31.739999771118164</v>
      </c>
      <c r="E1355" s="39">
        <v>22.916166305541992</v>
      </c>
      <c r="F1355" s="41">
        <v>786410</v>
      </c>
      <c r="G1355" s="35" t="s">
        <v>674</v>
      </c>
      <c r="H1355" s="35" t="s">
        <v>115</v>
      </c>
    </row>
    <row r="1356" spans="1:8">
      <c r="A1356" s="37">
        <v>40219.15625</v>
      </c>
      <c r="B1356" s="35" t="s">
        <v>654</v>
      </c>
      <c r="C1356" s="35" t="s">
        <v>655</v>
      </c>
      <c r="D1356" s="39">
        <v>34.209999084472656</v>
      </c>
      <c r="E1356" s="39">
        <v>24.699491500854492</v>
      </c>
      <c r="F1356" s="41">
        <v>4418620</v>
      </c>
      <c r="G1356" s="35" t="s">
        <v>674</v>
      </c>
      <c r="H1356" s="35" t="s">
        <v>115</v>
      </c>
    </row>
    <row r="1357" spans="1:8">
      <c r="A1357" s="37">
        <v>40220.15625</v>
      </c>
      <c r="B1357" s="35" t="s">
        <v>654</v>
      </c>
      <c r="C1357" s="35" t="s">
        <v>655</v>
      </c>
      <c r="D1357" s="39">
        <v>34.159999847412109</v>
      </c>
      <c r="E1357" s="39">
        <v>24.66339111328125</v>
      </c>
      <c r="F1357" s="41">
        <v>1924205</v>
      </c>
      <c r="G1357" s="35" t="s">
        <v>674</v>
      </c>
      <c r="H1357" s="35" t="s">
        <v>115</v>
      </c>
    </row>
    <row r="1358" spans="1:8">
      <c r="A1358" s="37">
        <v>40224.15625</v>
      </c>
      <c r="B1358" s="35" t="s">
        <v>654</v>
      </c>
      <c r="C1358" s="35" t="s">
        <v>655</v>
      </c>
      <c r="D1358" s="39">
        <v>34.209999084472656</v>
      </c>
      <c r="E1358" s="39">
        <v>24.699491500854492</v>
      </c>
      <c r="F1358" s="41">
        <v>835600</v>
      </c>
      <c r="G1358" s="35" t="s">
        <v>674</v>
      </c>
      <c r="H1358" s="35" t="s">
        <v>115</v>
      </c>
    </row>
    <row r="1359" spans="1:8">
      <c r="A1359" s="37">
        <v>40225.15625</v>
      </c>
      <c r="B1359" s="35" t="s">
        <v>654</v>
      </c>
      <c r="C1359" s="35" t="s">
        <v>655</v>
      </c>
      <c r="D1359" s="39">
        <v>34.099998474121094</v>
      </c>
      <c r="E1359" s="39">
        <v>24.620079040527344</v>
      </c>
      <c r="F1359" s="41">
        <v>473685</v>
      </c>
      <c r="G1359" s="35" t="s">
        <v>674</v>
      </c>
      <c r="H1359" s="35" t="s">
        <v>115</v>
      </c>
    </row>
    <row r="1360" spans="1:8">
      <c r="A1360" s="37">
        <v>40226.15625</v>
      </c>
      <c r="B1360" s="35" t="s">
        <v>654</v>
      </c>
      <c r="C1360" s="35" t="s">
        <v>655</v>
      </c>
      <c r="D1360" s="39">
        <v>34.25</v>
      </c>
      <c r="E1360" s="39">
        <v>24.728382110595703</v>
      </c>
      <c r="F1360" s="41">
        <v>539325</v>
      </c>
      <c r="G1360" s="35" t="s">
        <v>674</v>
      </c>
      <c r="H1360" s="35" t="s">
        <v>115</v>
      </c>
    </row>
    <row r="1361" spans="1:8">
      <c r="A1361" s="37">
        <v>40227.15625</v>
      </c>
      <c r="B1361" s="35" t="s">
        <v>654</v>
      </c>
      <c r="C1361" s="35" t="s">
        <v>655</v>
      </c>
      <c r="D1361" s="39">
        <v>35.029998779296875</v>
      </c>
      <c r="E1361" s="39">
        <v>25.291534423828125</v>
      </c>
      <c r="F1361" s="41">
        <v>1350475</v>
      </c>
      <c r="G1361" s="35" t="s">
        <v>674</v>
      </c>
      <c r="H1361" s="35" t="s">
        <v>115</v>
      </c>
    </row>
    <row r="1362" spans="1:8">
      <c r="A1362" s="37">
        <v>40228.15625</v>
      </c>
      <c r="B1362" s="35" t="s">
        <v>654</v>
      </c>
      <c r="C1362" s="35" t="s">
        <v>655</v>
      </c>
      <c r="D1362" s="39">
        <v>35.049999237060547</v>
      </c>
      <c r="E1362" s="39">
        <v>25.305973052978516</v>
      </c>
      <c r="F1362" s="41">
        <v>911925</v>
      </c>
      <c r="G1362" s="35" t="s">
        <v>674</v>
      </c>
      <c r="H1362" s="35" t="s">
        <v>115</v>
      </c>
    </row>
    <row r="1363" spans="1:8">
      <c r="A1363" s="37">
        <v>40231.15625</v>
      </c>
      <c r="B1363" s="35" t="s">
        <v>654</v>
      </c>
      <c r="C1363" s="35" t="s">
        <v>655</v>
      </c>
      <c r="D1363" s="39">
        <v>35.799999237060547</v>
      </c>
      <c r="E1363" s="39">
        <v>25.847467422485352</v>
      </c>
      <c r="F1363" s="41">
        <v>1823950</v>
      </c>
      <c r="G1363" s="35" t="s">
        <v>674</v>
      </c>
      <c r="H1363" s="35" t="s">
        <v>115</v>
      </c>
    </row>
    <row r="1364" spans="1:8">
      <c r="A1364" s="37">
        <v>40232.15625</v>
      </c>
      <c r="B1364" s="35" t="s">
        <v>654</v>
      </c>
      <c r="C1364" s="35" t="s">
        <v>655</v>
      </c>
      <c r="D1364" s="39">
        <v>35.470001220703125</v>
      </c>
      <c r="E1364" s="39">
        <v>25.609214782714844</v>
      </c>
      <c r="F1364" s="41">
        <v>1691720</v>
      </c>
      <c r="G1364" s="35" t="s">
        <v>674</v>
      </c>
      <c r="H1364" s="35" t="s">
        <v>115</v>
      </c>
    </row>
    <row r="1365" spans="1:8">
      <c r="A1365" s="37">
        <v>40233.15625</v>
      </c>
      <c r="B1365" s="35" t="s">
        <v>654</v>
      </c>
      <c r="C1365" s="35" t="s">
        <v>655</v>
      </c>
      <c r="D1365" s="39">
        <v>34.389999389648438</v>
      </c>
      <c r="E1365" s="39">
        <v>24.829450607299805</v>
      </c>
      <c r="F1365" s="41">
        <v>1052580</v>
      </c>
      <c r="G1365" s="35" t="s">
        <v>674</v>
      </c>
      <c r="H1365" s="35" t="s">
        <v>115</v>
      </c>
    </row>
    <row r="1366" spans="1:8">
      <c r="A1366" s="37">
        <v>40234.15625</v>
      </c>
      <c r="B1366" s="35" t="s">
        <v>654</v>
      </c>
      <c r="C1366" s="35" t="s">
        <v>655</v>
      </c>
      <c r="D1366" s="39">
        <v>33.389999389648438</v>
      </c>
      <c r="E1366" s="39">
        <v>24.107454299926758</v>
      </c>
      <c r="F1366" s="41">
        <v>1132015</v>
      </c>
      <c r="G1366" s="35" t="s">
        <v>674</v>
      </c>
      <c r="H1366" s="35" t="s">
        <v>115</v>
      </c>
    </row>
    <row r="1367" spans="1:8">
      <c r="A1367" s="37">
        <v>40235.15625</v>
      </c>
      <c r="B1367" s="35" t="s">
        <v>654</v>
      </c>
      <c r="C1367" s="35" t="s">
        <v>655</v>
      </c>
      <c r="D1367" s="39">
        <v>34.369998931884766</v>
      </c>
      <c r="E1367" s="39">
        <v>24.815011978149414</v>
      </c>
      <c r="F1367" s="41">
        <v>1306485</v>
      </c>
      <c r="G1367" s="35" t="s">
        <v>674</v>
      </c>
      <c r="H1367" s="35" t="s">
        <v>115</v>
      </c>
    </row>
    <row r="1368" spans="1:8">
      <c r="A1368" s="37">
        <v>40239.15625</v>
      </c>
      <c r="B1368" s="35" t="s">
        <v>654</v>
      </c>
      <c r="C1368" s="35" t="s">
        <v>655</v>
      </c>
      <c r="D1368" s="39">
        <v>35.349998474121094</v>
      </c>
      <c r="E1368" s="39">
        <v>25.522571563720703</v>
      </c>
      <c r="F1368" s="41">
        <v>733185</v>
      </c>
      <c r="G1368" s="35" t="s">
        <v>674</v>
      </c>
      <c r="H1368" s="35" t="s">
        <v>115</v>
      </c>
    </row>
    <row r="1369" spans="1:8">
      <c r="A1369" s="37">
        <v>40240.15625</v>
      </c>
      <c r="B1369" s="35" t="s">
        <v>654</v>
      </c>
      <c r="C1369" s="35" t="s">
        <v>655</v>
      </c>
      <c r="D1369" s="39">
        <v>35.430000305175781</v>
      </c>
      <c r="E1369" s="39">
        <v>25.580331802368164</v>
      </c>
      <c r="F1369" s="41">
        <v>767765</v>
      </c>
      <c r="G1369" s="35" t="s">
        <v>674</v>
      </c>
      <c r="H1369" s="35" t="s">
        <v>115</v>
      </c>
    </row>
    <row r="1370" spans="1:8">
      <c r="A1370" s="37">
        <v>40241.15625</v>
      </c>
      <c r="B1370" s="35" t="s">
        <v>654</v>
      </c>
      <c r="C1370" s="35" t="s">
        <v>655</v>
      </c>
      <c r="D1370" s="39">
        <v>34.939998626708984</v>
      </c>
      <c r="E1370" s="39">
        <v>25.226547241210938</v>
      </c>
      <c r="F1370" s="41">
        <v>761580</v>
      </c>
      <c r="G1370" s="35" t="s">
        <v>674</v>
      </c>
      <c r="H1370" s="35" t="s">
        <v>115</v>
      </c>
    </row>
    <row r="1371" spans="1:8">
      <c r="A1371" s="37">
        <v>40242.15625</v>
      </c>
      <c r="B1371" s="35" t="s">
        <v>654</v>
      </c>
      <c r="C1371" s="35" t="s">
        <v>655</v>
      </c>
      <c r="D1371" s="39">
        <v>35.009998321533203</v>
      </c>
      <c r="E1371" s="39">
        <v>25.277091979980469</v>
      </c>
      <c r="F1371" s="41">
        <v>607420</v>
      </c>
      <c r="G1371" s="35" t="s">
        <v>674</v>
      </c>
      <c r="H1371" s="35" t="s">
        <v>115</v>
      </c>
    </row>
    <row r="1372" spans="1:8">
      <c r="A1372" s="37">
        <v>40245.15625</v>
      </c>
      <c r="B1372" s="35" t="s">
        <v>654</v>
      </c>
      <c r="C1372" s="35" t="s">
        <v>655</v>
      </c>
      <c r="D1372" s="39">
        <v>34.840000152587891</v>
      </c>
      <c r="E1372" s="39">
        <v>25.154356002807617</v>
      </c>
      <c r="F1372" s="41">
        <v>992755</v>
      </c>
      <c r="G1372" s="35" t="s">
        <v>674</v>
      </c>
      <c r="H1372" s="35" t="s">
        <v>115</v>
      </c>
    </row>
    <row r="1373" spans="1:8">
      <c r="A1373" s="37">
        <v>40246.15625</v>
      </c>
      <c r="B1373" s="35" t="s">
        <v>654</v>
      </c>
      <c r="C1373" s="35" t="s">
        <v>655</v>
      </c>
      <c r="D1373" s="39">
        <v>34.590000152587891</v>
      </c>
      <c r="E1373" s="39">
        <v>24.973859786987305</v>
      </c>
      <c r="F1373" s="41">
        <v>649120</v>
      </c>
      <c r="G1373" s="35" t="s">
        <v>674</v>
      </c>
      <c r="H1373" s="35" t="s">
        <v>115</v>
      </c>
    </row>
    <row r="1374" spans="1:8">
      <c r="A1374" s="37">
        <v>40247.15625</v>
      </c>
      <c r="B1374" s="35" t="s">
        <v>654</v>
      </c>
      <c r="C1374" s="35" t="s">
        <v>655</v>
      </c>
      <c r="D1374" s="39">
        <v>34.669998168945313</v>
      </c>
      <c r="E1374" s="39">
        <v>25.031618118286133</v>
      </c>
      <c r="F1374" s="41">
        <v>468625</v>
      </c>
      <c r="G1374" s="35" t="s">
        <v>674</v>
      </c>
      <c r="H1374" s="35" t="s">
        <v>115</v>
      </c>
    </row>
    <row r="1375" spans="1:8">
      <c r="A1375" s="37">
        <v>40248.15625</v>
      </c>
      <c r="B1375" s="35" t="s">
        <v>654</v>
      </c>
      <c r="C1375" s="35" t="s">
        <v>655</v>
      </c>
      <c r="D1375" s="39">
        <v>34.569999694824219</v>
      </c>
      <c r="E1375" s="39">
        <v>24.959405899047852</v>
      </c>
      <c r="F1375" s="41">
        <v>892995</v>
      </c>
      <c r="G1375" s="35" t="s">
        <v>674</v>
      </c>
      <c r="H1375" s="35" t="s">
        <v>115</v>
      </c>
    </row>
    <row r="1376" spans="1:8">
      <c r="A1376" s="37">
        <v>40249.15625</v>
      </c>
      <c r="B1376" s="35" t="s">
        <v>654</v>
      </c>
      <c r="C1376" s="35" t="s">
        <v>655</v>
      </c>
      <c r="D1376" s="39">
        <v>34.520000457763672</v>
      </c>
      <c r="E1376" s="39">
        <v>24.923318862915039</v>
      </c>
      <c r="F1376" s="41">
        <v>673740</v>
      </c>
      <c r="G1376" s="35" t="s">
        <v>674</v>
      </c>
      <c r="H1376" s="35" t="s">
        <v>115</v>
      </c>
    </row>
    <row r="1377" spans="1:8">
      <c r="A1377" s="37">
        <v>40252.15625</v>
      </c>
      <c r="B1377" s="35" t="s">
        <v>654</v>
      </c>
      <c r="C1377" s="35" t="s">
        <v>655</v>
      </c>
      <c r="D1377" s="39">
        <v>34.119998931884766</v>
      </c>
      <c r="E1377" s="39">
        <v>24.634513854980469</v>
      </c>
      <c r="F1377" s="41">
        <v>359855</v>
      </c>
      <c r="G1377" s="35" t="s">
        <v>674</v>
      </c>
      <c r="H1377" s="35" t="s">
        <v>115</v>
      </c>
    </row>
    <row r="1378" spans="1:8">
      <c r="A1378" s="37">
        <v>40253.15625</v>
      </c>
      <c r="B1378" s="35" t="s">
        <v>654</v>
      </c>
      <c r="C1378" s="35" t="s">
        <v>655</v>
      </c>
      <c r="D1378" s="39">
        <v>34.419998168945313</v>
      </c>
      <c r="E1378" s="39">
        <v>24.851119995117188</v>
      </c>
      <c r="F1378" s="41">
        <v>625230</v>
      </c>
      <c r="G1378" s="35" t="s">
        <v>674</v>
      </c>
      <c r="H1378" s="35" t="s">
        <v>115</v>
      </c>
    </row>
    <row r="1379" spans="1:8">
      <c r="A1379" s="37">
        <v>40254.15625</v>
      </c>
      <c r="B1379" s="35" t="s">
        <v>654</v>
      </c>
      <c r="C1379" s="35" t="s">
        <v>655</v>
      </c>
      <c r="D1379" s="39">
        <v>34.150001525878906</v>
      </c>
      <c r="E1379" s="39">
        <v>24.65617561340332</v>
      </c>
      <c r="F1379" s="41">
        <v>485810</v>
      </c>
      <c r="G1379" s="35" t="s">
        <v>674</v>
      </c>
      <c r="H1379" s="35" t="s">
        <v>115</v>
      </c>
    </row>
    <row r="1380" spans="1:8">
      <c r="A1380" s="37">
        <v>40255.15625</v>
      </c>
      <c r="B1380" s="35" t="s">
        <v>654</v>
      </c>
      <c r="C1380" s="35" t="s">
        <v>655</v>
      </c>
      <c r="D1380" s="39">
        <v>34.189998626708984</v>
      </c>
      <c r="E1380" s="39">
        <v>24.685056686401367</v>
      </c>
      <c r="F1380" s="41">
        <v>482535</v>
      </c>
      <c r="G1380" s="35" t="s">
        <v>674</v>
      </c>
      <c r="H1380" s="35" t="s">
        <v>115</v>
      </c>
    </row>
    <row r="1381" spans="1:8">
      <c r="A1381" s="37">
        <v>40256.15625</v>
      </c>
      <c r="B1381" s="35" t="s">
        <v>654</v>
      </c>
      <c r="C1381" s="35" t="s">
        <v>655</v>
      </c>
      <c r="D1381" s="39">
        <v>34.310001373291016</v>
      </c>
      <c r="E1381" s="39">
        <v>24.771692276000977</v>
      </c>
      <c r="F1381" s="41">
        <v>748575</v>
      </c>
      <c r="G1381" s="35" t="s">
        <v>674</v>
      </c>
      <c r="H1381" s="35" t="s">
        <v>115</v>
      </c>
    </row>
    <row r="1382" spans="1:8">
      <c r="A1382" s="37">
        <v>40259.15625</v>
      </c>
      <c r="B1382" s="35" t="s">
        <v>654</v>
      </c>
      <c r="C1382" s="35" t="s">
        <v>655</v>
      </c>
      <c r="D1382" s="39">
        <v>33.75</v>
      </c>
      <c r="E1382" s="39">
        <v>24.367380142211914</v>
      </c>
      <c r="F1382" s="41">
        <v>775110</v>
      </c>
      <c r="G1382" s="35" t="s">
        <v>674</v>
      </c>
      <c r="H1382" s="35" t="s">
        <v>115</v>
      </c>
    </row>
    <row r="1383" spans="1:8">
      <c r="A1383" s="37">
        <v>40260.15625</v>
      </c>
      <c r="B1383" s="35" t="s">
        <v>654</v>
      </c>
      <c r="C1383" s="35" t="s">
        <v>655</v>
      </c>
      <c r="D1383" s="39">
        <v>34.330001831054688</v>
      </c>
      <c r="E1383" s="39">
        <v>24.786136627197266</v>
      </c>
      <c r="F1383" s="41">
        <v>1518260</v>
      </c>
      <c r="G1383" s="35" t="s">
        <v>674</v>
      </c>
      <c r="H1383" s="35" t="s">
        <v>115</v>
      </c>
    </row>
    <row r="1384" spans="1:8">
      <c r="A1384" s="37">
        <v>40262.15625</v>
      </c>
      <c r="B1384" s="35" t="s">
        <v>654</v>
      </c>
      <c r="C1384" s="35" t="s">
        <v>655</v>
      </c>
      <c r="D1384" s="39">
        <v>34.130001068115234</v>
      </c>
      <c r="E1384" s="39">
        <v>24.641733169555664</v>
      </c>
      <c r="F1384" s="41">
        <v>417820</v>
      </c>
      <c r="G1384" s="35" t="s">
        <v>674</v>
      </c>
      <c r="H1384" s="35" t="s">
        <v>115</v>
      </c>
    </row>
    <row r="1385" spans="1:8">
      <c r="A1385" s="37">
        <v>40263.15625</v>
      </c>
      <c r="B1385" s="35" t="s">
        <v>654</v>
      </c>
      <c r="C1385" s="35" t="s">
        <v>655</v>
      </c>
      <c r="D1385" s="39">
        <v>33.900001525878906</v>
      </c>
      <c r="E1385" s="39">
        <v>24.475679397583008</v>
      </c>
      <c r="F1385" s="41">
        <v>507710</v>
      </c>
      <c r="G1385" s="35" t="s">
        <v>674</v>
      </c>
      <c r="H1385" s="35" t="s">
        <v>115</v>
      </c>
    </row>
    <row r="1386" spans="1:8">
      <c r="A1386" s="37">
        <v>40266.15625</v>
      </c>
      <c r="B1386" s="35" t="s">
        <v>654</v>
      </c>
      <c r="C1386" s="35" t="s">
        <v>655</v>
      </c>
      <c r="D1386" s="39">
        <v>35.509998321533203</v>
      </c>
      <c r="E1386" s="39">
        <v>25.638093948364258</v>
      </c>
      <c r="F1386" s="41">
        <v>2271540</v>
      </c>
      <c r="G1386" s="35" t="s">
        <v>674</v>
      </c>
      <c r="H1386" s="35" t="s">
        <v>115</v>
      </c>
    </row>
    <row r="1387" spans="1:8">
      <c r="A1387" s="37">
        <v>40267.15625</v>
      </c>
      <c r="B1387" s="35" t="s">
        <v>654</v>
      </c>
      <c r="C1387" s="35" t="s">
        <v>655</v>
      </c>
      <c r="D1387" s="39">
        <v>34.299999237060547</v>
      </c>
      <c r="E1387" s="39">
        <v>24.764476776123047</v>
      </c>
      <c r="F1387" s="41">
        <v>500920</v>
      </c>
      <c r="G1387" s="35" t="s">
        <v>674</v>
      </c>
      <c r="H1387" s="35" t="s">
        <v>115</v>
      </c>
    </row>
    <row r="1388" spans="1:8">
      <c r="A1388" s="37">
        <v>40268.15625</v>
      </c>
      <c r="B1388" s="35" t="s">
        <v>654</v>
      </c>
      <c r="C1388" s="35" t="s">
        <v>655</v>
      </c>
      <c r="D1388" s="39">
        <v>33.950000762939453</v>
      </c>
      <c r="E1388" s="39">
        <v>24.51177978515625</v>
      </c>
      <c r="F1388" s="41">
        <v>452630</v>
      </c>
      <c r="G1388" s="35" t="s">
        <v>674</v>
      </c>
      <c r="H1388" s="35" t="s">
        <v>115</v>
      </c>
    </row>
    <row r="1389" spans="1:8">
      <c r="A1389" s="37">
        <v>40269.15625</v>
      </c>
      <c r="B1389" s="35" t="s">
        <v>654</v>
      </c>
      <c r="C1389" s="35" t="s">
        <v>655</v>
      </c>
      <c r="D1389" s="39">
        <v>34.369998931884766</v>
      </c>
      <c r="E1389" s="39">
        <v>24.815011978149414</v>
      </c>
      <c r="F1389" s="41">
        <v>199415</v>
      </c>
      <c r="G1389" s="35" t="s">
        <v>675</v>
      </c>
      <c r="H1389" s="35" t="s">
        <v>115</v>
      </c>
    </row>
    <row r="1390" spans="1:8">
      <c r="A1390" s="37">
        <v>40273.15625</v>
      </c>
      <c r="B1390" s="35" t="s">
        <v>654</v>
      </c>
      <c r="C1390" s="35" t="s">
        <v>655</v>
      </c>
      <c r="D1390" s="39">
        <v>34.509998321533203</v>
      </c>
      <c r="E1390" s="39">
        <v>24.916097640991211</v>
      </c>
      <c r="F1390" s="41">
        <v>356310</v>
      </c>
      <c r="G1390" s="35" t="s">
        <v>675</v>
      </c>
      <c r="H1390" s="35" t="s">
        <v>115</v>
      </c>
    </row>
    <row r="1391" spans="1:8">
      <c r="A1391" s="37">
        <v>40274.15625</v>
      </c>
      <c r="B1391" s="35" t="s">
        <v>654</v>
      </c>
      <c r="C1391" s="35" t="s">
        <v>655</v>
      </c>
      <c r="D1391" s="39">
        <v>34.479999542236328</v>
      </c>
      <c r="E1391" s="39">
        <v>24.894433975219727</v>
      </c>
      <c r="F1391" s="41">
        <v>578825</v>
      </c>
      <c r="G1391" s="35" t="s">
        <v>675</v>
      </c>
      <c r="H1391" s="35" t="s">
        <v>115</v>
      </c>
    </row>
    <row r="1392" spans="1:8">
      <c r="A1392" s="37">
        <v>40275.15625</v>
      </c>
      <c r="B1392" s="35" t="s">
        <v>654</v>
      </c>
      <c r="C1392" s="35" t="s">
        <v>655</v>
      </c>
      <c r="D1392" s="39">
        <v>34.590000152587891</v>
      </c>
      <c r="E1392" s="39">
        <v>24.973859786987305</v>
      </c>
      <c r="F1392" s="41">
        <v>608715</v>
      </c>
      <c r="G1392" s="35" t="s">
        <v>675</v>
      </c>
      <c r="H1392" s="35" t="s">
        <v>115</v>
      </c>
    </row>
    <row r="1393" spans="1:8">
      <c r="A1393" s="37">
        <v>40276.15625</v>
      </c>
      <c r="B1393" s="35" t="s">
        <v>654</v>
      </c>
      <c r="C1393" s="35" t="s">
        <v>655</v>
      </c>
      <c r="D1393" s="39">
        <v>34.509998321533203</v>
      </c>
      <c r="E1393" s="39">
        <v>24.916097640991211</v>
      </c>
      <c r="F1393" s="41">
        <v>734545</v>
      </c>
      <c r="G1393" s="35" t="s">
        <v>675</v>
      </c>
      <c r="H1393" s="35" t="s">
        <v>115</v>
      </c>
    </row>
    <row r="1394" spans="1:8">
      <c r="A1394" s="37">
        <v>40277.15625</v>
      </c>
      <c r="B1394" s="35" t="s">
        <v>654</v>
      </c>
      <c r="C1394" s="35" t="s">
        <v>655</v>
      </c>
      <c r="D1394" s="39">
        <v>33.950000762939453</v>
      </c>
      <c r="E1394" s="39">
        <v>24.51177978515625</v>
      </c>
      <c r="F1394" s="41">
        <v>481265</v>
      </c>
      <c r="G1394" s="35" t="s">
        <v>675</v>
      </c>
      <c r="H1394" s="35" t="s">
        <v>115</v>
      </c>
    </row>
    <row r="1395" spans="1:8">
      <c r="A1395" s="37">
        <v>40280.15625</v>
      </c>
      <c r="B1395" s="35" t="s">
        <v>654</v>
      </c>
      <c r="C1395" s="35" t="s">
        <v>655</v>
      </c>
      <c r="D1395" s="39">
        <v>33.979999542236328</v>
      </c>
      <c r="E1395" s="39">
        <v>24.533437728881836</v>
      </c>
      <c r="F1395" s="41">
        <v>1901130</v>
      </c>
      <c r="G1395" s="35" t="s">
        <v>675</v>
      </c>
      <c r="H1395" s="35" t="s">
        <v>115</v>
      </c>
    </row>
    <row r="1396" spans="1:8">
      <c r="A1396" s="37">
        <v>40281.15625</v>
      </c>
      <c r="B1396" s="35" t="s">
        <v>654</v>
      </c>
      <c r="C1396" s="35" t="s">
        <v>655</v>
      </c>
      <c r="D1396" s="39">
        <v>34.450000762939453</v>
      </c>
      <c r="E1396" s="39">
        <v>24.872770309448242</v>
      </c>
      <c r="F1396" s="41">
        <v>2035440</v>
      </c>
      <c r="G1396" s="35" t="s">
        <v>675</v>
      </c>
      <c r="H1396" s="35" t="s">
        <v>115</v>
      </c>
    </row>
    <row r="1397" spans="1:8">
      <c r="A1397" s="37">
        <v>40283.15625</v>
      </c>
      <c r="B1397" s="35" t="s">
        <v>654</v>
      </c>
      <c r="C1397" s="35" t="s">
        <v>655</v>
      </c>
      <c r="D1397" s="39">
        <v>36.209999084472656</v>
      </c>
      <c r="E1397" s="39">
        <v>26.143486022949219</v>
      </c>
      <c r="F1397" s="41">
        <v>4025540</v>
      </c>
      <c r="G1397" s="35" t="s">
        <v>675</v>
      </c>
      <c r="H1397" s="35" t="s">
        <v>115</v>
      </c>
    </row>
    <row r="1398" spans="1:8">
      <c r="A1398" s="37">
        <v>40284.15625</v>
      </c>
      <c r="B1398" s="35" t="s">
        <v>654</v>
      </c>
      <c r="C1398" s="35" t="s">
        <v>655</v>
      </c>
      <c r="D1398" s="39">
        <v>35.830001831054688</v>
      </c>
      <c r="E1398" s="39">
        <v>25.86912727355957</v>
      </c>
      <c r="F1398" s="41">
        <v>1939405</v>
      </c>
      <c r="G1398" s="35" t="s">
        <v>675</v>
      </c>
      <c r="H1398" s="35" t="s">
        <v>115</v>
      </c>
    </row>
    <row r="1399" spans="1:8">
      <c r="A1399" s="37">
        <v>40287.15625</v>
      </c>
      <c r="B1399" s="35" t="s">
        <v>654</v>
      </c>
      <c r="C1399" s="35" t="s">
        <v>655</v>
      </c>
      <c r="D1399" s="39">
        <v>34.610000610351563</v>
      </c>
      <c r="E1399" s="39">
        <v>24.988300323486328</v>
      </c>
      <c r="F1399" s="41">
        <v>672280</v>
      </c>
      <c r="G1399" s="35" t="s">
        <v>675</v>
      </c>
      <c r="H1399" s="35" t="s">
        <v>115</v>
      </c>
    </row>
    <row r="1400" spans="1:8">
      <c r="A1400" s="37">
        <v>40288.15625</v>
      </c>
      <c r="B1400" s="35" t="s">
        <v>654</v>
      </c>
      <c r="C1400" s="35" t="s">
        <v>655</v>
      </c>
      <c r="D1400" s="39">
        <v>34.990001678466797</v>
      </c>
      <c r="E1400" s="39">
        <v>25.262651443481445</v>
      </c>
      <c r="F1400" s="41">
        <v>846195</v>
      </c>
      <c r="G1400" s="35" t="s">
        <v>675</v>
      </c>
      <c r="H1400" s="35" t="s">
        <v>115</v>
      </c>
    </row>
    <row r="1401" spans="1:8">
      <c r="A1401" s="37">
        <v>40289.15625</v>
      </c>
      <c r="B1401" s="35" t="s">
        <v>654</v>
      </c>
      <c r="C1401" s="35" t="s">
        <v>655</v>
      </c>
      <c r="D1401" s="39">
        <v>35.029998779296875</v>
      </c>
      <c r="E1401" s="39">
        <v>25.291534423828125</v>
      </c>
      <c r="F1401" s="41">
        <v>842650</v>
      </c>
      <c r="G1401" s="35" t="s">
        <v>675</v>
      </c>
      <c r="H1401" s="35" t="s">
        <v>115</v>
      </c>
    </row>
    <row r="1402" spans="1:8">
      <c r="A1402" s="37">
        <v>40290.15625</v>
      </c>
      <c r="B1402" s="35" t="s">
        <v>654</v>
      </c>
      <c r="C1402" s="35" t="s">
        <v>655</v>
      </c>
      <c r="D1402" s="39">
        <v>35.119998931884766</v>
      </c>
      <c r="E1402" s="39">
        <v>25.356502532958984</v>
      </c>
      <c r="F1402" s="41">
        <v>750685</v>
      </c>
      <c r="G1402" s="35" t="s">
        <v>675</v>
      </c>
      <c r="H1402" s="35" t="s">
        <v>115</v>
      </c>
    </row>
    <row r="1403" spans="1:8">
      <c r="A1403" s="37">
        <v>40291.15625</v>
      </c>
      <c r="B1403" s="35" t="s">
        <v>654</v>
      </c>
      <c r="C1403" s="35" t="s">
        <v>655</v>
      </c>
      <c r="D1403" s="39">
        <v>35.590000152587891</v>
      </c>
      <c r="E1403" s="39">
        <v>25.695854187011719</v>
      </c>
      <c r="F1403" s="41">
        <v>897875</v>
      </c>
      <c r="G1403" s="35" t="s">
        <v>675</v>
      </c>
      <c r="H1403" s="35" t="s">
        <v>115</v>
      </c>
    </row>
    <row r="1404" spans="1:8">
      <c r="A1404" s="37">
        <v>40294.15625</v>
      </c>
      <c r="B1404" s="35" t="s">
        <v>654</v>
      </c>
      <c r="C1404" s="35" t="s">
        <v>655</v>
      </c>
      <c r="D1404" s="39">
        <v>36.990001678466797</v>
      </c>
      <c r="E1404" s="39">
        <v>26.706640243530273</v>
      </c>
      <c r="F1404" s="41">
        <v>1800940</v>
      </c>
      <c r="G1404" s="35" t="s">
        <v>675</v>
      </c>
      <c r="H1404" s="35" t="s">
        <v>115</v>
      </c>
    </row>
    <row r="1405" spans="1:8">
      <c r="A1405" s="37">
        <v>40295.15625</v>
      </c>
      <c r="B1405" s="35" t="s">
        <v>654</v>
      </c>
      <c r="C1405" s="35" t="s">
        <v>655</v>
      </c>
      <c r="D1405" s="39">
        <v>37.459999084472656</v>
      </c>
      <c r="E1405" s="39">
        <v>27.045980453491211</v>
      </c>
      <c r="F1405" s="41">
        <v>2139965</v>
      </c>
      <c r="G1405" s="35" t="s">
        <v>675</v>
      </c>
      <c r="H1405" s="35" t="s">
        <v>115</v>
      </c>
    </row>
    <row r="1406" spans="1:8">
      <c r="A1406" s="37">
        <v>40296.15625</v>
      </c>
      <c r="B1406" s="35" t="s">
        <v>654</v>
      </c>
      <c r="C1406" s="35" t="s">
        <v>655</v>
      </c>
      <c r="D1406" s="39">
        <v>37.110000610351563</v>
      </c>
      <c r="E1406" s="39">
        <v>26.793279647827148</v>
      </c>
      <c r="F1406" s="41">
        <v>1892885</v>
      </c>
      <c r="G1406" s="35" t="s">
        <v>675</v>
      </c>
      <c r="H1406" s="35" t="s">
        <v>115</v>
      </c>
    </row>
    <row r="1407" spans="1:8">
      <c r="A1407" s="37">
        <v>40297.15625</v>
      </c>
      <c r="B1407" s="35" t="s">
        <v>654</v>
      </c>
      <c r="C1407" s="35" t="s">
        <v>655</v>
      </c>
      <c r="D1407" s="39">
        <v>37.619998931884766</v>
      </c>
      <c r="E1407" s="39">
        <v>27.161506652832031</v>
      </c>
      <c r="F1407" s="41">
        <v>899450</v>
      </c>
      <c r="G1407" s="35" t="s">
        <v>675</v>
      </c>
      <c r="H1407" s="35" t="s">
        <v>115</v>
      </c>
    </row>
    <row r="1408" spans="1:8">
      <c r="A1408" s="37">
        <v>40298.15625</v>
      </c>
      <c r="B1408" s="35" t="s">
        <v>654</v>
      </c>
      <c r="C1408" s="35" t="s">
        <v>655</v>
      </c>
      <c r="D1408" s="39">
        <v>37.419998168945313</v>
      </c>
      <c r="E1408" s="39">
        <v>27.017105102539063</v>
      </c>
      <c r="F1408" s="41">
        <v>1139925</v>
      </c>
      <c r="G1408" s="35" t="s">
        <v>675</v>
      </c>
      <c r="H1408" s="35" t="s">
        <v>115</v>
      </c>
    </row>
    <row r="1409" spans="1:8">
      <c r="A1409" s="37">
        <v>40301.15625</v>
      </c>
      <c r="B1409" s="35" t="s">
        <v>654</v>
      </c>
      <c r="C1409" s="35" t="s">
        <v>655</v>
      </c>
      <c r="D1409" s="39">
        <v>38.330001831054688</v>
      </c>
      <c r="E1409" s="39">
        <v>27.67411994934082</v>
      </c>
      <c r="F1409" s="41">
        <v>1777125</v>
      </c>
      <c r="G1409" s="35" t="s">
        <v>675</v>
      </c>
      <c r="H1409" s="35" t="s">
        <v>115</v>
      </c>
    </row>
    <row r="1410" spans="1:8">
      <c r="A1410" s="37">
        <v>40302.15625</v>
      </c>
      <c r="B1410" s="35" t="s">
        <v>654</v>
      </c>
      <c r="C1410" s="35" t="s">
        <v>655</v>
      </c>
      <c r="D1410" s="39">
        <v>37.639999389648438</v>
      </c>
      <c r="E1410" s="39">
        <v>27.175941467285156</v>
      </c>
      <c r="F1410" s="41">
        <v>1559125</v>
      </c>
      <c r="G1410" s="35" t="s">
        <v>675</v>
      </c>
      <c r="H1410" s="35" t="s">
        <v>115</v>
      </c>
    </row>
    <row r="1411" spans="1:8">
      <c r="A1411" s="37">
        <v>40303.15625</v>
      </c>
      <c r="B1411" s="35" t="s">
        <v>654</v>
      </c>
      <c r="C1411" s="35" t="s">
        <v>655</v>
      </c>
      <c r="D1411" s="39">
        <v>37.740001678466797</v>
      </c>
      <c r="E1411" s="39">
        <v>27.248136520385742</v>
      </c>
      <c r="F1411" s="41">
        <v>1662070</v>
      </c>
      <c r="G1411" s="35" t="s">
        <v>675</v>
      </c>
      <c r="H1411" s="35" t="s">
        <v>115</v>
      </c>
    </row>
    <row r="1412" spans="1:8">
      <c r="A1412" s="37">
        <v>40304.15625</v>
      </c>
      <c r="B1412" s="35" t="s">
        <v>654</v>
      </c>
      <c r="C1412" s="35" t="s">
        <v>655</v>
      </c>
      <c r="D1412" s="39">
        <v>39.060001373291016</v>
      </c>
      <c r="E1412" s="39">
        <v>28.201177597045898</v>
      </c>
      <c r="F1412" s="41">
        <v>2100215</v>
      </c>
      <c r="G1412" s="35" t="s">
        <v>675</v>
      </c>
      <c r="H1412" s="35" t="s">
        <v>115</v>
      </c>
    </row>
    <row r="1413" spans="1:8">
      <c r="A1413" s="37">
        <v>40305.15625</v>
      </c>
      <c r="B1413" s="35" t="s">
        <v>654</v>
      </c>
      <c r="C1413" s="35" t="s">
        <v>655</v>
      </c>
      <c r="D1413" s="39">
        <v>39.259998321533203</v>
      </c>
      <c r="E1413" s="39">
        <v>28.345575332641602</v>
      </c>
      <c r="F1413" s="41">
        <v>1609430</v>
      </c>
      <c r="G1413" s="35" t="s">
        <v>675</v>
      </c>
      <c r="H1413" s="35" t="s">
        <v>115</v>
      </c>
    </row>
    <row r="1414" spans="1:8">
      <c r="A1414" s="37">
        <v>40308.15625</v>
      </c>
      <c r="B1414" s="35" t="s">
        <v>654</v>
      </c>
      <c r="C1414" s="35" t="s">
        <v>655</v>
      </c>
      <c r="D1414" s="39">
        <v>38.860000610351563</v>
      </c>
      <c r="E1414" s="39">
        <v>28.056777954101563</v>
      </c>
      <c r="F1414" s="41">
        <v>1196445</v>
      </c>
      <c r="G1414" s="35" t="s">
        <v>675</v>
      </c>
      <c r="H1414" s="35" t="s">
        <v>115</v>
      </c>
    </row>
    <row r="1415" spans="1:8">
      <c r="A1415" s="37">
        <v>40309.15625</v>
      </c>
      <c r="B1415" s="35" t="s">
        <v>654</v>
      </c>
      <c r="C1415" s="35" t="s">
        <v>655</v>
      </c>
      <c r="D1415" s="39">
        <v>38.880001068115234</v>
      </c>
      <c r="E1415" s="39">
        <v>28.071216583251953</v>
      </c>
      <c r="F1415" s="41">
        <v>422415</v>
      </c>
      <c r="G1415" s="35" t="s">
        <v>675</v>
      </c>
      <c r="H1415" s="35" t="s">
        <v>115</v>
      </c>
    </row>
    <row r="1416" spans="1:8">
      <c r="A1416" s="37">
        <v>40310.15625</v>
      </c>
      <c r="B1416" s="35" t="s">
        <v>654</v>
      </c>
      <c r="C1416" s="35" t="s">
        <v>655</v>
      </c>
      <c r="D1416" s="39">
        <v>38.580001831054688</v>
      </c>
      <c r="E1416" s="39">
        <v>27.854621887207031</v>
      </c>
      <c r="F1416" s="41">
        <v>326540</v>
      </c>
      <c r="G1416" s="35" t="s">
        <v>675</v>
      </c>
      <c r="H1416" s="35" t="s">
        <v>115</v>
      </c>
    </row>
    <row r="1417" spans="1:8">
      <c r="A1417" s="37">
        <v>40311.15625</v>
      </c>
      <c r="B1417" s="35" t="s">
        <v>654</v>
      </c>
      <c r="C1417" s="35" t="s">
        <v>655</v>
      </c>
      <c r="D1417" s="39">
        <v>39</v>
      </c>
      <c r="E1417" s="39">
        <v>28.157865524291992</v>
      </c>
      <c r="F1417" s="41">
        <v>1308155</v>
      </c>
      <c r="G1417" s="35" t="s">
        <v>675</v>
      </c>
      <c r="H1417" s="35" t="s">
        <v>115</v>
      </c>
    </row>
    <row r="1418" spans="1:8">
      <c r="A1418" s="37">
        <v>40312.15625</v>
      </c>
      <c r="B1418" s="35" t="s">
        <v>654</v>
      </c>
      <c r="C1418" s="35" t="s">
        <v>655</v>
      </c>
      <c r="D1418" s="39">
        <v>38.509998321533203</v>
      </c>
      <c r="E1418" s="39">
        <v>27.804082870483398</v>
      </c>
      <c r="F1418" s="41">
        <v>1307880</v>
      </c>
      <c r="G1418" s="35" t="s">
        <v>675</v>
      </c>
      <c r="H1418" s="35" t="s">
        <v>115</v>
      </c>
    </row>
    <row r="1419" spans="1:8">
      <c r="A1419" s="37">
        <v>40315.15625</v>
      </c>
      <c r="B1419" s="35" t="s">
        <v>654</v>
      </c>
      <c r="C1419" s="35" t="s">
        <v>655</v>
      </c>
      <c r="D1419" s="39">
        <v>38.360000610351563</v>
      </c>
      <c r="E1419" s="39">
        <v>27.695785522460938</v>
      </c>
      <c r="F1419" s="41">
        <v>231025</v>
      </c>
      <c r="G1419" s="35" t="s">
        <v>675</v>
      </c>
      <c r="H1419" s="35" t="s">
        <v>115</v>
      </c>
    </row>
    <row r="1420" spans="1:8">
      <c r="A1420" s="37">
        <v>40316.15625</v>
      </c>
      <c r="B1420" s="35" t="s">
        <v>654</v>
      </c>
      <c r="C1420" s="35" t="s">
        <v>655</v>
      </c>
      <c r="D1420" s="39">
        <v>37.840000152587891</v>
      </c>
      <c r="E1420" s="39">
        <v>27.320337295532227</v>
      </c>
      <c r="F1420" s="41">
        <v>136450</v>
      </c>
      <c r="G1420" s="35" t="s">
        <v>675</v>
      </c>
      <c r="H1420" s="35" t="s">
        <v>115</v>
      </c>
    </row>
    <row r="1421" spans="1:8">
      <c r="A1421" s="37">
        <v>40317.15625</v>
      </c>
      <c r="B1421" s="35" t="s">
        <v>654</v>
      </c>
      <c r="C1421" s="35" t="s">
        <v>655</v>
      </c>
      <c r="D1421" s="39">
        <v>37.130001068115234</v>
      </c>
      <c r="E1421" s="39">
        <v>26.807727813720703</v>
      </c>
      <c r="F1421" s="41">
        <v>647950</v>
      </c>
      <c r="G1421" s="35" t="s">
        <v>675</v>
      </c>
      <c r="H1421" s="35" t="s">
        <v>115</v>
      </c>
    </row>
    <row r="1422" spans="1:8">
      <c r="A1422" s="37">
        <v>40318.15625</v>
      </c>
      <c r="B1422" s="35" t="s">
        <v>654</v>
      </c>
      <c r="C1422" s="35" t="s">
        <v>655</v>
      </c>
      <c r="D1422" s="39">
        <v>36.799999237060547</v>
      </c>
      <c r="E1422" s="39">
        <v>26.569461822509766</v>
      </c>
      <c r="F1422" s="41">
        <v>398655</v>
      </c>
      <c r="G1422" s="35" t="s">
        <v>675</v>
      </c>
      <c r="H1422" s="35" t="s">
        <v>115</v>
      </c>
    </row>
    <row r="1423" spans="1:8">
      <c r="A1423" s="37">
        <v>40319.15625</v>
      </c>
      <c r="B1423" s="35" t="s">
        <v>654</v>
      </c>
      <c r="C1423" s="35" t="s">
        <v>655</v>
      </c>
      <c r="D1423" s="39">
        <v>36.840000152587891</v>
      </c>
      <c r="E1423" s="39">
        <v>26.598342895507813</v>
      </c>
      <c r="F1423" s="41">
        <v>562195</v>
      </c>
      <c r="G1423" s="35" t="s">
        <v>675</v>
      </c>
      <c r="H1423" s="35" t="s">
        <v>115</v>
      </c>
    </row>
    <row r="1424" spans="1:8">
      <c r="A1424" s="37">
        <v>40322.15625</v>
      </c>
      <c r="B1424" s="35" t="s">
        <v>654</v>
      </c>
      <c r="C1424" s="35" t="s">
        <v>655</v>
      </c>
      <c r="D1424" s="39">
        <v>37.150001525878906</v>
      </c>
      <c r="E1424" s="39">
        <v>26.822179794311523</v>
      </c>
      <c r="F1424" s="41">
        <v>366495</v>
      </c>
      <c r="G1424" s="35" t="s">
        <v>675</v>
      </c>
      <c r="H1424" s="35" t="s">
        <v>115</v>
      </c>
    </row>
    <row r="1425" spans="1:8">
      <c r="A1425" s="37">
        <v>40323.15625</v>
      </c>
      <c r="B1425" s="35" t="s">
        <v>654</v>
      </c>
      <c r="C1425" s="35" t="s">
        <v>655</v>
      </c>
      <c r="D1425" s="39">
        <v>37.080001831054688</v>
      </c>
      <c r="E1425" s="39">
        <v>26.771627426147461</v>
      </c>
      <c r="F1425" s="41">
        <v>579905</v>
      </c>
      <c r="G1425" s="35" t="s">
        <v>675</v>
      </c>
      <c r="H1425" s="35" t="s">
        <v>115</v>
      </c>
    </row>
    <row r="1426" spans="1:8">
      <c r="A1426" s="37">
        <v>40324.15625</v>
      </c>
      <c r="B1426" s="35" t="s">
        <v>654</v>
      </c>
      <c r="C1426" s="35" t="s">
        <v>655</v>
      </c>
      <c r="D1426" s="39">
        <v>36.810001373291016</v>
      </c>
      <c r="E1426" s="39">
        <v>26.576688766479492</v>
      </c>
      <c r="F1426" s="41">
        <v>432585</v>
      </c>
      <c r="G1426" s="35" t="s">
        <v>675</v>
      </c>
      <c r="H1426" s="35" t="s">
        <v>115</v>
      </c>
    </row>
    <row r="1427" spans="1:8">
      <c r="A1427" s="37">
        <v>40325.15625</v>
      </c>
      <c r="B1427" s="35" t="s">
        <v>654</v>
      </c>
      <c r="C1427" s="35" t="s">
        <v>655</v>
      </c>
      <c r="D1427" s="39">
        <v>37.400001525878906</v>
      </c>
      <c r="E1427" s="39">
        <v>27.002660751342773</v>
      </c>
      <c r="F1427" s="41">
        <v>220945</v>
      </c>
      <c r="G1427" s="35" t="s">
        <v>675</v>
      </c>
      <c r="H1427" s="35" t="s">
        <v>115</v>
      </c>
    </row>
    <row r="1428" spans="1:8">
      <c r="A1428" s="37">
        <v>40326.15625</v>
      </c>
      <c r="B1428" s="35" t="s">
        <v>654</v>
      </c>
      <c r="C1428" s="35" t="s">
        <v>655</v>
      </c>
      <c r="D1428" s="39">
        <v>36.779998779296875</v>
      </c>
      <c r="E1428" s="39">
        <v>26.555025100708008</v>
      </c>
      <c r="F1428" s="41">
        <v>353700</v>
      </c>
      <c r="G1428" s="35" t="s">
        <v>675</v>
      </c>
      <c r="H1428" s="35" t="s">
        <v>115</v>
      </c>
    </row>
    <row r="1429" spans="1:8">
      <c r="A1429" s="37">
        <v>40329.15625</v>
      </c>
      <c r="B1429" s="35" t="s">
        <v>654</v>
      </c>
      <c r="C1429" s="35" t="s">
        <v>655</v>
      </c>
      <c r="D1429" s="39">
        <v>35.849998474121094</v>
      </c>
      <c r="E1429" s="39">
        <v>25.883565902709961</v>
      </c>
      <c r="F1429" s="41">
        <v>400690</v>
      </c>
      <c r="G1429" s="35" t="s">
        <v>675</v>
      </c>
      <c r="H1429" s="35" t="s">
        <v>115</v>
      </c>
    </row>
    <row r="1430" spans="1:8">
      <c r="A1430" s="37">
        <v>40330.15625</v>
      </c>
      <c r="B1430" s="35" t="s">
        <v>654</v>
      </c>
      <c r="C1430" s="35" t="s">
        <v>655</v>
      </c>
      <c r="D1430" s="39">
        <v>34.939998626708984</v>
      </c>
      <c r="E1430" s="39">
        <v>25.226547241210938</v>
      </c>
      <c r="F1430" s="41">
        <v>388545</v>
      </c>
      <c r="G1430" s="35" t="s">
        <v>675</v>
      </c>
      <c r="H1430" s="35" t="s">
        <v>115</v>
      </c>
    </row>
    <row r="1431" spans="1:8">
      <c r="A1431" s="37">
        <v>40331.15625</v>
      </c>
      <c r="B1431" s="35" t="s">
        <v>654</v>
      </c>
      <c r="C1431" s="35" t="s">
        <v>655</v>
      </c>
      <c r="D1431" s="39">
        <v>35.240001678466797</v>
      </c>
      <c r="E1431" s="39">
        <v>25.443153381347656</v>
      </c>
      <c r="F1431" s="41">
        <v>328435</v>
      </c>
      <c r="G1431" s="35" t="s">
        <v>675</v>
      </c>
      <c r="H1431" s="35" t="s">
        <v>115</v>
      </c>
    </row>
    <row r="1432" spans="1:8">
      <c r="A1432" s="37">
        <v>40332.15625</v>
      </c>
      <c r="B1432" s="35" t="s">
        <v>654</v>
      </c>
      <c r="C1432" s="35" t="s">
        <v>655</v>
      </c>
      <c r="D1432" s="39">
        <v>35.779998779296875</v>
      </c>
      <c r="E1432" s="39">
        <v>25.833030700683594</v>
      </c>
      <c r="F1432" s="41">
        <v>251390</v>
      </c>
      <c r="G1432" s="35" t="s">
        <v>675</v>
      </c>
      <c r="H1432" s="35" t="s">
        <v>115</v>
      </c>
    </row>
    <row r="1433" spans="1:8">
      <c r="A1433" s="37">
        <v>40333.15625</v>
      </c>
      <c r="B1433" s="35" t="s">
        <v>654</v>
      </c>
      <c r="C1433" s="35" t="s">
        <v>655</v>
      </c>
      <c r="D1433" s="39">
        <v>35</v>
      </c>
      <c r="E1433" s="39">
        <v>25.269880294799805</v>
      </c>
      <c r="F1433" s="41">
        <v>334270</v>
      </c>
      <c r="G1433" s="35" t="s">
        <v>675</v>
      </c>
      <c r="H1433" s="35" t="s">
        <v>115</v>
      </c>
    </row>
    <row r="1434" spans="1:8">
      <c r="A1434" s="37">
        <v>40336.15625</v>
      </c>
      <c r="B1434" s="35" t="s">
        <v>654</v>
      </c>
      <c r="C1434" s="35" t="s">
        <v>655</v>
      </c>
      <c r="D1434" s="39">
        <v>34.360000610351563</v>
      </c>
      <c r="E1434" s="39">
        <v>24.807788848876953</v>
      </c>
      <c r="F1434" s="41">
        <v>206400</v>
      </c>
      <c r="G1434" s="35" t="s">
        <v>675</v>
      </c>
      <c r="H1434" s="35" t="s">
        <v>115</v>
      </c>
    </row>
    <row r="1435" spans="1:8">
      <c r="A1435" s="37">
        <v>40337.15625</v>
      </c>
      <c r="B1435" s="35" t="s">
        <v>654</v>
      </c>
      <c r="C1435" s="35" t="s">
        <v>655</v>
      </c>
      <c r="D1435" s="39">
        <v>34.290000915527344</v>
      </c>
      <c r="E1435" s="39">
        <v>24.757259368896484</v>
      </c>
      <c r="F1435" s="41">
        <v>193515</v>
      </c>
      <c r="G1435" s="35" t="s">
        <v>675</v>
      </c>
      <c r="H1435" s="35" t="s">
        <v>115</v>
      </c>
    </row>
    <row r="1436" spans="1:8">
      <c r="A1436" s="37">
        <v>40338.15625</v>
      </c>
      <c r="B1436" s="35" t="s">
        <v>654</v>
      </c>
      <c r="C1436" s="35" t="s">
        <v>655</v>
      </c>
      <c r="D1436" s="39">
        <v>33.529998779296875</v>
      </c>
      <c r="E1436" s="39">
        <v>24.208539962768555</v>
      </c>
      <c r="F1436" s="41">
        <v>477410</v>
      </c>
      <c r="G1436" s="35" t="s">
        <v>675</v>
      </c>
      <c r="H1436" s="35" t="s">
        <v>115</v>
      </c>
    </row>
    <row r="1437" spans="1:8">
      <c r="A1437" s="37">
        <v>40339.15625</v>
      </c>
      <c r="B1437" s="35" t="s">
        <v>654</v>
      </c>
      <c r="C1437" s="35" t="s">
        <v>655</v>
      </c>
      <c r="D1437" s="39">
        <v>33.099998474121094</v>
      </c>
      <c r="E1437" s="39">
        <v>23.898082733154297</v>
      </c>
      <c r="F1437" s="41">
        <v>561495</v>
      </c>
      <c r="G1437" s="35" t="s">
        <v>675</v>
      </c>
      <c r="H1437" s="35" t="s">
        <v>115</v>
      </c>
    </row>
    <row r="1438" spans="1:8">
      <c r="A1438" s="37">
        <v>40340.15625</v>
      </c>
      <c r="B1438" s="35" t="s">
        <v>654</v>
      </c>
      <c r="C1438" s="35" t="s">
        <v>655</v>
      </c>
      <c r="D1438" s="39">
        <v>34.180000305175781</v>
      </c>
      <c r="E1438" s="39">
        <v>24.677831649780273</v>
      </c>
      <c r="F1438" s="41">
        <v>481210</v>
      </c>
      <c r="G1438" s="35" t="s">
        <v>675</v>
      </c>
      <c r="H1438" s="35" t="s">
        <v>115</v>
      </c>
    </row>
    <row r="1439" spans="1:8">
      <c r="A1439" s="37">
        <v>40343.15625</v>
      </c>
      <c r="B1439" s="35" t="s">
        <v>654</v>
      </c>
      <c r="C1439" s="35" t="s">
        <v>655</v>
      </c>
      <c r="D1439" s="39">
        <v>34.520000457763672</v>
      </c>
      <c r="E1439" s="39">
        <v>24.923318862915039</v>
      </c>
      <c r="F1439" s="41">
        <v>198690</v>
      </c>
      <c r="G1439" s="35" t="s">
        <v>675</v>
      </c>
      <c r="H1439" s="35" t="s">
        <v>115</v>
      </c>
    </row>
    <row r="1440" spans="1:8">
      <c r="A1440" s="37">
        <v>40344.15625</v>
      </c>
      <c r="B1440" s="35" t="s">
        <v>654</v>
      </c>
      <c r="C1440" s="35" t="s">
        <v>655</v>
      </c>
      <c r="D1440" s="39">
        <v>35.279998779296875</v>
      </c>
      <c r="E1440" s="39">
        <v>25.472028732299805</v>
      </c>
      <c r="F1440" s="41">
        <v>509165</v>
      </c>
      <c r="G1440" s="35" t="s">
        <v>675</v>
      </c>
      <c r="H1440" s="35" t="s">
        <v>115</v>
      </c>
    </row>
    <row r="1441" spans="1:8">
      <c r="A1441" s="37">
        <v>40345.15625</v>
      </c>
      <c r="B1441" s="35" t="s">
        <v>654</v>
      </c>
      <c r="C1441" s="35" t="s">
        <v>655</v>
      </c>
      <c r="D1441" s="39">
        <v>35.819999694824219</v>
      </c>
      <c r="E1441" s="39">
        <v>25.861909866333008</v>
      </c>
      <c r="F1441" s="41">
        <v>626620</v>
      </c>
      <c r="G1441" s="35" t="s">
        <v>675</v>
      </c>
      <c r="H1441" s="35" t="s">
        <v>115</v>
      </c>
    </row>
    <row r="1442" spans="1:8">
      <c r="A1442" s="37">
        <v>40346.15625</v>
      </c>
      <c r="B1442" s="35" t="s">
        <v>654</v>
      </c>
      <c r="C1442" s="35" t="s">
        <v>655</v>
      </c>
      <c r="D1442" s="39">
        <v>35.520000457763672</v>
      </c>
      <c r="E1442" s="39">
        <v>25.645307540893555</v>
      </c>
      <c r="F1442" s="41">
        <v>332595</v>
      </c>
      <c r="G1442" s="35" t="s">
        <v>675</v>
      </c>
      <c r="H1442" s="35" t="s">
        <v>115</v>
      </c>
    </row>
    <row r="1443" spans="1:8">
      <c r="A1443" s="37">
        <v>40347.15625</v>
      </c>
      <c r="B1443" s="35" t="s">
        <v>654</v>
      </c>
      <c r="C1443" s="35" t="s">
        <v>655</v>
      </c>
      <c r="D1443" s="39">
        <v>35.389999389648438</v>
      </c>
      <c r="E1443" s="39">
        <v>25.551446914672852</v>
      </c>
      <c r="F1443" s="41">
        <v>327875</v>
      </c>
      <c r="G1443" s="35" t="s">
        <v>675</v>
      </c>
      <c r="H1443" s="35" t="s">
        <v>115</v>
      </c>
    </row>
    <row r="1444" spans="1:8">
      <c r="A1444" s="37">
        <v>40350.15625</v>
      </c>
      <c r="B1444" s="35" t="s">
        <v>654</v>
      </c>
      <c r="C1444" s="35" t="s">
        <v>655</v>
      </c>
      <c r="D1444" s="39">
        <v>35.860000610351563</v>
      </c>
      <c r="E1444" s="39">
        <v>25.890789031982422</v>
      </c>
      <c r="F1444" s="41">
        <v>460045</v>
      </c>
      <c r="G1444" s="35" t="s">
        <v>675</v>
      </c>
      <c r="H1444" s="35" t="s">
        <v>115</v>
      </c>
    </row>
    <row r="1445" spans="1:8">
      <c r="A1445" s="37">
        <v>40351.15625</v>
      </c>
      <c r="B1445" s="35" t="s">
        <v>654</v>
      </c>
      <c r="C1445" s="35" t="s">
        <v>655</v>
      </c>
      <c r="D1445" s="39">
        <v>35.959999084472656</v>
      </c>
      <c r="E1445" s="39">
        <v>25.962984085083008</v>
      </c>
      <c r="F1445" s="41">
        <v>341620</v>
      </c>
      <c r="G1445" s="35" t="s">
        <v>675</v>
      </c>
      <c r="H1445" s="35" t="s">
        <v>115</v>
      </c>
    </row>
    <row r="1446" spans="1:8">
      <c r="A1446" s="37">
        <v>40352.15625</v>
      </c>
      <c r="B1446" s="35" t="s">
        <v>654</v>
      </c>
      <c r="C1446" s="35" t="s">
        <v>655</v>
      </c>
      <c r="D1446" s="39">
        <v>36.049999237060547</v>
      </c>
      <c r="E1446" s="39">
        <v>26.027971267700195</v>
      </c>
      <c r="F1446" s="41">
        <v>595160</v>
      </c>
      <c r="G1446" s="35" t="s">
        <v>675</v>
      </c>
      <c r="H1446" s="35" t="s">
        <v>115</v>
      </c>
    </row>
    <row r="1447" spans="1:8">
      <c r="A1447" s="37">
        <v>40353.15625</v>
      </c>
      <c r="B1447" s="35" t="s">
        <v>654</v>
      </c>
      <c r="C1447" s="35" t="s">
        <v>655</v>
      </c>
      <c r="D1447" s="39">
        <v>35.799999237060547</v>
      </c>
      <c r="E1447" s="39">
        <v>25.847467422485352</v>
      </c>
      <c r="F1447" s="41">
        <v>665655</v>
      </c>
      <c r="G1447" s="35" t="s">
        <v>675</v>
      </c>
      <c r="H1447" s="35" t="s">
        <v>115</v>
      </c>
    </row>
    <row r="1448" spans="1:8">
      <c r="A1448" s="37">
        <v>40354.15625</v>
      </c>
      <c r="B1448" s="35" t="s">
        <v>654</v>
      </c>
      <c r="C1448" s="35" t="s">
        <v>655</v>
      </c>
      <c r="D1448" s="39">
        <v>35.759998321533203</v>
      </c>
      <c r="E1448" s="39">
        <v>25.818586349487305</v>
      </c>
      <c r="F1448" s="41">
        <v>1068255</v>
      </c>
      <c r="G1448" s="35" t="s">
        <v>675</v>
      </c>
      <c r="H1448" s="35" t="s">
        <v>115</v>
      </c>
    </row>
    <row r="1449" spans="1:8">
      <c r="A1449" s="37">
        <v>40357.15625</v>
      </c>
      <c r="B1449" s="35" t="s">
        <v>654</v>
      </c>
      <c r="C1449" s="35" t="s">
        <v>655</v>
      </c>
      <c r="D1449" s="39">
        <v>36.270000457763672</v>
      </c>
      <c r="E1449" s="39">
        <v>26.186813354492188</v>
      </c>
      <c r="F1449" s="41">
        <v>1174305</v>
      </c>
      <c r="G1449" s="35" t="s">
        <v>675</v>
      </c>
      <c r="H1449" s="35" t="s">
        <v>115</v>
      </c>
    </row>
    <row r="1450" spans="1:8">
      <c r="A1450" s="37">
        <v>40358.15625</v>
      </c>
      <c r="B1450" s="35" t="s">
        <v>654</v>
      </c>
      <c r="C1450" s="35" t="s">
        <v>655</v>
      </c>
      <c r="D1450" s="39">
        <v>34.549999237060547</v>
      </c>
      <c r="E1450" s="39">
        <v>25.946491241455078</v>
      </c>
      <c r="F1450" s="41">
        <v>887160</v>
      </c>
      <c r="G1450" s="35" t="s">
        <v>675</v>
      </c>
      <c r="H1450" s="35" t="s">
        <v>115</v>
      </c>
    </row>
    <row r="1451" spans="1:8">
      <c r="A1451" s="37">
        <v>40359.15625</v>
      </c>
      <c r="B1451" s="35" t="s">
        <v>654</v>
      </c>
      <c r="C1451" s="35" t="s">
        <v>655</v>
      </c>
      <c r="D1451" s="39">
        <v>34.180000305175781</v>
      </c>
      <c r="E1451" s="39">
        <v>25.668628692626953</v>
      </c>
      <c r="F1451" s="41">
        <v>384270</v>
      </c>
      <c r="G1451" s="35" t="s">
        <v>675</v>
      </c>
      <c r="H1451" s="35" t="s">
        <v>115</v>
      </c>
    </row>
    <row r="1452" spans="1:8">
      <c r="A1452" s="37">
        <v>40360.15625</v>
      </c>
      <c r="B1452" s="35" t="s">
        <v>654</v>
      </c>
      <c r="C1452" s="35" t="s">
        <v>655</v>
      </c>
      <c r="D1452" s="39">
        <v>34.479999542236328</v>
      </c>
      <c r="E1452" s="39">
        <v>25.893924713134766</v>
      </c>
      <c r="F1452" s="41">
        <v>537505</v>
      </c>
      <c r="G1452" s="35" t="s">
        <v>675</v>
      </c>
      <c r="H1452" s="35" t="s">
        <v>115</v>
      </c>
    </row>
    <row r="1453" spans="1:8">
      <c r="A1453" s="37">
        <v>40361.15625</v>
      </c>
      <c r="B1453" s="35" t="s">
        <v>654</v>
      </c>
      <c r="C1453" s="35" t="s">
        <v>655</v>
      </c>
      <c r="D1453" s="39">
        <v>33.990001678466797</v>
      </c>
      <c r="E1453" s="39">
        <v>25.525943756103516</v>
      </c>
      <c r="F1453" s="41">
        <v>1042285</v>
      </c>
      <c r="G1453" s="35" t="s">
        <v>675</v>
      </c>
      <c r="H1453" s="35" t="s">
        <v>115</v>
      </c>
    </row>
    <row r="1454" spans="1:8">
      <c r="A1454" s="37">
        <v>40364.15625</v>
      </c>
      <c r="B1454" s="35" t="s">
        <v>654</v>
      </c>
      <c r="C1454" s="35" t="s">
        <v>655</v>
      </c>
      <c r="D1454" s="39">
        <v>33.869998931884766</v>
      </c>
      <c r="E1454" s="39">
        <v>25.435819625854492</v>
      </c>
      <c r="F1454" s="41">
        <v>453485</v>
      </c>
      <c r="G1454" s="35" t="s">
        <v>675</v>
      </c>
      <c r="H1454" s="35" t="s">
        <v>115</v>
      </c>
    </row>
    <row r="1455" spans="1:8">
      <c r="A1455" s="37">
        <v>40365.15625</v>
      </c>
      <c r="B1455" s="35" t="s">
        <v>654</v>
      </c>
      <c r="C1455" s="35" t="s">
        <v>655</v>
      </c>
      <c r="D1455" s="39">
        <v>34.720001220703125</v>
      </c>
      <c r="E1455" s="39">
        <v>26.074161529541016</v>
      </c>
      <c r="F1455" s="41">
        <v>650305</v>
      </c>
      <c r="G1455" s="35" t="s">
        <v>675</v>
      </c>
      <c r="H1455" s="35" t="s">
        <v>115</v>
      </c>
    </row>
    <row r="1456" spans="1:8">
      <c r="A1456" s="37">
        <v>40366.15625</v>
      </c>
      <c r="B1456" s="35" t="s">
        <v>654</v>
      </c>
      <c r="C1456" s="35" t="s">
        <v>655</v>
      </c>
      <c r="D1456" s="39">
        <v>34.349998474121094</v>
      </c>
      <c r="E1456" s="39">
        <v>25.796295166015625</v>
      </c>
      <c r="F1456" s="41">
        <v>465840</v>
      </c>
      <c r="G1456" s="35" t="s">
        <v>675</v>
      </c>
      <c r="H1456" s="35" t="s">
        <v>115</v>
      </c>
    </row>
    <row r="1457" spans="1:8">
      <c r="A1457" s="37">
        <v>40367.15625</v>
      </c>
      <c r="B1457" s="35" t="s">
        <v>654</v>
      </c>
      <c r="C1457" s="35" t="s">
        <v>655</v>
      </c>
      <c r="D1457" s="39">
        <v>34.509998321533203</v>
      </c>
      <c r="E1457" s="39">
        <v>25.916450500488281</v>
      </c>
      <c r="F1457" s="41">
        <v>465960</v>
      </c>
      <c r="G1457" s="35" t="s">
        <v>675</v>
      </c>
      <c r="H1457" s="35" t="s">
        <v>115</v>
      </c>
    </row>
    <row r="1458" spans="1:8">
      <c r="A1458" s="37">
        <v>40368.15625</v>
      </c>
      <c r="B1458" s="35" t="s">
        <v>654</v>
      </c>
      <c r="C1458" s="35" t="s">
        <v>655</v>
      </c>
      <c r="D1458" s="39">
        <v>35.240001678466797</v>
      </c>
      <c r="E1458" s="39">
        <v>26.464677810668945</v>
      </c>
      <c r="F1458" s="41">
        <v>740865</v>
      </c>
      <c r="G1458" s="35" t="s">
        <v>675</v>
      </c>
      <c r="H1458" s="35" t="s">
        <v>115</v>
      </c>
    </row>
    <row r="1459" spans="1:8">
      <c r="A1459" s="37">
        <v>40371.15625</v>
      </c>
      <c r="B1459" s="35" t="s">
        <v>654</v>
      </c>
      <c r="C1459" s="35" t="s">
        <v>655</v>
      </c>
      <c r="D1459" s="39">
        <v>35.479999542236328</v>
      </c>
      <c r="E1459" s="39">
        <v>26.644912719726563</v>
      </c>
      <c r="F1459" s="41">
        <v>640965</v>
      </c>
      <c r="G1459" s="35" t="s">
        <v>675</v>
      </c>
      <c r="H1459" s="35" t="s">
        <v>115</v>
      </c>
    </row>
    <row r="1460" spans="1:8">
      <c r="A1460" s="37">
        <v>40372.15625</v>
      </c>
      <c r="B1460" s="35" t="s">
        <v>654</v>
      </c>
      <c r="C1460" s="35" t="s">
        <v>655</v>
      </c>
      <c r="D1460" s="39">
        <v>35.220001220703125</v>
      </c>
      <c r="E1460" s="39">
        <v>26.449655532836914</v>
      </c>
      <c r="F1460" s="41">
        <v>1328480</v>
      </c>
      <c r="G1460" s="35" t="s">
        <v>675</v>
      </c>
      <c r="H1460" s="35" t="s">
        <v>115</v>
      </c>
    </row>
    <row r="1461" spans="1:8">
      <c r="A1461" s="37">
        <v>40373.15625</v>
      </c>
      <c r="B1461" s="35" t="s">
        <v>654</v>
      </c>
      <c r="C1461" s="35" t="s">
        <v>655</v>
      </c>
      <c r="D1461" s="39">
        <v>35.659999847412109</v>
      </c>
      <c r="E1461" s="39">
        <v>26.780082702636719</v>
      </c>
      <c r="F1461" s="41">
        <v>1147595</v>
      </c>
      <c r="G1461" s="35" t="s">
        <v>675</v>
      </c>
      <c r="H1461" s="35" t="s">
        <v>115</v>
      </c>
    </row>
    <row r="1462" spans="1:8">
      <c r="A1462" s="37">
        <v>40374.15625</v>
      </c>
      <c r="B1462" s="35" t="s">
        <v>654</v>
      </c>
      <c r="C1462" s="35" t="s">
        <v>655</v>
      </c>
      <c r="D1462" s="39">
        <v>35.049999237060547</v>
      </c>
      <c r="E1462" s="39">
        <v>26.321981430053711</v>
      </c>
      <c r="F1462" s="41">
        <v>251455</v>
      </c>
      <c r="G1462" s="35" t="s">
        <v>675</v>
      </c>
      <c r="H1462" s="35" t="s">
        <v>115</v>
      </c>
    </row>
    <row r="1463" spans="1:8">
      <c r="A1463" s="37">
        <v>40375.15625</v>
      </c>
      <c r="B1463" s="35" t="s">
        <v>654</v>
      </c>
      <c r="C1463" s="35" t="s">
        <v>655</v>
      </c>
      <c r="D1463" s="39">
        <v>36.430000305175781</v>
      </c>
      <c r="E1463" s="39">
        <v>27.358346939086914</v>
      </c>
      <c r="F1463" s="41">
        <v>2551835</v>
      </c>
      <c r="G1463" s="35" t="s">
        <v>675</v>
      </c>
      <c r="H1463" s="35" t="s">
        <v>115</v>
      </c>
    </row>
    <row r="1464" spans="1:8">
      <c r="A1464" s="37">
        <v>40378.15625</v>
      </c>
      <c r="B1464" s="35" t="s">
        <v>654</v>
      </c>
      <c r="C1464" s="35" t="s">
        <v>655</v>
      </c>
      <c r="D1464" s="39">
        <v>36.490001678466797</v>
      </c>
      <c r="E1464" s="39">
        <v>27.403402328491211</v>
      </c>
      <c r="F1464" s="41">
        <v>2469385</v>
      </c>
      <c r="G1464" s="35" t="s">
        <v>675</v>
      </c>
      <c r="H1464" s="35" t="s">
        <v>115</v>
      </c>
    </row>
    <row r="1465" spans="1:8">
      <c r="A1465" s="37">
        <v>40379.15625</v>
      </c>
      <c r="B1465" s="35" t="s">
        <v>654</v>
      </c>
      <c r="C1465" s="35" t="s">
        <v>655</v>
      </c>
      <c r="D1465" s="39">
        <v>37.069999694824219</v>
      </c>
      <c r="E1465" s="39">
        <v>27.838970184326172</v>
      </c>
      <c r="F1465" s="41">
        <v>4913440</v>
      </c>
      <c r="G1465" s="35" t="s">
        <v>675</v>
      </c>
      <c r="H1465" s="35" t="s">
        <v>115</v>
      </c>
    </row>
    <row r="1466" spans="1:8">
      <c r="A1466" s="37">
        <v>40380.15625</v>
      </c>
      <c r="B1466" s="35" t="s">
        <v>654</v>
      </c>
      <c r="C1466" s="35" t="s">
        <v>655</v>
      </c>
      <c r="D1466" s="39">
        <v>39.400001525878906</v>
      </c>
      <c r="E1466" s="39">
        <v>29.588764190673828</v>
      </c>
      <c r="F1466" s="41">
        <v>4776550</v>
      </c>
      <c r="G1466" s="35" t="s">
        <v>675</v>
      </c>
      <c r="H1466" s="35" t="s">
        <v>115</v>
      </c>
    </row>
    <row r="1467" spans="1:8">
      <c r="A1467" s="37">
        <v>40381.15625</v>
      </c>
      <c r="B1467" s="35" t="s">
        <v>654</v>
      </c>
      <c r="C1467" s="35" t="s">
        <v>655</v>
      </c>
      <c r="D1467" s="39">
        <v>38.779998779296875</v>
      </c>
      <c r="E1467" s="39">
        <v>29.12315559387207</v>
      </c>
      <c r="F1467" s="41">
        <v>1626425</v>
      </c>
      <c r="G1467" s="35" t="s">
        <v>675</v>
      </c>
      <c r="H1467" s="35" t="s">
        <v>115</v>
      </c>
    </row>
    <row r="1468" spans="1:8">
      <c r="A1468" s="37">
        <v>40382.15625</v>
      </c>
      <c r="B1468" s="35" t="s">
        <v>654</v>
      </c>
      <c r="C1468" s="35" t="s">
        <v>655</v>
      </c>
      <c r="D1468" s="39">
        <v>37.990001678466797</v>
      </c>
      <c r="E1468" s="39">
        <v>28.529878616333008</v>
      </c>
      <c r="F1468" s="41">
        <v>719155</v>
      </c>
      <c r="G1468" s="35" t="s">
        <v>675</v>
      </c>
      <c r="H1468" s="35" t="s">
        <v>115</v>
      </c>
    </row>
    <row r="1469" spans="1:8">
      <c r="A1469" s="37">
        <v>40385.15625</v>
      </c>
      <c r="B1469" s="35" t="s">
        <v>654</v>
      </c>
      <c r="C1469" s="35" t="s">
        <v>655</v>
      </c>
      <c r="D1469" s="39">
        <v>36.450000762939453</v>
      </c>
      <c r="E1469" s="39">
        <v>27.373367309570313</v>
      </c>
      <c r="F1469" s="41">
        <v>792690</v>
      </c>
      <c r="G1469" s="35" t="s">
        <v>675</v>
      </c>
      <c r="H1469" s="35" t="s">
        <v>115</v>
      </c>
    </row>
    <row r="1470" spans="1:8">
      <c r="A1470" s="37">
        <v>40386.15625</v>
      </c>
      <c r="B1470" s="35" t="s">
        <v>654</v>
      </c>
      <c r="C1470" s="35" t="s">
        <v>655</v>
      </c>
      <c r="D1470" s="39">
        <v>36.330001831054688</v>
      </c>
      <c r="E1470" s="39">
        <v>27.283252716064453</v>
      </c>
      <c r="F1470" s="41">
        <v>673710</v>
      </c>
      <c r="G1470" s="35" t="s">
        <v>675</v>
      </c>
      <c r="H1470" s="35" t="s">
        <v>115</v>
      </c>
    </row>
    <row r="1471" spans="1:8">
      <c r="A1471" s="37">
        <v>40387.15625</v>
      </c>
      <c r="B1471" s="35" t="s">
        <v>654</v>
      </c>
      <c r="C1471" s="35" t="s">
        <v>655</v>
      </c>
      <c r="D1471" s="39">
        <v>36.830001831054688</v>
      </c>
      <c r="E1471" s="39">
        <v>27.658740997314453</v>
      </c>
      <c r="F1471" s="41">
        <v>349340</v>
      </c>
      <c r="G1471" s="35" t="s">
        <v>675</v>
      </c>
      <c r="H1471" s="35" t="s">
        <v>115</v>
      </c>
    </row>
    <row r="1472" spans="1:8">
      <c r="A1472" s="37">
        <v>40388.15625</v>
      </c>
      <c r="B1472" s="35" t="s">
        <v>654</v>
      </c>
      <c r="C1472" s="35" t="s">
        <v>655</v>
      </c>
      <c r="D1472" s="39">
        <v>36.430000305175781</v>
      </c>
      <c r="E1472" s="39">
        <v>27.358346939086914</v>
      </c>
      <c r="F1472" s="41">
        <v>582460</v>
      </c>
      <c r="G1472" s="35" t="s">
        <v>675</v>
      </c>
      <c r="H1472" s="35" t="s">
        <v>115</v>
      </c>
    </row>
    <row r="1473" spans="1:8">
      <c r="A1473" s="37">
        <v>40389.15625</v>
      </c>
      <c r="B1473" s="35" t="s">
        <v>654</v>
      </c>
      <c r="C1473" s="35" t="s">
        <v>655</v>
      </c>
      <c r="D1473" s="39">
        <v>36.020000457763672</v>
      </c>
      <c r="E1473" s="39">
        <v>27.050439834594727</v>
      </c>
      <c r="F1473" s="41">
        <v>603400</v>
      </c>
      <c r="G1473" s="35" t="s">
        <v>675</v>
      </c>
      <c r="H1473" s="35" t="s">
        <v>115</v>
      </c>
    </row>
    <row r="1474" spans="1:8">
      <c r="A1474" s="37">
        <v>40392.15625</v>
      </c>
      <c r="B1474" s="35" t="s">
        <v>654</v>
      </c>
      <c r="C1474" s="35" t="s">
        <v>655</v>
      </c>
      <c r="D1474" s="39">
        <v>36.369998931884766</v>
      </c>
      <c r="E1474" s="39">
        <v>27.313282012939453</v>
      </c>
      <c r="F1474" s="41">
        <v>437320</v>
      </c>
      <c r="G1474" s="35" t="s">
        <v>675</v>
      </c>
      <c r="H1474" s="35" t="s">
        <v>115</v>
      </c>
    </row>
    <row r="1475" spans="1:8">
      <c r="A1475" s="37">
        <v>40393.15625</v>
      </c>
      <c r="B1475" s="35" t="s">
        <v>654</v>
      </c>
      <c r="C1475" s="35" t="s">
        <v>655</v>
      </c>
      <c r="D1475" s="39">
        <v>36.439998626708984</v>
      </c>
      <c r="E1475" s="39">
        <v>27.365848541259766</v>
      </c>
      <c r="F1475" s="41">
        <v>360655</v>
      </c>
      <c r="G1475" s="35" t="s">
        <v>675</v>
      </c>
      <c r="H1475" s="35" t="s">
        <v>115</v>
      </c>
    </row>
    <row r="1476" spans="1:8">
      <c r="A1476" s="37">
        <v>40394.15625</v>
      </c>
      <c r="B1476" s="35" t="s">
        <v>654</v>
      </c>
      <c r="C1476" s="35" t="s">
        <v>655</v>
      </c>
      <c r="D1476" s="39">
        <v>37.259998321533203</v>
      </c>
      <c r="E1476" s="39">
        <v>27.981657028198242</v>
      </c>
      <c r="F1476" s="41">
        <v>1618655</v>
      </c>
      <c r="G1476" s="35" t="s">
        <v>675</v>
      </c>
      <c r="H1476" s="35" t="s">
        <v>115</v>
      </c>
    </row>
    <row r="1477" spans="1:8">
      <c r="A1477" s="37">
        <v>40395.15625</v>
      </c>
      <c r="B1477" s="35" t="s">
        <v>654</v>
      </c>
      <c r="C1477" s="35" t="s">
        <v>655</v>
      </c>
      <c r="D1477" s="39">
        <v>36.869998931884766</v>
      </c>
      <c r="E1477" s="39">
        <v>27.688774108886719</v>
      </c>
      <c r="F1477" s="41">
        <v>435200</v>
      </c>
      <c r="G1477" s="35" t="s">
        <v>675</v>
      </c>
      <c r="H1477" s="35" t="s">
        <v>115</v>
      </c>
    </row>
    <row r="1478" spans="1:8">
      <c r="A1478" s="37">
        <v>40396.15625</v>
      </c>
      <c r="B1478" s="35" t="s">
        <v>654</v>
      </c>
      <c r="C1478" s="35" t="s">
        <v>655</v>
      </c>
      <c r="D1478" s="39">
        <v>36.419998168945313</v>
      </c>
      <c r="E1478" s="39">
        <v>27.350831985473633</v>
      </c>
      <c r="F1478" s="41">
        <v>325425</v>
      </c>
      <c r="G1478" s="35" t="s">
        <v>675</v>
      </c>
      <c r="H1478" s="35" t="s">
        <v>115</v>
      </c>
    </row>
    <row r="1479" spans="1:8">
      <c r="A1479" s="37">
        <v>40399.15625</v>
      </c>
      <c r="B1479" s="35" t="s">
        <v>654</v>
      </c>
      <c r="C1479" s="35" t="s">
        <v>655</v>
      </c>
      <c r="D1479" s="39">
        <v>36.709999084472656</v>
      </c>
      <c r="E1479" s="39">
        <v>27.568620681762695</v>
      </c>
      <c r="F1479" s="41">
        <v>327920</v>
      </c>
      <c r="G1479" s="35" t="s">
        <v>675</v>
      </c>
      <c r="H1479" s="35" t="s">
        <v>115</v>
      </c>
    </row>
    <row r="1480" spans="1:8">
      <c r="A1480" s="37">
        <v>40400.15625</v>
      </c>
      <c r="B1480" s="35" t="s">
        <v>654</v>
      </c>
      <c r="C1480" s="35" t="s">
        <v>655</v>
      </c>
      <c r="D1480" s="39">
        <v>36.209999084472656</v>
      </c>
      <c r="E1480" s="39">
        <v>27.193122863769531</v>
      </c>
      <c r="F1480" s="41">
        <v>179200</v>
      </c>
      <c r="G1480" s="35" t="s">
        <v>675</v>
      </c>
      <c r="H1480" s="35" t="s">
        <v>115</v>
      </c>
    </row>
    <row r="1481" spans="1:8">
      <c r="A1481" s="37">
        <v>40401.15625</v>
      </c>
      <c r="B1481" s="35" t="s">
        <v>654</v>
      </c>
      <c r="C1481" s="35" t="s">
        <v>655</v>
      </c>
      <c r="D1481" s="39">
        <v>36.290000915527344</v>
      </c>
      <c r="E1481" s="39">
        <v>27.253210067749023</v>
      </c>
      <c r="F1481" s="41">
        <v>277710</v>
      </c>
      <c r="G1481" s="35" t="s">
        <v>675</v>
      </c>
      <c r="H1481" s="35" t="s">
        <v>115</v>
      </c>
    </row>
    <row r="1482" spans="1:8">
      <c r="A1482" s="37">
        <v>40402.15625</v>
      </c>
      <c r="B1482" s="35" t="s">
        <v>654</v>
      </c>
      <c r="C1482" s="35" t="s">
        <v>655</v>
      </c>
      <c r="D1482" s="39">
        <v>35.810001373291016</v>
      </c>
      <c r="E1482" s="39">
        <v>26.892730712890625</v>
      </c>
      <c r="F1482" s="41">
        <v>715940</v>
      </c>
      <c r="G1482" s="35" t="s">
        <v>675</v>
      </c>
      <c r="H1482" s="35" t="s">
        <v>115</v>
      </c>
    </row>
    <row r="1483" spans="1:8">
      <c r="A1483" s="37">
        <v>40403.15625</v>
      </c>
      <c r="B1483" s="35" t="s">
        <v>654</v>
      </c>
      <c r="C1483" s="35" t="s">
        <v>655</v>
      </c>
      <c r="D1483" s="39">
        <v>36.580001831054688</v>
      </c>
      <c r="E1483" s="39">
        <v>27.470987319946289</v>
      </c>
      <c r="F1483" s="41">
        <v>703830</v>
      </c>
      <c r="G1483" s="35" t="s">
        <v>675</v>
      </c>
      <c r="H1483" s="35" t="s">
        <v>115</v>
      </c>
    </row>
    <row r="1484" spans="1:8">
      <c r="A1484" s="37">
        <v>40406.15625</v>
      </c>
      <c r="B1484" s="35" t="s">
        <v>654</v>
      </c>
      <c r="C1484" s="35" t="s">
        <v>655</v>
      </c>
      <c r="D1484" s="39">
        <v>36.349998474121094</v>
      </c>
      <c r="E1484" s="39">
        <v>27.29826545715332</v>
      </c>
      <c r="F1484" s="41">
        <v>281125</v>
      </c>
      <c r="G1484" s="35" t="s">
        <v>675</v>
      </c>
      <c r="H1484" s="35" t="s">
        <v>115</v>
      </c>
    </row>
    <row r="1485" spans="1:8">
      <c r="A1485" s="37">
        <v>40407.15625</v>
      </c>
      <c r="B1485" s="35" t="s">
        <v>654</v>
      </c>
      <c r="C1485" s="35" t="s">
        <v>655</v>
      </c>
      <c r="D1485" s="39">
        <v>36.159999847412109</v>
      </c>
      <c r="E1485" s="39">
        <v>27.155576705932617</v>
      </c>
      <c r="F1485" s="41">
        <v>266245</v>
      </c>
      <c r="G1485" s="35" t="s">
        <v>675</v>
      </c>
      <c r="H1485" s="35" t="s">
        <v>115</v>
      </c>
    </row>
    <row r="1486" spans="1:8">
      <c r="A1486" s="37">
        <v>40408.15625</v>
      </c>
      <c r="B1486" s="35" t="s">
        <v>654</v>
      </c>
      <c r="C1486" s="35" t="s">
        <v>655</v>
      </c>
      <c r="D1486" s="39">
        <v>36.810001373291016</v>
      </c>
      <c r="E1486" s="39">
        <v>27.643714904785156</v>
      </c>
      <c r="F1486" s="41">
        <v>1090195</v>
      </c>
      <c r="G1486" s="35" t="s">
        <v>675</v>
      </c>
      <c r="H1486" s="35" t="s">
        <v>115</v>
      </c>
    </row>
    <row r="1487" spans="1:8">
      <c r="A1487" s="37">
        <v>40409.15625</v>
      </c>
      <c r="B1487" s="35" t="s">
        <v>654</v>
      </c>
      <c r="C1487" s="35" t="s">
        <v>655</v>
      </c>
      <c r="D1487" s="39">
        <v>36.819999694824219</v>
      </c>
      <c r="E1487" s="39">
        <v>27.651227951049805</v>
      </c>
      <c r="F1487" s="41">
        <v>684615</v>
      </c>
      <c r="G1487" s="35" t="s">
        <v>675</v>
      </c>
      <c r="H1487" s="35" t="s">
        <v>115</v>
      </c>
    </row>
    <row r="1488" spans="1:8">
      <c r="A1488" s="37">
        <v>40410.15625</v>
      </c>
      <c r="B1488" s="35" t="s">
        <v>654</v>
      </c>
      <c r="C1488" s="35" t="s">
        <v>655</v>
      </c>
      <c r="D1488" s="39">
        <v>37.169998168945313</v>
      </c>
      <c r="E1488" s="39">
        <v>27.914066314697266</v>
      </c>
      <c r="F1488" s="41">
        <v>327740</v>
      </c>
      <c r="G1488" s="35" t="s">
        <v>675</v>
      </c>
      <c r="H1488" s="35" t="s">
        <v>115</v>
      </c>
    </row>
    <row r="1489" spans="1:8">
      <c r="A1489" s="37">
        <v>40413.15625</v>
      </c>
      <c r="B1489" s="35" t="s">
        <v>654</v>
      </c>
      <c r="C1489" s="35" t="s">
        <v>655</v>
      </c>
      <c r="D1489" s="39">
        <v>36.939998626708984</v>
      </c>
      <c r="E1489" s="39">
        <v>27.741336822509766</v>
      </c>
      <c r="F1489" s="41">
        <v>179485</v>
      </c>
      <c r="G1489" s="35" t="s">
        <v>675</v>
      </c>
      <c r="H1489" s="35" t="s">
        <v>115</v>
      </c>
    </row>
    <row r="1490" spans="1:8">
      <c r="A1490" s="37">
        <v>40414.15625</v>
      </c>
      <c r="B1490" s="35" t="s">
        <v>654</v>
      </c>
      <c r="C1490" s="35" t="s">
        <v>655</v>
      </c>
      <c r="D1490" s="39">
        <v>36.470001220703125</v>
      </c>
      <c r="E1490" s="39">
        <v>27.388391494750977</v>
      </c>
      <c r="F1490" s="41">
        <v>373225</v>
      </c>
      <c r="G1490" s="35" t="s">
        <v>675</v>
      </c>
      <c r="H1490" s="35" t="s">
        <v>115</v>
      </c>
    </row>
    <row r="1491" spans="1:8">
      <c r="A1491" s="37">
        <v>40415.15625</v>
      </c>
      <c r="B1491" s="35" t="s">
        <v>654</v>
      </c>
      <c r="C1491" s="35" t="s">
        <v>655</v>
      </c>
      <c r="D1491" s="39">
        <v>36.189998626708984</v>
      </c>
      <c r="E1491" s="39">
        <v>27.178104400634766</v>
      </c>
      <c r="F1491" s="41">
        <v>405465</v>
      </c>
      <c r="G1491" s="35" t="s">
        <v>675</v>
      </c>
      <c r="H1491" s="35" t="s">
        <v>115</v>
      </c>
    </row>
    <row r="1492" spans="1:8">
      <c r="A1492" s="37">
        <v>40416.15625</v>
      </c>
      <c r="B1492" s="35" t="s">
        <v>654</v>
      </c>
      <c r="C1492" s="35" t="s">
        <v>655</v>
      </c>
      <c r="D1492" s="39">
        <v>36.189998626708984</v>
      </c>
      <c r="E1492" s="39">
        <v>27.178104400634766</v>
      </c>
      <c r="F1492" s="41">
        <v>274130</v>
      </c>
      <c r="G1492" s="35" t="s">
        <v>675</v>
      </c>
      <c r="H1492" s="35" t="s">
        <v>115</v>
      </c>
    </row>
    <row r="1493" spans="1:8">
      <c r="A1493" s="37">
        <v>40417.15625</v>
      </c>
      <c r="B1493" s="35" t="s">
        <v>654</v>
      </c>
      <c r="C1493" s="35" t="s">
        <v>655</v>
      </c>
      <c r="D1493" s="39">
        <v>36.729999542236328</v>
      </c>
      <c r="E1493" s="39">
        <v>27.583635330200195</v>
      </c>
      <c r="F1493" s="41">
        <v>345485</v>
      </c>
      <c r="G1493" s="35" t="s">
        <v>675</v>
      </c>
      <c r="H1493" s="35" t="s">
        <v>115</v>
      </c>
    </row>
    <row r="1494" spans="1:8">
      <c r="A1494" s="37">
        <v>40420.15625</v>
      </c>
      <c r="B1494" s="35" t="s">
        <v>654</v>
      </c>
      <c r="C1494" s="35" t="s">
        <v>655</v>
      </c>
      <c r="D1494" s="39">
        <v>36.200000762939453</v>
      </c>
      <c r="E1494" s="39">
        <v>27.185617446899414</v>
      </c>
      <c r="F1494" s="41">
        <v>165720</v>
      </c>
      <c r="G1494" s="35" t="s">
        <v>675</v>
      </c>
      <c r="H1494" s="35" t="s">
        <v>115</v>
      </c>
    </row>
    <row r="1495" spans="1:8">
      <c r="A1495" s="37">
        <v>40421.15625</v>
      </c>
      <c r="B1495" s="35" t="s">
        <v>654</v>
      </c>
      <c r="C1495" s="35" t="s">
        <v>655</v>
      </c>
      <c r="D1495" s="39">
        <v>36.220001220703125</v>
      </c>
      <c r="E1495" s="39">
        <v>27.20063591003418</v>
      </c>
      <c r="F1495" s="41">
        <v>373680</v>
      </c>
      <c r="G1495" s="35" t="s">
        <v>675</v>
      </c>
      <c r="H1495" s="35" t="s">
        <v>115</v>
      </c>
    </row>
    <row r="1496" spans="1:8">
      <c r="A1496" s="37">
        <v>40422.15625</v>
      </c>
      <c r="B1496" s="35" t="s">
        <v>654</v>
      </c>
      <c r="C1496" s="35" t="s">
        <v>655</v>
      </c>
      <c r="D1496" s="39">
        <v>36.119998931884766</v>
      </c>
      <c r="E1496" s="39">
        <v>27.125534057617188</v>
      </c>
      <c r="F1496" s="41">
        <v>304420</v>
      </c>
      <c r="G1496" s="35" t="s">
        <v>675</v>
      </c>
      <c r="H1496" s="35" t="s">
        <v>115</v>
      </c>
    </row>
    <row r="1497" spans="1:8">
      <c r="A1497" s="37">
        <v>40423.15625</v>
      </c>
      <c r="B1497" s="35" t="s">
        <v>654</v>
      </c>
      <c r="C1497" s="35" t="s">
        <v>655</v>
      </c>
      <c r="D1497" s="39">
        <v>36.099998474121094</v>
      </c>
      <c r="E1497" s="39">
        <v>27.110515594482422</v>
      </c>
      <c r="F1497" s="41">
        <v>157535</v>
      </c>
      <c r="G1497" s="35" t="s">
        <v>675</v>
      </c>
      <c r="H1497" s="35" t="s">
        <v>115</v>
      </c>
    </row>
    <row r="1498" spans="1:8">
      <c r="A1498" s="37">
        <v>40424.15625</v>
      </c>
      <c r="B1498" s="35" t="s">
        <v>654</v>
      </c>
      <c r="C1498" s="35" t="s">
        <v>655</v>
      </c>
      <c r="D1498" s="39">
        <v>36.020000457763672</v>
      </c>
      <c r="E1498" s="39">
        <v>27.050439834594727</v>
      </c>
      <c r="F1498" s="41">
        <v>210780</v>
      </c>
      <c r="G1498" s="35" t="s">
        <v>675</v>
      </c>
      <c r="H1498" s="35" t="s">
        <v>115</v>
      </c>
    </row>
    <row r="1499" spans="1:8">
      <c r="A1499" s="37">
        <v>40427.15625</v>
      </c>
      <c r="B1499" s="35" t="s">
        <v>654</v>
      </c>
      <c r="C1499" s="35" t="s">
        <v>655</v>
      </c>
      <c r="D1499" s="39">
        <v>36.409999847412109</v>
      </c>
      <c r="E1499" s="39">
        <v>27.343324661254883</v>
      </c>
      <c r="F1499" s="41">
        <v>366855</v>
      </c>
      <c r="G1499" s="35" t="s">
        <v>675</v>
      </c>
      <c r="H1499" s="35" t="s">
        <v>115</v>
      </c>
    </row>
    <row r="1500" spans="1:8">
      <c r="A1500" s="37">
        <v>40428.15625</v>
      </c>
      <c r="B1500" s="35" t="s">
        <v>654</v>
      </c>
      <c r="C1500" s="35" t="s">
        <v>655</v>
      </c>
      <c r="D1500" s="39">
        <v>36.409999847412109</v>
      </c>
      <c r="E1500" s="39">
        <v>27.343324661254883</v>
      </c>
      <c r="F1500" s="41">
        <v>206715</v>
      </c>
      <c r="G1500" s="35" t="s">
        <v>675</v>
      </c>
      <c r="H1500" s="35" t="s">
        <v>115</v>
      </c>
    </row>
    <row r="1501" spans="1:8">
      <c r="A1501" s="37">
        <v>40429.15625</v>
      </c>
      <c r="B1501" s="35" t="s">
        <v>654</v>
      </c>
      <c r="C1501" s="35" t="s">
        <v>655</v>
      </c>
      <c r="D1501" s="39">
        <v>36.299999237060547</v>
      </c>
      <c r="E1501" s="39">
        <v>27.260711669921875</v>
      </c>
      <c r="F1501" s="41">
        <v>273915</v>
      </c>
      <c r="G1501" s="35" t="s">
        <v>675</v>
      </c>
      <c r="H1501" s="35" t="s">
        <v>115</v>
      </c>
    </row>
    <row r="1502" spans="1:8">
      <c r="A1502" s="37">
        <v>40430.15625</v>
      </c>
      <c r="B1502" s="35" t="s">
        <v>654</v>
      </c>
      <c r="C1502" s="35" t="s">
        <v>655</v>
      </c>
      <c r="D1502" s="39">
        <v>36.599998474121094</v>
      </c>
      <c r="E1502" s="39">
        <v>27.48600959777832</v>
      </c>
      <c r="F1502" s="41">
        <v>648820</v>
      </c>
      <c r="G1502" s="35" t="s">
        <v>675</v>
      </c>
      <c r="H1502" s="35" t="s">
        <v>115</v>
      </c>
    </row>
    <row r="1503" spans="1:8">
      <c r="A1503" s="37">
        <v>40434.15625</v>
      </c>
      <c r="B1503" s="35" t="s">
        <v>654</v>
      </c>
      <c r="C1503" s="35" t="s">
        <v>655</v>
      </c>
      <c r="D1503" s="39">
        <v>37.159999847412109</v>
      </c>
      <c r="E1503" s="39">
        <v>27.906562805175781</v>
      </c>
      <c r="F1503" s="41">
        <v>638355</v>
      </c>
      <c r="G1503" s="35" t="s">
        <v>675</v>
      </c>
      <c r="H1503" s="35" t="s">
        <v>115</v>
      </c>
    </row>
    <row r="1504" spans="1:8">
      <c r="A1504" s="37">
        <v>40435.15625</v>
      </c>
      <c r="B1504" s="35" t="s">
        <v>654</v>
      </c>
      <c r="C1504" s="35" t="s">
        <v>655</v>
      </c>
      <c r="D1504" s="39">
        <v>36.209999084472656</v>
      </c>
      <c r="E1504" s="39">
        <v>27.193122863769531</v>
      </c>
      <c r="F1504" s="41">
        <v>359370</v>
      </c>
      <c r="G1504" s="35" t="s">
        <v>675</v>
      </c>
      <c r="H1504" s="35" t="s">
        <v>115</v>
      </c>
    </row>
    <row r="1505" spans="1:8">
      <c r="A1505" s="37">
        <v>40436.15625</v>
      </c>
      <c r="B1505" s="35" t="s">
        <v>654</v>
      </c>
      <c r="C1505" s="35" t="s">
        <v>655</v>
      </c>
      <c r="D1505" s="39">
        <v>36.330001831054688</v>
      </c>
      <c r="E1505" s="39">
        <v>27.283252716064453</v>
      </c>
      <c r="F1505" s="41">
        <v>471555</v>
      </c>
      <c r="G1505" s="35" t="s">
        <v>675</v>
      </c>
      <c r="H1505" s="35" t="s">
        <v>115</v>
      </c>
    </row>
    <row r="1506" spans="1:8">
      <c r="A1506" s="37">
        <v>40437.15625</v>
      </c>
      <c r="B1506" s="35" t="s">
        <v>654</v>
      </c>
      <c r="C1506" s="35" t="s">
        <v>655</v>
      </c>
      <c r="D1506" s="39">
        <v>37.880001068115234</v>
      </c>
      <c r="E1506" s="39">
        <v>28.447267532348633</v>
      </c>
      <c r="F1506" s="41">
        <v>3193365</v>
      </c>
      <c r="G1506" s="35" t="s">
        <v>675</v>
      </c>
      <c r="H1506" s="35" t="s">
        <v>115</v>
      </c>
    </row>
    <row r="1507" spans="1:8">
      <c r="A1507" s="37">
        <v>40438.15625</v>
      </c>
      <c r="B1507" s="35" t="s">
        <v>654</v>
      </c>
      <c r="C1507" s="35" t="s">
        <v>655</v>
      </c>
      <c r="D1507" s="39">
        <v>37.610000610351563</v>
      </c>
      <c r="E1507" s="39">
        <v>28.244501113891602</v>
      </c>
      <c r="F1507" s="41">
        <v>847230</v>
      </c>
      <c r="G1507" s="35" t="s">
        <v>675</v>
      </c>
      <c r="H1507" s="35" t="s">
        <v>115</v>
      </c>
    </row>
    <row r="1508" spans="1:8">
      <c r="A1508" s="37">
        <v>40441.15625</v>
      </c>
      <c r="B1508" s="35" t="s">
        <v>654</v>
      </c>
      <c r="C1508" s="35" t="s">
        <v>655</v>
      </c>
      <c r="D1508" s="39">
        <v>37.229999542236328</v>
      </c>
      <c r="E1508" s="39">
        <v>27.959127426147461</v>
      </c>
      <c r="F1508" s="41">
        <v>446010</v>
      </c>
      <c r="G1508" s="35" t="s">
        <v>675</v>
      </c>
      <c r="H1508" s="35" t="s">
        <v>115</v>
      </c>
    </row>
    <row r="1509" spans="1:8">
      <c r="A1509" s="37">
        <v>40442.15625</v>
      </c>
      <c r="B1509" s="35" t="s">
        <v>654</v>
      </c>
      <c r="C1509" s="35" t="s">
        <v>655</v>
      </c>
      <c r="D1509" s="39">
        <v>37.020000457763672</v>
      </c>
      <c r="E1509" s="39">
        <v>27.801424026489258</v>
      </c>
      <c r="F1509" s="41">
        <v>532355</v>
      </c>
      <c r="G1509" s="35" t="s">
        <v>675</v>
      </c>
      <c r="H1509" s="35" t="s">
        <v>115</v>
      </c>
    </row>
    <row r="1510" spans="1:8">
      <c r="A1510" s="37">
        <v>40443.15625</v>
      </c>
      <c r="B1510" s="35" t="s">
        <v>654</v>
      </c>
      <c r="C1510" s="35" t="s">
        <v>655</v>
      </c>
      <c r="D1510" s="39">
        <v>37.069999694824219</v>
      </c>
      <c r="E1510" s="39">
        <v>27.838970184326172</v>
      </c>
      <c r="F1510" s="41">
        <v>413585</v>
      </c>
      <c r="G1510" s="35" t="s">
        <v>675</v>
      </c>
      <c r="H1510" s="35" t="s">
        <v>115</v>
      </c>
    </row>
    <row r="1511" spans="1:8">
      <c r="A1511" s="37">
        <v>40444.15625</v>
      </c>
      <c r="B1511" s="35" t="s">
        <v>654</v>
      </c>
      <c r="C1511" s="35" t="s">
        <v>655</v>
      </c>
      <c r="D1511" s="39">
        <v>38.680000305175781</v>
      </c>
      <c r="E1511" s="39">
        <v>29.048053741455078</v>
      </c>
      <c r="F1511" s="41">
        <v>2638640</v>
      </c>
      <c r="G1511" s="35" t="s">
        <v>675</v>
      </c>
      <c r="H1511" s="35" t="s">
        <v>115</v>
      </c>
    </row>
    <row r="1512" spans="1:8">
      <c r="A1512" s="37">
        <v>40445.15625</v>
      </c>
      <c r="B1512" s="35" t="s">
        <v>654</v>
      </c>
      <c r="C1512" s="35" t="s">
        <v>655</v>
      </c>
      <c r="D1512" s="39">
        <v>38.450000762939453</v>
      </c>
      <c r="E1512" s="39">
        <v>28.875333786010742</v>
      </c>
      <c r="F1512" s="41">
        <v>460145</v>
      </c>
      <c r="G1512" s="35" t="s">
        <v>675</v>
      </c>
      <c r="H1512" s="35" t="s">
        <v>115</v>
      </c>
    </row>
    <row r="1513" spans="1:8">
      <c r="A1513" s="37">
        <v>40448.15625</v>
      </c>
      <c r="B1513" s="35" t="s">
        <v>654</v>
      </c>
      <c r="C1513" s="35" t="s">
        <v>655</v>
      </c>
      <c r="D1513" s="39">
        <v>38.880001068115234</v>
      </c>
      <c r="E1513" s="39">
        <v>29.198249816894531</v>
      </c>
      <c r="F1513" s="41">
        <v>923520</v>
      </c>
      <c r="G1513" s="35" t="s">
        <v>675</v>
      </c>
      <c r="H1513" s="35" t="s">
        <v>115</v>
      </c>
    </row>
    <row r="1514" spans="1:8">
      <c r="A1514" s="37">
        <v>40449.15625</v>
      </c>
      <c r="B1514" s="35" t="s">
        <v>654</v>
      </c>
      <c r="C1514" s="35" t="s">
        <v>655</v>
      </c>
      <c r="D1514" s="39">
        <v>39.040000915527344</v>
      </c>
      <c r="E1514" s="39">
        <v>29.318416595458984</v>
      </c>
      <c r="F1514" s="41">
        <v>380030</v>
      </c>
      <c r="G1514" s="35" t="s">
        <v>675</v>
      </c>
      <c r="H1514" s="35" t="s">
        <v>115</v>
      </c>
    </row>
    <row r="1515" spans="1:8">
      <c r="A1515" s="37">
        <v>40450.15625</v>
      </c>
      <c r="B1515" s="35" t="s">
        <v>654</v>
      </c>
      <c r="C1515" s="35" t="s">
        <v>655</v>
      </c>
      <c r="D1515" s="39">
        <v>38.909999847412109</v>
      </c>
      <c r="E1515" s="39">
        <v>29.220794677734375</v>
      </c>
      <c r="F1515" s="41">
        <v>388485</v>
      </c>
      <c r="G1515" s="35" t="s">
        <v>675</v>
      </c>
      <c r="H1515" s="35" t="s">
        <v>115</v>
      </c>
    </row>
    <row r="1516" spans="1:8">
      <c r="A1516" s="37">
        <v>40451.15625</v>
      </c>
      <c r="B1516" s="35" t="s">
        <v>654</v>
      </c>
      <c r="C1516" s="35" t="s">
        <v>655</v>
      </c>
      <c r="D1516" s="39">
        <v>40.560001373291016</v>
      </c>
      <c r="E1516" s="39">
        <v>30.459909439086914</v>
      </c>
      <c r="F1516" s="41">
        <v>3830590</v>
      </c>
      <c r="G1516" s="35" t="s">
        <v>675</v>
      </c>
      <c r="H1516" s="35" t="s">
        <v>115</v>
      </c>
    </row>
    <row r="1517" spans="1:8">
      <c r="A1517" s="37">
        <v>40452.15625</v>
      </c>
      <c r="B1517" s="35" t="s">
        <v>654</v>
      </c>
      <c r="C1517" s="35" t="s">
        <v>655</v>
      </c>
      <c r="D1517" s="39">
        <v>41.139999389648438</v>
      </c>
      <c r="E1517" s="39">
        <v>30.895471572875977</v>
      </c>
      <c r="F1517" s="41">
        <v>3255255</v>
      </c>
      <c r="G1517" s="35" t="s">
        <v>675</v>
      </c>
      <c r="H1517" s="35" t="s">
        <v>115</v>
      </c>
    </row>
    <row r="1518" spans="1:8">
      <c r="A1518" s="37">
        <v>40455.15625</v>
      </c>
      <c r="B1518" s="35" t="s">
        <v>654</v>
      </c>
      <c r="C1518" s="35" t="s">
        <v>655</v>
      </c>
      <c r="D1518" s="39">
        <v>40.930000305175781</v>
      </c>
      <c r="E1518" s="39">
        <v>30.737773895263672</v>
      </c>
      <c r="F1518" s="41">
        <v>1416675</v>
      </c>
      <c r="G1518" s="35" t="s">
        <v>675</v>
      </c>
      <c r="H1518" s="35" t="s">
        <v>115</v>
      </c>
    </row>
    <row r="1519" spans="1:8">
      <c r="A1519" s="37">
        <v>40456.15625</v>
      </c>
      <c r="B1519" s="35" t="s">
        <v>654</v>
      </c>
      <c r="C1519" s="35" t="s">
        <v>655</v>
      </c>
      <c r="D1519" s="39">
        <v>42.279998779296875</v>
      </c>
      <c r="E1519" s="39">
        <v>31.751585006713867</v>
      </c>
      <c r="F1519" s="41">
        <v>2686320</v>
      </c>
      <c r="G1519" s="35" t="s">
        <v>675</v>
      </c>
      <c r="H1519" s="35" t="s">
        <v>115</v>
      </c>
    </row>
    <row r="1520" spans="1:8">
      <c r="A1520" s="37">
        <v>40457.15625</v>
      </c>
      <c r="B1520" s="35" t="s">
        <v>654</v>
      </c>
      <c r="C1520" s="35" t="s">
        <v>655</v>
      </c>
      <c r="D1520" s="39">
        <v>42.799999237060547</v>
      </c>
      <c r="E1520" s="39">
        <v>32.142112731933594</v>
      </c>
      <c r="F1520" s="41">
        <v>1690730</v>
      </c>
      <c r="G1520" s="35" t="s">
        <v>675</v>
      </c>
      <c r="H1520" s="35" t="s">
        <v>115</v>
      </c>
    </row>
    <row r="1521" spans="1:8">
      <c r="A1521" s="37">
        <v>40458.15625</v>
      </c>
      <c r="B1521" s="35" t="s">
        <v>654</v>
      </c>
      <c r="C1521" s="35" t="s">
        <v>655</v>
      </c>
      <c r="D1521" s="39">
        <v>41.220001220703125</v>
      </c>
      <c r="E1521" s="39">
        <v>30.955554962158203</v>
      </c>
      <c r="F1521" s="41">
        <v>830880</v>
      </c>
      <c r="G1521" s="35" t="s">
        <v>675</v>
      </c>
      <c r="H1521" s="35" t="s">
        <v>115</v>
      </c>
    </row>
    <row r="1522" spans="1:8">
      <c r="A1522" s="37">
        <v>40459.15625</v>
      </c>
      <c r="B1522" s="35" t="s">
        <v>654</v>
      </c>
      <c r="C1522" s="35" t="s">
        <v>655</v>
      </c>
      <c r="D1522" s="39">
        <v>41.189998626708984</v>
      </c>
      <c r="E1522" s="39">
        <v>30.933017730712891</v>
      </c>
      <c r="F1522" s="41">
        <v>915215</v>
      </c>
      <c r="G1522" s="35" t="s">
        <v>675</v>
      </c>
      <c r="H1522" s="35" t="s">
        <v>115</v>
      </c>
    </row>
    <row r="1523" spans="1:8">
      <c r="A1523" s="37">
        <v>40462.15625</v>
      </c>
      <c r="B1523" s="35" t="s">
        <v>654</v>
      </c>
      <c r="C1523" s="35" t="s">
        <v>655</v>
      </c>
      <c r="D1523" s="39">
        <v>41.860000610351563</v>
      </c>
      <c r="E1523" s="39">
        <v>31.436183929443359</v>
      </c>
      <c r="F1523" s="41">
        <v>404370</v>
      </c>
      <c r="G1523" s="35" t="s">
        <v>675</v>
      </c>
      <c r="H1523" s="35" t="s">
        <v>115</v>
      </c>
    </row>
    <row r="1524" spans="1:8">
      <c r="A1524" s="37">
        <v>40463.15625</v>
      </c>
      <c r="B1524" s="35" t="s">
        <v>654</v>
      </c>
      <c r="C1524" s="35" t="s">
        <v>655</v>
      </c>
      <c r="D1524" s="39">
        <v>42.569999694824219</v>
      </c>
      <c r="E1524" s="39">
        <v>31.969385147094727</v>
      </c>
      <c r="F1524" s="41">
        <v>954445</v>
      </c>
      <c r="G1524" s="35" t="s">
        <v>675</v>
      </c>
      <c r="H1524" s="35" t="s">
        <v>115</v>
      </c>
    </row>
    <row r="1525" spans="1:8">
      <c r="A1525" s="37">
        <v>40464.15625</v>
      </c>
      <c r="B1525" s="35" t="s">
        <v>654</v>
      </c>
      <c r="C1525" s="35" t="s">
        <v>655</v>
      </c>
      <c r="D1525" s="39">
        <v>44.619998931884766</v>
      </c>
      <c r="E1525" s="39">
        <v>33.508903503417969</v>
      </c>
      <c r="F1525" s="41">
        <v>2922180</v>
      </c>
      <c r="G1525" s="35" t="s">
        <v>675</v>
      </c>
      <c r="H1525" s="35" t="s">
        <v>115</v>
      </c>
    </row>
    <row r="1526" spans="1:8">
      <c r="A1526" s="37">
        <v>40465.15625</v>
      </c>
      <c r="B1526" s="35" t="s">
        <v>654</v>
      </c>
      <c r="C1526" s="35" t="s">
        <v>655</v>
      </c>
      <c r="D1526" s="39">
        <v>44.659999847412109</v>
      </c>
      <c r="E1526" s="39">
        <v>33.538932800292969</v>
      </c>
      <c r="F1526" s="41">
        <v>1393910</v>
      </c>
      <c r="G1526" s="35" t="s">
        <v>675</v>
      </c>
      <c r="H1526" s="35" t="s">
        <v>115</v>
      </c>
    </row>
    <row r="1527" spans="1:8">
      <c r="A1527" s="37">
        <v>40466.15625</v>
      </c>
      <c r="B1527" s="35" t="s">
        <v>654</v>
      </c>
      <c r="C1527" s="35" t="s">
        <v>655</v>
      </c>
      <c r="D1527" s="39">
        <v>44.75</v>
      </c>
      <c r="E1527" s="39">
        <v>33.606525421142578</v>
      </c>
      <c r="F1527" s="41">
        <v>2369610</v>
      </c>
      <c r="G1527" s="35" t="s">
        <v>675</v>
      </c>
      <c r="H1527" s="35" t="s">
        <v>115</v>
      </c>
    </row>
    <row r="1528" spans="1:8">
      <c r="A1528" s="37">
        <v>40469.15625</v>
      </c>
      <c r="B1528" s="35" t="s">
        <v>654</v>
      </c>
      <c r="C1528" s="35" t="s">
        <v>655</v>
      </c>
      <c r="D1528" s="39">
        <v>45.720001220703125</v>
      </c>
      <c r="E1528" s="39">
        <v>34.334983825683594</v>
      </c>
      <c r="F1528" s="41">
        <v>2548295</v>
      </c>
      <c r="G1528" s="35" t="s">
        <v>675</v>
      </c>
      <c r="H1528" s="35" t="s">
        <v>115</v>
      </c>
    </row>
    <row r="1529" spans="1:8">
      <c r="A1529" s="37">
        <v>40470.15625</v>
      </c>
      <c r="B1529" s="35" t="s">
        <v>654</v>
      </c>
      <c r="C1529" s="35" t="s">
        <v>655</v>
      </c>
      <c r="D1529" s="39">
        <v>45.75</v>
      </c>
      <c r="E1529" s="39">
        <v>34.357505798339844</v>
      </c>
      <c r="F1529" s="41">
        <v>986010</v>
      </c>
      <c r="G1529" s="35" t="s">
        <v>675</v>
      </c>
      <c r="H1529" s="35" t="s">
        <v>115</v>
      </c>
    </row>
    <row r="1530" spans="1:8">
      <c r="A1530" s="37">
        <v>40471.15625</v>
      </c>
      <c r="B1530" s="35" t="s">
        <v>654</v>
      </c>
      <c r="C1530" s="35" t="s">
        <v>655</v>
      </c>
      <c r="D1530" s="39">
        <v>45.520000457763672</v>
      </c>
      <c r="E1530" s="39">
        <v>34.184791564941406</v>
      </c>
      <c r="F1530" s="41">
        <v>450770</v>
      </c>
      <c r="G1530" s="35" t="s">
        <v>675</v>
      </c>
      <c r="H1530" s="35" t="s">
        <v>115</v>
      </c>
    </row>
    <row r="1531" spans="1:8">
      <c r="A1531" s="37">
        <v>40472.15625</v>
      </c>
      <c r="B1531" s="35" t="s">
        <v>654</v>
      </c>
      <c r="C1531" s="35" t="s">
        <v>655</v>
      </c>
      <c r="D1531" s="39">
        <v>44.569999694824219</v>
      </c>
      <c r="E1531" s="39">
        <v>33.471347808837891</v>
      </c>
      <c r="F1531" s="41">
        <v>300240</v>
      </c>
      <c r="G1531" s="35" t="s">
        <v>675</v>
      </c>
      <c r="H1531" s="35" t="s">
        <v>115</v>
      </c>
    </row>
    <row r="1532" spans="1:8">
      <c r="A1532" s="37">
        <v>40473.15625</v>
      </c>
      <c r="B1532" s="35" t="s">
        <v>654</v>
      </c>
      <c r="C1532" s="35" t="s">
        <v>655</v>
      </c>
      <c r="D1532" s="39">
        <v>46.389999389648438</v>
      </c>
      <c r="E1532" s="39">
        <v>34.838130950927734</v>
      </c>
      <c r="F1532" s="41">
        <v>1406480</v>
      </c>
      <c r="G1532" s="35" t="s">
        <v>675</v>
      </c>
      <c r="H1532" s="35" t="s">
        <v>115</v>
      </c>
    </row>
    <row r="1533" spans="1:8">
      <c r="A1533" s="37">
        <v>40476.15625</v>
      </c>
      <c r="B1533" s="35" t="s">
        <v>654</v>
      </c>
      <c r="C1533" s="35" t="s">
        <v>655</v>
      </c>
      <c r="D1533" s="39">
        <v>44.930000305175781</v>
      </c>
      <c r="E1533" s="39">
        <v>33.741695404052734</v>
      </c>
      <c r="F1533" s="41">
        <v>690280</v>
      </c>
      <c r="G1533" s="35" t="s">
        <v>675</v>
      </c>
      <c r="H1533" s="35" t="s">
        <v>115</v>
      </c>
    </row>
    <row r="1534" spans="1:8">
      <c r="A1534" s="37">
        <v>40477.15625</v>
      </c>
      <c r="B1534" s="35" t="s">
        <v>654</v>
      </c>
      <c r="C1534" s="35" t="s">
        <v>655</v>
      </c>
      <c r="D1534" s="39">
        <v>43.819999694824219</v>
      </c>
      <c r="E1534" s="39">
        <v>32.908115386962891</v>
      </c>
      <c r="F1534" s="41">
        <v>510075</v>
      </c>
      <c r="G1534" s="35" t="s">
        <v>675</v>
      </c>
      <c r="H1534" s="35" t="s">
        <v>115</v>
      </c>
    </row>
    <row r="1535" spans="1:8">
      <c r="A1535" s="37">
        <v>40478.15625</v>
      </c>
      <c r="B1535" s="35" t="s">
        <v>654</v>
      </c>
      <c r="C1535" s="35" t="s">
        <v>655</v>
      </c>
      <c r="D1535" s="39">
        <v>44.700000762939453</v>
      </c>
      <c r="E1535" s="39">
        <v>33.568973541259766</v>
      </c>
      <c r="F1535" s="41">
        <v>423945</v>
      </c>
      <c r="G1535" s="35" t="s">
        <v>675</v>
      </c>
      <c r="H1535" s="35" t="s">
        <v>115</v>
      </c>
    </row>
    <row r="1536" spans="1:8">
      <c r="A1536" s="37">
        <v>40479.15625</v>
      </c>
      <c r="B1536" s="35" t="s">
        <v>654</v>
      </c>
      <c r="C1536" s="35" t="s">
        <v>655</v>
      </c>
      <c r="D1536" s="39">
        <v>43.700000762939453</v>
      </c>
      <c r="E1536" s="39">
        <v>32.817996978759766</v>
      </c>
      <c r="F1536" s="41">
        <v>197390</v>
      </c>
      <c r="G1536" s="35" t="s">
        <v>675</v>
      </c>
      <c r="H1536" s="35" t="s">
        <v>115</v>
      </c>
    </row>
    <row r="1537" spans="1:8">
      <c r="A1537" s="37">
        <v>40480.15625</v>
      </c>
      <c r="B1537" s="35" t="s">
        <v>654</v>
      </c>
      <c r="C1537" s="35" t="s">
        <v>655</v>
      </c>
      <c r="D1537" s="39">
        <v>43.880001068115234</v>
      </c>
      <c r="E1537" s="39">
        <v>32.953163146972656</v>
      </c>
      <c r="F1537" s="41">
        <v>246930</v>
      </c>
      <c r="G1537" s="35" t="s">
        <v>675</v>
      </c>
      <c r="H1537" s="35" t="s">
        <v>115</v>
      </c>
    </row>
    <row r="1538" spans="1:8">
      <c r="A1538" s="37">
        <v>40483.15625</v>
      </c>
      <c r="B1538" s="35" t="s">
        <v>654</v>
      </c>
      <c r="C1538" s="35" t="s">
        <v>655</v>
      </c>
      <c r="D1538" s="39">
        <v>44</v>
      </c>
      <c r="E1538" s="39">
        <v>33.043296813964844</v>
      </c>
      <c r="F1538" s="41">
        <v>521705</v>
      </c>
      <c r="G1538" s="35" t="s">
        <v>675</v>
      </c>
      <c r="H1538" s="35" t="s">
        <v>115</v>
      </c>
    </row>
    <row r="1539" spans="1:8">
      <c r="A1539" s="37">
        <v>40484.15625</v>
      </c>
      <c r="B1539" s="35" t="s">
        <v>654</v>
      </c>
      <c r="C1539" s="35" t="s">
        <v>655</v>
      </c>
      <c r="D1539" s="39">
        <v>43.310001373291016</v>
      </c>
      <c r="E1539" s="39">
        <v>32.525108337402344</v>
      </c>
      <c r="F1539" s="41">
        <v>131080</v>
      </c>
      <c r="G1539" s="35" t="s">
        <v>675</v>
      </c>
      <c r="H1539" s="35" t="s">
        <v>115</v>
      </c>
    </row>
    <row r="1540" spans="1:8">
      <c r="A1540" s="37">
        <v>40485.15625</v>
      </c>
      <c r="B1540" s="35" t="s">
        <v>654</v>
      </c>
      <c r="C1540" s="35" t="s">
        <v>655</v>
      </c>
      <c r="D1540" s="39">
        <v>44.110000610351563</v>
      </c>
      <c r="E1540" s="39">
        <v>33.125904083251953</v>
      </c>
      <c r="F1540" s="41">
        <v>292635</v>
      </c>
      <c r="G1540" s="35" t="s">
        <v>675</v>
      </c>
      <c r="H1540" s="35" t="s">
        <v>115</v>
      </c>
    </row>
    <row r="1541" spans="1:8">
      <c r="A1541" s="37">
        <v>40486.15625</v>
      </c>
      <c r="B1541" s="35" t="s">
        <v>654</v>
      </c>
      <c r="C1541" s="35" t="s">
        <v>655</v>
      </c>
      <c r="D1541" s="39">
        <v>44.110000610351563</v>
      </c>
      <c r="E1541" s="39">
        <v>33.125904083251953</v>
      </c>
      <c r="F1541" s="41">
        <v>223040</v>
      </c>
      <c r="G1541" s="35" t="s">
        <v>675</v>
      </c>
      <c r="H1541" s="35" t="s">
        <v>115</v>
      </c>
    </row>
    <row r="1542" spans="1:8">
      <c r="A1542" s="37">
        <v>40490.15625</v>
      </c>
      <c r="B1542" s="35" t="s">
        <v>654</v>
      </c>
      <c r="C1542" s="35" t="s">
        <v>655</v>
      </c>
      <c r="D1542" s="39">
        <v>43.229999542236328</v>
      </c>
      <c r="E1542" s="39">
        <v>32.465030670166016</v>
      </c>
      <c r="F1542" s="41">
        <v>254825</v>
      </c>
      <c r="G1542" s="35" t="s">
        <v>675</v>
      </c>
      <c r="H1542" s="35" t="s">
        <v>115</v>
      </c>
    </row>
    <row r="1543" spans="1:8">
      <c r="A1543" s="37">
        <v>40491.15625</v>
      </c>
      <c r="B1543" s="35" t="s">
        <v>654</v>
      </c>
      <c r="C1543" s="35" t="s">
        <v>655</v>
      </c>
      <c r="D1543" s="39">
        <v>43.419998168945313</v>
      </c>
      <c r="E1543" s="39">
        <v>32.607719421386719</v>
      </c>
      <c r="F1543" s="41">
        <v>203515</v>
      </c>
      <c r="G1543" s="35" t="s">
        <v>675</v>
      </c>
      <c r="H1543" s="35" t="s">
        <v>115</v>
      </c>
    </row>
    <row r="1544" spans="1:8">
      <c r="A1544" s="37">
        <v>40492.15625</v>
      </c>
      <c r="B1544" s="35" t="s">
        <v>654</v>
      </c>
      <c r="C1544" s="35" t="s">
        <v>655</v>
      </c>
      <c r="D1544" s="39">
        <v>43.810001373291016</v>
      </c>
      <c r="E1544" s="39">
        <v>32.900608062744141</v>
      </c>
      <c r="F1544" s="41">
        <v>691570</v>
      </c>
      <c r="G1544" s="35" t="s">
        <v>675</v>
      </c>
      <c r="H1544" s="35" t="s">
        <v>115</v>
      </c>
    </row>
    <row r="1545" spans="1:8">
      <c r="A1545" s="37">
        <v>40493.15625</v>
      </c>
      <c r="B1545" s="35" t="s">
        <v>654</v>
      </c>
      <c r="C1545" s="35" t="s">
        <v>655</v>
      </c>
      <c r="D1545" s="39">
        <v>43.880001068115234</v>
      </c>
      <c r="E1545" s="39">
        <v>32.953163146972656</v>
      </c>
      <c r="F1545" s="41">
        <v>269305</v>
      </c>
      <c r="G1545" s="35" t="s">
        <v>675</v>
      </c>
      <c r="H1545" s="35" t="s">
        <v>115</v>
      </c>
    </row>
    <row r="1546" spans="1:8">
      <c r="A1546" s="37">
        <v>40494.15625</v>
      </c>
      <c r="B1546" s="35" t="s">
        <v>654</v>
      </c>
      <c r="C1546" s="35" t="s">
        <v>655</v>
      </c>
      <c r="D1546" s="39">
        <v>42.540000915527344</v>
      </c>
      <c r="E1546" s="39">
        <v>31.94685173034668</v>
      </c>
      <c r="F1546" s="41">
        <v>245765</v>
      </c>
      <c r="G1546" s="35" t="s">
        <v>675</v>
      </c>
      <c r="H1546" s="35" t="s">
        <v>115</v>
      </c>
    </row>
    <row r="1547" spans="1:8">
      <c r="A1547" s="37">
        <v>40497.15625</v>
      </c>
      <c r="B1547" s="35" t="s">
        <v>654</v>
      </c>
      <c r="C1547" s="35" t="s">
        <v>655</v>
      </c>
      <c r="D1547" s="39">
        <v>41.779998779296875</v>
      </c>
      <c r="E1547" s="39">
        <v>31.376100540161133</v>
      </c>
      <c r="F1547" s="41">
        <v>244195</v>
      </c>
      <c r="G1547" s="35" t="s">
        <v>675</v>
      </c>
      <c r="H1547" s="35" t="s">
        <v>115</v>
      </c>
    </row>
    <row r="1548" spans="1:8">
      <c r="A1548" s="37">
        <v>40498.15625</v>
      </c>
      <c r="B1548" s="35" t="s">
        <v>654</v>
      </c>
      <c r="C1548" s="35" t="s">
        <v>655</v>
      </c>
      <c r="D1548" s="39">
        <v>41.380001068115234</v>
      </c>
      <c r="E1548" s="39">
        <v>31.075714111328125</v>
      </c>
      <c r="F1548" s="41">
        <v>597620</v>
      </c>
      <c r="G1548" s="35" t="s">
        <v>675</v>
      </c>
      <c r="H1548" s="35" t="s">
        <v>115</v>
      </c>
    </row>
    <row r="1549" spans="1:8">
      <c r="A1549" s="37">
        <v>40500.15625</v>
      </c>
      <c r="B1549" s="35" t="s">
        <v>654</v>
      </c>
      <c r="C1549" s="35" t="s">
        <v>655</v>
      </c>
      <c r="D1549" s="39">
        <v>41.180000305175781</v>
      </c>
      <c r="E1549" s="39">
        <v>30.925519943237305</v>
      </c>
      <c r="F1549" s="41">
        <v>210935</v>
      </c>
      <c r="G1549" s="35" t="s">
        <v>675</v>
      </c>
      <c r="H1549" s="35" t="s">
        <v>115</v>
      </c>
    </row>
    <row r="1550" spans="1:8">
      <c r="A1550" s="37">
        <v>40501.15625</v>
      </c>
      <c r="B1550" s="35" t="s">
        <v>654</v>
      </c>
      <c r="C1550" s="35" t="s">
        <v>655</v>
      </c>
      <c r="D1550" s="39">
        <v>41.020000457763672</v>
      </c>
      <c r="E1550" s="39">
        <v>30.805351257324219</v>
      </c>
      <c r="F1550" s="41">
        <v>176130</v>
      </c>
      <c r="G1550" s="35" t="s">
        <v>675</v>
      </c>
      <c r="H1550" s="35" t="s">
        <v>115</v>
      </c>
    </row>
    <row r="1551" spans="1:8">
      <c r="A1551" s="37">
        <v>40504.15625</v>
      </c>
      <c r="B1551" s="35" t="s">
        <v>654</v>
      </c>
      <c r="C1551" s="35" t="s">
        <v>655</v>
      </c>
      <c r="D1551" s="39">
        <v>41.389999389648438</v>
      </c>
      <c r="E1551" s="39">
        <v>31.083209991455078</v>
      </c>
      <c r="F1551" s="41">
        <v>245160</v>
      </c>
      <c r="G1551" s="35" t="s">
        <v>675</v>
      </c>
      <c r="H1551" s="35" t="s">
        <v>115</v>
      </c>
    </row>
    <row r="1552" spans="1:8">
      <c r="A1552" s="37">
        <v>40505.15625</v>
      </c>
      <c r="B1552" s="35" t="s">
        <v>654</v>
      </c>
      <c r="C1552" s="35" t="s">
        <v>655</v>
      </c>
      <c r="D1552" s="39">
        <v>40.819999694824219</v>
      </c>
      <c r="E1552" s="39">
        <v>30.655158996582031</v>
      </c>
      <c r="F1552" s="41">
        <v>302970</v>
      </c>
      <c r="G1552" s="35" t="s">
        <v>675</v>
      </c>
      <c r="H1552" s="35" t="s">
        <v>115</v>
      </c>
    </row>
    <row r="1553" spans="1:8">
      <c r="A1553" s="37">
        <v>40506.15625</v>
      </c>
      <c r="B1553" s="35" t="s">
        <v>654</v>
      </c>
      <c r="C1553" s="35" t="s">
        <v>655</v>
      </c>
      <c r="D1553" s="39">
        <v>40.720001220703125</v>
      </c>
      <c r="E1553" s="39">
        <v>30.58006477355957</v>
      </c>
      <c r="F1553" s="41">
        <v>197465</v>
      </c>
      <c r="G1553" s="35" t="s">
        <v>675</v>
      </c>
      <c r="H1553" s="35" t="s">
        <v>115</v>
      </c>
    </row>
    <row r="1554" spans="1:8">
      <c r="A1554" s="37">
        <v>40507.15625</v>
      </c>
      <c r="B1554" s="35" t="s">
        <v>654</v>
      </c>
      <c r="C1554" s="35" t="s">
        <v>655</v>
      </c>
      <c r="D1554" s="39">
        <v>39.080001831054688</v>
      </c>
      <c r="E1554" s="39">
        <v>29.348455429077148</v>
      </c>
      <c r="F1554" s="41">
        <v>131270</v>
      </c>
      <c r="G1554" s="35" t="s">
        <v>675</v>
      </c>
      <c r="H1554" s="35" t="s">
        <v>115</v>
      </c>
    </row>
    <row r="1555" spans="1:8">
      <c r="A1555" s="37">
        <v>40508.15625</v>
      </c>
      <c r="B1555" s="35" t="s">
        <v>654</v>
      </c>
      <c r="C1555" s="35" t="s">
        <v>655</v>
      </c>
      <c r="D1555" s="39">
        <v>37.630001068115234</v>
      </c>
      <c r="E1555" s="39">
        <v>28.259529113769531</v>
      </c>
      <c r="F1555" s="41">
        <v>247745</v>
      </c>
      <c r="G1555" s="35" t="s">
        <v>675</v>
      </c>
      <c r="H1555" s="35" t="s">
        <v>115</v>
      </c>
    </row>
    <row r="1556" spans="1:8">
      <c r="A1556" s="37">
        <v>40511.15625</v>
      </c>
      <c r="B1556" s="35" t="s">
        <v>654</v>
      </c>
      <c r="C1556" s="35" t="s">
        <v>655</v>
      </c>
      <c r="D1556" s="39">
        <v>37.970001220703125</v>
      </c>
      <c r="E1556" s="39">
        <v>28.514854431152344</v>
      </c>
      <c r="F1556" s="41">
        <v>171720</v>
      </c>
      <c r="G1556" s="35" t="s">
        <v>675</v>
      </c>
      <c r="H1556" s="35" t="s">
        <v>115</v>
      </c>
    </row>
    <row r="1557" spans="1:8">
      <c r="A1557" s="37">
        <v>40512.15625</v>
      </c>
      <c r="B1557" s="35" t="s">
        <v>654</v>
      </c>
      <c r="C1557" s="35" t="s">
        <v>655</v>
      </c>
      <c r="D1557" s="39">
        <v>41.880001068115234</v>
      </c>
      <c r="E1557" s="39">
        <v>31.451204299926758</v>
      </c>
      <c r="F1557" s="41">
        <v>769905</v>
      </c>
      <c r="G1557" s="35" t="s">
        <v>675</v>
      </c>
      <c r="H1557" s="35" t="s">
        <v>115</v>
      </c>
    </row>
    <row r="1558" spans="1:8">
      <c r="A1558" s="37">
        <v>40513.15625</v>
      </c>
      <c r="B1558" s="35" t="s">
        <v>654</v>
      </c>
      <c r="C1558" s="35" t="s">
        <v>655</v>
      </c>
      <c r="D1558" s="39">
        <v>43.549999237060547</v>
      </c>
      <c r="E1558" s="39">
        <v>32.705348968505859</v>
      </c>
      <c r="F1558" s="41">
        <v>803390</v>
      </c>
      <c r="G1558" s="35" t="s">
        <v>675</v>
      </c>
      <c r="H1558" s="35" t="s">
        <v>115</v>
      </c>
    </row>
    <row r="1559" spans="1:8">
      <c r="A1559" s="37">
        <v>40514.15625</v>
      </c>
      <c r="B1559" s="35" t="s">
        <v>654</v>
      </c>
      <c r="C1559" s="35" t="s">
        <v>655</v>
      </c>
      <c r="D1559" s="39">
        <v>42.049999237060547</v>
      </c>
      <c r="E1559" s="39">
        <v>31.578882217407227</v>
      </c>
      <c r="F1559" s="41">
        <v>334515</v>
      </c>
      <c r="G1559" s="35" t="s">
        <v>675</v>
      </c>
      <c r="H1559" s="35" t="s">
        <v>115</v>
      </c>
    </row>
    <row r="1560" spans="1:8">
      <c r="A1560" s="37">
        <v>40515.15625</v>
      </c>
      <c r="B1560" s="35" t="s">
        <v>654</v>
      </c>
      <c r="C1560" s="35" t="s">
        <v>655</v>
      </c>
      <c r="D1560" s="39">
        <v>41.490001678466797</v>
      </c>
      <c r="E1560" s="39">
        <v>31.158319473266602</v>
      </c>
      <c r="F1560" s="41">
        <v>282340</v>
      </c>
      <c r="G1560" s="35" t="s">
        <v>675</v>
      </c>
      <c r="H1560" s="35" t="s">
        <v>115</v>
      </c>
    </row>
    <row r="1561" spans="1:8">
      <c r="A1561" s="37">
        <v>40518.15625</v>
      </c>
      <c r="B1561" s="35" t="s">
        <v>654</v>
      </c>
      <c r="C1561" s="35" t="s">
        <v>655</v>
      </c>
      <c r="D1561" s="39">
        <v>41.060001373291016</v>
      </c>
      <c r="E1561" s="39">
        <v>30.83540153503418</v>
      </c>
      <c r="F1561" s="41">
        <v>219760</v>
      </c>
      <c r="G1561" s="35" t="s">
        <v>675</v>
      </c>
      <c r="H1561" s="35" t="s">
        <v>115</v>
      </c>
    </row>
    <row r="1562" spans="1:8">
      <c r="A1562" s="37">
        <v>40519.15625</v>
      </c>
      <c r="B1562" s="35" t="s">
        <v>654</v>
      </c>
      <c r="C1562" s="35" t="s">
        <v>655</v>
      </c>
      <c r="D1562" s="39">
        <v>39.669998168945313</v>
      </c>
      <c r="E1562" s="39">
        <v>29.791522979736328</v>
      </c>
      <c r="F1562" s="41">
        <v>247760</v>
      </c>
      <c r="G1562" s="35" t="s">
        <v>675</v>
      </c>
      <c r="H1562" s="35" t="s">
        <v>115</v>
      </c>
    </row>
    <row r="1563" spans="1:8">
      <c r="A1563" s="37">
        <v>40520.15625</v>
      </c>
      <c r="B1563" s="35" t="s">
        <v>654</v>
      </c>
      <c r="C1563" s="35" t="s">
        <v>655</v>
      </c>
      <c r="D1563" s="39">
        <v>38.849998474121094</v>
      </c>
      <c r="E1563" s="39">
        <v>29.175724029541016</v>
      </c>
      <c r="F1563" s="41">
        <v>399630</v>
      </c>
      <c r="G1563" s="35" t="s">
        <v>675</v>
      </c>
      <c r="H1563" s="35" t="s">
        <v>115</v>
      </c>
    </row>
    <row r="1564" spans="1:8">
      <c r="A1564" s="37">
        <v>40521.15625</v>
      </c>
      <c r="B1564" s="35" t="s">
        <v>654</v>
      </c>
      <c r="C1564" s="35" t="s">
        <v>655</v>
      </c>
      <c r="D1564" s="39">
        <v>37.25</v>
      </c>
      <c r="E1564" s="39">
        <v>27.974145889282227</v>
      </c>
      <c r="F1564" s="41">
        <v>286780</v>
      </c>
      <c r="G1564" s="35" t="s">
        <v>675</v>
      </c>
      <c r="H1564" s="35" t="s">
        <v>115</v>
      </c>
    </row>
    <row r="1565" spans="1:8">
      <c r="A1565" s="37">
        <v>40522.15625</v>
      </c>
      <c r="B1565" s="35" t="s">
        <v>654</v>
      </c>
      <c r="C1565" s="35" t="s">
        <v>655</v>
      </c>
      <c r="D1565" s="39">
        <v>37.389999389648438</v>
      </c>
      <c r="E1565" s="39">
        <v>28.07928466796875</v>
      </c>
      <c r="F1565" s="41">
        <v>317050</v>
      </c>
      <c r="G1565" s="35" t="s">
        <v>675</v>
      </c>
      <c r="H1565" s="35" t="s">
        <v>115</v>
      </c>
    </row>
    <row r="1566" spans="1:8">
      <c r="A1566" s="37">
        <v>40525.15625</v>
      </c>
      <c r="B1566" s="35" t="s">
        <v>654</v>
      </c>
      <c r="C1566" s="35" t="s">
        <v>655</v>
      </c>
      <c r="D1566" s="39">
        <v>38.299999237060547</v>
      </c>
      <c r="E1566" s="39">
        <v>28.762691497802734</v>
      </c>
      <c r="F1566" s="41">
        <v>216745</v>
      </c>
      <c r="G1566" s="35" t="s">
        <v>675</v>
      </c>
      <c r="H1566" s="35" t="s">
        <v>115</v>
      </c>
    </row>
    <row r="1567" spans="1:8">
      <c r="A1567" s="37">
        <v>40526.15625</v>
      </c>
      <c r="B1567" s="35" t="s">
        <v>654</v>
      </c>
      <c r="C1567" s="35" t="s">
        <v>655</v>
      </c>
      <c r="D1567" s="39">
        <v>38.029998779296875</v>
      </c>
      <c r="E1567" s="39">
        <v>28.559915542602539</v>
      </c>
      <c r="F1567" s="41">
        <v>184200</v>
      </c>
      <c r="G1567" s="35" t="s">
        <v>675</v>
      </c>
      <c r="H1567" s="35" t="s">
        <v>115</v>
      </c>
    </row>
    <row r="1568" spans="1:8">
      <c r="A1568" s="37">
        <v>40527.15625</v>
      </c>
      <c r="B1568" s="35" t="s">
        <v>654</v>
      </c>
      <c r="C1568" s="35" t="s">
        <v>655</v>
      </c>
      <c r="D1568" s="39">
        <v>37.770000457763672</v>
      </c>
      <c r="E1568" s="39">
        <v>28.364660263061523</v>
      </c>
      <c r="F1568" s="41">
        <v>102730</v>
      </c>
      <c r="G1568" s="35" t="s">
        <v>675</v>
      </c>
      <c r="H1568" s="35" t="s">
        <v>115</v>
      </c>
    </row>
    <row r="1569" spans="1:8">
      <c r="A1569" s="37">
        <v>40528.15625</v>
      </c>
      <c r="B1569" s="35" t="s">
        <v>654</v>
      </c>
      <c r="C1569" s="35" t="s">
        <v>655</v>
      </c>
      <c r="D1569" s="39">
        <v>38.439998626708984</v>
      </c>
      <c r="E1569" s="39">
        <v>28.867824554443359</v>
      </c>
      <c r="F1569" s="41">
        <v>1067140</v>
      </c>
      <c r="G1569" s="35" t="s">
        <v>675</v>
      </c>
      <c r="H1569" s="35" t="s">
        <v>115</v>
      </c>
    </row>
    <row r="1570" spans="1:8">
      <c r="A1570" s="37">
        <v>40532.15625</v>
      </c>
      <c r="B1570" s="35" t="s">
        <v>654</v>
      </c>
      <c r="C1570" s="35" t="s">
        <v>655</v>
      </c>
      <c r="D1570" s="39">
        <v>38.909999847412109</v>
      </c>
      <c r="E1570" s="39">
        <v>29.220794677734375</v>
      </c>
      <c r="F1570" s="41">
        <v>1012420</v>
      </c>
      <c r="G1570" s="35" t="s">
        <v>675</v>
      </c>
      <c r="H1570" s="35" t="s">
        <v>115</v>
      </c>
    </row>
    <row r="1571" spans="1:8">
      <c r="A1571" s="37">
        <v>40533.15625</v>
      </c>
      <c r="B1571" s="35" t="s">
        <v>654</v>
      </c>
      <c r="C1571" s="35" t="s">
        <v>655</v>
      </c>
      <c r="D1571" s="39">
        <v>40.459999084472656</v>
      </c>
      <c r="E1571" s="39">
        <v>30.384805679321289</v>
      </c>
      <c r="F1571" s="41">
        <v>603830</v>
      </c>
      <c r="G1571" s="35" t="s">
        <v>675</v>
      </c>
      <c r="H1571" s="35" t="s">
        <v>115</v>
      </c>
    </row>
    <row r="1572" spans="1:8">
      <c r="A1572" s="37">
        <v>40534.15625</v>
      </c>
      <c r="B1572" s="35" t="s">
        <v>654</v>
      </c>
      <c r="C1572" s="35" t="s">
        <v>655</v>
      </c>
      <c r="D1572" s="39">
        <v>39.889999389648438</v>
      </c>
      <c r="E1572" s="39">
        <v>29.956747055053711</v>
      </c>
      <c r="F1572" s="41">
        <v>169495</v>
      </c>
      <c r="G1572" s="35" t="s">
        <v>675</v>
      </c>
      <c r="H1572" s="35" t="s">
        <v>115</v>
      </c>
    </row>
    <row r="1573" spans="1:8">
      <c r="A1573" s="37">
        <v>40535.15625</v>
      </c>
      <c r="B1573" s="35" t="s">
        <v>654</v>
      </c>
      <c r="C1573" s="35" t="s">
        <v>655</v>
      </c>
      <c r="D1573" s="39">
        <v>39.810001373291016</v>
      </c>
      <c r="E1573" s="39">
        <v>29.89666748046875</v>
      </c>
      <c r="F1573" s="41">
        <v>156170</v>
      </c>
      <c r="G1573" s="35" t="s">
        <v>675</v>
      </c>
      <c r="H1573" s="35" t="s">
        <v>115</v>
      </c>
    </row>
    <row r="1574" spans="1:8">
      <c r="A1574" s="37">
        <v>40536.15625</v>
      </c>
      <c r="B1574" s="35" t="s">
        <v>654</v>
      </c>
      <c r="C1574" s="35" t="s">
        <v>655</v>
      </c>
      <c r="D1574" s="39">
        <v>40.909999847412109</v>
      </c>
      <c r="E1574" s="39">
        <v>30.722740173339844</v>
      </c>
      <c r="F1574" s="41">
        <v>509405</v>
      </c>
      <c r="G1574" s="35" t="s">
        <v>675</v>
      </c>
      <c r="H1574" s="35" t="s">
        <v>115</v>
      </c>
    </row>
    <row r="1575" spans="1:8">
      <c r="A1575" s="37">
        <v>40539.15625</v>
      </c>
      <c r="B1575" s="35" t="s">
        <v>654</v>
      </c>
      <c r="C1575" s="35" t="s">
        <v>655</v>
      </c>
      <c r="D1575" s="39">
        <v>40.380001068115234</v>
      </c>
      <c r="E1575" s="39">
        <v>30.324728012084961</v>
      </c>
      <c r="F1575" s="41">
        <v>155435</v>
      </c>
      <c r="G1575" s="35" t="s">
        <v>675</v>
      </c>
      <c r="H1575" s="35" t="s">
        <v>115</v>
      </c>
    </row>
    <row r="1576" spans="1:8">
      <c r="A1576" s="37">
        <v>40540.15625</v>
      </c>
      <c r="B1576" s="35" t="s">
        <v>654</v>
      </c>
      <c r="C1576" s="35" t="s">
        <v>655</v>
      </c>
      <c r="D1576" s="39">
        <v>40.220001220703125</v>
      </c>
      <c r="E1576" s="39">
        <v>30.204570770263672</v>
      </c>
      <c r="F1576" s="41">
        <v>173340</v>
      </c>
      <c r="G1576" s="35" t="s">
        <v>675</v>
      </c>
      <c r="H1576" s="35" t="s">
        <v>115</v>
      </c>
    </row>
    <row r="1577" spans="1:8">
      <c r="A1577" s="37">
        <v>40541.15625</v>
      </c>
      <c r="B1577" s="35" t="s">
        <v>654</v>
      </c>
      <c r="C1577" s="35" t="s">
        <v>655</v>
      </c>
      <c r="D1577" s="39">
        <v>40.099998474121094</v>
      </c>
      <c r="E1577" s="39">
        <v>30.11444091796875</v>
      </c>
      <c r="F1577" s="41">
        <v>301320</v>
      </c>
      <c r="G1577" s="35" t="s">
        <v>675</v>
      </c>
      <c r="H1577" s="35" t="s">
        <v>115</v>
      </c>
    </row>
    <row r="1578" spans="1:8">
      <c r="A1578" s="37">
        <v>40542.15625</v>
      </c>
      <c r="B1578" s="35" t="s">
        <v>654</v>
      </c>
      <c r="C1578" s="35" t="s">
        <v>655</v>
      </c>
      <c r="D1578" s="39">
        <v>39.799999237060547</v>
      </c>
      <c r="E1578" s="39">
        <v>29.88916015625</v>
      </c>
      <c r="F1578" s="41">
        <v>339340</v>
      </c>
      <c r="G1578" s="35" t="s">
        <v>675</v>
      </c>
      <c r="H1578" s="35" t="s">
        <v>115</v>
      </c>
    </row>
    <row r="1579" spans="1:8">
      <c r="A1579" s="37">
        <v>40543.15625</v>
      </c>
      <c r="B1579" s="35" t="s">
        <v>654</v>
      </c>
      <c r="C1579" s="35" t="s">
        <v>655</v>
      </c>
      <c r="D1579" s="39">
        <v>39.619998931884766</v>
      </c>
      <c r="E1579" s="39">
        <v>29.753974914550781</v>
      </c>
      <c r="F1579" s="41">
        <v>133700</v>
      </c>
      <c r="G1579" s="35" t="s">
        <v>675</v>
      </c>
      <c r="H1579" s="35" t="s">
        <v>115</v>
      </c>
    </row>
    <row r="1580" spans="1:8">
      <c r="A1580" s="37">
        <v>40546.15625</v>
      </c>
      <c r="B1580" s="35" t="s">
        <v>654</v>
      </c>
      <c r="C1580" s="35" t="s">
        <v>655</v>
      </c>
      <c r="D1580" s="39">
        <v>40.169998168945313</v>
      </c>
      <c r="E1580" s="39">
        <v>30.167022705078125</v>
      </c>
      <c r="F1580" s="41">
        <v>155580</v>
      </c>
      <c r="G1580" s="35" t="s">
        <v>675</v>
      </c>
      <c r="H1580" s="35" t="s">
        <v>115</v>
      </c>
    </row>
    <row r="1581" spans="1:8">
      <c r="A1581" s="37">
        <v>40547.15625</v>
      </c>
      <c r="B1581" s="35" t="s">
        <v>654</v>
      </c>
      <c r="C1581" s="35" t="s">
        <v>655</v>
      </c>
      <c r="D1581" s="39">
        <v>41.389999389648438</v>
      </c>
      <c r="E1581" s="39">
        <v>31.083209991455078</v>
      </c>
      <c r="F1581" s="41">
        <v>1152480</v>
      </c>
      <c r="G1581" s="35" t="s">
        <v>675</v>
      </c>
      <c r="H1581" s="35" t="s">
        <v>115</v>
      </c>
    </row>
    <row r="1582" spans="1:8">
      <c r="A1582" s="37">
        <v>40548.15625</v>
      </c>
      <c r="B1582" s="35" t="s">
        <v>654</v>
      </c>
      <c r="C1582" s="35" t="s">
        <v>655</v>
      </c>
      <c r="D1582" s="39">
        <v>42.060001373291016</v>
      </c>
      <c r="E1582" s="39">
        <v>31.586391448974609</v>
      </c>
      <c r="F1582" s="41">
        <v>708850</v>
      </c>
      <c r="G1582" s="35" t="s">
        <v>675</v>
      </c>
      <c r="H1582" s="35" t="s">
        <v>115</v>
      </c>
    </row>
    <row r="1583" spans="1:8">
      <c r="A1583" s="37">
        <v>40549.15625</v>
      </c>
      <c r="B1583" s="35" t="s">
        <v>654</v>
      </c>
      <c r="C1583" s="35" t="s">
        <v>655</v>
      </c>
      <c r="D1583" s="39">
        <v>41.880001068115234</v>
      </c>
      <c r="E1583" s="39">
        <v>31.451204299926758</v>
      </c>
      <c r="F1583" s="41">
        <v>550620</v>
      </c>
      <c r="G1583" s="35" t="s">
        <v>675</v>
      </c>
      <c r="H1583" s="35" t="s">
        <v>115</v>
      </c>
    </row>
    <row r="1584" spans="1:8">
      <c r="A1584" s="37">
        <v>40550.15625</v>
      </c>
      <c r="B1584" s="35" t="s">
        <v>654</v>
      </c>
      <c r="C1584" s="35" t="s">
        <v>655</v>
      </c>
      <c r="D1584" s="39">
        <v>40.049999237060547</v>
      </c>
      <c r="E1584" s="39">
        <v>30.076906204223633</v>
      </c>
      <c r="F1584" s="41">
        <v>335315</v>
      </c>
      <c r="G1584" s="35" t="s">
        <v>675</v>
      </c>
      <c r="H1584" s="35" t="s">
        <v>115</v>
      </c>
    </row>
    <row r="1585" spans="1:8">
      <c r="A1585" s="37">
        <v>40553.15625</v>
      </c>
      <c r="B1585" s="35" t="s">
        <v>654</v>
      </c>
      <c r="C1585" s="35" t="s">
        <v>655</v>
      </c>
      <c r="D1585" s="39">
        <v>40.080001831054688</v>
      </c>
      <c r="E1585" s="39">
        <v>30.099433898925781</v>
      </c>
      <c r="F1585" s="41">
        <v>479535</v>
      </c>
      <c r="G1585" s="35" t="s">
        <v>675</v>
      </c>
      <c r="H1585" s="35" t="s">
        <v>115</v>
      </c>
    </row>
    <row r="1586" spans="1:8">
      <c r="A1586" s="37">
        <v>40554.15625</v>
      </c>
      <c r="B1586" s="35" t="s">
        <v>654</v>
      </c>
      <c r="C1586" s="35" t="s">
        <v>655</v>
      </c>
      <c r="D1586" s="39">
        <v>40.799999237060547</v>
      </c>
      <c r="E1586" s="39">
        <v>30.640144348144531</v>
      </c>
      <c r="F1586" s="41">
        <v>475965</v>
      </c>
      <c r="G1586" s="35" t="s">
        <v>675</v>
      </c>
      <c r="H1586" s="35" t="s">
        <v>115</v>
      </c>
    </row>
    <row r="1587" spans="1:8">
      <c r="A1587" s="37">
        <v>40555.15625</v>
      </c>
      <c r="B1587" s="35" t="s">
        <v>654</v>
      </c>
      <c r="C1587" s="35" t="s">
        <v>655</v>
      </c>
      <c r="D1587" s="39">
        <v>41.020000457763672</v>
      </c>
      <c r="E1587" s="39">
        <v>30.805351257324219</v>
      </c>
      <c r="F1587" s="41">
        <v>256235</v>
      </c>
      <c r="G1587" s="35" t="s">
        <v>675</v>
      </c>
      <c r="H1587" s="35" t="s">
        <v>115</v>
      </c>
    </row>
    <row r="1588" spans="1:8">
      <c r="A1588" s="37">
        <v>40556.15625</v>
      </c>
      <c r="B1588" s="35" t="s">
        <v>654</v>
      </c>
      <c r="C1588" s="35" t="s">
        <v>655</v>
      </c>
      <c r="D1588" s="39">
        <v>40.849998474121094</v>
      </c>
      <c r="E1588" s="39">
        <v>30.67768669128418</v>
      </c>
      <c r="F1588" s="41">
        <v>129560</v>
      </c>
      <c r="G1588" s="35" t="s">
        <v>675</v>
      </c>
      <c r="H1588" s="35" t="s">
        <v>115</v>
      </c>
    </row>
    <row r="1589" spans="1:8">
      <c r="A1589" s="37">
        <v>40557.15625</v>
      </c>
      <c r="B1589" s="35" t="s">
        <v>654</v>
      </c>
      <c r="C1589" s="35" t="s">
        <v>655</v>
      </c>
      <c r="D1589" s="39">
        <v>40.830001831054688</v>
      </c>
      <c r="E1589" s="39">
        <v>30.662679672241211</v>
      </c>
      <c r="F1589" s="41">
        <v>183850</v>
      </c>
      <c r="G1589" s="35" t="s">
        <v>675</v>
      </c>
      <c r="H1589" s="35" t="s">
        <v>115</v>
      </c>
    </row>
    <row r="1590" spans="1:8">
      <c r="A1590" s="37">
        <v>40560.15625</v>
      </c>
      <c r="B1590" s="35" t="s">
        <v>654</v>
      </c>
      <c r="C1590" s="35" t="s">
        <v>655</v>
      </c>
      <c r="D1590" s="39">
        <v>41.240001678466797</v>
      </c>
      <c r="E1590" s="39">
        <v>30.970579147338867</v>
      </c>
      <c r="F1590" s="41">
        <v>433725</v>
      </c>
      <c r="G1590" s="35" t="s">
        <v>675</v>
      </c>
      <c r="H1590" s="35" t="s">
        <v>115</v>
      </c>
    </row>
    <row r="1591" spans="1:8">
      <c r="A1591" s="37">
        <v>40561.15625</v>
      </c>
      <c r="B1591" s="35" t="s">
        <v>654</v>
      </c>
      <c r="C1591" s="35" t="s">
        <v>655</v>
      </c>
      <c r="D1591" s="39">
        <v>41.900001525878906</v>
      </c>
      <c r="E1591" s="39">
        <v>31.466228485107422</v>
      </c>
      <c r="F1591" s="41">
        <v>3320315</v>
      </c>
      <c r="G1591" s="35" t="s">
        <v>675</v>
      </c>
      <c r="H1591" s="35" t="s">
        <v>115</v>
      </c>
    </row>
    <row r="1592" spans="1:8">
      <c r="A1592" s="37">
        <v>40562.15625</v>
      </c>
      <c r="B1592" s="35" t="s">
        <v>654</v>
      </c>
      <c r="C1592" s="35" t="s">
        <v>655</v>
      </c>
      <c r="D1592" s="39">
        <v>42.340000152587891</v>
      </c>
      <c r="E1592" s="39">
        <v>31.796648025512695</v>
      </c>
      <c r="F1592" s="41">
        <v>1544890</v>
      </c>
      <c r="G1592" s="35" t="s">
        <v>675</v>
      </c>
      <c r="H1592" s="35" t="s">
        <v>115</v>
      </c>
    </row>
    <row r="1593" spans="1:8">
      <c r="A1593" s="37">
        <v>40563.15625</v>
      </c>
      <c r="B1593" s="35" t="s">
        <v>654</v>
      </c>
      <c r="C1593" s="35" t="s">
        <v>655</v>
      </c>
      <c r="D1593" s="39">
        <v>42.430000305175781</v>
      </c>
      <c r="E1593" s="39">
        <v>31.864240646362305</v>
      </c>
      <c r="F1593" s="41">
        <v>532585</v>
      </c>
      <c r="G1593" s="35" t="s">
        <v>675</v>
      </c>
      <c r="H1593" s="35" t="s">
        <v>115</v>
      </c>
    </row>
    <row r="1594" spans="1:8">
      <c r="A1594" s="37">
        <v>40564.15625</v>
      </c>
      <c r="B1594" s="35" t="s">
        <v>654</v>
      </c>
      <c r="C1594" s="35" t="s">
        <v>655</v>
      </c>
      <c r="D1594" s="39">
        <v>41.590000152587891</v>
      </c>
      <c r="E1594" s="39">
        <v>31.233413696289063</v>
      </c>
      <c r="F1594" s="41">
        <v>622070</v>
      </c>
      <c r="G1594" s="35" t="s">
        <v>675</v>
      </c>
      <c r="H1594" s="35" t="s">
        <v>115</v>
      </c>
    </row>
    <row r="1595" spans="1:8">
      <c r="A1595" s="37">
        <v>40567.15625</v>
      </c>
      <c r="B1595" s="35" t="s">
        <v>654</v>
      </c>
      <c r="C1595" s="35" t="s">
        <v>655</v>
      </c>
      <c r="D1595" s="39">
        <v>41.799999237060547</v>
      </c>
      <c r="E1595" s="39">
        <v>31.391120910644531</v>
      </c>
      <c r="F1595" s="41">
        <v>428235</v>
      </c>
      <c r="G1595" s="35" t="s">
        <v>675</v>
      </c>
      <c r="H1595" s="35" t="s">
        <v>115</v>
      </c>
    </row>
    <row r="1596" spans="1:8">
      <c r="A1596" s="37">
        <v>40568.15625</v>
      </c>
      <c r="B1596" s="35" t="s">
        <v>654</v>
      </c>
      <c r="C1596" s="35" t="s">
        <v>655</v>
      </c>
      <c r="D1596" s="39">
        <v>40.889999389648438</v>
      </c>
      <c r="E1596" s="39">
        <v>30.707731246948242</v>
      </c>
      <c r="F1596" s="41">
        <v>377025</v>
      </c>
      <c r="G1596" s="35" t="s">
        <v>675</v>
      </c>
      <c r="H1596" s="35" t="s">
        <v>115</v>
      </c>
    </row>
    <row r="1597" spans="1:8">
      <c r="A1597" s="37">
        <v>40570.15625</v>
      </c>
      <c r="B1597" s="35" t="s">
        <v>654</v>
      </c>
      <c r="C1597" s="35" t="s">
        <v>655</v>
      </c>
      <c r="D1597" s="39">
        <v>39.439998626708984</v>
      </c>
      <c r="E1597" s="39">
        <v>29.618803024291992</v>
      </c>
      <c r="F1597" s="41">
        <v>491585</v>
      </c>
      <c r="G1597" s="35" t="s">
        <v>675</v>
      </c>
      <c r="H1597" s="35" t="s">
        <v>115</v>
      </c>
    </row>
    <row r="1598" spans="1:8">
      <c r="A1598" s="37">
        <v>40571.15625</v>
      </c>
      <c r="B1598" s="35" t="s">
        <v>654</v>
      </c>
      <c r="C1598" s="35" t="s">
        <v>655</v>
      </c>
      <c r="D1598" s="39">
        <v>37.569999694824219</v>
      </c>
      <c r="E1598" s="39">
        <v>28.214468002319336</v>
      </c>
      <c r="F1598" s="41">
        <v>708205</v>
      </c>
      <c r="G1598" s="35" t="s">
        <v>675</v>
      </c>
      <c r="H1598" s="35" t="s">
        <v>115</v>
      </c>
    </row>
    <row r="1599" spans="1:8">
      <c r="A1599" s="37">
        <v>40574.15625</v>
      </c>
      <c r="B1599" s="35" t="s">
        <v>654</v>
      </c>
      <c r="C1599" s="35" t="s">
        <v>655</v>
      </c>
      <c r="D1599" s="39">
        <v>39.75</v>
      </c>
      <c r="E1599" s="39">
        <v>29.851613998413086</v>
      </c>
      <c r="F1599" s="41">
        <v>1050550</v>
      </c>
      <c r="G1599" s="35" t="s">
        <v>675</v>
      </c>
      <c r="H1599" s="35" t="s">
        <v>115</v>
      </c>
    </row>
    <row r="1600" spans="1:8">
      <c r="A1600" s="37">
        <v>40575.15625</v>
      </c>
      <c r="B1600" s="35" t="s">
        <v>654</v>
      </c>
      <c r="C1600" s="35" t="s">
        <v>655</v>
      </c>
      <c r="D1600" s="39">
        <v>38.759998321533203</v>
      </c>
      <c r="E1600" s="39">
        <v>29.108137130737305</v>
      </c>
      <c r="F1600" s="41">
        <v>235720</v>
      </c>
      <c r="G1600" s="35" t="s">
        <v>675</v>
      </c>
      <c r="H1600" s="35" t="s">
        <v>115</v>
      </c>
    </row>
    <row r="1601" spans="1:8">
      <c r="A1601" s="37">
        <v>40576.15625</v>
      </c>
      <c r="B1601" s="35" t="s">
        <v>654</v>
      </c>
      <c r="C1601" s="35" t="s">
        <v>655</v>
      </c>
      <c r="D1601" s="39">
        <v>38.569999694824219</v>
      </c>
      <c r="E1601" s="39">
        <v>28.965446472167969</v>
      </c>
      <c r="F1601" s="41">
        <v>216925</v>
      </c>
      <c r="G1601" s="35" t="s">
        <v>675</v>
      </c>
      <c r="H1601" s="35" t="s">
        <v>115</v>
      </c>
    </row>
    <row r="1602" spans="1:8">
      <c r="A1602" s="37">
        <v>40577.15625</v>
      </c>
      <c r="B1602" s="35" t="s">
        <v>654</v>
      </c>
      <c r="C1602" s="35" t="s">
        <v>655</v>
      </c>
      <c r="D1602" s="39">
        <v>38.849998474121094</v>
      </c>
      <c r="E1602" s="39">
        <v>29.175724029541016</v>
      </c>
      <c r="F1602" s="41">
        <v>136855</v>
      </c>
      <c r="G1602" s="35" t="s">
        <v>675</v>
      </c>
      <c r="H1602" s="35" t="s">
        <v>115</v>
      </c>
    </row>
    <row r="1603" spans="1:8">
      <c r="A1603" s="37">
        <v>40578.15625</v>
      </c>
      <c r="B1603" s="35" t="s">
        <v>654</v>
      </c>
      <c r="C1603" s="35" t="s">
        <v>655</v>
      </c>
      <c r="D1603" s="39">
        <v>37.909999847412109</v>
      </c>
      <c r="E1603" s="39">
        <v>28.469795227050781</v>
      </c>
      <c r="F1603" s="41">
        <v>163380</v>
      </c>
      <c r="G1603" s="35" t="s">
        <v>675</v>
      </c>
      <c r="H1603" s="35" t="s">
        <v>115</v>
      </c>
    </row>
    <row r="1604" spans="1:8">
      <c r="A1604" s="37">
        <v>40581.15625</v>
      </c>
      <c r="B1604" s="35" t="s">
        <v>654</v>
      </c>
      <c r="C1604" s="35" t="s">
        <v>655</v>
      </c>
      <c r="D1604" s="39">
        <v>38.159999847412109</v>
      </c>
      <c r="E1604" s="39">
        <v>28.657541275024414</v>
      </c>
      <c r="F1604" s="41">
        <v>624780</v>
      </c>
      <c r="G1604" s="35" t="s">
        <v>675</v>
      </c>
      <c r="H1604" s="35" t="s">
        <v>115</v>
      </c>
    </row>
    <row r="1605" spans="1:8">
      <c r="A1605" s="37">
        <v>40582.15625</v>
      </c>
      <c r="B1605" s="35" t="s">
        <v>654</v>
      </c>
      <c r="C1605" s="35" t="s">
        <v>655</v>
      </c>
      <c r="D1605" s="39">
        <v>36.209999084472656</v>
      </c>
      <c r="E1605" s="39">
        <v>27.193122863769531</v>
      </c>
      <c r="F1605" s="41">
        <v>684100</v>
      </c>
      <c r="G1605" s="35" t="s">
        <v>675</v>
      </c>
      <c r="H1605" s="35" t="s">
        <v>115</v>
      </c>
    </row>
    <row r="1606" spans="1:8">
      <c r="A1606" s="37">
        <v>40583.15625</v>
      </c>
      <c r="B1606" s="35" t="s">
        <v>654</v>
      </c>
      <c r="C1606" s="35" t="s">
        <v>655</v>
      </c>
      <c r="D1606" s="39">
        <v>35.189998626708984</v>
      </c>
      <c r="E1606" s="39">
        <v>26.427120208740234</v>
      </c>
      <c r="F1606" s="41">
        <v>548195</v>
      </c>
      <c r="G1606" s="35" t="s">
        <v>675</v>
      </c>
      <c r="H1606" s="35" t="s">
        <v>115</v>
      </c>
    </row>
    <row r="1607" spans="1:8">
      <c r="A1607" s="37">
        <v>40584.15625</v>
      </c>
      <c r="B1607" s="35" t="s">
        <v>654</v>
      </c>
      <c r="C1607" s="35" t="s">
        <v>655</v>
      </c>
      <c r="D1607" s="39">
        <v>35.009998321533203</v>
      </c>
      <c r="E1607" s="39">
        <v>26.291942596435547</v>
      </c>
      <c r="F1607" s="41">
        <v>279905</v>
      </c>
      <c r="G1607" s="35" t="s">
        <v>675</v>
      </c>
      <c r="H1607" s="35" t="s">
        <v>115</v>
      </c>
    </row>
    <row r="1608" spans="1:8">
      <c r="A1608" s="37">
        <v>40585.15625</v>
      </c>
      <c r="B1608" s="35" t="s">
        <v>654</v>
      </c>
      <c r="C1608" s="35" t="s">
        <v>655</v>
      </c>
      <c r="D1608" s="39">
        <v>36.740001678466797</v>
      </c>
      <c r="E1608" s="39">
        <v>27.591144561767578</v>
      </c>
      <c r="F1608" s="41">
        <v>294230</v>
      </c>
      <c r="G1608" s="35" t="s">
        <v>675</v>
      </c>
      <c r="H1608" s="35" t="s">
        <v>115</v>
      </c>
    </row>
    <row r="1609" spans="1:8">
      <c r="A1609" s="37">
        <v>40588.15625</v>
      </c>
      <c r="B1609" s="35" t="s">
        <v>654</v>
      </c>
      <c r="C1609" s="35" t="s">
        <v>655</v>
      </c>
      <c r="D1609" s="39">
        <v>38.979999542236328</v>
      </c>
      <c r="E1609" s="39">
        <v>29.273347854614258</v>
      </c>
      <c r="F1609" s="41">
        <v>221735</v>
      </c>
      <c r="G1609" s="35" t="s">
        <v>675</v>
      </c>
      <c r="H1609" s="35" t="s">
        <v>115</v>
      </c>
    </row>
    <row r="1610" spans="1:8">
      <c r="A1610" s="37">
        <v>40589.15625</v>
      </c>
      <c r="B1610" s="35" t="s">
        <v>654</v>
      </c>
      <c r="C1610" s="35" t="s">
        <v>655</v>
      </c>
      <c r="D1610" s="39">
        <v>38.310001373291016</v>
      </c>
      <c r="E1610" s="39">
        <v>28.770193099975586</v>
      </c>
      <c r="F1610" s="41">
        <v>157835</v>
      </c>
      <c r="G1610" s="35" t="s">
        <v>675</v>
      </c>
      <c r="H1610" s="35" t="s">
        <v>115</v>
      </c>
    </row>
    <row r="1611" spans="1:8">
      <c r="A1611" s="37">
        <v>40590.15625</v>
      </c>
      <c r="B1611" s="35" t="s">
        <v>654</v>
      </c>
      <c r="C1611" s="35" t="s">
        <v>655</v>
      </c>
      <c r="D1611" s="39">
        <v>38.689998626708984</v>
      </c>
      <c r="E1611" s="39">
        <v>29.055564880371094</v>
      </c>
      <c r="F1611" s="41">
        <v>125950</v>
      </c>
      <c r="G1611" s="35" t="s">
        <v>675</v>
      </c>
      <c r="H1611" s="35" t="s">
        <v>115</v>
      </c>
    </row>
    <row r="1612" spans="1:8">
      <c r="A1612" s="37">
        <v>40591.15625</v>
      </c>
      <c r="B1612" s="35" t="s">
        <v>654</v>
      </c>
      <c r="C1612" s="35" t="s">
        <v>655</v>
      </c>
      <c r="D1612" s="39">
        <v>39.200000762939453</v>
      </c>
      <c r="E1612" s="39">
        <v>29.438570022583008</v>
      </c>
      <c r="F1612" s="41">
        <v>375960</v>
      </c>
      <c r="G1612" s="35" t="s">
        <v>675</v>
      </c>
      <c r="H1612" s="35" t="s">
        <v>115</v>
      </c>
    </row>
    <row r="1613" spans="1:8">
      <c r="A1613" s="37">
        <v>40592.15625</v>
      </c>
      <c r="B1613" s="35" t="s">
        <v>654</v>
      </c>
      <c r="C1613" s="35" t="s">
        <v>655</v>
      </c>
      <c r="D1613" s="39">
        <v>38.540000915527344</v>
      </c>
      <c r="E1613" s="39">
        <v>28.942916870117188</v>
      </c>
      <c r="F1613" s="41">
        <v>194025</v>
      </c>
      <c r="G1613" s="35" t="s">
        <v>675</v>
      </c>
      <c r="H1613" s="35" t="s">
        <v>115</v>
      </c>
    </row>
    <row r="1614" spans="1:8">
      <c r="A1614" s="37">
        <v>40595.15625</v>
      </c>
      <c r="B1614" s="35" t="s">
        <v>654</v>
      </c>
      <c r="C1614" s="35" t="s">
        <v>655</v>
      </c>
      <c r="D1614" s="39">
        <v>38.169998168945313</v>
      </c>
      <c r="E1614" s="39">
        <v>28.665056228637695</v>
      </c>
      <c r="F1614" s="41">
        <v>143960</v>
      </c>
      <c r="G1614" s="35" t="s">
        <v>675</v>
      </c>
      <c r="H1614" s="35" t="s">
        <v>115</v>
      </c>
    </row>
    <row r="1615" spans="1:8">
      <c r="A1615" s="37">
        <v>40596.15625</v>
      </c>
      <c r="B1615" s="35" t="s">
        <v>654</v>
      </c>
      <c r="C1615" s="35" t="s">
        <v>655</v>
      </c>
      <c r="D1615" s="39">
        <v>38.849998474121094</v>
      </c>
      <c r="E1615" s="39">
        <v>29.175724029541016</v>
      </c>
      <c r="F1615" s="41">
        <v>270270</v>
      </c>
      <c r="G1615" s="35" t="s">
        <v>675</v>
      </c>
      <c r="H1615" s="35" t="s">
        <v>115</v>
      </c>
    </row>
    <row r="1616" spans="1:8">
      <c r="A1616" s="37">
        <v>40597.15625</v>
      </c>
      <c r="B1616" s="35" t="s">
        <v>654</v>
      </c>
      <c r="C1616" s="35" t="s">
        <v>655</v>
      </c>
      <c r="D1616" s="39">
        <v>39.299999237060547</v>
      </c>
      <c r="E1616" s="39">
        <v>29.513656616210938</v>
      </c>
      <c r="F1616" s="41">
        <v>334555</v>
      </c>
      <c r="G1616" s="35" t="s">
        <v>675</v>
      </c>
      <c r="H1616" s="35" t="s">
        <v>115</v>
      </c>
    </row>
    <row r="1617" spans="1:8">
      <c r="A1617" s="37">
        <v>40598.15625</v>
      </c>
      <c r="B1617" s="35" t="s">
        <v>654</v>
      </c>
      <c r="C1617" s="35" t="s">
        <v>655</v>
      </c>
      <c r="D1617" s="39">
        <v>38.040000915527344</v>
      </c>
      <c r="E1617" s="39">
        <v>28.567426681518555</v>
      </c>
      <c r="F1617" s="41">
        <v>196270</v>
      </c>
      <c r="G1617" s="35" t="s">
        <v>675</v>
      </c>
      <c r="H1617" s="35" t="s">
        <v>115</v>
      </c>
    </row>
    <row r="1618" spans="1:8">
      <c r="A1618" s="37">
        <v>40599.15625</v>
      </c>
      <c r="B1618" s="35" t="s">
        <v>654</v>
      </c>
      <c r="C1618" s="35" t="s">
        <v>655</v>
      </c>
      <c r="D1618" s="39">
        <v>39.330001831054688</v>
      </c>
      <c r="E1618" s="39">
        <v>29.536205291748047</v>
      </c>
      <c r="F1618" s="41">
        <v>266610</v>
      </c>
      <c r="G1618" s="35" t="s">
        <v>675</v>
      </c>
      <c r="H1618" s="35" t="s">
        <v>115</v>
      </c>
    </row>
    <row r="1619" spans="1:8">
      <c r="A1619" s="37">
        <v>40602.15625</v>
      </c>
      <c r="B1619" s="35" t="s">
        <v>654</v>
      </c>
      <c r="C1619" s="35" t="s">
        <v>655</v>
      </c>
      <c r="D1619" s="39">
        <v>39.770000457763672</v>
      </c>
      <c r="E1619" s="39">
        <v>29.86662483215332</v>
      </c>
      <c r="F1619" s="41">
        <v>544320</v>
      </c>
      <c r="G1619" s="35" t="s">
        <v>675</v>
      </c>
      <c r="H1619" s="35" t="s">
        <v>115</v>
      </c>
    </row>
    <row r="1620" spans="1:8">
      <c r="A1620" s="37">
        <v>40603.15625</v>
      </c>
      <c r="B1620" s="35" t="s">
        <v>654</v>
      </c>
      <c r="C1620" s="35" t="s">
        <v>655</v>
      </c>
      <c r="D1620" s="39">
        <v>39</v>
      </c>
      <c r="E1620" s="39">
        <v>29.28837776184082</v>
      </c>
      <c r="F1620" s="41">
        <v>110360</v>
      </c>
      <c r="G1620" s="35" t="s">
        <v>675</v>
      </c>
      <c r="H1620" s="35" t="s">
        <v>115</v>
      </c>
    </row>
    <row r="1621" spans="1:8">
      <c r="A1621" s="37">
        <v>40605.15625</v>
      </c>
      <c r="B1621" s="35" t="s">
        <v>654</v>
      </c>
      <c r="C1621" s="35" t="s">
        <v>655</v>
      </c>
      <c r="D1621" s="39">
        <v>38.759998321533203</v>
      </c>
      <c r="E1621" s="39">
        <v>29.108137130737305</v>
      </c>
      <c r="F1621" s="41">
        <v>147285</v>
      </c>
      <c r="G1621" s="35" t="s">
        <v>675</v>
      </c>
      <c r="H1621" s="35" t="s">
        <v>115</v>
      </c>
    </row>
    <row r="1622" spans="1:8">
      <c r="A1622" s="37">
        <v>40606.15625</v>
      </c>
      <c r="B1622" s="35" t="s">
        <v>654</v>
      </c>
      <c r="C1622" s="35" t="s">
        <v>655</v>
      </c>
      <c r="D1622" s="39">
        <v>38.209999084472656</v>
      </c>
      <c r="E1622" s="39">
        <v>28.695089340209961</v>
      </c>
      <c r="F1622" s="41">
        <v>205445</v>
      </c>
      <c r="G1622" s="35" t="s">
        <v>675</v>
      </c>
      <c r="H1622" s="35" t="s">
        <v>115</v>
      </c>
    </row>
    <row r="1623" spans="1:8">
      <c r="A1623" s="37">
        <v>40609.15625</v>
      </c>
      <c r="B1623" s="35" t="s">
        <v>654</v>
      </c>
      <c r="C1623" s="35" t="s">
        <v>655</v>
      </c>
      <c r="D1623" s="39">
        <v>37.209999084472656</v>
      </c>
      <c r="E1623" s="39">
        <v>27.944120407104492</v>
      </c>
      <c r="F1623" s="41">
        <v>196510</v>
      </c>
      <c r="G1623" s="35" t="s">
        <v>675</v>
      </c>
      <c r="H1623" s="35" t="s">
        <v>115</v>
      </c>
    </row>
    <row r="1624" spans="1:8">
      <c r="A1624" s="37">
        <v>40610.15625</v>
      </c>
      <c r="B1624" s="35" t="s">
        <v>654</v>
      </c>
      <c r="C1624" s="35" t="s">
        <v>655</v>
      </c>
      <c r="D1624" s="39">
        <v>37.990001678466797</v>
      </c>
      <c r="E1624" s="39">
        <v>28.529878616333008</v>
      </c>
      <c r="F1624" s="41">
        <v>173865</v>
      </c>
      <c r="G1624" s="35" t="s">
        <v>675</v>
      </c>
      <c r="H1624" s="35" t="s">
        <v>115</v>
      </c>
    </row>
    <row r="1625" spans="1:8">
      <c r="A1625" s="37">
        <v>40611.15625</v>
      </c>
      <c r="B1625" s="35" t="s">
        <v>654</v>
      </c>
      <c r="C1625" s="35" t="s">
        <v>655</v>
      </c>
      <c r="D1625" s="39">
        <v>36.700000762939453</v>
      </c>
      <c r="E1625" s="39">
        <v>27.561103820800781</v>
      </c>
      <c r="F1625" s="41">
        <v>685390</v>
      </c>
      <c r="G1625" s="35" t="s">
        <v>675</v>
      </c>
      <c r="H1625" s="35" t="s">
        <v>115</v>
      </c>
    </row>
    <row r="1626" spans="1:8">
      <c r="A1626" s="37">
        <v>40612.15625</v>
      </c>
      <c r="B1626" s="35" t="s">
        <v>654</v>
      </c>
      <c r="C1626" s="35" t="s">
        <v>655</v>
      </c>
      <c r="D1626" s="39">
        <v>36.830001831054688</v>
      </c>
      <c r="E1626" s="39">
        <v>27.658740997314453</v>
      </c>
      <c r="F1626" s="41">
        <v>351140</v>
      </c>
      <c r="G1626" s="35" t="s">
        <v>675</v>
      </c>
      <c r="H1626" s="35" t="s">
        <v>115</v>
      </c>
    </row>
    <row r="1627" spans="1:8">
      <c r="A1627" s="37">
        <v>40613.15625</v>
      </c>
      <c r="B1627" s="35" t="s">
        <v>654</v>
      </c>
      <c r="C1627" s="35" t="s">
        <v>655</v>
      </c>
      <c r="D1627" s="39">
        <v>36.259998321533203</v>
      </c>
      <c r="E1627" s="39">
        <v>27.230670928955078</v>
      </c>
      <c r="F1627" s="41">
        <v>165470</v>
      </c>
      <c r="G1627" s="35" t="s">
        <v>675</v>
      </c>
      <c r="H1627" s="35" t="s">
        <v>115</v>
      </c>
    </row>
    <row r="1628" spans="1:8">
      <c r="A1628" s="37">
        <v>40616.15625</v>
      </c>
      <c r="B1628" s="35" t="s">
        <v>654</v>
      </c>
      <c r="C1628" s="35" t="s">
        <v>655</v>
      </c>
      <c r="D1628" s="39">
        <v>36.619998931884766</v>
      </c>
      <c r="E1628" s="39">
        <v>27.501028060913086</v>
      </c>
      <c r="F1628" s="41">
        <v>71155</v>
      </c>
      <c r="G1628" s="35" t="s">
        <v>675</v>
      </c>
      <c r="H1628" s="35" t="s">
        <v>115</v>
      </c>
    </row>
    <row r="1629" spans="1:8">
      <c r="A1629" s="37">
        <v>40617.15625</v>
      </c>
      <c r="B1629" s="35" t="s">
        <v>654</v>
      </c>
      <c r="C1629" s="35" t="s">
        <v>655</v>
      </c>
      <c r="D1629" s="39">
        <v>35.840000152587891</v>
      </c>
      <c r="E1629" s="39">
        <v>26.915260314941406</v>
      </c>
      <c r="F1629" s="41">
        <v>144030</v>
      </c>
      <c r="G1629" s="35" t="s">
        <v>675</v>
      </c>
      <c r="H1629" s="35" t="s">
        <v>115</v>
      </c>
    </row>
    <row r="1630" spans="1:8">
      <c r="A1630" s="37">
        <v>40618.15625</v>
      </c>
      <c r="B1630" s="35" t="s">
        <v>654</v>
      </c>
      <c r="C1630" s="35" t="s">
        <v>655</v>
      </c>
      <c r="D1630" s="39">
        <v>36.200000762939453</v>
      </c>
      <c r="E1630" s="39">
        <v>27.185617446899414</v>
      </c>
      <c r="F1630" s="41">
        <v>89155</v>
      </c>
      <c r="G1630" s="35" t="s">
        <v>675</v>
      </c>
      <c r="H1630" s="35" t="s">
        <v>115</v>
      </c>
    </row>
    <row r="1631" spans="1:8">
      <c r="A1631" s="37">
        <v>40619.15625</v>
      </c>
      <c r="B1631" s="35" t="s">
        <v>654</v>
      </c>
      <c r="C1631" s="35" t="s">
        <v>655</v>
      </c>
      <c r="D1631" s="39">
        <v>35.659999847412109</v>
      </c>
      <c r="E1631" s="39">
        <v>26.780082702636719</v>
      </c>
      <c r="F1631" s="41">
        <v>181205</v>
      </c>
      <c r="G1631" s="35" t="s">
        <v>675</v>
      </c>
      <c r="H1631" s="35" t="s">
        <v>115</v>
      </c>
    </row>
    <row r="1632" spans="1:8">
      <c r="A1632" s="37">
        <v>40620.15625</v>
      </c>
      <c r="B1632" s="35" t="s">
        <v>654</v>
      </c>
      <c r="C1632" s="35" t="s">
        <v>655</v>
      </c>
      <c r="D1632" s="39">
        <v>35</v>
      </c>
      <c r="E1632" s="39">
        <v>26.284439086914063</v>
      </c>
      <c r="F1632" s="41">
        <v>189025</v>
      </c>
      <c r="G1632" s="35" t="s">
        <v>675</v>
      </c>
      <c r="H1632" s="35" t="s">
        <v>115</v>
      </c>
    </row>
    <row r="1633" spans="1:8">
      <c r="A1633" s="37">
        <v>40623.15625</v>
      </c>
      <c r="B1633" s="35" t="s">
        <v>654</v>
      </c>
      <c r="C1633" s="35" t="s">
        <v>655</v>
      </c>
      <c r="D1633" s="39">
        <v>34.689998626708984</v>
      </c>
      <c r="E1633" s="39">
        <v>26.051631927490234</v>
      </c>
      <c r="F1633" s="41">
        <v>116535</v>
      </c>
      <c r="G1633" s="35" t="s">
        <v>675</v>
      </c>
      <c r="H1633" s="35" t="s">
        <v>115</v>
      </c>
    </row>
    <row r="1634" spans="1:8">
      <c r="A1634" s="37">
        <v>40624.15625</v>
      </c>
      <c r="B1634" s="35" t="s">
        <v>654</v>
      </c>
      <c r="C1634" s="35" t="s">
        <v>655</v>
      </c>
      <c r="D1634" s="39">
        <v>35.639999389648438</v>
      </c>
      <c r="E1634" s="39">
        <v>26.76507568359375</v>
      </c>
      <c r="F1634" s="41">
        <v>192380</v>
      </c>
      <c r="G1634" s="35" t="s">
        <v>675</v>
      </c>
      <c r="H1634" s="35" t="s">
        <v>115</v>
      </c>
    </row>
    <row r="1635" spans="1:8">
      <c r="A1635" s="37">
        <v>40625.15625</v>
      </c>
      <c r="B1635" s="35" t="s">
        <v>654</v>
      </c>
      <c r="C1635" s="35" t="s">
        <v>655</v>
      </c>
      <c r="D1635" s="39">
        <v>35.659999847412109</v>
      </c>
      <c r="E1635" s="39">
        <v>26.780082702636719</v>
      </c>
      <c r="F1635" s="41">
        <v>210625</v>
      </c>
      <c r="G1635" s="35" t="s">
        <v>675</v>
      </c>
      <c r="H1635" s="35" t="s">
        <v>115</v>
      </c>
    </row>
    <row r="1636" spans="1:8">
      <c r="A1636" s="37">
        <v>40626.15625</v>
      </c>
      <c r="B1636" s="35" t="s">
        <v>654</v>
      </c>
      <c r="C1636" s="35" t="s">
        <v>655</v>
      </c>
      <c r="D1636" s="39">
        <v>36.779998779296875</v>
      </c>
      <c r="E1636" s="39">
        <v>27.621185302734375</v>
      </c>
      <c r="F1636" s="41">
        <v>307985</v>
      </c>
      <c r="G1636" s="35" t="s">
        <v>675</v>
      </c>
      <c r="H1636" s="35" t="s">
        <v>115</v>
      </c>
    </row>
    <row r="1637" spans="1:8">
      <c r="A1637" s="37">
        <v>40627.15625</v>
      </c>
      <c r="B1637" s="35" t="s">
        <v>654</v>
      </c>
      <c r="C1637" s="35" t="s">
        <v>655</v>
      </c>
      <c r="D1637" s="39">
        <v>37.25</v>
      </c>
      <c r="E1637" s="39">
        <v>27.974145889282227</v>
      </c>
      <c r="F1637" s="41">
        <v>184460</v>
      </c>
      <c r="G1637" s="35" t="s">
        <v>675</v>
      </c>
      <c r="H1637" s="35" t="s">
        <v>115</v>
      </c>
    </row>
    <row r="1638" spans="1:8">
      <c r="A1638" s="37">
        <v>40630.15625</v>
      </c>
      <c r="B1638" s="35" t="s">
        <v>654</v>
      </c>
      <c r="C1638" s="35" t="s">
        <v>655</v>
      </c>
      <c r="D1638" s="39">
        <v>36.959999084472656</v>
      </c>
      <c r="E1638" s="39">
        <v>27.756370544433594</v>
      </c>
      <c r="F1638" s="41">
        <v>106820</v>
      </c>
      <c r="G1638" s="35" t="s">
        <v>675</v>
      </c>
      <c r="H1638" s="35" t="s">
        <v>115</v>
      </c>
    </row>
    <row r="1639" spans="1:8">
      <c r="A1639" s="37">
        <v>40631.15625</v>
      </c>
      <c r="B1639" s="35" t="s">
        <v>654</v>
      </c>
      <c r="C1639" s="35" t="s">
        <v>655</v>
      </c>
      <c r="D1639" s="39">
        <v>37.540000915527344</v>
      </c>
      <c r="E1639" s="39">
        <v>28.191940307617188</v>
      </c>
      <c r="F1639" s="41">
        <v>258920</v>
      </c>
      <c r="G1639" s="35" t="s">
        <v>675</v>
      </c>
      <c r="H1639" s="35" t="s">
        <v>115</v>
      </c>
    </row>
    <row r="1640" spans="1:8">
      <c r="A1640" s="37">
        <v>40632.15625</v>
      </c>
      <c r="B1640" s="35" t="s">
        <v>654</v>
      </c>
      <c r="C1640" s="35" t="s">
        <v>655</v>
      </c>
      <c r="D1640" s="39">
        <v>36.520000457763672</v>
      </c>
      <c r="E1640" s="39">
        <v>27.425933837890625</v>
      </c>
      <c r="F1640" s="41">
        <v>201080</v>
      </c>
      <c r="G1640" s="35" t="s">
        <v>675</v>
      </c>
      <c r="H1640" s="35" t="s">
        <v>115</v>
      </c>
    </row>
    <row r="1641" spans="1:8">
      <c r="A1641" s="37">
        <v>40633.15625</v>
      </c>
      <c r="B1641" s="35" t="s">
        <v>654</v>
      </c>
      <c r="C1641" s="35" t="s">
        <v>655</v>
      </c>
      <c r="D1641" s="39">
        <v>36.900001525878906</v>
      </c>
      <c r="E1641" s="39">
        <v>27.711309432983398</v>
      </c>
      <c r="F1641" s="41">
        <v>77255</v>
      </c>
      <c r="G1641" s="35" t="s">
        <v>675</v>
      </c>
      <c r="H1641" s="35" t="s">
        <v>115</v>
      </c>
    </row>
    <row r="1642" spans="1:8">
      <c r="A1642" s="37">
        <v>40634.15625</v>
      </c>
      <c r="B1642" s="35" t="s">
        <v>654</v>
      </c>
      <c r="C1642" s="35" t="s">
        <v>655</v>
      </c>
      <c r="D1642" s="39">
        <v>35.950000762939453</v>
      </c>
      <c r="E1642" s="39">
        <v>26.997875213623047</v>
      </c>
      <c r="F1642" s="41">
        <v>481765</v>
      </c>
      <c r="G1642" s="35" t="s">
        <v>676</v>
      </c>
      <c r="H1642" s="35" t="s">
        <v>115</v>
      </c>
    </row>
    <row r="1643" spans="1:8">
      <c r="A1643" s="37">
        <v>40637.15625</v>
      </c>
      <c r="B1643" s="35" t="s">
        <v>654</v>
      </c>
      <c r="C1643" s="35" t="s">
        <v>655</v>
      </c>
      <c r="D1643" s="39">
        <v>36.400001525878906</v>
      </c>
      <c r="E1643" s="39">
        <v>27.335813522338867</v>
      </c>
      <c r="F1643" s="41">
        <v>369825</v>
      </c>
      <c r="G1643" s="35" t="s">
        <v>676</v>
      </c>
      <c r="H1643" s="35" t="s">
        <v>115</v>
      </c>
    </row>
    <row r="1644" spans="1:8">
      <c r="A1644" s="37">
        <v>40638.15625</v>
      </c>
      <c r="B1644" s="35" t="s">
        <v>654</v>
      </c>
      <c r="C1644" s="35" t="s">
        <v>655</v>
      </c>
      <c r="D1644" s="39">
        <v>36.389999389648438</v>
      </c>
      <c r="E1644" s="39">
        <v>27.328302383422852</v>
      </c>
      <c r="F1644" s="41">
        <v>666745</v>
      </c>
      <c r="G1644" s="35" t="s">
        <v>676</v>
      </c>
      <c r="H1644" s="35" t="s">
        <v>115</v>
      </c>
    </row>
    <row r="1645" spans="1:8">
      <c r="A1645" s="37">
        <v>40639.15625</v>
      </c>
      <c r="B1645" s="35" t="s">
        <v>654</v>
      </c>
      <c r="C1645" s="35" t="s">
        <v>655</v>
      </c>
      <c r="D1645" s="39">
        <v>37.770000457763672</v>
      </c>
      <c r="E1645" s="39">
        <v>28.364660263061523</v>
      </c>
      <c r="F1645" s="41">
        <v>1953405</v>
      </c>
      <c r="G1645" s="35" t="s">
        <v>676</v>
      </c>
      <c r="H1645" s="35" t="s">
        <v>115</v>
      </c>
    </row>
    <row r="1646" spans="1:8">
      <c r="A1646" s="37">
        <v>40640.15625</v>
      </c>
      <c r="B1646" s="35" t="s">
        <v>654</v>
      </c>
      <c r="C1646" s="35" t="s">
        <v>655</v>
      </c>
      <c r="D1646" s="39">
        <v>37.569999694824219</v>
      </c>
      <c r="E1646" s="39">
        <v>28.214468002319336</v>
      </c>
      <c r="F1646" s="41">
        <v>452495</v>
      </c>
      <c r="G1646" s="35" t="s">
        <v>676</v>
      </c>
      <c r="H1646" s="35" t="s">
        <v>115</v>
      </c>
    </row>
    <row r="1647" spans="1:8">
      <c r="A1647" s="37">
        <v>40641.15625</v>
      </c>
      <c r="B1647" s="35" t="s">
        <v>654</v>
      </c>
      <c r="C1647" s="35" t="s">
        <v>655</v>
      </c>
      <c r="D1647" s="39">
        <v>37.169998168945313</v>
      </c>
      <c r="E1647" s="39">
        <v>27.914066314697266</v>
      </c>
      <c r="F1647" s="41">
        <v>507745</v>
      </c>
      <c r="G1647" s="35" t="s">
        <v>676</v>
      </c>
      <c r="H1647" s="35" t="s">
        <v>115</v>
      </c>
    </row>
    <row r="1648" spans="1:8">
      <c r="A1648" s="37">
        <v>40644.15625</v>
      </c>
      <c r="B1648" s="35" t="s">
        <v>654</v>
      </c>
      <c r="C1648" s="35" t="s">
        <v>655</v>
      </c>
      <c r="D1648" s="39">
        <v>36.680000305175781</v>
      </c>
      <c r="E1648" s="39">
        <v>27.546091079711914</v>
      </c>
      <c r="F1648" s="41">
        <v>361140</v>
      </c>
      <c r="G1648" s="35" t="s">
        <v>676</v>
      </c>
      <c r="H1648" s="35" t="s">
        <v>115</v>
      </c>
    </row>
    <row r="1649" spans="1:8">
      <c r="A1649" s="37">
        <v>40646.15625</v>
      </c>
      <c r="B1649" s="35" t="s">
        <v>654</v>
      </c>
      <c r="C1649" s="35" t="s">
        <v>655</v>
      </c>
      <c r="D1649" s="39">
        <v>37.900001525878906</v>
      </c>
      <c r="E1649" s="39">
        <v>28.462287902832031</v>
      </c>
      <c r="F1649" s="41">
        <v>406770</v>
      </c>
      <c r="G1649" s="35" t="s">
        <v>676</v>
      </c>
      <c r="H1649" s="35" t="s">
        <v>115</v>
      </c>
    </row>
    <row r="1650" spans="1:8">
      <c r="A1650" s="37">
        <v>40648.15625</v>
      </c>
      <c r="B1650" s="35" t="s">
        <v>654</v>
      </c>
      <c r="C1650" s="35" t="s">
        <v>655</v>
      </c>
      <c r="D1650" s="39">
        <v>36.479999542236328</v>
      </c>
      <c r="E1650" s="39">
        <v>27.395898818969727</v>
      </c>
      <c r="F1650" s="41">
        <v>458105</v>
      </c>
      <c r="G1650" s="35" t="s">
        <v>676</v>
      </c>
      <c r="H1650" s="35" t="s">
        <v>115</v>
      </c>
    </row>
    <row r="1651" spans="1:8">
      <c r="A1651" s="37">
        <v>40651.15625</v>
      </c>
      <c r="B1651" s="35" t="s">
        <v>654</v>
      </c>
      <c r="C1651" s="35" t="s">
        <v>655</v>
      </c>
      <c r="D1651" s="39">
        <v>36.549999237060547</v>
      </c>
      <c r="E1651" s="39">
        <v>27.448459625244141</v>
      </c>
      <c r="F1651" s="41">
        <v>736495</v>
      </c>
      <c r="G1651" s="35" t="s">
        <v>676</v>
      </c>
      <c r="H1651" s="35" t="s">
        <v>115</v>
      </c>
    </row>
    <row r="1652" spans="1:8">
      <c r="A1652" s="37">
        <v>40652.15625</v>
      </c>
      <c r="B1652" s="35" t="s">
        <v>654</v>
      </c>
      <c r="C1652" s="35" t="s">
        <v>655</v>
      </c>
      <c r="D1652" s="39">
        <v>36.549999237060547</v>
      </c>
      <c r="E1652" s="39">
        <v>27.448459625244141</v>
      </c>
      <c r="F1652" s="41">
        <v>694685</v>
      </c>
      <c r="G1652" s="35" t="s">
        <v>676</v>
      </c>
      <c r="H1652" s="35" t="s">
        <v>115</v>
      </c>
    </row>
    <row r="1653" spans="1:8">
      <c r="A1653" s="37">
        <v>40653.15625</v>
      </c>
      <c r="B1653" s="35" t="s">
        <v>654</v>
      </c>
      <c r="C1653" s="35" t="s">
        <v>655</v>
      </c>
      <c r="D1653" s="39">
        <v>36.860000610351563</v>
      </c>
      <c r="E1653" s="39">
        <v>27.681262969970703</v>
      </c>
      <c r="F1653" s="41">
        <v>748845</v>
      </c>
      <c r="G1653" s="35" t="s">
        <v>676</v>
      </c>
      <c r="H1653" s="35" t="s">
        <v>115</v>
      </c>
    </row>
    <row r="1654" spans="1:8">
      <c r="A1654" s="37">
        <v>40654.15625</v>
      </c>
      <c r="B1654" s="35" t="s">
        <v>654</v>
      </c>
      <c r="C1654" s="35" t="s">
        <v>655</v>
      </c>
      <c r="D1654" s="39">
        <v>37.310001373291016</v>
      </c>
      <c r="E1654" s="39">
        <v>28.019201278686523</v>
      </c>
      <c r="F1654" s="41">
        <v>1142325</v>
      </c>
      <c r="G1654" s="35" t="s">
        <v>676</v>
      </c>
      <c r="H1654" s="35" t="s">
        <v>115</v>
      </c>
    </row>
    <row r="1655" spans="1:8">
      <c r="A1655" s="37">
        <v>40658.15625</v>
      </c>
      <c r="B1655" s="35" t="s">
        <v>654</v>
      </c>
      <c r="C1655" s="35" t="s">
        <v>655</v>
      </c>
      <c r="D1655" s="39">
        <v>37.599998474121094</v>
      </c>
      <c r="E1655" s="39">
        <v>28.236982345581055</v>
      </c>
      <c r="F1655" s="41">
        <v>542820</v>
      </c>
      <c r="G1655" s="35" t="s">
        <v>676</v>
      </c>
      <c r="H1655" s="35" t="s">
        <v>115</v>
      </c>
    </row>
    <row r="1656" spans="1:8">
      <c r="A1656" s="37">
        <v>40659.15625</v>
      </c>
      <c r="B1656" s="35" t="s">
        <v>654</v>
      </c>
      <c r="C1656" s="35" t="s">
        <v>655</v>
      </c>
      <c r="D1656" s="39">
        <v>40.340000152587891</v>
      </c>
      <c r="E1656" s="39">
        <v>30.294681549072266</v>
      </c>
      <c r="F1656" s="41">
        <v>8886535</v>
      </c>
      <c r="G1656" s="35" t="s">
        <v>676</v>
      </c>
      <c r="H1656" s="35" t="s">
        <v>115</v>
      </c>
    </row>
    <row r="1657" spans="1:8">
      <c r="A1657" s="37">
        <v>40660.15625</v>
      </c>
      <c r="B1657" s="35" t="s">
        <v>654</v>
      </c>
      <c r="C1657" s="35" t="s">
        <v>655</v>
      </c>
      <c r="D1657" s="39">
        <v>38.459999084472656</v>
      </c>
      <c r="E1657" s="39">
        <v>28.882831573486328</v>
      </c>
      <c r="F1657" s="41">
        <v>1498295</v>
      </c>
      <c r="G1657" s="35" t="s">
        <v>676</v>
      </c>
      <c r="H1657" s="35" t="s">
        <v>115</v>
      </c>
    </row>
    <row r="1658" spans="1:8">
      <c r="A1658" s="37">
        <v>40661.15625</v>
      </c>
      <c r="B1658" s="35" t="s">
        <v>654</v>
      </c>
      <c r="C1658" s="35" t="s">
        <v>655</v>
      </c>
      <c r="D1658" s="39">
        <v>37.819999694824219</v>
      </c>
      <c r="E1658" s="39">
        <v>28.402212142944336</v>
      </c>
      <c r="F1658" s="41">
        <v>581150</v>
      </c>
      <c r="G1658" s="35" t="s">
        <v>676</v>
      </c>
      <c r="H1658" s="35" t="s">
        <v>115</v>
      </c>
    </row>
    <row r="1659" spans="1:8">
      <c r="A1659" s="37">
        <v>40662.15625</v>
      </c>
      <c r="B1659" s="35" t="s">
        <v>654</v>
      </c>
      <c r="C1659" s="35" t="s">
        <v>655</v>
      </c>
      <c r="D1659" s="39">
        <v>37.639999389648438</v>
      </c>
      <c r="E1659" s="39">
        <v>28.267034530639648</v>
      </c>
      <c r="F1659" s="41">
        <v>331280</v>
      </c>
      <c r="G1659" s="35" t="s">
        <v>676</v>
      </c>
      <c r="H1659" s="35" t="s">
        <v>115</v>
      </c>
    </row>
    <row r="1660" spans="1:8">
      <c r="A1660" s="37">
        <v>40665.15625</v>
      </c>
      <c r="B1660" s="35" t="s">
        <v>654</v>
      </c>
      <c r="C1660" s="35" t="s">
        <v>655</v>
      </c>
      <c r="D1660" s="39">
        <v>37.220001220703125</v>
      </c>
      <c r="E1660" s="39">
        <v>27.951623916625977</v>
      </c>
      <c r="F1660" s="41">
        <v>225055</v>
      </c>
      <c r="G1660" s="35" t="s">
        <v>676</v>
      </c>
      <c r="H1660" s="35" t="s">
        <v>115</v>
      </c>
    </row>
    <row r="1661" spans="1:8">
      <c r="A1661" s="37">
        <v>40666.15625</v>
      </c>
      <c r="B1661" s="35" t="s">
        <v>654</v>
      </c>
      <c r="C1661" s="35" t="s">
        <v>655</v>
      </c>
      <c r="D1661" s="39">
        <v>36.970001220703125</v>
      </c>
      <c r="E1661" s="39">
        <v>27.763875961303711</v>
      </c>
      <c r="F1661" s="41">
        <v>1317890</v>
      </c>
      <c r="G1661" s="35" t="s">
        <v>676</v>
      </c>
      <c r="H1661" s="35" t="s">
        <v>115</v>
      </c>
    </row>
    <row r="1662" spans="1:8">
      <c r="A1662" s="37">
        <v>40667.15625</v>
      </c>
      <c r="B1662" s="35" t="s">
        <v>654</v>
      </c>
      <c r="C1662" s="35" t="s">
        <v>655</v>
      </c>
      <c r="D1662" s="39">
        <v>37.450000762939453</v>
      </c>
      <c r="E1662" s="39">
        <v>28.124349594116211</v>
      </c>
      <c r="F1662" s="41">
        <v>332465</v>
      </c>
      <c r="G1662" s="35" t="s">
        <v>676</v>
      </c>
      <c r="H1662" s="35" t="s">
        <v>115</v>
      </c>
    </row>
    <row r="1663" spans="1:8">
      <c r="A1663" s="37">
        <v>40668.15625</v>
      </c>
      <c r="B1663" s="35" t="s">
        <v>654</v>
      </c>
      <c r="C1663" s="35" t="s">
        <v>655</v>
      </c>
      <c r="D1663" s="39">
        <v>37.650001525878906</v>
      </c>
      <c r="E1663" s="39">
        <v>28.274543762207031</v>
      </c>
      <c r="F1663" s="41">
        <v>345665</v>
      </c>
      <c r="G1663" s="35" t="s">
        <v>676</v>
      </c>
      <c r="H1663" s="35" t="s">
        <v>115</v>
      </c>
    </row>
    <row r="1664" spans="1:8">
      <c r="A1664" s="37">
        <v>40669.15625</v>
      </c>
      <c r="B1664" s="35" t="s">
        <v>654</v>
      </c>
      <c r="C1664" s="35" t="s">
        <v>655</v>
      </c>
      <c r="D1664" s="39">
        <v>38.240001678466797</v>
      </c>
      <c r="E1664" s="39">
        <v>28.717632293701172</v>
      </c>
      <c r="F1664" s="41">
        <v>1745280</v>
      </c>
      <c r="G1664" s="35" t="s">
        <v>676</v>
      </c>
      <c r="H1664" s="35" t="s">
        <v>115</v>
      </c>
    </row>
    <row r="1665" spans="1:8">
      <c r="A1665" s="37">
        <v>40672.15625</v>
      </c>
      <c r="B1665" s="35" t="s">
        <v>654</v>
      </c>
      <c r="C1665" s="35" t="s">
        <v>655</v>
      </c>
      <c r="D1665" s="39">
        <v>38.849998474121094</v>
      </c>
      <c r="E1665" s="39">
        <v>29.175724029541016</v>
      </c>
      <c r="F1665" s="41">
        <v>692775</v>
      </c>
      <c r="G1665" s="35" t="s">
        <v>676</v>
      </c>
      <c r="H1665" s="35" t="s">
        <v>115</v>
      </c>
    </row>
    <row r="1666" spans="1:8">
      <c r="A1666" s="37">
        <v>40673.15625</v>
      </c>
      <c r="B1666" s="35" t="s">
        <v>654</v>
      </c>
      <c r="C1666" s="35" t="s">
        <v>655</v>
      </c>
      <c r="D1666" s="39">
        <v>38.599998474121094</v>
      </c>
      <c r="E1666" s="39">
        <v>28.987977981567383</v>
      </c>
      <c r="F1666" s="41">
        <v>401955</v>
      </c>
      <c r="G1666" s="35" t="s">
        <v>676</v>
      </c>
      <c r="H1666" s="35" t="s">
        <v>115</v>
      </c>
    </row>
    <row r="1667" spans="1:8">
      <c r="A1667" s="37">
        <v>40674.15625</v>
      </c>
      <c r="B1667" s="35" t="s">
        <v>654</v>
      </c>
      <c r="C1667" s="35" t="s">
        <v>655</v>
      </c>
      <c r="D1667" s="39">
        <v>39.360000610351563</v>
      </c>
      <c r="E1667" s="39">
        <v>29.558727264404297</v>
      </c>
      <c r="F1667" s="41">
        <v>650860</v>
      </c>
      <c r="G1667" s="35" t="s">
        <v>676</v>
      </c>
      <c r="H1667" s="35" t="s">
        <v>115</v>
      </c>
    </row>
    <row r="1668" spans="1:8">
      <c r="A1668" s="37">
        <v>40675.15625</v>
      </c>
      <c r="B1668" s="35" t="s">
        <v>654</v>
      </c>
      <c r="C1668" s="35" t="s">
        <v>655</v>
      </c>
      <c r="D1668" s="39">
        <v>39.110000610351563</v>
      </c>
      <c r="E1668" s="39">
        <v>29.370973587036133</v>
      </c>
      <c r="F1668" s="41">
        <v>896235</v>
      </c>
      <c r="G1668" s="35" t="s">
        <v>676</v>
      </c>
      <c r="H1668" s="35" t="s">
        <v>115</v>
      </c>
    </row>
    <row r="1669" spans="1:8">
      <c r="A1669" s="37">
        <v>40676.15625</v>
      </c>
      <c r="B1669" s="35" t="s">
        <v>654</v>
      </c>
      <c r="C1669" s="35" t="s">
        <v>655</v>
      </c>
      <c r="D1669" s="39">
        <v>39.020000457763672</v>
      </c>
      <c r="E1669" s="39">
        <v>29.303403854370117</v>
      </c>
      <c r="F1669" s="41">
        <v>196085</v>
      </c>
      <c r="G1669" s="35" t="s">
        <v>676</v>
      </c>
      <c r="H1669" s="35" t="s">
        <v>115</v>
      </c>
    </row>
    <row r="1670" spans="1:8">
      <c r="A1670" s="37">
        <v>40679.15625</v>
      </c>
      <c r="B1670" s="35" t="s">
        <v>654</v>
      </c>
      <c r="C1670" s="35" t="s">
        <v>655</v>
      </c>
      <c r="D1670" s="39">
        <v>38.790000915527344</v>
      </c>
      <c r="E1670" s="39">
        <v>29.130666732788086</v>
      </c>
      <c r="F1670" s="41">
        <v>183095</v>
      </c>
      <c r="G1670" s="35" t="s">
        <v>676</v>
      </c>
      <c r="H1670" s="35" t="s">
        <v>115</v>
      </c>
    </row>
    <row r="1671" spans="1:8">
      <c r="A1671" s="37">
        <v>40680.15625</v>
      </c>
      <c r="B1671" s="35" t="s">
        <v>654</v>
      </c>
      <c r="C1671" s="35" t="s">
        <v>655</v>
      </c>
      <c r="D1671" s="39">
        <v>38.729999542236328</v>
      </c>
      <c r="E1671" s="39">
        <v>29.085601806640625</v>
      </c>
      <c r="F1671" s="41">
        <v>248630</v>
      </c>
      <c r="G1671" s="35" t="s">
        <v>676</v>
      </c>
      <c r="H1671" s="35" t="s">
        <v>115</v>
      </c>
    </row>
    <row r="1672" spans="1:8">
      <c r="A1672" s="37">
        <v>40681.15625</v>
      </c>
      <c r="B1672" s="35" t="s">
        <v>654</v>
      </c>
      <c r="C1672" s="35" t="s">
        <v>655</v>
      </c>
      <c r="D1672" s="39">
        <v>38.459999084472656</v>
      </c>
      <c r="E1672" s="39">
        <v>28.882831573486328</v>
      </c>
      <c r="F1672" s="41">
        <v>320395</v>
      </c>
      <c r="G1672" s="35" t="s">
        <v>676</v>
      </c>
      <c r="H1672" s="35" t="s">
        <v>115</v>
      </c>
    </row>
    <row r="1673" spans="1:8">
      <c r="A1673" s="37">
        <v>40682.15625</v>
      </c>
      <c r="B1673" s="35" t="s">
        <v>654</v>
      </c>
      <c r="C1673" s="35" t="s">
        <v>655</v>
      </c>
      <c r="D1673" s="39">
        <v>38.319999694824219</v>
      </c>
      <c r="E1673" s="39">
        <v>28.777704238891602</v>
      </c>
      <c r="F1673" s="41">
        <v>126020</v>
      </c>
      <c r="G1673" s="35" t="s">
        <v>676</v>
      </c>
      <c r="H1673" s="35" t="s">
        <v>115</v>
      </c>
    </row>
    <row r="1674" spans="1:8">
      <c r="A1674" s="37">
        <v>40683.15625</v>
      </c>
      <c r="B1674" s="35" t="s">
        <v>654</v>
      </c>
      <c r="C1674" s="35" t="s">
        <v>655</v>
      </c>
      <c r="D1674" s="39">
        <v>38.119998931884766</v>
      </c>
      <c r="E1674" s="39">
        <v>28.627496719360352</v>
      </c>
      <c r="F1674" s="41">
        <v>238525</v>
      </c>
      <c r="G1674" s="35" t="s">
        <v>676</v>
      </c>
      <c r="H1674" s="35" t="s">
        <v>115</v>
      </c>
    </row>
    <row r="1675" spans="1:8">
      <c r="A1675" s="37">
        <v>40686.15625</v>
      </c>
      <c r="B1675" s="35" t="s">
        <v>654</v>
      </c>
      <c r="C1675" s="35" t="s">
        <v>655</v>
      </c>
      <c r="D1675" s="39">
        <v>37.369998931884766</v>
      </c>
      <c r="E1675" s="39">
        <v>28.064260482788086</v>
      </c>
      <c r="F1675" s="41">
        <v>70415</v>
      </c>
      <c r="G1675" s="35" t="s">
        <v>676</v>
      </c>
      <c r="H1675" s="35" t="s">
        <v>115</v>
      </c>
    </row>
    <row r="1676" spans="1:8">
      <c r="A1676" s="37">
        <v>40687.15625</v>
      </c>
      <c r="B1676" s="35" t="s">
        <v>654</v>
      </c>
      <c r="C1676" s="35" t="s">
        <v>655</v>
      </c>
      <c r="D1676" s="39">
        <v>36.959999084472656</v>
      </c>
      <c r="E1676" s="39">
        <v>27.756370544433594</v>
      </c>
      <c r="F1676" s="41">
        <v>256505</v>
      </c>
      <c r="G1676" s="35" t="s">
        <v>676</v>
      </c>
      <c r="H1676" s="35" t="s">
        <v>115</v>
      </c>
    </row>
    <row r="1677" spans="1:8">
      <c r="A1677" s="37">
        <v>40688.15625</v>
      </c>
      <c r="B1677" s="35" t="s">
        <v>654</v>
      </c>
      <c r="C1677" s="35" t="s">
        <v>655</v>
      </c>
      <c r="D1677" s="39">
        <v>36.990001678466797</v>
      </c>
      <c r="E1677" s="39">
        <v>27.778888702392578</v>
      </c>
      <c r="F1677" s="41">
        <v>237085</v>
      </c>
      <c r="G1677" s="35" t="s">
        <v>676</v>
      </c>
      <c r="H1677" s="35" t="s">
        <v>115</v>
      </c>
    </row>
    <row r="1678" spans="1:8">
      <c r="A1678" s="37">
        <v>40689.15625</v>
      </c>
      <c r="B1678" s="35" t="s">
        <v>654</v>
      </c>
      <c r="C1678" s="35" t="s">
        <v>655</v>
      </c>
      <c r="D1678" s="39">
        <v>37.009998321533203</v>
      </c>
      <c r="E1678" s="39">
        <v>27.793916702270508</v>
      </c>
      <c r="F1678" s="41">
        <v>448875</v>
      </c>
      <c r="G1678" s="35" t="s">
        <v>676</v>
      </c>
      <c r="H1678" s="35" t="s">
        <v>115</v>
      </c>
    </row>
    <row r="1679" spans="1:8">
      <c r="A1679" s="37">
        <v>40690.15625</v>
      </c>
      <c r="B1679" s="35" t="s">
        <v>654</v>
      </c>
      <c r="C1679" s="35" t="s">
        <v>655</v>
      </c>
      <c r="D1679" s="39">
        <v>37.090000152587891</v>
      </c>
      <c r="E1679" s="39">
        <v>27.853994369506836</v>
      </c>
      <c r="F1679" s="41">
        <v>372205</v>
      </c>
      <c r="G1679" s="35" t="s">
        <v>676</v>
      </c>
      <c r="H1679" s="35" t="s">
        <v>115</v>
      </c>
    </row>
    <row r="1680" spans="1:8">
      <c r="A1680" s="37">
        <v>40693.15625</v>
      </c>
      <c r="B1680" s="35" t="s">
        <v>654</v>
      </c>
      <c r="C1680" s="35" t="s">
        <v>655</v>
      </c>
      <c r="D1680" s="39">
        <v>36.990001678466797</v>
      </c>
      <c r="E1680" s="39">
        <v>27.778888702392578</v>
      </c>
      <c r="F1680" s="41">
        <v>161780</v>
      </c>
      <c r="G1680" s="35" t="s">
        <v>676</v>
      </c>
      <c r="H1680" s="35" t="s">
        <v>115</v>
      </c>
    </row>
    <row r="1681" spans="1:8">
      <c r="A1681" s="37">
        <v>40694.15625</v>
      </c>
      <c r="B1681" s="35" t="s">
        <v>654</v>
      </c>
      <c r="C1681" s="35" t="s">
        <v>655</v>
      </c>
      <c r="D1681" s="39">
        <v>36.979999542236328</v>
      </c>
      <c r="E1681" s="39">
        <v>27.771379470825195</v>
      </c>
      <c r="F1681" s="41">
        <v>375820</v>
      </c>
      <c r="G1681" s="35" t="s">
        <v>676</v>
      </c>
      <c r="H1681" s="35" t="s">
        <v>115</v>
      </c>
    </row>
    <row r="1682" spans="1:8">
      <c r="A1682" s="37">
        <v>40695.15625</v>
      </c>
      <c r="B1682" s="35" t="s">
        <v>654</v>
      </c>
      <c r="C1682" s="35" t="s">
        <v>655</v>
      </c>
      <c r="D1682" s="39">
        <v>37.810001373291016</v>
      </c>
      <c r="E1682" s="39">
        <v>28.394695281982422</v>
      </c>
      <c r="F1682" s="41">
        <v>1309345</v>
      </c>
      <c r="G1682" s="35" t="s">
        <v>676</v>
      </c>
      <c r="H1682" s="35" t="s">
        <v>115</v>
      </c>
    </row>
    <row r="1683" spans="1:8">
      <c r="A1683" s="37">
        <v>40696.15625</v>
      </c>
      <c r="B1683" s="35" t="s">
        <v>654</v>
      </c>
      <c r="C1683" s="35" t="s">
        <v>655</v>
      </c>
      <c r="D1683" s="39">
        <v>37.689998626708984</v>
      </c>
      <c r="E1683" s="39">
        <v>28.304580688476563</v>
      </c>
      <c r="F1683" s="41">
        <v>139960</v>
      </c>
      <c r="G1683" s="35" t="s">
        <v>676</v>
      </c>
      <c r="H1683" s="35" t="s">
        <v>115</v>
      </c>
    </row>
    <row r="1684" spans="1:8">
      <c r="A1684" s="37">
        <v>40697.15625</v>
      </c>
      <c r="B1684" s="35" t="s">
        <v>654</v>
      </c>
      <c r="C1684" s="35" t="s">
        <v>655</v>
      </c>
      <c r="D1684" s="39">
        <v>37.529998779296875</v>
      </c>
      <c r="E1684" s="39">
        <v>28.184425354003906</v>
      </c>
      <c r="F1684" s="41">
        <v>168505</v>
      </c>
      <c r="G1684" s="35" t="s">
        <v>676</v>
      </c>
      <c r="H1684" s="35" t="s">
        <v>115</v>
      </c>
    </row>
    <row r="1685" spans="1:8">
      <c r="A1685" s="37">
        <v>40700.15625</v>
      </c>
      <c r="B1685" s="35" t="s">
        <v>654</v>
      </c>
      <c r="C1685" s="35" t="s">
        <v>655</v>
      </c>
      <c r="D1685" s="39">
        <v>37.810001373291016</v>
      </c>
      <c r="E1685" s="39">
        <v>28.394695281982422</v>
      </c>
      <c r="F1685" s="41">
        <v>131475</v>
      </c>
      <c r="G1685" s="35" t="s">
        <v>676</v>
      </c>
      <c r="H1685" s="35" t="s">
        <v>115</v>
      </c>
    </row>
    <row r="1686" spans="1:8">
      <c r="A1686" s="37">
        <v>40701.15625</v>
      </c>
      <c r="B1686" s="35" t="s">
        <v>654</v>
      </c>
      <c r="C1686" s="35" t="s">
        <v>655</v>
      </c>
      <c r="D1686" s="39">
        <v>37.25</v>
      </c>
      <c r="E1686" s="39">
        <v>27.974145889282227</v>
      </c>
      <c r="F1686" s="41">
        <v>531975</v>
      </c>
      <c r="G1686" s="35" t="s">
        <v>676</v>
      </c>
      <c r="H1686" s="35" t="s">
        <v>115</v>
      </c>
    </row>
    <row r="1687" spans="1:8">
      <c r="A1687" s="37">
        <v>40702.15625</v>
      </c>
      <c r="B1687" s="35" t="s">
        <v>654</v>
      </c>
      <c r="C1687" s="35" t="s">
        <v>655</v>
      </c>
      <c r="D1687" s="39">
        <v>37.209999084472656</v>
      </c>
      <c r="E1687" s="39">
        <v>27.944120407104492</v>
      </c>
      <c r="F1687" s="41">
        <v>393150</v>
      </c>
      <c r="G1687" s="35" t="s">
        <v>676</v>
      </c>
      <c r="H1687" s="35" t="s">
        <v>115</v>
      </c>
    </row>
    <row r="1688" spans="1:8">
      <c r="A1688" s="37">
        <v>40703.15625</v>
      </c>
      <c r="B1688" s="35" t="s">
        <v>654</v>
      </c>
      <c r="C1688" s="35" t="s">
        <v>655</v>
      </c>
      <c r="D1688" s="39">
        <v>37.069999694824219</v>
      </c>
      <c r="E1688" s="39">
        <v>27.838970184326172</v>
      </c>
      <c r="F1688" s="41">
        <v>434445</v>
      </c>
      <c r="G1688" s="35" t="s">
        <v>676</v>
      </c>
      <c r="H1688" s="35" t="s">
        <v>115</v>
      </c>
    </row>
    <row r="1689" spans="1:8">
      <c r="A1689" s="37">
        <v>40704.15625</v>
      </c>
      <c r="B1689" s="35" t="s">
        <v>654</v>
      </c>
      <c r="C1689" s="35" t="s">
        <v>655</v>
      </c>
      <c r="D1689" s="39">
        <v>37.130001068115234</v>
      </c>
      <c r="E1689" s="39">
        <v>27.884033203125</v>
      </c>
      <c r="F1689" s="41">
        <v>238865</v>
      </c>
      <c r="G1689" s="35" t="s">
        <v>676</v>
      </c>
      <c r="H1689" s="35" t="s">
        <v>115</v>
      </c>
    </row>
    <row r="1690" spans="1:8">
      <c r="A1690" s="37">
        <v>40707.15625</v>
      </c>
      <c r="B1690" s="35" t="s">
        <v>654</v>
      </c>
      <c r="C1690" s="35" t="s">
        <v>655</v>
      </c>
      <c r="D1690" s="39">
        <v>37.330001831054688</v>
      </c>
      <c r="E1690" s="39">
        <v>28.034231185913086</v>
      </c>
      <c r="F1690" s="41">
        <v>472125</v>
      </c>
      <c r="G1690" s="35" t="s">
        <v>676</v>
      </c>
      <c r="H1690" s="35" t="s">
        <v>115</v>
      </c>
    </row>
    <row r="1691" spans="1:8">
      <c r="A1691" s="37">
        <v>40708.15625</v>
      </c>
      <c r="B1691" s="35" t="s">
        <v>654</v>
      </c>
      <c r="C1691" s="35" t="s">
        <v>655</v>
      </c>
      <c r="D1691" s="39">
        <v>37.590000152587891</v>
      </c>
      <c r="E1691" s="39">
        <v>28.229476928710938</v>
      </c>
      <c r="F1691" s="41">
        <v>283825</v>
      </c>
      <c r="G1691" s="35" t="s">
        <v>676</v>
      </c>
      <c r="H1691" s="35" t="s">
        <v>115</v>
      </c>
    </row>
    <row r="1692" spans="1:8">
      <c r="A1692" s="37">
        <v>40709.15625</v>
      </c>
      <c r="B1692" s="35" t="s">
        <v>654</v>
      </c>
      <c r="C1692" s="35" t="s">
        <v>655</v>
      </c>
      <c r="D1692" s="39">
        <v>37.639999389648438</v>
      </c>
      <c r="E1692" s="39">
        <v>28.267034530639648</v>
      </c>
      <c r="F1692" s="41">
        <v>388680</v>
      </c>
      <c r="G1692" s="35" t="s">
        <v>676</v>
      </c>
      <c r="H1692" s="35" t="s">
        <v>115</v>
      </c>
    </row>
    <row r="1693" spans="1:8">
      <c r="A1693" s="37">
        <v>40710.15625</v>
      </c>
      <c r="B1693" s="35" t="s">
        <v>654</v>
      </c>
      <c r="C1693" s="35" t="s">
        <v>655</v>
      </c>
      <c r="D1693" s="39">
        <v>37.630001068115234</v>
      </c>
      <c r="E1693" s="39">
        <v>28.259529113769531</v>
      </c>
      <c r="F1693" s="41">
        <v>532140</v>
      </c>
      <c r="G1693" s="35" t="s">
        <v>676</v>
      </c>
      <c r="H1693" s="35" t="s">
        <v>115</v>
      </c>
    </row>
    <row r="1694" spans="1:8">
      <c r="A1694" s="37">
        <v>40711.15625</v>
      </c>
      <c r="B1694" s="35" t="s">
        <v>654</v>
      </c>
      <c r="C1694" s="35" t="s">
        <v>655</v>
      </c>
      <c r="D1694" s="39">
        <v>37.360000610351563</v>
      </c>
      <c r="E1694" s="39">
        <v>28.056758880615234</v>
      </c>
      <c r="F1694" s="41">
        <v>438765</v>
      </c>
      <c r="G1694" s="35" t="s">
        <v>676</v>
      </c>
      <c r="H1694" s="35" t="s">
        <v>115</v>
      </c>
    </row>
    <row r="1695" spans="1:8">
      <c r="A1695" s="37">
        <v>40714.15625</v>
      </c>
      <c r="B1695" s="35" t="s">
        <v>654</v>
      </c>
      <c r="C1695" s="35" t="s">
        <v>655</v>
      </c>
      <c r="D1695" s="39">
        <v>36.590000152587891</v>
      </c>
      <c r="E1695" s="39">
        <v>27.478500366210938</v>
      </c>
      <c r="F1695" s="41">
        <v>739670</v>
      </c>
      <c r="G1695" s="35" t="s">
        <v>676</v>
      </c>
      <c r="H1695" s="35" t="s">
        <v>115</v>
      </c>
    </row>
    <row r="1696" spans="1:8">
      <c r="A1696" s="37">
        <v>40715.15625</v>
      </c>
      <c r="B1696" s="35" t="s">
        <v>654</v>
      </c>
      <c r="C1696" s="35" t="s">
        <v>655</v>
      </c>
      <c r="D1696" s="39">
        <v>36.869998931884766</v>
      </c>
      <c r="E1696" s="39">
        <v>27.688774108886719</v>
      </c>
      <c r="F1696" s="41">
        <v>663225</v>
      </c>
      <c r="G1696" s="35" t="s">
        <v>676</v>
      </c>
      <c r="H1696" s="35" t="s">
        <v>115</v>
      </c>
    </row>
    <row r="1697" spans="1:8">
      <c r="A1697" s="37">
        <v>40716.15625</v>
      </c>
      <c r="B1697" s="35" t="s">
        <v>654</v>
      </c>
      <c r="C1697" s="35" t="s">
        <v>655</v>
      </c>
      <c r="D1697" s="39">
        <v>34.639999389648438</v>
      </c>
      <c r="E1697" s="39">
        <v>27.117303848266602</v>
      </c>
      <c r="F1697" s="41">
        <v>743630</v>
      </c>
      <c r="G1697" s="35" t="s">
        <v>676</v>
      </c>
      <c r="H1697" s="35" t="s">
        <v>115</v>
      </c>
    </row>
    <row r="1698" spans="1:8">
      <c r="A1698" s="37">
        <v>40717.15625</v>
      </c>
      <c r="B1698" s="35" t="s">
        <v>654</v>
      </c>
      <c r="C1698" s="35" t="s">
        <v>655</v>
      </c>
      <c r="D1698" s="39">
        <v>34.360000610351563</v>
      </c>
      <c r="E1698" s="39">
        <v>26.898111343383789</v>
      </c>
      <c r="F1698" s="41">
        <v>652370</v>
      </c>
      <c r="G1698" s="35" t="s">
        <v>676</v>
      </c>
      <c r="H1698" s="35" t="s">
        <v>115</v>
      </c>
    </row>
    <row r="1699" spans="1:8">
      <c r="A1699" s="37">
        <v>40718.15625</v>
      </c>
      <c r="B1699" s="35" t="s">
        <v>654</v>
      </c>
      <c r="C1699" s="35" t="s">
        <v>655</v>
      </c>
      <c r="D1699" s="39">
        <v>34.270000457763672</v>
      </c>
      <c r="E1699" s="39">
        <v>26.827661514282227</v>
      </c>
      <c r="F1699" s="41">
        <v>635195</v>
      </c>
      <c r="G1699" s="35" t="s">
        <v>676</v>
      </c>
      <c r="H1699" s="35" t="s">
        <v>115</v>
      </c>
    </row>
    <row r="1700" spans="1:8">
      <c r="A1700" s="37">
        <v>40721.15625</v>
      </c>
      <c r="B1700" s="35" t="s">
        <v>654</v>
      </c>
      <c r="C1700" s="35" t="s">
        <v>655</v>
      </c>
      <c r="D1700" s="39">
        <v>34.779998779296875</v>
      </c>
      <c r="E1700" s="39">
        <v>27.226902008056641</v>
      </c>
      <c r="F1700" s="41">
        <v>153835</v>
      </c>
      <c r="G1700" s="35" t="s">
        <v>676</v>
      </c>
      <c r="H1700" s="35" t="s">
        <v>115</v>
      </c>
    </row>
    <row r="1701" spans="1:8">
      <c r="A1701" s="37">
        <v>40722.15625</v>
      </c>
      <c r="B1701" s="35" t="s">
        <v>654</v>
      </c>
      <c r="C1701" s="35" t="s">
        <v>655</v>
      </c>
      <c r="D1701" s="39">
        <v>35.200000762939453</v>
      </c>
      <c r="E1701" s="39">
        <v>27.555690765380859</v>
      </c>
      <c r="F1701" s="41">
        <v>327615</v>
      </c>
      <c r="G1701" s="35" t="s">
        <v>676</v>
      </c>
      <c r="H1701" s="35" t="s">
        <v>115</v>
      </c>
    </row>
    <row r="1702" spans="1:8">
      <c r="A1702" s="37">
        <v>40723.15625</v>
      </c>
      <c r="B1702" s="35" t="s">
        <v>654</v>
      </c>
      <c r="C1702" s="35" t="s">
        <v>655</v>
      </c>
      <c r="D1702" s="39">
        <v>35.150001525878906</v>
      </c>
      <c r="E1702" s="39">
        <v>27.516555786132813</v>
      </c>
      <c r="F1702" s="41">
        <v>233845</v>
      </c>
      <c r="G1702" s="35" t="s">
        <v>676</v>
      </c>
      <c r="H1702" s="35" t="s">
        <v>115</v>
      </c>
    </row>
    <row r="1703" spans="1:8">
      <c r="A1703" s="37">
        <v>40724.15625</v>
      </c>
      <c r="B1703" s="35" t="s">
        <v>654</v>
      </c>
      <c r="C1703" s="35" t="s">
        <v>655</v>
      </c>
      <c r="D1703" s="39">
        <v>35.950000762939453</v>
      </c>
      <c r="E1703" s="39">
        <v>28.142820358276367</v>
      </c>
      <c r="F1703" s="41">
        <v>691125</v>
      </c>
      <c r="G1703" s="35" t="s">
        <v>676</v>
      </c>
      <c r="H1703" s="35" t="s">
        <v>115</v>
      </c>
    </row>
    <row r="1704" spans="1:8">
      <c r="A1704" s="37">
        <v>40725.15625</v>
      </c>
      <c r="B1704" s="35" t="s">
        <v>654</v>
      </c>
      <c r="C1704" s="35" t="s">
        <v>655</v>
      </c>
      <c r="D1704" s="39">
        <v>37.020000457763672</v>
      </c>
      <c r="E1704" s="39">
        <v>28.98045539855957</v>
      </c>
      <c r="F1704" s="41">
        <v>1786970</v>
      </c>
      <c r="G1704" s="35" t="s">
        <v>676</v>
      </c>
      <c r="H1704" s="35" t="s">
        <v>115</v>
      </c>
    </row>
    <row r="1705" spans="1:8">
      <c r="A1705" s="37">
        <v>40728.15625</v>
      </c>
      <c r="B1705" s="35" t="s">
        <v>654</v>
      </c>
      <c r="C1705" s="35" t="s">
        <v>655</v>
      </c>
      <c r="D1705" s="39">
        <v>36.330001831054688</v>
      </c>
      <c r="E1705" s="39">
        <v>28.440301895141602</v>
      </c>
      <c r="F1705" s="41">
        <v>261405</v>
      </c>
      <c r="G1705" s="35" t="s">
        <v>676</v>
      </c>
      <c r="H1705" s="35" t="s">
        <v>115</v>
      </c>
    </row>
    <row r="1706" spans="1:8">
      <c r="A1706" s="37">
        <v>40729.15625</v>
      </c>
      <c r="B1706" s="35" t="s">
        <v>654</v>
      </c>
      <c r="C1706" s="35" t="s">
        <v>655</v>
      </c>
      <c r="D1706" s="39">
        <v>36.229999542236328</v>
      </c>
      <c r="E1706" s="39">
        <v>28.36201286315918</v>
      </c>
      <c r="F1706" s="41">
        <v>118755</v>
      </c>
      <c r="G1706" s="35" t="s">
        <v>676</v>
      </c>
      <c r="H1706" s="35" t="s">
        <v>115</v>
      </c>
    </row>
    <row r="1707" spans="1:8">
      <c r="A1707" s="37">
        <v>40730.15625</v>
      </c>
      <c r="B1707" s="35" t="s">
        <v>654</v>
      </c>
      <c r="C1707" s="35" t="s">
        <v>655</v>
      </c>
      <c r="D1707" s="39">
        <v>36.419998168945313</v>
      </c>
      <c r="E1707" s="39">
        <v>28.510753631591797</v>
      </c>
      <c r="F1707" s="41">
        <v>224565</v>
      </c>
      <c r="G1707" s="35" t="s">
        <v>676</v>
      </c>
      <c r="H1707" s="35" t="s">
        <v>115</v>
      </c>
    </row>
    <row r="1708" spans="1:8">
      <c r="A1708" s="37">
        <v>40731.15625</v>
      </c>
      <c r="B1708" s="35" t="s">
        <v>654</v>
      </c>
      <c r="C1708" s="35" t="s">
        <v>655</v>
      </c>
      <c r="D1708" s="39">
        <v>37.229999542236328</v>
      </c>
      <c r="E1708" s="39">
        <v>29.144844055175781</v>
      </c>
      <c r="F1708" s="41">
        <v>359165</v>
      </c>
      <c r="G1708" s="35" t="s">
        <v>676</v>
      </c>
      <c r="H1708" s="35" t="s">
        <v>115</v>
      </c>
    </row>
    <row r="1709" spans="1:8">
      <c r="A1709" s="37">
        <v>40732.15625</v>
      </c>
      <c r="B1709" s="35" t="s">
        <v>654</v>
      </c>
      <c r="C1709" s="35" t="s">
        <v>655</v>
      </c>
      <c r="D1709" s="39">
        <v>36.279998779296875</v>
      </c>
      <c r="E1709" s="39">
        <v>28.401155471801758</v>
      </c>
      <c r="F1709" s="41">
        <v>184685</v>
      </c>
      <c r="G1709" s="35" t="s">
        <v>676</v>
      </c>
      <c r="H1709" s="35" t="s">
        <v>115</v>
      </c>
    </row>
    <row r="1710" spans="1:8">
      <c r="A1710" s="37">
        <v>40735.15625</v>
      </c>
      <c r="B1710" s="35" t="s">
        <v>654</v>
      </c>
      <c r="C1710" s="35" t="s">
        <v>655</v>
      </c>
      <c r="D1710" s="39">
        <v>36.830001831054688</v>
      </c>
      <c r="E1710" s="39">
        <v>28.831720352172852</v>
      </c>
      <c r="F1710" s="41">
        <v>1163690</v>
      </c>
      <c r="G1710" s="35" t="s">
        <v>676</v>
      </c>
      <c r="H1710" s="35" t="s">
        <v>115</v>
      </c>
    </row>
    <row r="1711" spans="1:8">
      <c r="A1711" s="37">
        <v>40736.15625</v>
      </c>
      <c r="B1711" s="35" t="s">
        <v>654</v>
      </c>
      <c r="C1711" s="35" t="s">
        <v>655</v>
      </c>
      <c r="D1711" s="39">
        <v>37.009998321533203</v>
      </c>
      <c r="E1711" s="39">
        <v>28.972625732421875</v>
      </c>
      <c r="F1711" s="41">
        <v>629350</v>
      </c>
      <c r="G1711" s="35" t="s">
        <v>676</v>
      </c>
      <c r="H1711" s="35" t="s">
        <v>115</v>
      </c>
    </row>
    <row r="1712" spans="1:8">
      <c r="A1712" s="37">
        <v>40737.15625</v>
      </c>
      <c r="B1712" s="35" t="s">
        <v>654</v>
      </c>
      <c r="C1712" s="35" t="s">
        <v>655</v>
      </c>
      <c r="D1712" s="39">
        <v>39.830001831054688</v>
      </c>
      <c r="E1712" s="39">
        <v>31.180208206176758</v>
      </c>
      <c r="F1712" s="41">
        <v>5691680</v>
      </c>
      <c r="G1712" s="35" t="s">
        <v>676</v>
      </c>
      <c r="H1712" s="35" t="s">
        <v>115</v>
      </c>
    </row>
    <row r="1713" spans="1:8">
      <c r="A1713" s="37">
        <v>40738.15625</v>
      </c>
      <c r="B1713" s="35" t="s">
        <v>654</v>
      </c>
      <c r="C1713" s="35" t="s">
        <v>655</v>
      </c>
      <c r="D1713" s="39">
        <v>39.729999542236328</v>
      </c>
      <c r="E1713" s="39">
        <v>31.101921081542969</v>
      </c>
      <c r="F1713" s="41">
        <v>3285085</v>
      </c>
      <c r="G1713" s="35" t="s">
        <v>676</v>
      </c>
      <c r="H1713" s="35" t="s">
        <v>115</v>
      </c>
    </row>
    <row r="1714" spans="1:8">
      <c r="A1714" s="37">
        <v>40739.15625</v>
      </c>
      <c r="B1714" s="35" t="s">
        <v>654</v>
      </c>
      <c r="C1714" s="35" t="s">
        <v>655</v>
      </c>
      <c r="D1714" s="39">
        <v>41.770000457763672</v>
      </c>
      <c r="E1714" s="39">
        <v>32.698898315429688</v>
      </c>
      <c r="F1714" s="41">
        <v>5049280</v>
      </c>
      <c r="G1714" s="35" t="s">
        <v>676</v>
      </c>
      <c r="H1714" s="35" t="s">
        <v>115</v>
      </c>
    </row>
    <row r="1715" spans="1:8">
      <c r="A1715" s="37">
        <v>40742.15625</v>
      </c>
      <c r="B1715" s="35" t="s">
        <v>654</v>
      </c>
      <c r="C1715" s="35" t="s">
        <v>655</v>
      </c>
      <c r="D1715" s="39">
        <v>41.229999542236328</v>
      </c>
      <c r="E1715" s="39">
        <v>32.276172637939453</v>
      </c>
      <c r="F1715" s="41">
        <v>3265915</v>
      </c>
      <c r="G1715" s="35" t="s">
        <v>676</v>
      </c>
      <c r="H1715" s="35" t="s">
        <v>115</v>
      </c>
    </row>
    <row r="1716" spans="1:8">
      <c r="A1716" s="37">
        <v>40743.15625</v>
      </c>
      <c r="B1716" s="35" t="s">
        <v>654</v>
      </c>
      <c r="C1716" s="35" t="s">
        <v>655</v>
      </c>
      <c r="D1716" s="39">
        <v>40.549999237060547</v>
      </c>
      <c r="E1716" s="39">
        <v>31.74384880065918</v>
      </c>
      <c r="F1716" s="41">
        <v>5684730</v>
      </c>
      <c r="G1716" s="35" t="s">
        <v>676</v>
      </c>
      <c r="H1716" s="35" t="s">
        <v>115</v>
      </c>
    </row>
    <row r="1717" spans="1:8">
      <c r="A1717" s="37">
        <v>40744.15625</v>
      </c>
      <c r="B1717" s="35" t="s">
        <v>654</v>
      </c>
      <c r="C1717" s="35" t="s">
        <v>655</v>
      </c>
      <c r="D1717" s="39">
        <v>44.419998168945313</v>
      </c>
      <c r="E1717" s="39">
        <v>34.773406982421875</v>
      </c>
      <c r="F1717" s="41">
        <v>12996085</v>
      </c>
      <c r="G1717" s="35" t="s">
        <v>676</v>
      </c>
      <c r="H1717" s="35" t="s">
        <v>115</v>
      </c>
    </row>
    <row r="1718" spans="1:8">
      <c r="A1718" s="37">
        <v>40745.15625</v>
      </c>
      <c r="B1718" s="35" t="s">
        <v>654</v>
      </c>
      <c r="C1718" s="35" t="s">
        <v>655</v>
      </c>
      <c r="D1718" s="39">
        <v>45.099998474121094</v>
      </c>
      <c r="E1718" s="39">
        <v>35.305736541748047</v>
      </c>
      <c r="F1718" s="41">
        <v>3051925</v>
      </c>
      <c r="G1718" s="35" t="s">
        <v>676</v>
      </c>
      <c r="H1718" s="35" t="s">
        <v>115</v>
      </c>
    </row>
    <row r="1719" spans="1:8">
      <c r="A1719" s="37">
        <v>40746.15625</v>
      </c>
      <c r="B1719" s="35" t="s">
        <v>654</v>
      </c>
      <c r="C1719" s="35" t="s">
        <v>655</v>
      </c>
      <c r="D1719" s="39">
        <v>44.549999237060547</v>
      </c>
      <c r="E1719" s="39">
        <v>34.875186920166016</v>
      </c>
      <c r="F1719" s="41">
        <v>1410620</v>
      </c>
      <c r="G1719" s="35" t="s">
        <v>676</v>
      </c>
      <c r="H1719" s="35" t="s">
        <v>115</v>
      </c>
    </row>
    <row r="1720" spans="1:8">
      <c r="A1720" s="37">
        <v>40749.15625</v>
      </c>
      <c r="B1720" s="35" t="s">
        <v>654</v>
      </c>
      <c r="C1720" s="35" t="s">
        <v>655</v>
      </c>
      <c r="D1720" s="39">
        <v>44.759998321533203</v>
      </c>
      <c r="E1720" s="39">
        <v>35.039577484130859</v>
      </c>
      <c r="F1720" s="41">
        <v>862690</v>
      </c>
      <c r="G1720" s="35" t="s">
        <v>676</v>
      </c>
      <c r="H1720" s="35" t="s">
        <v>115</v>
      </c>
    </row>
    <row r="1721" spans="1:8">
      <c r="A1721" s="37">
        <v>40750.15625</v>
      </c>
      <c r="B1721" s="35" t="s">
        <v>654</v>
      </c>
      <c r="C1721" s="35" t="s">
        <v>655</v>
      </c>
      <c r="D1721" s="39">
        <v>46.459999084472656</v>
      </c>
      <c r="E1721" s="39">
        <v>36.370388031005859</v>
      </c>
      <c r="F1721" s="41">
        <v>12130795</v>
      </c>
      <c r="G1721" s="35" t="s">
        <v>676</v>
      </c>
      <c r="H1721" s="35" t="s">
        <v>115</v>
      </c>
    </row>
    <row r="1722" spans="1:8">
      <c r="A1722" s="37">
        <v>40751.15625</v>
      </c>
      <c r="B1722" s="35" t="s">
        <v>654</v>
      </c>
      <c r="C1722" s="35" t="s">
        <v>655</v>
      </c>
      <c r="D1722" s="39">
        <v>47.439998626708984</v>
      </c>
      <c r="E1722" s="39">
        <v>37.137561798095703</v>
      </c>
      <c r="F1722" s="41">
        <v>3516280</v>
      </c>
      <c r="G1722" s="35" t="s">
        <v>676</v>
      </c>
      <c r="H1722" s="35" t="s">
        <v>115</v>
      </c>
    </row>
    <row r="1723" spans="1:8">
      <c r="A1723" s="37">
        <v>40752.15625</v>
      </c>
      <c r="B1723" s="35" t="s">
        <v>654</v>
      </c>
      <c r="C1723" s="35" t="s">
        <v>655</v>
      </c>
      <c r="D1723" s="39">
        <v>45.650001525878906</v>
      </c>
      <c r="E1723" s="39">
        <v>35.736297607421875</v>
      </c>
      <c r="F1723" s="41">
        <v>1195690</v>
      </c>
      <c r="G1723" s="35" t="s">
        <v>676</v>
      </c>
      <c r="H1723" s="35" t="s">
        <v>115</v>
      </c>
    </row>
    <row r="1724" spans="1:8">
      <c r="A1724" s="37">
        <v>40753.15625</v>
      </c>
      <c r="B1724" s="35" t="s">
        <v>654</v>
      </c>
      <c r="C1724" s="35" t="s">
        <v>655</v>
      </c>
      <c r="D1724" s="39">
        <v>44.560001373291016</v>
      </c>
      <c r="E1724" s="39">
        <v>34.883007049560547</v>
      </c>
      <c r="F1724" s="41">
        <v>1397510</v>
      </c>
      <c r="G1724" s="35" t="s">
        <v>676</v>
      </c>
      <c r="H1724" s="35" t="s">
        <v>115</v>
      </c>
    </row>
    <row r="1725" spans="1:8">
      <c r="A1725" s="37">
        <v>40756.15625</v>
      </c>
      <c r="B1725" s="35" t="s">
        <v>654</v>
      </c>
      <c r="C1725" s="35" t="s">
        <v>655</v>
      </c>
      <c r="D1725" s="39">
        <v>45.159999847412109</v>
      </c>
      <c r="E1725" s="39">
        <v>35.352699279785156</v>
      </c>
      <c r="F1725" s="41">
        <v>803145</v>
      </c>
      <c r="G1725" s="35" t="s">
        <v>676</v>
      </c>
      <c r="H1725" s="35" t="s">
        <v>115</v>
      </c>
    </row>
    <row r="1726" spans="1:8">
      <c r="A1726" s="37">
        <v>40757.15625</v>
      </c>
      <c r="B1726" s="35" t="s">
        <v>654</v>
      </c>
      <c r="C1726" s="35" t="s">
        <v>655</v>
      </c>
      <c r="D1726" s="39">
        <v>44.849998474121094</v>
      </c>
      <c r="E1726" s="39">
        <v>35.110023498535156</v>
      </c>
      <c r="F1726" s="41">
        <v>1398330</v>
      </c>
      <c r="G1726" s="35" t="s">
        <v>676</v>
      </c>
      <c r="H1726" s="35" t="s">
        <v>115</v>
      </c>
    </row>
    <row r="1727" spans="1:8">
      <c r="A1727" s="37">
        <v>40758.15625</v>
      </c>
      <c r="B1727" s="35" t="s">
        <v>654</v>
      </c>
      <c r="C1727" s="35" t="s">
        <v>655</v>
      </c>
      <c r="D1727" s="39">
        <v>44.479999542236328</v>
      </c>
      <c r="E1727" s="39">
        <v>34.820381164550781</v>
      </c>
      <c r="F1727" s="41">
        <v>587665</v>
      </c>
      <c r="G1727" s="35" t="s">
        <v>676</v>
      </c>
      <c r="H1727" s="35" t="s">
        <v>115</v>
      </c>
    </row>
    <row r="1728" spans="1:8">
      <c r="A1728" s="37">
        <v>40759.15625</v>
      </c>
      <c r="B1728" s="35" t="s">
        <v>654</v>
      </c>
      <c r="C1728" s="35" t="s">
        <v>655</v>
      </c>
      <c r="D1728" s="39">
        <v>43.470001220703125</v>
      </c>
      <c r="E1728" s="39">
        <v>34.029720306396484</v>
      </c>
      <c r="F1728" s="41">
        <v>994640</v>
      </c>
      <c r="G1728" s="35" t="s">
        <v>676</v>
      </c>
      <c r="H1728" s="35" t="s">
        <v>115</v>
      </c>
    </row>
    <row r="1729" spans="1:8">
      <c r="A1729" s="37">
        <v>40760.15625</v>
      </c>
      <c r="B1729" s="35" t="s">
        <v>654</v>
      </c>
      <c r="C1729" s="35" t="s">
        <v>655</v>
      </c>
      <c r="D1729" s="39">
        <v>41.919998168945313</v>
      </c>
      <c r="E1729" s="39">
        <v>32.816329956054688</v>
      </c>
      <c r="F1729" s="41">
        <v>1388365</v>
      </c>
      <c r="G1729" s="35" t="s">
        <v>676</v>
      </c>
      <c r="H1729" s="35" t="s">
        <v>115</v>
      </c>
    </row>
    <row r="1730" spans="1:8">
      <c r="A1730" s="37">
        <v>40763.15625</v>
      </c>
      <c r="B1730" s="35" t="s">
        <v>654</v>
      </c>
      <c r="C1730" s="35" t="s">
        <v>655</v>
      </c>
      <c r="D1730" s="39">
        <v>40.310001373291016</v>
      </c>
      <c r="E1730" s="39">
        <v>31.555965423583984</v>
      </c>
      <c r="F1730" s="41">
        <v>850390</v>
      </c>
      <c r="G1730" s="35" t="s">
        <v>676</v>
      </c>
      <c r="H1730" s="35" t="s">
        <v>115</v>
      </c>
    </row>
    <row r="1731" spans="1:8">
      <c r="A1731" s="37">
        <v>40764.15625</v>
      </c>
      <c r="B1731" s="35" t="s">
        <v>654</v>
      </c>
      <c r="C1731" s="35" t="s">
        <v>655</v>
      </c>
      <c r="D1731" s="39">
        <v>40.360000610351563</v>
      </c>
      <c r="E1731" s="39">
        <v>31.595108032226563</v>
      </c>
      <c r="F1731" s="41">
        <v>833240</v>
      </c>
      <c r="G1731" s="35" t="s">
        <v>676</v>
      </c>
      <c r="H1731" s="35" t="s">
        <v>115</v>
      </c>
    </row>
    <row r="1732" spans="1:8">
      <c r="A1732" s="37">
        <v>40765.15625</v>
      </c>
      <c r="B1732" s="35" t="s">
        <v>654</v>
      </c>
      <c r="C1732" s="35" t="s">
        <v>655</v>
      </c>
      <c r="D1732" s="39">
        <v>40.209999084472656</v>
      </c>
      <c r="E1732" s="39">
        <v>31.477676391601563</v>
      </c>
      <c r="F1732" s="41">
        <v>1078370</v>
      </c>
      <c r="G1732" s="35" t="s">
        <v>676</v>
      </c>
      <c r="H1732" s="35" t="s">
        <v>115</v>
      </c>
    </row>
    <row r="1733" spans="1:8">
      <c r="A1733" s="37">
        <v>40766.15625</v>
      </c>
      <c r="B1733" s="35" t="s">
        <v>654</v>
      </c>
      <c r="C1733" s="35" t="s">
        <v>655</v>
      </c>
      <c r="D1733" s="39">
        <v>39.029998779296875</v>
      </c>
      <c r="E1733" s="39">
        <v>30.553936004638672</v>
      </c>
      <c r="F1733" s="41">
        <v>258790</v>
      </c>
      <c r="G1733" s="35" t="s">
        <v>676</v>
      </c>
      <c r="H1733" s="35" t="s">
        <v>115</v>
      </c>
    </row>
    <row r="1734" spans="1:8">
      <c r="A1734" s="37">
        <v>40767.15625</v>
      </c>
      <c r="B1734" s="35" t="s">
        <v>654</v>
      </c>
      <c r="C1734" s="35" t="s">
        <v>655</v>
      </c>
      <c r="D1734" s="39">
        <v>38.490001678466797</v>
      </c>
      <c r="E1734" s="39">
        <v>30.131214141845703</v>
      </c>
      <c r="F1734" s="41">
        <v>787355</v>
      </c>
      <c r="G1734" s="35" t="s">
        <v>676</v>
      </c>
      <c r="H1734" s="35" t="s">
        <v>115</v>
      </c>
    </row>
    <row r="1735" spans="1:8">
      <c r="A1735" s="37">
        <v>40771.15625</v>
      </c>
      <c r="B1735" s="35" t="s">
        <v>654</v>
      </c>
      <c r="C1735" s="35" t="s">
        <v>655</v>
      </c>
      <c r="D1735" s="39">
        <v>39.369998931884766</v>
      </c>
      <c r="E1735" s="39">
        <v>30.820106506347656</v>
      </c>
      <c r="F1735" s="41">
        <v>1987685</v>
      </c>
      <c r="G1735" s="35" t="s">
        <v>676</v>
      </c>
      <c r="H1735" s="35" t="s">
        <v>115</v>
      </c>
    </row>
    <row r="1736" spans="1:8">
      <c r="A1736" s="37">
        <v>40772.15625</v>
      </c>
      <c r="B1736" s="35" t="s">
        <v>654</v>
      </c>
      <c r="C1736" s="35" t="s">
        <v>655</v>
      </c>
      <c r="D1736" s="39">
        <v>39.479999542236328</v>
      </c>
      <c r="E1736" s="39">
        <v>30.906206130981445</v>
      </c>
      <c r="F1736" s="41">
        <v>1102030</v>
      </c>
      <c r="G1736" s="35" t="s">
        <v>676</v>
      </c>
      <c r="H1736" s="35" t="s">
        <v>115</v>
      </c>
    </row>
    <row r="1737" spans="1:8">
      <c r="A1737" s="37">
        <v>40773.15625</v>
      </c>
      <c r="B1737" s="35" t="s">
        <v>654</v>
      </c>
      <c r="C1737" s="35" t="s">
        <v>655</v>
      </c>
      <c r="D1737" s="39">
        <v>37.5</v>
      </c>
      <c r="E1737" s="39">
        <v>29.35621452331543</v>
      </c>
      <c r="F1737" s="41">
        <v>451760</v>
      </c>
      <c r="G1737" s="35" t="s">
        <v>676</v>
      </c>
      <c r="H1737" s="35" t="s">
        <v>115</v>
      </c>
    </row>
    <row r="1738" spans="1:8">
      <c r="A1738" s="37">
        <v>40774.15625</v>
      </c>
      <c r="B1738" s="35" t="s">
        <v>654</v>
      </c>
      <c r="C1738" s="35" t="s">
        <v>655</v>
      </c>
      <c r="D1738" s="39">
        <v>35.299999237060547</v>
      </c>
      <c r="E1738" s="39">
        <v>27.633974075317383</v>
      </c>
      <c r="F1738" s="41">
        <v>1688195</v>
      </c>
      <c r="G1738" s="35" t="s">
        <v>676</v>
      </c>
      <c r="H1738" s="35" t="s">
        <v>115</v>
      </c>
    </row>
    <row r="1739" spans="1:8">
      <c r="A1739" s="37">
        <v>40777.15625</v>
      </c>
      <c r="B1739" s="35" t="s">
        <v>654</v>
      </c>
      <c r="C1739" s="35" t="s">
        <v>655</v>
      </c>
      <c r="D1739" s="39">
        <v>34.860000610351563</v>
      </c>
      <c r="E1739" s="39">
        <v>27.289531707763672</v>
      </c>
      <c r="F1739" s="41">
        <v>1046040</v>
      </c>
      <c r="G1739" s="35" t="s">
        <v>676</v>
      </c>
      <c r="H1739" s="35" t="s">
        <v>115</v>
      </c>
    </row>
    <row r="1740" spans="1:8">
      <c r="A1740" s="37">
        <v>40778.15625</v>
      </c>
      <c r="B1740" s="35" t="s">
        <v>654</v>
      </c>
      <c r="C1740" s="35" t="s">
        <v>655</v>
      </c>
      <c r="D1740" s="39">
        <v>35.520000457763672</v>
      </c>
      <c r="E1740" s="39">
        <v>27.80620002746582</v>
      </c>
      <c r="F1740" s="41">
        <v>332300</v>
      </c>
      <c r="G1740" s="35" t="s">
        <v>676</v>
      </c>
      <c r="H1740" s="35" t="s">
        <v>115</v>
      </c>
    </row>
    <row r="1741" spans="1:8">
      <c r="A1741" s="37">
        <v>40779.15625</v>
      </c>
      <c r="B1741" s="35" t="s">
        <v>654</v>
      </c>
      <c r="C1741" s="35" t="s">
        <v>655</v>
      </c>
      <c r="D1741" s="39">
        <v>36.180000305175781</v>
      </c>
      <c r="E1741" s="39">
        <v>28.322872161865234</v>
      </c>
      <c r="F1741" s="41">
        <v>555415</v>
      </c>
      <c r="G1741" s="35" t="s">
        <v>676</v>
      </c>
      <c r="H1741" s="35" t="s">
        <v>115</v>
      </c>
    </row>
    <row r="1742" spans="1:8">
      <c r="A1742" s="37">
        <v>40780.15625</v>
      </c>
      <c r="B1742" s="35" t="s">
        <v>654</v>
      </c>
      <c r="C1742" s="35" t="s">
        <v>655</v>
      </c>
      <c r="D1742" s="39">
        <v>36.340000152587891</v>
      </c>
      <c r="E1742" s="39">
        <v>28.448125839233398</v>
      </c>
      <c r="F1742" s="41">
        <v>1092975</v>
      </c>
      <c r="G1742" s="35" t="s">
        <v>676</v>
      </c>
      <c r="H1742" s="35" t="s">
        <v>115</v>
      </c>
    </row>
    <row r="1743" spans="1:8">
      <c r="A1743" s="37">
        <v>40781.15625</v>
      </c>
      <c r="B1743" s="35" t="s">
        <v>654</v>
      </c>
      <c r="C1743" s="35" t="s">
        <v>655</v>
      </c>
      <c r="D1743" s="39">
        <v>35.409999847412109</v>
      </c>
      <c r="E1743" s="39">
        <v>27.720088958740234</v>
      </c>
      <c r="F1743" s="41">
        <v>137510</v>
      </c>
      <c r="G1743" s="35" t="s">
        <v>676</v>
      </c>
      <c r="H1743" s="35" t="s">
        <v>115</v>
      </c>
    </row>
    <row r="1744" spans="1:8">
      <c r="A1744" s="37">
        <v>40784.15625</v>
      </c>
      <c r="B1744" s="35" t="s">
        <v>654</v>
      </c>
      <c r="C1744" s="35" t="s">
        <v>655</v>
      </c>
      <c r="D1744" s="39">
        <v>36.430000305175781</v>
      </c>
      <c r="E1744" s="39">
        <v>28.518581390380859</v>
      </c>
      <c r="F1744" s="41">
        <v>306170</v>
      </c>
      <c r="G1744" s="35" t="s">
        <v>676</v>
      </c>
      <c r="H1744" s="35" t="s">
        <v>115</v>
      </c>
    </row>
    <row r="1745" spans="1:8">
      <c r="A1745" s="37">
        <v>40785.15625</v>
      </c>
      <c r="B1745" s="35" t="s">
        <v>654</v>
      </c>
      <c r="C1745" s="35" t="s">
        <v>655</v>
      </c>
      <c r="D1745" s="39">
        <v>38.700000762939453</v>
      </c>
      <c r="E1745" s="39">
        <v>30.29560661315918</v>
      </c>
      <c r="F1745" s="41">
        <v>792220</v>
      </c>
      <c r="G1745" s="35" t="s">
        <v>676</v>
      </c>
      <c r="H1745" s="35" t="s">
        <v>115</v>
      </c>
    </row>
    <row r="1746" spans="1:8">
      <c r="A1746" s="37">
        <v>40788.15625</v>
      </c>
      <c r="B1746" s="35" t="s">
        <v>654</v>
      </c>
      <c r="C1746" s="35" t="s">
        <v>655</v>
      </c>
      <c r="D1746" s="39">
        <v>37.860000610351563</v>
      </c>
      <c r="E1746" s="39">
        <v>29.638032913208008</v>
      </c>
      <c r="F1746" s="41">
        <v>272045</v>
      </c>
      <c r="G1746" s="35" t="s">
        <v>676</v>
      </c>
      <c r="H1746" s="35" t="s">
        <v>115</v>
      </c>
    </row>
    <row r="1747" spans="1:8">
      <c r="A1747" s="37">
        <v>40791.15625</v>
      </c>
      <c r="B1747" s="35" t="s">
        <v>654</v>
      </c>
      <c r="C1747" s="35" t="s">
        <v>655</v>
      </c>
      <c r="D1747" s="39">
        <v>38.549999237060547</v>
      </c>
      <c r="E1747" s="39">
        <v>30.178184509277344</v>
      </c>
      <c r="F1747" s="41">
        <v>325640</v>
      </c>
      <c r="G1747" s="35" t="s">
        <v>676</v>
      </c>
      <c r="H1747" s="35" t="s">
        <v>115</v>
      </c>
    </row>
    <row r="1748" spans="1:8">
      <c r="A1748" s="37">
        <v>40792.15625</v>
      </c>
      <c r="B1748" s="35" t="s">
        <v>654</v>
      </c>
      <c r="C1748" s="35" t="s">
        <v>655</v>
      </c>
      <c r="D1748" s="39">
        <v>39.430000305175781</v>
      </c>
      <c r="E1748" s="39">
        <v>30.867074966430664</v>
      </c>
      <c r="F1748" s="41">
        <v>260085</v>
      </c>
      <c r="G1748" s="35" t="s">
        <v>676</v>
      </c>
      <c r="H1748" s="35" t="s">
        <v>115</v>
      </c>
    </row>
    <row r="1749" spans="1:8">
      <c r="A1749" s="37">
        <v>40793.15625</v>
      </c>
      <c r="B1749" s="35" t="s">
        <v>654</v>
      </c>
      <c r="C1749" s="35" t="s">
        <v>655</v>
      </c>
      <c r="D1749" s="39">
        <v>42.040000915527344</v>
      </c>
      <c r="E1749" s="39">
        <v>32.910266876220703</v>
      </c>
      <c r="F1749" s="41">
        <v>1676805</v>
      </c>
      <c r="G1749" s="35" t="s">
        <v>676</v>
      </c>
      <c r="H1749" s="35" t="s">
        <v>115</v>
      </c>
    </row>
    <row r="1750" spans="1:8">
      <c r="A1750" s="37">
        <v>40794.15625</v>
      </c>
      <c r="B1750" s="35" t="s">
        <v>654</v>
      </c>
      <c r="C1750" s="35" t="s">
        <v>655</v>
      </c>
      <c r="D1750" s="39">
        <v>41.560001373291016</v>
      </c>
      <c r="E1750" s="39">
        <v>32.534511566162109</v>
      </c>
      <c r="F1750" s="41">
        <v>417605</v>
      </c>
      <c r="G1750" s="35" t="s">
        <v>676</v>
      </c>
      <c r="H1750" s="35" t="s">
        <v>115</v>
      </c>
    </row>
    <row r="1751" spans="1:8">
      <c r="A1751" s="37">
        <v>40795.15625</v>
      </c>
      <c r="B1751" s="35" t="s">
        <v>654</v>
      </c>
      <c r="C1751" s="35" t="s">
        <v>655</v>
      </c>
      <c r="D1751" s="39">
        <v>41.049999237060547</v>
      </c>
      <c r="E1751" s="39">
        <v>32.135250091552734</v>
      </c>
      <c r="F1751" s="41">
        <v>354355</v>
      </c>
      <c r="G1751" s="35" t="s">
        <v>676</v>
      </c>
      <c r="H1751" s="35" t="s">
        <v>115</v>
      </c>
    </row>
    <row r="1752" spans="1:8">
      <c r="A1752" s="37">
        <v>40798.15625</v>
      </c>
      <c r="B1752" s="35" t="s">
        <v>654</v>
      </c>
      <c r="C1752" s="35" t="s">
        <v>655</v>
      </c>
      <c r="D1752" s="39">
        <v>39.869998931884766</v>
      </c>
      <c r="E1752" s="39">
        <v>31.21153450012207</v>
      </c>
      <c r="F1752" s="41">
        <v>102575</v>
      </c>
      <c r="G1752" s="35" t="s">
        <v>676</v>
      </c>
      <c r="H1752" s="35" t="s">
        <v>115</v>
      </c>
    </row>
    <row r="1753" spans="1:8">
      <c r="A1753" s="37">
        <v>40799.15625</v>
      </c>
      <c r="B1753" s="35" t="s">
        <v>654</v>
      </c>
      <c r="C1753" s="35" t="s">
        <v>655</v>
      </c>
      <c r="D1753" s="39">
        <v>41.110000610351563</v>
      </c>
      <c r="E1753" s="39">
        <v>32.182231903076172</v>
      </c>
      <c r="F1753" s="41">
        <v>581065</v>
      </c>
      <c r="G1753" s="35" t="s">
        <v>676</v>
      </c>
      <c r="H1753" s="35" t="s">
        <v>115</v>
      </c>
    </row>
    <row r="1754" spans="1:8">
      <c r="A1754" s="37">
        <v>40800.15625</v>
      </c>
      <c r="B1754" s="35" t="s">
        <v>654</v>
      </c>
      <c r="C1754" s="35" t="s">
        <v>655</v>
      </c>
      <c r="D1754" s="39">
        <v>41.459999084472656</v>
      </c>
      <c r="E1754" s="39">
        <v>32.456222534179688</v>
      </c>
      <c r="F1754" s="41">
        <v>608860</v>
      </c>
      <c r="G1754" s="35" t="s">
        <v>676</v>
      </c>
      <c r="H1754" s="35" t="s">
        <v>115</v>
      </c>
    </row>
    <row r="1755" spans="1:8">
      <c r="A1755" s="37">
        <v>40801.15625</v>
      </c>
      <c r="B1755" s="35" t="s">
        <v>654</v>
      </c>
      <c r="C1755" s="35" t="s">
        <v>655</v>
      </c>
      <c r="D1755" s="39">
        <v>42.819999694824219</v>
      </c>
      <c r="E1755" s="39">
        <v>33.520881652832031</v>
      </c>
      <c r="F1755" s="41">
        <v>666930</v>
      </c>
      <c r="G1755" s="35" t="s">
        <v>676</v>
      </c>
      <c r="H1755" s="35" t="s">
        <v>115</v>
      </c>
    </row>
    <row r="1756" spans="1:8">
      <c r="A1756" s="37">
        <v>40802.15625</v>
      </c>
      <c r="B1756" s="35" t="s">
        <v>654</v>
      </c>
      <c r="C1756" s="35" t="s">
        <v>655</v>
      </c>
      <c r="D1756" s="39">
        <v>41.659999847412109</v>
      </c>
      <c r="E1756" s="39">
        <v>32.61279296875</v>
      </c>
      <c r="F1756" s="41">
        <v>303270</v>
      </c>
      <c r="G1756" s="35" t="s">
        <v>676</v>
      </c>
      <c r="H1756" s="35" t="s">
        <v>115</v>
      </c>
    </row>
    <row r="1757" spans="1:8">
      <c r="A1757" s="37">
        <v>40805.15625</v>
      </c>
      <c r="B1757" s="35" t="s">
        <v>654</v>
      </c>
      <c r="C1757" s="35" t="s">
        <v>655</v>
      </c>
      <c r="D1757" s="39">
        <v>41.009998321533203</v>
      </c>
      <c r="E1757" s="39">
        <v>32.103950500488281</v>
      </c>
      <c r="F1757" s="41">
        <v>92065</v>
      </c>
      <c r="G1757" s="35" t="s">
        <v>676</v>
      </c>
      <c r="H1757" s="35" t="s">
        <v>115</v>
      </c>
    </row>
    <row r="1758" spans="1:8">
      <c r="A1758" s="37">
        <v>40806.15625</v>
      </c>
      <c r="B1758" s="35" t="s">
        <v>654</v>
      </c>
      <c r="C1758" s="35" t="s">
        <v>655</v>
      </c>
      <c r="D1758" s="39">
        <v>41.860000610351563</v>
      </c>
      <c r="E1758" s="39">
        <v>32.769351959228516</v>
      </c>
      <c r="F1758" s="41">
        <v>629365</v>
      </c>
      <c r="G1758" s="35" t="s">
        <v>676</v>
      </c>
      <c r="H1758" s="35" t="s">
        <v>115</v>
      </c>
    </row>
    <row r="1759" spans="1:8">
      <c r="A1759" s="37">
        <v>40807.15625</v>
      </c>
      <c r="B1759" s="35" t="s">
        <v>654</v>
      </c>
      <c r="C1759" s="35" t="s">
        <v>655</v>
      </c>
      <c r="D1759" s="39">
        <v>42.380001068115234</v>
      </c>
      <c r="E1759" s="39">
        <v>33.176429748535156</v>
      </c>
      <c r="F1759" s="41">
        <v>313135</v>
      </c>
      <c r="G1759" s="35" t="s">
        <v>676</v>
      </c>
      <c r="H1759" s="35" t="s">
        <v>115</v>
      </c>
    </row>
    <row r="1760" spans="1:8">
      <c r="A1760" s="37">
        <v>40808.15625</v>
      </c>
      <c r="B1760" s="35" t="s">
        <v>654</v>
      </c>
      <c r="C1760" s="35" t="s">
        <v>655</v>
      </c>
      <c r="D1760" s="39">
        <v>41.099998474121094</v>
      </c>
      <c r="E1760" s="39">
        <v>32.174400329589844</v>
      </c>
      <c r="F1760" s="41">
        <v>227585</v>
      </c>
      <c r="G1760" s="35" t="s">
        <v>676</v>
      </c>
      <c r="H1760" s="35" t="s">
        <v>115</v>
      </c>
    </row>
    <row r="1761" spans="1:8">
      <c r="A1761" s="37">
        <v>40809.15625</v>
      </c>
      <c r="B1761" s="35" t="s">
        <v>654</v>
      </c>
      <c r="C1761" s="35" t="s">
        <v>655</v>
      </c>
      <c r="D1761" s="39">
        <v>41.009998321533203</v>
      </c>
      <c r="E1761" s="39">
        <v>32.103950500488281</v>
      </c>
      <c r="F1761" s="41">
        <v>517580</v>
      </c>
      <c r="G1761" s="35" t="s">
        <v>676</v>
      </c>
      <c r="H1761" s="35" t="s">
        <v>115</v>
      </c>
    </row>
    <row r="1762" spans="1:8">
      <c r="A1762" s="37">
        <v>40812.15625</v>
      </c>
      <c r="B1762" s="35" t="s">
        <v>654</v>
      </c>
      <c r="C1762" s="35" t="s">
        <v>655</v>
      </c>
      <c r="D1762" s="39">
        <v>40.799999237060547</v>
      </c>
      <c r="E1762" s="39">
        <v>31.939559936523438</v>
      </c>
      <c r="F1762" s="41">
        <v>161205</v>
      </c>
      <c r="G1762" s="35" t="s">
        <v>676</v>
      </c>
      <c r="H1762" s="35" t="s">
        <v>115</v>
      </c>
    </row>
    <row r="1763" spans="1:8">
      <c r="A1763" s="37">
        <v>40813.15625</v>
      </c>
      <c r="B1763" s="35" t="s">
        <v>654</v>
      </c>
      <c r="C1763" s="35" t="s">
        <v>655</v>
      </c>
      <c r="D1763" s="39">
        <v>40.700000762939453</v>
      </c>
      <c r="E1763" s="39">
        <v>31.861276626586914</v>
      </c>
      <c r="F1763" s="41">
        <v>247475</v>
      </c>
      <c r="G1763" s="35" t="s">
        <v>676</v>
      </c>
      <c r="H1763" s="35" t="s">
        <v>115</v>
      </c>
    </row>
    <row r="1764" spans="1:8">
      <c r="A1764" s="37">
        <v>40814.15625</v>
      </c>
      <c r="B1764" s="35" t="s">
        <v>654</v>
      </c>
      <c r="C1764" s="35" t="s">
        <v>655</v>
      </c>
      <c r="D1764" s="39">
        <v>40.459999084472656</v>
      </c>
      <c r="E1764" s="39">
        <v>31.673395156860352</v>
      </c>
      <c r="F1764" s="41">
        <v>759835</v>
      </c>
      <c r="G1764" s="35" t="s">
        <v>676</v>
      </c>
      <c r="H1764" s="35" t="s">
        <v>115</v>
      </c>
    </row>
    <row r="1765" spans="1:8">
      <c r="A1765" s="37">
        <v>40815.15625</v>
      </c>
      <c r="B1765" s="35" t="s">
        <v>654</v>
      </c>
      <c r="C1765" s="35" t="s">
        <v>655</v>
      </c>
      <c r="D1765" s="39">
        <v>40.029998779296875</v>
      </c>
      <c r="E1765" s="39">
        <v>31.336774826049805</v>
      </c>
      <c r="F1765" s="41">
        <v>219310</v>
      </c>
      <c r="G1765" s="35" t="s">
        <v>676</v>
      </c>
      <c r="H1765" s="35" t="s">
        <v>115</v>
      </c>
    </row>
    <row r="1766" spans="1:8">
      <c r="A1766" s="37">
        <v>40816.15625</v>
      </c>
      <c r="B1766" s="35" t="s">
        <v>654</v>
      </c>
      <c r="C1766" s="35" t="s">
        <v>655</v>
      </c>
      <c r="D1766" s="39">
        <v>39.299999237060547</v>
      </c>
      <c r="E1766" s="39">
        <v>30.765304565429688</v>
      </c>
      <c r="F1766" s="41">
        <v>184865</v>
      </c>
      <c r="G1766" s="35" t="s">
        <v>676</v>
      </c>
      <c r="H1766" s="35" t="s">
        <v>115</v>
      </c>
    </row>
    <row r="1767" spans="1:8">
      <c r="A1767" s="37">
        <v>40819.15625</v>
      </c>
      <c r="B1767" s="35" t="s">
        <v>654</v>
      </c>
      <c r="C1767" s="35" t="s">
        <v>655</v>
      </c>
      <c r="D1767" s="39">
        <v>39.049999237060547</v>
      </c>
      <c r="E1767" s="39">
        <v>30.56959342956543</v>
      </c>
      <c r="F1767" s="41">
        <v>107435</v>
      </c>
      <c r="G1767" s="35" t="s">
        <v>676</v>
      </c>
      <c r="H1767" s="35" t="s">
        <v>115</v>
      </c>
    </row>
    <row r="1768" spans="1:8">
      <c r="A1768" s="37">
        <v>40820.15625</v>
      </c>
      <c r="B1768" s="35" t="s">
        <v>654</v>
      </c>
      <c r="C1768" s="35" t="s">
        <v>655</v>
      </c>
      <c r="D1768" s="39">
        <v>39.990001678466797</v>
      </c>
      <c r="E1768" s="39">
        <v>31.305465698242188</v>
      </c>
      <c r="F1768" s="41">
        <v>582085</v>
      </c>
      <c r="G1768" s="35" t="s">
        <v>676</v>
      </c>
      <c r="H1768" s="35" t="s">
        <v>115</v>
      </c>
    </row>
    <row r="1769" spans="1:8">
      <c r="A1769" s="37">
        <v>40821.15625</v>
      </c>
      <c r="B1769" s="35" t="s">
        <v>654</v>
      </c>
      <c r="C1769" s="35" t="s">
        <v>655</v>
      </c>
      <c r="D1769" s="39">
        <v>38.819999694824219</v>
      </c>
      <c r="E1769" s="39">
        <v>30.389551162719727</v>
      </c>
      <c r="F1769" s="41">
        <v>193180</v>
      </c>
      <c r="G1769" s="35" t="s">
        <v>676</v>
      </c>
      <c r="H1769" s="35" t="s">
        <v>115</v>
      </c>
    </row>
    <row r="1770" spans="1:8">
      <c r="A1770" s="37">
        <v>40823.15625</v>
      </c>
      <c r="B1770" s="35" t="s">
        <v>654</v>
      </c>
      <c r="C1770" s="35" t="s">
        <v>655</v>
      </c>
      <c r="D1770" s="39">
        <v>39.240001678466797</v>
      </c>
      <c r="E1770" s="39">
        <v>30.718334197998047</v>
      </c>
      <c r="F1770" s="41">
        <v>87090</v>
      </c>
      <c r="G1770" s="35" t="s">
        <v>676</v>
      </c>
      <c r="H1770" s="35" t="s">
        <v>115</v>
      </c>
    </row>
    <row r="1771" spans="1:8">
      <c r="A1771" s="37">
        <v>40826.15625</v>
      </c>
      <c r="B1771" s="35" t="s">
        <v>654</v>
      </c>
      <c r="C1771" s="35" t="s">
        <v>655</v>
      </c>
      <c r="D1771" s="39">
        <v>38.840000152587891</v>
      </c>
      <c r="E1771" s="39">
        <v>30.405204772949219</v>
      </c>
      <c r="F1771" s="41">
        <v>311210</v>
      </c>
      <c r="G1771" s="35" t="s">
        <v>676</v>
      </c>
      <c r="H1771" s="35" t="s">
        <v>115</v>
      </c>
    </row>
    <row r="1772" spans="1:8">
      <c r="A1772" s="37">
        <v>40827.15625</v>
      </c>
      <c r="B1772" s="35" t="s">
        <v>654</v>
      </c>
      <c r="C1772" s="35" t="s">
        <v>655</v>
      </c>
      <c r="D1772" s="39">
        <v>38.990001678466797</v>
      </c>
      <c r="E1772" s="39">
        <v>30.522628784179688</v>
      </c>
      <c r="F1772" s="41">
        <v>82895</v>
      </c>
      <c r="G1772" s="35" t="s">
        <v>676</v>
      </c>
      <c r="H1772" s="35" t="s">
        <v>115</v>
      </c>
    </row>
    <row r="1773" spans="1:8">
      <c r="A1773" s="37">
        <v>40828.15625</v>
      </c>
      <c r="B1773" s="35" t="s">
        <v>654</v>
      </c>
      <c r="C1773" s="35" t="s">
        <v>655</v>
      </c>
      <c r="D1773" s="39">
        <v>40.049999237060547</v>
      </c>
      <c r="E1773" s="39">
        <v>31.352432250976563</v>
      </c>
      <c r="F1773" s="41">
        <v>738915</v>
      </c>
      <c r="G1773" s="35" t="s">
        <v>676</v>
      </c>
      <c r="H1773" s="35" t="s">
        <v>115</v>
      </c>
    </row>
    <row r="1774" spans="1:8">
      <c r="A1774" s="37">
        <v>40829.15625</v>
      </c>
      <c r="B1774" s="35" t="s">
        <v>654</v>
      </c>
      <c r="C1774" s="35" t="s">
        <v>655</v>
      </c>
      <c r="D1774" s="39">
        <v>40.619998931884766</v>
      </c>
      <c r="E1774" s="39">
        <v>31.798643112182617</v>
      </c>
      <c r="F1774" s="41">
        <v>247170</v>
      </c>
      <c r="G1774" s="35" t="s">
        <v>676</v>
      </c>
      <c r="H1774" s="35" t="s">
        <v>115</v>
      </c>
    </row>
    <row r="1775" spans="1:8">
      <c r="A1775" s="37">
        <v>40830.15625</v>
      </c>
      <c r="B1775" s="35" t="s">
        <v>654</v>
      </c>
      <c r="C1775" s="35" t="s">
        <v>655</v>
      </c>
      <c r="D1775" s="39">
        <v>42.279998779296875</v>
      </c>
      <c r="E1775" s="39">
        <v>33.098140716552734</v>
      </c>
      <c r="F1775" s="41">
        <v>377820</v>
      </c>
      <c r="G1775" s="35" t="s">
        <v>676</v>
      </c>
      <c r="H1775" s="35" t="s">
        <v>115</v>
      </c>
    </row>
    <row r="1776" spans="1:8">
      <c r="A1776" s="37">
        <v>40833.15625</v>
      </c>
      <c r="B1776" s="35" t="s">
        <v>654</v>
      </c>
      <c r="C1776" s="35" t="s">
        <v>655</v>
      </c>
      <c r="D1776" s="39">
        <v>46.860000610351563</v>
      </c>
      <c r="E1776" s="39">
        <v>36.683513641357422</v>
      </c>
      <c r="F1776" s="41">
        <v>2326555</v>
      </c>
      <c r="G1776" s="35" t="s">
        <v>676</v>
      </c>
      <c r="H1776" s="35" t="s">
        <v>115</v>
      </c>
    </row>
    <row r="1777" spans="1:8">
      <c r="A1777" s="37">
        <v>40834.15625</v>
      </c>
      <c r="B1777" s="35" t="s">
        <v>654</v>
      </c>
      <c r="C1777" s="35" t="s">
        <v>655</v>
      </c>
      <c r="D1777" s="39">
        <v>45.720001220703125</v>
      </c>
      <c r="E1777" s="39">
        <v>35.791095733642578</v>
      </c>
      <c r="F1777" s="41">
        <v>6765875</v>
      </c>
      <c r="G1777" s="35" t="s">
        <v>676</v>
      </c>
      <c r="H1777" s="35" t="s">
        <v>115</v>
      </c>
    </row>
    <row r="1778" spans="1:8">
      <c r="A1778" s="37">
        <v>40835.15625</v>
      </c>
      <c r="B1778" s="35" t="s">
        <v>654</v>
      </c>
      <c r="C1778" s="35" t="s">
        <v>655</v>
      </c>
      <c r="D1778" s="39">
        <v>44.439998626708984</v>
      </c>
      <c r="E1778" s="39">
        <v>34.789058685302734</v>
      </c>
      <c r="F1778" s="41">
        <v>737260</v>
      </c>
      <c r="G1778" s="35" t="s">
        <v>676</v>
      </c>
      <c r="H1778" s="35" t="s">
        <v>115</v>
      </c>
    </row>
    <row r="1779" spans="1:8">
      <c r="A1779" s="37">
        <v>40836.15625</v>
      </c>
      <c r="B1779" s="35" t="s">
        <v>654</v>
      </c>
      <c r="C1779" s="35" t="s">
        <v>655</v>
      </c>
      <c r="D1779" s="39">
        <v>45.560001373291016</v>
      </c>
      <c r="E1779" s="39">
        <v>35.66583251953125</v>
      </c>
      <c r="F1779" s="41">
        <v>1080965</v>
      </c>
      <c r="G1779" s="35" t="s">
        <v>676</v>
      </c>
      <c r="H1779" s="35" t="s">
        <v>115</v>
      </c>
    </row>
    <row r="1780" spans="1:8">
      <c r="A1780" s="37">
        <v>40837.15625</v>
      </c>
      <c r="B1780" s="35" t="s">
        <v>654</v>
      </c>
      <c r="C1780" s="35" t="s">
        <v>655</v>
      </c>
      <c r="D1780" s="39">
        <v>46.080001831054688</v>
      </c>
      <c r="E1780" s="39">
        <v>36.072921752929688</v>
      </c>
      <c r="F1780" s="41">
        <v>667685</v>
      </c>
      <c r="G1780" s="35" t="s">
        <v>676</v>
      </c>
      <c r="H1780" s="35" t="s">
        <v>115</v>
      </c>
    </row>
    <row r="1781" spans="1:8">
      <c r="A1781" s="37">
        <v>40840.15625</v>
      </c>
      <c r="B1781" s="35" t="s">
        <v>654</v>
      </c>
      <c r="C1781" s="35" t="s">
        <v>655</v>
      </c>
      <c r="D1781" s="39">
        <v>44.889999389648438</v>
      </c>
      <c r="E1781" s="39">
        <v>35.141338348388672</v>
      </c>
      <c r="F1781" s="41">
        <v>237725</v>
      </c>
      <c r="G1781" s="35" t="s">
        <v>676</v>
      </c>
      <c r="H1781" s="35" t="s">
        <v>115</v>
      </c>
    </row>
    <row r="1782" spans="1:8">
      <c r="A1782" s="37">
        <v>40841.15625</v>
      </c>
      <c r="B1782" s="35" t="s">
        <v>654</v>
      </c>
      <c r="C1782" s="35" t="s">
        <v>655</v>
      </c>
      <c r="D1782" s="39">
        <v>45.220001220703125</v>
      </c>
      <c r="E1782" s="39">
        <v>35.399681091308594</v>
      </c>
      <c r="F1782" s="41">
        <v>161900</v>
      </c>
      <c r="G1782" s="35" t="s">
        <v>676</v>
      </c>
      <c r="H1782" s="35" t="s">
        <v>115</v>
      </c>
    </row>
    <row r="1783" spans="1:8">
      <c r="A1783" s="37">
        <v>40844.15625</v>
      </c>
      <c r="B1783" s="35" t="s">
        <v>654</v>
      </c>
      <c r="C1783" s="35" t="s">
        <v>655</v>
      </c>
      <c r="D1783" s="39">
        <v>46.130001068115234</v>
      </c>
      <c r="E1783" s="39">
        <v>36.112049102783203</v>
      </c>
      <c r="F1783" s="41">
        <v>314860</v>
      </c>
      <c r="G1783" s="35" t="s">
        <v>676</v>
      </c>
      <c r="H1783" s="35" t="s">
        <v>115</v>
      </c>
    </row>
    <row r="1784" spans="1:8">
      <c r="A1784" s="37">
        <v>40847.15625</v>
      </c>
      <c r="B1784" s="35" t="s">
        <v>654</v>
      </c>
      <c r="C1784" s="35" t="s">
        <v>655</v>
      </c>
      <c r="D1784" s="39">
        <v>46.180000305175781</v>
      </c>
      <c r="E1784" s="39">
        <v>36.151187896728516</v>
      </c>
      <c r="F1784" s="41">
        <v>469260</v>
      </c>
      <c r="G1784" s="35" t="s">
        <v>676</v>
      </c>
      <c r="H1784" s="35" t="s">
        <v>115</v>
      </c>
    </row>
    <row r="1785" spans="1:8">
      <c r="A1785" s="37">
        <v>40848.15625</v>
      </c>
      <c r="B1785" s="35" t="s">
        <v>654</v>
      </c>
      <c r="C1785" s="35" t="s">
        <v>655</v>
      </c>
      <c r="D1785" s="39">
        <v>45.169998168945313</v>
      </c>
      <c r="E1785" s="39">
        <v>35.36053466796875</v>
      </c>
      <c r="F1785" s="41">
        <v>308035</v>
      </c>
      <c r="G1785" s="35" t="s">
        <v>676</v>
      </c>
      <c r="H1785" s="35" t="s">
        <v>115</v>
      </c>
    </row>
    <row r="1786" spans="1:8">
      <c r="A1786" s="37">
        <v>40849.15625</v>
      </c>
      <c r="B1786" s="35" t="s">
        <v>654</v>
      </c>
      <c r="C1786" s="35" t="s">
        <v>655</v>
      </c>
      <c r="D1786" s="39">
        <v>44.810001373291016</v>
      </c>
      <c r="E1786" s="39">
        <v>35.078708648681641</v>
      </c>
      <c r="F1786" s="41">
        <v>147195</v>
      </c>
      <c r="G1786" s="35" t="s">
        <v>676</v>
      </c>
      <c r="H1786" s="35" t="s">
        <v>115</v>
      </c>
    </row>
    <row r="1787" spans="1:8">
      <c r="A1787" s="37">
        <v>40850.15625</v>
      </c>
      <c r="B1787" s="35" t="s">
        <v>654</v>
      </c>
      <c r="C1787" s="35" t="s">
        <v>655</v>
      </c>
      <c r="D1787" s="39">
        <v>45.560001373291016</v>
      </c>
      <c r="E1787" s="39">
        <v>35.66583251953125</v>
      </c>
      <c r="F1787" s="41">
        <v>415900</v>
      </c>
      <c r="G1787" s="35" t="s">
        <v>676</v>
      </c>
      <c r="H1787" s="35" t="s">
        <v>115</v>
      </c>
    </row>
    <row r="1788" spans="1:8">
      <c r="A1788" s="37">
        <v>40851.15625</v>
      </c>
      <c r="B1788" s="35" t="s">
        <v>654</v>
      </c>
      <c r="C1788" s="35" t="s">
        <v>655</v>
      </c>
      <c r="D1788" s="39">
        <v>45.450000762939453</v>
      </c>
      <c r="E1788" s="39">
        <v>35.579727172851563</v>
      </c>
      <c r="F1788" s="41">
        <v>166330</v>
      </c>
      <c r="G1788" s="35" t="s">
        <v>676</v>
      </c>
      <c r="H1788" s="35" t="s">
        <v>115</v>
      </c>
    </row>
    <row r="1789" spans="1:8">
      <c r="A1789" s="37">
        <v>40855.15625</v>
      </c>
      <c r="B1789" s="35" t="s">
        <v>654</v>
      </c>
      <c r="C1789" s="35" t="s">
        <v>655</v>
      </c>
      <c r="D1789" s="39">
        <v>44.900001525878906</v>
      </c>
      <c r="E1789" s="39">
        <v>35.149166107177734</v>
      </c>
      <c r="F1789" s="41">
        <v>65535</v>
      </c>
      <c r="G1789" s="35" t="s">
        <v>676</v>
      </c>
      <c r="H1789" s="35" t="s">
        <v>115</v>
      </c>
    </row>
    <row r="1790" spans="1:8">
      <c r="A1790" s="37">
        <v>40856.15625</v>
      </c>
      <c r="B1790" s="35" t="s">
        <v>654</v>
      </c>
      <c r="C1790" s="35" t="s">
        <v>655</v>
      </c>
      <c r="D1790" s="39">
        <v>44.650001525878906</v>
      </c>
      <c r="E1790" s="39">
        <v>34.953464508056641</v>
      </c>
      <c r="F1790" s="41">
        <v>278285</v>
      </c>
      <c r="G1790" s="35" t="s">
        <v>676</v>
      </c>
      <c r="H1790" s="35" t="s">
        <v>115</v>
      </c>
    </row>
    <row r="1791" spans="1:8">
      <c r="A1791" s="37">
        <v>40858.15625</v>
      </c>
      <c r="B1791" s="35" t="s">
        <v>654</v>
      </c>
      <c r="C1791" s="35" t="s">
        <v>655</v>
      </c>
      <c r="D1791" s="39">
        <v>44.009998321533203</v>
      </c>
      <c r="E1791" s="39">
        <v>34.452442169189453</v>
      </c>
      <c r="F1791" s="41">
        <v>198550</v>
      </c>
      <c r="G1791" s="35" t="s">
        <v>676</v>
      </c>
      <c r="H1791" s="35" t="s">
        <v>115</v>
      </c>
    </row>
    <row r="1792" spans="1:8">
      <c r="A1792" s="37">
        <v>40861.15625</v>
      </c>
      <c r="B1792" s="35" t="s">
        <v>654</v>
      </c>
      <c r="C1792" s="35" t="s">
        <v>655</v>
      </c>
      <c r="D1792" s="39">
        <v>42.220001220703125</v>
      </c>
      <c r="E1792" s="39">
        <v>33.051177978515625</v>
      </c>
      <c r="F1792" s="41">
        <v>161435</v>
      </c>
      <c r="G1792" s="35" t="s">
        <v>676</v>
      </c>
      <c r="H1792" s="35" t="s">
        <v>115</v>
      </c>
    </row>
    <row r="1793" spans="1:8">
      <c r="A1793" s="37">
        <v>40862.15625</v>
      </c>
      <c r="B1793" s="35" t="s">
        <v>654</v>
      </c>
      <c r="C1793" s="35" t="s">
        <v>655</v>
      </c>
      <c r="D1793" s="39">
        <v>41.009998321533203</v>
      </c>
      <c r="E1793" s="39">
        <v>32.103950500488281</v>
      </c>
      <c r="F1793" s="41">
        <v>144365</v>
      </c>
      <c r="G1793" s="35" t="s">
        <v>676</v>
      </c>
      <c r="H1793" s="35" t="s">
        <v>115</v>
      </c>
    </row>
    <row r="1794" spans="1:8">
      <c r="A1794" s="37">
        <v>40863.15625</v>
      </c>
      <c r="B1794" s="35" t="s">
        <v>654</v>
      </c>
      <c r="C1794" s="35" t="s">
        <v>655</v>
      </c>
      <c r="D1794" s="39">
        <v>40.430000305175781</v>
      </c>
      <c r="E1794" s="39">
        <v>31.649900436401367</v>
      </c>
      <c r="F1794" s="41">
        <v>220445</v>
      </c>
      <c r="G1794" s="35" t="s">
        <v>676</v>
      </c>
      <c r="H1794" s="35" t="s">
        <v>115</v>
      </c>
    </row>
    <row r="1795" spans="1:8">
      <c r="A1795" s="37">
        <v>40864.15625</v>
      </c>
      <c r="B1795" s="35" t="s">
        <v>654</v>
      </c>
      <c r="C1795" s="35" t="s">
        <v>655</v>
      </c>
      <c r="D1795" s="39">
        <v>42.310001373291016</v>
      </c>
      <c r="E1795" s="39">
        <v>33.121623992919922</v>
      </c>
      <c r="F1795" s="41">
        <v>296055</v>
      </c>
      <c r="G1795" s="35" t="s">
        <v>676</v>
      </c>
      <c r="H1795" s="35" t="s">
        <v>115</v>
      </c>
    </row>
    <row r="1796" spans="1:8">
      <c r="A1796" s="37">
        <v>40865.15625</v>
      </c>
      <c r="B1796" s="35" t="s">
        <v>654</v>
      </c>
      <c r="C1796" s="35" t="s">
        <v>655</v>
      </c>
      <c r="D1796" s="39">
        <v>40.880001068115234</v>
      </c>
      <c r="E1796" s="39">
        <v>32.002185821533203</v>
      </c>
      <c r="F1796" s="41">
        <v>100750</v>
      </c>
      <c r="G1796" s="35" t="s">
        <v>676</v>
      </c>
      <c r="H1796" s="35" t="s">
        <v>115</v>
      </c>
    </row>
    <row r="1797" spans="1:8">
      <c r="A1797" s="37">
        <v>40868.15625</v>
      </c>
      <c r="B1797" s="35" t="s">
        <v>654</v>
      </c>
      <c r="C1797" s="35" t="s">
        <v>655</v>
      </c>
      <c r="D1797" s="39">
        <v>40.619998931884766</v>
      </c>
      <c r="E1797" s="39">
        <v>31.798643112182617</v>
      </c>
      <c r="F1797" s="41">
        <v>169585</v>
      </c>
      <c r="G1797" s="35" t="s">
        <v>676</v>
      </c>
      <c r="H1797" s="35" t="s">
        <v>115</v>
      </c>
    </row>
    <row r="1798" spans="1:8">
      <c r="A1798" s="37">
        <v>40869.15625</v>
      </c>
      <c r="B1798" s="35" t="s">
        <v>654</v>
      </c>
      <c r="C1798" s="35" t="s">
        <v>655</v>
      </c>
      <c r="D1798" s="39">
        <v>41.700000762939453</v>
      </c>
      <c r="E1798" s="39">
        <v>32.644107818603516</v>
      </c>
      <c r="F1798" s="41">
        <v>118070</v>
      </c>
      <c r="G1798" s="35" t="s">
        <v>676</v>
      </c>
      <c r="H1798" s="35" t="s">
        <v>115</v>
      </c>
    </row>
    <row r="1799" spans="1:8">
      <c r="A1799" s="37">
        <v>40870.15625</v>
      </c>
      <c r="B1799" s="35" t="s">
        <v>654</v>
      </c>
      <c r="C1799" s="35" t="s">
        <v>655</v>
      </c>
      <c r="D1799" s="39">
        <v>41.840000152587891</v>
      </c>
      <c r="E1799" s="39">
        <v>32.753704071044922</v>
      </c>
      <c r="F1799" s="41">
        <v>527815</v>
      </c>
      <c r="G1799" s="35" t="s">
        <v>676</v>
      </c>
      <c r="H1799" s="35" t="s">
        <v>115</v>
      </c>
    </row>
    <row r="1800" spans="1:8">
      <c r="A1800" s="37">
        <v>40871.15625</v>
      </c>
      <c r="B1800" s="35" t="s">
        <v>654</v>
      </c>
      <c r="C1800" s="35" t="s">
        <v>655</v>
      </c>
      <c r="D1800" s="39">
        <v>42.400001525878906</v>
      </c>
      <c r="E1800" s="39">
        <v>33.192085266113281</v>
      </c>
      <c r="F1800" s="41">
        <v>202940</v>
      </c>
      <c r="G1800" s="35" t="s">
        <v>676</v>
      </c>
      <c r="H1800" s="35" t="s">
        <v>115</v>
      </c>
    </row>
    <row r="1801" spans="1:8">
      <c r="A1801" s="37">
        <v>40872.15625</v>
      </c>
      <c r="B1801" s="35" t="s">
        <v>654</v>
      </c>
      <c r="C1801" s="35" t="s">
        <v>655</v>
      </c>
      <c r="D1801" s="39">
        <v>42.169998168945313</v>
      </c>
      <c r="E1801" s="39">
        <v>33.012039184570313</v>
      </c>
      <c r="F1801" s="41">
        <v>184640</v>
      </c>
      <c r="G1801" s="35" t="s">
        <v>676</v>
      </c>
      <c r="H1801" s="35" t="s">
        <v>115</v>
      </c>
    </row>
    <row r="1802" spans="1:8">
      <c r="A1802" s="37">
        <v>40875.15625</v>
      </c>
      <c r="B1802" s="35" t="s">
        <v>654</v>
      </c>
      <c r="C1802" s="35" t="s">
        <v>655</v>
      </c>
      <c r="D1802" s="39">
        <v>42.529998779296875</v>
      </c>
      <c r="E1802" s="39">
        <v>33.293849945068359</v>
      </c>
      <c r="F1802" s="41">
        <v>93840</v>
      </c>
      <c r="G1802" s="35" t="s">
        <v>676</v>
      </c>
      <c r="H1802" s="35" t="s">
        <v>115</v>
      </c>
    </row>
    <row r="1803" spans="1:8">
      <c r="A1803" s="37">
        <v>40876.15625</v>
      </c>
      <c r="B1803" s="35" t="s">
        <v>654</v>
      </c>
      <c r="C1803" s="35" t="s">
        <v>655</v>
      </c>
      <c r="D1803" s="39">
        <v>41.919998168945313</v>
      </c>
      <c r="E1803" s="39">
        <v>32.816329956054688</v>
      </c>
      <c r="F1803" s="41">
        <v>274420</v>
      </c>
      <c r="G1803" s="35" t="s">
        <v>676</v>
      </c>
      <c r="H1803" s="35" t="s">
        <v>115</v>
      </c>
    </row>
    <row r="1804" spans="1:8">
      <c r="A1804" s="37">
        <v>40877.15625</v>
      </c>
      <c r="B1804" s="35" t="s">
        <v>654</v>
      </c>
      <c r="C1804" s="35" t="s">
        <v>655</v>
      </c>
      <c r="D1804" s="39">
        <v>41.389999389648438</v>
      </c>
      <c r="E1804" s="39">
        <v>32.401420593261719</v>
      </c>
      <c r="F1804" s="41">
        <v>120905</v>
      </c>
      <c r="G1804" s="35" t="s">
        <v>676</v>
      </c>
      <c r="H1804" s="35" t="s">
        <v>115</v>
      </c>
    </row>
    <row r="1805" spans="1:8">
      <c r="A1805" s="37">
        <v>40878.15625</v>
      </c>
      <c r="B1805" s="35" t="s">
        <v>654</v>
      </c>
      <c r="C1805" s="35" t="s">
        <v>655</v>
      </c>
      <c r="D1805" s="39">
        <v>41.389999389648438</v>
      </c>
      <c r="E1805" s="39">
        <v>32.401420593261719</v>
      </c>
      <c r="F1805" s="41">
        <v>137140</v>
      </c>
      <c r="G1805" s="35" t="s">
        <v>676</v>
      </c>
      <c r="H1805" s="35" t="s">
        <v>115</v>
      </c>
    </row>
    <row r="1806" spans="1:8">
      <c r="A1806" s="37">
        <v>40879.15625</v>
      </c>
      <c r="B1806" s="35" t="s">
        <v>654</v>
      </c>
      <c r="C1806" s="35" t="s">
        <v>655</v>
      </c>
      <c r="D1806" s="39">
        <v>41.549999237060547</v>
      </c>
      <c r="E1806" s="39">
        <v>32.526676177978516</v>
      </c>
      <c r="F1806" s="41">
        <v>159940</v>
      </c>
      <c r="G1806" s="35" t="s">
        <v>676</v>
      </c>
      <c r="H1806" s="35" t="s">
        <v>115</v>
      </c>
    </row>
    <row r="1807" spans="1:8">
      <c r="A1807" s="37">
        <v>40882.15625</v>
      </c>
      <c r="B1807" s="35" t="s">
        <v>654</v>
      </c>
      <c r="C1807" s="35" t="s">
        <v>655</v>
      </c>
      <c r="D1807" s="39">
        <v>41.009998321533203</v>
      </c>
      <c r="E1807" s="39">
        <v>32.103950500488281</v>
      </c>
      <c r="F1807" s="41">
        <v>103975</v>
      </c>
      <c r="G1807" s="35" t="s">
        <v>676</v>
      </c>
      <c r="H1807" s="35" t="s">
        <v>115</v>
      </c>
    </row>
    <row r="1808" spans="1:8">
      <c r="A1808" s="37">
        <v>40884.15625</v>
      </c>
      <c r="B1808" s="35" t="s">
        <v>654</v>
      </c>
      <c r="C1808" s="35" t="s">
        <v>655</v>
      </c>
      <c r="D1808" s="39">
        <v>41.419998168945313</v>
      </c>
      <c r="E1808" s="39">
        <v>32.424900054931641</v>
      </c>
      <c r="F1808" s="41">
        <v>225615</v>
      </c>
      <c r="G1808" s="35" t="s">
        <v>676</v>
      </c>
      <c r="H1808" s="35" t="s">
        <v>115</v>
      </c>
    </row>
    <row r="1809" spans="1:8">
      <c r="A1809" s="37">
        <v>40885.15625</v>
      </c>
      <c r="B1809" s="35" t="s">
        <v>654</v>
      </c>
      <c r="C1809" s="35" t="s">
        <v>655</v>
      </c>
      <c r="D1809" s="39">
        <v>41.150001525878906</v>
      </c>
      <c r="E1809" s="39">
        <v>32.213539123535156</v>
      </c>
      <c r="F1809" s="41">
        <v>343325</v>
      </c>
      <c r="G1809" s="35" t="s">
        <v>676</v>
      </c>
      <c r="H1809" s="35" t="s">
        <v>115</v>
      </c>
    </row>
    <row r="1810" spans="1:8">
      <c r="A1810" s="37">
        <v>40886.15625</v>
      </c>
      <c r="B1810" s="35" t="s">
        <v>654</v>
      </c>
      <c r="C1810" s="35" t="s">
        <v>655</v>
      </c>
      <c r="D1810" s="39">
        <v>40.240001678466797</v>
      </c>
      <c r="E1810" s="39">
        <v>31.50117301940918</v>
      </c>
      <c r="F1810" s="41">
        <v>151375</v>
      </c>
      <c r="G1810" s="35" t="s">
        <v>676</v>
      </c>
      <c r="H1810" s="35" t="s">
        <v>115</v>
      </c>
    </row>
    <row r="1811" spans="1:8">
      <c r="A1811" s="37">
        <v>40889.15625</v>
      </c>
      <c r="B1811" s="35" t="s">
        <v>654</v>
      </c>
      <c r="C1811" s="35" t="s">
        <v>655</v>
      </c>
      <c r="D1811" s="39">
        <v>39.619998931884766</v>
      </c>
      <c r="E1811" s="39">
        <v>31.015806198120117</v>
      </c>
      <c r="F1811" s="41">
        <v>202405</v>
      </c>
      <c r="G1811" s="35" t="s">
        <v>676</v>
      </c>
      <c r="H1811" s="35" t="s">
        <v>115</v>
      </c>
    </row>
    <row r="1812" spans="1:8">
      <c r="A1812" s="37">
        <v>40890.15625</v>
      </c>
      <c r="B1812" s="35" t="s">
        <v>654</v>
      </c>
      <c r="C1812" s="35" t="s">
        <v>655</v>
      </c>
      <c r="D1812" s="39">
        <v>39.360000610351563</v>
      </c>
      <c r="E1812" s="39">
        <v>30.812274932861328</v>
      </c>
      <c r="F1812" s="41">
        <v>99425</v>
      </c>
      <c r="G1812" s="35" t="s">
        <v>676</v>
      </c>
      <c r="H1812" s="35" t="s">
        <v>115</v>
      </c>
    </row>
    <row r="1813" spans="1:8">
      <c r="A1813" s="37">
        <v>40891.15625</v>
      </c>
      <c r="B1813" s="35" t="s">
        <v>654</v>
      </c>
      <c r="C1813" s="35" t="s">
        <v>655</v>
      </c>
      <c r="D1813" s="39">
        <v>39.049999237060547</v>
      </c>
      <c r="E1813" s="39">
        <v>30.56959342956543</v>
      </c>
      <c r="F1813" s="41">
        <v>269100</v>
      </c>
      <c r="G1813" s="35" t="s">
        <v>676</v>
      </c>
      <c r="H1813" s="35" t="s">
        <v>115</v>
      </c>
    </row>
    <row r="1814" spans="1:8">
      <c r="A1814" s="37">
        <v>40892.15625</v>
      </c>
      <c r="B1814" s="35" t="s">
        <v>654</v>
      </c>
      <c r="C1814" s="35" t="s">
        <v>655</v>
      </c>
      <c r="D1814" s="39">
        <v>37.369998931884766</v>
      </c>
      <c r="E1814" s="39">
        <v>29.254438400268555</v>
      </c>
      <c r="F1814" s="41">
        <v>522085</v>
      </c>
      <c r="G1814" s="35" t="s">
        <v>676</v>
      </c>
      <c r="H1814" s="35" t="s">
        <v>115</v>
      </c>
    </row>
    <row r="1815" spans="1:8">
      <c r="A1815" s="37">
        <v>40893.15625</v>
      </c>
      <c r="B1815" s="35" t="s">
        <v>654</v>
      </c>
      <c r="C1815" s="35" t="s">
        <v>655</v>
      </c>
      <c r="D1815" s="39">
        <v>36.700000762939453</v>
      </c>
      <c r="E1815" s="39">
        <v>28.729938507080078</v>
      </c>
      <c r="F1815" s="41">
        <v>949635</v>
      </c>
      <c r="G1815" s="35" t="s">
        <v>676</v>
      </c>
      <c r="H1815" s="35" t="s">
        <v>115</v>
      </c>
    </row>
    <row r="1816" spans="1:8">
      <c r="A1816" s="37">
        <v>40896.15625</v>
      </c>
      <c r="B1816" s="35" t="s">
        <v>654</v>
      </c>
      <c r="C1816" s="35" t="s">
        <v>655</v>
      </c>
      <c r="D1816" s="39">
        <v>35.319999694824219</v>
      </c>
      <c r="E1816" s="39">
        <v>27.649637222290039</v>
      </c>
      <c r="F1816" s="41">
        <v>162780</v>
      </c>
      <c r="G1816" s="35" t="s">
        <v>676</v>
      </c>
      <c r="H1816" s="35" t="s">
        <v>115</v>
      </c>
    </row>
    <row r="1817" spans="1:8">
      <c r="A1817" s="37">
        <v>40897.15625</v>
      </c>
      <c r="B1817" s="35" t="s">
        <v>654</v>
      </c>
      <c r="C1817" s="35" t="s">
        <v>655</v>
      </c>
      <c r="D1817" s="39">
        <v>33.590000152587891</v>
      </c>
      <c r="E1817" s="39">
        <v>26.295331954956055</v>
      </c>
      <c r="F1817" s="41">
        <v>209185</v>
      </c>
      <c r="G1817" s="35" t="s">
        <v>676</v>
      </c>
      <c r="H1817" s="35" t="s">
        <v>115</v>
      </c>
    </row>
    <row r="1818" spans="1:8">
      <c r="A1818" s="37">
        <v>40898.15625</v>
      </c>
      <c r="B1818" s="35" t="s">
        <v>654</v>
      </c>
      <c r="C1818" s="35" t="s">
        <v>655</v>
      </c>
      <c r="D1818" s="39">
        <v>33.830001831054688</v>
      </c>
      <c r="E1818" s="39">
        <v>26.48321533203125</v>
      </c>
      <c r="F1818" s="41">
        <v>444355</v>
      </c>
      <c r="G1818" s="35" t="s">
        <v>676</v>
      </c>
      <c r="H1818" s="35" t="s">
        <v>115</v>
      </c>
    </row>
    <row r="1819" spans="1:8">
      <c r="A1819" s="37">
        <v>40899.15625</v>
      </c>
      <c r="B1819" s="35" t="s">
        <v>654</v>
      </c>
      <c r="C1819" s="35" t="s">
        <v>655</v>
      </c>
      <c r="D1819" s="39">
        <v>33.419998168945313</v>
      </c>
      <c r="E1819" s="39">
        <v>26.162250518798828</v>
      </c>
      <c r="F1819" s="41">
        <v>157750</v>
      </c>
      <c r="G1819" s="35" t="s">
        <v>676</v>
      </c>
      <c r="H1819" s="35" t="s">
        <v>115</v>
      </c>
    </row>
    <row r="1820" spans="1:8">
      <c r="A1820" s="37">
        <v>40900.15625</v>
      </c>
      <c r="B1820" s="35" t="s">
        <v>654</v>
      </c>
      <c r="C1820" s="35" t="s">
        <v>655</v>
      </c>
      <c r="D1820" s="39">
        <v>35.400001525878906</v>
      </c>
      <c r="E1820" s="39">
        <v>27.712265014648438</v>
      </c>
      <c r="F1820" s="41">
        <v>324715</v>
      </c>
      <c r="G1820" s="35" t="s">
        <v>676</v>
      </c>
      <c r="H1820" s="35" t="s">
        <v>115</v>
      </c>
    </row>
    <row r="1821" spans="1:8">
      <c r="A1821" s="37">
        <v>40903.15625</v>
      </c>
      <c r="B1821" s="35" t="s">
        <v>654</v>
      </c>
      <c r="C1821" s="35" t="s">
        <v>655</v>
      </c>
      <c r="D1821" s="39">
        <v>36.419998168945313</v>
      </c>
      <c r="E1821" s="39">
        <v>28.510753631591797</v>
      </c>
      <c r="F1821" s="41">
        <v>153260</v>
      </c>
      <c r="G1821" s="35" t="s">
        <v>676</v>
      </c>
      <c r="H1821" s="35" t="s">
        <v>115</v>
      </c>
    </row>
    <row r="1822" spans="1:8">
      <c r="A1822" s="37">
        <v>40904.15625</v>
      </c>
      <c r="B1822" s="35" t="s">
        <v>654</v>
      </c>
      <c r="C1822" s="35" t="s">
        <v>655</v>
      </c>
      <c r="D1822" s="39">
        <v>35.580001831054688</v>
      </c>
      <c r="E1822" s="39">
        <v>27.853172302246094</v>
      </c>
      <c r="F1822" s="41">
        <v>89215</v>
      </c>
      <c r="G1822" s="35" t="s">
        <v>676</v>
      </c>
      <c r="H1822" s="35" t="s">
        <v>115</v>
      </c>
    </row>
    <row r="1823" spans="1:8">
      <c r="A1823" s="37">
        <v>40905.15625</v>
      </c>
      <c r="B1823" s="35" t="s">
        <v>654</v>
      </c>
      <c r="C1823" s="35" t="s">
        <v>655</v>
      </c>
      <c r="D1823" s="39">
        <v>35.240001678466797</v>
      </c>
      <c r="E1823" s="39">
        <v>27.587009429931641</v>
      </c>
      <c r="F1823" s="41">
        <v>90715</v>
      </c>
      <c r="G1823" s="35" t="s">
        <v>676</v>
      </c>
      <c r="H1823" s="35" t="s">
        <v>115</v>
      </c>
    </row>
    <row r="1824" spans="1:8">
      <c r="A1824" s="37">
        <v>40906.15625</v>
      </c>
      <c r="B1824" s="35" t="s">
        <v>654</v>
      </c>
      <c r="C1824" s="35" t="s">
        <v>655</v>
      </c>
      <c r="D1824" s="39">
        <v>36</v>
      </c>
      <c r="E1824" s="39">
        <v>28.18195915222168</v>
      </c>
      <c r="F1824" s="41">
        <v>88255</v>
      </c>
      <c r="G1824" s="35" t="s">
        <v>676</v>
      </c>
      <c r="H1824" s="35" t="s">
        <v>115</v>
      </c>
    </row>
    <row r="1825" spans="1:8">
      <c r="A1825" s="37">
        <v>40907.15625</v>
      </c>
      <c r="B1825" s="35" t="s">
        <v>654</v>
      </c>
      <c r="C1825" s="35" t="s">
        <v>655</v>
      </c>
      <c r="D1825" s="39">
        <v>36.830001831054688</v>
      </c>
      <c r="E1825" s="39">
        <v>28.831720352172852</v>
      </c>
      <c r="F1825" s="41">
        <v>86320</v>
      </c>
      <c r="G1825" s="35" t="s">
        <v>676</v>
      </c>
      <c r="H1825" s="35" t="s">
        <v>115</v>
      </c>
    </row>
    <row r="1826" spans="1:8">
      <c r="A1826" s="37">
        <v>40910.15625</v>
      </c>
      <c r="B1826" s="35" t="s">
        <v>654</v>
      </c>
      <c r="C1826" s="35" t="s">
        <v>655</v>
      </c>
      <c r="D1826" s="39">
        <v>36.599998474121094</v>
      </c>
      <c r="E1826" s="39">
        <v>28.651657104492188</v>
      </c>
      <c r="F1826" s="41">
        <v>44420</v>
      </c>
      <c r="G1826" s="35" t="s">
        <v>676</v>
      </c>
      <c r="H1826" s="35" t="s">
        <v>115</v>
      </c>
    </row>
    <row r="1827" spans="1:8">
      <c r="A1827" s="37">
        <v>40911.15625</v>
      </c>
      <c r="B1827" s="35" t="s">
        <v>654</v>
      </c>
      <c r="C1827" s="35" t="s">
        <v>655</v>
      </c>
      <c r="D1827" s="39">
        <v>36.990001678466797</v>
      </c>
      <c r="E1827" s="39">
        <v>28.956960678100586</v>
      </c>
      <c r="F1827" s="41">
        <v>159735</v>
      </c>
      <c r="G1827" s="35" t="s">
        <v>676</v>
      </c>
      <c r="H1827" s="35" t="s">
        <v>115</v>
      </c>
    </row>
    <row r="1828" spans="1:8">
      <c r="A1828" s="37">
        <v>40912.15625</v>
      </c>
      <c r="B1828" s="35" t="s">
        <v>654</v>
      </c>
      <c r="C1828" s="35" t="s">
        <v>655</v>
      </c>
      <c r="D1828" s="39">
        <v>38.270000457763672</v>
      </c>
      <c r="E1828" s="39">
        <v>29.958986282348633</v>
      </c>
      <c r="F1828" s="41">
        <v>185885</v>
      </c>
      <c r="G1828" s="35" t="s">
        <v>676</v>
      </c>
      <c r="H1828" s="35" t="s">
        <v>115</v>
      </c>
    </row>
    <row r="1829" spans="1:8">
      <c r="A1829" s="37">
        <v>40913.15625</v>
      </c>
      <c r="B1829" s="35" t="s">
        <v>654</v>
      </c>
      <c r="C1829" s="35" t="s">
        <v>655</v>
      </c>
      <c r="D1829" s="39">
        <v>38.360000610351563</v>
      </c>
      <c r="E1829" s="39">
        <v>30.029449462890625</v>
      </c>
      <c r="F1829" s="41">
        <v>202160</v>
      </c>
      <c r="G1829" s="35" t="s">
        <v>676</v>
      </c>
      <c r="H1829" s="35" t="s">
        <v>115</v>
      </c>
    </row>
    <row r="1830" spans="1:8">
      <c r="A1830" s="37">
        <v>40914.15625</v>
      </c>
      <c r="B1830" s="35" t="s">
        <v>654</v>
      </c>
      <c r="C1830" s="35" t="s">
        <v>655</v>
      </c>
      <c r="D1830" s="39">
        <v>37.840000152587891</v>
      </c>
      <c r="E1830" s="39">
        <v>29.622373580932617</v>
      </c>
      <c r="F1830" s="41">
        <v>179835</v>
      </c>
      <c r="G1830" s="35" t="s">
        <v>676</v>
      </c>
      <c r="H1830" s="35" t="s">
        <v>115</v>
      </c>
    </row>
    <row r="1831" spans="1:8">
      <c r="A1831" s="37">
        <v>40917.15625</v>
      </c>
      <c r="B1831" s="35" t="s">
        <v>654</v>
      </c>
      <c r="C1831" s="35" t="s">
        <v>655</v>
      </c>
      <c r="D1831" s="39">
        <v>38.919998168945313</v>
      </c>
      <c r="E1831" s="39">
        <v>30.467826843261719</v>
      </c>
      <c r="F1831" s="41">
        <v>432260</v>
      </c>
      <c r="G1831" s="35" t="s">
        <v>676</v>
      </c>
      <c r="H1831" s="35" t="s">
        <v>115</v>
      </c>
    </row>
    <row r="1832" spans="1:8">
      <c r="A1832" s="37">
        <v>40918.15625</v>
      </c>
      <c r="B1832" s="35" t="s">
        <v>654</v>
      </c>
      <c r="C1832" s="35" t="s">
        <v>655</v>
      </c>
      <c r="D1832" s="39">
        <v>40.060001373291016</v>
      </c>
      <c r="E1832" s="39">
        <v>31.360260009765625</v>
      </c>
      <c r="F1832" s="41">
        <v>661080</v>
      </c>
      <c r="G1832" s="35" t="s">
        <v>676</v>
      </c>
      <c r="H1832" s="35" t="s">
        <v>115</v>
      </c>
    </row>
    <row r="1833" spans="1:8">
      <c r="A1833" s="37">
        <v>40919.15625</v>
      </c>
      <c r="B1833" s="35" t="s">
        <v>654</v>
      </c>
      <c r="C1833" s="35" t="s">
        <v>655</v>
      </c>
      <c r="D1833" s="39">
        <v>40.849998474121094</v>
      </c>
      <c r="E1833" s="39">
        <v>31.97869873046875</v>
      </c>
      <c r="F1833" s="41">
        <v>350885</v>
      </c>
      <c r="G1833" s="35" t="s">
        <v>676</v>
      </c>
      <c r="H1833" s="35" t="s">
        <v>115</v>
      </c>
    </row>
    <row r="1834" spans="1:8">
      <c r="A1834" s="37">
        <v>40920.15625</v>
      </c>
      <c r="B1834" s="35" t="s">
        <v>654</v>
      </c>
      <c r="C1834" s="35" t="s">
        <v>655</v>
      </c>
      <c r="D1834" s="39">
        <v>40.970001220703125</v>
      </c>
      <c r="E1834" s="39">
        <v>32.072639465332031</v>
      </c>
      <c r="F1834" s="41">
        <v>672660</v>
      </c>
      <c r="G1834" s="35" t="s">
        <v>676</v>
      </c>
      <c r="H1834" s="35" t="s">
        <v>115</v>
      </c>
    </row>
    <row r="1835" spans="1:8">
      <c r="A1835" s="37">
        <v>40921.15625</v>
      </c>
      <c r="B1835" s="35" t="s">
        <v>654</v>
      </c>
      <c r="C1835" s="35" t="s">
        <v>655</v>
      </c>
      <c r="D1835" s="39">
        <v>39.919998168945313</v>
      </c>
      <c r="E1835" s="39">
        <v>31.250661849975586</v>
      </c>
      <c r="F1835" s="41">
        <v>185750</v>
      </c>
      <c r="G1835" s="35" t="s">
        <v>676</v>
      </c>
      <c r="H1835" s="35" t="s">
        <v>115</v>
      </c>
    </row>
    <row r="1836" spans="1:8">
      <c r="A1836" s="37">
        <v>40924.15625</v>
      </c>
      <c r="B1836" s="35" t="s">
        <v>654</v>
      </c>
      <c r="C1836" s="35" t="s">
        <v>655</v>
      </c>
      <c r="D1836" s="39">
        <v>39.599998474121094</v>
      </c>
      <c r="E1836" s="39">
        <v>31.000144958496094</v>
      </c>
      <c r="F1836" s="41">
        <v>241700</v>
      </c>
      <c r="G1836" s="35" t="s">
        <v>676</v>
      </c>
      <c r="H1836" s="35" t="s">
        <v>115</v>
      </c>
    </row>
    <row r="1837" spans="1:8">
      <c r="A1837" s="37">
        <v>40925.15625</v>
      </c>
      <c r="B1837" s="35" t="s">
        <v>654</v>
      </c>
      <c r="C1837" s="35" t="s">
        <v>655</v>
      </c>
      <c r="D1837" s="39">
        <v>41.209999084472656</v>
      </c>
      <c r="E1837" s="39">
        <v>32.260505676269531</v>
      </c>
      <c r="F1837" s="41">
        <v>462235</v>
      </c>
      <c r="G1837" s="35" t="s">
        <v>676</v>
      </c>
      <c r="H1837" s="35" t="s">
        <v>115</v>
      </c>
    </row>
    <row r="1838" spans="1:8">
      <c r="A1838" s="37">
        <v>40926.15625</v>
      </c>
      <c r="B1838" s="35" t="s">
        <v>654</v>
      </c>
      <c r="C1838" s="35" t="s">
        <v>655</v>
      </c>
      <c r="D1838" s="39">
        <v>42.400001525878906</v>
      </c>
      <c r="E1838" s="39">
        <v>33.192085266113281</v>
      </c>
      <c r="F1838" s="41">
        <v>3567655</v>
      </c>
      <c r="G1838" s="35" t="s">
        <v>676</v>
      </c>
      <c r="H1838" s="35" t="s">
        <v>115</v>
      </c>
    </row>
    <row r="1839" spans="1:8">
      <c r="A1839" s="37">
        <v>40927.15625</v>
      </c>
      <c r="B1839" s="35" t="s">
        <v>654</v>
      </c>
      <c r="C1839" s="35" t="s">
        <v>655</v>
      </c>
      <c r="D1839" s="39">
        <v>43.909999847412109</v>
      </c>
      <c r="E1839" s="39">
        <v>34.374176025390625</v>
      </c>
      <c r="F1839" s="41">
        <v>1427995</v>
      </c>
      <c r="G1839" s="35" t="s">
        <v>676</v>
      </c>
      <c r="H1839" s="35" t="s">
        <v>115</v>
      </c>
    </row>
    <row r="1840" spans="1:8">
      <c r="A1840" s="37">
        <v>40928.15625</v>
      </c>
      <c r="B1840" s="35" t="s">
        <v>654</v>
      </c>
      <c r="C1840" s="35" t="s">
        <v>655</v>
      </c>
      <c r="D1840" s="39">
        <v>42.599998474121094</v>
      </c>
      <c r="E1840" s="39">
        <v>33.348655700683594</v>
      </c>
      <c r="F1840" s="41">
        <v>728505</v>
      </c>
      <c r="G1840" s="35" t="s">
        <v>676</v>
      </c>
      <c r="H1840" s="35" t="s">
        <v>115</v>
      </c>
    </row>
    <row r="1841" spans="1:8">
      <c r="A1841" s="37">
        <v>40931.15625</v>
      </c>
      <c r="B1841" s="35" t="s">
        <v>654</v>
      </c>
      <c r="C1841" s="35" t="s">
        <v>655</v>
      </c>
      <c r="D1841" s="39">
        <v>42.069999694824219</v>
      </c>
      <c r="E1841" s="39">
        <v>32.933746337890625</v>
      </c>
      <c r="F1841" s="41">
        <v>506745</v>
      </c>
      <c r="G1841" s="35" t="s">
        <v>676</v>
      </c>
      <c r="H1841" s="35" t="s">
        <v>115</v>
      </c>
    </row>
    <row r="1842" spans="1:8">
      <c r="A1842" s="37">
        <v>40932.15625</v>
      </c>
      <c r="B1842" s="35" t="s">
        <v>654</v>
      </c>
      <c r="C1842" s="35" t="s">
        <v>655</v>
      </c>
      <c r="D1842" s="39">
        <v>41.509998321533203</v>
      </c>
      <c r="E1842" s="39">
        <v>32.495376586914063</v>
      </c>
      <c r="F1842" s="41">
        <v>300910</v>
      </c>
      <c r="G1842" s="35" t="s">
        <v>676</v>
      </c>
      <c r="H1842" s="35" t="s">
        <v>115</v>
      </c>
    </row>
    <row r="1843" spans="1:8">
      <c r="A1843" s="37">
        <v>40933.15625</v>
      </c>
      <c r="B1843" s="35" t="s">
        <v>654</v>
      </c>
      <c r="C1843" s="35" t="s">
        <v>655</v>
      </c>
      <c r="D1843" s="39">
        <v>41.490001678466797</v>
      </c>
      <c r="E1843" s="39">
        <v>32.479709625244141</v>
      </c>
      <c r="F1843" s="41">
        <v>380700</v>
      </c>
      <c r="G1843" s="35" t="s">
        <v>676</v>
      </c>
      <c r="H1843" s="35" t="s">
        <v>115</v>
      </c>
    </row>
    <row r="1844" spans="1:8">
      <c r="A1844" s="37">
        <v>40935.15625</v>
      </c>
      <c r="B1844" s="35" t="s">
        <v>654</v>
      </c>
      <c r="C1844" s="35" t="s">
        <v>655</v>
      </c>
      <c r="D1844" s="39">
        <v>42.009998321533203</v>
      </c>
      <c r="E1844" s="39">
        <v>32.886775970458984</v>
      </c>
      <c r="F1844" s="41">
        <v>400245</v>
      </c>
      <c r="G1844" s="35" t="s">
        <v>676</v>
      </c>
      <c r="H1844" s="35" t="s">
        <v>115</v>
      </c>
    </row>
    <row r="1845" spans="1:8">
      <c r="A1845" s="37">
        <v>40938.15625</v>
      </c>
      <c r="B1845" s="35" t="s">
        <v>654</v>
      </c>
      <c r="C1845" s="35" t="s">
        <v>655</v>
      </c>
      <c r="D1845" s="39">
        <v>40.990001678466797</v>
      </c>
      <c r="E1845" s="39">
        <v>32.088298797607422</v>
      </c>
      <c r="F1845" s="41">
        <v>192970</v>
      </c>
      <c r="G1845" s="35" t="s">
        <v>676</v>
      </c>
      <c r="H1845" s="35" t="s">
        <v>115</v>
      </c>
    </row>
    <row r="1846" spans="1:8">
      <c r="A1846" s="37">
        <v>40939.15625</v>
      </c>
      <c r="B1846" s="35" t="s">
        <v>654</v>
      </c>
      <c r="C1846" s="35" t="s">
        <v>655</v>
      </c>
      <c r="D1846" s="39">
        <v>41.810001373291016</v>
      </c>
      <c r="E1846" s="39">
        <v>32.730213165283203</v>
      </c>
      <c r="F1846" s="41">
        <v>635025</v>
      </c>
      <c r="G1846" s="35" t="s">
        <v>676</v>
      </c>
      <c r="H1846" s="35" t="s">
        <v>115</v>
      </c>
    </row>
    <row r="1847" spans="1:8">
      <c r="A1847" s="37">
        <v>40940.15625</v>
      </c>
      <c r="B1847" s="35" t="s">
        <v>654</v>
      </c>
      <c r="C1847" s="35" t="s">
        <v>655</v>
      </c>
      <c r="D1847" s="39">
        <v>42.520000457763672</v>
      </c>
      <c r="E1847" s="39">
        <v>33.286022186279297</v>
      </c>
      <c r="F1847" s="41">
        <v>717535</v>
      </c>
      <c r="G1847" s="35" t="s">
        <v>676</v>
      </c>
      <c r="H1847" s="35" t="s">
        <v>115</v>
      </c>
    </row>
    <row r="1848" spans="1:8">
      <c r="A1848" s="37">
        <v>40941.15625</v>
      </c>
      <c r="B1848" s="35" t="s">
        <v>654</v>
      </c>
      <c r="C1848" s="35" t="s">
        <v>655</v>
      </c>
      <c r="D1848" s="39">
        <v>42.650001525878906</v>
      </c>
      <c r="E1848" s="39">
        <v>33.387809753417969</v>
      </c>
      <c r="F1848" s="41">
        <v>583775</v>
      </c>
      <c r="G1848" s="35" t="s">
        <v>676</v>
      </c>
      <c r="H1848" s="35" t="s">
        <v>115</v>
      </c>
    </row>
    <row r="1849" spans="1:8">
      <c r="A1849" s="37">
        <v>40942.15625</v>
      </c>
      <c r="B1849" s="35" t="s">
        <v>654</v>
      </c>
      <c r="C1849" s="35" t="s">
        <v>655</v>
      </c>
      <c r="D1849" s="39">
        <v>42.189998626708984</v>
      </c>
      <c r="E1849" s="39">
        <v>33.027698516845703</v>
      </c>
      <c r="F1849" s="41">
        <v>392835</v>
      </c>
      <c r="G1849" s="35" t="s">
        <v>676</v>
      </c>
      <c r="H1849" s="35" t="s">
        <v>115</v>
      </c>
    </row>
    <row r="1850" spans="1:8">
      <c r="A1850" s="37">
        <v>40945.15625</v>
      </c>
      <c r="B1850" s="35" t="s">
        <v>654</v>
      </c>
      <c r="C1850" s="35" t="s">
        <v>655</v>
      </c>
      <c r="D1850" s="39">
        <v>43.009998321533203</v>
      </c>
      <c r="E1850" s="39">
        <v>33.669612884521484</v>
      </c>
      <c r="F1850" s="41">
        <v>761760</v>
      </c>
      <c r="G1850" s="35" t="s">
        <v>676</v>
      </c>
      <c r="H1850" s="35" t="s">
        <v>115</v>
      </c>
    </row>
    <row r="1851" spans="1:8">
      <c r="A1851" s="37">
        <v>40946.15625</v>
      </c>
      <c r="B1851" s="35" t="s">
        <v>654</v>
      </c>
      <c r="C1851" s="35" t="s">
        <v>655</v>
      </c>
      <c r="D1851" s="39">
        <v>46.200000762939453</v>
      </c>
      <c r="E1851" s="39">
        <v>36.166851043701172</v>
      </c>
      <c r="F1851" s="41">
        <v>2826020</v>
      </c>
      <c r="G1851" s="35" t="s">
        <v>676</v>
      </c>
      <c r="H1851" s="35" t="s">
        <v>115</v>
      </c>
    </row>
    <row r="1852" spans="1:8">
      <c r="A1852" s="37">
        <v>40947.15625</v>
      </c>
      <c r="B1852" s="35" t="s">
        <v>654</v>
      </c>
      <c r="C1852" s="35" t="s">
        <v>655</v>
      </c>
      <c r="D1852" s="39">
        <v>48.020000457763672</v>
      </c>
      <c r="E1852" s="39">
        <v>37.591598510742188</v>
      </c>
      <c r="F1852" s="41">
        <v>2300055</v>
      </c>
      <c r="G1852" s="35" t="s">
        <v>676</v>
      </c>
      <c r="H1852" s="35" t="s">
        <v>115</v>
      </c>
    </row>
    <row r="1853" spans="1:8">
      <c r="A1853" s="37">
        <v>40948.15625</v>
      </c>
      <c r="B1853" s="35" t="s">
        <v>654</v>
      </c>
      <c r="C1853" s="35" t="s">
        <v>655</v>
      </c>
      <c r="D1853" s="39">
        <v>46.650001525878906</v>
      </c>
      <c r="E1853" s="39">
        <v>36.519115447998047</v>
      </c>
      <c r="F1853" s="41">
        <v>372075</v>
      </c>
      <c r="G1853" s="35" t="s">
        <v>676</v>
      </c>
      <c r="H1853" s="35" t="s">
        <v>115</v>
      </c>
    </row>
    <row r="1854" spans="1:8">
      <c r="A1854" s="37">
        <v>40949.15625</v>
      </c>
      <c r="B1854" s="35" t="s">
        <v>654</v>
      </c>
      <c r="C1854" s="35" t="s">
        <v>655</v>
      </c>
      <c r="D1854" s="39">
        <v>46.680000305175781</v>
      </c>
      <c r="E1854" s="39">
        <v>36.542613983154297</v>
      </c>
      <c r="F1854" s="41">
        <v>501845</v>
      </c>
      <c r="G1854" s="35" t="s">
        <v>676</v>
      </c>
      <c r="H1854" s="35" t="s">
        <v>115</v>
      </c>
    </row>
    <row r="1855" spans="1:8">
      <c r="A1855" s="37">
        <v>40952.15625</v>
      </c>
      <c r="B1855" s="35" t="s">
        <v>654</v>
      </c>
      <c r="C1855" s="35" t="s">
        <v>655</v>
      </c>
      <c r="D1855" s="39">
        <v>47.340000152587891</v>
      </c>
      <c r="E1855" s="39">
        <v>37.059284210205078</v>
      </c>
      <c r="F1855" s="41">
        <v>466405</v>
      </c>
      <c r="G1855" s="35" t="s">
        <v>676</v>
      </c>
      <c r="H1855" s="35" t="s">
        <v>115</v>
      </c>
    </row>
    <row r="1856" spans="1:8">
      <c r="A1856" s="37">
        <v>40953.15625</v>
      </c>
      <c r="B1856" s="35" t="s">
        <v>654</v>
      </c>
      <c r="C1856" s="35" t="s">
        <v>655</v>
      </c>
      <c r="D1856" s="39">
        <v>48.549999237060547</v>
      </c>
      <c r="E1856" s="39">
        <v>38.006492614746094</v>
      </c>
      <c r="F1856" s="41">
        <v>558265</v>
      </c>
      <c r="G1856" s="35" t="s">
        <v>676</v>
      </c>
      <c r="H1856" s="35" t="s">
        <v>115</v>
      </c>
    </row>
    <row r="1857" spans="1:8">
      <c r="A1857" s="37">
        <v>40954.15625</v>
      </c>
      <c r="B1857" s="35" t="s">
        <v>654</v>
      </c>
      <c r="C1857" s="35" t="s">
        <v>655</v>
      </c>
      <c r="D1857" s="39">
        <v>50.090000152587891</v>
      </c>
      <c r="E1857" s="39">
        <v>39.212070465087891</v>
      </c>
      <c r="F1857" s="41">
        <v>1365700</v>
      </c>
      <c r="G1857" s="35" t="s">
        <v>676</v>
      </c>
      <c r="H1857" s="35" t="s">
        <v>115</v>
      </c>
    </row>
    <row r="1858" spans="1:8">
      <c r="A1858" s="37">
        <v>40955.15625</v>
      </c>
      <c r="B1858" s="35" t="s">
        <v>654</v>
      </c>
      <c r="C1858" s="35" t="s">
        <v>655</v>
      </c>
      <c r="D1858" s="39">
        <v>51.189998626708984</v>
      </c>
      <c r="E1858" s="39">
        <v>40.07318115234375</v>
      </c>
      <c r="F1858" s="41">
        <v>608275</v>
      </c>
      <c r="G1858" s="35" t="s">
        <v>676</v>
      </c>
      <c r="H1858" s="35" t="s">
        <v>115</v>
      </c>
    </row>
    <row r="1859" spans="1:8">
      <c r="A1859" s="37">
        <v>40956.15625</v>
      </c>
      <c r="B1859" s="35" t="s">
        <v>654</v>
      </c>
      <c r="C1859" s="35" t="s">
        <v>655</v>
      </c>
      <c r="D1859" s="39">
        <v>50.020000457763672</v>
      </c>
      <c r="E1859" s="39">
        <v>39.157260894775391</v>
      </c>
      <c r="F1859" s="41">
        <v>527625</v>
      </c>
      <c r="G1859" s="35" t="s">
        <v>676</v>
      </c>
      <c r="H1859" s="35" t="s">
        <v>115</v>
      </c>
    </row>
    <row r="1860" spans="1:8">
      <c r="A1860" s="37">
        <v>40960.15625</v>
      </c>
      <c r="B1860" s="35" t="s">
        <v>654</v>
      </c>
      <c r="C1860" s="35" t="s">
        <v>655</v>
      </c>
      <c r="D1860" s="39">
        <v>51.900001525878906</v>
      </c>
      <c r="E1860" s="39">
        <v>40.628982543945313</v>
      </c>
      <c r="F1860" s="41">
        <v>6133460</v>
      </c>
      <c r="G1860" s="35" t="s">
        <v>676</v>
      </c>
      <c r="H1860" s="35" t="s">
        <v>115</v>
      </c>
    </row>
    <row r="1861" spans="1:8">
      <c r="A1861" s="37">
        <v>40961.15625</v>
      </c>
      <c r="B1861" s="35" t="s">
        <v>654</v>
      </c>
      <c r="C1861" s="35" t="s">
        <v>655</v>
      </c>
      <c r="D1861" s="39">
        <v>50.200000762939453</v>
      </c>
      <c r="E1861" s="39">
        <v>39.298175811767578</v>
      </c>
      <c r="F1861" s="41">
        <v>1094715</v>
      </c>
      <c r="G1861" s="35" t="s">
        <v>676</v>
      </c>
      <c r="H1861" s="35" t="s">
        <v>115</v>
      </c>
    </row>
    <row r="1862" spans="1:8">
      <c r="A1862" s="37">
        <v>40962.15625</v>
      </c>
      <c r="B1862" s="35" t="s">
        <v>654</v>
      </c>
      <c r="C1862" s="35" t="s">
        <v>655</v>
      </c>
      <c r="D1862" s="39">
        <v>49.540000915527344</v>
      </c>
      <c r="E1862" s="39">
        <v>38.781513214111328</v>
      </c>
      <c r="F1862" s="41">
        <v>406250</v>
      </c>
      <c r="G1862" s="35" t="s">
        <v>676</v>
      </c>
      <c r="H1862" s="35" t="s">
        <v>115</v>
      </c>
    </row>
    <row r="1863" spans="1:8">
      <c r="A1863" s="37">
        <v>40963.15625</v>
      </c>
      <c r="B1863" s="35" t="s">
        <v>654</v>
      </c>
      <c r="C1863" s="35" t="s">
        <v>655</v>
      </c>
      <c r="D1863" s="39">
        <v>49.200000762939453</v>
      </c>
      <c r="E1863" s="39">
        <v>38.515346527099609</v>
      </c>
      <c r="F1863" s="41">
        <v>835955</v>
      </c>
      <c r="G1863" s="35" t="s">
        <v>676</v>
      </c>
      <c r="H1863" s="35" t="s">
        <v>115</v>
      </c>
    </row>
    <row r="1864" spans="1:8">
      <c r="A1864" s="37">
        <v>40966.15625</v>
      </c>
      <c r="B1864" s="35" t="s">
        <v>654</v>
      </c>
      <c r="C1864" s="35" t="s">
        <v>655</v>
      </c>
      <c r="D1864" s="39">
        <v>47.229999542236328</v>
      </c>
      <c r="E1864" s="39">
        <v>36.973163604736328</v>
      </c>
      <c r="F1864" s="41">
        <v>241730</v>
      </c>
      <c r="G1864" s="35" t="s">
        <v>676</v>
      </c>
      <c r="H1864" s="35" t="s">
        <v>115</v>
      </c>
    </row>
    <row r="1865" spans="1:8">
      <c r="A1865" s="37">
        <v>40967.15625</v>
      </c>
      <c r="B1865" s="35" t="s">
        <v>654</v>
      </c>
      <c r="C1865" s="35" t="s">
        <v>655</v>
      </c>
      <c r="D1865" s="39">
        <v>48.25</v>
      </c>
      <c r="E1865" s="39">
        <v>37.771652221679688</v>
      </c>
      <c r="F1865" s="41">
        <v>281470</v>
      </c>
      <c r="G1865" s="35" t="s">
        <v>676</v>
      </c>
      <c r="H1865" s="35" t="s">
        <v>115</v>
      </c>
    </row>
    <row r="1866" spans="1:8">
      <c r="A1866" s="37">
        <v>40968.15625</v>
      </c>
      <c r="B1866" s="35" t="s">
        <v>654</v>
      </c>
      <c r="C1866" s="35" t="s">
        <v>655</v>
      </c>
      <c r="D1866" s="39">
        <v>49.310001373291016</v>
      </c>
      <c r="E1866" s="39">
        <v>38.601455688476563</v>
      </c>
      <c r="F1866" s="41">
        <v>565650</v>
      </c>
      <c r="G1866" s="35" t="s">
        <v>676</v>
      </c>
      <c r="H1866" s="35" t="s">
        <v>115</v>
      </c>
    </row>
    <row r="1867" spans="1:8">
      <c r="A1867" s="37">
        <v>40969.15625</v>
      </c>
      <c r="B1867" s="35" t="s">
        <v>654</v>
      </c>
      <c r="C1867" s="35" t="s">
        <v>655</v>
      </c>
      <c r="D1867" s="39">
        <v>48.400001525878906</v>
      </c>
      <c r="E1867" s="39">
        <v>37.889072418212891</v>
      </c>
      <c r="F1867" s="41">
        <v>109400</v>
      </c>
      <c r="G1867" s="35" t="s">
        <v>676</v>
      </c>
      <c r="H1867" s="35" t="s">
        <v>115</v>
      </c>
    </row>
    <row r="1868" spans="1:8">
      <c r="A1868" s="37">
        <v>40970.15625</v>
      </c>
      <c r="B1868" s="35" t="s">
        <v>654</v>
      </c>
      <c r="C1868" s="35" t="s">
        <v>655</v>
      </c>
      <c r="D1868" s="39">
        <v>47.790000915527344</v>
      </c>
      <c r="E1868" s="39">
        <v>37.411552429199219</v>
      </c>
      <c r="F1868" s="41">
        <v>99615</v>
      </c>
      <c r="G1868" s="35" t="s">
        <v>676</v>
      </c>
      <c r="H1868" s="35" t="s">
        <v>115</v>
      </c>
    </row>
    <row r="1869" spans="1:8">
      <c r="A1869" s="37">
        <v>40973.15625</v>
      </c>
      <c r="B1869" s="35" t="s">
        <v>654</v>
      </c>
      <c r="C1869" s="35" t="s">
        <v>655</v>
      </c>
      <c r="D1869" s="39">
        <v>47.270000457763672</v>
      </c>
      <c r="E1869" s="39">
        <v>37.004482269287109</v>
      </c>
      <c r="F1869" s="41">
        <v>181515</v>
      </c>
      <c r="G1869" s="35" t="s">
        <v>676</v>
      </c>
      <c r="H1869" s="35" t="s">
        <v>115</v>
      </c>
    </row>
    <row r="1870" spans="1:8">
      <c r="A1870" s="37">
        <v>40974.15625</v>
      </c>
      <c r="B1870" s="35" t="s">
        <v>654</v>
      </c>
      <c r="C1870" s="35" t="s">
        <v>655</v>
      </c>
      <c r="D1870" s="39">
        <v>46.090000152587891</v>
      </c>
      <c r="E1870" s="39">
        <v>36.080741882324219</v>
      </c>
      <c r="F1870" s="41">
        <v>135520</v>
      </c>
      <c r="G1870" s="35" t="s">
        <v>676</v>
      </c>
      <c r="H1870" s="35" t="s">
        <v>115</v>
      </c>
    </row>
    <row r="1871" spans="1:8">
      <c r="A1871" s="37">
        <v>40975.15625</v>
      </c>
      <c r="B1871" s="35" t="s">
        <v>654</v>
      </c>
      <c r="C1871" s="35" t="s">
        <v>655</v>
      </c>
      <c r="D1871" s="39">
        <v>46.869998931884766</v>
      </c>
      <c r="E1871" s="39">
        <v>36.691352844238281</v>
      </c>
      <c r="F1871" s="41">
        <v>208750</v>
      </c>
      <c r="G1871" s="35" t="s">
        <v>676</v>
      </c>
      <c r="H1871" s="35" t="s">
        <v>115</v>
      </c>
    </row>
    <row r="1872" spans="1:8">
      <c r="A1872" s="37">
        <v>40977.15625</v>
      </c>
      <c r="B1872" s="35" t="s">
        <v>654</v>
      </c>
      <c r="C1872" s="35" t="s">
        <v>655</v>
      </c>
      <c r="D1872" s="39">
        <v>47.450000762939453</v>
      </c>
      <c r="E1872" s="39">
        <v>37.145389556884766</v>
      </c>
      <c r="F1872" s="41">
        <v>86940</v>
      </c>
      <c r="G1872" s="35" t="s">
        <v>676</v>
      </c>
      <c r="H1872" s="35" t="s">
        <v>115</v>
      </c>
    </row>
    <row r="1873" spans="1:8">
      <c r="A1873" s="37">
        <v>40980.15625</v>
      </c>
      <c r="B1873" s="35" t="s">
        <v>654</v>
      </c>
      <c r="C1873" s="35" t="s">
        <v>655</v>
      </c>
      <c r="D1873" s="39">
        <v>48.099998474121094</v>
      </c>
      <c r="E1873" s="39">
        <v>37.654232025146484</v>
      </c>
      <c r="F1873" s="41">
        <v>170550</v>
      </c>
      <c r="G1873" s="35" t="s">
        <v>676</v>
      </c>
      <c r="H1873" s="35" t="s">
        <v>115</v>
      </c>
    </row>
    <row r="1874" spans="1:8">
      <c r="A1874" s="37">
        <v>40981.15625</v>
      </c>
      <c r="B1874" s="35" t="s">
        <v>654</v>
      </c>
      <c r="C1874" s="35" t="s">
        <v>655</v>
      </c>
      <c r="D1874" s="39">
        <v>50.430000305175781</v>
      </c>
      <c r="E1874" s="39">
        <v>39.478229522705078</v>
      </c>
      <c r="F1874" s="41">
        <v>760185</v>
      </c>
      <c r="G1874" s="35" t="s">
        <v>676</v>
      </c>
      <c r="H1874" s="35" t="s">
        <v>115</v>
      </c>
    </row>
    <row r="1875" spans="1:8">
      <c r="A1875" s="37">
        <v>40982.15625</v>
      </c>
      <c r="B1875" s="35" t="s">
        <v>654</v>
      </c>
      <c r="C1875" s="35" t="s">
        <v>655</v>
      </c>
      <c r="D1875" s="39">
        <v>49.099998474121094</v>
      </c>
      <c r="E1875" s="39">
        <v>38.437057495117188</v>
      </c>
      <c r="F1875" s="41">
        <v>325905</v>
      </c>
      <c r="G1875" s="35" t="s">
        <v>676</v>
      </c>
      <c r="H1875" s="35" t="s">
        <v>115</v>
      </c>
    </row>
    <row r="1876" spans="1:8">
      <c r="A1876" s="37">
        <v>40983.15625</v>
      </c>
      <c r="B1876" s="35" t="s">
        <v>654</v>
      </c>
      <c r="C1876" s="35" t="s">
        <v>655</v>
      </c>
      <c r="D1876" s="39">
        <v>49.479999542236328</v>
      </c>
      <c r="E1876" s="39">
        <v>38.734535217285156</v>
      </c>
      <c r="F1876" s="41">
        <v>396080</v>
      </c>
      <c r="G1876" s="35" t="s">
        <v>676</v>
      </c>
      <c r="H1876" s="35" t="s">
        <v>115</v>
      </c>
    </row>
    <row r="1877" spans="1:8">
      <c r="A1877" s="37">
        <v>40984.15625</v>
      </c>
      <c r="B1877" s="35" t="s">
        <v>654</v>
      </c>
      <c r="C1877" s="35" t="s">
        <v>655</v>
      </c>
      <c r="D1877" s="39">
        <v>48.169998168945313</v>
      </c>
      <c r="E1877" s="39">
        <v>37.709026336669922</v>
      </c>
      <c r="F1877" s="41">
        <v>172670</v>
      </c>
      <c r="G1877" s="35" t="s">
        <v>676</v>
      </c>
      <c r="H1877" s="35" t="s">
        <v>115</v>
      </c>
    </row>
    <row r="1878" spans="1:8">
      <c r="A1878" s="37">
        <v>40987.15625</v>
      </c>
      <c r="B1878" s="35" t="s">
        <v>654</v>
      </c>
      <c r="C1878" s="35" t="s">
        <v>655</v>
      </c>
      <c r="D1878" s="39">
        <v>47.810001373291016</v>
      </c>
      <c r="E1878" s="39">
        <v>37.427207946777344</v>
      </c>
      <c r="F1878" s="41">
        <v>114725</v>
      </c>
      <c r="G1878" s="35" t="s">
        <v>676</v>
      </c>
      <c r="H1878" s="35" t="s">
        <v>115</v>
      </c>
    </row>
    <row r="1879" spans="1:8">
      <c r="A1879" s="37">
        <v>40988.15625</v>
      </c>
      <c r="B1879" s="35" t="s">
        <v>654</v>
      </c>
      <c r="C1879" s="35" t="s">
        <v>655</v>
      </c>
      <c r="D1879" s="39">
        <v>48.709999084472656</v>
      </c>
      <c r="E1879" s="39">
        <v>38.131755828857422</v>
      </c>
      <c r="F1879" s="41">
        <v>144140</v>
      </c>
      <c r="G1879" s="35" t="s">
        <v>676</v>
      </c>
      <c r="H1879" s="35" t="s">
        <v>115</v>
      </c>
    </row>
    <row r="1880" spans="1:8">
      <c r="A1880" s="37">
        <v>40989.15625</v>
      </c>
      <c r="B1880" s="35" t="s">
        <v>654</v>
      </c>
      <c r="C1880" s="35" t="s">
        <v>655</v>
      </c>
      <c r="D1880" s="39">
        <v>49.069999694824219</v>
      </c>
      <c r="E1880" s="39">
        <v>38.413570404052734</v>
      </c>
      <c r="F1880" s="41">
        <v>165050</v>
      </c>
      <c r="G1880" s="35" t="s">
        <v>676</v>
      </c>
      <c r="H1880" s="35" t="s">
        <v>115</v>
      </c>
    </row>
    <row r="1881" spans="1:8">
      <c r="A1881" s="37">
        <v>40990.15625</v>
      </c>
      <c r="B1881" s="35" t="s">
        <v>654</v>
      </c>
      <c r="C1881" s="35" t="s">
        <v>655</v>
      </c>
      <c r="D1881" s="39">
        <v>48.409999847412109</v>
      </c>
      <c r="E1881" s="39">
        <v>37.896907806396484</v>
      </c>
      <c r="F1881" s="41">
        <v>117335</v>
      </c>
      <c r="G1881" s="35" t="s">
        <v>676</v>
      </c>
      <c r="H1881" s="35" t="s">
        <v>115</v>
      </c>
    </row>
    <row r="1882" spans="1:8">
      <c r="A1882" s="37">
        <v>40991.15625</v>
      </c>
      <c r="B1882" s="35" t="s">
        <v>654</v>
      </c>
      <c r="C1882" s="35" t="s">
        <v>655</v>
      </c>
      <c r="D1882" s="39">
        <v>48.689998626708984</v>
      </c>
      <c r="E1882" s="39">
        <v>38.116096496582031</v>
      </c>
      <c r="F1882" s="41">
        <v>157855</v>
      </c>
      <c r="G1882" s="35" t="s">
        <v>676</v>
      </c>
      <c r="H1882" s="35" t="s">
        <v>115</v>
      </c>
    </row>
    <row r="1883" spans="1:8">
      <c r="A1883" s="37">
        <v>40994.15625</v>
      </c>
      <c r="B1883" s="35" t="s">
        <v>654</v>
      </c>
      <c r="C1883" s="35" t="s">
        <v>655</v>
      </c>
      <c r="D1883" s="39">
        <v>47.790000915527344</v>
      </c>
      <c r="E1883" s="39">
        <v>37.411552429199219</v>
      </c>
      <c r="F1883" s="41">
        <v>66920</v>
      </c>
      <c r="G1883" s="35" t="s">
        <v>676</v>
      </c>
      <c r="H1883" s="35" t="s">
        <v>115</v>
      </c>
    </row>
    <row r="1884" spans="1:8">
      <c r="A1884" s="37">
        <v>40995.15625</v>
      </c>
      <c r="B1884" s="35" t="s">
        <v>654</v>
      </c>
      <c r="C1884" s="35" t="s">
        <v>655</v>
      </c>
      <c r="D1884" s="39">
        <v>48.009998321533203</v>
      </c>
      <c r="E1884" s="39">
        <v>37.583774566650391</v>
      </c>
      <c r="F1884" s="41">
        <v>104385</v>
      </c>
      <c r="G1884" s="35" t="s">
        <v>676</v>
      </c>
      <c r="H1884" s="35" t="s">
        <v>115</v>
      </c>
    </row>
    <row r="1885" spans="1:8">
      <c r="A1885" s="37">
        <v>40996.15625</v>
      </c>
      <c r="B1885" s="35" t="s">
        <v>654</v>
      </c>
      <c r="C1885" s="35" t="s">
        <v>655</v>
      </c>
      <c r="D1885" s="39">
        <v>50.240001678466797</v>
      </c>
      <c r="E1885" s="39">
        <v>39.329494476318359</v>
      </c>
      <c r="F1885" s="41">
        <v>373210</v>
      </c>
      <c r="G1885" s="35" t="s">
        <v>676</v>
      </c>
      <c r="H1885" s="35" t="s">
        <v>115</v>
      </c>
    </row>
    <row r="1886" spans="1:8">
      <c r="A1886" s="37">
        <v>40997.15625</v>
      </c>
      <c r="B1886" s="35" t="s">
        <v>654</v>
      </c>
      <c r="C1886" s="35" t="s">
        <v>655</v>
      </c>
      <c r="D1886" s="39">
        <v>51.900001525878906</v>
      </c>
      <c r="E1886" s="39">
        <v>40.628982543945313</v>
      </c>
      <c r="F1886" s="41">
        <v>645475</v>
      </c>
      <c r="G1886" s="35" t="s">
        <v>676</v>
      </c>
      <c r="H1886" s="35" t="s">
        <v>115</v>
      </c>
    </row>
    <row r="1887" spans="1:8">
      <c r="A1887" s="37">
        <v>40998.15625</v>
      </c>
      <c r="B1887" s="35" t="s">
        <v>654</v>
      </c>
      <c r="C1887" s="35" t="s">
        <v>655</v>
      </c>
      <c r="D1887" s="39">
        <v>54.520000457763672</v>
      </c>
      <c r="E1887" s="39">
        <v>42.680011749267578</v>
      </c>
      <c r="F1887" s="41">
        <v>3362810</v>
      </c>
      <c r="G1887" s="35" t="s">
        <v>676</v>
      </c>
      <c r="H1887" s="35" t="s">
        <v>115</v>
      </c>
    </row>
    <row r="1888" spans="1:8">
      <c r="A1888" s="37">
        <v>41001.15625</v>
      </c>
      <c r="B1888" s="35" t="s">
        <v>654</v>
      </c>
      <c r="C1888" s="35" t="s">
        <v>655</v>
      </c>
      <c r="D1888" s="39">
        <v>53.169998168945313</v>
      </c>
      <c r="E1888" s="39">
        <v>41.623188018798828</v>
      </c>
      <c r="F1888" s="41">
        <v>749930</v>
      </c>
      <c r="G1888" s="35" t="s">
        <v>677</v>
      </c>
      <c r="H1888" s="35" t="s">
        <v>115</v>
      </c>
    </row>
    <row r="1889" spans="1:8">
      <c r="A1889" s="37">
        <v>41002.15625</v>
      </c>
      <c r="B1889" s="35" t="s">
        <v>654</v>
      </c>
      <c r="C1889" s="35" t="s">
        <v>655</v>
      </c>
      <c r="D1889" s="39">
        <v>53.209999084472656</v>
      </c>
      <c r="E1889" s="39">
        <v>41.654499053955078</v>
      </c>
      <c r="F1889" s="41">
        <v>609440</v>
      </c>
      <c r="G1889" s="35" t="s">
        <v>677</v>
      </c>
      <c r="H1889" s="35" t="s">
        <v>115</v>
      </c>
    </row>
    <row r="1890" spans="1:8">
      <c r="A1890" s="37">
        <v>41003.15625</v>
      </c>
      <c r="B1890" s="35" t="s">
        <v>654</v>
      </c>
      <c r="C1890" s="35" t="s">
        <v>655</v>
      </c>
      <c r="D1890" s="39">
        <v>53.759998321533203</v>
      </c>
      <c r="E1890" s="39">
        <v>42.085067749023438</v>
      </c>
      <c r="F1890" s="41">
        <v>307100</v>
      </c>
      <c r="G1890" s="35" t="s">
        <v>677</v>
      </c>
      <c r="H1890" s="35" t="s">
        <v>115</v>
      </c>
    </row>
    <row r="1891" spans="1:8">
      <c r="A1891" s="37">
        <v>41008.15625</v>
      </c>
      <c r="B1891" s="35" t="s">
        <v>654</v>
      </c>
      <c r="C1891" s="35" t="s">
        <v>655</v>
      </c>
      <c r="D1891" s="39">
        <v>52.900001525878906</v>
      </c>
      <c r="E1891" s="39">
        <v>41.411827087402344</v>
      </c>
      <c r="F1891" s="41">
        <v>158315</v>
      </c>
      <c r="G1891" s="35" t="s">
        <v>677</v>
      </c>
      <c r="H1891" s="35" t="s">
        <v>115</v>
      </c>
    </row>
    <row r="1892" spans="1:8">
      <c r="A1892" s="37">
        <v>41009.15625</v>
      </c>
      <c r="B1892" s="35" t="s">
        <v>654</v>
      </c>
      <c r="C1892" s="35" t="s">
        <v>655</v>
      </c>
      <c r="D1892" s="39">
        <v>52.290000915527344</v>
      </c>
      <c r="E1892" s="39">
        <v>40.934303283691406</v>
      </c>
      <c r="F1892" s="41">
        <v>143340</v>
      </c>
      <c r="G1892" s="35" t="s">
        <v>677</v>
      </c>
      <c r="H1892" s="35" t="s">
        <v>115</v>
      </c>
    </row>
    <row r="1893" spans="1:8">
      <c r="A1893" s="37">
        <v>41010.15625</v>
      </c>
      <c r="B1893" s="35" t="s">
        <v>654</v>
      </c>
      <c r="C1893" s="35" t="s">
        <v>655</v>
      </c>
      <c r="D1893" s="39">
        <v>51.180000305175781</v>
      </c>
      <c r="E1893" s="39">
        <v>40.065349578857422</v>
      </c>
      <c r="F1893" s="41">
        <v>274335</v>
      </c>
      <c r="G1893" s="35" t="s">
        <v>677</v>
      </c>
      <c r="H1893" s="35" t="s">
        <v>115</v>
      </c>
    </row>
    <row r="1894" spans="1:8">
      <c r="A1894" s="37">
        <v>41011.15625</v>
      </c>
      <c r="B1894" s="35" t="s">
        <v>654</v>
      </c>
      <c r="C1894" s="35" t="s">
        <v>655</v>
      </c>
      <c r="D1894" s="39">
        <v>52.919998168945313</v>
      </c>
      <c r="E1894" s="39">
        <v>41.427482604980469</v>
      </c>
      <c r="F1894" s="41">
        <v>249660</v>
      </c>
      <c r="G1894" s="35" t="s">
        <v>677</v>
      </c>
      <c r="H1894" s="35" t="s">
        <v>115</v>
      </c>
    </row>
    <row r="1895" spans="1:8">
      <c r="A1895" s="37">
        <v>41012.15625</v>
      </c>
      <c r="B1895" s="35" t="s">
        <v>654</v>
      </c>
      <c r="C1895" s="35" t="s">
        <v>655</v>
      </c>
      <c r="D1895" s="39">
        <v>51.819999694824219</v>
      </c>
      <c r="E1895" s="39">
        <v>40.566375732421875</v>
      </c>
      <c r="F1895" s="41">
        <v>395505</v>
      </c>
      <c r="G1895" s="35" t="s">
        <v>677</v>
      </c>
      <c r="H1895" s="35" t="s">
        <v>115</v>
      </c>
    </row>
    <row r="1896" spans="1:8">
      <c r="A1896" s="37">
        <v>41015.15625</v>
      </c>
      <c r="B1896" s="35" t="s">
        <v>654</v>
      </c>
      <c r="C1896" s="35" t="s">
        <v>655</v>
      </c>
      <c r="D1896" s="39">
        <v>51.119998931884766</v>
      </c>
      <c r="E1896" s="39">
        <v>40.018379211425781</v>
      </c>
      <c r="F1896" s="41">
        <v>120285</v>
      </c>
      <c r="G1896" s="35" t="s">
        <v>677</v>
      </c>
      <c r="H1896" s="35" t="s">
        <v>115</v>
      </c>
    </row>
    <row r="1897" spans="1:8">
      <c r="A1897" s="37">
        <v>41016.15625</v>
      </c>
      <c r="B1897" s="35" t="s">
        <v>654</v>
      </c>
      <c r="C1897" s="35" t="s">
        <v>655</v>
      </c>
      <c r="D1897" s="39">
        <v>51.200000762939453</v>
      </c>
      <c r="E1897" s="39">
        <v>40.081016540527344</v>
      </c>
      <c r="F1897" s="41">
        <v>358140</v>
      </c>
      <c r="G1897" s="35" t="s">
        <v>677</v>
      </c>
      <c r="H1897" s="35" t="s">
        <v>115</v>
      </c>
    </row>
    <row r="1898" spans="1:8">
      <c r="A1898" s="37">
        <v>41017.15625</v>
      </c>
      <c r="B1898" s="35" t="s">
        <v>654</v>
      </c>
      <c r="C1898" s="35" t="s">
        <v>655</v>
      </c>
      <c r="D1898" s="39">
        <v>51.029998779296875</v>
      </c>
      <c r="E1898" s="39">
        <v>39.947925567626953</v>
      </c>
      <c r="F1898" s="41">
        <v>160190</v>
      </c>
      <c r="G1898" s="35" t="s">
        <v>677</v>
      </c>
      <c r="H1898" s="35" t="s">
        <v>115</v>
      </c>
    </row>
    <row r="1899" spans="1:8">
      <c r="A1899" s="37">
        <v>41018.15625</v>
      </c>
      <c r="B1899" s="35" t="s">
        <v>654</v>
      </c>
      <c r="C1899" s="35" t="s">
        <v>655</v>
      </c>
      <c r="D1899" s="39">
        <v>50.419998168945313</v>
      </c>
      <c r="E1899" s="39">
        <v>39.470405578613281</v>
      </c>
      <c r="F1899" s="41">
        <v>184130</v>
      </c>
      <c r="G1899" s="35" t="s">
        <v>677</v>
      </c>
      <c r="H1899" s="35" t="s">
        <v>115</v>
      </c>
    </row>
    <row r="1900" spans="1:8">
      <c r="A1900" s="37">
        <v>41019.15625</v>
      </c>
      <c r="B1900" s="35" t="s">
        <v>654</v>
      </c>
      <c r="C1900" s="35" t="s">
        <v>655</v>
      </c>
      <c r="D1900" s="39">
        <v>50.400001525878906</v>
      </c>
      <c r="E1900" s="39">
        <v>39.454742431640625</v>
      </c>
      <c r="F1900" s="41">
        <v>435920</v>
      </c>
      <c r="G1900" s="35" t="s">
        <v>677</v>
      </c>
      <c r="H1900" s="35" t="s">
        <v>115</v>
      </c>
    </row>
    <row r="1901" spans="1:8">
      <c r="A1901" s="37">
        <v>41022.15625</v>
      </c>
      <c r="B1901" s="35" t="s">
        <v>654</v>
      </c>
      <c r="C1901" s="35" t="s">
        <v>655</v>
      </c>
      <c r="D1901" s="39">
        <v>50.779998779296875</v>
      </c>
      <c r="E1901" s="39">
        <v>39.752223968505859</v>
      </c>
      <c r="F1901" s="41">
        <v>172110</v>
      </c>
      <c r="G1901" s="35" t="s">
        <v>677</v>
      </c>
      <c r="H1901" s="35" t="s">
        <v>115</v>
      </c>
    </row>
    <row r="1902" spans="1:8">
      <c r="A1902" s="37">
        <v>41023.15625</v>
      </c>
      <c r="B1902" s="35" t="s">
        <v>654</v>
      </c>
      <c r="C1902" s="35" t="s">
        <v>655</v>
      </c>
      <c r="D1902" s="39">
        <v>51.220001220703125</v>
      </c>
      <c r="E1902" s="39">
        <v>40.096675872802734</v>
      </c>
      <c r="F1902" s="41">
        <v>153090</v>
      </c>
      <c r="G1902" s="35" t="s">
        <v>677</v>
      </c>
      <c r="H1902" s="35" t="s">
        <v>115</v>
      </c>
    </row>
    <row r="1903" spans="1:8">
      <c r="A1903" s="37">
        <v>41024.15625</v>
      </c>
      <c r="B1903" s="35" t="s">
        <v>654</v>
      </c>
      <c r="C1903" s="35" t="s">
        <v>655</v>
      </c>
      <c r="D1903" s="39">
        <v>50.279998779296875</v>
      </c>
      <c r="E1903" s="39">
        <v>39.360816955566406</v>
      </c>
      <c r="F1903" s="41">
        <v>203430</v>
      </c>
      <c r="G1903" s="35" t="s">
        <v>677</v>
      </c>
      <c r="H1903" s="35" t="s">
        <v>115</v>
      </c>
    </row>
    <row r="1904" spans="1:8">
      <c r="A1904" s="37">
        <v>41025.15625</v>
      </c>
      <c r="B1904" s="35" t="s">
        <v>654</v>
      </c>
      <c r="C1904" s="35" t="s">
        <v>655</v>
      </c>
      <c r="D1904" s="39">
        <v>49.889999389648438</v>
      </c>
      <c r="E1904" s="39">
        <v>39.055503845214844</v>
      </c>
      <c r="F1904" s="41">
        <v>125485</v>
      </c>
      <c r="G1904" s="35" t="s">
        <v>677</v>
      </c>
      <c r="H1904" s="35" t="s">
        <v>115</v>
      </c>
    </row>
    <row r="1905" spans="1:8">
      <c r="A1905" s="37">
        <v>41026.15625</v>
      </c>
      <c r="B1905" s="35" t="s">
        <v>654</v>
      </c>
      <c r="C1905" s="35" t="s">
        <v>655</v>
      </c>
      <c r="D1905" s="39">
        <v>48.790000915527344</v>
      </c>
      <c r="E1905" s="39">
        <v>38.194381713867188</v>
      </c>
      <c r="F1905" s="41">
        <v>430415</v>
      </c>
      <c r="G1905" s="35" t="s">
        <v>677</v>
      </c>
      <c r="H1905" s="35" t="s">
        <v>115</v>
      </c>
    </row>
    <row r="1906" spans="1:8">
      <c r="A1906" s="37">
        <v>41029.15625</v>
      </c>
      <c r="B1906" s="35" t="s">
        <v>654</v>
      </c>
      <c r="C1906" s="35" t="s">
        <v>655</v>
      </c>
      <c r="D1906" s="39">
        <v>52.169998168945313</v>
      </c>
      <c r="E1906" s="39">
        <v>40.840354919433594</v>
      </c>
      <c r="F1906" s="41">
        <v>862430</v>
      </c>
      <c r="G1906" s="35" t="s">
        <v>677</v>
      </c>
      <c r="H1906" s="35" t="s">
        <v>115</v>
      </c>
    </row>
    <row r="1907" spans="1:8">
      <c r="A1907" s="37">
        <v>41031.15625</v>
      </c>
      <c r="B1907" s="35" t="s">
        <v>654</v>
      </c>
      <c r="C1907" s="35" t="s">
        <v>655</v>
      </c>
      <c r="D1907" s="39">
        <v>51.319999694824219</v>
      </c>
      <c r="E1907" s="39">
        <v>40.174953460693359</v>
      </c>
      <c r="F1907" s="41">
        <v>514975</v>
      </c>
      <c r="G1907" s="35" t="s">
        <v>677</v>
      </c>
      <c r="H1907" s="35" t="s">
        <v>115</v>
      </c>
    </row>
    <row r="1908" spans="1:8">
      <c r="A1908" s="37">
        <v>41032.15625</v>
      </c>
      <c r="B1908" s="35" t="s">
        <v>654</v>
      </c>
      <c r="C1908" s="35" t="s">
        <v>655</v>
      </c>
      <c r="D1908" s="39">
        <v>53.069999694824219</v>
      </c>
      <c r="E1908" s="39">
        <v>41.544910430908203</v>
      </c>
      <c r="F1908" s="41">
        <v>483815</v>
      </c>
      <c r="G1908" s="35" t="s">
        <v>677</v>
      </c>
      <c r="H1908" s="35" t="s">
        <v>115</v>
      </c>
    </row>
    <row r="1909" spans="1:8">
      <c r="A1909" s="37">
        <v>41033.15625</v>
      </c>
      <c r="B1909" s="35" t="s">
        <v>654</v>
      </c>
      <c r="C1909" s="35" t="s">
        <v>655</v>
      </c>
      <c r="D1909" s="39">
        <v>50.110000610351563</v>
      </c>
      <c r="E1909" s="39">
        <v>39.227725982666016</v>
      </c>
      <c r="F1909" s="41">
        <v>5402685</v>
      </c>
      <c r="G1909" s="35" t="s">
        <v>677</v>
      </c>
      <c r="H1909" s="35" t="s">
        <v>115</v>
      </c>
    </row>
    <row r="1910" spans="1:8">
      <c r="A1910" s="37">
        <v>41036.15625</v>
      </c>
      <c r="B1910" s="35" t="s">
        <v>654</v>
      </c>
      <c r="C1910" s="35" t="s">
        <v>655</v>
      </c>
      <c r="D1910" s="39">
        <v>51.819999694824219</v>
      </c>
      <c r="E1910" s="39">
        <v>40.566375732421875</v>
      </c>
      <c r="F1910" s="41">
        <v>1323705</v>
      </c>
      <c r="G1910" s="35" t="s">
        <v>677</v>
      </c>
      <c r="H1910" s="35" t="s">
        <v>115</v>
      </c>
    </row>
    <row r="1911" spans="1:8">
      <c r="A1911" s="37">
        <v>41037.15625</v>
      </c>
      <c r="B1911" s="35" t="s">
        <v>654</v>
      </c>
      <c r="C1911" s="35" t="s">
        <v>655</v>
      </c>
      <c r="D1911" s="39">
        <v>51.119998931884766</v>
      </c>
      <c r="E1911" s="39">
        <v>40.018379211425781</v>
      </c>
      <c r="F1911" s="41">
        <v>721410</v>
      </c>
      <c r="G1911" s="35" t="s">
        <v>677</v>
      </c>
      <c r="H1911" s="35" t="s">
        <v>115</v>
      </c>
    </row>
    <row r="1912" spans="1:8">
      <c r="A1912" s="37">
        <v>41038.15625</v>
      </c>
      <c r="B1912" s="35" t="s">
        <v>654</v>
      </c>
      <c r="C1912" s="35" t="s">
        <v>655</v>
      </c>
      <c r="D1912" s="39">
        <v>51.439998626708984</v>
      </c>
      <c r="E1912" s="39">
        <v>40.268898010253906</v>
      </c>
      <c r="F1912" s="41">
        <v>693290</v>
      </c>
      <c r="G1912" s="35" t="s">
        <v>677</v>
      </c>
      <c r="H1912" s="35" t="s">
        <v>115</v>
      </c>
    </row>
    <row r="1913" spans="1:8">
      <c r="A1913" s="37">
        <v>41039.15625</v>
      </c>
      <c r="B1913" s="35" t="s">
        <v>654</v>
      </c>
      <c r="C1913" s="35" t="s">
        <v>655</v>
      </c>
      <c r="D1913" s="39">
        <v>53.979999542236328</v>
      </c>
      <c r="E1913" s="39">
        <v>42.257278442382813</v>
      </c>
      <c r="F1913" s="41">
        <v>2438920</v>
      </c>
      <c r="G1913" s="35" t="s">
        <v>677</v>
      </c>
      <c r="H1913" s="35" t="s">
        <v>115</v>
      </c>
    </row>
    <row r="1914" spans="1:8">
      <c r="A1914" s="37">
        <v>41040.15625</v>
      </c>
      <c r="B1914" s="35" t="s">
        <v>654</v>
      </c>
      <c r="C1914" s="35" t="s">
        <v>655</v>
      </c>
      <c r="D1914" s="39">
        <v>53.360000610351563</v>
      </c>
      <c r="E1914" s="39">
        <v>41.771923065185547</v>
      </c>
      <c r="F1914" s="41">
        <v>1034905</v>
      </c>
      <c r="G1914" s="35" t="s">
        <v>677</v>
      </c>
      <c r="H1914" s="35" t="s">
        <v>115</v>
      </c>
    </row>
    <row r="1915" spans="1:8">
      <c r="A1915" s="37">
        <v>41043.15625</v>
      </c>
      <c r="B1915" s="35" t="s">
        <v>654</v>
      </c>
      <c r="C1915" s="35" t="s">
        <v>655</v>
      </c>
      <c r="D1915" s="39">
        <v>53.459999084472656</v>
      </c>
      <c r="E1915" s="39">
        <v>41.850200653076172</v>
      </c>
      <c r="F1915" s="41">
        <v>468310</v>
      </c>
      <c r="G1915" s="35" t="s">
        <v>677</v>
      </c>
      <c r="H1915" s="35" t="s">
        <v>115</v>
      </c>
    </row>
    <row r="1916" spans="1:8">
      <c r="A1916" s="37">
        <v>41044.15625</v>
      </c>
      <c r="B1916" s="35" t="s">
        <v>654</v>
      </c>
      <c r="C1916" s="35" t="s">
        <v>655</v>
      </c>
      <c r="D1916" s="39">
        <v>54.990001678466797</v>
      </c>
      <c r="E1916" s="39">
        <v>43.047943115234375</v>
      </c>
      <c r="F1916" s="41">
        <v>570315</v>
      </c>
      <c r="G1916" s="35" t="s">
        <v>677</v>
      </c>
      <c r="H1916" s="35" t="s">
        <v>115</v>
      </c>
    </row>
    <row r="1917" spans="1:8">
      <c r="A1917" s="37">
        <v>41045.15625</v>
      </c>
      <c r="B1917" s="35" t="s">
        <v>654</v>
      </c>
      <c r="C1917" s="35" t="s">
        <v>655</v>
      </c>
      <c r="D1917" s="39">
        <v>54.740001678466797</v>
      </c>
      <c r="E1917" s="39">
        <v>42.852237701416016</v>
      </c>
      <c r="F1917" s="41">
        <v>309800</v>
      </c>
      <c r="G1917" s="35" t="s">
        <v>677</v>
      </c>
      <c r="H1917" s="35" t="s">
        <v>115</v>
      </c>
    </row>
    <row r="1918" spans="1:8">
      <c r="A1918" s="37">
        <v>41046.15625</v>
      </c>
      <c r="B1918" s="35" t="s">
        <v>654</v>
      </c>
      <c r="C1918" s="35" t="s">
        <v>655</v>
      </c>
      <c r="D1918" s="39">
        <v>58.270000457763672</v>
      </c>
      <c r="E1918" s="39">
        <v>45.615634918212891</v>
      </c>
      <c r="F1918" s="41">
        <v>2034280</v>
      </c>
      <c r="G1918" s="35" t="s">
        <v>677</v>
      </c>
      <c r="H1918" s="35" t="s">
        <v>115</v>
      </c>
    </row>
    <row r="1919" spans="1:8">
      <c r="A1919" s="37">
        <v>41047.15625</v>
      </c>
      <c r="B1919" s="35" t="s">
        <v>654</v>
      </c>
      <c r="C1919" s="35" t="s">
        <v>655</v>
      </c>
      <c r="D1919" s="39">
        <v>57.490001678466797</v>
      </c>
      <c r="E1919" s="39">
        <v>45.005023956298828</v>
      </c>
      <c r="F1919" s="41">
        <v>530105</v>
      </c>
      <c r="G1919" s="35" t="s">
        <v>677</v>
      </c>
      <c r="H1919" s="35" t="s">
        <v>115</v>
      </c>
    </row>
    <row r="1920" spans="1:8">
      <c r="A1920" s="37">
        <v>41050.15625</v>
      </c>
      <c r="B1920" s="35" t="s">
        <v>654</v>
      </c>
      <c r="C1920" s="35" t="s">
        <v>655</v>
      </c>
      <c r="D1920" s="39">
        <v>56.599998474121094</v>
      </c>
      <c r="E1920" s="39">
        <v>44.308315277099609</v>
      </c>
      <c r="F1920" s="41">
        <v>769280</v>
      </c>
      <c r="G1920" s="35" t="s">
        <v>677</v>
      </c>
      <c r="H1920" s="35" t="s">
        <v>115</v>
      </c>
    </row>
    <row r="1921" spans="1:8">
      <c r="A1921" s="37">
        <v>41051.15625</v>
      </c>
      <c r="B1921" s="35" t="s">
        <v>654</v>
      </c>
      <c r="C1921" s="35" t="s">
        <v>655</v>
      </c>
      <c r="D1921" s="39">
        <v>58.700000762939453</v>
      </c>
      <c r="E1921" s="39">
        <v>45.952243804931641</v>
      </c>
      <c r="F1921" s="41">
        <v>1049140</v>
      </c>
      <c r="G1921" s="35" t="s">
        <v>677</v>
      </c>
      <c r="H1921" s="35" t="s">
        <v>115</v>
      </c>
    </row>
    <row r="1922" spans="1:8">
      <c r="A1922" s="37">
        <v>41052.15625</v>
      </c>
      <c r="B1922" s="35" t="s">
        <v>654</v>
      </c>
      <c r="C1922" s="35" t="s">
        <v>655</v>
      </c>
      <c r="D1922" s="39">
        <v>57.840000152587891</v>
      </c>
      <c r="E1922" s="39">
        <v>45.279003143310547</v>
      </c>
      <c r="F1922" s="41">
        <v>484725</v>
      </c>
      <c r="G1922" s="35" t="s">
        <v>677</v>
      </c>
      <c r="H1922" s="35" t="s">
        <v>115</v>
      </c>
    </row>
    <row r="1923" spans="1:8">
      <c r="A1923" s="37">
        <v>41053.15625</v>
      </c>
      <c r="B1923" s="35" t="s">
        <v>654</v>
      </c>
      <c r="C1923" s="35" t="s">
        <v>655</v>
      </c>
      <c r="D1923" s="39">
        <v>57.990001678466797</v>
      </c>
      <c r="E1923" s="39">
        <v>45.396434783935547</v>
      </c>
      <c r="F1923" s="41">
        <v>405280</v>
      </c>
      <c r="G1923" s="35" t="s">
        <v>677</v>
      </c>
      <c r="H1923" s="35" t="s">
        <v>115</v>
      </c>
    </row>
    <row r="1924" spans="1:8">
      <c r="A1924" s="37">
        <v>41054.15625</v>
      </c>
      <c r="B1924" s="35" t="s">
        <v>654</v>
      </c>
      <c r="C1924" s="35" t="s">
        <v>655</v>
      </c>
      <c r="D1924" s="39">
        <v>58.020000457763672</v>
      </c>
      <c r="E1924" s="39">
        <v>45.419933319091797</v>
      </c>
      <c r="F1924" s="41">
        <v>412700</v>
      </c>
      <c r="G1924" s="35" t="s">
        <v>677</v>
      </c>
      <c r="H1924" s="35" t="s">
        <v>115</v>
      </c>
    </row>
    <row r="1925" spans="1:8">
      <c r="A1925" s="37">
        <v>41057.15625</v>
      </c>
      <c r="B1925" s="35" t="s">
        <v>654</v>
      </c>
      <c r="C1925" s="35" t="s">
        <v>655</v>
      </c>
      <c r="D1925" s="39">
        <v>57.860000610351563</v>
      </c>
      <c r="E1925" s="39">
        <v>45.294666290283203</v>
      </c>
      <c r="F1925" s="41">
        <v>139500</v>
      </c>
      <c r="G1925" s="35" t="s">
        <v>677</v>
      </c>
      <c r="H1925" s="35" t="s">
        <v>115</v>
      </c>
    </row>
    <row r="1926" spans="1:8">
      <c r="A1926" s="37">
        <v>41058.15625</v>
      </c>
      <c r="B1926" s="35" t="s">
        <v>654</v>
      </c>
      <c r="C1926" s="35" t="s">
        <v>655</v>
      </c>
      <c r="D1926" s="39">
        <v>58.830001831054688</v>
      </c>
      <c r="E1926" s="39">
        <v>46.054023742675781</v>
      </c>
      <c r="F1926" s="41">
        <v>383730</v>
      </c>
      <c r="G1926" s="35" t="s">
        <v>677</v>
      </c>
      <c r="H1926" s="35" t="s">
        <v>115</v>
      </c>
    </row>
    <row r="1927" spans="1:8">
      <c r="A1927" s="37">
        <v>41059.15625</v>
      </c>
      <c r="B1927" s="35" t="s">
        <v>654</v>
      </c>
      <c r="C1927" s="35" t="s">
        <v>655</v>
      </c>
      <c r="D1927" s="39">
        <v>58.680000305175781</v>
      </c>
      <c r="E1927" s="39">
        <v>45.936588287353516</v>
      </c>
      <c r="F1927" s="41">
        <v>534680</v>
      </c>
      <c r="G1927" s="35" t="s">
        <v>677</v>
      </c>
      <c r="H1927" s="35" t="s">
        <v>115</v>
      </c>
    </row>
    <row r="1928" spans="1:8">
      <c r="A1928" s="37">
        <v>41060.15625</v>
      </c>
      <c r="B1928" s="35" t="s">
        <v>654</v>
      </c>
      <c r="C1928" s="35" t="s">
        <v>655</v>
      </c>
      <c r="D1928" s="39">
        <v>62.720001220703125</v>
      </c>
      <c r="E1928" s="39">
        <v>49.099239349365234</v>
      </c>
      <c r="F1928" s="41">
        <v>2330535</v>
      </c>
      <c r="G1928" s="35" t="s">
        <v>677</v>
      </c>
      <c r="H1928" s="35" t="s">
        <v>115</v>
      </c>
    </row>
    <row r="1929" spans="1:8">
      <c r="A1929" s="37">
        <v>41061.15625</v>
      </c>
      <c r="B1929" s="35" t="s">
        <v>654</v>
      </c>
      <c r="C1929" s="35" t="s">
        <v>655</v>
      </c>
      <c r="D1929" s="39">
        <v>58.340000152587891</v>
      </c>
      <c r="E1929" s="39">
        <v>45.670433044433594</v>
      </c>
      <c r="F1929" s="41">
        <v>935485</v>
      </c>
      <c r="G1929" s="35" t="s">
        <v>677</v>
      </c>
      <c r="H1929" s="35" t="s">
        <v>115</v>
      </c>
    </row>
    <row r="1930" spans="1:8">
      <c r="A1930" s="37">
        <v>41064.15625</v>
      </c>
      <c r="B1930" s="35" t="s">
        <v>654</v>
      </c>
      <c r="C1930" s="35" t="s">
        <v>655</v>
      </c>
      <c r="D1930" s="39">
        <v>57.369998931884766</v>
      </c>
      <c r="E1930" s="39">
        <v>44.911090850830078</v>
      </c>
      <c r="F1930" s="41">
        <v>198500</v>
      </c>
      <c r="G1930" s="35" t="s">
        <v>677</v>
      </c>
      <c r="H1930" s="35" t="s">
        <v>115</v>
      </c>
    </row>
    <row r="1931" spans="1:8">
      <c r="A1931" s="37">
        <v>41065.15625</v>
      </c>
      <c r="B1931" s="35" t="s">
        <v>654</v>
      </c>
      <c r="C1931" s="35" t="s">
        <v>655</v>
      </c>
      <c r="D1931" s="39">
        <v>57</v>
      </c>
      <c r="E1931" s="39">
        <v>44.621429443359375</v>
      </c>
      <c r="F1931" s="41">
        <v>200960</v>
      </c>
      <c r="G1931" s="35" t="s">
        <v>677</v>
      </c>
      <c r="H1931" s="35" t="s">
        <v>115</v>
      </c>
    </row>
    <row r="1932" spans="1:8">
      <c r="A1932" s="37">
        <v>41066.15625</v>
      </c>
      <c r="B1932" s="35" t="s">
        <v>654</v>
      </c>
      <c r="C1932" s="35" t="s">
        <v>655</v>
      </c>
      <c r="D1932" s="39">
        <v>57.330001831054688</v>
      </c>
      <c r="E1932" s="39">
        <v>44.879772186279297</v>
      </c>
      <c r="F1932" s="41">
        <v>580830</v>
      </c>
      <c r="G1932" s="35" t="s">
        <v>677</v>
      </c>
      <c r="H1932" s="35" t="s">
        <v>115</v>
      </c>
    </row>
    <row r="1933" spans="1:8">
      <c r="A1933" s="37">
        <v>41067.15625</v>
      </c>
      <c r="B1933" s="35" t="s">
        <v>654</v>
      </c>
      <c r="C1933" s="35" t="s">
        <v>655</v>
      </c>
      <c r="D1933" s="39">
        <v>55.970001220703125</v>
      </c>
      <c r="E1933" s="39">
        <v>43.815120697021484</v>
      </c>
      <c r="F1933" s="41">
        <v>367660</v>
      </c>
      <c r="G1933" s="35" t="s">
        <v>677</v>
      </c>
      <c r="H1933" s="35" t="s">
        <v>115</v>
      </c>
    </row>
    <row r="1934" spans="1:8">
      <c r="A1934" s="37">
        <v>41068.15625</v>
      </c>
      <c r="B1934" s="35" t="s">
        <v>654</v>
      </c>
      <c r="C1934" s="35" t="s">
        <v>655</v>
      </c>
      <c r="D1934" s="39">
        <v>57.200000762939453</v>
      </c>
      <c r="E1934" s="39">
        <v>44.778003692626953</v>
      </c>
      <c r="F1934" s="41">
        <v>770205</v>
      </c>
      <c r="G1934" s="35" t="s">
        <v>677</v>
      </c>
      <c r="H1934" s="35" t="s">
        <v>115</v>
      </c>
    </row>
    <row r="1935" spans="1:8">
      <c r="A1935" s="37">
        <v>41071.15625</v>
      </c>
      <c r="B1935" s="35" t="s">
        <v>654</v>
      </c>
      <c r="C1935" s="35" t="s">
        <v>655</v>
      </c>
      <c r="D1935" s="39">
        <v>57.810001373291016</v>
      </c>
      <c r="E1935" s="39">
        <v>45.255535125732422</v>
      </c>
      <c r="F1935" s="41">
        <v>295695</v>
      </c>
      <c r="G1935" s="35" t="s">
        <v>677</v>
      </c>
      <c r="H1935" s="35" t="s">
        <v>115</v>
      </c>
    </row>
    <row r="1936" spans="1:8">
      <c r="A1936" s="37">
        <v>41072.15625</v>
      </c>
      <c r="B1936" s="35" t="s">
        <v>654</v>
      </c>
      <c r="C1936" s="35" t="s">
        <v>655</v>
      </c>
      <c r="D1936" s="39">
        <v>57.709999084472656</v>
      </c>
      <c r="E1936" s="39">
        <v>45.177249908447266</v>
      </c>
      <c r="F1936" s="41">
        <v>190545</v>
      </c>
      <c r="G1936" s="35" t="s">
        <v>677</v>
      </c>
      <c r="H1936" s="35" t="s">
        <v>115</v>
      </c>
    </row>
    <row r="1937" spans="1:8">
      <c r="A1937" s="37">
        <v>41073.15625</v>
      </c>
      <c r="B1937" s="35" t="s">
        <v>654</v>
      </c>
      <c r="C1937" s="35" t="s">
        <v>655</v>
      </c>
      <c r="D1937" s="39">
        <v>57.919998168945313</v>
      </c>
      <c r="E1937" s="39">
        <v>45.341644287109375</v>
      </c>
      <c r="F1937" s="41">
        <v>214100</v>
      </c>
      <c r="G1937" s="35" t="s">
        <v>677</v>
      </c>
      <c r="H1937" s="35" t="s">
        <v>115</v>
      </c>
    </row>
    <row r="1938" spans="1:8">
      <c r="A1938" s="37">
        <v>41074.15625</v>
      </c>
      <c r="B1938" s="35" t="s">
        <v>654</v>
      </c>
      <c r="C1938" s="35" t="s">
        <v>655</v>
      </c>
      <c r="D1938" s="39">
        <v>57.029998779296875</v>
      </c>
      <c r="E1938" s="39">
        <v>44.644924163818359</v>
      </c>
      <c r="F1938" s="41">
        <v>219460</v>
      </c>
      <c r="G1938" s="35" t="s">
        <v>677</v>
      </c>
      <c r="H1938" s="35" t="s">
        <v>115</v>
      </c>
    </row>
    <row r="1939" spans="1:8">
      <c r="A1939" s="37">
        <v>41075.15625</v>
      </c>
      <c r="B1939" s="35" t="s">
        <v>654</v>
      </c>
      <c r="C1939" s="35" t="s">
        <v>655</v>
      </c>
      <c r="D1939" s="39">
        <v>57.340000152587891</v>
      </c>
      <c r="E1939" s="39">
        <v>44.887603759765625</v>
      </c>
      <c r="F1939" s="41">
        <v>225730</v>
      </c>
      <c r="G1939" s="35" t="s">
        <v>677</v>
      </c>
      <c r="H1939" s="35" t="s">
        <v>115</v>
      </c>
    </row>
    <row r="1940" spans="1:8">
      <c r="A1940" s="37">
        <v>41078.15625</v>
      </c>
      <c r="B1940" s="35" t="s">
        <v>654</v>
      </c>
      <c r="C1940" s="35" t="s">
        <v>655</v>
      </c>
      <c r="D1940" s="39">
        <v>57.729999542236328</v>
      </c>
      <c r="E1940" s="39">
        <v>45.192905426025391</v>
      </c>
      <c r="F1940" s="41">
        <v>292600</v>
      </c>
      <c r="G1940" s="35" t="s">
        <v>677</v>
      </c>
      <c r="H1940" s="35" t="s">
        <v>115</v>
      </c>
    </row>
    <row r="1941" spans="1:8">
      <c r="A1941" s="37">
        <v>41079.15625</v>
      </c>
      <c r="B1941" s="35" t="s">
        <v>654</v>
      </c>
      <c r="C1941" s="35" t="s">
        <v>655</v>
      </c>
      <c r="D1941" s="39">
        <v>58.209999084472656</v>
      </c>
      <c r="E1941" s="39">
        <v>45.56866455078125</v>
      </c>
      <c r="F1941" s="41">
        <v>328275</v>
      </c>
      <c r="G1941" s="35" t="s">
        <v>677</v>
      </c>
      <c r="H1941" s="35" t="s">
        <v>115</v>
      </c>
    </row>
    <row r="1942" spans="1:8">
      <c r="A1942" s="37">
        <v>41080.15625</v>
      </c>
      <c r="B1942" s="35" t="s">
        <v>654</v>
      </c>
      <c r="C1942" s="35" t="s">
        <v>655</v>
      </c>
      <c r="D1942" s="39">
        <v>57.180000305175781</v>
      </c>
      <c r="E1942" s="39">
        <v>46.027488708496094</v>
      </c>
      <c r="F1942" s="41">
        <v>167270</v>
      </c>
      <c r="G1942" s="35" t="s">
        <v>677</v>
      </c>
      <c r="H1942" s="35" t="s">
        <v>115</v>
      </c>
    </row>
    <row r="1943" spans="1:8">
      <c r="A1943" s="37">
        <v>41081.15625</v>
      </c>
      <c r="B1943" s="35" t="s">
        <v>654</v>
      </c>
      <c r="C1943" s="35" t="s">
        <v>655</v>
      </c>
      <c r="D1943" s="39">
        <v>56.860000610351563</v>
      </c>
      <c r="E1943" s="39">
        <v>45.769905090332031</v>
      </c>
      <c r="F1943" s="41">
        <v>293305</v>
      </c>
      <c r="G1943" s="35" t="s">
        <v>677</v>
      </c>
      <c r="H1943" s="35" t="s">
        <v>115</v>
      </c>
    </row>
    <row r="1944" spans="1:8">
      <c r="A1944" s="37">
        <v>41082.15625</v>
      </c>
      <c r="B1944" s="35" t="s">
        <v>654</v>
      </c>
      <c r="C1944" s="35" t="s">
        <v>655</v>
      </c>
      <c r="D1944" s="39">
        <v>56.590000152587891</v>
      </c>
      <c r="E1944" s="39">
        <v>45.552558898925781</v>
      </c>
      <c r="F1944" s="41">
        <v>173895</v>
      </c>
      <c r="G1944" s="35" t="s">
        <v>677</v>
      </c>
      <c r="H1944" s="35" t="s">
        <v>115</v>
      </c>
    </row>
    <row r="1945" spans="1:8">
      <c r="A1945" s="37">
        <v>41085.15625</v>
      </c>
      <c r="B1945" s="35" t="s">
        <v>654</v>
      </c>
      <c r="C1945" s="35" t="s">
        <v>655</v>
      </c>
      <c r="D1945" s="39">
        <v>55.950000762939453</v>
      </c>
      <c r="E1945" s="39">
        <v>45.037391662597656</v>
      </c>
      <c r="F1945" s="41">
        <v>266080</v>
      </c>
      <c r="G1945" s="35" t="s">
        <v>677</v>
      </c>
      <c r="H1945" s="35" t="s">
        <v>115</v>
      </c>
    </row>
    <row r="1946" spans="1:8">
      <c r="A1946" s="37">
        <v>41086.15625</v>
      </c>
      <c r="B1946" s="35" t="s">
        <v>654</v>
      </c>
      <c r="C1946" s="35" t="s">
        <v>655</v>
      </c>
      <c r="D1946" s="39">
        <v>55.659999847412109</v>
      </c>
      <c r="E1946" s="39">
        <v>44.803958892822266</v>
      </c>
      <c r="F1946" s="41">
        <v>166615</v>
      </c>
      <c r="G1946" s="35" t="s">
        <v>677</v>
      </c>
      <c r="H1946" s="35" t="s">
        <v>115</v>
      </c>
    </row>
    <row r="1947" spans="1:8">
      <c r="A1947" s="37">
        <v>41087.15625</v>
      </c>
      <c r="B1947" s="35" t="s">
        <v>654</v>
      </c>
      <c r="C1947" s="35" t="s">
        <v>655</v>
      </c>
      <c r="D1947" s="39">
        <v>55.930000305175781</v>
      </c>
      <c r="E1947" s="39">
        <v>45.021297454833984</v>
      </c>
      <c r="F1947" s="41">
        <v>129440</v>
      </c>
      <c r="G1947" s="35" t="s">
        <v>677</v>
      </c>
      <c r="H1947" s="35" t="s">
        <v>115</v>
      </c>
    </row>
    <row r="1948" spans="1:8">
      <c r="A1948" s="37">
        <v>41088.15625</v>
      </c>
      <c r="B1948" s="35" t="s">
        <v>654</v>
      </c>
      <c r="C1948" s="35" t="s">
        <v>655</v>
      </c>
      <c r="D1948" s="39">
        <v>55.549999237060547</v>
      </c>
      <c r="E1948" s="39">
        <v>44.715404510498047</v>
      </c>
      <c r="F1948" s="41">
        <v>118525</v>
      </c>
      <c r="G1948" s="35" t="s">
        <v>677</v>
      </c>
      <c r="H1948" s="35" t="s">
        <v>115</v>
      </c>
    </row>
    <row r="1949" spans="1:8">
      <c r="A1949" s="37">
        <v>41089.15625</v>
      </c>
      <c r="B1949" s="35" t="s">
        <v>654</v>
      </c>
      <c r="C1949" s="35" t="s">
        <v>655</v>
      </c>
      <c r="D1949" s="39">
        <v>57.159999847412109</v>
      </c>
      <c r="E1949" s="39">
        <v>46.011383056640625</v>
      </c>
      <c r="F1949" s="41">
        <v>466530</v>
      </c>
      <c r="G1949" s="35" t="s">
        <v>677</v>
      </c>
      <c r="H1949" s="35" t="s">
        <v>115</v>
      </c>
    </row>
    <row r="1950" spans="1:8">
      <c r="A1950" s="37">
        <v>41092.15625</v>
      </c>
      <c r="B1950" s="35" t="s">
        <v>654</v>
      </c>
      <c r="C1950" s="35" t="s">
        <v>655</v>
      </c>
      <c r="D1950" s="39">
        <v>56.619998931884766</v>
      </c>
      <c r="E1950" s="39">
        <v>45.576709747314453</v>
      </c>
      <c r="F1950" s="41">
        <v>123515</v>
      </c>
      <c r="G1950" s="35" t="s">
        <v>677</v>
      </c>
      <c r="H1950" s="35" t="s">
        <v>115</v>
      </c>
    </row>
    <row r="1951" spans="1:8">
      <c r="A1951" s="37">
        <v>41093.15625</v>
      </c>
      <c r="B1951" s="35" t="s">
        <v>654</v>
      </c>
      <c r="C1951" s="35" t="s">
        <v>655</v>
      </c>
      <c r="D1951" s="39">
        <v>57.259998321533203</v>
      </c>
      <c r="E1951" s="39">
        <v>46.091888427734375</v>
      </c>
      <c r="F1951" s="41">
        <v>472740</v>
      </c>
      <c r="G1951" s="35" t="s">
        <v>677</v>
      </c>
      <c r="H1951" s="35" t="s">
        <v>115</v>
      </c>
    </row>
    <row r="1952" spans="1:8">
      <c r="A1952" s="37">
        <v>41094.15625</v>
      </c>
      <c r="B1952" s="35" t="s">
        <v>654</v>
      </c>
      <c r="C1952" s="35" t="s">
        <v>655</v>
      </c>
      <c r="D1952" s="39">
        <v>57.209999084472656</v>
      </c>
      <c r="E1952" s="39">
        <v>46.051651000976563</v>
      </c>
      <c r="F1952" s="41">
        <v>167795</v>
      </c>
      <c r="G1952" s="35" t="s">
        <v>677</v>
      </c>
      <c r="H1952" s="35" t="s">
        <v>115</v>
      </c>
    </row>
    <row r="1953" spans="1:8">
      <c r="A1953" s="37">
        <v>41095.15625</v>
      </c>
      <c r="B1953" s="35" t="s">
        <v>654</v>
      </c>
      <c r="C1953" s="35" t="s">
        <v>655</v>
      </c>
      <c r="D1953" s="39">
        <v>56.880001068115234</v>
      </c>
      <c r="E1953" s="39">
        <v>45.785995483398438</v>
      </c>
      <c r="F1953" s="41">
        <v>94285</v>
      </c>
      <c r="G1953" s="35" t="s">
        <v>677</v>
      </c>
      <c r="H1953" s="35" t="s">
        <v>115</v>
      </c>
    </row>
    <row r="1954" spans="1:8">
      <c r="A1954" s="37">
        <v>41096.15625</v>
      </c>
      <c r="B1954" s="35" t="s">
        <v>654</v>
      </c>
      <c r="C1954" s="35" t="s">
        <v>655</v>
      </c>
      <c r="D1954" s="39">
        <v>56.759998321533203</v>
      </c>
      <c r="E1954" s="39">
        <v>45.689399719238281</v>
      </c>
      <c r="F1954" s="41">
        <v>216100</v>
      </c>
      <c r="G1954" s="35" t="s">
        <v>677</v>
      </c>
      <c r="H1954" s="35" t="s">
        <v>115</v>
      </c>
    </row>
    <row r="1955" spans="1:8">
      <c r="A1955" s="37">
        <v>41099.15625</v>
      </c>
      <c r="B1955" s="35" t="s">
        <v>654</v>
      </c>
      <c r="C1955" s="35" t="s">
        <v>655</v>
      </c>
      <c r="D1955" s="39">
        <v>57.979999542236328</v>
      </c>
      <c r="E1955" s="39">
        <v>46.671451568603516</v>
      </c>
      <c r="F1955" s="41">
        <v>489745</v>
      </c>
      <c r="G1955" s="35" t="s">
        <v>677</v>
      </c>
      <c r="H1955" s="35" t="s">
        <v>115</v>
      </c>
    </row>
    <row r="1956" spans="1:8">
      <c r="A1956" s="37">
        <v>41100.15625</v>
      </c>
      <c r="B1956" s="35" t="s">
        <v>654</v>
      </c>
      <c r="C1956" s="35" t="s">
        <v>655</v>
      </c>
      <c r="D1956" s="39">
        <v>58.040000915527344</v>
      </c>
      <c r="E1956" s="39">
        <v>46.719745635986328</v>
      </c>
      <c r="F1956" s="41">
        <v>607935</v>
      </c>
      <c r="G1956" s="35" t="s">
        <v>677</v>
      </c>
      <c r="H1956" s="35" t="s">
        <v>115</v>
      </c>
    </row>
    <row r="1957" spans="1:8">
      <c r="A1957" s="37">
        <v>41101.15625</v>
      </c>
      <c r="B1957" s="35" t="s">
        <v>654</v>
      </c>
      <c r="C1957" s="35" t="s">
        <v>655</v>
      </c>
      <c r="D1957" s="39">
        <v>57.369998931884766</v>
      </c>
      <c r="E1957" s="39">
        <v>46.180419921875</v>
      </c>
      <c r="F1957" s="41">
        <v>387935</v>
      </c>
      <c r="G1957" s="35" t="s">
        <v>677</v>
      </c>
      <c r="H1957" s="35" t="s">
        <v>115</v>
      </c>
    </row>
    <row r="1958" spans="1:8">
      <c r="A1958" s="37">
        <v>41102.15625</v>
      </c>
      <c r="B1958" s="35" t="s">
        <v>654</v>
      </c>
      <c r="C1958" s="35" t="s">
        <v>655</v>
      </c>
      <c r="D1958" s="39">
        <v>56.520000457763672</v>
      </c>
      <c r="E1958" s="39">
        <v>45.496223449707031</v>
      </c>
      <c r="F1958" s="41">
        <v>128465</v>
      </c>
      <c r="G1958" s="35" t="s">
        <v>677</v>
      </c>
      <c r="H1958" s="35" t="s">
        <v>115</v>
      </c>
    </row>
    <row r="1959" spans="1:8">
      <c r="A1959" s="37">
        <v>41103.15625</v>
      </c>
      <c r="B1959" s="35" t="s">
        <v>654</v>
      </c>
      <c r="C1959" s="35" t="s">
        <v>655</v>
      </c>
      <c r="D1959" s="39">
        <v>56.060001373291016</v>
      </c>
      <c r="E1959" s="39">
        <v>45.125946044921875</v>
      </c>
      <c r="F1959" s="41">
        <v>195890</v>
      </c>
      <c r="G1959" s="35" t="s">
        <v>677</v>
      </c>
      <c r="H1959" s="35" t="s">
        <v>115</v>
      </c>
    </row>
    <row r="1960" spans="1:8">
      <c r="A1960" s="37">
        <v>41106.15625</v>
      </c>
      <c r="B1960" s="35" t="s">
        <v>654</v>
      </c>
      <c r="C1960" s="35" t="s">
        <v>655</v>
      </c>
      <c r="D1960" s="39">
        <v>55.770000457763672</v>
      </c>
      <c r="E1960" s="39">
        <v>44.892490386962891</v>
      </c>
      <c r="F1960" s="41">
        <v>369925</v>
      </c>
      <c r="G1960" s="35" t="s">
        <v>677</v>
      </c>
      <c r="H1960" s="35" t="s">
        <v>115</v>
      </c>
    </row>
    <row r="1961" spans="1:8">
      <c r="A1961" s="37">
        <v>41107.15625</v>
      </c>
      <c r="B1961" s="35" t="s">
        <v>654</v>
      </c>
      <c r="C1961" s="35" t="s">
        <v>655</v>
      </c>
      <c r="D1961" s="39">
        <v>57.110000610351563</v>
      </c>
      <c r="E1961" s="39">
        <v>45.971138000488281</v>
      </c>
      <c r="F1961" s="41">
        <v>768295</v>
      </c>
      <c r="G1961" s="35" t="s">
        <v>677</v>
      </c>
      <c r="H1961" s="35" t="s">
        <v>115</v>
      </c>
    </row>
    <row r="1962" spans="1:8">
      <c r="A1962" s="37">
        <v>41108.15625</v>
      </c>
      <c r="B1962" s="35" t="s">
        <v>654</v>
      </c>
      <c r="C1962" s="35" t="s">
        <v>655</v>
      </c>
      <c r="D1962" s="39">
        <v>57.290000915527344</v>
      </c>
      <c r="E1962" s="39">
        <v>46.116035461425781</v>
      </c>
      <c r="F1962" s="41">
        <v>183970</v>
      </c>
      <c r="G1962" s="35" t="s">
        <v>677</v>
      </c>
      <c r="H1962" s="35" t="s">
        <v>115</v>
      </c>
    </row>
    <row r="1963" spans="1:8">
      <c r="A1963" s="37">
        <v>41109.15625</v>
      </c>
      <c r="B1963" s="35" t="s">
        <v>654</v>
      </c>
      <c r="C1963" s="35" t="s">
        <v>655</v>
      </c>
      <c r="D1963" s="39">
        <v>58.150001525878906</v>
      </c>
      <c r="E1963" s="39">
        <v>46.808307647705078</v>
      </c>
      <c r="F1963" s="41">
        <v>4778845</v>
      </c>
      <c r="G1963" s="35" t="s">
        <v>677</v>
      </c>
      <c r="H1963" s="35" t="s">
        <v>115</v>
      </c>
    </row>
    <row r="1964" spans="1:8">
      <c r="A1964" s="37">
        <v>41110.15625</v>
      </c>
      <c r="B1964" s="35" t="s">
        <v>654</v>
      </c>
      <c r="C1964" s="35" t="s">
        <v>655</v>
      </c>
      <c r="D1964" s="39">
        <v>58.25</v>
      </c>
      <c r="E1964" s="39">
        <v>46.888797760009766</v>
      </c>
      <c r="F1964" s="41">
        <v>865050</v>
      </c>
      <c r="G1964" s="35" t="s">
        <v>677</v>
      </c>
      <c r="H1964" s="35" t="s">
        <v>115</v>
      </c>
    </row>
    <row r="1965" spans="1:8">
      <c r="A1965" s="37">
        <v>41113.15625</v>
      </c>
      <c r="B1965" s="35" t="s">
        <v>654</v>
      </c>
      <c r="C1965" s="35" t="s">
        <v>655</v>
      </c>
      <c r="D1965" s="39">
        <v>57.349998474121094</v>
      </c>
      <c r="E1965" s="39">
        <v>46.164337158203125</v>
      </c>
      <c r="F1965" s="41">
        <v>327775</v>
      </c>
      <c r="G1965" s="35" t="s">
        <v>677</v>
      </c>
      <c r="H1965" s="35" t="s">
        <v>115</v>
      </c>
    </row>
    <row r="1966" spans="1:8">
      <c r="A1966" s="37">
        <v>41114.15625</v>
      </c>
      <c r="B1966" s="35" t="s">
        <v>654</v>
      </c>
      <c r="C1966" s="35" t="s">
        <v>655</v>
      </c>
      <c r="D1966" s="39">
        <v>57.220001220703125</v>
      </c>
      <c r="E1966" s="39">
        <v>46.0596923828125</v>
      </c>
      <c r="F1966" s="41">
        <v>227635</v>
      </c>
      <c r="G1966" s="35" t="s">
        <v>677</v>
      </c>
      <c r="H1966" s="35" t="s">
        <v>115</v>
      </c>
    </row>
    <row r="1967" spans="1:8">
      <c r="A1967" s="37">
        <v>41115.15625</v>
      </c>
      <c r="B1967" s="35" t="s">
        <v>654</v>
      </c>
      <c r="C1967" s="35" t="s">
        <v>655</v>
      </c>
      <c r="D1967" s="39">
        <v>57.369998931884766</v>
      </c>
      <c r="E1967" s="39">
        <v>46.180419921875</v>
      </c>
      <c r="F1967" s="41">
        <v>720185</v>
      </c>
      <c r="G1967" s="35" t="s">
        <v>677</v>
      </c>
      <c r="H1967" s="35" t="s">
        <v>115</v>
      </c>
    </row>
    <row r="1968" spans="1:8">
      <c r="A1968" s="37">
        <v>41116.15625</v>
      </c>
      <c r="B1968" s="35" t="s">
        <v>654</v>
      </c>
      <c r="C1968" s="35" t="s">
        <v>655</v>
      </c>
      <c r="D1968" s="39">
        <v>58.869998931884766</v>
      </c>
      <c r="E1968" s="39">
        <v>47.387870788574219</v>
      </c>
      <c r="F1968" s="41">
        <v>1315215</v>
      </c>
      <c r="G1968" s="35" t="s">
        <v>677</v>
      </c>
      <c r="H1968" s="35" t="s">
        <v>115</v>
      </c>
    </row>
    <row r="1969" spans="1:8">
      <c r="A1969" s="37">
        <v>41117.15625</v>
      </c>
      <c r="B1969" s="35" t="s">
        <v>654</v>
      </c>
      <c r="C1969" s="35" t="s">
        <v>655</v>
      </c>
      <c r="D1969" s="39">
        <v>58.080001831054688</v>
      </c>
      <c r="E1969" s="39">
        <v>46.751956939697266</v>
      </c>
      <c r="F1969" s="41">
        <v>375380</v>
      </c>
      <c r="G1969" s="35" t="s">
        <v>677</v>
      </c>
      <c r="H1969" s="35" t="s">
        <v>115</v>
      </c>
    </row>
    <row r="1970" spans="1:8">
      <c r="A1970" s="37">
        <v>41120.15625</v>
      </c>
      <c r="B1970" s="35" t="s">
        <v>654</v>
      </c>
      <c r="C1970" s="35" t="s">
        <v>655</v>
      </c>
      <c r="D1970" s="39">
        <v>58.200000762939453</v>
      </c>
      <c r="E1970" s="39">
        <v>46.848541259765625</v>
      </c>
      <c r="F1970" s="41">
        <v>93195</v>
      </c>
      <c r="G1970" s="35" t="s">
        <v>677</v>
      </c>
      <c r="H1970" s="35" t="s">
        <v>115</v>
      </c>
    </row>
    <row r="1971" spans="1:8">
      <c r="A1971" s="37">
        <v>41121.15625</v>
      </c>
      <c r="B1971" s="35" t="s">
        <v>654</v>
      </c>
      <c r="C1971" s="35" t="s">
        <v>655</v>
      </c>
      <c r="D1971" s="39">
        <v>58.400001525878906</v>
      </c>
      <c r="E1971" s="39">
        <v>47.009536743164063</v>
      </c>
      <c r="F1971" s="41">
        <v>128700</v>
      </c>
      <c r="G1971" s="35" t="s">
        <v>677</v>
      </c>
      <c r="H1971" s="35" t="s">
        <v>115</v>
      </c>
    </row>
    <row r="1972" spans="1:8">
      <c r="A1972" s="37">
        <v>41122.15625</v>
      </c>
      <c r="B1972" s="35" t="s">
        <v>654</v>
      </c>
      <c r="C1972" s="35" t="s">
        <v>655</v>
      </c>
      <c r="D1972" s="39">
        <v>59.610000610351563</v>
      </c>
      <c r="E1972" s="39">
        <v>47.983539581298828</v>
      </c>
      <c r="F1972" s="41">
        <v>598675</v>
      </c>
      <c r="G1972" s="35" t="s">
        <v>677</v>
      </c>
      <c r="H1972" s="35" t="s">
        <v>115</v>
      </c>
    </row>
    <row r="1973" spans="1:8">
      <c r="A1973" s="37">
        <v>41123.15625</v>
      </c>
      <c r="B1973" s="35" t="s">
        <v>654</v>
      </c>
      <c r="C1973" s="35" t="s">
        <v>655</v>
      </c>
      <c r="D1973" s="39">
        <v>57.020000457763672</v>
      </c>
      <c r="E1973" s="39">
        <v>45.898704528808594</v>
      </c>
      <c r="F1973" s="41">
        <v>7265070</v>
      </c>
      <c r="G1973" s="35" t="s">
        <v>677</v>
      </c>
      <c r="H1973" s="35" t="s">
        <v>115</v>
      </c>
    </row>
    <row r="1974" spans="1:8">
      <c r="A1974" s="37">
        <v>41124.15625</v>
      </c>
      <c r="B1974" s="35" t="s">
        <v>654</v>
      </c>
      <c r="C1974" s="35" t="s">
        <v>655</v>
      </c>
      <c r="D1974" s="39">
        <v>55.959999084472656</v>
      </c>
      <c r="E1974" s="39">
        <v>45.045444488525391</v>
      </c>
      <c r="F1974" s="41">
        <v>428350</v>
      </c>
      <c r="G1974" s="35" t="s">
        <v>677</v>
      </c>
      <c r="H1974" s="35" t="s">
        <v>115</v>
      </c>
    </row>
    <row r="1975" spans="1:8">
      <c r="A1975" s="37">
        <v>41127.15625</v>
      </c>
      <c r="B1975" s="35" t="s">
        <v>654</v>
      </c>
      <c r="C1975" s="35" t="s">
        <v>655</v>
      </c>
      <c r="D1975" s="39">
        <v>54.790000915527344</v>
      </c>
      <c r="E1975" s="39">
        <v>44.103633880615234</v>
      </c>
      <c r="F1975" s="41">
        <v>509820</v>
      </c>
      <c r="G1975" s="35" t="s">
        <v>677</v>
      </c>
      <c r="H1975" s="35" t="s">
        <v>115</v>
      </c>
    </row>
    <row r="1976" spans="1:8">
      <c r="A1976" s="37">
        <v>41128.15625</v>
      </c>
      <c r="B1976" s="35" t="s">
        <v>654</v>
      </c>
      <c r="C1976" s="35" t="s">
        <v>655</v>
      </c>
      <c r="D1976" s="39">
        <v>54.110000610351563</v>
      </c>
      <c r="E1976" s="39">
        <v>43.556278228759766</v>
      </c>
      <c r="F1976" s="41">
        <v>601255</v>
      </c>
      <c r="G1976" s="35" t="s">
        <v>677</v>
      </c>
      <c r="H1976" s="35" t="s">
        <v>115</v>
      </c>
    </row>
    <row r="1977" spans="1:8">
      <c r="A1977" s="37">
        <v>41129.15625</v>
      </c>
      <c r="B1977" s="35" t="s">
        <v>654</v>
      </c>
      <c r="C1977" s="35" t="s">
        <v>655</v>
      </c>
      <c r="D1977" s="39">
        <v>54.290000915527344</v>
      </c>
      <c r="E1977" s="39">
        <v>43.701168060302734</v>
      </c>
      <c r="F1977" s="41">
        <v>836435</v>
      </c>
      <c r="G1977" s="35" t="s">
        <v>677</v>
      </c>
      <c r="H1977" s="35" t="s">
        <v>115</v>
      </c>
    </row>
    <row r="1978" spans="1:8">
      <c r="A1978" s="37">
        <v>41130.15625</v>
      </c>
      <c r="B1978" s="35" t="s">
        <v>654</v>
      </c>
      <c r="C1978" s="35" t="s">
        <v>655</v>
      </c>
      <c r="D1978" s="39">
        <v>52.599998474121094</v>
      </c>
      <c r="E1978" s="39">
        <v>42.340778350830078</v>
      </c>
      <c r="F1978" s="41">
        <v>679455</v>
      </c>
      <c r="G1978" s="35" t="s">
        <v>677</v>
      </c>
      <c r="H1978" s="35" t="s">
        <v>115</v>
      </c>
    </row>
    <row r="1979" spans="1:8">
      <c r="A1979" s="37">
        <v>41131.15625</v>
      </c>
      <c r="B1979" s="35" t="s">
        <v>654</v>
      </c>
      <c r="C1979" s="35" t="s">
        <v>655</v>
      </c>
      <c r="D1979" s="39">
        <v>51.720001220703125</v>
      </c>
      <c r="E1979" s="39">
        <v>41.632423400878906</v>
      </c>
      <c r="F1979" s="41">
        <v>631540</v>
      </c>
      <c r="G1979" s="35" t="s">
        <v>677</v>
      </c>
      <c r="H1979" s="35" t="s">
        <v>115</v>
      </c>
    </row>
    <row r="1980" spans="1:8">
      <c r="A1980" s="37">
        <v>41134.15625</v>
      </c>
      <c r="B1980" s="35" t="s">
        <v>654</v>
      </c>
      <c r="C1980" s="35" t="s">
        <v>655</v>
      </c>
      <c r="D1980" s="39">
        <v>51.549999237060547</v>
      </c>
      <c r="E1980" s="39">
        <v>41.495574951171875</v>
      </c>
      <c r="F1980" s="41">
        <v>727865</v>
      </c>
      <c r="G1980" s="35" t="s">
        <v>677</v>
      </c>
      <c r="H1980" s="35" t="s">
        <v>115</v>
      </c>
    </row>
    <row r="1981" spans="1:8">
      <c r="A1981" s="37">
        <v>41135.15625</v>
      </c>
      <c r="B1981" s="35" t="s">
        <v>654</v>
      </c>
      <c r="C1981" s="35" t="s">
        <v>655</v>
      </c>
      <c r="D1981" s="39">
        <v>52.659999847412109</v>
      </c>
      <c r="E1981" s="39">
        <v>42.389080047607422</v>
      </c>
      <c r="F1981" s="41">
        <v>796080</v>
      </c>
      <c r="G1981" s="35" t="s">
        <v>677</v>
      </c>
      <c r="H1981" s="35" t="s">
        <v>115</v>
      </c>
    </row>
    <row r="1982" spans="1:8">
      <c r="A1982" s="37">
        <v>41137.15625</v>
      </c>
      <c r="B1982" s="35" t="s">
        <v>654</v>
      </c>
      <c r="C1982" s="35" t="s">
        <v>655</v>
      </c>
      <c r="D1982" s="39">
        <v>51.340000152587891</v>
      </c>
      <c r="E1982" s="39">
        <v>41.326541900634766</v>
      </c>
      <c r="F1982" s="41">
        <v>239950</v>
      </c>
      <c r="G1982" s="35" t="s">
        <v>677</v>
      </c>
      <c r="H1982" s="35" t="s">
        <v>115</v>
      </c>
    </row>
    <row r="1983" spans="1:8">
      <c r="A1983" s="37">
        <v>41138.15625</v>
      </c>
      <c r="B1983" s="35" t="s">
        <v>654</v>
      </c>
      <c r="C1983" s="35" t="s">
        <v>655</v>
      </c>
      <c r="D1983" s="39">
        <v>52.880001068115234</v>
      </c>
      <c r="E1983" s="39">
        <v>42.566165924072266</v>
      </c>
      <c r="F1983" s="41">
        <v>754540</v>
      </c>
      <c r="G1983" s="35" t="s">
        <v>677</v>
      </c>
      <c r="H1983" s="35" t="s">
        <v>115</v>
      </c>
    </row>
    <row r="1984" spans="1:8">
      <c r="A1984" s="37">
        <v>41142.15625</v>
      </c>
      <c r="B1984" s="35" t="s">
        <v>654</v>
      </c>
      <c r="C1984" s="35" t="s">
        <v>655</v>
      </c>
      <c r="D1984" s="39">
        <v>52.770000457763672</v>
      </c>
      <c r="E1984" s="39">
        <v>42.477626800537109</v>
      </c>
      <c r="F1984" s="41">
        <v>536775</v>
      </c>
      <c r="G1984" s="35" t="s">
        <v>677</v>
      </c>
      <c r="H1984" s="35" t="s">
        <v>115</v>
      </c>
    </row>
    <row r="1985" spans="1:8">
      <c r="A1985" s="37">
        <v>41143.15625</v>
      </c>
      <c r="B1985" s="35" t="s">
        <v>654</v>
      </c>
      <c r="C1985" s="35" t="s">
        <v>655</v>
      </c>
      <c r="D1985" s="39">
        <v>52.290000915527344</v>
      </c>
      <c r="E1985" s="39">
        <v>42.091262817382813</v>
      </c>
      <c r="F1985" s="41">
        <v>370695</v>
      </c>
      <c r="G1985" s="35" t="s">
        <v>677</v>
      </c>
      <c r="H1985" s="35" t="s">
        <v>115</v>
      </c>
    </row>
    <row r="1986" spans="1:8">
      <c r="A1986" s="37">
        <v>41144.15625</v>
      </c>
      <c r="B1986" s="35" t="s">
        <v>654</v>
      </c>
      <c r="C1986" s="35" t="s">
        <v>655</v>
      </c>
      <c r="D1986" s="39">
        <v>52.319999694824219</v>
      </c>
      <c r="E1986" s="39">
        <v>42.115390777587891</v>
      </c>
      <c r="F1986" s="41">
        <v>370155</v>
      </c>
      <c r="G1986" s="35" t="s">
        <v>677</v>
      </c>
      <c r="H1986" s="35" t="s">
        <v>115</v>
      </c>
    </row>
    <row r="1987" spans="1:8">
      <c r="A1987" s="37">
        <v>41145.15625</v>
      </c>
      <c r="B1987" s="35" t="s">
        <v>654</v>
      </c>
      <c r="C1987" s="35" t="s">
        <v>655</v>
      </c>
      <c r="D1987" s="39">
        <v>51.790000915527344</v>
      </c>
      <c r="E1987" s="39">
        <v>41.688766479492188</v>
      </c>
      <c r="F1987" s="41">
        <v>266610</v>
      </c>
      <c r="G1987" s="35" t="s">
        <v>677</v>
      </c>
      <c r="H1987" s="35" t="s">
        <v>115</v>
      </c>
    </row>
    <row r="1988" spans="1:8">
      <c r="A1988" s="37">
        <v>41148.15625</v>
      </c>
      <c r="B1988" s="35" t="s">
        <v>654</v>
      </c>
      <c r="C1988" s="35" t="s">
        <v>655</v>
      </c>
      <c r="D1988" s="39">
        <v>52.029998779296875</v>
      </c>
      <c r="E1988" s="39">
        <v>41.881954193115234</v>
      </c>
      <c r="F1988" s="41">
        <v>394275</v>
      </c>
      <c r="G1988" s="35" t="s">
        <v>677</v>
      </c>
      <c r="H1988" s="35" t="s">
        <v>115</v>
      </c>
    </row>
    <row r="1989" spans="1:8">
      <c r="A1989" s="37">
        <v>41149.15625</v>
      </c>
      <c r="B1989" s="35" t="s">
        <v>654</v>
      </c>
      <c r="C1989" s="35" t="s">
        <v>655</v>
      </c>
      <c r="D1989" s="39">
        <v>52.540000915527344</v>
      </c>
      <c r="E1989" s="39">
        <v>42.292488098144531</v>
      </c>
      <c r="F1989" s="41">
        <v>278985</v>
      </c>
      <c r="G1989" s="35" t="s">
        <v>677</v>
      </c>
      <c r="H1989" s="35" t="s">
        <v>115</v>
      </c>
    </row>
    <row r="1990" spans="1:8">
      <c r="A1990" s="37">
        <v>41150.15625</v>
      </c>
      <c r="B1990" s="35" t="s">
        <v>654</v>
      </c>
      <c r="C1990" s="35" t="s">
        <v>655</v>
      </c>
      <c r="D1990" s="39">
        <v>51.450000762939453</v>
      </c>
      <c r="E1990" s="39">
        <v>41.415084838867188</v>
      </c>
      <c r="F1990" s="41">
        <v>360485</v>
      </c>
      <c r="G1990" s="35" t="s">
        <v>677</v>
      </c>
      <c r="H1990" s="35" t="s">
        <v>115</v>
      </c>
    </row>
    <row r="1991" spans="1:8">
      <c r="A1991" s="37">
        <v>41151.15625</v>
      </c>
      <c r="B1991" s="35" t="s">
        <v>654</v>
      </c>
      <c r="C1991" s="35" t="s">
        <v>655</v>
      </c>
      <c r="D1991" s="39">
        <v>52.520000457763672</v>
      </c>
      <c r="E1991" s="39">
        <v>42.276386260986328</v>
      </c>
      <c r="F1991" s="41">
        <v>199245</v>
      </c>
      <c r="G1991" s="35" t="s">
        <v>677</v>
      </c>
      <c r="H1991" s="35" t="s">
        <v>115</v>
      </c>
    </row>
    <row r="1992" spans="1:8">
      <c r="A1992" s="37">
        <v>41152.15625</v>
      </c>
      <c r="B1992" s="35" t="s">
        <v>654</v>
      </c>
      <c r="C1992" s="35" t="s">
        <v>655</v>
      </c>
      <c r="D1992" s="39">
        <v>55.599998474121094</v>
      </c>
      <c r="E1992" s="39">
        <v>44.755668640136719</v>
      </c>
      <c r="F1992" s="41">
        <v>2290215</v>
      </c>
      <c r="G1992" s="35" t="s">
        <v>677</v>
      </c>
      <c r="H1992" s="35" t="s">
        <v>115</v>
      </c>
    </row>
    <row r="1993" spans="1:8">
      <c r="A1993" s="37">
        <v>41155.15625</v>
      </c>
      <c r="B1993" s="35" t="s">
        <v>654</v>
      </c>
      <c r="C1993" s="35" t="s">
        <v>655</v>
      </c>
      <c r="D1993" s="39">
        <v>53.529998779296875</v>
      </c>
      <c r="E1993" s="39">
        <v>43.089397430419922</v>
      </c>
      <c r="F1993" s="41">
        <v>197935</v>
      </c>
      <c r="G1993" s="35" t="s">
        <v>677</v>
      </c>
      <c r="H1993" s="35" t="s">
        <v>115</v>
      </c>
    </row>
    <row r="1994" spans="1:8">
      <c r="A1994" s="37">
        <v>41156.15625</v>
      </c>
      <c r="B1994" s="35" t="s">
        <v>654</v>
      </c>
      <c r="C1994" s="35" t="s">
        <v>655</v>
      </c>
      <c r="D1994" s="39">
        <v>56.040000915527344</v>
      </c>
      <c r="E1994" s="39">
        <v>45.109821319580078</v>
      </c>
      <c r="F1994" s="41">
        <v>662405</v>
      </c>
      <c r="G1994" s="35" t="s">
        <v>677</v>
      </c>
      <c r="H1994" s="35" t="s">
        <v>115</v>
      </c>
    </row>
    <row r="1995" spans="1:8">
      <c r="A1995" s="37">
        <v>41157.15625</v>
      </c>
      <c r="B1995" s="35" t="s">
        <v>654</v>
      </c>
      <c r="C1995" s="35" t="s">
        <v>655</v>
      </c>
      <c r="D1995" s="39">
        <v>56.189998626708984</v>
      </c>
      <c r="E1995" s="39">
        <v>45.230579376220703</v>
      </c>
      <c r="F1995" s="41">
        <v>397645</v>
      </c>
      <c r="G1995" s="35" t="s">
        <v>677</v>
      </c>
      <c r="H1995" s="35" t="s">
        <v>115</v>
      </c>
    </row>
    <row r="1996" spans="1:8">
      <c r="A1996" s="37">
        <v>41158.15625</v>
      </c>
      <c r="B1996" s="35" t="s">
        <v>654</v>
      </c>
      <c r="C1996" s="35" t="s">
        <v>655</v>
      </c>
      <c r="D1996" s="39">
        <v>57.639999389648438</v>
      </c>
      <c r="E1996" s="39">
        <v>46.397773742675781</v>
      </c>
      <c r="F1996" s="41">
        <v>1484565</v>
      </c>
      <c r="G1996" s="35" t="s">
        <v>677</v>
      </c>
      <c r="H1996" s="35" t="s">
        <v>115</v>
      </c>
    </row>
    <row r="1997" spans="1:8">
      <c r="A1997" s="37">
        <v>41159.15625</v>
      </c>
      <c r="B1997" s="35" t="s">
        <v>654</v>
      </c>
      <c r="C1997" s="35" t="s">
        <v>655</v>
      </c>
      <c r="D1997" s="39">
        <v>58.409999847412109</v>
      </c>
      <c r="E1997" s="39">
        <v>47.017589569091797</v>
      </c>
      <c r="F1997" s="41">
        <v>836475</v>
      </c>
      <c r="G1997" s="35" t="s">
        <v>677</v>
      </c>
      <c r="H1997" s="35" t="s">
        <v>115</v>
      </c>
    </row>
    <row r="1998" spans="1:8">
      <c r="A1998" s="37">
        <v>41162.15625</v>
      </c>
      <c r="B1998" s="35" t="s">
        <v>654</v>
      </c>
      <c r="C1998" s="35" t="s">
        <v>655</v>
      </c>
      <c r="D1998" s="39">
        <v>56.919998168945313</v>
      </c>
      <c r="E1998" s="39">
        <v>45.818195343017578</v>
      </c>
      <c r="F1998" s="41">
        <v>686460</v>
      </c>
      <c r="G1998" s="35" t="s">
        <v>677</v>
      </c>
      <c r="H1998" s="35" t="s">
        <v>115</v>
      </c>
    </row>
    <row r="1999" spans="1:8">
      <c r="A1999" s="37">
        <v>41163.15625</v>
      </c>
      <c r="B1999" s="35" t="s">
        <v>654</v>
      </c>
      <c r="C1999" s="35" t="s">
        <v>655</v>
      </c>
      <c r="D1999" s="39">
        <v>58.209999084472656</v>
      </c>
      <c r="E1999" s="39">
        <v>46.856594085693359</v>
      </c>
      <c r="F1999" s="41">
        <v>1225830</v>
      </c>
      <c r="G1999" s="35" t="s">
        <v>677</v>
      </c>
      <c r="H1999" s="35" t="s">
        <v>115</v>
      </c>
    </row>
    <row r="2000" spans="1:8">
      <c r="A2000" s="37">
        <v>41164.15625</v>
      </c>
      <c r="B2000" s="35" t="s">
        <v>654</v>
      </c>
      <c r="C2000" s="35" t="s">
        <v>655</v>
      </c>
      <c r="D2000" s="39">
        <v>62.810001373291016</v>
      </c>
      <c r="E2000" s="39">
        <v>50.559410095214844</v>
      </c>
      <c r="F2000" s="41">
        <v>4108455</v>
      </c>
      <c r="G2000" s="35" t="s">
        <v>677</v>
      </c>
      <c r="H2000" s="35" t="s">
        <v>115</v>
      </c>
    </row>
    <row r="2001" spans="1:8">
      <c r="A2001" s="37">
        <v>41165.15625</v>
      </c>
      <c r="B2001" s="35" t="s">
        <v>654</v>
      </c>
      <c r="C2001" s="35" t="s">
        <v>655</v>
      </c>
      <c r="D2001" s="39">
        <v>62.549999237060547</v>
      </c>
      <c r="E2001" s="39">
        <v>50.350112915039063</v>
      </c>
      <c r="F2001" s="41">
        <v>2195125</v>
      </c>
      <c r="G2001" s="35" t="s">
        <v>677</v>
      </c>
      <c r="H2001" s="35" t="s">
        <v>115</v>
      </c>
    </row>
    <row r="2002" spans="1:8">
      <c r="A2002" s="37">
        <v>41166.15625</v>
      </c>
      <c r="B2002" s="35" t="s">
        <v>654</v>
      </c>
      <c r="C2002" s="35" t="s">
        <v>655</v>
      </c>
      <c r="D2002" s="39">
        <v>60.860000610351563</v>
      </c>
      <c r="E2002" s="39">
        <v>48.989734649658203</v>
      </c>
      <c r="F2002" s="41">
        <v>1002990</v>
      </c>
      <c r="G2002" s="35" t="s">
        <v>677</v>
      </c>
      <c r="H2002" s="35" t="s">
        <v>115</v>
      </c>
    </row>
    <row r="2003" spans="1:8">
      <c r="A2003" s="37">
        <v>41169.15625</v>
      </c>
      <c r="B2003" s="35" t="s">
        <v>654</v>
      </c>
      <c r="C2003" s="35" t="s">
        <v>655</v>
      </c>
      <c r="D2003" s="39">
        <v>60.189998626708984</v>
      </c>
      <c r="E2003" s="39">
        <v>48.450420379638672</v>
      </c>
      <c r="F2003" s="41">
        <v>955925</v>
      </c>
      <c r="G2003" s="35" t="s">
        <v>677</v>
      </c>
      <c r="H2003" s="35" t="s">
        <v>115</v>
      </c>
    </row>
    <row r="2004" spans="1:8">
      <c r="A2004" s="37">
        <v>41170.15625</v>
      </c>
      <c r="B2004" s="35" t="s">
        <v>654</v>
      </c>
      <c r="C2004" s="35" t="s">
        <v>655</v>
      </c>
      <c r="D2004" s="39">
        <v>59.709999084472656</v>
      </c>
      <c r="E2004" s="39">
        <v>48.064037322998047</v>
      </c>
      <c r="F2004" s="41">
        <v>416875</v>
      </c>
      <c r="G2004" s="35" t="s">
        <v>677</v>
      </c>
      <c r="H2004" s="35" t="s">
        <v>115</v>
      </c>
    </row>
    <row r="2005" spans="1:8">
      <c r="A2005" s="37">
        <v>41172.15625</v>
      </c>
      <c r="B2005" s="35" t="s">
        <v>654</v>
      </c>
      <c r="C2005" s="35" t="s">
        <v>655</v>
      </c>
      <c r="D2005" s="39">
        <v>59.310001373291016</v>
      </c>
      <c r="E2005" s="39">
        <v>47.742046356201172</v>
      </c>
      <c r="F2005" s="41">
        <v>548795</v>
      </c>
      <c r="G2005" s="35" t="s">
        <v>677</v>
      </c>
      <c r="H2005" s="35" t="s">
        <v>115</v>
      </c>
    </row>
    <row r="2006" spans="1:8">
      <c r="A2006" s="37">
        <v>41173.15625</v>
      </c>
      <c r="B2006" s="35" t="s">
        <v>654</v>
      </c>
      <c r="C2006" s="35" t="s">
        <v>655</v>
      </c>
      <c r="D2006" s="39">
        <v>57.909999847412109</v>
      </c>
      <c r="E2006" s="39">
        <v>46.6151123046875</v>
      </c>
      <c r="F2006" s="41">
        <v>1750785</v>
      </c>
      <c r="G2006" s="35" t="s">
        <v>677</v>
      </c>
      <c r="H2006" s="35" t="s">
        <v>115</v>
      </c>
    </row>
    <row r="2007" spans="1:8">
      <c r="A2007" s="37">
        <v>41176.15625</v>
      </c>
      <c r="B2007" s="35" t="s">
        <v>654</v>
      </c>
      <c r="C2007" s="35" t="s">
        <v>655</v>
      </c>
      <c r="D2007" s="39">
        <v>58.610000610351563</v>
      </c>
      <c r="E2007" s="39">
        <v>47.178581237792969</v>
      </c>
      <c r="F2007" s="41">
        <v>425075</v>
      </c>
      <c r="G2007" s="35" t="s">
        <v>677</v>
      </c>
      <c r="H2007" s="35" t="s">
        <v>115</v>
      </c>
    </row>
    <row r="2008" spans="1:8">
      <c r="A2008" s="37">
        <v>41177.15625</v>
      </c>
      <c r="B2008" s="35" t="s">
        <v>654</v>
      </c>
      <c r="C2008" s="35" t="s">
        <v>655</v>
      </c>
      <c r="D2008" s="39">
        <v>57.349998474121094</v>
      </c>
      <c r="E2008" s="39">
        <v>46.164337158203125</v>
      </c>
      <c r="F2008" s="41">
        <v>339375</v>
      </c>
      <c r="G2008" s="35" t="s">
        <v>677</v>
      </c>
      <c r="H2008" s="35" t="s">
        <v>115</v>
      </c>
    </row>
    <row r="2009" spans="1:8">
      <c r="A2009" s="37">
        <v>41178.15625</v>
      </c>
      <c r="B2009" s="35" t="s">
        <v>654</v>
      </c>
      <c r="C2009" s="35" t="s">
        <v>655</v>
      </c>
      <c r="D2009" s="39">
        <v>59.069999694824219</v>
      </c>
      <c r="E2009" s="39">
        <v>47.548858642578125</v>
      </c>
      <c r="F2009" s="41">
        <v>362500</v>
      </c>
      <c r="G2009" s="35" t="s">
        <v>677</v>
      </c>
      <c r="H2009" s="35" t="s">
        <v>115</v>
      </c>
    </row>
    <row r="2010" spans="1:8">
      <c r="A2010" s="37">
        <v>41179.15625</v>
      </c>
      <c r="B2010" s="35" t="s">
        <v>654</v>
      </c>
      <c r="C2010" s="35" t="s">
        <v>655</v>
      </c>
      <c r="D2010" s="39">
        <v>58.470001220703125</v>
      </c>
      <c r="E2010" s="39">
        <v>47.065883636474609</v>
      </c>
      <c r="F2010" s="41">
        <v>542255</v>
      </c>
      <c r="G2010" s="35" t="s">
        <v>677</v>
      </c>
      <c r="H2010" s="35" t="s">
        <v>115</v>
      </c>
    </row>
    <row r="2011" spans="1:8">
      <c r="A2011" s="37">
        <v>41180.15625</v>
      </c>
      <c r="B2011" s="35" t="s">
        <v>654</v>
      </c>
      <c r="C2011" s="35" t="s">
        <v>655</v>
      </c>
      <c r="D2011" s="39">
        <v>59.599998474121094</v>
      </c>
      <c r="E2011" s="39">
        <v>47.975490570068359</v>
      </c>
      <c r="F2011" s="41">
        <v>1245705</v>
      </c>
      <c r="G2011" s="35" t="s">
        <v>677</v>
      </c>
      <c r="H2011" s="35" t="s">
        <v>115</v>
      </c>
    </row>
    <row r="2012" spans="1:8">
      <c r="A2012" s="37">
        <v>41183.15625</v>
      </c>
      <c r="B2012" s="35" t="s">
        <v>654</v>
      </c>
      <c r="C2012" s="35" t="s">
        <v>655</v>
      </c>
      <c r="D2012" s="39">
        <v>60.439998626708984</v>
      </c>
      <c r="E2012" s="39">
        <v>48.651649475097656</v>
      </c>
      <c r="F2012" s="41">
        <v>627520</v>
      </c>
      <c r="G2012" s="35" t="s">
        <v>677</v>
      </c>
      <c r="H2012" s="35" t="s">
        <v>115</v>
      </c>
    </row>
    <row r="2013" spans="1:8">
      <c r="A2013" s="37">
        <v>41185.15625</v>
      </c>
      <c r="B2013" s="35" t="s">
        <v>654</v>
      </c>
      <c r="C2013" s="35" t="s">
        <v>655</v>
      </c>
      <c r="D2013" s="39">
        <v>60.720001220703125</v>
      </c>
      <c r="E2013" s="39">
        <v>48.877040863037109</v>
      </c>
      <c r="F2013" s="41">
        <v>842010</v>
      </c>
      <c r="G2013" s="35" t="s">
        <v>677</v>
      </c>
      <c r="H2013" s="35" t="s">
        <v>115</v>
      </c>
    </row>
    <row r="2014" spans="1:8">
      <c r="A2014" s="37">
        <v>41186.15625</v>
      </c>
      <c r="B2014" s="35" t="s">
        <v>654</v>
      </c>
      <c r="C2014" s="35" t="s">
        <v>655</v>
      </c>
      <c r="D2014" s="39">
        <v>57.729999542236328</v>
      </c>
      <c r="E2014" s="39">
        <v>46.470218658447266</v>
      </c>
      <c r="F2014" s="41">
        <v>1193620</v>
      </c>
      <c r="G2014" s="35" t="s">
        <v>677</v>
      </c>
      <c r="H2014" s="35" t="s">
        <v>115</v>
      </c>
    </row>
    <row r="2015" spans="1:8">
      <c r="A2015" s="37">
        <v>41187.15625</v>
      </c>
      <c r="B2015" s="35" t="s">
        <v>654</v>
      </c>
      <c r="C2015" s="35" t="s">
        <v>655</v>
      </c>
      <c r="D2015" s="39">
        <v>56.630001068115234</v>
      </c>
      <c r="E2015" s="39">
        <v>45.584766387939453</v>
      </c>
      <c r="F2015" s="41">
        <v>272300</v>
      </c>
      <c r="G2015" s="35" t="s">
        <v>677</v>
      </c>
      <c r="H2015" s="35" t="s">
        <v>115</v>
      </c>
    </row>
    <row r="2016" spans="1:8">
      <c r="A2016" s="37">
        <v>41190.15625</v>
      </c>
      <c r="B2016" s="35" t="s">
        <v>654</v>
      </c>
      <c r="C2016" s="35" t="s">
        <v>655</v>
      </c>
      <c r="D2016" s="39">
        <v>56.970001220703125</v>
      </c>
      <c r="E2016" s="39">
        <v>45.858451843261719</v>
      </c>
      <c r="F2016" s="41">
        <v>179500</v>
      </c>
      <c r="G2016" s="35" t="s">
        <v>677</v>
      </c>
      <c r="H2016" s="35" t="s">
        <v>115</v>
      </c>
    </row>
    <row r="2017" spans="1:8">
      <c r="A2017" s="37">
        <v>41191.15625</v>
      </c>
      <c r="B2017" s="35" t="s">
        <v>654</v>
      </c>
      <c r="C2017" s="35" t="s">
        <v>655</v>
      </c>
      <c r="D2017" s="39">
        <v>56.270000457763672</v>
      </c>
      <c r="E2017" s="39">
        <v>45.29498291015625</v>
      </c>
      <c r="F2017" s="41">
        <v>152975</v>
      </c>
      <c r="G2017" s="35" t="s">
        <v>677</v>
      </c>
      <c r="H2017" s="35" t="s">
        <v>115</v>
      </c>
    </row>
    <row r="2018" spans="1:8">
      <c r="A2018" s="37">
        <v>41192.15625</v>
      </c>
      <c r="B2018" s="35" t="s">
        <v>654</v>
      </c>
      <c r="C2018" s="35" t="s">
        <v>655</v>
      </c>
      <c r="D2018" s="39">
        <v>55.759998321533203</v>
      </c>
      <c r="E2018" s="39">
        <v>44.884449005126953</v>
      </c>
      <c r="F2018" s="41">
        <v>172135</v>
      </c>
      <c r="G2018" s="35" t="s">
        <v>677</v>
      </c>
      <c r="H2018" s="35" t="s">
        <v>115</v>
      </c>
    </row>
    <row r="2019" spans="1:8">
      <c r="A2019" s="37">
        <v>41193.15625</v>
      </c>
      <c r="B2019" s="35" t="s">
        <v>654</v>
      </c>
      <c r="C2019" s="35" t="s">
        <v>655</v>
      </c>
      <c r="D2019" s="39">
        <v>57.5</v>
      </c>
      <c r="E2019" s="39">
        <v>46.285076141357422</v>
      </c>
      <c r="F2019" s="41">
        <v>213060</v>
      </c>
      <c r="G2019" s="35" t="s">
        <v>677</v>
      </c>
      <c r="H2019" s="35" t="s">
        <v>115</v>
      </c>
    </row>
    <row r="2020" spans="1:8">
      <c r="A2020" s="37">
        <v>41194.15625</v>
      </c>
      <c r="B2020" s="35" t="s">
        <v>654</v>
      </c>
      <c r="C2020" s="35" t="s">
        <v>655</v>
      </c>
      <c r="D2020" s="39">
        <v>56.830001831054688</v>
      </c>
      <c r="E2020" s="39">
        <v>45.745765686035156</v>
      </c>
      <c r="F2020" s="41">
        <v>277190</v>
      </c>
      <c r="G2020" s="35" t="s">
        <v>677</v>
      </c>
      <c r="H2020" s="35" t="s">
        <v>115</v>
      </c>
    </row>
    <row r="2021" spans="1:8">
      <c r="A2021" s="37">
        <v>41197.15625</v>
      </c>
      <c r="B2021" s="35" t="s">
        <v>654</v>
      </c>
      <c r="C2021" s="35" t="s">
        <v>655</v>
      </c>
      <c r="D2021" s="39">
        <v>56.490001678466797</v>
      </c>
      <c r="E2021" s="39">
        <v>45.472080230712891</v>
      </c>
      <c r="F2021" s="41">
        <v>202635</v>
      </c>
      <c r="G2021" s="35" t="s">
        <v>677</v>
      </c>
      <c r="H2021" s="35" t="s">
        <v>115</v>
      </c>
    </row>
    <row r="2022" spans="1:8">
      <c r="A2022" s="37">
        <v>41198.15625</v>
      </c>
      <c r="B2022" s="35" t="s">
        <v>654</v>
      </c>
      <c r="C2022" s="35" t="s">
        <v>655</v>
      </c>
      <c r="D2022" s="39">
        <v>57.169998168945313</v>
      </c>
      <c r="E2022" s="39">
        <v>46.019432067871094</v>
      </c>
      <c r="F2022" s="41">
        <v>4055510</v>
      </c>
      <c r="G2022" s="35" t="s">
        <v>677</v>
      </c>
      <c r="H2022" s="35" t="s">
        <v>115</v>
      </c>
    </row>
    <row r="2023" spans="1:8">
      <c r="A2023" s="37">
        <v>41199.15625</v>
      </c>
      <c r="B2023" s="35" t="s">
        <v>654</v>
      </c>
      <c r="C2023" s="35" t="s">
        <v>655</v>
      </c>
      <c r="D2023" s="39">
        <v>57.380001068115234</v>
      </c>
      <c r="E2023" s="39">
        <v>46.188480377197266</v>
      </c>
      <c r="F2023" s="41">
        <v>675075</v>
      </c>
      <c r="G2023" s="35" t="s">
        <v>677</v>
      </c>
      <c r="H2023" s="35" t="s">
        <v>115</v>
      </c>
    </row>
    <row r="2024" spans="1:8">
      <c r="A2024" s="37">
        <v>41200.15625</v>
      </c>
      <c r="B2024" s="35" t="s">
        <v>654</v>
      </c>
      <c r="C2024" s="35" t="s">
        <v>655</v>
      </c>
      <c r="D2024" s="39">
        <v>56.040000915527344</v>
      </c>
      <c r="E2024" s="39">
        <v>45.109821319580078</v>
      </c>
      <c r="F2024" s="41">
        <v>338550</v>
      </c>
      <c r="G2024" s="35" t="s">
        <v>677</v>
      </c>
      <c r="H2024" s="35" t="s">
        <v>115</v>
      </c>
    </row>
    <row r="2025" spans="1:8">
      <c r="A2025" s="37">
        <v>41201.15625</v>
      </c>
      <c r="B2025" s="35" t="s">
        <v>654</v>
      </c>
      <c r="C2025" s="35" t="s">
        <v>655</v>
      </c>
      <c r="D2025" s="39">
        <v>55.090000152587891</v>
      </c>
      <c r="E2025" s="39">
        <v>44.345130920410156</v>
      </c>
      <c r="F2025" s="41">
        <v>416990</v>
      </c>
      <c r="G2025" s="35" t="s">
        <v>677</v>
      </c>
      <c r="H2025" s="35" t="s">
        <v>115</v>
      </c>
    </row>
    <row r="2026" spans="1:8">
      <c r="A2026" s="37">
        <v>41204.15625</v>
      </c>
      <c r="B2026" s="35" t="s">
        <v>654</v>
      </c>
      <c r="C2026" s="35" t="s">
        <v>655</v>
      </c>
      <c r="D2026" s="39">
        <v>55.099998474121094</v>
      </c>
      <c r="E2026" s="39">
        <v>44.353176116943359</v>
      </c>
      <c r="F2026" s="41">
        <v>163100</v>
      </c>
      <c r="G2026" s="35" t="s">
        <v>677</v>
      </c>
      <c r="H2026" s="35" t="s">
        <v>115</v>
      </c>
    </row>
    <row r="2027" spans="1:8">
      <c r="A2027" s="37">
        <v>41205.15625</v>
      </c>
      <c r="B2027" s="35" t="s">
        <v>654</v>
      </c>
      <c r="C2027" s="35" t="s">
        <v>655</v>
      </c>
      <c r="D2027" s="39">
        <v>54.659999847412109</v>
      </c>
      <c r="E2027" s="39">
        <v>43.999000549316406</v>
      </c>
      <c r="F2027" s="41">
        <v>207755</v>
      </c>
      <c r="G2027" s="35" t="s">
        <v>677</v>
      </c>
      <c r="H2027" s="35" t="s">
        <v>115</v>
      </c>
    </row>
    <row r="2028" spans="1:8">
      <c r="A2028" s="37">
        <v>41207.15625</v>
      </c>
      <c r="B2028" s="35" t="s">
        <v>654</v>
      </c>
      <c r="C2028" s="35" t="s">
        <v>655</v>
      </c>
      <c r="D2028" s="39">
        <v>54.130001068115234</v>
      </c>
      <c r="E2028" s="39">
        <v>43.572372436523438</v>
      </c>
      <c r="F2028" s="41">
        <v>202745</v>
      </c>
      <c r="G2028" s="35" t="s">
        <v>677</v>
      </c>
      <c r="H2028" s="35" t="s">
        <v>115</v>
      </c>
    </row>
    <row r="2029" spans="1:8">
      <c r="A2029" s="37">
        <v>41211.15625</v>
      </c>
      <c r="B2029" s="35" t="s">
        <v>654</v>
      </c>
      <c r="C2029" s="35" t="s">
        <v>655</v>
      </c>
      <c r="D2029" s="39">
        <v>56.180000305175781</v>
      </c>
      <c r="E2029" s="39">
        <v>45.2225341796875</v>
      </c>
      <c r="F2029" s="41">
        <v>263315</v>
      </c>
      <c r="G2029" s="35" t="s">
        <v>677</v>
      </c>
      <c r="H2029" s="35" t="s">
        <v>115</v>
      </c>
    </row>
    <row r="2030" spans="1:8">
      <c r="A2030" s="37">
        <v>41212.15625</v>
      </c>
      <c r="B2030" s="35" t="s">
        <v>654</v>
      </c>
      <c r="C2030" s="35" t="s">
        <v>655</v>
      </c>
      <c r="D2030" s="39">
        <v>56.360000610351563</v>
      </c>
      <c r="E2030" s="39">
        <v>45.367427825927734</v>
      </c>
      <c r="F2030" s="41">
        <v>238900</v>
      </c>
      <c r="G2030" s="35" t="s">
        <v>677</v>
      </c>
      <c r="H2030" s="35" t="s">
        <v>115</v>
      </c>
    </row>
    <row r="2031" spans="1:8">
      <c r="A2031" s="37">
        <v>41213.15625</v>
      </c>
      <c r="B2031" s="35" t="s">
        <v>654</v>
      </c>
      <c r="C2031" s="35" t="s">
        <v>655</v>
      </c>
      <c r="D2031" s="39">
        <v>58.860000610351563</v>
      </c>
      <c r="E2031" s="39">
        <v>47.379817962646484</v>
      </c>
      <c r="F2031" s="41">
        <v>640090</v>
      </c>
      <c r="G2031" s="35" t="s">
        <v>677</v>
      </c>
      <c r="H2031" s="35" t="s">
        <v>115</v>
      </c>
    </row>
    <row r="2032" spans="1:8">
      <c r="A2032" s="37">
        <v>41214.15625</v>
      </c>
      <c r="B2032" s="35" t="s">
        <v>654</v>
      </c>
      <c r="C2032" s="35" t="s">
        <v>655</v>
      </c>
      <c r="D2032" s="39">
        <v>59.270000457763672</v>
      </c>
      <c r="E2032" s="39">
        <v>47.709857940673828</v>
      </c>
      <c r="F2032" s="41">
        <v>217675</v>
      </c>
      <c r="G2032" s="35" t="s">
        <v>677</v>
      </c>
      <c r="H2032" s="35" t="s">
        <v>115</v>
      </c>
    </row>
    <row r="2033" spans="1:8">
      <c r="A2033" s="37">
        <v>41215.15625</v>
      </c>
      <c r="B2033" s="35" t="s">
        <v>654</v>
      </c>
      <c r="C2033" s="35" t="s">
        <v>655</v>
      </c>
      <c r="D2033" s="39">
        <v>59.240001678466797</v>
      </c>
      <c r="E2033" s="39">
        <v>47.685699462890625</v>
      </c>
      <c r="F2033" s="41">
        <v>548985</v>
      </c>
      <c r="G2033" s="35" t="s">
        <v>677</v>
      </c>
      <c r="H2033" s="35" t="s">
        <v>115</v>
      </c>
    </row>
    <row r="2034" spans="1:8">
      <c r="A2034" s="37">
        <v>41218.15625</v>
      </c>
      <c r="B2034" s="35" t="s">
        <v>654</v>
      </c>
      <c r="C2034" s="35" t="s">
        <v>655</v>
      </c>
      <c r="D2034" s="39">
        <v>58.270000457763672</v>
      </c>
      <c r="E2034" s="39">
        <v>46.904888153076172</v>
      </c>
      <c r="F2034" s="41">
        <v>327510</v>
      </c>
      <c r="G2034" s="35" t="s">
        <v>677</v>
      </c>
      <c r="H2034" s="35" t="s">
        <v>115</v>
      </c>
    </row>
    <row r="2035" spans="1:8">
      <c r="A2035" s="37">
        <v>41219.15625</v>
      </c>
      <c r="B2035" s="35" t="s">
        <v>654</v>
      </c>
      <c r="C2035" s="35" t="s">
        <v>655</v>
      </c>
      <c r="D2035" s="39">
        <v>58.009998321533203</v>
      </c>
      <c r="E2035" s="39">
        <v>46.695598602294922</v>
      </c>
      <c r="F2035" s="41">
        <v>172055</v>
      </c>
      <c r="G2035" s="35" t="s">
        <v>677</v>
      </c>
      <c r="H2035" s="35" t="s">
        <v>115</v>
      </c>
    </row>
    <row r="2036" spans="1:8">
      <c r="A2036" s="37">
        <v>41220.15625</v>
      </c>
      <c r="B2036" s="35" t="s">
        <v>654</v>
      </c>
      <c r="C2036" s="35" t="s">
        <v>655</v>
      </c>
      <c r="D2036" s="39">
        <v>57.619998931884766</v>
      </c>
      <c r="E2036" s="39">
        <v>46.381664276123047</v>
      </c>
      <c r="F2036" s="41">
        <v>202335</v>
      </c>
      <c r="G2036" s="35" t="s">
        <v>677</v>
      </c>
      <c r="H2036" s="35" t="s">
        <v>115</v>
      </c>
    </row>
    <row r="2037" spans="1:8">
      <c r="A2037" s="37">
        <v>41221.15625</v>
      </c>
      <c r="B2037" s="35" t="s">
        <v>654</v>
      </c>
      <c r="C2037" s="35" t="s">
        <v>655</v>
      </c>
      <c r="D2037" s="39">
        <v>56.75</v>
      </c>
      <c r="E2037" s="39">
        <v>45.681354522705078</v>
      </c>
      <c r="F2037" s="41">
        <v>187320</v>
      </c>
      <c r="G2037" s="35" t="s">
        <v>677</v>
      </c>
      <c r="H2037" s="35" t="s">
        <v>115</v>
      </c>
    </row>
    <row r="2038" spans="1:8">
      <c r="A2038" s="37">
        <v>41222.15625</v>
      </c>
      <c r="B2038" s="35" t="s">
        <v>654</v>
      </c>
      <c r="C2038" s="35" t="s">
        <v>655</v>
      </c>
      <c r="D2038" s="39">
        <v>55.459999084472656</v>
      </c>
      <c r="E2038" s="39">
        <v>44.642959594726563</v>
      </c>
      <c r="F2038" s="41">
        <v>200500</v>
      </c>
      <c r="G2038" s="35" t="s">
        <v>677</v>
      </c>
      <c r="H2038" s="35" t="s">
        <v>115</v>
      </c>
    </row>
    <row r="2039" spans="1:8">
      <c r="A2039" s="37">
        <v>41225.15625</v>
      </c>
      <c r="B2039" s="35" t="s">
        <v>654</v>
      </c>
      <c r="C2039" s="35" t="s">
        <v>655</v>
      </c>
      <c r="D2039" s="39">
        <v>54.75</v>
      </c>
      <c r="E2039" s="39">
        <v>44.071445465087891</v>
      </c>
      <c r="F2039" s="41">
        <v>415575</v>
      </c>
      <c r="G2039" s="35" t="s">
        <v>677</v>
      </c>
      <c r="H2039" s="35" t="s">
        <v>115</v>
      </c>
    </row>
    <row r="2040" spans="1:8">
      <c r="A2040" s="37">
        <v>41228.15625</v>
      </c>
      <c r="B2040" s="35" t="s">
        <v>654</v>
      </c>
      <c r="C2040" s="35" t="s">
        <v>655</v>
      </c>
      <c r="D2040" s="39">
        <v>54.340000152587891</v>
      </c>
      <c r="E2040" s="39">
        <v>43.741413116455078</v>
      </c>
      <c r="F2040" s="41">
        <v>133665</v>
      </c>
      <c r="G2040" s="35" t="s">
        <v>677</v>
      </c>
      <c r="H2040" s="35" t="s">
        <v>115</v>
      </c>
    </row>
    <row r="2041" spans="1:8">
      <c r="A2041" s="37">
        <v>41229.15625</v>
      </c>
      <c r="B2041" s="35" t="s">
        <v>654</v>
      </c>
      <c r="C2041" s="35" t="s">
        <v>655</v>
      </c>
      <c r="D2041" s="39">
        <v>55.849998474121094</v>
      </c>
      <c r="E2041" s="39">
        <v>44.956890106201172</v>
      </c>
      <c r="F2041" s="41">
        <v>433980</v>
      </c>
      <c r="G2041" s="35" t="s">
        <v>677</v>
      </c>
      <c r="H2041" s="35" t="s">
        <v>115</v>
      </c>
    </row>
    <row r="2042" spans="1:8">
      <c r="A2042" s="37">
        <v>41232.15625</v>
      </c>
      <c r="B2042" s="35" t="s">
        <v>654</v>
      </c>
      <c r="C2042" s="35" t="s">
        <v>655</v>
      </c>
      <c r="D2042" s="39">
        <v>55.529998779296875</v>
      </c>
      <c r="E2042" s="39">
        <v>44.699306488037109</v>
      </c>
      <c r="F2042" s="41">
        <v>233180</v>
      </c>
      <c r="G2042" s="35" t="s">
        <v>677</v>
      </c>
      <c r="H2042" s="35" t="s">
        <v>115</v>
      </c>
    </row>
    <row r="2043" spans="1:8">
      <c r="A2043" s="37">
        <v>41233.15625</v>
      </c>
      <c r="B2043" s="35" t="s">
        <v>654</v>
      </c>
      <c r="C2043" s="35" t="s">
        <v>655</v>
      </c>
      <c r="D2043" s="39">
        <v>55.479999542236328</v>
      </c>
      <c r="E2043" s="39">
        <v>44.659061431884766</v>
      </c>
      <c r="F2043" s="41">
        <v>616695</v>
      </c>
      <c r="G2043" s="35" t="s">
        <v>677</v>
      </c>
      <c r="H2043" s="35" t="s">
        <v>115</v>
      </c>
    </row>
    <row r="2044" spans="1:8">
      <c r="A2044" s="37">
        <v>41234.15625</v>
      </c>
      <c r="B2044" s="35" t="s">
        <v>654</v>
      </c>
      <c r="C2044" s="35" t="s">
        <v>655</v>
      </c>
      <c r="D2044" s="39">
        <v>56.380001068115234</v>
      </c>
      <c r="E2044" s="39">
        <v>45.383522033691406</v>
      </c>
      <c r="F2044" s="41">
        <v>722795</v>
      </c>
      <c r="G2044" s="35" t="s">
        <v>677</v>
      </c>
      <c r="H2044" s="35" t="s">
        <v>115</v>
      </c>
    </row>
    <row r="2045" spans="1:8">
      <c r="A2045" s="37">
        <v>41235.15625</v>
      </c>
      <c r="B2045" s="35" t="s">
        <v>654</v>
      </c>
      <c r="C2045" s="35" t="s">
        <v>655</v>
      </c>
      <c r="D2045" s="39">
        <v>56.060001373291016</v>
      </c>
      <c r="E2045" s="39">
        <v>45.125946044921875</v>
      </c>
      <c r="F2045" s="41">
        <v>286590</v>
      </c>
      <c r="G2045" s="35" t="s">
        <v>677</v>
      </c>
      <c r="H2045" s="35" t="s">
        <v>115</v>
      </c>
    </row>
    <row r="2046" spans="1:8">
      <c r="A2046" s="37">
        <v>41236.15625</v>
      </c>
      <c r="B2046" s="35" t="s">
        <v>654</v>
      </c>
      <c r="C2046" s="35" t="s">
        <v>655</v>
      </c>
      <c r="D2046" s="39">
        <v>57.25</v>
      </c>
      <c r="E2046" s="39">
        <v>46.083839416503906</v>
      </c>
      <c r="F2046" s="41">
        <v>392365</v>
      </c>
      <c r="G2046" s="35" t="s">
        <v>677</v>
      </c>
      <c r="H2046" s="35" t="s">
        <v>115</v>
      </c>
    </row>
    <row r="2047" spans="1:8">
      <c r="A2047" s="37">
        <v>41239.15625</v>
      </c>
      <c r="B2047" s="35" t="s">
        <v>654</v>
      </c>
      <c r="C2047" s="35" t="s">
        <v>655</v>
      </c>
      <c r="D2047" s="39">
        <v>56.400001525878906</v>
      </c>
      <c r="E2047" s="39">
        <v>45.399620056152344</v>
      </c>
      <c r="F2047" s="41">
        <v>398825</v>
      </c>
      <c r="G2047" s="35" t="s">
        <v>677</v>
      </c>
      <c r="H2047" s="35" t="s">
        <v>115</v>
      </c>
    </row>
    <row r="2048" spans="1:8">
      <c r="A2048" s="37">
        <v>41240.15625</v>
      </c>
      <c r="B2048" s="35" t="s">
        <v>654</v>
      </c>
      <c r="C2048" s="35" t="s">
        <v>655</v>
      </c>
      <c r="D2048" s="39">
        <v>56.400001525878906</v>
      </c>
      <c r="E2048" s="39">
        <v>45.399620056152344</v>
      </c>
      <c r="F2048" s="41">
        <v>591510</v>
      </c>
      <c r="G2048" s="35" t="s">
        <v>677</v>
      </c>
      <c r="H2048" s="35" t="s">
        <v>115</v>
      </c>
    </row>
    <row r="2049" spans="1:8">
      <c r="A2049" s="37">
        <v>41242.15625</v>
      </c>
      <c r="B2049" s="35" t="s">
        <v>654</v>
      </c>
      <c r="C2049" s="35" t="s">
        <v>655</v>
      </c>
      <c r="D2049" s="39">
        <v>55.659999847412109</v>
      </c>
      <c r="E2049" s="39">
        <v>44.803958892822266</v>
      </c>
      <c r="F2049" s="41">
        <v>184175</v>
      </c>
      <c r="G2049" s="35" t="s">
        <v>677</v>
      </c>
      <c r="H2049" s="35" t="s">
        <v>115</v>
      </c>
    </row>
    <row r="2050" spans="1:8">
      <c r="A2050" s="37">
        <v>41243.15625</v>
      </c>
      <c r="B2050" s="35" t="s">
        <v>654</v>
      </c>
      <c r="C2050" s="35" t="s">
        <v>655</v>
      </c>
      <c r="D2050" s="39">
        <v>55.889999389648438</v>
      </c>
      <c r="E2050" s="39">
        <v>44.989097595214844</v>
      </c>
      <c r="F2050" s="41">
        <v>411955</v>
      </c>
      <c r="G2050" s="35" t="s">
        <v>677</v>
      </c>
      <c r="H2050" s="35" t="s">
        <v>115</v>
      </c>
    </row>
    <row r="2051" spans="1:8">
      <c r="A2051" s="37">
        <v>41246.15625</v>
      </c>
      <c r="B2051" s="35" t="s">
        <v>654</v>
      </c>
      <c r="C2051" s="35" t="s">
        <v>655</v>
      </c>
      <c r="D2051" s="39">
        <v>55.479999542236328</v>
      </c>
      <c r="E2051" s="39">
        <v>44.659061431884766</v>
      </c>
      <c r="F2051" s="41">
        <v>104330</v>
      </c>
      <c r="G2051" s="35" t="s">
        <v>677</v>
      </c>
      <c r="H2051" s="35" t="s">
        <v>115</v>
      </c>
    </row>
    <row r="2052" spans="1:8">
      <c r="A2052" s="37">
        <v>41247.15625</v>
      </c>
      <c r="B2052" s="35" t="s">
        <v>654</v>
      </c>
      <c r="C2052" s="35" t="s">
        <v>655</v>
      </c>
      <c r="D2052" s="39">
        <v>55.400001525878906</v>
      </c>
      <c r="E2052" s="39">
        <v>44.594661712646484</v>
      </c>
      <c r="F2052" s="41">
        <v>125375</v>
      </c>
      <c r="G2052" s="35" t="s">
        <v>677</v>
      </c>
      <c r="H2052" s="35" t="s">
        <v>115</v>
      </c>
    </row>
    <row r="2053" spans="1:8">
      <c r="A2053" s="37">
        <v>41248.15625</v>
      </c>
      <c r="B2053" s="35" t="s">
        <v>654</v>
      </c>
      <c r="C2053" s="35" t="s">
        <v>655</v>
      </c>
      <c r="D2053" s="39">
        <v>55.580001831054688</v>
      </c>
      <c r="E2053" s="39">
        <v>44.73956298828125</v>
      </c>
      <c r="F2053" s="41">
        <v>435500</v>
      </c>
      <c r="G2053" s="35" t="s">
        <v>677</v>
      </c>
      <c r="H2053" s="35" t="s">
        <v>115</v>
      </c>
    </row>
    <row r="2054" spans="1:8">
      <c r="A2054" s="37">
        <v>41249.15625</v>
      </c>
      <c r="B2054" s="35" t="s">
        <v>654</v>
      </c>
      <c r="C2054" s="35" t="s">
        <v>655</v>
      </c>
      <c r="D2054" s="39">
        <v>55.650001525878906</v>
      </c>
      <c r="E2054" s="39">
        <v>44.795909881591797</v>
      </c>
      <c r="F2054" s="41">
        <v>165195</v>
      </c>
      <c r="G2054" s="35" t="s">
        <v>677</v>
      </c>
      <c r="H2054" s="35" t="s">
        <v>115</v>
      </c>
    </row>
    <row r="2055" spans="1:8">
      <c r="A2055" s="37">
        <v>41250.15625</v>
      </c>
      <c r="B2055" s="35" t="s">
        <v>654</v>
      </c>
      <c r="C2055" s="35" t="s">
        <v>655</v>
      </c>
      <c r="D2055" s="39">
        <v>56.639999389648438</v>
      </c>
      <c r="E2055" s="39">
        <v>45.592800140380859</v>
      </c>
      <c r="F2055" s="41">
        <v>365745</v>
      </c>
      <c r="G2055" s="35" t="s">
        <v>677</v>
      </c>
      <c r="H2055" s="35" t="s">
        <v>115</v>
      </c>
    </row>
    <row r="2056" spans="1:8">
      <c r="A2056" s="37">
        <v>41253.15625</v>
      </c>
      <c r="B2056" s="35" t="s">
        <v>654</v>
      </c>
      <c r="C2056" s="35" t="s">
        <v>655</v>
      </c>
      <c r="D2056" s="39">
        <v>55.029998779296875</v>
      </c>
      <c r="E2056" s="39">
        <v>44.296829223632813</v>
      </c>
      <c r="F2056" s="41">
        <v>698995</v>
      </c>
      <c r="G2056" s="35" t="s">
        <v>677</v>
      </c>
      <c r="H2056" s="35" t="s">
        <v>115</v>
      </c>
    </row>
    <row r="2057" spans="1:8">
      <c r="A2057" s="37">
        <v>41254.15625</v>
      </c>
      <c r="B2057" s="35" t="s">
        <v>654</v>
      </c>
      <c r="C2057" s="35" t="s">
        <v>655</v>
      </c>
      <c r="D2057" s="39">
        <v>54.759998321533203</v>
      </c>
      <c r="E2057" s="39">
        <v>44.079494476318359</v>
      </c>
      <c r="F2057" s="41">
        <v>87585</v>
      </c>
      <c r="G2057" s="35" t="s">
        <v>677</v>
      </c>
      <c r="H2057" s="35" t="s">
        <v>115</v>
      </c>
    </row>
    <row r="2058" spans="1:8">
      <c r="A2058" s="37">
        <v>41255.15625</v>
      </c>
      <c r="B2058" s="35" t="s">
        <v>654</v>
      </c>
      <c r="C2058" s="35" t="s">
        <v>655</v>
      </c>
      <c r="D2058" s="39">
        <v>53.840000152587891</v>
      </c>
      <c r="E2058" s="39">
        <v>43.338932037353516</v>
      </c>
      <c r="F2058" s="41">
        <v>149845</v>
      </c>
      <c r="G2058" s="35" t="s">
        <v>677</v>
      </c>
      <c r="H2058" s="35" t="s">
        <v>115</v>
      </c>
    </row>
    <row r="2059" spans="1:8">
      <c r="A2059" s="37">
        <v>41256.15625</v>
      </c>
      <c r="B2059" s="35" t="s">
        <v>654</v>
      </c>
      <c r="C2059" s="35" t="s">
        <v>655</v>
      </c>
      <c r="D2059" s="39">
        <v>54.119998931884766</v>
      </c>
      <c r="E2059" s="39">
        <v>43.564319610595703</v>
      </c>
      <c r="F2059" s="41">
        <v>607135</v>
      </c>
      <c r="G2059" s="35" t="s">
        <v>677</v>
      </c>
      <c r="H2059" s="35" t="s">
        <v>115</v>
      </c>
    </row>
    <row r="2060" spans="1:8">
      <c r="A2060" s="37">
        <v>41257.15625</v>
      </c>
      <c r="B2060" s="35" t="s">
        <v>654</v>
      </c>
      <c r="C2060" s="35" t="s">
        <v>655</v>
      </c>
      <c r="D2060" s="39">
        <v>53.090000152587891</v>
      </c>
      <c r="E2060" s="39">
        <v>42.735202789306641</v>
      </c>
      <c r="F2060" s="41">
        <v>208765</v>
      </c>
      <c r="G2060" s="35" t="s">
        <v>677</v>
      </c>
      <c r="H2060" s="35" t="s">
        <v>115</v>
      </c>
    </row>
    <row r="2061" spans="1:8">
      <c r="A2061" s="37">
        <v>41260.15625</v>
      </c>
      <c r="B2061" s="35" t="s">
        <v>654</v>
      </c>
      <c r="C2061" s="35" t="s">
        <v>655</v>
      </c>
      <c r="D2061" s="39">
        <v>51.819999694824219</v>
      </c>
      <c r="E2061" s="39">
        <v>41.712928771972656</v>
      </c>
      <c r="F2061" s="41">
        <v>791615</v>
      </c>
      <c r="G2061" s="35" t="s">
        <v>677</v>
      </c>
      <c r="H2061" s="35" t="s">
        <v>115</v>
      </c>
    </row>
    <row r="2062" spans="1:8">
      <c r="A2062" s="37">
        <v>41261.15625</v>
      </c>
      <c r="B2062" s="35" t="s">
        <v>654</v>
      </c>
      <c r="C2062" s="35" t="s">
        <v>655</v>
      </c>
      <c r="D2062" s="39">
        <v>51.380001068115234</v>
      </c>
      <c r="E2062" s="39">
        <v>41.358737945556641</v>
      </c>
      <c r="F2062" s="41">
        <v>669390</v>
      </c>
      <c r="G2062" s="35" t="s">
        <v>677</v>
      </c>
      <c r="H2062" s="35" t="s">
        <v>115</v>
      </c>
    </row>
    <row r="2063" spans="1:8">
      <c r="A2063" s="37">
        <v>41262.15625</v>
      </c>
      <c r="B2063" s="35" t="s">
        <v>654</v>
      </c>
      <c r="C2063" s="35" t="s">
        <v>655</v>
      </c>
      <c r="D2063" s="39">
        <v>50.229999542236328</v>
      </c>
      <c r="E2063" s="39">
        <v>40.43304443359375</v>
      </c>
      <c r="F2063" s="41">
        <v>1034250</v>
      </c>
      <c r="G2063" s="35" t="s">
        <v>677</v>
      </c>
      <c r="H2063" s="35" t="s">
        <v>115</v>
      </c>
    </row>
    <row r="2064" spans="1:8">
      <c r="A2064" s="37">
        <v>41263.15625</v>
      </c>
      <c r="B2064" s="35" t="s">
        <v>654</v>
      </c>
      <c r="C2064" s="35" t="s">
        <v>655</v>
      </c>
      <c r="D2064" s="39">
        <v>49.669998168945313</v>
      </c>
      <c r="E2064" s="39">
        <v>39.982242584228516</v>
      </c>
      <c r="F2064" s="41">
        <v>522810</v>
      </c>
      <c r="G2064" s="35" t="s">
        <v>677</v>
      </c>
      <c r="H2064" s="35" t="s">
        <v>115</v>
      </c>
    </row>
    <row r="2065" spans="1:8">
      <c r="A2065" s="37">
        <v>41264.15625</v>
      </c>
      <c r="B2065" s="35" t="s">
        <v>654</v>
      </c>
      <c r="C2065" s="35" t="s">
        <v>655</v>
      </c>
      <c r="D2065" s="39">
        <v>48.330001831054688</v>
      </c>
      <c r="E2065" s="39">
        <v>38.903614044189453</v>
      </c>
      <c r="F2065" s="41">
        <v>613695</v>
      </c>
      <c r="G2065" s="35" t="s">
        <v>677</v>
      </c>
      <c r="H2065" s="35" t="s">
        <v>115</v>
      </c>
    </row>
    <row r="2066" spans="1:8">
      <c r="A2066" s="37">
        <v>41267.15625</v>
      </c>
      <c r="B2066" s="35" t="s">
        <v>654</v>
      </c>
      <c r="C2066" s="35" t="s">
        <v>655</v>
      </c>
      <c r="D2066" s="39">
        <v>49.520000457763672</v>
      </c>
      <c r="E2066" s="39">
        <v>39.861515045166016</v>
      </c>
      <c r="F2066" s="41">
        <v>341880</v>
      </c>
      <c r="G2066" s="35" t="s">
        <v>677</v>
      </c>
      <c r="H2066" s="35" t="s">
        <v>115</v>
      </c>
    </row>
    <row r="2067" spans="1:8">
      <c r="A2067" s="37">
        <v>41269.15625</v>
      </c>
      <c r="B2067" s="35" t="s">
        <v>654</v>
      </c>
      <c r="C2067" s="35" t="s">
        <v>655</v>
      </c>
      <c r="D2067" s="39">
        <v>49.490001678466797</v>
      </c>
      <c r="E2067" s="39">
        <v>39.837356567382813</v>
      </c>
      <c r="F2067" s="41">
        <v>191465</v>
      </c>
      <c r="G2067" s="35" t="s">
        <v>677</v>
      </c>
      <c r="H2067" s="35" t="s">
        <v>115</v>
      </c>
    </row>
    <row r="2068" spans="1:8">
      <c r="A2068" s="37">
        <v>41270.15625</v>
      </c>
      <c r="B2068" s="35" t="s">
        <v>654</v>
      </c>
      <c r="C2068" s="35" t="s">
        <v>655</v>
      </c>
      <c r="D2068" s="39">
        <v>48.950000762939453</v>
      </c>
      <c r="E2068" s="39">
        <v>39.402690887451172</v>
      </c>
      <c r="F2068" s="41">
        <v>141335</v>
      </c>
      <c r="G2068" s="35" t="s">
        <v>677</v>
      </c>
      <c r="H2068" s="35" t="s">
        <v>115</v>
      </c>
    </row>
    <row r="2069" spans="1:8">
      <c r="A2069" s="37">
        <v>41271.15625</v>
      </c>
      <c r="B2069" s="35" t="s">
        <v>654</v>
      </c>
      <c r="C2069" s="35" t="s">
        <v>655</v>
      </c>
      <c r="D2069" s="39">
        <v>48.529998779296875</v>
      </c>
      <c r="E2069" s="39">
        <v>39.064605712890625</v>
      </c>
      <c r="F2069" s="41">
        <v>445720</v>
      </c>
      <c r="G2069" s="35" t="s">
        <v>677</v>
      </c>
      <c r="H2069" s="35" t="s">
        <v>115</v>
      </c>
    </row>
    <row r="2070" spans="1:8">
      <c r="A2070" s="37">
        <v>41274.15625</v>
      </c>
      <c r="B2070" s="35" t="s">
        <v>654</v>
      </c>
      <c r="C2070" s="35" t="s">
        <v>655</v>
      </c>
      <c r="D2070" s="39">
        <v>48.470001220703125</v>
      </c>
      <c r="E2070" s="39">
        <v>39.016319274902344</v>
      </c>
      <c r="F2070" s="41">
        <v>340710</v>
      </c>
      <c r="G2070" s="35" t="s">
        <v>677</v>
      </c>
      <c r="H2070" s="35" t="s">
        <v>115</v>
      </c>
    </row>
    <row r="2071" spans="1:8">
      <c r="A2071" s="37">
        <v>41275.15625</v>
      </c>
      <c r="B2071" s="35" t="s">
        <v>654</v>
      </c>
      <c r="C2071" s="35" t="s">
        <v>655</v>
      </c>
      <c r="D2071" s="39">
        <v>49.200000762939453</v>
      </c>
      <c r="E2071" s="39">
        <v>39.603935241699219</v>
      </c>
      <c r="F2071" s="41">
        <v>483840</v>
      </c>
      <c r="G2071" s="35" t="s">
        <v>677</v>
      </c>
      <c r="H2071" s="35" t="s">
        <v>115</v>
      </c>
    </row>
    <row r="2072" spans="1:8">
      <c r="A2072" s="37">
        <v>41276.15625</v>
      </c>
      <c r="B2072" s="35" t="s">
        <v>654</v>
      </c>
      <c r="C2072" s="35" t="s">
        <v>655</v>
      </c>
      <c r="D2072" s="39">
        <v>49.830001831054688</v>
      </c>
      <c r="E2072" s="39">
        <v>40.111049652099609</v>
      </c>
      <c r="F2072" s="41">
        <v>340035</v>
      </c>
      <c r="G2072" s="35" t="s">
        <v>677</v>
      </c>
      <c r="H2072" s="35" t="s">
        <v>115</v>
      </c>
    </row>
    <row r="2073" spans="1:8">
      <c r="A2073" s="37">
        <v>41277.15625</v>
      </c>
      <c r="B2073" s="35" t="s">
        <v>654</v>
      </c>
      <c r="C2073" s="35" t="s">
        <v>655</v>
      </c>
      <c r="D2073" s="39">
        <v>49.759998321533203</v>
      </c>
      <c r="E2073" s="39">
        <v>40.054702758789063</v>
      </c>
      <c r="F2073" s="41">
        <v>395450</v>
      </c>
      <c r="G2073" s="35" t="s">
        <v>677</v>
      </c>
      <c r="H2073" s="35" t="s">
        <v>115</v>
      </c>
    </row>
    <row r="2074" spans="1:8">
      <c r="A2074" s="37">
        <v>41278.15625</v>
      </c>
      <c r="B2074" s="35" t="s">
        <v>654</v>
      </c>
      <c r="C2074" s="35" t="s">
        <v>655</v>
      </c>
      <c r="D2074" s="39">
        <v>50.259998321533203</v>
      </c>
      <c r="E2074" s="39">
        <v>40.457183837890625</v>
      </c>
      <c r="F2074" s="41">
        <v>488605</v>
      </c>
      <c r="G2074" s="35" t="s">
        <v>677</v>
      </c>
      <c r="H2074" s="35" t="s">
        <v>115</v>
      </c>
    </row>
    <row r="2075" spans="1:8">
      <c r="A2075" s="37">
        <v>41281.15625</v>
      </c>
      <c r="B2075" s="35" t="s">
        <v>654</v>
      </c>
      <c r="C2075" s="35" t="s">
        <v>655</v>
      </c>
      <c r="D2075" s="39">
        <v>51.369998931884766</v>
      </c>
      <c r="E2075" s="39">
        <v>41.350688934326172</v>
      </c>
      <c r="F2075" s="41">
        <v>591350</v>
      </c>
      <c r="G2075" s="35" t="s">
        <v>677</v>
      </c>
      <c r="H2075" s="35" t="s">
        <v>115</v>
      </c>
    </row>
    <row r="2076" spans="1:8">
      <c r="A2076" s="37">
        <v>41282.15625</v>
      </c>
      <c r="B2076" s="35" t="s">
        <v>654</v>
      </c>
      <c r="C2076" s="35" t="s">
        <v>655</v>
      </c>
      <c r="D2076" s="39">
        <v>51.599998474121094</v>
      </c>
      <c r="E2076" s="39">
        <v>41.535823822021484</v>
      </c>
      <c r="F2076" s="41">
        <v>275445</v>
      </c>
      <c r="G2076" s="35" t="s">
        <v>677</v>
      </c>
      <c r="H2076" s="35" t="s">
        <v>115</v>
      </c>
    </row>
    <row r="2077" spans="1:8">
      <c r="A2077" s="37">
        <v>41283.15625</v>
      </c>
      <c r="B2077" s="35" t="s">
        <v>654</v>
      </c>
      <c r="C2077" s="35" t="s">
        <v>655</v>
      </c>
      <c r="D2077" s="39">
        <v>51.580001831054688</v>
      </c>
      <c r="E2077" s="39">
        <v>41.519725799560547</v>
      </c>
      <c r="F2077" s="41">
        <v>311950</v>
      </c>
      <c r="G2077" s="35" t="s">
        <v>677</v>
      </c>
      <c r="H2077" s="35" t="s">
        <v>115</v>
      </c>
    </row>
    <row r="2078" spans="1:8">
      <c r="A2078" s="37">
        <v>41284.15625</v>
      </c>
      <c r="B2078" s="35" t="s">
        <v>654</v>
      </c>
      <c r="C2078" s="35" t="s">
        <v>655</v>
      </c>
      <c r="D2078" s="39">
        <v>51.979999542236328</v>
      </c>
      <c r="E2078" s="39">
        <v>41.841709136962891</v>
      </c>
      <c r="F2078" s="41">
        <v>340300</v>
      </c>
      <c r="G2078" s="35" t="s">
        <v>677</v>
      </c>
      <c r="H2078" s="35" t="s">
        <v>115</v>
      </c>
    </row>
    <row r="2079" spans="1:8">
      <c r="A2079" s="37">
        <v>41285.15625</v>
      </c>
      <c r="B2079" s="35" t="s">
        <v>654</v>
      </c>
      <c r="C2079" s="35" t="s">
        <v>655</v>
      </c>
      <c r="D2079" s="39">
        <v>54.970001220703125</v>
      </c>
      <c r="E2079" s="39">
        <v>44.248542785644531</v>
      </c>
      <c r="F2079" s="41">
        <v>2785270</v>
      </c>
      <c r="G2079" s="35" t="s">
        <v>677</v>
      </c>
      <c r="H2079" s="35" t="s">
        <v>115</v>
      </c>
    </row>
    <row r="2080" spans="1:8">
      <c r="A2080" s="37">
        <v>41288.15625</v>
      </c>
      <c r="B2080" s="35" t="s">
        <v>654</v>
      </c>
      <c r="C2080" s="35" t="s">
        <v>655</v>
      </c>
      <c r="D2080" s="39">
        <v>55.380001068115234</v>
      </c>
      <c r="E2080" s="39">
        <v>44.578575134277344</v>
      </c>
      <c r="F2080" s="41">
        <v>417105</v>
      </c>
      <c r="G2080" s="35" t="s">
        <v>677</v>
      </c>
      <c r="H2080" s="35" t="s">
        <v>115</v>
      </c>
    </row>
    <row r="2081" spans="1:8">
      <c r="A2081" s="37">
        <v>41289.15625</v>
      </c>
      <c r="B2081" s="35" t="s">
        <v>654</v>
      </c>
      <c r="C2081" s="35" t="s">
        <v>655</v>
      </c>
      <c r="D2081" s="39">
        <v>55.560001373291016</v>
      </c>
      <c r="E2081" s="39">
        <v>44.723457336425781</v>
      </c>
      <c r="F2081" s="41">
        <v>2587535</v>
      </c>
      <c r="G2081" s="35" t="s">
        <v>677</v>
      </c>
      <c r="H2081" s="35" t="s">
        <v>115</v>
      </c>
    </row>
    <row r="2082" spans="1:8">
      <c r="A2082" s="37">
        <v>41290.15625</v>
      </c>
      <c r="B2082" s="35" t="s">
        <v>654</v>
      </c>
      <c r="C2082" s="35" t="s">
        <v>655</v>
      </c>
      <c r="D2082" s="39">
        <v>53.740001678466797</v>
      </c>
      <c r="E2082" s="39">
        <v>43.258445739746094</v>
      </c>
      <c r="F2082" s="41">
        <v>724705</v>
      </c>
      <c r="G2082" s="35" t="s">
        <v>677</v>
      </c>
      <c r="H2082" s="35" t="s">
        <v>115</v>
      </c>
    </row>
    <row r="2083" spans="1:8">
      <c r="A2083" s="37">
        <v>41291.15625</v>
      </c>
      <c r="B2083" s="35" t="s">
        <v>654</v>
      </c>
      <c r="C2083" s="35" t="s">
        <v>655</v>
      </c>
      <c r="D2083" s="39">
        <v>55.169998168945313</v>
      </c>
      <c r="E2083" s="39">
        <v>44.409511566162109</v>
      </c>
      <c r="F2083" s="41">
        <v>1298605</v>
      </c>
      <c r="G2083" s="35" t="s">
        <v>677</v>
      </c>
      <c r="H2083" s="35" t="s">
        <v>115</v>
      </c>
    </row>
    <row r="2084" spans="1:8">
      <c r="A2084" s="37">
        <v>41292.15625</v>
      </c>
      <c r="B2084" s="35" t="s">
        <v>654</v>
      </c>
      <c r="C2084" s="35" t="s">
        <v>655</v>
      </c>
      <c r="D2084" s="39">
        <v>54.610000610351563</v>
      </c>
      <c r="E2084" s="39">
        <v>43.958751678466797</v>
      </c>
      <c r="F2084" s="41">
        <v>508635</v>
      </c>
      <c r="G2084" s="35" t="s">
        <v>677</v>
      </c>
      <c r="H2084" s="35" t="s">
        <v>115</v>
      </c>
    </row>
    <row r="2085" spans="1:8">
      <c r="A2085" s="37">
        <v>41295.15625</v>
      </c>
      <c r="B2085" s="35" t="s">
        <v>654</v>
      </c>
      <c r="C2085" s="35" t="s">
        <v>655</v>
      </c>
      <c r="D2085" s="39">
        <v>53.990001678466797</v>
      </c>
      <c r="E2085" s="39">
        <v>43.459671020507813</v>
      </c>
      <c r="F2085" s="41">
        <v>114985</v>
      </c>
      <c r="G2085" s="35" t="s">
        <v>677</v>
      </c>
      <c r="H2085" s="35" t="s">
        <v>115</v>
      </c>
    </row>
    <row r="2086" spans="1:8">
      <c r="A2086" s="37">
        <v>41296.15625</v>
      </c>
      <c r="B2086" s="35" t="s">
        <v>654</v>
      </c>
      <c r="C2086" s="35" t="s">
        <v>655</v>
      </c>
      <c r="D2086" s="39">
        <v>53.060001373291016</v>
      </c>
      <c r="E2086" s="39">
        <v>42.711063385009766</v>
      </c>
      <c r="F2086" s="41">
        <v>86160</v>
      </c>
      <c r="G2086" s="35" t="s">
        <v>677</v>
      </c>
      <c r="H2086" s="35" t="s">
        <v>115</v>
      </c>
    </row>
    <row r="2087" spans="1:8">
      <c r="A2087" s="37">
        <v>41297.15625</v>
      </c>
      <c r="B2087" s="35" t="s">
        <v>654</v>
      </c>
      <c r="C2087" s="35" t="s">
        <v>655</v>
      </c>
      <c r="D2087" s="39">
        <v>50.650001525878906</v>
      </c>
      <c r="E2087" s="39">
        <v>40.7711181640625</v>
      </c>
      <c r="F2087" s="41">
        <v>1939470</v>
      </c>
      <c r="G2087" s="35" t="s">
        <v>677</v>
      </c>
      <c r="H2087" s="35" t="s">
        <v>115</v>
      </c>
    </row>
    <row r="2088" spans="1:8">
      <c r="A2088" s="37">
        <v>41298.15625</v>
      </c>
      <c r="B2088" s="35" t="s">
        <v>654</v>
      </c>
      <c r="C2088" s="35" t="s">
        <v>655</v>
      </c>
      <c r="D2088" s="39">
        <v>49.349998474121094</v>
      </c>
      <c r="E2088" s="39">
        <v>39.724666595458984</v>
      </c>
      <c r="F2088" s="41">
        <v>197010</v>
      </c>
      <c r="G2088" s="35" t="s">
        <v>677</v>
      </c>
      <c r="H2088" s="35" t="s">
        <v>115</v>
      </c>
    </row>
    <row r="2089" spans="1:8">
      <c r="A2089" s="37">
        <v>41299.15625</v>
      </c>
      <c r="B2089" s="35" t="s">
        <v>654</v>
      </c>
      <c r="C2089" s="35" t="s">
        <v>655</v>
      </c>
      <c r="D2089" s="39">
        <v>51.080001831054688</v>
      </c>
      <c r="E2089" s="39">
        <v>41.11724853515625</v>
      </c>
      <c r="F2089" s="41">
        <v>439195</v>
      </c>
      <c r="G2089" s="35" t="s">
        <v>677</v>
      </c>
      <c r="H2089" s="35" t="s">
        <v>115</v>
      </c>
    </row>
    <row r="2090" spans="1:8">
      <c r="A2090" s="37">
        <v>41302.15625</v>
      </c>
      <c r="B2090" s="35" t="s">
        <v>654</v>
      </c>
      <c r="C2090" s="35" t="s">
        <v>655</v>
      </c>
      <c r="D2090" s="39">
        <v>50.75</v>
      </c>
      <c r="E2090" s="39">
        <v>40.851612091064453</v>
      </c>
      <c r="F2090" s="41">
        <v>191610</v>
      </c>
      <c r="G2090" s="35" t="s">
        <v>677</v>
      </c>
      <c r="H2090" s="35" t="s">
        <v>115</v>
      </c>
    </row>
    <row r="2091" spans="1:8">
      <c r="A2091" s="37">
        <v>41303.15625</v>
      </c>
      <c r="B2091" s="35" t="s">
        <v>654</v>
      </c>
      <c r="C2091" s="35" t="s">
        <v>655</v>
      </c>
      <c r="D2091" s="39">
        <v>51.180000305175781</v>
      </c>
      <c r="E2091" s="39">
        <v>41.197746276855469</v>
      </c>
      <c r="F2091" s="41">
        <v>342420</v>
      </c>
      <c r="G2091" s="35" t="s">
        <v>677</v>
      </c>
      <c r="H2091" s="35" t="s">
        <v>115</v>
      </c>
    </row>
    <row r="2092" spans="1:8">
      <c r="A2092" s="37">
        <v>41304.15625</v>
      </c>
      <c r="B2092" s="35" t="s">
        <v>654</v>
      </c>
      <c r="C2092" s="35" t="s">
        <v>655</v>
      </c>
      <c r="D2092" s="39">
        <v>50.090000152587891</v>
      </c>
      <c r="E2092" s="39">
        <v>40.320346832275391</v>
      </c>
      <c r="F2092" s="41">
        <v>130225</v>
      </c>
      <c r="G2092" s="35" t="s">
        <v>677</v>
      </c>
      <c r="H2092" s="35" t="s">
        <v>115</v>
      </c>
    </row>
    <row r="2093" spans="1:8">
      <c r="A2093" s="37">
        <v>41305.15625</v>
      </c>
      <c r="B2093" s="35" t="s">
        <v>654</v>
      </c>
      <c r="C2093" s="35" t="s">
        <v>655</v>
      </c>
      <c r="D2093" s="39">
        <v>52.790000915527344</v>
      </c>
      <c r="E2093" s="39">
        <v>42.493732452392578</v>
      </c>
      <c r="F2093" s="41">
        <v>415010</v>
      </c>
      <c r="G2093" s="35" t="s">
        <v>677</v>
      </c>
      <c r="H2093" s="35" t="s">
        <v>115</v>
      </c>
    </row>
    <row r="2094" spans="1:8">
      <c r="A2094" s="37">
        <v>41306.15625</v>
      </c>
      <c r="B2094" s="35" t="s">
        <v>654</v>
      </c>
      <c r="C2094" s="35" t="s">
        <v>655</v>
      </c>
      <c r="D2094" s="39">
        <v>50.950000762939453</v>
      </c>
      <c r="E2094" s="39">
        <v>41.012603759765625</v>
      </c>
      <c r="F2094" s="41">
        <v>234490</v>
      </c>
      <c r="G2094" s="35" t="s">
        <v>677</v>
      </c>
      <c r="H2094" s="35" t="s">
        <v>115</v>
      </c>
    </row>
    <row r="2095" spans="1:8">
      <c r="A2095" s="37">
        <v>41309.15625</v>
      </c>
      <c r="B2095" s="35" t="s">
        <v>654</v>
      </c>
      <c r="C2095" s="35" t="s">
        <v>655</v>
      </c>
      <c r="D2095" s="39">
        <v>51.540000915527344</v>
      </c>
      <c r="E2095" s="39">
        <v>41.487529754638672</v>
      </c>
      <c r="F2095" s="41">
        <v>277915</v>
      </c>
      <c r="G2095" s="35" t="s">
        <v>677</v>
      </c>
      <c r="H2095" s="35" t="s">
        <v>115</v>
      </c>
    </row>
    <row r="2096" spans="1:8">
      <c r="A2096" s="37">
        <v>41310.15625</v>
      </c>
      <c r="B2096" s="35" t="s">
        <v>654</v>
      </c>
      <c r="C2096" s="35" t="s">
        <v>655</v>
      </c>
      <c r="D2096" s="39">
        <v>52.349998474121094</v>
      </c>
      <c r="E2096" s="39">
        <v>42.139549255371094</v>
      </c>
      <c r="F2096" s="41">
        <v>424400</v>
      </c>
      <c r="G2096" s="35" t="s">
        <v>677</v>
      </c>
      <c r="H2096" s="35" t="s">
        <v>115</v>
      </c>
    </row>
    <row r="2097" spans="1:8">
      <c r="A2097" s="37">
        <v>41311.15625</v>
      </c>
      <c r="B2097" s="35" t="s">
        <v>654</v>
      </c>
      <c r="C2097" s="35" t="s">
        <v>655</v>
      </c>
      <c r="D2097" s="39">
        <v>51.849998474121094</v>
      </c>
      <c r="E2097" s="39">
        <v>41.737068176269531</v>
      </c>
      <c r="F2097" s="41">
        <v>205810</v>
      </c>
      <c r="G2097" s="35" t="s">
        <v>677</v>
      </c>
      <c r="H2097" s="35" t="s">
        <v>115</v>
      </c>
    </row>
    <row r="2098" spans="1:8">
      <c r="A2098" s="37">
        <v>41312.15625</v>
      </c>
      <c r="B2098" s="35" t="s">
        <v>654</v>
      </c>
      <c r="C2098" s="35" t="s">
        <v>655</v>
      </c>
      <c r="D2098" s="39">
        <v>51.450000762939453</v>
      </c>
      <c r="E2098" s="39">
        <v>41.415084838867188</v>
      </c>
      <c r="F2098" s="41">
        <v>162080</v>
      </c>
      <c r="G2098" s="35" t="s">
        <v>677</v>
      </c>
      <c r="H2098" s="35" t="s">
        <v>115</v>
      </c>
    </row>
    <row r="2099" spans="1:8">
      <c r="A2099" s="37">
        <v>41313.15625</v>
      </c>
      <c r="B2099" s="35" t="s">
        <v>654</v>
      </c>
      <c r="C2099" s="35" t="s">
        <v>655</v>
      </c>
      <c r="D2099" s="39">
        <v>51.299999237060547</v>
      </c>
      <c r="E2099" s="39">
        <v>41.294345855712891</v>
      </c>
      <c r="F2099" s="41">
        <v>124480</v>
      </c>
      <c r="G2099" s="35" t="s">
        <v>677</v>
      </c>
      <c r="H2099" s="35" t="s">
        <v>115</v>
      </c>
    </row>
    <row r="2100" spans="1:8">
      <c r="A2100" s="37">
        <v>41316.15625</v>
      </c>
      <c r="B2100" s="35" t="s">
        <v>654</v>
      </c>
      <c r="C2100" s="35" t="s">
        <v>655</v>
      </c>
      <c r="D2100" s="39">
        <v>51.849998474121094</v>
      </c>
      <c r="E2100" s="39">
        <v>41.737068176269531</v>
      </c>
      <c r="F2100" s="41">
        <v>78400</v>
      </c>
      <c r="G2100" s="35" t="s">
        <v>677</v>
      </c>
      <c r="H2100" s="35" t="s">
        <v>115</v>
      </c>
    </row>
    <row r="2101" spans="1:8">
      <c r="A2101" s="37">
        <v>41317.15625</v>
      </c>
      <c r="B2101" s="35" t="s">
        <v>654</v>
      </c>
      <c r="C2101" s="35" t="s">
        <v>655</v>
      </c>
      <c r="D2101" s="39">
        <v>51.369998931884766</v>
      </c>
      <c r="E2101" s="39">
        <v>41.350688934326172</v>
      </c>
      <c r="F2101" s="41">
        <v>52260</v>
      </c>
      <c r="G2101" s="35" t="s">
        <v>677</v>
      </c>
      <c r="H2101" s="35" t="s">
        <v>115</v>
      </c>
    </row>
    <row r="2102" spans="1:8">
      <c r="A2102" s="37">
        <v>41318.15625</v>
      </c>
      <c r="B2102" s="35" t="s">
        <v>654</v>
      </c>
      <c r="C2102" s="35" t="s">
        <v>655</v>
      </c>
      <c r="D2102" s="39">
        <v>52.25</v>
      </c>
      <c r="E2102" s="39">
        <v>42.059040069580078</v>
      </c>
      <c r="F2102" s="41">
        <v>217220</v>
      </c>
      <c r="G2102" s="35" t="s">
        <v>677</v>
      </c>
      <c r="H2102" s="35" t="s">
        <v>115</v>
      </c>
    </row>
    <row r="2103" spans="1:8">
      <c r="A2103" s="37">
        <v>41319.15625</v>
      </c>
      <c r="B2103" s="35" t="s">
        <v>654</v>
      </c>
      <c r="C2103" s="35" t="s">
        <v>655</v>
      </c>
      <c r="D2103" s="39">
        <v>52.049999237060547</v>
      </c>
      <c r="E2103" s="39">
        <v>41.898059844970703</v>
      </c>
      <c r="F2103" s="41">
        <v>201710</v>
      </c>
      <c r="G2103" s="35" t="s">
        <v>677</v>
      </c>
      <c r="H2103" s="35" t="s">
        <v>115</v>
      </c>
    </row>
    <row r="2104" spans="1:8">
      <c r="A2104" s="37">
        <v>41320.15625</v>
      </c>
      <c r="B2104" s="35" t="s">
        <v>654</v>
      </c>
      <c r="C2104" s="35" t="s">
        <v>655</v>
      </c>
      <c r="D2104" s="39">
        <v>50.580001831054688</v>
      </c>
      <c r="E2104" s="39">
        <v>40.714759826660156</v>
      </c>
      <c r="F2104" s="41">
        <v>146545</v>
      </c>
      <c r="G2104" s="35" t="s">
        <v>677</v>
      </c>
      <c r="H2104" s="35" t="s">
        <v>115</v>
      </c>
    </row>
    <row r="2105" spans="1:8">
      <c r="A2105" s="37">
        <v>41323.15625</v>
      </c>
      <c r="B2105" s="35" t="s">
        <v>654</v>
      </c>
      <c r="C2105" s="35" t="s">
        <v>655</v>
      </c>
      <c r="D2105" s="39">
        <v>51.549999237060547</v>
      </c>
      <c r="E2105" s="39">
        <v>41.495574951171875</v>
      </c>
      <c r="F2105" s="41">
        <v>2412100</v>
      </c>
      <c r="G2105" s="35" t="s">
        <v>677</v>
      </c>
      <c r="H2105" s="35" t="s">
        <v>115</v>
      </c>
    </row>
    <row r="2106" spans="1:8">
      <c r="A2106" s="37">
        <v>41324.15625</v>
      </c>
      <c r="B2106" s="35" t="s">
        <v>654</v>
      </c>
      <c r="C2106" s="35" t="s">
        <v>655</v>
      </c>
      <c r="D2106" s="39">
        <v>52.290000915527344</v>
      </c>
      <c r="E2106" s="39">
        <v>42.091262817382813</v>
      </c>
      <c r="F2106" s="41">
        <v>356955</v>
      </c>
      <c r="G2106" s="35" t="s">
        <v>677</v>
      </c>
      <c r="H2106" s="35" t="s">
        <v>115</v>
      </c>
    </row>
    <row r="2107" spans="1:8">
      <c r="A2107" s="37">
        <v>41325.15625</v>
      </c>
      <c r="B2107" s="35" t="s">
        <v>654</v>
      </c>
      <c r="C2107" s="35" t="s">
        <v>655</v>
      </c>
      <c r="D2107" s="39">
        <v>51.860000610351563</v>
      </c>
      <c r="E2107" s="39">
        <v>41.745113372802734</v>
      </c>
      <c r="F2107" s="41">
        <v>839080</v>
      </c>
      <c r="G2107" s="35" t="s">
        <v>677</v>
      </c>
      <c r="H2107" s="35" t="s">
        <v>115</v>
      </c>
    </row>
    <row r="2108" spans="1:8">
      <c r="A2108" s="37">
        <v>41326.15625</v>
      </c>
      <c r="B2108" s="35" t="s">
        <v>654</v>
      </c>
      <c r="C2108" s="35" t="s">
        <v>655</v>
      </c>
      <c r="D2108" s="39">
        <v>51.590000152587891</v>
      </c>
      <c r="E2108" s="39">
        <v>41.52777099609375</v>
      </c>
      <c r="F2108" s="41">
        <v>263755</v>
      </c>
      <c r="G2108" s="35" t="s">
        <v>677</v>
      </c>
      <c r="H2108" s="35" t="s">
        <v>115</v>
      </c>
    </row>
    <row r="2109" spans="1:8">
      <c r="A2109" s="37">
        <v>41327.15625</v>
      </c>
      <c r="B2109" s="35" t="s">
        <v>654</v>
      </c>
      <c r="C2109" s="35" t="s">
        <v>655</v>
      </c>
      <c r="D2109" s="39">
        <v>51.430000305175781</v>
      </c>
      <c r="E2109" s="39">
        <v>41.39898681640625</v>
      </c>
      <c r="F2109" s="41">
        <v>173015</v>
      </c>
      <c r="G2109" s="35" t="s">
        <v>677</v>
      </c>
      <c r="H2109" s="35" t="s">
        <v>115</v>
      </c>
    </row>
    <row r="2110" spans="1:8">
      <c r="A2110" s="37">
        <v>41330.15625</v>
      </c>
      <c r="B2110" s="35" t="s">
        <v>654</v>
      </c>
      <c r="C2110" s="35" t="s">
        <v>655</v>
      </c>
      <c r="D2110" s="39">
        <v>50.830001831054688</v>
      </c>
      <c r="E2110" s="39">
        <v>40.916004180908203</v>
      </c>
      <c r="F2110" s="41">
        <v>343015</v>
      </c>
      <c r="G2110" s="35" t="s">
        <v>677</v>
      </c>
      <c r="H2110" s="35" t="s">
        <v>115</v>
      </c>
    </row>
    <row r="2111" spans="1:8">
      <c r="A2111" s="37">
        <v>41331.15625</v>
      </c>
      <c r="B2111" s="35" t="s">
        <v>654</v>
      </c>
      <c r="C2111" s="35" t="s">
        <v>655</v>
      </c>
      <c r="D2111" s="39">
        <v>50.819999694824219</v>
      </c>
      <c r="E2111" s="39">
        <v>40.907962799072266</v>
      </c>
      <c r="F2111" s="41">
        <v>94560</v>
      </c>
      <c r="G2111" s="35" t="s">
        <v>677</v>
      </c>
      <c r="H2111" s="35" t="s">
        <v>115</v>
      </c>
    </row>
    <row r="2112" spans="1:8">
      <c r="A2112" s="37">
        <v>41332.15625</v>
      </c>
      <c r="B2112" s="35" t="s">
        <v>654</v>
      </c>
      <c r="C2112" s="35" t="s">
        <v>655</v>
      </c>
      <c r="D2112" s="39">
        <v>51.060001373291016</v>
      </c>
      <c r="E2112" s="39">
        <v>41.101142883300781</v>
      </c>
      <c r="F2112" s="41">
        <v>153530</v>
      </c>
      <c r="G2112" s="35" t="s">
        <v>677</v>
      </c>
      <c r="H2112" s="35" t="s">
        <v>115</v>
      </c>
    </row>
    <row r="2113" spans="1:8">
      <c r="A2113" s="37">
        <v>41333.15625</v>
      </c>
      <c r="B2113" s="35" t="s">
        <v>654</v>
      </c>
      <c r="C2113" s="35" t="s">
        <v>655</v>
      </c>
      <c r="D2113" s="39">
        <v>52.830001831054688</v>
      </c>
      <c r="E2113" s="39">
        <v>42.525920867919922</v>
      </c>
      <c r="F2113" s="41">
        <v>533620</v>
      </c>
      <c r="G2113" s="35" t="s">
        <v>677</v>
      </c>
      <c r="H2113" s="35" t="s">
        <v>115</v>
      </c>
    </row>
    <row r="2114" spans="1:8">
      <c r="A2114" s="37">
        <v>41334.15625</v>
      </c>
      <c r="B2114" s="35" t="s">
        <v>654</v>
      </c>
      <c r="C2114" s="35" t="s">
        <v>655</v>
      </c>
      <c r="D2114" s="39">
        <v>52.509998321533203</v>
      </c>
      <c r="E2114" s="39">
        <v>42.268341064453125</v>
      </c>
      <c r="F2114" s="41">
        <v>126970</v>
      </c>
      <c r="G2114" s="35" t="s">
        <v>677</v>
      </c>
      <c r="H2114" s="35" t="s">
        <v>115</v>
      </c>
    </row>
    <row r="2115" spans="1:8">
      <c r="A2115" s="37">
        <v>41337.15625</v>
      </c>
      <c r="B2115" s="35" t="s">
        <v>654</v>
      </c>
      <c r="C2115" s="35" t="s">
        <v>655</v>
      </c>
      <c r="D2115" s="39">
        <v>53.119998931884766</v>
      </c>
      <c r="E2115" s="39">
        <v>42.759361267089844</v>
      </c>
      <c r="F2115" s="41">
        <v>160520</v>
      </c>
      <c r="G2115" s="35" t="s">
        <v>677</v>
      </c>
      <c r="H2115" s="35" t="s">
        <v>115</v>
      </c>
    </row>
    <row r="2116" spans="1:8">
      <c r="A2116" s="37">
        <v>41338.15625</v>
      </c>
      <c r="B2116" s="35" t="s">
        <v>654</v>
      </c>
      <c r="C2116" s="35" t="s">
        <v>655</v>
      </c>
      <c r="D2116" s="39">
        <v>52.439998626708984</v>
      </c>
      <c r="E2116" s="39">
        <v>42.211990356445313</v>
      </c>
      <c r="F2116" s="41">
        <v>152440</v>
      </c>
      <c r="G2116" s="35" t="s">
        <v>677</v>
      </c>
      <c r="H2116" s="35" t="s">
        <v>115</v>
      </c>
    </row>
    <row r="2117" spans="1:8">
      <c r="A2117" s="37">
        <v>41339.15625</v>
      </c>
      <c r="B2117" s="35" t="s">
        <v>654</v>
      </c>
      <c r="C2117" s="35" t="s">
        <v>655</v>
      </c>
      <c r="D2117" s="39">
        <v>54.580001831054688</v>
      </c>
      <c r="E2117" s="39">
        <v>43.934597015380859</v>
      </c>
      <c r="F2117" s="41">
        <v>294110</v>
      </c>
      <c r="G2117" s="35" t="s">
        <v>677</v>
      </c>
      <c r="H2117" s="35" t="s">
        <v>115</v>
      </c>
    </row>
    <row r="2118" spans="1:8">
      <c r="A2118" s="37">
        <v>41340.15625</v>
      </c>
      <c r="B2118" s="35" t="s">
        <v>654</v>
      </c>
      <c r="C2118" s="35" t="s">
        <v>655</v>
      </c>
      <c r="D2118" s="39">
        <v>56.169998168945313</v>
      </c>
      <c r="E2118" s="39">
        <v>45.214485168457031</v>
      </c>
      <c r="F2118" s="41">
        <v>1329690</v>
      </c>
      <c r="G2118" s="35" t="s">
        <v>677</v>
      </c>
      <c r="H2118" s="35" t="s">
        <v>115</v>
      </c>
    </row>
    <row r="2119" spans="1:8">
      <c r="A2119" s="37">
        <v>41341.15625</v>
      </c>
      <c r="B2119" s="35" t="s">
        <v>654</v>
      </c>
      <c r="C2119" s="35" t="s">
        <v>655</v>
      </c>
      <c r="D2119" s="39">
        <v>55.310001373291016</v>
      </c>
      <c r="E2119" s="39">
        <v>44.522212982177734</v>
      </c>
      <c r="F2119" s="41">
        <v>270400</v>
      </c>
      <c r="G2119" s="35" t="s">
        <v>677</v>
      </c>
      <c r="H2119" s="35" t="s">
        <v>115</v>
      </c>
    </row>
    <row r="2120" spans="1:8">
      <c r="A2120" s="37">
        <v>41344.15625</v>
      </c>
      <c r="B2120" s="35" t="s">
        <v>654</v>
      </c>
      <c r="C2120" s="35" t="s">
        <v>655</v>
      </c>
      <c r="D2120" s="39">
        <v>54.720001220703125</v>
      </c>
      <c r="E2120" s="39">
        <v>44.047294616699219</v>
      </c>
      <c r="F2120" s="41">
        <v>162225</v>
      </c>
      <c r="G2120" s="35" t="s">
        <v>677</v>
      </c>
      <c r="H2120" s="35" t="s">
        <v>115</v>
      </c>
    </row>
    <row r="2121" spans="1:8">
      <c r="A2121" s="37">
        <v>41345.15625</v>
      </c>
      <c r="B2121" s="35" t="s">
        <v>654</v>
      </c>
      <c r="C2121" s="35" t="s">
        <v>655</v>
      </c>
      <c r="D2121" s="39">
        <v>54.279998779296875</v>
      </c>
      <c r="E2121" s="39">
        <v>43.693111419677734</v>
      </c>
      <c r="F2121" s="41">
        <v>297090</v>
      </c>
      <c r="G2121" s="35" t="s">
        <v>677</v>
      </c>
      <c r="H2121" s="35" t="s">
        <v>115</v>
      </c>
    </row>
    <row r="2122" spans="1:8">
      <c r="A2122" s="37">
        <v>41346.15625</v>
      </c>
      <c r="B2122" s="35" t="s">
        <v>654</v>
      </c>
      <c r="C2122" s="35" t="s">
        <v>655</v>
      </c>
      <c r="D2122" s="39">
        <v>56.349998474121094</v>
      </c>
      <c r="E2122" s="39">
        <v>45.359375</v>
      </c>
      <c r="F2122" s="41">
        <v>1139715</v>
      </c>
      <c r="G2122" s="35" t="s">
        <v>677</v>
      </c>
      <c r="H2122" s="35" t="s">
        <v>115</v>
      </c>
    </row>
    <row r="2123" spans="1:8">
      <c r="A2123" s="37">
        <v>41347.15625</v>
      </c>
      <c r="B2123" s="35" t="s">
        <v>654</v>
      </c>
      <c r="C2123" s="35" t="s">
        <v>655</v>
      </c>
      <c r="D2123" s="39">
        <v>56.139999389648438</v>
      </c>
      <c r="E2123" s="39">
        <v>45.190334320068359</v>
      </c>
      <c r="F2123" s="41">
        <v>166225</v>
      </c>
      <c r="G2123" s="35" t="s">
        <v>677</v>
      </c>
      <c r="H2123" s="35" t="s">
        <v>115</v>
      </c>
    </row>
    <row r="2124" spans="1:8">
      <c r="A2124" s="37">
        <v>41348.15625</v>
      </c>
      <c r="B2124" s="35" t="s">
        <v>654</v>
      </c>
      <c r="C2124" s="35" t="s">
        <v>655</v>
      </c>
      <c r="D2124" s="39">
        <v>55.259998321533203</v>
      </c>
      <c r="E2124" s="39">
        <v>44.481971740722656</v>
      </c>
      <c r="F2124" s="41">
        <v>117540</v>
      </c>
      <c r="G2124" s="35" t="s">
        <v>677</v>
      </c>
      <c r="H2124" s="35" t="s">
        <v>115</v>
      </c>
    </row>
    <row r="2125" spans="1:8">
      <c r="A2125" s="37">
        <v>41351.15625</v>
      </c>
      <c r="B2125" s="35" t="s">
        <v>654</v>
      </c>
      <c r="C2125" s="35" t="s">
        <v>655</v>
      </c>
      <c r="D2125" s="39">
        <v>56.220001220703125</v>
      </c>
      <c r="E2125" s="39">
        <v>45.254741668701172</v>
      </c>
      <c r="F2125" s="41">
        <v>632655</v>
      </c>
      <c r="G2125" s="35" t="s">
        <v>677</v>
      </c>
      <c r="H2125" s="35" t="s">
        <v>115</v>
      </c>
    </row>
    <row r="2126" spans="1:8">
      <c r="A2126" s="37">
        <v>41352.15625</v>
      </c>
      <c r="B2126" s="35" t="s">
        <v>654</v>
      </c>
      <c r="C2126" s="35" t="s">
        <v>655</v>
      </c>
      <c r="D2126" s="39">
        <v>56.130001068115234</v>
      </c>
      <c r="E2126" s="39">
        <v>45.182281494140625</v>
      </c>
      <c r="F2126" s="41">
        <v>400595</v>
      </c>
      <c r="G2126" s="35" t="s">
        <v>677</v>
      </c>
      <c r="H2126" s="35" t="s">
        <v>115</v>
      </c>
    </row>
    <row r="2127" spans="1:8">
      <c r="A2127" s="37">
        <v>41353.15625</v>
      </c>
      <c r="B2127" s="35" t="s">
        <v>654</v>
      </c>
      <c r="C2127" s="35" t="s">
        <v>655</v>
      </c>
      <c r="D2127" s="39">
        <v>55.639999389648438</v>
      </c>
      <c r="E2127" s="39">
        <v>44.787860870361328</v>
      </c>
      <c r="F2127" s="41">
        <v>302600</v>
      </c>
      <c r="G2127" s="35" t="s">
        <v>677</v>
      </c>
      <c r="H2127" s="35" t="s">
        <v>115</v>
      </c>
    </row>
    <row r="2128" spans="1:8">
      <c r="A2128" s="37">
        <v>41354.15625</v>
      </c>
      <c r="B2128" s="35" t="s">
        <v>654</v>
      </c>
      <c r="C2128" s="35" t="s">
        <v>655</v>
      </c>
      <c r="D2128" s="39">
        <v>54.040000915527344</v>
      </c>
      <c r="E2128" s="39">
        <v>43.499923706054688</v>
      </c>
      <c r="F2128" s="41">
        <v>241270</v>
      </c>
      <c r="G2128" s="35" t="s">
        <v>677</v>
      </c>
      <c r="H2128" s="35" t="s">
        <v>115</v>
      </c>
    </row>
    <row r="2129" spans="1:8">
      <c r="A2129" s="37">
        <v>41355.15625</v>
      </c>
      <c r="B2129" s="35" t="s">
        <v>654</v>
      </c>
      <c r="C2129" s="35" t="s">
        <v>655</v>
      </c>
      <c r="D2129" s="39">
        <v>54.200000762939453</v>
      </c>
      <c r="E2129" s="39">
        <v>43.628715515136719</v>
      </c>
      <c r="F2129" s="41">
        <v>1015470</v>
      </c>
      <c r="G2129" s="35" t="s">
        <v>677</v>
      </c>
      <c r="H2129" s="35" t="s">
        <v>115</v>
      </c>
    </row>
    <row r="2130" spans="1:8">
      <c r="A2130" s="37">
        <v>41358.15625</v>
      </c>
      <c r="B2130" s="35" t="s">
        <v>654</v>
      </c>
      <c r="C2130" s="35" t="s">
        <v>655</v>
      </c>
      <c r="D2130" s="39">
        <v>54.060001373291016</v>
      </c>
      <c r="E2130" s="39">
        <v>43.516017913818359</v>
      </c>
      <c r="F2130" s="41">
        <v>379155</v>
      </c>
      <c r="G2130" s="35" t="s">
        <v>677</v>
      </c>
      <c r="H2130" s="35" t="s">
        <v>115</v>
      </c>
    </row>
    <row r="2131" spans="1:8">
      <c r="A2131" s="37">
        <v>41359.15625</v>
      </c>
      <c r="B2131" s="35" t="s">
        <v>654</v>
      </c>
      <c r="C2131" s="35" t="s">
        <v>655</v>
      </c>
      <c r="D2131" s="39">
        <v>55.159999847412109</v>
      </c>
      <c r="E2131" s="39">
        <v>44.401485443115234</v>
      </c>
      <c r="F2131" s="41">
        <v>299860</v>
      </c>
      <c r="G2131" s="35" t="s">
        <v>677</v>
      </c>
      <c r="H2131" s="35" t="s">
        <v>115</v>
      </c>
    </row>
    <row r="2132" spans="1:8">
      <c r="A2132" s="37">
        <v>41361.15625</v>
      </c>
      <c r="B2132" s="35" t="s">
        <v>654</v>
      </c>
      <c r="C2132" s="35" t="s">
        <v>655</v>
      </c>
      <c r="D2132" s="39">
        <v>56.479999542236328</v>
      </c>
      <c r="E2132" s="39">
        <v>45.464019775390625</v>
      </c>
      <c r="F2132" s="41">
        <v>299515</v>
      </c>
      <c r="G2132" s="35" t="s">
        <v>677</v>
      </c>
      <c r="H2132" s="35" t="s">
        <v>115</v>
      </c>
    </row>
    <row r="2133" spans="1:8">
      <c r="A2133" s="37">
        <v>41365.15625</v>
      </c>
      <c r="B2133" s="35" t="s">
        <v>654</v>
      </c>
      <c r="C2133" s="35" t="s">
        <v>655</v>
      </c>
      <c r="D2133" s="39">
        <v>55.970001220703125</v>
      </c>
      <c r="E2133" s="39">
        <v>45.053493499755859</v>
      </c>
      <c r="F2133" s="41">
        <v>69240</v>
      </c>
      <c r="G2133" s="35" t="s">
        <v>678</v>
      </c>
      <c r="H2133" s="35" t="s">
        <v>115</v>
      </c>
    </row>
    <row r="2134" spans="1:8">
      <c r="A2134" s="37">
        <v>41366.15625</v>
      </c>
      <c r="B2134" s="35" t="s">
        <v>654</v>
      </c>
      <c r="C2134" s="35" t="s">
        <v>655</v>
      </c>
      <c r="D2134" s="39">
        <v>56.599998474121094</v>
      </c>
      <c r="E2134" s="39">
        <v>45.560623168945313</v>
      </c>
      <c r="F2134" s="41">
        <v>165890</v>
      </c>
      <c r="G2134" s="35" t="s">
        <v>678</v>
      </c>
      <c r="H2134" s="35" t="s">
        <v>115</v>
      </c>
    </row>
    <row r="2135" spans="1:8">
      <c r="A2135" s="37">
        <v>41367.15625</v>
      </c>
      <c r="B2135" s="35" t="s">
        <v>654</v>
      </c>
      <c r="C2135" s="35" t="s">
        <v>655</v>
      </c>
      <c r="D2135" s="39">
        <v>56.650001525878906</v>
      </c>
      <c r="E2135" s="39">
        <v>45.600864410400391</v>
      </c>
      <c r="F2135" s="41">
        <v>183780</v>
      </c>
      <c r="G2135" s="35" t="s">
        <v>678</v>
      </c>
      <c r="H2135" s="35" t="s">
        <v>115</v>
      </c>
    </row>
    <row r="2136" spans="1:8">
      <c r="A2136" s="37">
        <v>41368.15625</v>
      </c>
      <c r="B2136" s="35" t="s">
        <v>654</v>
      </c>
      <c r="C2136" s="35" t="s">
        <v>655</v>
      </c>
      <c r="D2136" s="39">
        <v>55.599998474121094</v>
      </c>
      <c r="E2136" s="39">
        <v>44.755668640136719</v>
      </c>
      <c r="F2136" s="41">
        <v>185730</v>
      </c>
      <c r="G2136" s="35" t="s">
        <v>678</v>
      </c>
      <c r="H2136" s="35" t="s">
        <v>115</v>
      </c>
    </row>
    <row r="2137" spans="1:8">
      <c r="A2137" s="37">
        <v>41369.15625</v>
      </c>
      <c r="B2137" s="35" t="s">
        <v>654</v>
      </c>
      <c r="C2137" s="35" t="s">
        <v>655</v>
      </c>
      <c r="D2137" s="39">
        <v>54.779998779296875</v>
      </c>
      <c r="E2137" s="39">
        <v>44.095600128173828</v>
      </c>
      <c r="F2137" s="41">
        <v>53805</v>
      </c>
      <c r="G2137" s="35" t="s">
        <v>678</v>
      </c>
      <c r="H2137" s="35" t="s">
        <v>115</v>
      </c>
    </row>
    <row r="2138" spans="1:8">
      <c r="A2138" s="37">
        <v>41372.15625</v>
      </c>
      <c r="B2138" s="35" t="s">
        <v>654</v>
      </c>
      <c r="C2138" s="35" t="s">
        <v>655</v>
      </c>
      <c r="D2138" s="39">
        <v>56.360000610351563</v>
      </c>
      <c r="E2138" s="39">
        <v>45.367427825927734</v>
      </c>
      <c r="F2138" s="41">
        <v>102140</v>
      </c>
      <c r="G2138" s="35" t="s">
        <v>678</v>
      </c>
      <c r="H2138" s="35" t="s">
        <v>115</v>
      </c>
    </row>
    <row r="2139" spans="1:8">
      <c r="A2139" s="37">
        <v>41373.15625</v>
      </c>
      <c r="B2139" s="35" t="s">
        <v>654</v>
      </c>
      <c r="C2139" s="35" t="s">
        <v>655</v>
      </c>
      <c r="D2139" s="39">
        <v>56.700000762939453</v>
      </c>
      <c r="E2139" s="39">
        <v>45.641109466552734</v>
      </c>
      <c r="F2139" s="41">
        <v>3708995</v>
      </c>
      <c r="G2139" s="35" t="s">
        <v>678</v>
      </c>
      <c r="H2139" s="35" t="s">
        <v>115</v>
      </c>
    </row>
    <row r="2140" spans="1:8">
      <c r="A2140" s="37">
        <v>41374.15625</v>
      </c>
      <c r="B2140" s="35" t="s">
        <v>654</v>
      </c>
      <c r="C2140" s="35" t="s">
        <v>655</v>
      </c>
      <c r="D2140" s="39">
        <v>57.959999084472656</v>
      </c>
      <c r="E2140" s="39">
        <v>46.655357360839844</v>
      </c>
      <c r="F2140" s="41">
        <v>1256755</v>
      </c>
      <c r="G2140" s="35" t="s">
        <v>678</v>
      </c>
      <c r="H2140" s="35" t="s">
        <v>115</v>
      </c>
    </row>
    <row r="2141" spans="1:8">
      <c r="A2141" s="37">
        <v>41375.15625</v>
      </c>
      <c r="B2141" s="35" t="s">
        <v>654</v>
      </c>
      <c r="C2141" s="35" t="s">
        <v>655</v>
      </c>
      <c r="D2141" s="39">
        <v>57.040000915527344</v>
      </c>
      <c r="E2141" s="39">
        <v>45.914794921875</v>
      </c>
      <c r="F2141" s="41">
        <v>428260</v>
      </c>
      <c r="G2141" s="35" t="s">
        <v>678</v>
      </c>
      <c r="H2141" s="35" t="s">
        <v>115</v>
      </c>
    </row>
    <row r="2142" spans="1:8">
      <c r="A2142" s="37">
        <v>41376.15625</v>
      </c>
      <c r="B2142" s="35" t="s">
        <v>654</v>
      </c>
      <c r="C2142" s="35" t="s">
        <v>655</v>
      </c>
      <c r="D2142" s="39">
        <v>56.450000762939453</v>
      </c>
      <c r="E2142" s="39">
        <v>45.439861297607422</v>
      </c>
      <c r="F2142" s="41">
        <v>254555</v>
      </c>
      <c r="G2142" s="35" t="s">
        <v>678</v>
      </c>
      <c r="H2142" s="35" t="s">
        <v>115</v>
      </c>
    </row>
    <row r="2143" spans="1:8">
      <c r="A2143" s="37">
        <v>41379.15625</v>
      </c>
      <c r="B2143" s="35" t="s">
        <v>654</v>
      </c>
      <c r="C2143" s="35" t="s">
        <v>655</v>
      </c>
      <c r="D2143" s="39">
        <v>55.979999542236328</v>
      </c>
      <c r="E2143" s="39">
        <v>45.061531066894531</v>
      </c>
      <c r="F2143" s="41">
        <v>287235</v>
      </c>
      <c r="G2143" s="35" t="s">
        <v>678</v>
      </c>
      <c r="H2143" s="35" t="s">
        <v>115</v>
      </c>
    </row>
    <row r="2144" spans="1:8">
      <c r="A2144" s="37">
        <v>41380.15625</v>
      </c>
      <c r="B2144" s="35" t="s">
        <v>654</v>
      </c>
      <c r="C2144" s="35" t="s">
        <v>655</v>
      </c>
      <c r="D2144" s="39">
        <v>54.340000152587891</v>
      </c>
      <c r="E2144" s="39">
        <v>43.741413116455078</v>
      </c>
      <c r="F2144" s="41">
        <v>404625</v>
      </c>
      <c r="G2144" s="35" t="s">
        <v>678</v>
      </c>
      <c r="H2144" s="35" t="s">
        <v>115</v>
      </c>
    </row>
    <row r="2145" spans="1:8">
      <c r="A2145" s="37">
        <v>41381.15625</v>
      </c>
      <c r="B2145" s="35" t="s">
        <v>654</v>
      </c>
      <c r="C2145" s="35" t="s">
        <v>655</v>
      </c>
      <c r="D2145" s="39">
        <v>54.290000915527344</v>
      </c>
      <c r="E2145" s="39">
        <v>43.701168060302734</v>
      </c>
      <c r="F2145" s="41">
        <v>1072640</v>
      </c>
      <c r="G2145" s="35" t="s">
        <v>678</v>
      </c>
      <c r="H2145" s="35" t="s">
        <v>115</v>
      </c>
    </row>
    <row r="2146" spans="1:8">
      <c r="A2146" s="37">
        <v>41382.15625</v>
      </c>
      <c r="B2146" s="35" t="s">
        <v>654</v>
      </c>
      <c r="C2146" s="35" t="s">
        <v>655</v>
      </c>
      <c r="D2146" s="39">
        <v>54.270000457763672</v>
      </c>
      <c r="E2146" s="39">
        <v>43.685054779052734</v>
      </c>
      <c r="F2146" s="41">
        <v>249355</v>
      </c>
      <c r="G2146" s="35" t="s">
        <v>678</v>
      </c>
      <c r="H2146" s="35" t="s">
        <v>115</v>
      </c>
    </row>
    <row r="2147" spans="1:8">
      <c r="A2147" s="37">
        <v>41386.15625</v>
      </c>
      <c r="B2147" s="35" t="s">
        <v>654</v>
      </c>
      <c r="C2147" s="35" t="s">
        <v>655</v>
      </c>
      <c r="D2147" s="39">
        <v>54.590000152587891</v>
      </c>
      <c r="E2147" s="39">
        <v>43.942661285400391</v>
      </c>
      <c r="F2147" s="41">
        <v>778510</v>
      </c>
      <c r="G2147" s="35" t="s">
        <v>678</v>
      </c>
      <c r="H2147" s="35" t="s">
        <v>115</v>
      </c>
    </row>
    <row r="2148" spans="1:8">
      <c r="A2148" s="37">
        <v>41387.15625</v>
      </c>
      <c r="B2148" s="35" t="s">
        <v>654</v>
      </c>
      <c r="C2148" s="35" t="s">
        <v>655</v>
      </c>
      <c r="D2148" s="39">
        <v>54.090000152587891</v>
      </c>
      <c r="E2148" s="39">
        <v>43.540164947509766</v>
      </c>
      <c r="F2148" s="41">
        <v>486510</v>
      </c>
      <c r="G2148" s="35" t="s">
        <v>678</v>
      </c>
      <c r="H2148" s="35" t="s">
        <v>115</v>
      </c>
    </row>
    <row r="2149" spans="1:8">
      <c r="A2149" s="37">
        <v>41389.15625</v>
      </c>
      <c r="B2149" s="35" t="s">
        <v>654</v>
      </c>
      <c r="C2149" s="35" t="s">
        <v>655</v>
      </c>
      <c r="D2149" s="39">
        <v>54.159999847412109</v>
      </c>
      <c r="E2149" s="39">
        <v>43.596515655517578</v>
      </c>
      <c r="F2149" s="41">
        <v>439570</v>
      </c>
      <c r="G2149" s="35" t="s">
        <v>678</v>
      </c>
      <c r="H2149" s="35" t="s">
        <v>115</v>
      </c>
    </row>
    <row r="2150" spans="1:8">
      <c r="A2150" s="37">
        <v>41390.15625</v>
      </c>
      <c r="B2150" s="35" t="s">
        <v>654</v>
      </c>
      <c r="C2150" s="35" t="s">
        <v>655</v>
      </c>
      <c r="D2150" s="39">
        <v>53.110000610351563</v>
      </c>
      <c r="E2150" s="39">
        <v>42.751304626464844</v>
      </c>
      <c r="F2150" s="41">
        <v>683335</v>
      </c>
      <c r="G2150" s="35" t="s">
        <v>678</v>
      </c>
      <c r="H2150" s="35" t="s">
        <v>115</v>
      </c>
    </row>
    <row r="2151" spans="1:8">
      <c r="A2151" s="37">
        <v>41393.15625</v>
      </c>
      <c r="B2151" s="35" t="s">
        <v>654</v>
      </c>
      <c r="C2151" s="35" t="s">
        <v>655</v>
      </c>
      <c r="D2151" s="39">
        <v>52.220001220703125</v>
      </c>
      <c r="E2151" s="39">
        <v>42.034896850585938</v>
      </c>
      <c r="F2151" s="41">
        <v>406960</v>
      </c>
      <c r="G2151" s="35" t="s">
        <v>678</v>
      </c>
      <c r="H2151" s="35" t="s">
        <v>115</v>
      </c>
    </row>
    <row r="2152" spans="1:8">
      <c r="A2152" s="37">
        <v>41394.15625</v>
      </c>
      <c r="B2152" s="35" t="s">
        <v>654</v>
      </c>
      <c r="C2152" s="35" t="s">
        <v>655</v>
      </c>
      <c r="D2152" s="39">
        <v>52.020000457763672</v>
      </c>
      <c r="E2152" s="39">
        <v>41.873897552490234</v>
      </c>
      <c r="F2152" s="41">
        <v>629240</v>
      </c>
      <c r="G2152" s="35" t="s">
        <v>678</v>
      </c>
      <c r="H2152" s="35" t="s">
        <v>115</v>
      </c>
    </row>
    <row r="2153" spans="1:8">
      <c r="A2153" s="37">
        <v>41396.15625</v>
      </c>
      <c r="B2153" s="35" t="s">
        <v>654</v>
      </c>
      <c r="C2153" s="35" t="s">
        <v>655</v>
      </c>
      <c r="D2153" s="39">
        <v>51.959999084472656</v>
      </c>
      <c r="E2153" s="39">
        <v>41.825607299804688</v>
      </c>
      <c r="F2153" s="41">
        <v>460310</v>
      </c>
      <c r="G2153" s="35" t="s">
        <v>678</v>
      </c>
      <c r="H2153" s="35" t="s">
        <v>115</v>
      </c>
    </row>
    <row r="2154" spans="1:8">
      <c r="A2154" s="37">
        <v>41397.15625</v>
      </c>
      <c r="B2154" s="35" t="s">
        <v>654</v>
      </c>
      <c r="C2154" s="35" t="s">
        <v>655</v>
      </c>
      <c r="D2154" s="39">
        <v>51.590000152587891</v>
      </c>
      <c r="E2154" s="39">
        <v>41.52777099609375</v>
      </c>
      <c r="F2154" s="41">
        <v>222745</v>
      </c>
      <c r="G2154" s="35" t="s">
        <v>678</v>
      </c>
      <c r="H2154" s="35" t="s">
        <v>115</v>
      </c>
    </row>
    <row r="2155" spans="1:8">
      <c r="A2155" s="37">
        <v>41400.15625</v>
      </c>
      <c r="B2155" s="35" t="s">
        <v>654</v>
      </c>
      <c r="C2155" s="35" t="s">
        <v>655</v>
      </c>
      <c r="D2155" s="39">
        <v>52.299999237060547</v>
      </c>
      <c r="E2155" s="39">
        <v>42.099292755126953</v>
      </c>
      <c r="F2155" s="41">
        <v>201490</v>
      </c>
      <c r="G2155" s="35" t="s">
        <v>678</v>
      </c>
      <c r="H2155" s="35" t="s">
        <v>115</v>
      </c>
    </row>
    <row r="2156" spans="1:8">
      <c r="A2156" s="37">
        <v>41401.15625</v>
      </c>
      <c r="B2156" s="35" t="s">
        <v>654</v>
      </c>
      <c r="C2156" s="35" t="s">
        <v>655</v>
      </c>
      <c r="D2156" s="39">
        <v>52.409999847412109</v>
      </c>
      <c r="E2156" s="39">
        <v>42.187843322753906</v>
      </c>
      <c r="F2156" s="41">
        <v>407685</v>
      </c>
      <c r="G2156" s="35" t="s">
        <v>678</v>
      </c>
      <c r="H2156" s="35" t="s">
        <v>115</v>
      </c>
    </row>
    <row r="2157" spans="1:8">
      <c r="A2157" s="37">
        <v>41402.15625</v>
      </c>
      <c r="B2157" s="35" t="s">
        <v>654</v>
      </c>
      <c r="C2157" s="35" t="s">
        <v>655</v>
      </c>
      <c r="D2157" s="39">
        <v>52.75</v>
      </c>
      <c r="E2157" s="39">
        <v>42.461528778076172</v>
      </c>
      <c r="F2157" s="41">
        <v>523230</v>
      </c>
      <c r="G2157" s="35" t="s">
        <v>678</v>
      </c>
      <c r="H2157" s="35" t="s">
        <v>115</v>
      </c>
    </row>
    <row r="2158" spans="1:8">
      <c r="A2158" s="37">
        <v>41403.15625</v>
      </c>
      <c r="B2158" s="35" t="s">
        <v>654</v>
      </c>
      <c r="C2158" s="35" t="s">
        <v>655</v>
      </c>
      <c r="D2158" s="39">
        <v>52.040000915527344</v>
      </c>
      <c r="E2158" s="39">
        <v>41.890007019042969</v>
      </c>
      <c r="F2158" s="41">
        <v>328955</v>
      </c>
      <c r="G2158" s="35" t="s">
        <v>678</v>
      </c>
      <c r="H2158" s="35" t="s">
        <v>115</v>
      </c>
    </row>
    <row r="2159" spans="1:8">
      <c r="A2159" s="37">
        <v>41404.15625</v>
      </c>
      <c r="B2159" s="35" t="s">
        <v>654</v>
      </c>
      <c r="C2159" s="35" t="s">
        <v>655</v>
      </c>
      <c r="D2159" s="39">
        <v>52.509998321533203</v>
      </c>
      <c r="E2159" s="39">
        <v>42.268341064453125</v>
      </c>
      <c r="F2159" s="41">
        <v>274385</v>
      </c>
      <c r="G2159" s="35" t="s">
        <v>678</v>
      </c>
      <c r="H2159" s="35" t="s">
        <v>115</v>
      </c>
    </row>
    <row r="2160" spans="1:8">
      <c r="A2160" s="37">
        <v>41407.15625</v>
      </c>
      <c r="B2160" s="35" t="s">
        <v>654</v>
      </c>
      <c r="C2160" s="35" t="s">
        <v>655</v>
      </c>
      <c r="D2160" s="39">
        <v>53.479999542236328</v>
      </c>
      <c r="E2160" s="39">
        <v>43.049140930175781</v>
      </c>
      <c r="F2160" s="41">
        <v>687200</v>
      </c>
      <c r="G2160" s="35" t="s">
        <v>678</v>
      </c>
      <c r="H2160" s="35" t="s">
        <v>115</v>
      </c>
    </row>
    <row r="2161" spans="1:8">
      <c r="A2161" s="37">
        <v>41408.15625</v>
      </c>
      <c r="B2161" s="35" t="s">
        <v>654</v>
      </c>
      <c r="C2161" s="35" t="s">
        <v>655</v>
      </c>
      <c r="D2161" s="39">
        <v>52.799999237060547</v>
      </c>
      <c r="E2161" s="39">
        <v>42.501762390136719</v>
      </c>
      <c r="F2161" s="41">
        <v>231875</v>
      </c>
      <c r="G2161" s="35" t="s">
        <v>678</v>
      </c>
      <c r="H2161" s="35" t="s">
        <v>115</v>
      </c>
    </row>
    <row r="2162" spans="1:8">
      <c r="A2162" s="37">
        <v>41409.15625</v>
      </c>
      <c r="B2162" s="35" t="s">
        <v>654</v>
      </c>
      <c r="C2162" s="35" t="s">
        <v>655</v>
      </c>
      <c r="D2162" s="39">
        <v>52.259998321533203</v>
      </c>
      <c r="E2162" s="39">
        <v>42.067100524902344</v>
      </c>
      <c r="F2162" s="41">
        <v>435230</v>
      </c>
      <c r="G2162" s="35" t="s">
        <v>678</v>
      </c>
      <c r="H2162" s="35" t="s">
        <v>115</v>
      </c>
    </row>
    <row r="2163" spans="1:8">
      <c r="A2163" s="37">
        <v>41410.15625</v>
      </c>
      <c r="B2163" s="35" t="s">
        <v>654</v>
      </c>
      <c r="C2163" s="35" t="s">
        <v>655</v>
      </c>
      <c r="D2163" s="39">
        <v>52.119998931884766</v>
      </c>
      <c r="E2163" s="39">
        <v>41.954402923583984</v>
      </c>
      <c r="F2163" s="41">
        <v>216770</v>
      </c>
      <c r="G2163" s="35" t="s">
        <v>678</v>
      </c>
      <c r="H2163" s="35" t="s">
        <v>115</v>
      </c>
    </row>
    <row r="2164" spans="1:8">
      <c r="A2164" s="37">
        <v>41411.15625</v>
      </c>
      <c r="B2164" s="35" t="s">
        <v>654</v>
      </c>
      <c r="C2164" s="35" t="s">
        <v>655</v>
      </c>
      <c r="D2164" s="39">
        <v>52.279998779296875</v>
      </c>
      <c r="E2164" s="39">
        <v>42.08319091796875</v>
      </c>
      <c r="F2164" s="41">
        <v>4296845</v>
      </c>
      <c r="G2164" s="35" t="s">
        <v>678</v>
      </c>
      <c r="H2164" s="35" t="s">
        <v>115</v>
      </c>
    </row>
    <row r="2165" spans="1:8">
      <c r="A2165" s="37">
        <v>41414.15625</v>
      </c>
      <c r="B2165" s="35" t="s">
        <v>654</v>
      </c>
      <c r="C2165" s="35" t="s">
        <v>655</v>
      </c>
      <c r="D2165" s="39">
        <v>51.659999847412109</v>
      </c>
      <c r="E2165" s="39">
        <v>41.584125518798828</v>
      </c>
      <c r="F2165" s="41">
        <v>954330</v>
      </c>
      <c r="G2165" s="35" t="s">
        <v>678</v>
      </c>
      <c r="H2165" s="35" t="s">
        <v>115</v>
      </c>
    </row>
    <row r="2166" spans="1:8">
      <c r="A2166" s="37">
        <v>41415.15625</v>
      </c>
      <c r="B2166" s="35" t="s">
        <v>654</v>
      </c>
      <c r="C2166" s="35" t="s">
        <v>655</v>
      </c>
      <c r="D2166" s="39">
        <v>52.009998321533203</v>
      </c>
      <c r="E2166" s="39">
        <v>41.865848541259766</v>
      </c>
      <c r="F2166" s="41">
        <v>624980</v>
      </c>
      <c r="G2166" s="35" t="s">
        <v>678</v>
      </c>
      <c r="H2166" s="35" t="s">
        <v>115</v>
      </c>
    </row>
    <row r="2167" spans="1:8">
      <c r="A2167" s="37">
        <v>41416.15625</v>
      </c>
      <c r="B2167" s="35" t="s">
        <v>654</v>
      </c>
      <c r="C2167" s="35" t="s">
        <v>655</v>
      </c>
      <c r="D2167" s="39">
        <v>52.619998931884766</v>
      </c>
      <c r="E2167" s="39">
        <v>42.356884002685547</v>
      </c>
      <c r="F2167" s="41">
        <v>888000</v>
      </c>
      <c r="G2167" s="35" t="s">
        <v>678</v>
      </c>
      <c r="H2167" s="35" t="s">
        <v>115</v>
      </c>
    </row>
    <row r="2168" spans="1:8">
      <c r="A2168" s="37">
        <v>41417.15625</v>
      </c>
      <c r="B2168" s="35" t="s">
        <v>654</v>
      </c>
      <c r="C2168" s="35" t="s">
        <v>655</v>
      </c>
      <c r="D2168" s="39">
        <v>52.400001525878906</v>
      </c>
      <c r="E2168" s="39">
        <v>42.179801940917969</v>
      </c>
      <c r="F2168" s="41">
        <v>353695</v>
      </c>
      <c r="G2168" s="35" t="s">
        <v>678</v>
      </c>
      <c r="H2168" s="35" t="s">
        <v>115</v>
      </c>
    </row>
    <row r="2169" spans="1:8">
      <c r="A2169" s="37">
        <v>41418.15625</v>
      </c>
      <c r="B2169" s="35" t="s">
        <v>654</v>
      </c>
      <c r="C2169" s="35" t="s">
        <v>655</v>
      </c>
      <c r="D2169" s="39">
        <v>52.590000152587891</v>
      </c>
      <c r="E2169" s="39">
        <v>42.332729339599609</v>
      </c>
      <c r="F2169" s="41">
        <v>121595</v>
      </c>
      <c r="G2169" s="35" t="s">
        <v>678</v>
      </c>
      <c r="H2169" s="35" t="s">
        <v>115</v>
      </c>
    </row>
    <row r="2170" spans="1:8">
      <c r="A2170" s="37">
        <v>41421.15625</v>
      </c>
      <c r="B2170" s="35" t="s">
        <v>654</v>
      </c>
      <c r="C2170" s="35" t="s">
        <v>655</v>
      </c>
      <c r="D2170" s="39">
        <v>52.520000457763672</v>
      </c>
      <c r="E2170" s="39">
        <v>42.276386260986328</v>
      </c>
      <c r="F2170" s="41">
        <v>100815</v>
      </c>
      <c r="G2170" s="35" t="s">
        <v>678</v>
      </c>
      <c r="H2170" s="35" t="s">
        <v>115</v>
      </c>
    </row>
    <row r="2171" spans="1:8">
      <c r="A2171" s="37">
        <v>41422.15625</v>
      </c>
      <c r="B2171" s="35" t="s">
        <v>654</v>
      </c>
      <c r="C2171" s="35" t="s">
        <v>655</v>
      </c>
      <c r="D2171" s="39">
        <v>52.659999847412109</v>
      </c>
      <c r="E2171" s="39">
        <v>42.389080047607422</v>
      </c>
      <c r="F2171" s="41">
        <v>253620</v>
      </c>
      <c r="G2171" s="35" t="s">
        <v>678</v>
      </c>
      <c r="H2171" s="35" t="s">
        <v>115</v>
      </c>
    </row>
    <row r="2172" spans="1:8">
      <c r="A2172" s="37">
        <v>41423.15625</v>
      </c>
      <c r="B2172" s="35" t="s">
        <v>654</v>
      </c>
      <c r="C2172" s="35" t="s">
        <v>655</v>
      </c>
      <c r="D2172" s="39">
        <v>52.090000152587891</v>
      </c>
      <c r="E2172" s="39">
        <v>41.930259704589844</v>
      </c>
      <c r="F2172" s="41">
        <v>271125</v>
      </c>
      <c r="G2172" s="35" t="s">
        <v>678</v>
      </c>
      <c r="H2172" s="35" t="s">
        <v>115</v>
      </c>
    </row>
    <row r="2173" spans="1:8">
      <c r="A2173" s="37">
        <v>41424.15625</v>
      </c>
      <c r="B2173" s="35" t="s">
        <v>654</v>
      </c>
      <c r="C2173" s="35" t="s">
        <v>655</v>
      </c>
      <c r="D2173" s="39">
        <v>52.909999847412109</v>
      </c>
      <c r="E2173" s="39">
        <v>42.590324401855469</v>
      </c>
      <c r="F2173" s="41">
        <v>954295</v>
      </c>
      <c r="G2173" s="35" t="s">
        <v>678</v>
      </c>
      <c r="H2173" s="35" t="s">
        <v>115</v>
      </c>
    </row>
    <row r="2174" spans="1:8">
      <c r="A2174" s="37">
        <v>41425.15625</v>
      </c>
      <c r="B2174" s="35" t="s">
        <v>654</v>
      </c>
      <c r="C2174" s="35" t="s">
        <v>655</v>
      </c>
      <c r="D2174" s="39">
        <v>53.060001373291016</v>
      </c>
      <c r="E2174" s="39">
        <v>42.711063385009766</v>
      </c>
      <c r="F2174" s="41">
        <v>1387075</v>
      </c>
      <c r="G2174" s="35" t="s">
        <v>678</v>
      </c>
      <c r="H2174" s="35" t="s">
        <v>115</v>
      </c>
    </row>
    <row r="2175" spans="1:8">
      <c r="A2175" s="37">
        <v>41428.15625</v>
      </c>
      <c r="B2175" s="35" t="s">
        <v>654</v>
      </c>
      <c r="C2175" s="35" t="s">
        <v>655</v>
      </c>
      <c r="D2175" s="39">
        <v>52.700000762939453</v>
      </c>
      <c r="E2175" s="39">
        <v>42.421283721923828</v>
      </c>
      <c r="F2175" s="41">
        <v>150245</v>
      </c>
      <c r="G2175" s="35" t="s">
        <v>678</v>
      </c>
      <c r="H2175" s="35" t="s">
        <v>115</v>
      </c>
    </row>
    <row r="2176" spans="1:8">
      <c r="A2176" s="37">
        <v>41429.15625</v>
      </c>
      <c r="B2176" s="35" t="s">
        <v>654</v>
      </c>
      <c r="C2176" s="35" t="s">
        <v>655</v>
      </c>
      <c r="D2176" s="39">
        <v>52.599998474121094</v>
      </c>
      <c r="E2176" s="39">
        <v>42.340778350830078</v>
      </c>
      <c r="F2176" s="41">
        <v>619025</v>
      </c>
      <c r="G2176" s="35" t="s">
        <v>678</v>
      </c>
      <c r="H2176" s="35" t="s">
        <v>115</v>
      </c>
    </row>
    <row r="2177" spans="1:8">
      <c r="A2177" s="37">
        <v>41430.15625</v>
      </c>
      <c r="B2177" s="35" t="s">
        <v>654</v>
      </c>
      <c r="C2177" s="35" t="s">
        <v>655</v>
      </c>
      <c r="D2177" s="39">
        <v>52.040000915527344</v>
      </c>
      <c r="E2177" s="39">
        <v>41.890007019042969</v>
      </c>
      <c r="F2177" s="41">
        <v>203235</v>
      </c>
      <c r="G2177" s="35" t="s">
        <v>678</v>
      </c>
      <c r="H2177" s="35" t="s">
        <v>115</v>
      </c>
    </row>
    <row r="2178" spans="1:8">
      <c r="A2178" s="37">
        <v>41431.15625</v>
      </c>
      <c r="B2178" s="35" t="s">
        <v>654</v>
      </c>
      <c r="C2178" s="35" t="s">
        <v>655</v>
      </c>
      <c r="D2178" s="39">
        <v>52.169998168945313</v>
      </c>
      <c r="E2178" s="39">
        <v>41.994651794433594</v>
      </c>
      <c r="F2178" s="41">
        <v>151300</v>
      </c>
      <c r="G2178" s="35" t="s">
        <v>678</v>
      </c>
      <c r="H2178" s="35" t="s">
        <v>115</v>
      </c>
    </row>
    <row r="2179" spans="1:8">
      <c r="A2179" s="37">
        <v>41432.15625</v>
      </c>
      <c r="B2179" s="35" t="s">
        <v>654</v>
      </c>
      <c r="C2179" s="35" t="s">
        <v>655</v>
      </c>
      <c r="D2179" s="39">
        <v>52.150001525878906</v>
      </c>
      <c r="E2179" s="39">
        <v>41.978553771972656</v>
      </c>
      <c r="F2179" s="41">
        <v>159200</v>
      </c>
      <c r="G2179" s="35" t="s">
        <v>678</v>
      </c>
      <c r="H2179" s="35" t="s">
        <v>115</v>
      </c>
    </row>
    <row r="2180" spans="1:8">
      <c r="A2180" s="37">
        <v>41435.15625</v>
      </c>
      <c r="B2180" s="35" t="s">
        <v>654</v>
      </c>
      <c r="C2180" s="35" t="s">
        <v>655</v>
      </c>
      <c r="D2180" s="39">
        <v>53.229999542236328</v>
      </c>
      <c r="E2180" s="39">
        <v>42.847900390625</v>
      </c>
      <c r="F2180" s="41">
        <v>288145</v>
      </c>
      <c r="G2180" s="35" t="s">
        <v>678</v>
      </c>
      <c r="H2180" s="35" t="s">
        <v>115</v>
      </c>
    </row>
    <row r="2181" spans="1:8">
      <c r="A2181" s="37">
        <v>41436.15625</v>
      </c>
      <c r="B2181" s="35" t="s">
        <v>654</v>
      </c>
      <c r="C2181" s="35" t="s">
        <v>655</v>
      </c>
      <c r="D2181" s="39">
        <v>52.220001220703125</v>
      </c>
      <c r="E2181" s="39">
        <v>42.034896850585938</v>
      </c>
      <c r="F2181" s="41">
        <v>291160</v>
      </c>
      <c r="G2181" s="35" t="s">
        <v>678</v>
      </c>
      <c r="H2181" s="35" t="s">
        <v>115</v>
      </c>
    </row>
    <row r="2182" spans="1:8">
      <c r="A2182" s="37">
        <v>41437.15625</v>
      </c>
      <c r="B2182" s="35" t="s">
        <v>654</v>
      </c>
      <c r="C2182" s="35" t="s">
        <v>655</v>
      </c>
      <c r="D2182" s="39">
        <v>52.270000457763672</v>
      </c>
      <c r="E2182" s="39">
        <v>42.075149536132813</v>
      </c>
      <c r="F2182" s="41">
        <v>127635</v>
      </c>
      <c r="G2182" s="35" t="s">
        <v>678</v>
      </c>
      <c r="H2182" s="35" t="s">
        <v>115</v>
      </c>
    </row>
    <row r="2183" spans="1:8">
      <c r="A2183" s="37">
        <v>41438.15625</v>
      </c>
      <c r="B2183" s="35" t="s">
        <v>654</v>
      </c>
      <c r="C2183" s="35" t="s">
        <v>655</v>
      </c>
      <c r="D2183" s="39">
        <v>52.069999694824219</v>
      </c>
      <c r="E2183" s="39">
        <v>41.914157867431641</v>
      </c>
      <c r="F2183" s="41">
        <v>147200</v>
      </c>
      <c r="G2183" s="35" t="s">
        <v>678</v>
      </c>
      <c r="H2183" s="35" t="s">
        <v>115</v>
      </c>
    </row>
    <row r="2184" spans="1:8">
      <c r="A2184" s="37">
        <v>41439.15625</v>
      </c>
      <c r="B2184" s="35" t="s">
        <v>654</v>
      </c>
      <c r="C2184" s="35" t="s">
        <v>655</v>
      </c>
      <c r="D2184" s="39">
        <v>52.759998321533203</v>
      </c>
      <c r="E2184" s="39">
        <v>42.469573974609375</v>
      </c>
      <c r="F2184" s="41">
        <v>124910</v>
      </c>
      <c r="G2184" s="35" t="s">
        <v>678</v>
      </c>
      <c r="H2184" s="35" t="s">
        <v>115</v>
      </c>
    </row>
    <row r="2185" spans="1:8">
      <c r="A2185" s="37">
        <v>41442.15625</v>
      </c>
      <c r="B2185" s="35" t="s">
        <v>654</v>
      </c>
      <c r="C2185" s="35" t="s">
        <v>655</v>
      </c>
      <c r="D2185" s="39">
        <v>54.549999237060547</v>
      </c>
      <c r="E2185" s="39">
        <v>43.910457611083984</v>
      </c>
      <c r="F2185" s="41">
        <v>2137920</v>
      </c>
      <c r="G2185" s="35" t="s">
        <v>678</v>
      </c>
      <c r="H2185" s="35" t="s">
        <v>115</v>
      </c>
    </row>
    <row r="2186" spans="1:8">
      <c r="A2186" s="37">
        <v>41443.15625</v>
      </c>
      <c r="B2186" s="35" t="s">
        <v>654</v>
      </c>
      <c r="C2186" s="35" t="s">
        <v>655</v>
      </c>
      <c r="D2186" s="39">
        <v>55.529998779296875</v>
      </c>
      <c r="E2186" s="39">
        <v>44.699306488037109</v>
      </c>
      <c r="F2186" s="41">
        <v>882355</v>
      </c>
      <c r="G2186" s="35" t="s">
        <v>678</v>
      </c>
      <c r="H2186" s="35" t="s">
        <v>115</v>
      </c>
    </row>
    <row r="2187" spans="1:8">
      <c r="A2187" s="37">
        <v>41444.15625</v>
      </c>
      <c r="B2187" s="35" t="s">
        <v>654</v>
      </c>
      <c r="C2187" s="35" t="s">
        <v>655</v>
      </c>
      <c r="D2187" s="39">
        <v>56.169998168945313</v>
      </c>
      <c r="E2187" s="39">
        <v>45.214485168457031</v>
      </c>
      <c r="F2187" s="41">
        <v>337145</v>
      </c>
      <c r="G2187" s="35" t="s">
        <v>678</v>
      </c>
      <c r="H2187" s="35" t="s">
        <v>115</v>
      </c>
    </row>
    <row r="2188" spans="1:8">
      <c r="A2188" s="37">
        <v>41445.15625</v>
      </c>
      <c r="B2188" s="35" t="s">
        <v>654</v>
      </c>
      <c r="C2188" s="35" t="s">
        <v>655</v>
      </c>
      <c r="D2188" s="39">
        <v>54.299999237060547</v>
      </c>
      <c r="E2188" s="39">
        <v>45.073371887207031</v>
      </c>
      <c r="F2188" s="41">
        <v>285805</v>
      </c>
      <c r="G2188" s="35" t="s">
        <v>678</v>
      </c>
      <c r="H2188" s="35" t="s">
        <v>115</v>
      </c>
    </row>
    <row r="2189" spans="1:8">
      <c r="A2189" s="37">
        <v>41446.15625</v>
      </c>
      <c r="B2189" s="35" t="s">
        <v>654</v>
      </c>
      <c r="C2189" s="35" t="s">
        <v>655</v>
      </c>
      <c r="D2189" s="39">
        <v>55.470001220703125</v>
      </c>
      <c r="E2189" s="39">
        <v>46.044567108154297</v>
      </c>
      <c r="F2189" s="41">
        <v>511660</v>
      </c>
      <c r="G2189" s="35" t="s">
        <v>678</v>
      </c>
      <c r="H2189" s="35" t="s">
        <v>115</v>
      </c>
    </row>
    <row r="2190" spans="1:8">
      <c r="A2190" s="37">
        <v>41449.15625</v>
      </c>
      <c r="B2190" s="35" t="s">
        <v>654</v>
      </c>
      <c r="C2190" s="35" t="s">
        <v>655</v>
      </c>
      <c r="D2190" s="39">
        <v>53.599998474121094</v>
      </c>
      <c r="E2190" s="39">
        <v>44.492317199707031</v>
      </c>
      <c r="F2190" s="41">
        <v>122540</v>
      </c>
      <c r="G2190" s="35" t="s">
        <v>678</v>
      </c>
      <c r="H2190" s="35" t="s">
        <v>115</v>
      </c>
    </row>
    <row r="2191" spans="1:8">
      <c r="A2191" s="37">
        <v>41450.15625</v>
      </c>
      <c r="B2191" s="35" t="s">
        <v>654</v>
      </c>
      <c r="C2191" s="35" t="s">
        <v>655</v>
      </c>
      <c r="D2191" s="39">
        <v>53.590000152587891</v>
      </c>
      <c r="E2191" s="39">
        <v>44.484016418457031</v>
      </c>
      <c r="F2191" s="41">
        <v>108945</v>
      </c>
      <c r="G2191" s="35" t="s">
        <v>678</v>
      </c>
      <c r="H2191" s="35" t="s">
        <v>115</v>
      </c>
    </row>
    <row r="2192" spans="1:8">
      <c r="A2192" s="37">
        <v>41451.15625</v>
      </c>
      <c r="B2192" s="35" t="s">
        <v>654</v>
      </c>
      <c r="C2192" s="35" t="s">
        <v>655</v>
      </c>
      <c r="D2192" s="39">
        <v>53.220001220703125</v>
      </c>
      <c r="E2192" s="39">
        <v>44.176887512207031</v>
      </c>
      <c r="F2192" s="41">
        <v>59205</v>
      </c>
      <c r="G2192" s="35" t="s">
        <v>678</v>
      </c>
      <c r="H2192" s="35" t="s">
        <v>115</v>
      </c>
    </row>
    <row r="2193" spans="1:8">
      <c r="A2193" s="37">
        <v>41452.15625</v>
      </c>
      <c r="B2193" s="35" t="s">
        <v>654</v>
      </c>
      <c r="C2193" s="35" t="s">
        <v>655</v>
      </c>
      <c r="D2193" s="39">
        <v>52.860000610351563</v>
      </c>
      <c r="E2193" s="39">
        <v>43.878044128417969</v>
      </c>
      <c r="F2193" s="41">
        <v>287040</v>
      </c>
      <c r="G2193" s="35" t="s">
        <v>678</v>
      </c>
      <c r="H2193" s="35" t="s">
        <v>115</v>
      </c>
    </row>
    <row r="2194" spans="1:8">
      <c r="A2194" s="37">
        <v>41453.15625</v>
      </c>
      <c r="B2194" s="35" t="s">
        <v>654</v>
      </c>
      <c r="C2194" s="35" t="s">
        <v>655</v>
      </c>
      <c r="D2194" s="39">
        <v>54.279998779296875</v>
      </c>
      <c r="E2194" s="39">
        <v>45.0567626953125</v>
      </c>
      <c r="F2194" s="41">
        <v>134895</v>
      </c>
      <c r="G2194" s="35" t="s">
        <v>678</v>
      </c>
      <c r="H2194" s="35" t="s">
        <v>115</v>
      </c>
    </row>
    <row r="2195" spans="1:8">
      <c r="A2195" s="37">
        <v>41456.15625</v>
      </c>
      <c r="B2195" s="35" t="s">
        <v>654</v>
      </c>
      <c r="C2195" s="35" t="s">
        <v>655</v>
      </c>
      <c r="D2195" s="39">
        <v>55.340000152587891</v>
      </c>
      <c r="E2195" s="39">
        <v>45.936656951904297</v>
      </c>
      <c r="F2195" s="41">
        <v>144425</v>
      </c>
      <c r="G2195" s="35" t="s">
        <v>678</v>
      </c>
      <c r="H2195" s="35" t="s">
        <v>115</v>
      </c>
    </row>
    <row r="2196" spans="1:8">
      <c r="A2196" s="37">
        <v>41457.15625</v>
      </c>
      <c r="B2196" s="35" t="s">
        <v>654</v>
      </c>
      <c r="C2196" s="35" t="s">
        <v>655</v>
      </c>
      <c r="D2196" s="39">
        <v>54.490001678466797</v>
      </c>
      <c r="E2196" s="39">
        <v>45.231086730957031</v>
      </c>
      <c r="F2196" s="41">
        <v>106830</v>
      </c>
      <c r="G2196" s="35" t="s">
        <v>678</v>
      </c>
      <c r="H2196" s="35" t="s">
        <v>115</v>
      </c>
    </row>
    <row r="2197" spans="1:8">
      <c r="A2197" s="37">
        <v>41458.15625</v>
      </c>
      <c r="B2197" s="35" t="s">
        <v>654</v>
      </c>
      <c r="C2197" s="35" t="s">
        <v>655</v>
      </c>
      <c r="D2197" s="39">
        <v>52.340000152587891</v>
      </c>
      <c r="E2197" s="39">
        <v>43.4464111328125</v>
      </c>
      <c r="F2197" s="41">
        <v>142085</v>
      </c>
      <c r="G2197" s="35" t="s">
        <v>678</v>
      </c>
      <c r="H2197" s="35" t="s">
        <v>115</v>
      </c>
    </row>
    <row r="2198" spans="1:8">
      <c r="A2198" s="37">
        <v>41459.15625</v>
      </c>
      <c r="B2198" s="35" t="s">
        <v>654</v>
      </c>
      <c r="C2198" s="35" t="s">
        <v>655</v>
      </c>
      <c r="D2198" s="39">
        <v>52.970001220703125</v>
      </c>
      <c r="E2198" s="39">
        <v>43.969371795654297</v>
      </c>
      <c r="F2198" s="41">
        <v>68110</v>
      </c>
      <c r="G2198" s="35" t="s">
        <v>678</v>
      </c>
      <c r="H2198" s="35" t="s">
        <v>115</v>
      </c>
    </row>
    <row r="2199" spans="1:8">
      <c r="A2199" s="37">
        <v>41460.15625</v>
      </c>
      <c r="B2199" s="35" t="s">
        <v>654</v>
      </c>
      <c r="C2199" s="35" t="s">
        <v>655</v>
      </c>
      <c r="D2199" s="39">
        <v>52.560001373291016</v>
      </c>
      <c r="E2199" s="39">
        <v>43.629032135009766</v>
      </c>
      <c r="F2199" s="41">
        <v>124130</v>
      </c>
      <c r="G2199" s="35" t="s">
        <v>678</v>
      </c>
      <c r="H2199" s="35" t="s">
        <v>115</v>
      </c>
    </row>
    <row r="2200" spans="1:8">
      <c r="A2200" s="37">
        <v>41463.15625</v>
      </c>
      <c r="B2200" s="35" t="s">
        <v>654</v>
      </c>
      <c r="C2200" s="35" t="s">
        <v>655</v>
      </c>
      <c r="D2200" s="39">
        <v>52.220001220703125</v>
      </c>
      <c r="E2200" s="39">
        <v>43.346805572509766</v>
      </c>
      <c r="F2200" s="41">
        <v>522770</v>
      </c>
      <c r="G2200" s="35" t="s">
        <v>678</v>
      </c>
      <c r="H2200" s="35" t="s">
        <v>115</v>
      </c>
    </row>
    <row r="2201" spans="1:8">
      <c r="A2201" s="37">
        <v>41464.15625</v>
      </c>
      <c r="B2201" s="35" t="s">
        <v>654</v>
      </c>
      <c r="C2201" s="35" t="s">
        <v>655</v>
      </c>
      <c r="D2201" s="39">
        <v>52.970001220703125</v>
      </c>
      <c r="E2201" s="39">
        <v>43.969371795654297</v>
      </c>
      <c r="F2201" s="41">
        <v>329635</v>
      </c>
      <c r="G2201" s="35" t="s">
        <v>678</v>
      </c>
      <c r="H2201" s="35" t="s">
        <v>115</v>
      </c>
    </row>
    <row r="2202" spans="1:8">
      <c r="A2202" s="37">
        <v>41465.15625</v>
      </c>
      <c r="B2202" s="35" t="s">
        <v>654</v>
      </c>
      <c r="C2202" s="35" t="s">
        <v>655</v>
      </c>
      <c r="D2202" s="39">
        <v>53.430000305175781</v>
      </c>
      <c r="E2202" s="39">
        <v>44.351207733154297</v>
      </c>
      <c r="F2202" s="41">
        <v>212740</v>
      </c>
      <c r="G2202" s="35" t="s">
        <v>678</v>
      </c>
      <c r="H2202" s="35" t="s">
        <v>115</v>
      </c>
    </row>
    <row r="2203" spans="1:8">
      <c r="A2203" s="37">
        <v>41466.15625</v>
      </c>
      <c r="B2203" s="35" t="s">
        <v>654</v>
      </c>
      <c r="C2203" s="35" t="s">
        <v>655</v>
      </c>
      <c r="D2203" s="39">
        <v>53.25</v>
      </c>
      <c r="E2203" s="39">
        <v>44.201778411865234</v>
      </c>
      <c r="F2203" s="41">
        <v>1339965</v>
      </c>
      <c r="G2203" s="35" t="s">
        <v>678</v>
      </c>
      <c r="H2203" s="35" t="s">
        <v>115</v>
      </c>
    </row>
    <row r="2204" spans="1:8">
      <c r="A2204" s="37">
        <v>41467.15625</v>
      </c>
      <c r="B2204" s="35" t="s">
        <v>654</v>
      </c>
      <c r="C2204" s="35" t="s">
        <v>655</v>
      </c>
      <c r="D2204" s="39">
        <v>53</v>
      </c>
      <c r="E2204" s="39">
        <v>43.994266510009766</v>
      </c>
      <c r="F2204" s="41">
        <v>243960</v>
      </c>
      <c r="G2204" s="35" t="s">
        <v>678</v>
      </c>
      <c r="H2204" s="35" t="s">
        <v>115</v>
      </c>
    </row>
    <row r="2205" spans="1:8">
      <c r="A2205" s="37">
        <v>41470.15625</v>
      </c>
      <c r="B2205" s="35" t="s">
        <v>654</v>
      </c>
      <c r="C2205" s="35" t="s">
        <v>655</v>
      </c>
      <c r="D2205" s="39">
        <v>52.240001678466797</v>
      </c>
      <c r="E2205" s="39">
        <v>43.363407135009766</v>
      </c>
      <c r="F2205" s="41">
        <v>394170</v>
      </c>
      <c r="G2205" s="35" t="s">
        <v>678</v>
      </c>
      <c r="H2205" s="35" t="s">
        <v>115</v>
      </c>
    </row>
    <row r="2206" spans="1:8">
      <c r="A2206" s="37">
        <v>41471.15625</v>
      </c>
      <c r="B2206" s="35" t="s">
        <v>654</v>
      </c>
      <c r="C2206" s="35" t="s">
        <v>655</v>
      </c>
      <c r="D2206" s="39">
        <v>52.310001373291016</v>
      </c>
      <c r="E2206" s="39">
        <v>43.421504974365234</v>
      </c>
      <c r="F2206" s="41">
        <v>2162190</v>
      </c>
      <c r="G2206" s="35" t="s">
        <v>678</v>
      </c>
      <c r="H2206" s="35" t="s">
        <v>115</v>
      </c>
    </row>
    <row r="2207" spans="1:8">
      <c r="A2207" s="37">
        <v>41472.15625</v>
      </c>
      <c r="B2207" s="35" t="s">
        <v>654</v>
      </c>
      <c r="C2207" s="35" t="s">
        <v>655</v>
      </c>
      <c r="D2207" s="39">
        <v>51.849998474121094</v>
      </c>
      <c r="E2207" s="39">
        <v>43.039669036865234</v>
      </c>
      <c r="F2207" s="41">
        <v>416760</v>
      </c>
      <c r="G2207" s="35" t="s">
        <v>678</v>
      </c>
      <c r="H2207" s="35" t="s">
        <v>115</v>
      </c>
    </row>
    <row r="2208" spans="1:8">
      <c r="A2208" s="37">
        <v>41473.15625</v>
      </c>
      <c r="B2208" s="35" t="s">
        <v>654</v>
      </c>
      <c r="C2208" s="35" t="s">
        <v>655</v>
      </c>
      <c r="D2208" s="39">
        <v>52.200000762939453</v>
      </c>
      <c r="E2208" s="39">
        <v>43.3302001953125</v>
      </c>
      <c r="F2208" s="41">
        <v>368525</v>
      </c>
      <c r="G2208" s="35" t="s">
        <v>678</v>
      </c>
      <c r="H2208" s="35" t="s">
        <v>115</v>
      </c>
    </row>
    <row r="2209" spans="1:8">
      <c r="A2209" s="37">
        <v>41474.15625</v>
      </c>
      <c r="B2209" s="35" t="s">
        <v>654</v>
      </c>
      <c r="C2209" s="35" t="s">
        <v>655</v>
      </c>
      <c r="D2209" s="39">
        <v>52.639999389648438</v>
      </c>
      <c r="E2209" s="39">
        <v>43.695430755615234</v>
      </c>
      <c r="F2209" s="41">
        <v>551530</v>
      </c>
      <c r="G2209" s="35" t="s">
        <v>678</v>
      </c>
      <c r="H2209" s="35" t="s">
        <v>115</v>
      </c>
    </row>
    <row r="2210" spans="1:8">
      <c r="A2210" s="37">
        <v>41477.15625</v>
      </c>
      <c r="B2210" s="35" t="s">
        <v>654</v>
      </c>
      <c r="C2210" s="35" t="s">
        <v>655</v>
      </c>
      <c r="D2210" s="39">
        <v>52.450000762939453</v>
      </c>
      <c r="E2210" s="39">
        <v>43.5377197265625</v>
      </c>
      <c r="F2210" s="41">
        <v>93625</v>
      </c>
      <c r="G2210" s="35" t="s">
        <v>678</v>
      </c>
      <c r="H2210" s="35" t="s">
        <v>115</v>
      </c>
    </row>
    <row r="2211" spans="1:8">
      <c r="A2211" s="37">
        <v>41478.15625</v>
      </c>
      <c r="B2211" s="35" t="s">
        <v>654</v>
      </c>
      <c r="C2211" s="35" t="s">
        <v>655</v>
      </c>
      <c r="D2211" s="39">
        <v>51.75</v>
      </c>
      <c r="E2211" s="39">
        <v>42.956668853759766</v>
      </c>
      <c r="F2211" s="41">
        <v>424025</v>
      </c>
      <c r="G2211" s="35" t="s">
        <v>678</v>
      </c>
      <c r="H2211" s="35" t="s">
        <v>115</v>
      </c>
    </row>
    <row r="2212" spans="1:8">
      <c r="A2212" s="37">
        <v>41479.15625</v>
      </c>
      <c r="B2212" s="35" t="s">
        <v>654</v>
      </c>
      <c r="C2212" s="35" t="s">
        <v>655</v>
      </c>
      <c r="D2212" s="39">
        <v>51.020000457763672</v>
      </c>
      <c r="E2212" s="39">
        <v>42.350704193115234</v>
      </c>
      <c r="F2212" s="41">
        <v>83220</v>
      </c>
      <c r="G2212" s="35" t="s">
        <v>678</v>
      </c>
      <c r="H2212" s="35" t="s">
        <v>115</v>
      </c>
    </row>
    <row r="2213" spans="1:8">
      <c r="A2213" s="37">
        <v>41480.15625</v>
      </c>
      <c r="B2213" s="35" t="s">
        <v>654</v>
      </c>
      <c r="C2213" s="35" t="s">
        <v>655</v>
      </c>
      <c r="D2213" s="39">
        <v>49.290000915527344</v>
      </c>
      <c r="E2213" s="39">
        <v>40.914669036865234</v>
      </c>
      <c r="F2213" s="41">
        <v>155375</v>
      </c>
      <c r="G2213" s="35" t="s">
        <v>678</v>
      </c>
      <c r="H2213" s="35" t="s">
        <v>115</v>
      </c>
    </row>
    <row r="2214" spans="1:8">
      <c r="A2214" s="37">
        <v>41481.15625</v>
      </c>
      <c r="B2214" s="35" t="s">
        <v>654</v>
      </c>
      <c r="C2214" s="35" t="s">
        <v>655</v>
      </c>
      <c r="D2214" s="39">
        <v>48.849998474121094</v>
      </c>
      <c r="E2214" s="39">
        <v>40.549427032470703</v>
      </c>
      <c r="F2214" s="41">
        <v>199445</v>
      </c>
      <c r="G2214" s="35" t="s">
        <v>678</v>
      </c>
      <c r="H2214" s="35" t="s">
        <v>115</v>
      </c>
    </row>
    <row r="2215" spans="1:8">
      <c r="A2215" s="37">
        <v>41484.15625</v>
      </c>
      <c r="B2215" s="35" t="s">
        <v>654</v>
      </c>
      <c r="C2215" s="35" t="s">
        <v>655</v>
      </c>
      <c r="D2215" s="39">
        <v>47.919998168945313</v>
      </c>
      <c r="E2215" s="39">
        <v>39.777458190917969</v>
      </c>
      <c r="F2215" s="41">
        <v>475435</v>
      </c>
      <c r="G2215" s="35" t="s">
        <v>678</v>
      </c>
      <c r="H2215" s="35" t="s">
        <v>115</v>
      </c>
    </row>
    <row r="2216" spans="1:8">
      <c r="A2216" s="37">
        <v>41485.15625</v>
      </c>
      <c r="B2216" s="35" t="s">
        <v>654</v>
      </c>
      <c r="C2216" s="35" t="s">
        <v>655</v>
      </c>
      <c r="D2216" s="39">
        <v>47.569999694824219</v>
      </c>
      <c r="E2216" s="39">
        <v>39.486923217773438</v>
      </c>
      <c r="F2216" s="41">
        <v>89765</v>
      </c>
      <c r="G2216" s="35" t="s">
        <v>678</v>
      </c>
      <c r="H2216" s="35" t="s">
        <v>115</v>
      </c>
    </row>
    <row r="2217" spans="1:8">
      <c r="A2217" s="37">
        <v>41486.15625</v>
      </c>
      <c r="B2217" s="35" t="s">
        <v>654</v>
      </c>
      <c r="C2217" s="35" t="s">
        <v>655</v>
      </c>
      <c r="D2217" s="39">
        <v>48.040000915527344</v>
      </c>
      <c r="E2217" s="39">
        <v>39.877071380615234</v>
      </c>
      <c r="F2217" s="41">
        <v>560035</v>
      </c>
      <c r="G2217" s="35" t="s">
        <v>678</v>
      </c>
      <c r="H2217" s="35" t="s">
        <v>115</v>
      </c>
    </row>
    <row r="2218" spans="1:8">
      <c r="A2218" s="37">
        <v>41487.15625</v>
      </c>
      <c r="B2218" s="35" t="s">
        <v>654</v>
      </c>
      <c r="C2218" s="35" t="s">
        <v>655</v>
      </c>
      <c r="D2218" s="39">
        <v>47.990001678466797</v>
      </c>
      <c r="E2218" s="39">
        <v>39.8355712890625</v>
      </c>
      <c r="F2218" s="41">
        <v>149355</v>
      </c>
      <c r="G2218" s="35" t="s">
        <v>678</v>
      </c>
      <c r="H2218" s="35" t="s">
        <v>115</v>
      </c>
    </row>
    <row r="2219" spans="1:8">
      <c r="A2219" s="37">
        <v>41488.15625</v>
      </c>
      <c r="B2219" s="35" t="s">
        <v>654</v>
      </c>
      <c r="C2219" s="35" t="s">
        <v>655</v>
      </c>
      <c r="D2219" s="39">
        <v>47.779998779296875</v>
      </c>
      <c r="E2219" s="39">
        <v>39.661251068115234</v>
      </c>
      <c r="F2219" s="41">
        <v>170815</v>
      </c>
      <c r="G2219" s="35" t="s">
        <v>678</v>
      </c>
      <c r="H2219" s="35" t="s">
        <v>115</v>
      </c>
    </row>
    <row r="2220" spans="1:8">
      <c r="A2220" s="37">
        <v>41491.15625</v>
      </c>
      <c r="B2220" s="35" t="s">
        <v>654</v>
      </c>
      <c r="C2220" s="35" t="s">
        <v>655</v>
      </c>
      <c r="D2220" s="39">
        <v>47.680000305175781</v>
      </c>
      <c r="E2220" s="39">
        <v>39.578243255615234</v>
      </c>
      <c r="F2220" s="41">
        <v>73220</v>
      </c>
      <c r="G2220" s="35" t="s">
        <v>678</v>
      </c>
      <c r="H2220" s="35" t="s">
        <v>115</v>
      </c>
    </row>
    <row r="2221" spans="1:8">
      <c r="A2221" s="37">
        <v>41492.15625</v>
      </c>
      <c r="B2221" s="35" t="s">
        <v>654</v>
      </c>
      <c r="C2221" s="35" t="s">
        <v>655</v>
      </c>
      <c r="D2221" s="39">
        <v>49.5</v>
      </c>
      <c r="E2221" s="39">
        <v>41.088985443115234</v>
      </c>
      <c r="F2221" s="41">
        <v>359000</v>
      </c>
      <c r="G2221" s="35" t="s">
        <v>678</v>
      </c>
      <c r="H2221" s="35" t="s">
        <v>115</v>
      </c>
    </row>
    <row r="2222" spans="1:8">
      <c r="A2222" s="37">
        <v>41493.15625</v>
      </c>
      <c r="B2222" s="35" t="s">
        <v>654</v>
      </c>
      <c r="C2222" s="35" t="s">
        <v>655</v>
      </c>
      <c r="D2222" s="39">
        <v>51.470001220703125</v>
      </c>
      <c r="E2222" s="39">
        <v>42.724246978759766</v>
      </c>
      <c r="F2222" s="41">
        <v>356085</v>
      </c>
      <c r="G2222" s="35" t="s">
        <v>678</v>
      </c>
      <c r="H2222" s="35" t="s">
        <v>115</v>
      </c>
    </row>
    <row r="2223" spans="1:8">
      <c r="A2223" s="37">
        <v>41494.15625</v>
      </c>
      <c r="B2223" s="35" t="s">
        <v>654</v>
      </c>
      <c r="C2223" s="35" t="s">
        <v>655</v>
      </c>
      <c r="D2223" s="39">
        <v>50.389999389648438</v>
      </c>
      <c r="E2223" s="39">
        <v>41.827743530273438</v>
      </c>
      <c r="F2223" s="41">
        <v>132630</v>
      </c>
      <c r="G2223" s="35" t="s">
        <v>678</v>
      </c>
      <c r="H2223" s="35" t="s">
        <v>115</v>
      </c>
    </row>
    <row r="2224" spans="1:8">
      <c r="A2224" s="37">
        <v>41498.15625</v>
      </c>
      <c r="B2224" s="35" t="s">
        <v>654</v>
      </c>
      <c r="C2224" s="35" t="s">
        <v>655</v>
      </c>
      <c r="D2224" s="39">
        <v>50.5</v>
      </c>
      <c r="E2224" s="39">
        <v>41.919071197509766</v>
      </c>
      <c r="F2224" s="41">
        <v>50390</v>
      </c>
      <c r="G2224" s="35" t="s">
        <v>678</v>
      </c>
      <c r="H2224" s="35" t="s">
        <v>115</v>
      </c>
    </row>
    <row r="2225" spans="1:8">
      <c r="A2225" s="37">
        <v>41499.15625</v>
      </c>
      <c r="B2225" s="35" t="s">
        <v>654</v>
      </c>
      <c r="C2225" s="35" t="s">
        <v>655</v>
      </c>
      <c r="D2225" s="39">
        <v>49.580001831054688</v>
      </c>
      <c r="E2225" s="39">
        <v>41.1553955078125</v>
      </c>
      <c r="F2225" s="41">
        <v>284020</v>
      </c>
      <c r="G2225" s="35" t="s">
        <v>678</v>
      </c>
      <c r="H2225" s="35" t="s">
        <v>115</v>
      </c>
    </row>
    <row r="2226" spans="1:8">
      <c r="A2226" s="37">
        <v>41500.15625</v>
      </c>
      <c r="B2226" s="35" t="s">
        <v>654</v>
      </c>
      <c r="C2226" s="35" t="s">
        <v>655</v>
      </c>
      <c r="D2226" s="39">
        <v>49.979999542236328</v>
      </c>
      <c r="E2226" s="39">
        <v>41.487419128417969</v>
      </c>
      <c r="F2226" s="41">
        <v>106715</v>
      </c>
      <c r="G2226" s="35" t="s">
        <v>678</v>
      </c>
      <c r="H2226" s="35" t="s">
        <v>115</v>
      </c>
    </row>
    <row r="2227" spans="1:8">
      <c r="A2227" s="37">
        <v>41502.15625</v>
      </c>
      <c r="B2227" s="35" t="s">
        <v>654</v>
      </c>
      <c r="C2227" s="35" t="s">
        <v>655</v>
      </c>
      <c r="D2227" s="39">
        <v>51.119998931884766</v>
      </c>
      <c r="E2227" s="39">
        <v>42.433719635009766</v>
      </c>
      <c r="F2227" s="41">
        <v>388605</v>
      </c>
      <c r="G2227" s="35" t="s">
        <v>678</v>
      </c>
      <c r="H2227" s="35" t="s">
        <v>115</v>
      </c>
    </row>
    <row r="2228" spans="1:8">
      <c r="A2228" s="37">
        <v>41505.15625</v>
      </c>
      <c r="B2228" s="35" t="s">
        <v>654</v>
      </c>
      <c r="C2228" s="35" t="s">
        <v>655</v>
      </c>
      <c r="D2228" s="39">
        <v>50.740001678466797</v>
      </c>
      <c r="E2228" s="39">
        <v>42.118278503417969</v>
      </c>
      <c r="F2228" s="41">
        <v>146895</v>
      </c>
      <c r="G2228" s="35" t="s">
        <v>678</v>
      </c>
      <c r="H2228" s="35" t="s">
        <v>115</v>
      </c>
    </row>
    <row r="2229" spans="1:8">
      <c r="A2229" s="37">
        <v>41506.15625</v>
      </c>
      <c r="B2229" s="35" t="s">
        <v>654</v>
      </c>
      <c r="C2229" s="35" t="s">
        <v>655</v>
      </c>
      <c r="D2229" s="39">
        <v>51.619998931884766</v>
      </c>
      <c r="E2229" s="39">
        <v>42.8487548828125</v>
      </c>
      <c r="F2229" s="41">
        <v>287415</v>
      </c>
      <c r="G2229" s="35" t="s">
        <v>678</v>
      </c>
      <c r="H2229" s="35" t="s">
        <v>115</v>
      </c>
    </row>
    <row r="2230" spans="1:8">
      <c r="A2230" s="37">
        <v>41507.15625</v>
      </c>
      <c r="B2230" s="35" t="s">
        <v>654</v>
      </c>
      <c r="C2230" s="35" t="s">
        <v>655</v>
      </c>
      <c r="D2230" s="39">
        <v>51.319999694824219</v>
      </c>
      <c r="E2230" s="39">
        <v>42.599735260009766</v>
      </c>
      <c r="F2230" s="41">
        <v>144060</v>
      </c>
      <c r="G2230" s="35" t="s">
        <v>678</v>
      </c>
      <c r="H2230" s="35" t="s">
        <v>115</v>
      </c>
    </row>
    <row r="2231" spans="1:8">
      <c r="A2231" s="37">
        <v>41508.15625</v>
      </c>
      <c r="B2231" s="35" t="s">
        <v>654</v>
      </c>
      <c r="C2231" s="35" t="s">
        <v>655</v>
      </c>
      <c r="D2231" s="39">
        <v>50.950000762939453</v>
      </c>
      <c r="E2231" s="39">
        <v>42.292594909667969</v>
      </c>
      <c r="F2231" s="41">
        <v>607685</v>
      </c>
      <c r="G2231" s="35" t="s">
        <v>678</v>
      </c>
      <c r="H2231" s="35" t="s">
        <v>115</v>
      </c>
    </row>
    <row r="2232" spans="1:8">
      <c r="A2232" s="37">
        <v>41509.15625</v>
      </c>
      <c r="B2232" s="35" t="s">
        <v>654</v>
      </c>
      <c r="C2232" s="35" t="s">
        <v>655</v>
      </c>
      <c r="D2232" s="39">
        <v>51.479999542236328</v>
      </c>
      <c r="E2232" s="39">
        <v>42.7325439453125</v>
      </c>
      <c r="F2232" s="41">
        <v>728150</v>
      </c>
      <c r="G2232" s="35" t="s">
        <v>678</v>
      </c>
      <c r="H2232" s="35" t="s">
        <v>115</v>
      </c>
    </row>
    <row r="2233" spans="1:8">
      <c r="A2233" s="37">
        <v>41512.15625</v>
      </c>
      <c r="B2233" s="35" t="s">
        <v>654</v>
      </c>
      <c r="C2233" s="35" t="s">
        <v>655</v>
      </c>
      <c r="D2233" s="39">
        <v>51.650001525878906</v>
      </c>
      <c r="E2233" s="39">
        <v>42.873661041259766</v>
      </c>
      <c r="F2233" s="41">
        <v>54275</v>
      </c>
      <c r="G2233" s="35" t="s">
        <v>678</v>
      </c>
      <c r="H2233" s="35" t="s">
        <v>115</v>
      </c>
    </row>
    <row r="2234" spans="1:8">
      <c r="A2234" s="37">
        <v>41513.15625</v>
      </c>
      <c r="B2234" s="35" t="s">
        <v>654</v>
      </c>
      <c r="C2234" s="35" t="s">
        <v>655</v>
      </c>
      <c r="D2234" s="39">
        <v>52.029998779296875</v>
      </c>
      <c r="E2234" s="39">
        <v>43.189079284667969</v>
      </c>
      <c r="F2234" s="41">
        <v>285685</v>
      </c>
      <c r="G2234" s="35" t="s">
        <v>678</v>
      </c>
      <c r="H2234" s="35" t="s">
        <v>115</v>
      </c>
    </row>
    <row r="2235" spans="1:8">
      <c r="A2235" s="37">
        <v>41514.15625</v>
      </c>
      <c r="B2235" s="35" t="s">
        <v>654</v>
      </c>
      <c r="C2235" s="35" t="s">
        <v>655</v>
      </c>
      <c r="D2235" s="39">
        <v>53.5</v>
      </c>
      <c r="E2235" s="39">
        <v>44.4093017578125</v>
      </c>
      <c r="F2235" s="41">
        <v>788480</v>
      </c>
      <c r="G2235" s="35" t="s">
        <v>678</v>
      </c>
      <c r="H2235" s="35" t="s">
        <v>115</v>
      </c>
    </row>
    <row r="2236" spans="1:8">
      <c r="A2236" s="37">
        <v>41515.15625</v>
      </c>
      <c r="B2236" s="35" t="s">
        <v>654</v>
      </c>
      <c r="C2236" s="35" t="s">
        <v>655</v>
      </c>
      <c r="D2236" s="39">
        <v>55.979999542236328</v>
      </c>
      <c r="E2236" s="39">
        <v>46.4678955078125</v>
      </c>
      <c r="F2236" s="41">
        <v>493860</v>
      </c>
      <c r="G2236" s="35" t="s">
        <v>678</v>
      </c>
      <c r="H2236" s="35" t="s">
        <v>115</v>
      </c>
    </row>
    <row r="2237" spans="1:8">
      <c r="A2237" s="37">
        <v>41516.15625</v>
      </c>
      <c r="B2237" s="35" t="s">
        <v>654</v>
      </c>
      <c r="C2237" s="35" t="s">
        <v>655</v>
      </c>
      <c r="D2237" s="39">
        <v>56.400001525878906</v>
      </c>
      <c r="E2237" s="39">
        <v>46.816535949707031</v>
      </c>
      <c r="F2237" s="41">
        <v>314100</v>
      </c>
      <c r="G2237" s="35" t="s">
        <v>678</v>
      </c>
      <c r="H2237" s="35" t="s">
        <v>115</v>
      </c>
    </row>
    <row r="2238" spans="1:8">
      <c r="A2238" s="37">
        <v>41519.15625</v>
      </c>
      <c r="B2238" s="35" t="s">
        <v>654</v>
      </c>
      <c r="C2238" s="35" t="s">
        <v>655</v>
      </c>
      <c r="D2238" s="39">
        <v>58.959999084472656</v>
      </c>
      <c r="E2238" s="39">
        <v>48.941547393798828</v>
      </c>
      <c r="F2238" s="41">
        <v>715720</v>
      </c>
      <c r="G2238" s="35" t="s">
        <v>678</v>
      </c>
      <c r="H2238" s="35" t="s">
        <v>115</v>
      </c>
    </row>
    <row r="2239" spans="1:8">
      <c r="A2239" s="37">
        <v>41520.15625</v>
      </c>
      <c r="B2239" s="35" t="s">
        <v>654</v>
      </c>
      <c r="C2239" s="35" t="s">
        <v>655</v>
      </c>
      <c r="D2239" s="39">
        <v>56.290000915527344</v>
      </c>
      <c r="E2239" s="39">
        <v>46.725227355957031</v>
      </c>
      <c r="F2239" s="41">
        <v>198445</v>
      </c>
      <c r="G2239" s="35" t="s">
        <v>678</v>
      </c>
      <c r="H2239" s="35" t="s">
        <v>115</v>
      </c>
    </row>
    <row r="2240" spans="1:8">
      <c r="A2240" s="37">
        <v>41521.15625</v>
      </c>
      <c r="B2240" s="35" t="s">
        <v>654</v>
      </c>
      <c r="C2240" s="35" t="s">
        <v>655</v>
      </c>
      <c r="D2240" s="39">
        <v>57.779998779296875</v>
      </c>
      <c r="E2240" s="39">
        <v>47.962047576904297</v>
      </c>
      <c r="F2240" s="41">
        <v>173415</v>
      </c>
      <c r="G2240" s="35" t="s">
        <v>678</v>
      </c>
      <c r="H2240" s="35" t="s">
        <v>115</v>
      </c>
    </row>
    <row r="2241" spans="1:8">
      <c r="A2241" s="37">
        <v>41522.15625</v>
      </c>
      <c r="B2241" s="35" t="s">
        <v>654</v>
      </c>
      <c r="C2241" s="35" t="s">
        <v>655</v>
      </c>
      <c r="D2241" s="39">
        <v>58.520000457763672</v>
      </c>
      <c r="E2241" s="39">
        <v>48.576313018798828</v>
      </c>
      <c r="F2241" s="41">
        <v>261010</v>
      </c>
      <c r="G2241" s="35" t="s">
        <v>678</v>
      </c>
      <c r="H2241" s="35" t="s">
        <v>115</v>
      </c>
    </row>
    <row r="2242" spans="1:8">
      <c r="A2242" s="37">
        <v>41523.15625</v>
      </c>
      <c r="B2242" s="35" t="s">
        <v>654</v>
      </c>
      <c r="C2242" s="35" t="s">
        <v>655</v>
      </c>
      <c r="D2242" s="39">
        <v>58.549999237060547</v>
      </c>
      <c r="E2242" s="39">
        <v>48.601215362548828</v>
      </c>
      <c r="F2242" s="41">
        <v>136635</v>
      </c>
      <c r="G2242" s="35" t="s">
        <v>678</v>
      </c>
      <c r="H2242" s="35" t="s">
        <v>115</v>
      </c>
    </row>
    <row r="2243" spans="1:8">
      <c r="A2243" s="37">
        <v>41527.15625</v>
      </c>
      <c r="B2243" s="35" t="s">
        <v>654</v>
      </c>
      <c r="C2243" s="35" t="s">
        <v>655</v>
      </c>
      <c r="D2243" s="39">
        <v>57.959999084472656</v>
      </c>
      <c r="E2243" s="39">
        <v>48.111465454101563</v>
      </c>
      <c r="F2243" s="41">
        <v>252305</v>
      </c>
      <c r="G2243" s="35" t="s">
        <v>678</v>
      </c>
      <c r="H2243" s="35" t="s">
        <v>115</v>
      </c>
    </row>
    <row r="2244" spans="1:8">
      <c r="A2244" s="37">
        <v>41528.15625</v>
      </c>
      <c r="B2244" s="35" t="s">
        <v>654</v>
      </c>
      <c r="C2244" s="35" t="s">
        <v>655</v>
      </c>
      <c r="D2244" s="39">
        <v>57.139999389648438</v>
      </c>
      <c r="E2244" s="39">
        <v>47.430801391601563</v>
      </c>
      <c r="F2244" s="41">
        <v>46020</v>
      </c>
      <c r="G2244" s="35" t="s">
        <v>678</v>
      </c>
      <c r="H2244" s="35" t="s">
        <v>115</v>
      </c>
    </row>
    <row r="2245" spans="1:8">
      <c r="A2245" s="37">
        <v>41529.15625</v>
      </c>
      <c r="B2245" s="35" t="s">
        <v>654</v>
      </c>
      <c r="C2245" s="35" t="s">
        <v>655</v>
      </c>
      <c r="D2245" s="39">
        <v>56.669998168945313</v>
      </c>
      <c r="E2245" s="39">
        <v>47.040657043457031</v>
      </c>
      <c r="F2245" s="41">
        <v>80520</v>
      </c>
      <c r="G2245" s="35" t="s">
        <v>678</v>
      </c>
      <c r="H2245" s="35" t="s">
        <v>115</v>
      </c>
    </row>
    <row r="2246" spans="1:8">
      <c r="A2246" s="37">
        <v>41530.15625</v>
      </c>
      <c r="B2246" s="35" t="s">
        <v>654</v>
      </c>
      <c r="C2246" s="35" t="s">
        <v>655</v>
      </c>
      <c r="D2246" s="39">
        <v>55.970001220703125</v>
      </c>
      <c r="E2246" s="39">
        <v>46.459606170654297</v>
      </c>
      <c r="F2246" s="41">
        <v>63890</v>
      </c>
      <c r="G2246" s="35" t="s">
        <v>678</v>
      </c>
      <c r="H2246" s="35" t="s">
        <v>115</v>
      </c>
    </row>
    <row r="2247" spans="1:8">
      <c r="A2247" s="37">
        <v>41533.15625</v>
      </c>
      <c r="B2247" s="35" t="s">
        <v>654</v>
      </c>
      <c r="C2247" s="35" t="s">
        <v>655</v>
      </c>
      <c r="D2247" s="39">
        <v>54.810001373291016</v>
      </c>
      <c r="E2247" s="39">
        <v>45.496707916259766</v>
      </c>
      <c r="F2247" s="41">
        <v>56270</v>
      </c>
      <c r="G2247" s="35" t="s">
        <v>678</v>
      </c>
      <c r="H2247" s="35" t="s">
        <v>115</v>
      </c>
    </row>
    <row r="2248" spans="1:8">
      <c r="A2248" s="37">
        <v>41534.15625</v>
      </c>
      <c r="B2248" s="35" t="s">
        <v>654</v>
      </c>
      <c r="C2248" s="35" t="s">
        <v>655</v>
      </c>
      <c r="D2248" s="39">
        <v>55.139999389648438</v>
      </c>
      <c r="E2248" s="39">
        <v>45.770633697509766</v>
      </c>
      <c r="F2248" s="41">
        <v>45985</v>
      </c>
      <c r="G2248" s="35" t="s">
        <v>678</v>
      </c>
      <c r="H2248" s="35" t="s">
        <v>115</v>
      </c>
    </row>
    <row r="2249" spans="1:8">
      <c r="A2249" s="37">
        <v>41535.15625</v>
      </c>
      <c r="B2249" s="35" t="s">
        <v>654</v>
      </c>
      <c r="C2249" s="35" t="s">
        <v>655</v>
      </c>
      <c r="D2249" s="39">
        <v>56.729999542236328</v>
      </c>
      <c r="E2249" s="39">
        <v>47.090457916259766</v>
      </c>
      <c r="F2249" s="41">
        <v>227605</v>
      </c>
      <c r="G2249" s="35" t="s">
        <v>678</v>
      </c>
      <c r="H2249" s="35" t="s">
        <v>115</v>
      </c>
    </row>
    <row r="2250" spans="1:8">
      <c r="A2250" s="37">
        <v>41536.15625</v>
      </c>
      <c r="B2250" s="35" t="s">
        <v>654</v>
      </c>
      <c r="C2250" s="35" t="s">
        <v>655</v>
      </c>
      <c r="D2250" s="39">
        <v>56.020000457763672</v>
      </c>
      <c r="E2250" s="39">
        <v>46.501110076904297</v>
      </c>
      <c r="F2250" s="41">
        <v>181110</v>
      </c>
      <c r="G2250" s="35" t="s">
        <v>678</v>
      </c>
      <c r="H2250" s="35" t="s">
        <v>115</v>
      </c>
    </row>
    <row r="2251" spans="1:8">
      <c r="A2251" s="37">
        <v>41537.15625</v>
      </c>
      <c r="B2251" s="35" t="s">
        <v>654</v>
      </c>
      <c r="C2251" s="35" t="s">
        <v>655</v>
      </c>
      <c r="D2251" s="39">
        <v>56.490001678466797</v>
      </c>
      <c r="E2251" s="39">
        <v>46.891254425048828</v>
      </c>
      <c r="F2251" s="41">
        <v>352700</v>
      </c>
      <c r="G2251" s="35" t="s">
        <v>678</v>
      </c>
      <c r="H2251" s="35" t="s">
        <v>115</v>
      </c>
    </row>
    <row r="2252" spans="1:8">
      <c r="A2252" s="37">
        <v>41540.15625</v>
      </c>
      <c r="B2252" s="35" t="s">
        <v>654</v>
      </c>
      <c r="C2252" s="35" t="s">
        <v>655</v>
      </c>
      <c r="D2252" s="39">
        <v>55.599998474121094</v>
      </c>
      <c r="E2252" s="39">
        <v>46.152477264404297</v>
      </c>
      <c r="F2252" s="41">
        <v>238100</v>
      </c>
      <c r="G2252" s="35" t="s">
        <v>678</v>
      </c>
      <c r="H2252" s="35" t="s">
        <v>115</v>
      </c>
    </row>
    <row r="2253" spans="1:8">
      <c r="A2253" s="37">
        <v>41541.15625</v>
      </c>
      <c r="B2253" s="35" t="s">
        <v>654</v>
      </c>
      <c r="C2253" s="35" t="s">
        <v>655</v>
      </c>
      <c r="D2253" s="39">
        <v>55.569999694824219</v>
      </c>
      <c r="E2253" s="39">
        <v>46.127571105957031</v>
      </c>
      <c r="F2253" s="41">
        <v>311550</v>
      </c>
      <c r="G2253" s="35" t="s">
        <v>678</v>
      </c>
      <c r="H2253" s="35" t="s">
        <v>115</v>
      </c>
    </row>
    <row r="2254" spans="1:8">
      <c r="A2254" s="37">
        <v>41542.15625</v>
      </c>
      <c r="B2254" s="35" t="s">
        <v>654</v>
      </c>
      <c r="C2254" s="35" t="s">
        <v>655</v>
      </c>
      <c r="D2254" s="39">
        <v>57.369998931884766</v>
      </c>
      <c r="E2254" s="39">
        <v>47.621707916259766</v>
      </c>
      <c r="F2254" s="41">
        <v>681580</v>
      </c>
      <c r="G2254" s="35" t="s">
        <v>678</v>
      </c>
      <c r="H2254" s="35" t="s">
        <v>115</v>
      </c>
    </row>
    <row r="2255" spans="1:8">
      <c r="A2255" s="37">
        <v>41543.15625</v>
      </c>
      <c r="B2255" s="35" t="s">
        <v>654</v>
      </c>
      <c r="C2255" s="35" t="s">
        <v>655</v>
      </c>
      <c r="D2255" s="39">
        <v>57.639999389648438</v>
      </c>
      <c r="E2255" s="39">
        <v>47.845836639404297</v>
      </c>
      <c r="F2255" s="41">
        <v>196085</v>
      </c>
      <c r="G2255" s="35" t="s">
        <v>678</v>
      </c>
      <c r="H2255" s="35" t="s">
        <v>115</v>
      </c>
    </row>
    <row r="2256" spans="1:8">
      <c r="A2256" s="37">
        <v>41544.15625</v>
      </c>
      <c r="B2256" s="35" t="s">
        <v>654</v>
      </c>
      <c r="C2256" s="35" t="s">
        <v>655</v>
      </c>
      <c r="D2256" s="39">
        <v>56.520000457763672</v>
      </c>
      <c r="E2256" s="39">
        <v>46.916152954101563</v>
      </c>
      <c r="F2256" s="41">
        <v>176565</v>
      </c>
      <c r="G2256" s="35" t="s">
        <v>678</v>
      </c>
      <c r="H2256" s="35" t="s">
        <v>115</v>
      </c>
    </row>
    <row r="2257" spans="1:8">
      <c r="A2257" s="37">
        <v>41547.15625</v>
      </c>
      <c r="B2257" s="35" t="s">
        <v>654</v>
      </c>
      <c r="C2257" s="35" t="s">
        <v>655</v>
      </c>
      <c r="D2257" s="39">
        <v>56.349998474121094</v>
      </c>
      <c r="E2257" s="39">
        <v>46.775039672851563</v>
      </c>
      <c r="F2257" s="41">
        <v>757390</v>
      </c>
      <c r="G2257" s="35" t="s">
        <v>678</v>
      </c>
      <c r="H2257" s="35" t="s">
        <v>115</v>
      </c>
    </row>
    <row r="2258" spans="1:8">
      <c r="A2258" s="37">
        <v>41548.15625</v>
      </c>
      <c r="B2258" s="35" t="s">
        <v>654</v>
      </c>
      <c r="C2258" s="35" t="s">
        <v>655</v>
      </c>
      <c r="D2258" s="39">
        <v>55.810001373291016</v>
      </c>
      <c r="E2258" s="39">
        <v>46.326793670654297</v>
      </c>
      <c r="F2258" s="41">
        <v>92175</v>
      </c>
      <c r="G2258" s="35" t="s">
        <v>678</v>
      </c>
      <c r="H2258" s="35" t="s">
        <v>115</v>
      </c>
    </row>
    <row r="2259" spans="1:8">
      <c r="A2259" s="37">
        <v>41550.15625</v>
      </c>
      <c r="B2259" s="35" t="s">
        <v>654</v>
      </c>
      <c r="C2259" s="35" t="s">
        <v>655</v>
      </c>
      <c r="D2259" s="39">
        <v>55.490001678466797</v>
      </c>
      <c r="E2259" s="39">
        <v>46.061168670654297</v>
      </c>
      <c r="F2259" s="41">
        <v>275665</v>
      </c>
      <c r="G2259" s="35" t="s">
        <v>678</v>
      </c>
      <c r="H2259" s="35" t="s">
        <v>115</v>
      </c>
    </row>
    <row r="2260" spans="1:8">
      <c r="A2260" s="37">
        <v>41551.15625</v>
      </c>
      <c r="B2260" s="35" t="s">
        <v>654</v>
      </c>
      <c r="C2260" s="35" t="s">
        <v>655</v>
      </c>
      <c r="D2260" s="39">
        <v>56.270000457763672</v>
      </c>
      <c r="E2260" s="39">
        <v>46.708629608154297</v>
      </c>
      <c r="F2260" s="41">
        <v>865710</v>
      </c>
      <c r="G2260" s="35" t="s">
        <v>678</v>
      </c>
      <c r="H2260" s="35" t="s">
        <v>115</v>
      </c>
    </row>
    <row r="2261" spans="1:8">
      <c r="A2261" s="37">
        <v>41554.15625</v>
      </c>
      <c r="B2261" s="35" t="s">
        <v>654</v>
      </c>
      <c r="C2261" s="35" t="s">
        <v>655</v>
      </c>
      <c r="D2261" s="39">
        <v>57.029998779296875</v>
      </c>
      <c r="E2261" s="39">
        <v>47.339500427246094</v>
      </c>
      <c r="F2261" s="41">
        <v>223135</v>
      </c>
      <c r="G2261" s="35" t="s">
        <v>678</v>
      </c>
      <c r="H2261" s="35" t="s">
        <v>115</v>
      </c>
    </row>
    <row r="2262" spans="1:8">
      <c r="A2262" s="37">
        <v>41555.15625</v>
      </c>
      <c r="B2262" s="35" t="s">
        <v>654</v>
      </c>
      <c r="C2262" s="35" t="s">
        <v>655</v>
      </c>
      <c r="D2262" s="39">
        <v>57.090000152587891</v>
      </c>
      <c r="E2262" s="39">
        <v>47.389289855957031</v>
      </c>
      <c r="F2262" s="41">
        <v>169130</v>
      </c>
      <c r="G2262" s="35" t="s">
        <v>678</v>
      </c>
      <c r="H2262" s="35" t="s">
        <v>115</v>
      </c>
    </row>
    <row r="2263" spans="1:8">
      <c r="A2263" s="37">
        <v>41556.15625</v>
      </c>
      <c r="B2263" s="35" t="s">
        <v>654</v>
      </c>
      <c r="C2263" s="35" t="s">
        <v>655</v>
      </c>
      <c r="D2263" s="39">
        <v>57.450000762939453</v>
      </c>
      <c r="E2263" s="39">
        <v>47.688129425048828</v>
      </c>
      <c r="F2263" s="41">
        <v>84460</v>
      </c>
      <c r="G2263" s="35" t="s">
        <v>678</v>
      </c>
      <c r="H2263" s="35" t="s">
        <v>115</v>
      </c>
    </row>
    <row r="2264" spans="1:8">
      <c r="A2264" s="37">
        <v>41557.15625</v>
      </c>
      <c r="B2264" s="35" t="s">
        <v>654</v>
      </c>
      <c r="C2264" s="35" t="s">
        <v>655</v>
      </c>
      <c r="D2264" s="39">
        <v>60.529998779296875</v>
      </c>
      <c r="E2264" s="39">
        <v>50.244770050048828</v>
      </c>
      <c r="F2264" s="41">
        <v>1004075</v>
      </c>
      <c r="G2264" s="35" t="s">
        <v>678</v>
      </c>
      <c r="H2264" s="35" t="s">
        <v>115</v>
      </c>
    </row>
    <row r="2265" spans="1:8">
      <c r="A2265" s="37">
        <v>41558.15625</v>
      </c>
      <c r="B2265" s="35" t="s">
        <v>654</v>
      </c>
      <c r="C2265" s="35" t="s">
        <v>655</v>
      </c>
      <c r="D2265" s="39">
        <v>59.619998931884766</v>
      </c>
      <c r="E2265" s="39">
        <v>49.489391326904297</v>
      </c>
      <c r="F2265" s="41">
        <v>638460</v>
      </c>
      <c r="G2265" s="35" t="s">
        <v>678</v>
      </c>
      <c r="H2265" s="35" t="s">
        <v>115</v>
      </c>
    </row>
    <row r="2266" spans="1:8">
      <c r="A2266" s="37">
        <v>41561.15625</v>
      </c>
      <c r="B2266" s="35" t="s">
        <v>654</v>
      </c>
      <c r="C2266" s="35" t="s">
        <v>655</v>
      </c>
      <c r="D2266" s="39">
        <v>59.319999694824219</v>
      </c>
      <c r="E2266" s="39">
        <v>49.240379333496094</v>
      </c>
      <c r="F2266" s="41">
        <v>241610</v>
      </c>
      <c r="G2266" s="35" t="s">
        <v>678</v>
      </c>
      <c r="H2266" s="35" t="s">
        <v>115</v>
      </c>
    </row>
    <row r="2267" spans="1:8">
      <c r="A2267" s="37">
        <v>41562.15625</v>
      </c>
      <c r="B2267" s="35" t="s">
        <v>654</v>
      </c>
      <c r="C2267" s="35" t="s">
        <v>655</v>
      </c>
      <c r="D2267" s="39">
        <v>57.560001373291016</v>
      </c>
      <c r="E2267" s="39">
        <v>47.779438018798828</v>
      </c>
      <c r="F2267" s="41">
        <v>2811010</v>
      </c>
      <c r="G2267" s="35" t="s">
        <v>678</v>
      </c>
      <c r="H2267" s="35" t="s">
        <v>115</v>
      </c>
    </row>
    <row r="2268" spans="1:8">
      <c r="A2268" s="37">
        <v>41564.15625</v>
      </c>
      <c r="B2268" s="35" t="s">
        <v>654</v>
      </c>
      <c r="C2268" s="35" t="s">
        <v>655</v>
      </c>
      <c r="D2268" s="39">
        <v>55.630001068115234</v>
      </c>
      <c r="E2268" s="39">
        <v>46.177379608154297</v>
      </c>
      <c r="F2268" s="41">
        <v>1080395</v>
      </c>
      <c r="G2268" s="35" t="s">
        <v>678</v>
      </c>
      <c r="H2268" s="35" t="s">
        <v>115</v>
      </c>
    </row>
    <row r="2269" spans="1:8">
      <c r="A2269" s="37">
        <v>41565.15625</v>
      </c>
      <c r="B2269" s="35" t="s">
        <v>654</v>
      </c>
      <c r="C2269" s="35" t="s">
        <v>655</v>
      </c>
      <c r="D2269" s="39">
        <v>54.830001831054688</v>
      </c>
      <c r="E2269" s="39">
        <v>45.513317108154297</v>
      </c>
      <c r="F2269" s="41">
        <v>589675</v>
      </c>
      <c r="G2269" s="35" t="s">
        <v>678</v>
      </c>
      <c r="H2269" s="35" t="s">
        <v>115</v>
      </c>
    </row>
    <row r="2270" spans="1:8">
      <c r="A2270" s="37">
        <v>41568.15625</v>
      </c>
      <c r="B2270" s="35" t="s">
        <v>654</v>
      </c>
      <c r="C2270" s="35" t="s">
        <v>655</v>
      </c>
      <c r="D2270" s="39">
        <v>55.069999694824219</v>
      </c>
      <c r="E2270" s="39">
        <v>45.712528228759766</v>
      </c>
      <c r="F2270" s="41">
        <v>2144190</v>
      </c>
      <c r="G2270" s="35" t="s">
        <v>678</v>
      </c>
      <c r="H2270" s="35" t="s">
        <v>115</v>
      </c>
    </row>
    <row r="2271" spans="1:8">
      <c r="A2271" s="37">
        <v>41569.15625</v>
      </c>
      <c r="B2271" s="35" t="s">
        <v>654</v>
      </c>
      <c r="C2271" s="35" t="s">
        <v>655</v>
      </c>
      <c r="D2271" s="39">
        <v>55.400001525878906</v>
      </c>
      <c r="E2271" s="39">
        <v>45.986457824707031</v>
      </c>
      <c r="F2271" s="41">
        <v>695510</v>
      </c>
      <c r="G2271" s="35" t="s">
        <v>678</v>
      </c>
      <c r="H2271" s="35" t="s">
        <v>115</v>
      </c>
    </row>
    <row r="2272" spans="1:8">
      <c r="A2272" s="37">
        <v>41570.15625</v>
      </c>
      <c r="B2272" s="35" t="s">
        <v>654</v>
      </c>
      <c r="C2272" s="35" t="s">
        <v>655</v>
      </c>
      <c r="D2272" s="39">
        <v>54.819999694824219</v>
      </c>
      <c r="E2272" s="39">
        <v>45.505008697509766</v>
      </c>
      <c r="F2272" s="41">
        <v>567620</v>
      </c>
      <c r="G2272" s="35" t="s">
        <v>678</v>
      </c>
      <c r="H2272" s="35" t="s">
        <v>115</v>
      </c>
    </row>
    <row r="2273" spans="1:8">
      <c r="A2273" s="37">
        <v>41571.15625</v>
      </c>
      <c r="B2273" s="35" t="s">
        <v>654</v>
      </c>
      <c r="C2273" s="35" t="s">
        <v>655</v>
      </c>
      <c r="D2273" s="39">
        <v>55.009998321533203</v>
      </c>
      <c r="E2273" s="39">
        <v>45.662715911865234</v>
      </c>
      <c r="F2273" s="41">
        <v>1337060</v>
      </c>
      <c r="G2273" s="35" t="s">
        <v>678</v>
      </c>
      <c r="H2273" s="35" t="s">
        <v>115</v>
      </c>
    </row>
    <row r="2274" spans="1:8">
      <c r="A2274" s="37">
        <v>41572.15625</v>
      </c>
      <c r="B2274" s="35" t="s">
        <v>654</v>
      </c>
      <c r="C2274" s="35" t="s">
        <v>655</v>
      </c>
      <c r="D2274" s="39">
        <v>55.430000305175781</v>
      </c>
      <c r="E2274" s="39">
        <v>46.011363983154297</v>
      </c>
      <c r="F2274" s="41">
        <v>228710</v>
      </c>
      <c r="G2274" s="35" t="s">
        <v>678</v>
      </c>
      <c r="H2274" s="35" t="s">
        <v>115</v>
      </c>
    </row>
    <row r="2275" spans="1:8">
      <c r="A2275" s="37">
        <v>41575.15625</v>
      </c>
      <c r="B2275" s="35" t="s">
        <v>654</v>
      </c>
      <c r="C2275" s="35" t="s">
        <v>655</v>
      </c>
      <c r="D2275" s="39">
        <v>55.369998931884766</v>
      </c>
      <c r="E2275" s="39">
        <v>45.961551666259766</v>
      </c>
      <c r="F2275" s="41">
        <v>206435</v>
      </c>
      <c r="G2275" s="35" t="s">
        <v>678</v>
      </c>
      <c r="H2275" s="35" t="s">
        <v>115</v>
      </c>
    </row>
    <row r="2276" spans="1:8">
      <c r="A2276" s="37">
        <v>41576.15625</v>
      </c>
      <c r="B2276" s="35" t="s">
        <v>654</v>
      </c>
      <c r="C2276" s="35" t="s">
        <v>655</v>
      </c>
      <c r="D2276" s="39">
        <v>56.080001831054688</v>
      </c>
      <c r="E2276" s="39">
        <v>46.550922393798828</v>
      </c>
      <c r="F2276" s="41">
        <v>1560425</v>
      </c>
      <c r="G2276" s="35" t="s">
        <v>678</v>
      </c>
      <c r="H2276" s="35" t="s">
        <v>115</v>
      </c>
    </row>
    <row r="2277" spans="1:8">
      <c r="A2277" s="37">
        <v>41577.15625</v>
      </c>
      <c r="B2277" s="35" t="s">
        <v>654</v>
      </c>
      <c r="C2277" s="35" t="s">
        <v>655</v>
      </c>
      <c r="D2277" s="39">
        <v>55.590000152587891</v>
      </c>
      <c r="E2277" s="39">
        <v>46.144168853759766</v>
      </c>
      <c r="F2277" s="41">
        <v>300745</v>
      </c>
      <c r="G2277" s="35" t="s">
        <v>678</v>
      </c>
      <c r="H2277" s="35" t="s">
        <v>115</v>
      </c>
    </row>
    <row r="2278" spans="1:8">
      <c r="A2278" s="37">
        <v>41578.15625</v>
      </c>
      <c r="B2278" s="35" t="s">
        <v>654</v>
      </c>
      <c r="C2278" s="35" t="s">
        <v>655</v>
      </c>
      <c r="D2278" s="39">
        <v>56.090000152587891</v>
      </c>
      <c r="E2278" s="39">
        <v>46.559219360351563</v>
      </c>
      <c r="F2278" s="41">
        <v>249710</v>
      </c>
      <c r="G2278" s="35" t="s">
        <v>678</v>
      </c>
      <c r="H2278" s="35" t="s">
        <v>115</v>
      </c>
    </row>
    <row r="2279" spans="1:8">
      <c r="A2279" s="37">
        <v>41579.15625</v>
      </c>
      <c r="B2279" s="35" t="s">
        <v>654</v>
      </c>
      <c r="C2279" s="35" t="s">
        <v>655</v>
      </c>
      <c r="D2279" s="39">
        <v>56.279998779296875</v>
      </c>
      <c r="E2279" s="39">
        <v>46.716934204101563</v>
      </c>
      <c r="F2279" s="41">
        <v>171570</v>
      </c>
      <c r="G2279" s="35" t="s">
        <v>678</v>
      </c>
      <c r="H2279" s="35" t="s">
        <v>115</v>
      </c>
    </row>
    <row r="2280" spans="1:8">
      <c r="A2280" s="37">
        <v>41583.15625</v>
      </c>
      <c r="B2280" s="35" t="s">
        <v>654</v>
      </c>
      <c r="C2280" s="35" t="s">
        <v>655</v>
      </c>
      <c r="D2280" s="39">
        <v>56.259998321533203</v>
      </c>
      <c r="E2280" s="39">
        <v>46.7003173828125</v>
      </c>
      <c r="F2280" s="41">
        <v>131670</v>
      </c>
      <c r="G2280" s="35" t="s">
        <v>678</v>
      </c>
      <c r="H2280" s="35" t="s">
        <v>115</v>
      </c>
    </row>
    <row r="2281" spans="1:8">
      <c r="A2281" s="37">
        <v>41584.15625</v>
      </c>
      <c r="B2281" s="35" t="s">
        <v>654</v>
      </c>
      <c r="C2281" s="35" t="s">
        <v>655</v>
      </c>
      <c r="D2281" s="39">
        <v>56.889999389648438</v>
      </c>
      <c r="E2281" s="39">
        <v>47.223278045654297</v>
      </c>
      <c r="F2281" s="41">
        <v>535335</v>
      </c>
      <c r="G2281" s="35" t="s">
        <v>678</v>
      </c>
      <c r="H2281" s="35" t="s">
        <v>115</v>
      </c>
    </row>
    <row r="2282" spans="1:8">
      <c r="A2282" s="37">
        <v>41585.15625</v>
      </c>
      <c r="B2282" s="35" t="s">
        <v>654</v>
      </c>
      <c r="C2282" s="35" t="s">
        <v>655</v>
      </c>
      <c r="D2282" s="39">
        <v>58.869998931884766</v>
      </c>
      <c r="E2282" s="39">
        <v>48.866840362548828</v>
      </c>
      <c r="F2282" s="41">
        <v>940765</v>
      </c>
      <c r="G2282" s="35" t="s">
        <v>678</v>
      </c>
      <c r="H2282" s="35" t="s">
        <v>115</v>
      </c>
    </row>
    <row r="2283" spans="1:8">
      <c r="A2283" s="37">
        <v>41586.15625</v>
      </c>
      <c r="B2283" s="35" t="s">
        <v>654</v>
      </c>
      <c r="C2283" s="35" t="s">
        <v>655</v>
      </c>
      <c r="D2283" s="39">
        <v>58.930000305175781</v>
      </c>
      <c r="E2283" s="39">
        <v>48.916637420654297</v>
      </c>
      <c r="F2283" s="41">
        <v>281635</v>
      </c>
      <c r="G2283" s="35" t="s">
        <v>678</v>
      </c>
      <c r="H2283" s="35" t="s">
        <v>115</v>
      </c>
    </row>
    <row r="2284" spans="1:8">
      <c r="A2284" s="37">
        <v>41589.15625</v>
      </c>
      <c r="B2284" s="35" t="s">
        <v>654</v>
      </c>
      <c r="C2284" s="35" t="s">
        <v>655</v>
      </c>
      <c r="D2284" s="39">
        <v>59.509998321533203</v>
      </c>
      <c r="E2284" s="39">
        <v>49.398094177246094</v>
      </c>
      <c r="F2284" s="41">
        <v>1009695</v>
      </c>
      <c r="G2284" s="35" t="s">
        <v>678</v>
      </c>
      <c r="H2284" s="35" t="s">
        <v>115</v>
      </c>
    </row>
    <row r="2285" spans="1:8">
      <c r="A2285" s="37">
        <v>41590.15625</v>
      </c>
      <c r="B2285" s="35" t="s">
        <v>654</v>
      </c>
      <c r="C2285" s="35" t="s">
        <v>655</v>
      </c>
      <c r="D2285" s="39">
        <v>59.540000915527344</v>
      </c>
      <c r="E2285" s="39">
        <v>49.422988891601563</v>
      </c>
      <c r="F2285" s="41">
        <v>969585</v>
      </c>
      <c r="G2285" s="35" t="s">
        <v>678</v>
      </c>
      <c r="H2285" s="35" t="s">
        <v>115</v>
      </c>
    </row>
    <row r="2286" spans="1:8">
      <c r="A2286" s="37">
        <v>41591.15625</v>
      </c>
      <c r="B2286" s="35" t="s">
        <v>654</v>
      </c>
      <c r="C2286" s="35" t="s">
        <v>655</v>
      </c>
      <c r="D2286" s="39">
        <v>59.549999237060547</v>
      </c>
      <c r="E2286" s="39">
        <v>49.431285858154297</v>
      </c>
      <c r="F2286" s="41">
        <v>178185</v>
      </c>
      <c r="G2286" s="35" t="s">
        <v>678</v>
      </c>
      <c r="H2286" s="35" t="s">
        <v>115</v>
      </c>
    </row>
    <row r="2287" spans="1:8">
      <c r="A2287" s="37">
        <v>41592.15625</v>
      </c>
      <c r="B2287" s="35" t="s">
        <v>654</v>
      </c>
      <c r="C2287" s="35" t="s">
        <v>655</v>
      </c>
      <c r="D2287" s="39">
        <v>60.619998931884766</v>
      </c>
      <c r="E2287" s="39">
        <v>50.319473266601563</v>
      </c>
      <c r="F2287" s="41">
        <v>1243095</v>
      </c>
      <c r="G2287" s="35" t="s">
        <v>678</v>
      </c>
      <c r="H2287" s="35" t="s">
        <v>115</v>
      </c>
    </row>
    <row r="2288" spans="1:8">
      <c r="A2288" s="37">
        <v>41596.15625</v>
      </c>
      <c r="B2288" s="35" t="s">
        <v>654</v>
      </c>
      <c r="C2288" s="35" t="s">
        <v>655</v>
      </c>
      <c r="D2288" s="39">
        <v>62.900001525878906</v>
      </c>
      <c r="E2288" s="39">
        <v>52.212059020996094</v>
      </c>
      <c r="F2288" s="41">
        <v>769075</v>
      </c>
      <c r="G2288" s="35" t="s">
        <v>678</v>
      </c>
      <c r="H2288" s="35" t="s">
        <v>115</v>
      </c>
    </row>
    <row r="2289" spans="1:8">
      <c r="A2289" s="37">
        <v>41597.15625</v>
      </c>
      <c r="B2289" s="35" t="s">
        <v>654</v>
      </c>
      <c r="C2289" s="35" t="s">
        <v>655</v>
      </c>
      <c r="D2289" s="39">
        <v>63.139999389648438</v>
      </c>
      <c r="E2289" s="39">
        <v>52.411285400390625</v>
      </c>
      <c r="F2289" s="41">
        <v>854690</v>
      </c>
      <c r="G2289" s="35" t="s">
        <v>678</v>
      </c>
      <c r="H2289" s="35" t="s">
        <v>115</v>
      </c>
    </row>
    <row r="2290" spans="1:8">
      <c r="A2290" s="37">
        <v>41598.15625</v>
      </c>
      <c r="B2290" s="35" t="s">
        <v>654</v>
      </c>
      <c r="C2290" s="35" t="s">
        <v>655</v>
      </c>
      <c r="D2290" s="39">
        <v>62.389999389648438</v>
      </c>
      <c r="E2290" s="39">
        <v>51.788730621337891</v>
      </c>
      <c r="F2290" s="41">
        <v>440695</v>
      </c>
      <c r="G2290" s="35" t="s">
        <v>678</v>
      </c>
      <c r="H2290" s="35" t="s">
        <v>115</v>
      </c>
    </row>
    <row r="2291" spans="1:8">
      <c r="A2291" s="37">
        <v>41599.15625</v>
      </c>
      <c r="B2291" s="35" t="s">
        <v>654</v>
      </c>
      <c r="C2291" s="35" t="s">
        <v>655</v>
      </c>
      <c r="D2291" s="39">
        <v>62.400001525878906</v>
      </c>
      <c r="E2291" s="39">
        <v>51.797016143798828</v>
      </c>
      <c r="F2291" s="41">
        <v>189670</v>
      </c>
      <c r="G2291" s="35" t="s">
        <v>678</v>
      </c>
      <c r="H2291" s="35" t="s">
        <v>115</v>
      </c>
    </row>
    <row r="2292" spans="1:8">
      <c r="A2292" s="37">
        <v>41600.15625</v>
      </c>
      <c r="B2292" s="35" t="s">
        <v>654</v>
      </c>
      <c r="C2292" s="35" t="s">
        <v>655</v>
      </c>
      <c r="D2292" s="39">
        <v>62.790000915527344</v>
      </c>
      <c r="E2292" s="39">
        <v>52.120750427246094</v>
      </c>
      <c r="F2292" s="41">
        <v>180705</v>
      </c>
      <c r="G2292" s="35" t="s">
        <v>678</v>
      </c>
      <c r="H2292" s="35" t="s">
        <v>115</v>
      </c>
    </row>
    <row r="2293" spans="1:8">
      <c r="A2293" s="37">
        <v>41603.15625</v>
      </c>
      <c r="B2293" s="35" t="s">
        <v>654</v>
      </c>
      <c r="C2293" s="35" t="s">
        <v>655</v>
      </c>
      <c r="D2293" s="39">
        <v>62.709999084472656</v>
      </c>
      <c r="E2293" s="39">
        <v>52.054336547851563</v>
      </c>
      <c r="F2293" s="41">
        <v>468265</v>
      </c>
      <c r="G2293" s="35" t="s">
        <v>678</v>
      </c>
      <c r="H2293" s="35" t="s">
        <v>115</v>
      </c>
    </row>
    <row r="2294" spans="1:8">
      <c r="A2294" s="37">
        <v>41604.15625</v>
      </c>
      <c r="B2294" s="35" t="s">
        <v>654</v>
      </c>
      <c r="C2294" s="35" t="s">
        <v>655</v>
      </c>
      <c r="D2294" s="39">
        <v>64.599998474121094</v>
      </c>
      <c r="E2294" s="39">
        <v>53.623191833496094</v>
      </c>
      <c r="F2294" s="41">
        <v>2267745</v>
      </c>
      <c r="G2294" s="35" t="s">
        <v>678</v>
      </c>
      <c r="H2294" s="35" t="s">
        <v>115</v>
      </c>
    </row>
    <row r="2295" spans="1:8">
      <c r="A2295" s="37">
        <v>41605.15625</v>
      </c>
      <c r="B2295" s="35" t="s">
        <v>654</v>
      </c>
      <c r="C2295" s="35" t="s">
        <v>655</v>
      </c>
      <c r="D2295" s="39">
        <v>63.720001220703125</v>
      </c>
      <c r="E2295" s="39">
        <v>52.892726898193359</v>
      </c>
      <c r="F2295" s="41">
        <v>254700</v>
      </c>
      <c r="G2295" s="35" t="s">
        <v>678</v>
      </c>
      <c r="H2295" s="35" t="s">
        <v>115</v>
      </c>
    </row>
    <row r="2296" spans="1:8">
      <c r="A2296" s="37">
        <v>41606.15625</v>
      </c>
      <c r="B2296" s="35" t="s">
        <v>654</v>
      </c>
      <c r="C2296" s="35" t="s">
        <v>655</v>
      </c>
      <c r="D2296" s="39">
        <v>62.830001831054688</v>
      </c>
      <c r="E2296" s="39">
        <v>52.153957366943359</v>
      </c>
      <c r="F2296" s="41">
        <v>147095</v>
      </c>
      <c r="G2296" s="35" t="s">
        <v>678</v>
      </c>
      <c r="H2296" s="35" t="s">
        <v>115</v>
      </c>
    </row>
    <row r="2297" spans="1:8">
      <c r="A2297" s="37">
        <v>41607.15625</v>
      </c>
      <c r="B2297" s="35" t="s">
        <v>654</v>
      </c>
      <c r="C2297" s="35" t="s">
        <v>655</v>
      </c>
      <c r="D2297" s="39">
        <v>63.700000762939453</v>
      </c>
      <c r="E2297" s="39">
        <v>52.876129150390625</v>
      </c>
      <c r="F2297" s="41">
        <v>670695</v>
      </c>
      <c r="G2297" s="35" t="s">
        <v>678</v>
      </c>
      <c r="H2297" s="35" t="s">
        <v>115</v>
      </c>
    </row>
    <row r="2298" spans="1:8">
      <c r="A2298" s="37">
        <v>41610.15625</v>
      </c>
      <c r="B2298" s="35" t="s">
        <v>654</v>
      </c>
      <c r="C2298" s="35" t="s">
        <v>655</v>
      </c>
      <c r="D2298" s="39">
        <v>64.349998474121094</v>
      </c>
      <c r="E2298" s="39">
        <v>53.415676116943359</v>
      </c>
      <c r="F2298" s="41">
        <v>669955</v>
      </c>
      <c r="G2298" s="35" t="s">
        <v>678</v>
      </c>
      <c r="H2298" s="35" t="s">
        <v>115</v>
      </c>
    </row>
    <row r="2299" spans="1:8">
      <c r="A2299" s="37">
        <v>41611.15625</v>
      </c>
      <c r="B2299" s="35" t="s">
        <v>654</v>
      </c>
      <c r="C2299" s="35" t="s">
        <v>655</v>
      </c>
      <c r="D2299" s="39">
        <v>64.510002136230469</v>
      </c>
      <c r="E2299" s="39">
        <v>53.548492431640625</v>
      </c>
      <c r="F2299" s="41">
        <v>131610</v>
      </c>
      <c r="G2299" s="35" t="s">
        <v>678</v>
      </c>
      <c r="H2299" s="35" t="s">
        <v>115</v>
      </c>
    </row>
    <row r="2300" spans="1:8">
      <c r="A2300" s="37">
        <v>41612.15625</v>
      </c>
      <c r="B2300" s="35" t="s">
        <v>654</v>
      </c>
      <c r="C2300" s="35" t="s">
        <v>655</v>
      </c>
      <c r="D2300" s="39">
        <v>67.25</v>
      </c>
      <c r="E2300" s="39">
        <v>55.822921752929688</v>
      </c>
      <c r="F2300" s="41">
        <v>1119145</v>
      </c>
      <c r="G2300" s="35" t="s">
        <v>678</v>
      </c>
      <c r="H2300" s="35" t="s">
        <v>115</v>
      </c>
    </row>
    <row r="2301" spans="1:8">
      <c r="A2301" s="37">
        <v>41613.15625</v>
      </c>
      <c r="B2301" s="35" t="s">
        <v>654</v>
      </c>
      <c r="C2301" s="35" t="s">
        <v>655</v>
      </c>
      <c r="D2301" s="39">
        <v>66.680000305175781</v>
      </c>
      <c r="E2301" s="39">
        <v>55.349769592285156</v>
      </c>
      <c r="F2301" s="41">
        <v>718615</v>
      </c>
      <c r="G2301" s="35" t="s">
        <v>678</v>
      </c>
      <c r="H2301" s="35" t="s">
        <v>115</v>
      </c>
    </row>
    <row r="2302" spans="1:8">
      <c r="A2302" s="37">
        <v>41614.15625</v>
      </c>
      <c r="B2302" s="35" t="s">
        <v>654</v>
      </c>
      <c r="C2302" s="35" t="s">
        <v>655</v>
      </c>
      <c r="D2302" s="39">
        <v>66.610000610351563</v>
      </c>
      <c r="E2302" s="39">
        <v>55.291664123535156</v>
      </c>
      <c r="F2302" s="41">
        <v>159095</v>
      </c>
      <c r="G2302" s="35" t="s">
        <v>678</v>
      </c>
      <c r="H2302" s="35" t="s">
        <v>115</v>
      </c>
    </row>
    <row r="2303" spans="1:8">
      <c r="A2303" s="37">
        <v>41617.15625</v>
      </c>
      <c r="B2303" s="35" t="s">
        <v>654</v>
      </c>
      <c r="C2303" s="35" t="s">
        <v>655</v>
      </c>
      <c r="D2303" s="39">
        <v>66.25</v>
      </c>
      <c r="E2303" s="39">
        <v>54.992847442626953</v>
      </c>
      <c r="F2303" s="41">
        <v>544890</v>
      </c>
      <c r="G2303" s="35" t="s">
        <v>678</v>
      </c>
      <c r="H2303" s="35" t="s">
        <v>115</v>
      </c>
    </row>
    <row r="2304" spans="1:8">
      <c r="A2304" s="37">
        <v>41618.15625</v>
      </c>
      <c r="B2304" s="35" t="s">
        <v>654</v>
      </c>
      <c r="C2304" s="35" t="s">
        <v>655</v>
      </c>
      <c r="D2304" s="39">
        <v>65.519996643066406</v>
      </c>
      <c r="E2304" s="39">
        <v>54.386863708496094</v>
      </c>
      <c r="F2304" s="41">
        <v>420075</v>
      </c>
      <c r="G2304" s="35" t="s">
        <v>678</v>
      </c>
      <c r="H2304" s="35" t="s">
        <v>115</v>
      </c>
    </row>
    <row r="2305" spans="1:8">
      <c r="A2305" s="37">
        <v>41619.15625</v>
      </c>
      <c r="B2305" s="35" t="s">
        <v>654</v>
      </c>
      <c r="C2305" s="35" t="s">
        <v>655</v>
      </c>
      <c r="D2305" s="39">
        <v>66.040000915527344</v>
      </c>
      <c r="E2305" s="39">
        <v>54.818527221679688</v>
      </c>
      <c r="F2305" s="41">
        <v>743675</v>
      </c>
      <c r="G2305" s="35" t="s">
        <v>678</v>
      </c>
      <c r="H2305" s="35" t="s">
        <v>115</v>
      </c>
    </row>
    <row r="2306" spans="1:8">
      <c r="A2306" s="37">
        <v>41620.15625</v>
      </c>
      <c r="B2306" s="35" t="s">
        <v>654</v>
      </c>
      <c r="C2306" s="35" t="s">
        <v>655</v>
      </c>
      <c r="D2306" s="39">
        <v>67.94000244140625</v>
      </c>
      <c r="E2306" s="39">
        <v>56.395679473876953</v>
      </c>
      <c r="F2306" s="41">
        <v>755340</v>
      </c>
      <c r="G2306" s="35" t="s">
        <v>678</v>
      </c>
      <c r="H2306" s="35" t="s">
        <v>115</v>
      </c>
    </row>
    <row r="2307" spans="1:8">
      <c r="A2307" s="37">
        <v>41621.15625</v>
      </c>
      <c r="B2307" s="35" t="s">
        <v>654</v>
      </c>
      <c r="C2307" s="35" t="s">
        <v>655</v>
      </c>
      <c r="D2307" s="39">
        <v>67.089996337890625</v>
      </c>
      <c r="E2307" s="39">
        <v>55.690086364746094</v>
      </c>
      <c r="F2307" s="41">
        <v>146605</v>
      </c>
      <c r="G2307" s="35" t="s">
        <v>678</v>
      </c>
      <c r="H2307" s="35" t="s">
        <v>115</v>
      </c>
    </row>
    <row r="2308" spans="1:8">
      <c r="A2308" s="37">
        <v>41624.15625</v>
      </c>
      <c r="B2308" s="35" t="s">
        <v>654</v>
      </c>
      <c r="C2308" s="35" t="s">
        <v>655</v>
      </c>
      <c r="D2308" s="39">
        <v>67.889999389648438</v>
      </c>
      <c r="E2308" s="39">
        <v>56.354156494140625</v>
      </c>
      <c r="F2308" s="41">
        <v>275045</v>
      </c>
      <c r="G2308" s="35" t="s">
        <v>678</v>
      </c>
      <c r="H2308" s="35" t="s">
        <v>115</v>
      </c>
    </row>
    <row r="2309" spans="1:8">
      <c r="A2309" s="37">
        <v>41625.15625</v>
      </c>
      <c r="B2309" s="35" t="s">
        <v>654</v>
      </c>
      <c r="C2309" s="35" t="s">
        <v>655</v>
      </c>
      <c r="D2309" s="39">
        <v>69.970001220703125</v>
      </c>
      <c r="E2309" s="39">
        <v>58.080722808837891</v>
      </c>
      <c r="F2309" s="41">
        <v>625600</v>
      </c>
      <c r="G2309" s="35" t="s">
        <v>678</v>
      </c>
      <c r="H2309" s="35" t="s">
        <v>115</v>
      </c>
    </row>
    <row r="2310" spans="1:8">
      <c r="A2310" s="37">
        <v>41626.15625</v>
      </c>
      <c r="B2310" s="35" t="s">
        <v>654</v>
      </c>
      <c r="C2310" s="35" t="s">
        <v>655</v>
      </c>
      <c r="D2310" s="39">
        <v>69.730003356933594</v>
      </c>
      <c r="E2310" s="39">
        <v>57.881511688232422</v>
      </c>
      <c r="F2310" s="41">
        <v>439165</v>
      </c>
      <c r="G2310" s="35" t="s">
        <v>678</v>
      </c>
      <c r="H2310" s="35" t="s">
        <v>115</v>
      </c>
    </row>
    <row r="2311" spans="1:8">
      <c r="A2311" s="37">
        <v>41627.15625</v>
      </c>
      <c r="B2311" s="35" t="s">
        <v>654</v>
      </c>
      <c r="C2311" s="35" t="s">
        <v>655</v>
      </c>
      <c r="D2311" s="39">
        <v>69.010002136230469</v>
      </c>
      <c r="E2311" s="39">
        <v>57.283878326416016</v>
      </c>
      <c r="F2311" s="41">
        <v>1337110</v>
      </c>
      <c r="G2311" s="35" t="s">
        <v>678</v>
      </c>
      <c r="H2311" s="35" t="s">
        <v>115</v>
      </c>
    </row>
    <row r="2312" spans="1:8">
      <c r="A2312" s="37">
        <v>41628.15625</v>
      </c>
      <c r="B2312" s="35" t="s">
        <v>654</v>
      </c>
      <c r="C2312" s="35" t="s">
        <v>655</v>
      </c>
      <c r="D2312" s="39">
        <v>69.360000610351563</v>
      </c>
      <c r="E2312" s="39">
        <v>57.574382781982422</v>
      </c>
      <c r="F2312" s="41">
        <v>623360</v>
      </c>
      <c r="G2312" s="35" t="s">
        <v>678</v>
      </c>
      <c r="H2312" s="35" t="s">
        <v>115</v>
      </c>
    </row>
    <row r="2313" spans="1:8">
      <c r="A2313" s="37">
        <v>41631.15625</v>
      </c>
      <c r="B2313" s="35" t="s">
        <v>654</v>
      </c>
      <c r="C2313" s="35" t="s">
        <v>655</v>
      </c>
      <c r="D2313" s="39">
        <v>69.599998474121094</v>
      </c>
      <c r="E2313" s="39">
        <v>57.773601531982422</v>
      </c>
      <c r="F2313" s="41">
        <v>462695</v>
      </c>
      <c r="G2313" s="35" t="s">
        <v>678</v>
      </c>
      <c r="H2313" s="35" t="s">
        <v>115</v>
      </c>
    </row>
    <row r="2314" spans="1:8">
      <c r="A2314" s="37">
        <v>41632.15625</v>
      </c>
      <c r="B2314" s="35" t="s">
        <v>654</v>
      </c>
      <c r="C2314" s="35" t="s">
        <v>655</v>
      </c>
      <c r="D2314" s="39">
        <v>71.25</v>
      </c>
      <c r="E2314" s="39">
        <v>59.143234252929688</v>
      </c>
      <c r="F2314" s="41">
        <v>688165</v>
      </c>
      <c r="G2314" s="35" t="s">
        <v>678</v>
      </c>
      <c r="H2314" s="35" t="s">
        <v>115</v>
      </c>
    </row>
    <row r="2315" spans="1:8">
      <c r="A2315" s="37">
        <v>41634.15625</v>
      </c>
      <c r="B2315" s="35" t="s">
        <v>654</v>
      </c>
      <c r="C2315" s="35" t="s">
        <v>655</v>
      </c>
      <c r="D2315" s="39">
        <v>70.239997863769531</v>
      </c>
      <c r="E2315" s="39">
        <v>58.304851531982422</v>
      </c>
      <c r="F2315" s="41">
        <v>186935</v>
      </c>
      <c r="G2315" s="35" t="s">
        <v>678</v>
      </c>
      <c r="H2315" s="35" t="s">
        <v>115</v>
      </c>
    </row>
    <row r="2316" spans="1:8">
      <c r="A2316" s="37">
        <v>41635.15625</v>
      </c>
      <c r="B2316" s="35" t="s">
        <v>654</v>
      </c>
      <c r="C2316" s="35" t="s">
        <v>655</v>
      </c>
      <c r="D2316" s="39">
        <v>71.129997253417969</v>
      </c>
      <c r="E2316" s="39">
        <v>59.043632507324219</v>
      </c>
      <c r="F2316" s="41">
        <v>1439140</v>
      </c>
      <c r="G2316" s="35" t="s">
        <v>678</v>
      </c>
      <c r="H2316" s="35" t="s">
        <v>115</v>
      </c>
    </row>
    <row r="2317" spans="1:8">
      <c r="A2317" s="37">
        <v>41638.15625</v>
      </c>
      <c r="B2317" s="35" t="s">
        <v>654</v>
      </c>
      <c r="C2317" s="35" t="s">
        <v>655</v>
      </c>
      <c r="D2317" s="39">
        <v>70.800003051757813</v>
      </c>
      <c r="E2317" s="39">
        <v>58.769695281982422</v>
      </c>
      <c r="F2317" s="41">
        <v>296520</v>
      </c>
      <c r="G2317" s="35" t="s">
        <v>678</v>
      </c>
      <c r="H2317" s="35" t="s">
        <v>115</v>
      </c>
    </row>
    <row r="2318" spans="1:8">
      <c r="A2318" s="37">
        <v>41639.15625</v>
      </c>
      <c r="B2318" s="35" t="s">
        <v>654</v>
      </c>
      <c r="C2318" s="35" t="s">
        <v>655</v>
      </c>
      <c r="D2318" s="39">
        <v>72.209999084472656</v>
      </c>
      <c r="E2318" s="39">
        <v>59.940116882324219</v>
      </c>
      <c r="F2318" s="41">
        <v>526170</v>
      </c>
      <c r="G2318" s="35" t="s">
        <v>678</v>
      </c>
      <c r="H2318" s="35" t="s">
        <v>115</v>
      </c>
    </row>
    <row r="2319" spans="1:8">
      <c r="A2319" s="37">
        <v>41640.15625</v>
      </c>
      <c r="B2319" s="35" t="s">
        <v>654</v>
      </c>
      <c r="C2319" s="35" t="s">
        <v>655</v>
      </c>
      <c r="D2319" s="39">
        <v>73.650001525878906</v>
      </c>
      <c r="E2319" s="39">
        <v>61.135440826416016</v>
      </c>
      <c r="F2319" s="41">
        <v>767080</v>
      </c>
      <c r="G2319" s="35" t="s">
        <v>678</v>
      </c>
      <c r="H2319" s="35" t="s">
        <v>115</v>
      </c>
    </row>
    <row r="2320" spans="1:8">
      <c r="A2320" s="37">
        <v>41641.15625</v>
      </c>
      <c r="B2320" s="35" t="s">
        <v>654</v>
      </c>
      <c r="C2320" s="35" t="s">
        <v>655</v>
      </c>
      <c r="D2320" s="39">
        <v>73.349998474121094</v>
      </c>
      <c r="E2320" s="39">
        <v>60.886409759521484</v>
      </c>
      <c r="F2320" s="41">
        <v>494570</v>
      </c>
      <c r="G2320" s="35" t="s">
        <v>678</v>
      </c>
      <c r="H2320" s="35" t="s">
        <v>115</v>
      </c>
    </row>
    <row r="2321" spans="1:8">
      <c r="A2321" s="37">
        <v>41642.15625</v>
      </c>
      <c r="B2321" s="35" t="s">
        <v>654</v>
      </c>
      <c r="C2321" s="35" t="s">
        <v>655</v>
      </c>
      <c r="D2321" s="39">
        <v>75.69000244140625</v>
      </c>
      <c r="E2321" s="39">
        <v>62.828792572021484</v>
      </c>
      <c r="F2321" s="41">
        <v>798245</v>
      </c>
      <c r="G2321" s="35" t="s">
        <v>678</v>
      </c>
      <c r="H2321" s="35" t="s">
        <v>115</v>
      </c>
    </row>
    <row r="2322" spans="1:8">
      <c r="A2322" s="37">
        <v>41645.15625</v>
      </c>
      <c r="B2322" s="35" t="s">
        <v>654</v>
      </c>
      <c r="C2322" s="35" t="s">
        <v>655</v>
      </c>
      <c r="D2322" s="39">
        <v>76.139999389648438</v>
      </c>
      <c r="E2322" s="39">
        <v>63.20233154296875</v>
      </c>
      <c r="F2322" s="41">
        <v>621400</v>
      </c>
      <c r="G2322" s="35" t="s">
        <v>678</v>
      </c>
      <c r="H2322" s="35" t="s">
        <v>115</v>
      </c>
    </row>
    <row r="2323" spans="1:8">
      <c r="A2323" s="37">
        <v>41646.15625</v>
      </c>
      <c r="B2323" s="35" t="s">
        <v>654</v>
      </c>
      <c r="C2323" s="35" t="s">
        <v>655</v>
      </c>
      <c r="D2323" s="39">
        <v>77.410003662109375</v>
      </c>
      <c r="E2323" s="39">
        <v>64.256515502929688</v>
      </c>
      <c r="F2323" s="41">
        <v>482845</v>
      </c>
      <c r="G2323" s="35" t="s">
        <v>678</v>
      </c>
      <c r="H2323" s="35" t="s">
        <v>115</v>
      </c>
    </row>
    <row r="2324" spans="1:8">
      <c r="A2324" s="37">
        <v>41647.15625</v>
      </c>
      <c r="B2324" s="35" t="s">
        <v>654</v>
      </c>
      <c r="C2324" s="35" t="s">
        <v>655</v>
      </c>
      <c r="D2324" s="39">
        <v>76.900001525878906</v>
      </c>
      <c r="E2324" s="39">
        <v>63.833198547363281</v>
      </c>
      <c r="F2324" s="41">
        <v>597175</v>
      </c>
      <c r="G2324" s="35" t="s">
        <v>678</v>
      </c>
      <c r="H2324" s="35" t="s">
        <v>115</v>
      </c>
    </row>
    <row r="2325" spans="1:8">
      <c r="A2325" s="37">
        <v>41648.15625</v>
      </c>
      <c r="B2325" s="35" t="s">
        <v>654</v>
      </c>
      <c r="C2325" s="35" t="s">
        <v>655</v>
      </c>
      <c r="D2325" s="39">
        <v>73.099998474121094</v>
      </c>
      <c r="E2325" s="39">
        <v>60.678874969482422</v>
      </c>
      <c r="F2325" s="41">
        <v>390935</v>
      </c>
      <c r="G2325" s="35" t="s">
        <v>678</v>
      </c>
      <c r="H2325" s="35" t="s">
        <v>115</v>
      </c>
    </row>
    <row r="2326" spans="1:8">
      <c r="A2326" s="37">
        <v>41649.15625</v>
      </c>
      <c r="B2326" s="35" t="s">
        <v>654</v>
      </c>
      <c r="C2326" s="35" t="s">
        <v>655</v>
      </c>
      <c r="D2326" s="39">
        <v>75.25</v>
      </c>
      <c r="E2326" s="39">
        <v>62.463565826416016</v>
      </c>
      <c r="F2326" s="41">
        <v>1078175</v>
      </c>
      <c r="G2326" s="35" t="s">
        <v>678</v>
      </c>
      <c r="H2326" s="35" t="s">
        <v>115</v>
      </c>
    </row>
    <row r="2327" spans="1:8">
      <c r="A2327" s="37">
        <v>41652.15625</v>
      </c>
      <c r="B2327" s="35" t="s">
        <v>654</v>
      </c>
      <c r="C2327" s="35" t="s">
        <v>655</v>
      </c>
      <c r="D2327" s="39">
        <v>74.419998168945313</v>
      </c>
      <c r="E2327" s="39">
        <v>61.774585723876953</v>
      </c>
      <c r="F2327" s="41">
        <v>409835</v>
      </c>
      <c r="G2327" s="35" t="s">
        <v>678</v>
      </c>
      <c r="H2327" s="35" t="s">
        <v>115</v>
      </c>
    </row>
    <row r="2328" spans="1:8">
      <c r="A2328" s="37">
        <v>41653.15625</v>
      </c>
      <c r="B2328" s="35" t="s">
        <v>654</v>
      </c>
      <c r="C2328" s="35" t="s">
        <v>655</v>
      </c>
      <c r="D2328" s="39">
        <v>77.879997253417969</v>
      </c>
      <c r="E2328" s="39">
        <v>64.64666748046875</v>
      </c>
      <c r="F2328" s="41">
        <v>9369525</v>
      </c>
      <c r="G2328" s="35" t="s">
        <v>678</v>
      </c>
      <c r="H2328" s="35" t="s">
        <v>115</v>
      </c>
    </row>
    <row r="2329" spans="1:8">
      <c r="A2329" s="37">
        <v>41654.15625</v>
      </c>
      <c r="B2329" s="35" t="s">
        <v>654</v>
      </c>
      <c r="C2329" s="35" t="s">
        <v>655</v>
      </c>
      <c r="D2329" s="39">
        <v>75.239997863769531</v>
      </c>
      <c r="E2329" s="39">
        <v>62.455257415771484</v>
      </c>
      <c r="F2329" s="41">
        <v>1587685</v>
      </c>
      <c r="G2329" s="35" t="s">
        <v>678</v>
      </c>
      <c r="H2329" s="35" t="s">
        <v>115</v>
      </c>
    </row>
    <row r="2330" spans="1:8">
      <c r="A2330" s="37">
        <v>41655.15625</v>
      </c>
      <c r="B2330" s="35" t="s">
        <v>654</v>
      </c>
      <c r="C2330" s="35" t="s">
        <v>655</v>
      </c>
      <c r="D2330" s="39">
        <v>78.129997253417969</v>
      </c>
      <c r="E2330" s="39">
        <v>64.85418701171875</v>
      </c>
      <c r="F2330" s="41">
        <v>2036400</v>
      </c>
      <c r="G2330" s="35" t="s">
        <v>678</v>
      </c>
      <c r="H2330" s="35" t="s">
        <v>115</v>
      </c>
    </row>
    <row r="2331" spans="1:8">
      <c r="A2331" s="37">
        <v>41656.15625</v>
      </c>
      <c r="B2331" s="35" t="s">
        <v>654</v>
      </c>
      <c r="C2331" s="35" t="s">
        <v>655</v>
      </c>
      <c r="D2331" s="39">
        <v>77.900001525878906</v>
      </c>
      <c r="E2331" s="39">
        <v>64.663284301757813</v>
      </c>
      <c r="F2331" s="41">
        <v>944605</v>
      </c>
      <c r="G2331" s="35" t="s">
        <v>678</v>
      </c>
      <c r="H2331" s="35" t="s">
        <v>115</v>
      </c>
    </row>
    <row r="2332" spans="1:8">
      <c r="A2332" s="37">
        <v>41659.15625</v>
      </c>
      <c r="B2332" s="35" t="s">
        <v>654</v>
      </c>
      <c r="C2332" s="35" t="s">
        <v>655</v>
      </c>
      <c r="D2332" s="39">
        <v>82.540000915527344</v>
      </c>
      <c r="E2332" s="39">
        <v>68.514854431152344</v>
      </c>
      <c r="F2332" s="41">
        <v>1623455</v>
      </c>
      <c r="G2332" s="35" t="s">
        <v>678</v>
      </c>
      <c r="H2332" s="35" t="s">
        <v>115</v>
      </c>
    </row>
    <row r="2333" spans="1:8">
      <c r="A2333" s="37">
        <v>41660.15625</v>
      </c>
      <c r="B2333" s="35" t="s">
        <v>654</v>
      </c>
      <c r="C2333" s="35" t="s">
        <v>655</v>
      </c>
      <c r="D2333" s="39">
        <v>81.269996643066406</v>
      </c>
      <c r="E2333" s="39">
        <v>67.46063232421875</v>
      </c>
      <c r="F2333" s="41">
        <v>1217590</v>
      </c>
      <c r="G2333" s="35" t="s">
        <v>678</v>
      </c>
      <c r="H2333" s="35" t="s">
        <v>115</v>
      </c>
    </row>
    <row r="2334" spans="1:8">
      <c r="A2334" s="37">
        <v>41661.15625</v>
      </c>
      <c r="B2334" s="35" t="s">
        <v>654</v>
      </c>
      <c r="C2334" s="35" t="s">
        <v>655</v>
      </c>
      <c r="D2334" s="39">
        <v>81.330001831054688</v>
      </c>
      <c r="E2334" s="39">
        <v>67.510459899902344</v>
      </c>
      <c r="F2334" s="41">
        <v>403185</v>
      </c>
      <c r="G2334" s="35" t="s">
        <v>678</v>
      </c>
      <c r="H2334" s="35" t="s">
        <v>115</v>
      </c>
    </row>
    <row r="2335" spans="1:8">
      <c r="A2335" s="37">
        <v>41662.15625</v>
      </c>
      <c r="B2335" s="35" t="s">
        <v>654</v>
      </c>
      <c r="C2335" s="35" t="s">
        <v>655</v>
      </c>
      <c r="D2335" s="39">
        <v>80.55999755859375</v>
      </c>
      <c r="E2335" s="39">
        <v>66.871261596679688</v>
      </c>
      <c r="F2335" s="41">
        <v>200695</v>
      </c>
      <c r="G2335" s="35" t="s">
        <v>678</v>
      </c>
      <c r="H2335" s="35" t="s">
        <v>115</v>
      </c>
    </row>
    <row r="2336" spans="1:8">
      <c r="A2336" s="37">
        <v>41663.15625</v>
      </c>
      <c r="B2336" s="35" t="s">
        <v>654</v>
      </c>
      <c r="C2336" s="35" t="s">
        <v>655</v>
      </c>
      <c r="D2336" s="39">
        <v>79.470001220703125</v>
      </c>
      <c r="E2336" s="39">
        <v>65.96649169921875</v>
      </c>
      <c r="F2336" s="41">
        <v>287575</v>
      </c>
      <c r="G2336" s="35" t="s">
        <v>678</v>
      </c>
      <c r="H2336" s="35" t="s">
        <v>115</v>
      </c>
    </row>
    <row r="2337" spans="1:8">
      <c r="A2337" s="37">
        <v>41666.15625</v>
      </c>
      <c r="B2337" s="35" t="s">
        <v>654</v>
      </c>
      <c r="C2337" s="35" t="s">
        <v>655</v>
      </c>
      <c r="D2337" s="39">
        <v>77.910003662109375</v>
      </c>
      <c r="E2337" s="39">
        <v>64.671562194824219</v>
      </c>
      <c r="F2337" s="41">
        <v>261775</v>
      </c>
      <c r="G2337" s="35" t="s">
        <v>678</v>
      </c>
      <c r="H2337" s="35" t="s">
        <v>115</v>
      </c>
    </row>
    <row r="2338" spans="1:8">
      <c r="A2338" s="37">
        <v>41667.15625</v>
      </c>
      <c r="B2338" s="35" t="s">
        <v>654</v>
      </c>
      <c r="C2338" s="35" t="s">
        <v>655</v>
      </c>
      <c r="D2338" s="39">
        <v>77.769996643066406</v>
      </c>
      <c r="E2338" s="39">
        <v>64.555366516113281</v>
      </c>
      <c r="F2338" s="41">
        <v>304725</v>
      </c>
      <c r="G2338" s="35" t="s">
        <v>678</v>
      </c>
      <c r="H2338" s="35" t="s">
        <v>115</v>
      </c>
    </row>
    <row r="2339" spans="1:8">
      <c r="A2339" s="37">
        <v>41668.15625</v>
      </c>
      <c r="B2339" s="35" t="s">
        <v>654</v>
      </c>
      <c r="C2339" s="35" t="s">
        <v>655</v>
      </c>
      <c r="D2339" s="39">
        <v>78.010002136230469</v>
      </c>
      <c r="E2339" s="39">
        <v>64.754562377929688</v>
      </c>
      <c r="F2339" s="41">
        <v>497740</v>
      </c>
      <c r="G2339" s="35" t="s">
        <v>678</v>
      </c>
      <c r="H2339" s="35" t="s">
        <v>115</v>
      </c>
    </row>
    <row r="2340" spans="1:8">
      <c r="A2340" s="37">
        <v>41669.15625</v>
      </c>
      <c r="B2340" s="35" t="s">
        <v>654</v>
      </c>
      <c r="C2340" s="35" t="s">
        <v>655</v>
      </c>
      <c r="D2340" s="39">
        <v>77.089996337890625</v>
      </c>
      <c r="E2340" s="39">
        <v>63.99090576171875</v>
      </c>
      <c r="F2340" s="41">
        <v>203805</v>
      </c>
      <c r="G2340" s="35" t="s">
        <v>678</v>
      </c>
      <c r="H2340" s="35" t="s">
        <v>115</v>
      </c>
    </row>
    <row r="2341" spans="1:8">
      <c r="A2341" s="37">
        <v>41670.15625</v>
      </c>
      <c r="B2341" s="35" t="s">
        <v>654</v>
      </c>
      <c r="C2341" s="35" t="s">
        <v>655</v>
      </c>
      <c r="D2341" s="39">
        <v>80.470001220703125</v>
      </c>
      <c r="E2341" s="39">
        <v>66.796585083007813</v>
      </c>
      <c r="F2341" s="41">
        <v>457455</v>
      </c>
      <c r="G2341" s="35" t="s">
        <v>678</v>
      </c>
      <c r="H2341" s="35" t="s">
        <v>115</v>
      </c>
    </row>
    <row r="2342" spans="1:8">
      <c r="A2342" s="37">
        <v>41673.15625</v>
      </c>
      <c r="B2342" s="35" t="s">
        <v>654</v>
      </c>
      <c r="C2342" s="35" t="s">
        <v>655</v>
      </c>
      <c r="D2342" s="39">
        <v>79.889999389648438</v>
      </c>
      <c r="E2342" s="39">
        <v>66.315132141113281</v>
      </c>
      <c r="F2342" s="41">
        <v>506370</v>
      </c>
      <c r="G2342" s="35" t="s">
        <v>678</v>
      </c>
      <c r="H2342" s="35" t="s">
        <v>115</v>
      </c>
    </row>
    <row r="2343" spans="1:8">
      <c r="A2343" s="37">
        <v>41674.15625</v>
      </c>
      <c r="B2343" s="35" t="s">
        <v>654</v>
      </c>
      <c r="C2343" s="35" t="s">
        <v>655</v>
      </c>
      <c r="D2343" s="39">
        <v>78.639999389648438</v>
      </c>
      <c r="E2343" s="39">
        <v>65.277549743652344</v>
      </c>
      <c r="F2343" s="41">
        <v>174650</v>
      </c>
      <c r="G2343" s="35" t="s">
        <v>678</v>
      </c>
      <c r="H2343" s="35" t="s">
        <v>115</v>
      </c>
    </row>
    <row r="2344" spans="1:8">
      <c r="A2344" s="37">
        <v>41675.15625</v>
      </c>
      <c r="B2344" s="35" t="s">
        <v>654</v>
      </c>
      <c r="C2344" s="35" t="s">
        <v>655</v>
      </c>
      <c r="D2344" s="39">
        <v>78.580001831054688</v>
      </c>
      <c r="E2344" s="39">
        <v>65.227714538574219</v>
      </c>
      <c r="F2344" s="41">
        <v>102730</v>
      </c>
      <c r="G2344" s="35" t="s">
        <v>678</v>
      </c>
      <c r="H2344" s="35" t="s">
        <v>115</v>
      </c>
    </row>
    <row r="2345" spans="1:8">
      <c r="A2345" s="37">
        <v>41676.15625</v>
      </c>
      <c r="B2345" s="35" t="s">
        <v>654</v>
      </c>
      <c r="C2345" s="35" t="s">
        <v>655</v>
      </c>
      <c r="D2345" s="39">
        <v>77.419998168945313</v>
      </c>
      <c r="E2345" s="39">
        <v>64.264823913574219</v>
      </c>
      <c r="F2345" s="41">
        <v>259735</v>
      </c>
      <c r="G2345" s="35" t="s">
        <v>678</v>
      </c>
      <c r="H2345" s="35" t="s">
        <v>115</v>
      </c>
    </row>
    <row r="2346" spans="1:8">
      <c r="A2346" s="37">
        <v>41677.15625</v>
      </c>
      <c r="B2346" s="35" t="s">
        <v>654</v>
      </c>
      <c r="C2346" s="35" t="s">
        <v>655</v>
      </c>
      <c r="D2346" s="39">
        <v>81.080001831054688</v>
      </c>
      <c r="E2346" s="39">
        <v>67.302932739257813</v>
      </c>
      <c r="F2346" s="41">
        <v>773695</v>
      </c>
      <c r="G2346" s="35" t="s">
        <v>678</v>
      </c>
      <c r="H2346" s="35" t="s">
        <v>115</v>
      </c>
    </row>
    <row r="2347" spans="1:8">
      <c r="A2347" s="37">
        <v>41680.15625</v>
      </c>
      <c r="B2347" s="35" t="s">
        <v>654</v>
      </c>
      <c r="C2347" s="35" t="s">
        <v>655</v>
      </c>
      <c r="D2347" s="39">
        <v>82.139999389648438</v>
      </c>
      <c r="E2347" s="39">
        <v>68.18280029296875</v>
      </c>
      <c r="F2347" s="41">
        <v>633665</v>
      </c>
      <c r="G2347" s="35" t="s">
        <v>678</v>
      </c>
      <c r="H2347" s="35" t="s">
        <v>115</v>
      </c>
    </row>
    <row r="2348" spans="1:8">
      <c r="A2348" s="37">
        <v>41681.15625</v>
      </c>
      <c r="B2348" s="35" t="s">
        <v>654</v>
      </c>
      <c r="C2348" s="35" t="s">
        <v>655</v>
      </c>
      <c r="D2348" s="39">
        <v>83.769996643066406</v>
      </c>
      <c r="E2348" s="39">
        <v>69.535842895507813</v>
      </c>
      <c r="F2348" s="41">
        <v>867035</v>
      </c>
      <c r="G2348" s="35" t="s">
        <v>678</v>
      </c>
      <c r="H2348" s="35" t="s">
        <v>115</v>
      </c>
    </row>
    <row r="2349" spans="1:8">
      <c r="A2349" s="37">
        <v>41682.15625</v>
      </c>
      <c r="B2349" s="35" t="s">
        <v>654</v>
      </c>
      <c r="C2349" s="35" t="s">
        <v>655</v>
      </c>
      <c r="D2349" s="39">
        <v>84.540000915527344</v>
      </c>
      <c r="E2349" s="39">
        <v>70.175010681152344</v>
      </c>
      <c r="F2349" s="41">
        <v>1043570</v>
      </c>
      <c r="G2349" s="35" t="s">
        <v>678</v>
      </c>
      <c r="H2349" s="35" t="s">
        <v>115</v>
      </c>
    </row>
    <row r="2350" spans="1:8">
      <c r="A2350" s="37">
        <v>41683.15625</v>
      </c>
      <c r="B2350" s="35" t="s">
        <v>654</v>
      </c>
      <c r="C2350" s="35" t="s">
        <v>655</v>
      </c>
      <c r="D2350" s="39">
        <v>82.519996643066406</v>
      </c>
      <c r="E2350" s="39">
        <v>68.498252868652344</v>
      </c>
      <c r="F2350" s="41">
        <v>266640</v>
      </c>
      <c r="G2350" s="35" t="s">
        <v>678</v>
      </c>
      <c r="H2350" s="35" t="s">
        <v>115</v>
      </c>
    </row>
    <row r="2351" spans="1:8">
      <c r="A2351" s="37">
        <v>41684.15625</v>
      </c>
      <c r="B2351" s="35" t="s">
        <v>654</v>
      </c>
      <c r="C2351" s="35" t="s">
        <v>655</v>
      </c>
      <c r="D2351" s="39">
        <v>81.459999084472656</v>
      </c>
      <c r="E2351" s="39">
        <v>67.618362426757813</v>
      </c>
      <c r="F2351" s="41">
        <v>177070</v>
      </c>
      <c r="G2351" s="35" t="s">
        <v>678</v>
      </c>
      <c r="H2351" s="35" t="s">
        <v>115</v>
      </c>
    </row>
    <row r="2352" spans="1:8">
      <c r="A2352" s="37">
        <v>41687.15625</v>
      </c>
      <c r="B2352" s="35" t="s">
        <v>654</v>
      </c>
      <c r="C2352" s="35" t="s">
        <v>655</v>
      </c>
      <c r="D2352" s="39">
        <v>81.120002746582031</v>
      </c>
      <c r="E2352" s="39">
        <v>67.336135864257813</v>
      </c>
      <c r="F2352" s="41">
        <v>112380</v>
      </c>
      <c r="G2352" s="35" t="s">
        <v>678</v>
      </c>
      <c r="H2352" s="35" t="s">
        <v>115</v>
      </c>
    </row>
    <row r="2353" spans="1:8">
      <c r="A2353" s="37">
        <v>41688.15625</v>
      </c>
      <c r="B2353" s="35" t="s">
        <v>654</v>
      </c>
      <c r="C2353" s="35" t="s">
        <v>655</v>
      </c>
      <c r="D2353" s="39">
        <v>84.889999389648438</v>
      </c>
      <c r="E2353" s="39">
        <v>70.465530395507813</v>
      </c>
      <c r="F2353" s="41">
        <v>714570</v>
      </c>
      <c r="G2353" s="35" t="s">
        <v>678</v>
      </c>
      <c r="H2353" s="35" t="s">
        <v>115</v>
      </c>
    </row>
    <row r="2354" spans="1:8">
      <c r="A2354" s="37">
        <v>41689.15625</v>
      </c>
      <c r="B2354" s="35" t="s">
        <v>654</v>
      </c>
      <c r="C2354" s="35" t="s">
        <v>655</v>
      </c>
      <c r="D2354" s="39">
        <v>87.449996948242188</v>
      </c>
      <c r="E2354" s="39">
        <v>72.590545654296875</v>
      </c>
      <c r="F2354" s="41">
        <v>2074755</v>
      </c>
      <c r="G2354" s="35" t="s">
        <v>678</v>
      </c>
      <c r="H2354" s="35" t="s">
        <v>115</v>
      </c>
    </row>
    <row r="2355" spans="1:8">
      <c r="A2355" s="37">
        <v>41690.15625</v>
      </c>
      <c r="B2355" s="35" t="s">
        <v>654</v>
      </c>
      <c r="C2355" s="35" t="s">
        <v>655</v>
      </c>
      <c r="D2355" s="39">
        <v>89.75</v>
      </c>
      <c r="E2355" s="39">
        <v>74.499725341796875</v>
      </c>
      <c r="F2355" s="41">
        <v>2374515</v>
      </c>
      <c r="G2355" s="35" t="s">
        <v>678</v>
      </c>
      <c r="H2355" s="35" t="s">
        <v>115</v>
      </c>
    </row>
    <row r="2356" spans="1:8">
      <c r="A2356" s="37">
        <v>41691.15625</v>
      </c>
      <c r="B2356" s="35" t="s">
        <v>654</v>
      </c>
      <c r="C2356" s="35" t="s">
        <v>655</v>
      </c>
      <c r="D2356" s="39">
        <v>94.699996948242188</v>
      </c>
      <c r="E2356" s="39">
        <v>78.608612060546875</v>
      </c>
      <c r="F2356" s="41">
        <v>2508055</v>
      </c>
      <c r="G2356" s="35" t="s">
        <v>678</v>
      </c>
      <c r="H2356" s="35" t="s">
        <v>115</v>
      </c>
    </row>
    <row r="2357" spans="1:8">
      <c r="A2357" s="37">
        <v>41694.15625</v>
      </c>
      <c r="B2357" s="35" t="s">
        <v>654</v>
      </c>
      <c r="C2357" s="35" t="s">
        <v>655</v>
      </c>
      <c r="D2357" s="39">
        <v>90.760002136230469</v>
      </c>
      <c r="E2357" s="39">
        <v>75.338111877441406</v>
      </c>
      <c r="F2357" s="41">
        <v>1058455</v>
      </c>
      <c r="G2357" s="35" t="s">
        <v>678</v>
      </c>
      <c r="H2357" s="35" t="s">
        <v>115</v>
      </c>
    </row>
    <row r="2358" spans="1:8">
      <c r="A2358" s="37">
        <v>41695.15625</v>
      </c>
      <c r="B2358" s="35" t="s">
        <v>654</v>
      </c>
      <c r="C2358" s="35" t="s">
        <v>655</v>
      </c>
      <c r="D2358" s="39">
        <v>90.519996643066406</v>
      </c>
      <c r="E2358" s="39">
        <v>75.138870239257813</v>
      </c>
      <c r="F2358" s="41">
        <v>1129130</v>
      </c>
      <c r="G2358" s="35" t="s">
        <v>678</v>
      </c>
      <c r="H2358" s="35" t="s">
        <v>115</v>
      </c>
    </row>
    <row r="2359" spans="1:8">
      <c r="A2359" s="37">
        <v>41696.15625</v>
      </c>
      <c r="B2359" s="35" t="s">
        <v>654</v>
      </c>
      <c r="C2359" s="35" t="s">
        <v>655</v>
      </c>
      <c r="D2359" s="39">
        <v>89.050003051757813</v>
      </c>
      <c r="E2359" s="39">
        <v>73.918663024902344</v>
      </c>
      <c r="F2359" s="41">
        <v>469615</v>
      </c>
      <c r="G2359" s="35" t="s">
        <v>678</v>
      </c>
      <c r="H2359" s="35" t="s">
        <v>115</v>
      </c>
    </row>
    <row r="2360" spans="1:8">
      <c r="A2360" s="37">
        <v>41698.15625</v>
      </c>
      <c r="B2360" s="35" t="s">
        <v>654</v>
      </c>
      <c r="C2360" s="35" t="s">
        <v>655</v>
      </c>
      <c r="D2360" s="39">
        <v>89.129997253417969</v>
      </c>
      <c r="E2360" s="39">
        <v>73.98504638671875</v>
      </c>
      <c r="F2360" s="41">
        <v>831515</v>
      </c>
      <c r="G2360" s="35" t="s">
        <v>678</v>
      </c>
      <c r="H2360" s="35" t="s">
        <v>115</v>
      </c>
    </row>
    <row r="2361" spans="1:8">
      <c r="A2361" s="37">
        <v>41701.15625</v>
      </c>
      <c r="B2361" s="35" t="s">
        <v>654</v>
      </c>
      <c r="C2361" s="35" t="s">
        <v>655</v>
      </c>
      <c r="D2361" s="39">
        <v>85.860000610351563</v>
      </c>
      <c r="E2361" s="39">
        <v>71.270698547363281</v>
      </c>
      <c r="F2361" s="41">
        <v>1220035</v>
      </c>
      <c r="G2361" s="35" t="s">
        <v>678</v>
      </c>
      <c r="H2361" s="35" t="s">
        <v>115</v>
      </c>
    </row>
    <row r="2362" spans="1:8">
      <c r="A2362" s="37">
        <v>41702.15625</v>
      </c>
      <c r="B2362" s="35" t="s">
        <v>654</v>
      </c>
      <c r="C2362" s="35" t="s">
        <v>655</v>
      </c>
      <c r="D2362" s="39">
        <v>87.110000610351563</v>
      </c>
      <c r="E2362" s="39">
        <v>72.308303833007813</v>
      </c>
      <c r="F2362" s="41">
        <v>1855155</v>
      </c>
      <c r="G2362" s="35" t="s">
        <v>678</v>
      </c>
      <c r="H2362" s="35" t="s">
        <v>115</v>
      </c>
    </row>
    <row r="2363" spans="1:8">
      <c r="A2363" s="37">
        <v>41703.15625</v>
      </c>
      <c r="B2363" s="35" t="s">
        <v>654</v>
      </c>
      <c r="C2363" s="35" t="s">
        <v>655</v>
      </c>
      <c r="D2363" s="39">
        <v>89.160003662109375</v>
      </c>
      <c r="E2363" s="39">
        <v>74.009971618652344</v>
      </c>
      <c r="F2363" s="41">
        <v>1085530</v>
      </c>
      <c r="G2363" s="35" t="s">
        <v>678</v>
      </c>
      <c r="H2363" s="35" t="s">
        <v>115</v>
      </c>
    </row>
    <row r="2364" spans="1:8">
      <c r="A2364" s="37">
        <v>41704.15625</v>
      </c>
      <c r="B2364" s="35" t="s">
        <v>654</v>
      </c>
      <c r="C2364" s="35" t="s">
        <v>655</v>
      </c>
      <c r="D2364" s="39">
        <v>88.980003356933594</v>
      </c>
      <c r="E2364" s="39">
        <v>73.860588073730469</v>
      </c>
      <c r="F2364" s="41">
        <v>825910</v>
      </c>
      <c r="G2364" s="35" t="s">
        <v>678</v>
      </c>
      <c r="H2364" s="35" t="s">
        <v>115</v>
      </c>
    </row>
    <row r="2365" spans="1:8">
      <c r="A2365" s="37">
        <v>41705.15625</v>
      </c>
      <c r="B2365" s="35" t="s">
        <v>654</v>
      </c>
      <c r="C2365" s="35" t="s">
        <v>655</v>
      </c>
      <c r="D2365" s="39">
        <v>82.720001220703125</v>
      </c>
      <c r="E2365" s="39">
        <v>68.664268493652344</v>
      </c>
      <c r="F2365" s="41">
        <v>1183635</v>
      </c>
      <c r="G2365" s="35" t="s">
        <v>678</v>
      </c>
      <c r="H2365" s="35" t="s">
        <v>115</v>
      </c>
    </row>
    <row r="2366" spans="1:8">
      <c r="A2366" s="37">
        <v>41708.15625</v>
      </c>
      <c r="B2366" s="35" t="s">
        <v>654</v>
      </c>
      <c r="C2366" s="35" t="s">
        <v>655</v>
      </c>
      <c r="D2366" s="39">
        <v>81.290000915527344</v>
      </c>
      <c r="E2366" s="39">
        <v>67.477241516113281</v>
      </c>
      <c r="F2366" s="41">
        <v>681655</v>
      </c>
      <c r="G2366" s="35" t="s">
        <v>678</v>
      </c>
      <c r="H2366" s="35" t="s">
        <v>115</v>
      </c>
    </row>
    <row r="2367" spans="1:8">
      <c r="A2367" s="37">
        <v>41709.15625</v>
      </c>
      <c r="B2367" s="35" t="s">
        <v>654</v>
      </c>
      <c r="C2367" s="35" t="s">
        <v>655</v>
      </c>
      <c r="D2367" s="39">
        <v>81.55999755859375</v>
      </c>
      <c r="E2367" s="39">
        <v>67.701370239257813</v>
      </c>
      <c r="F2367" s="41">
        <v>415770</v>
      </c>
      <c r="G2367" s="35" t="s">
        <v>678</v>
      </c>
      <c r="H2367" s="35" t="s">
        <v>115</v>
      </c>
    </row>
    <row r="2368" spans="1:8">
      <c r="A2368" s="37">
        <v>41710.15625</v>
      </c>
      <c r="B2368" s="35" t="s">
        <v>654</v>
      </c>
      <c r="C2368" s="35" t="s">
        <v>655</v>
      </c>
      <c r="D2368" s="39">
        <v>81.629997253417969</v>
      </c>
      <c r="E2368" s="39">
        <v>67.759452819824219</v>
      </c>
      <c r="F2368" s="41">
        <v>386585</v>
      </c>
      <c r="G2368" s="35" t="s">
        <v>678</v>
      </c>
      <c r="H2368" s="35" t="s">
        <v>115</v>
      </c>
    </row>
    <row r="2369" spans="1:8">
      <c r="A2369" s="37">
        <v>41711.15625</v>
      </c>
      <c r="B2369" s="35" t="s">
        <v>654</v>
      </c>
      <c r="C2369" s="35" t="s">
        <v>655</v>
      </c>
      <c r="D2369" s="39">
        <v>80.120002746582031</v>
      </c>
      <c r="E2369" s="39">
        <v>66.506065368652344</v>
      </c>
      <c r="F2369" s="41">
        <v>451020</v>
      </c>
      <c r="G2369" s="35" t="s">
        <v>678</v>
      </c>
      <c r="H2369" s="35" t="s">
        <v>115</v>
      </c>
    </row>
    <row r="2370" spans="1:8">
      <c r="A2370" s="37">
        <v>41712.15625</v>
      </c>
      <c r="B2370" s="35" t="s">
        <v>654</v>
      </c>
      <c r="C2370" s="35" t="s">
        <v>655</v>
      </c>
      <c r="D2370" s="39">
        <v>80.379997253417969</v>
      </c>
      <c r="E2370" s="39">
        <v>66.721870422363281</v>
      </c>
      <c r="F2370" s="41">
        <v>529200</v>
      </c>
      <c r="G2370" s="35" t="s">
        <v>678</v>
      </c>
      <c r="H2370" s="35" t="s">
        <v>115</v>
      </c>
    </row>
    <row r="2371" spans="1:8">
      <c r="A2371" s="37">
        <v>41716.15625</v>
      </c>
      <c r="B2371" s="35" t="s">
        <v>654</v>
      </c>
      <c r="C2371" s="35" t="s">
        <v>655</v>
      </c>
      <c r="D2371" s="39">
        <v>80.610000610351563</v>
      </c>
      <c r="E2371" s="39">
        <v>66.912788391113281</v>
      </c>
      <c r="F2371" s="41">
        <v>252540</v>
      </c>
      <c r="G2371" s="35" t="s">
        <v>678</v>
      </c>
      <c r="H2371" s="35" t="s">
        <v>115</v>
      </c>
    </row>
    <row r="2372" spans="1:8">
      <c r="A2372" s="37">
        <v>41717.15625</v>
      </c>
      <c r="B2372" s="35" t="s">
        <v>654</v>
      </c>
      <c r="C2372" s="35" t="s">
        <v>655</v>
      </c>
      <c r="D2372" s="39">
        <v>79.330001831054688</v>
      </c>
      <c r="E2372" s="39">
        <v>65.850288391113281</v>
      </c>
      <c r="F2372" s="41">
        <v>492690</v>
      </c>
      <c r="G2372" s="35" t="s">
        <v>678</v>
      </c>
      <c r="H2372" s="35" t="s">
        <v>115</v>
      </c>
    </row>
    <row r="2373" spans="1:8">
      <c r="A2373" s="37">
        <v>41718.15625</v>
      </c>
      <c r="B2373" s="35" t="s">
        <v>654</v>
      </c>
      <c r="C2373" s="35" t="s">
        <v>655</v>
      </c>
      <c r="D2373" s="39">
        <v>79.050003051757813</v>
      </c>
      <c r="E2373" s="39">
        <v>65.61785888671875</v>
      </c>
      <c r="F2373" s="41">
        <v>523440</v>
      </c>
      <c r="G2373" s="35" t="s">
        <v>678</v>
      </c>
      <c r="H2373" s="35" t="s">
        <v>115</v>
      </c>
    </row>
    <row r="2374" spans="1:8">
      <c r="A2374" s="37">
        <v>41719.15625</v>
      </c>
      <c r="B2374" s="35" t="s">
        <v>654</v>
      </c>
      <c r="C2374" s="35" t="s">
        <v>655</v>
      </c>
      <c r="D2374" s="39">
        <v>80.160003662109375</v>
      </c>
      <c r="E2374" s="39">
        <v>66.539276123046875</v>
      </c>
      <c r="F2374" s="41">
        <v>330250</v>
      </c>
      <c r="G2374" s="35" t="s">
        <v>678</v>
      </c>
      <c r="H2374" s="35" t="s">
        <v>115</v>
      </c>
    </row>
    <row r="2375" spans="1:8">
      <c r="A2375" s="37">
        <v>41722.15625</v>
      </c>
      <c r="B2375" s="35" t="s">
        <v>654</v>
      </c>
      <c r="C2375" s="35" t="s">
        <v>655</v>
      </c>
      <c r="D2375" s="39">
        <v>79.55999755859375</v>
      </c>
      <c r="E2375" s="39">
        <v>66.04119873046875</v>
      </c>
      <c r="F2375" s="41">
        <v>340085</v>
      </c>
      <c r="G2375" s="35" t="s">
        <v>678</v>
      </c>
      <c r="H2375" s="35" t="s">
        <v>115</v>
      </c>
    </row>
    <row r="2376" spans="1:8">
      <c r="A2376" s="37">
        <v>41723.15625</v>
      </c>
      <c r="B2376" s="35" t="s">
        <v>654</v>
      </c>
      <c r="C2376" s="35" t="s">
        <v>655</v>
      </c>
      <c r="D2376" s="39">
        <v>79.819999694824219</v>
      </c>
      <c r="E2376" s="39">
        <v>66.257026672363281</v>
      </c>
      <c r="F2376" s="41">
        <v>556525</v>
      </c>
      <c r="G2376" s="35" t="s">
        <v>678</v>
      </c>
      <c r="H2376" s="35" t="s">
        <v>115</v>
      </c>
    </row>
    <row r="2377" spans="1:8">
      <c r="A2377" s="37">
        <v>41724.15625</v>
      </c>
      <c r="B2377" s="35" t="s">
        <v>654</v>
      </c>
      <c r="C2377" s="35" t="s">
        <v>655</v>
      </c>
      <c r="D2377" s="39">
        <v>80.389999389648438</v>
      </c>
      <c r="E2377" s="39">
        <v>66.73016357421875</v>
      </c>
      <c r="F2377" s="41">
        <v>650785</v>
      </c>
      <c r="G2377" s="35" t="s">
        <v>678</v>
      </c>
      <c r="H2377" s="35" t="s">
        <v>115</v>
      </c>
    </row>
    <row r="2378" spans="1:8">
      <c r="A2378" s="37">
        <v>41725.15625</v>
      </c>
      <c r="B2378" s="35" t="s">
        <v>654</v>
      </c>
      <c r="C2378" s="35" t="s">
        <v>655</v>
      </c>
      <c r="D2378" s="39">
        <v>80.959999084472656</v>
      </c>
      <c r="E2378" s="39">
        <v>67.203300476074219</v>
      </c>
      <c r="F2378" s="41">
        <v>276065</v>
      </c>
      <c r="G2378" s="35" t="s">
        <v>678</v>
      </c>
      <c r="H2378" s="35" t="s">
        <v>115</v>
      </c>
    </row>
    <row r="2379" spans="1:8">
      <c r="A2379" s="37">
        <v>41726.15625</v>
      </c>
      <c r="B2379" s="35" t="s">
        <v>654</v>
      </c>
      <c r="C2379" s="35" t="s">
        <v>655</v>
      </c>
      <c r="D2379" s="39">
        <v>79</v>
      </c>
      <c r="E2379" s="39">
        <v>65.576362609863281</v>
      </c>
      <c r="F2379" s="41">
        <v>508555</v>
      </c>
      <c r="G2379" s="35" t="s">
        <v>678</v>
      </c>
      <c r="H2379" s="35" t="s">
        <v>115</v>
      </c>
    </row>
    <row r="2380" spans="1:8">
      <c r="A2380" s="37">
        <v>41729.15625</v>
      </c>
      <c r="B2380" s="35" t="s">
        <v>654</v>
      </c>
      <c r="C2380" s="35" t="s">
        <v>655</v>
      </c>
      <c r="D2380" s="39">
        <v>80.510002136230469</v>
      </c>
      <c r="E2380" s="39">
        <v>66.829780578613281</v>
      </c>
      <c r="F2380" s="41">
        <v>670440</v>
      </c>
      <c r="G2380" s="35" t="s">
        <v>678</v>
      </c>
      <c r="H2380" s="35" t="s">
        <v>115</v>
      </c>
    </row>
    <row r="2381" spans="1:8">
      <c r="A2381" s="37">
        <v>41730.15625</v>
      </c>
      <c r="B2381" s="35" t="s">
        <v>654</v>
      </c>
      <c r="C2381" s="35" t="s">
        <v>655</v>
      </c>
      <c r="D2381" s="39">
        <v>82.029998779296875</v>
      </c>
      <c r="E2381" s="39">
        <v>68.09149169921875</v>
      </c>
      <c r="F2381" s="41">
        <v>856345</v>
      </c>
      <c r="G2381" s="35" t="s">
        <v>679</v>
      </c>
      <c r="H2381" s="35" t="s">
        <v>115</v>
      </c>
    </row>
    <row r="2382" spans="1:8">
      <c r="A2382" s="37">
        <v>41731.15625</v>
      </c>
      <c r="B2382" s="35" t="s">
        <v>654</v>
      </c>
      <c r="C2382" s="35" t="s">
        <v>655</v>
      </c>
      <c r="D2382" s="39">
        <v>83.589996337890625</v>
      </c>
      <c r="E2382" s="39">
        <v>69.386398315429688</v>
      </c>
      <c r="F2382" s="41">
        <v>1566900</v>
      </c>
      <c r="G2382" s="35" t="s">
        <v>679</v>
      </c>
      <c r="H2382" s="35" t="s">
        <v>115</v>
      </c>
    </row>
    <row r="2383" spans="1:8">
      <c r="A2383" s="37">
        <v>41732.15625</v>
      </c>
      <c r="B2383" s="35" t="s">
        <v>654</v>
      </c>
      <c r="C2383" s="35" t="s">
        <v>655</v>
      </c>
      <c r="D2383" s="39">
        <v>83.730003356933594</v>
      </c>
      <c r="E2383" s="39">
        <v>69.502655029296875</v>
      </c>
      <c r="F2383" s="41">
        <v>624405</v>
      </c>
      <c r="G2383" s="35" t="s">
        <v>679</v>
      </c>
      <c r="H2383" s="35" t="s">
        <v>115</v>
      </c>
    </row>
    <row r="2384" spans="1:8">
      <c r="A2384" s="37">
        <v>41733.15625</v>
      </c>
      <c r="B2384" s="35" t="s">
        <v>654</v>
      </c>
      <c r="C2384" s="35" t="s">
        <v>655</v>
      </c>
      <c r="D2384" s="39">
        <v>82.220001220703125</v>
      </c>
      <c r="E2384" s="39">
        <v>68.24920654296875</v>
      </c>
      <c r="F2384" s="41">
        <v>339335</v>
      </c>
      <c r="G2384" s="35" t="s">
        <v>679</v>
      </c>
      <c r="H2384" s="35" t="s">
        <v>115</v>
      </c>
    </row>
    <row r="2385" spans="1:8">
      <c r="A2385" s="37">
        <v>41736.15625</v>
      </c>
      <c r="B2385" s="35" t="s">
        <v>654</v>
      </c>
      <c r="C2385" s="35" t="s">
        <v>655</v>
      </c>
      <c r="D2385" s="39">
        <v>79.089996337890625</v>
      </c>
      <c r="E2385" s="39">
        <v>65.651054382324219</v>
      </c>
      <c r="F2385" s="41">
        <v>417265</v>
      </c>
      <c r="G2385" s="35" t="s">
        <v>679</v>
      </c>
      <c r="H2385" s="35" t="s">
        <v>115</v>
      </c>
    </row>
    <row r="2386" spans="1:8">
      <c r="A2386" s="37">
        <v>41738.15625</v>
      </c>
      <c r="B2386" s="35" t="s">
        <v>654</v>
      </c>
      <c r="C2386" s="35" t="s">
        <v>655</v>
      </c>
      <c r="D2386" s="39">
        <v>82.010002136230469</v>
      </c>
      <c r="E2386" s="39">
        <v>68.074897766113281</v>
      </c>
      <c r="F2386" s="41">
        <v>1068410</v>
      </c>
      <c r="G2386" s="35" t="s">
        <v>679</v>
      </c>
      <c r="H2386" s="35" t="s">
        <v>115</v>
      </c>
    </row>
    <row r="2387" spans="1:8">
      <c r="A2387" s="37">
        <v>41739.15625</v>
      </c>
      <c r="B2387" s="35" t="s">
        <v>654</v>
      </c>
      <c r="C2387" s="35" t="s">
        <v>655</v>
      </c>
      <c r="D2387" s="39">
        <v>81.330001831054688</v>
      </c>
      <c r="E2387" s="39">
        <v>67.510459899902344</v>
      </c>
      <c r="F2387" s="41">
        <v>233295</v>
      </c>
      <c r="G2387" s="35" t="s">
        <v>679</v>
      </c>
      <c r="H2387" s="35" t="s">
        <v>115</v>
      </c>
    </row>
    <row r="2388" spans="1:8">
      <c r="A2388" s="37">
        <v>41740.15625</v>
      </c>
      <c r="B2388" s="35" t="s">
        <v>654</v>
      </c>
      <c r="C2388" s="35" t="s">
        <v>655</v>
      </c>
      <c r="D2388" s="39">
        <v>79.480003356933594</v>
      </c>
      <c r="E2388" s="39">
        <v>65.974807739257813</v>
      </c>
      <c r="F2388" s="41">
        <v>361760</v>
      </c>
      <c r="G2388" s="35" t="s">
        <v>679</v>
      </c>
      <c r="H2388" s="35" t="s">
        <v>115</v>
      </c>
    </row>
    <row r="2389" spans="1:8">
      <c r="A2389" s="37">
        <v>41744.15625</v>
      </c>
      <c r="B2389" s="35" t="s">
        <v>654</v>
      </c>
      <c r="C2389" s="35" t="s">
        <v>655</v>
      </c>
      <c r="D2389" s="39">
        <v>79.300003051757813</v>
      </c>
      <c r="E2389" s="39">
        <v>65.825370788574219</v>
      </c>
      <c r="F2389" s="41">
        <v>798415</v>
      </c>
      <c r="G2389" s="35" t="s">
        <v>679</v>
      </c>
      <c r="H2389" s="35" t="s">
        <v>115</v>
      </c>
    </row>
    <row r="2390" spans="1:8">
      <c r="A2390" s="37">
        <v>41745.15625</v>
      </c>
      <c r="B2390" s="35" t="s">
        <v>654</v>
      </c>
      <c r="C2390" s="35" t="s">
        <v>655</v>
      </c>
      <c r="D2390" s="39">
        <v>80.459999084472656</v>
      </c>
      <c r="E2390" s="39">
        <v>66.788276672363281</v>
      </c>
      <c r="F2390" s="41">
        <v>674765</v>
      </c>
      <c r="G2390" s="35" t="s">
        <v>679</v>
      </c>
      <c r="H2390" s="35" t="s">
        <v>115</v>
      </c>
    </row>
    <row r="2391" spans="1:8">
      <c r="A2391" s="37">
        <v>41746.15625</v>
      </c>
      <c r="B2391" s="35" t="s">
        <v>654</v>
      </c>
      <c r="C2391" s="35" t="s">
        <v>655</v>
      </c>
      <c r="D2391" s="39">
        <v>81.889999389648438</v>
      </c>
      <c r="E2391" s="39">
        <v>67.975273132324219</v>
      </c>
      <c r="F2391" s="41">
        <v>950905</v>
      </c>
      <c r="G2391" s="35" t="s">
        <v>679</v>
      </c>
      <c r="H2391" s="35" t="s">
        <v>115</v>
      </c>
    </row>
    <row r="2392" spans="1:8">
      <c r="A2392" s="37">
        <v>41750.15625</v>
      </c>
      <c r="B2392" s="35" t="s">
        <v>654</v>
      </c>
      <c r="C2392" s="35" t="s">
        <v>655</v>
      </c>
      <c r="D2392" s="39">
        <v>80</v>
      </c>
      <c r="E2392" s="39">
        <v>66.406440734863281</v>
      </c>
      <c r="F2392" s="41">
        <v>267340</v>
      </c>
      <c r="G2392" s="35" t="s">
        <v>679</v>
      </c>
      <c r="H2392" s="35" t="s">
        <v>115</v>
      </c>
    </row>
    <row r="2393" spans="1:8">
      <c r="A2393" s="37">
        <v>41751.15625</v>
      </c>
      <c r="B2393" s="35" t="s">
        <v>654</v>
      </c>
      <c r="C2393" s="35" t="s">
        <v>655</v>
      </c>
      <c r="D2393" s="39">
        <v>81.19000244140625</v>
      </c>
      <c r="E2393" s="39">
        <v>67.394241333007813</v>
      </c>
      <c r="F2393" s="41">
        <v>370535</v>
      </c>
      <c r="G2393" s="35" t="s">
        <v>679</v>
      </c>
      <c r="H2393" s="35" t="s">
        <v>115</v>
      </c>
    </row>
    <row r="2394" spans="1:8">
      <c r="A2394" s="37">
        <v>41752.15625</v>
      </c>
      <c r="B2394" s="35" t="s">
        <v>654</v>
      </c>
      <c r="C2394" s="35" t="s">
        <v>655</v>
      </c>
      <c r="D2394" s="39">
        <v>79.69000244140625</v>
      </c>
      <c r="E2394" s="39">
        <v>66.14910888671875</v>
      </c>
      <c r="F2394" s="41">
        <v>201590</v>
      </c>
      <c r="G2394" s="35" t="s">
        <v>679</v>
      </c>
      <c r="H2394" s="35" t="s">
        <v>115</v>
      </c>
    </row>
    <row r="2395" spans="1:8">
      <c r="A2395" s="37">
        <v>41753.15625</v>
      </c>
      <c r="B2395" s="35" t="s">
        <v>654</v>
      </c>
      <c r="C2395" s="35" t="s">
        <v>655</v>
      </c>
      <c r="D2395" s="39">
        <v>79.69000244140625</v>
      </c>
      <c r="E2395" s="39">
        <v>66.14910888671875</v>
      </c>
      <c r="F2395" s="41">
        <v>0</v>
      </c>
      <c r="G2395" s="35" t="s">
        <v>679</v>
      </c>
      <c r="H2395" s="35" t="s">
        <v>115</v>
      </c>
    </row>
    <row r="2396" spans="1:8">
      <c r="A2396" s="37">
        <v>41754.15625</v>
      </c>
      <c r="B2396" s="35" t="s">
        <v>654</v>
      </c>
      <c r="C2396" s="35" t="s">
        <v>655</v>
      </c>
      <c r="D2396" s="39">
        <v>80.160003662109375</v>
      </c>
      <c r="E2396" s="39">
        <v>66.539276123046875</v>
      </c>
      <c r="F2396" s="41">
        <v>358665</v>
      </c>
      <c r="G2396" s="35" t="s">
        <v>679</v>
      </c>
      <c r="H2396" s="35" t="s">
        <v>115</v>
      </c>
    </row>
    <row r="2397" spans="1:8">
      <c r="A2397" s="37">
        <v>41757.15625</v>
      </c>
      <c r="B2397" s="35" t="s">
        <v>654</v>
      </c>
      <c r="C2397" s="35" t="s">
        <v>655</v>
      </c>
      <c r="D2397" s="39">
        <v>79.519996643066406</v>
      </c>
      <c r="E2397" s="39">
        <v>66.008003234863281</v>
      </c>
      <c r="F2397" s="41">
        <v>177205</v>
      </c>
      <c r="G2397" s="35" t="s">
        <v>679</v>
      </c>
      <c r="H2397" s="35" t="s">
        <v>115</v>
      </c>
    </row>
    <row r="2398" spans="1:8">
      <c r="A2398" s="37">
        <v>41758.15625</v>
      </c>
      <c r="B2398" s="35" t="s">
        <v>654</v>
      </c>
      <c r="C2398" s="35" t="s">
        <v>655</v>
      </c>
      <c r="D2398" s="39">
        <v>79.699996948242188</v>
      </c>
      <c r="E2398" s="39">
        <v>66.157402038574219</v>
      </c>
      <c r="F2398" s="41">
        <v>471020</v>
      </c>
      <c r="G2398" s="35" t="s">
        <v>679</v>
      </c>
      <c r="H2398" s="35" t="s">
        <v>115</v>
      </c>
    </row>
    <row r="2399" spans="1:8">
      <c r="A2399" s="37">
        <v>41759.15625</v>
      </c>
      <c r="B2399" s="35" t="s">
        <v>654</v>
      </c>
      <c r="C2399" s="35" t="s">
        <v>655</v>
      </c>
      <c r="D2399" s="39">
        <v>81.160003662109375</v>
      </c>
      <c r="E2399" s="39">
        <v>67.36932373046875</v>
      </c>
      <c r="F2399" s="41">
        <v>516920</v>
      </c>
      <c r="G2399" s="35" t="s">
        <v>679</v>
      </c>
      <c r="H2399" s="35" t="s">
        <v>115</v>
      </c>
    </row>
    <row r="2400" spans="1:8">
      <c r="A2400" s="37">
        <v>41761.15625</v>
      </c>
      <c r="B2400" s="35" t="s">
        <v>654</v>
      </c>
      <c r="C2400" s="35" t="s">
        <v>655</v>
      </c>
      <c r="D2400" s="39">
        <v>82.889999389648438</v>
      </c>
      <c r="E2400" s="39">
        <v>68.805343627929688</v>
      </c>
      <c r="F2400" s="41">
        <v>653400</v>
      </c>
      <c r="G2400" s="35" t="s">
        <v>679</v>
      </c>
      <c r="H2400" s="35" t="s">
        <v>115</v>
      </c>
    </row>
    <row r="2401" spans="1:8">
      <c r="A2401" s="37">
        <v>41764.15625</v>
      </c>
      <c r="B2401" s="35" t="s">
        <v>654</v>
      </c>
      <c r="C2401" s="35" t="s">
        <v>655</v>
      </c>
      <c r="D2401" s="39">
        <v>83.639999389648438</v>
      </c>
      <c r="E2401" s="39">
        <v>69.42791748046875</v>
      </c>
      <c r="F2401" s="41">
        <v>658870</v>
      </c>
      <c r="G2401" s="35" t="s">
        <v>679</v>
      </c>
      <c r="H2401" s="35" t="s">
        <v>115</v>
      </c>
    </row>
    <row r="2402" spans="1:8">
      <c r="A2402" s="37">
        <v>41765.15625</v>
      </c>
      <c r="B2402" s="35" t="s">
        <v>654</v>
      </c>
      <c r="C2402" s="35" t="s">
        <v>655</v>
      </c>
      <c r="D2402" s="39">
        <v>80.80999755859375</v>
      </c>
      <c r="E2402" s="39">
        <v>67.078819274902344</v>
      </c>
      <c r="F2402" s="41">
        <v>514810</v>
      </c>
      <c r="G2402" s="35" t="s">
        <v>679</v>
      </c>
      <c r="H2402" s="35" t="s">
        <v>115</v>
      </c>
    </row>
    <row r="2403" spans="1:8">
      <c r="A2403" s="37">
        <v>41766.15625</v>
      </c>
      <c r="B2403" s="35" t="s">
        <v>654</v>
      </c>
      <c r="C2403" s="35" t="s">
        <v>655</v>
      </c>
      <c r="D2403" s="39">
        <v>81.010002136230469</v>
      </c>
      <c r="E2403" s="39">
        <v>67.244819641113281</v>
      </c>
      <c r="F2403" s="41">
        <v>444105</v>
      </c>
      <c r="G2403" s="35" t="s">
        <v>679</v>
      </c>
      <c r="H2403" s="35" t="s">
        <v>115</v>
      </c>
    </row>
    <row r="2404" spans="1:8">
      <c r="A2404" s="37">
        <v>41767.15625</v>
      </c>
      <c r="B2404" s="35" t="s">
        <v>654</v>
      </c>
      <c r="C2404" s="35" t="s">
        <v>655</v>
      </c>
      <c r="D2404" s="39">
        <v>81.949996948242188</v>
      </c>
      <c r="E2404" s="39">
        <v>68.025108337402344</v>
      </c>
      <c r="F2404" s="41">
        <v>500180</v>
      </c>
      <c r="G2404" s="35" t="s">
        <v>679</v>
      </c>
      <c r="H2404" s="35" t="s">
        <v>115</v>
      </c>
    </row>
    <row r="2405" spans="1:8">
      <c r="A2405" s="37">
        <v>41768.15625</v>
      </c>
      <c r="B2405" s="35" t="s">
        <v>654</v>
      </c>
      <c r="C2405" s="35" t="s">
        <v>655</v>
      </c>
      <c r="D2405" s="39">
        <v>83.089996337890625</v>
      </c>
      <c r="E2405" s="39">
        <v>68.971366882324219</v>
      </c>
      <c r="F2405" s="41">
        <v>1928020</v>
      </c>
      <c r="G2405" s="35" t="s">
        <v>679</v>
      </c>
      <c r="H2405" s="35" t="s">
        <v>115</v>
      </c>
    </row>
    <row r="2406" spans="1:8">
      <c r="A2406" s="37">
        <v>41771.15625</v>
      </c>
      <c r="B2406" s="35" t="s">
        <v>654</v>
      </c>
      <c r="C2406" s="35" t="s">
        <v>655</v>
      </c>
      <c r="D2406" s="39">
        <v>80.290000915527344</v>
      </c>
      <c r="E2406" s="39">
        <v>66.64715576171875</v>
      </c>
      <c r="F2406" s="41">
        <v>643040</v>
      </c>
      <c r="G2406" s="35" t="s">
        <v>679</v>
      </c>
      <c r="H2406" s="35" t="s">
        <v>115</v>
      </c>
    </row>
    <row r="2407" spans="1:8">
      <c r="A2407" s="37">
        <v>41772.15625</v>
      </c>
      <c r="B2407" s="35" t="s">
        <v>654</v>
      </c>
      <c r="C2407" s="35" t="s">
        <v>655</v>
      </c>
      <c r="D2407" s="39">
        <v>80.290000915527344</v>
      </c>
      <c r="E2407" s="39">
        <v>66.64715576171875</v>
      </c>
      <c r="F2407" s="41">
        <v>694815</v>
      </c>
      <c r="G2407" s="35" t="s">
        <v>679</v>
      </c>
      <c r="H2407" s="35" t="s">
        <v>115</v>
      </c>
    </row>
    <row r="2408" spans="1:8">
      <c r="A2408" s="37">
        <v>41773.15625</v>
      </c>
      <c r="B2408" s="35" t="s">
        <v>654</v>
      </c>
      <c r="C2408" s="35" t="s">
        <v>655</v>
      </c>
      <c r="D2408" s="39">
        <v>78.349998474121094</v>
      </c>
      <c r="E2408" s="39">
        <v>65.036788940429688</v>
      </c>
      <c r="F2408" s="41">
        <v>806605</v>
      </c>
      <c r="G2408" s="35" t="s">
        <v>679</v>
      </c>
      <c r="H2408" s="35" t="s">
        <v>115</v>
      </c>
    </row>
    <row r="2409" spans="1:8">
      <c r="A2409" s="37">
        <v>41774.15625</v>
      </c>
      <c r="B2409" s="35" t="s">
        <v>654</v>
      </c>
      <c r="C2409" s="35" t="s">
        <v>655</v>
      </c>
      <c r="D2409" s="39">
        <v>75.699996948242188</v>
      </c>
      <c r="E2409" s="39">
        <v>62.837066650390625</v>
      </c>
      <c r="F2409" s="41">
        <v>661995</v>
      </c>
      <c r="G2409" s="35" t="s">
        <v>679</v>
      </c>
      <c r="H2409" s="35" t="s">
        <v>115</v>
      </c>
    </row>
    <row r="2410" spans="1:8">
      <c r="A2410" s="37">
        <v>41775.15625</v>
      </c>
      <c r="B2410" s="35" t="s">
        <v>654</v>
      </c>
      <c r="C2410" s="35" t="s">
        <v>655</v>
      </c>
      <c r="D2410" s="39">
        <v>71.870002746582031</v>
      </c>
      <c r="E2410" s="39">
        <v>59.657875061035156</v>
      </c>
      <c r="F2410" s="41">
        <v>1469025</v>
      </c>
      <c r="G2410" s="35" t="s">
        <v>679</v>
      </c>
      <c r="H2410" s="35" t="s">
        <v>115</v>
      </c>
    </row>
    <row r="2411" spans="1:8">
      <c r="A2411" s="37">
        <v>41778.15625</v>
      </c>
      <c r="B2411" s="35" t="s">
        <v>654</v>
      </c>
      <c r="C2411" s="35" t="s">
        <v>655</v>
      </c>
      <c r="D2411" s="39">
        <v>65.900001525878906</v>
      </c>
      <c r="E2411" s="39">
        <v>54.702304840087891</v>
      </c>
      <c r="F2411" s="41">
        <v>1484690</v>
      </c>
      <c r="G2411" s="35" t="s">
        <v>679</v>
      </c>
      <c r="H2411" s="35" t="s">
        <v>115</v>
      </c>
    </row>
    <row r="2412" spans="1:8">
      <c r="A2412" s="37">
        <v>41779.15625</v>
      </c>
      <c r="B2412" s="35" t="s">
        <v>654</v>
      </c>
      <c r="C2412" s="35" t="s">
        <v>655</v>
      </c>
      <c r="D2412" s="39">
        <v>68.819999694824219</v>
      </c>
      <c r="E2412" s="39">
        <v>57.126136779785156</v>
      </c>
      <c r="F2412" s="41">
        <v>1122530</v>
      </c>
      <c r="G2412" s="35" t="s">
        <v>679</v>
      </c>
      <c r="H2412" s="35" t="s">
        <v>115</v>
      </c>
    </row>
    <row r="2413" spans="1:8">
      <c r="A2413" s="37">
        <v>41780.15625</v>
      </c>
      <c r="B2413" s="35" t="s">
        <v>654</v>
      </c>
      <c r="C2413" s="35" t="s">
        <v>655</v>
      </c>
      <c r="D2413" s="39">
        <v>70.699996948242188</v>
      </c>
      <c r="E2413" s="39">
        <v>58.686687469482422</v>
      </c>
      <c r="F2413" s="41">
        <v>865495</v>
      </c>
      <c r="G2413" s="35" t="s">
        <v>679</v>
      </c>
      <c r="H2413" s="35" t="s">
        <v>115</v>
      </c>
    </row>
    <row r="2414" spans="1:8">
      <c r="A2414" s="37">
        <v>41781.15625</v>
      </c>
      <c r="B2414" s="35" t="s">
        <v>654</v>
      </c>
      <c r="C2414" s="35" t="s">
        <v>655</v>
      </c>
      <c r="D2414" s="39">
        <v>71.970001220703125</v>
      </c>
      <c r="E2414" s="39">
        <v>59.740901947021484</v>
      </c>
      <c r="F2414" s="41">
        <v>680790</v>
      </c>
      <c r="G2414" s="35" t="s">
        <v>679</v>
      </c>
      <c r="H2414" s="35" t="s">
        <v>115</v>
      </c>
    </row>
    <row r="2415" spans="1:8">
      <c r="A2415" s="37">
        <v>41782.15625</v>
      </c>
      <c r="B2415" s="35" t="s">
        <v>654</v>
      </c>
      <c r="C2415" s="35" t="s">
        <v>655</v>
      </c>
      <c r="D2415" s="39">
        <v>73.339996337890625</v>
      </c>
      <c r="E2415" s="39">
        <v>60.878131866455078</v>
      </c>
      <c r="F2415" s="41">
        <v>540585</v>
      </c>
      <c r="G2415" s="35" t="s">
        <v>679</v>
      </c>
      <c r="H2415" s="35" t="s">
        <v>115</v>
      </c>
    </row>
    <row r="2416" spans="1:8">
      <c r="A2416" s="37">
        <v>41785.15625</v>
      </c>
      <c r="B2416" s="35" t="s">
        <v>654</v>
      </c>
      <c r="C2416" s="35" t="s">
        <v>655</v>
      </c>
      <c r="D2416" s="39">
        <v>73.720001220703125</v>
      </c>
      <c r="E2416" s="39">
        <v>61.193534851074219</v>
      </c>
      <c r="F2416" s="41">
        <v>822310</v>
      </c>
      <c r="G2416" s="35" t="s">
        <v>679</v>
      </c>
      <c r="H2416" s="35" t="s">
        <v>115</v>
      </c>
    </row>
    <row r="2417" spans="1:8">
      <c r="A2417" s="37">
        <v>41786.15625</v>
      </c>
      <c r="B2417" s="35" t="s">
        <v>654</v>
      </c>
      <c r="C2417" s="35" t="s">
        <v>655</v>
      </c>
      <c r="D2417" s="39">
        <v>74.339996337890625</v>
      </c>
      <c r="E2417" s="39">
        <v>61.708175659179688</v>
      </c>
      <c r="F2417" s="41">
        <v>309080</v>
      </c>
      <c r="G2417" s="35" t="s">
        <v>679</v>
      </c>
      <c r="H2417" s="35" t="s">
        <v>115</v>
      </c>
    </row>
    <row r="2418" spans="1:8">
      <c r="A2418" s="37">
        <v>41787.15625</v>
      </c>
      <c r="B2418" s="35" t="s">
        <v>654</v>
      </c>
      <c r="C2418" s="35" t="s">
        <v>655</v>
      </c>
      <c r="D2418" s="39">
        <v>74.139999389648438</v>
      </c>
      <c r="E2418" s="39">
        <v>61.542179107666016</v>
      </c>
      <c r="F2418" s="41">
        <v>395335</v>
      </c>
      <c r="G2418" s="35" t="s">
        <v>679</v>
      </c>
      <c r="H2418" s="35" t="s">
        <v>115</v>
      </c>
    </row>
    <row r="2419" spans="1:8">
      <c r="A2419" s="37">
        <v>41788.15625</v>
      </c>
      <c r="B2419" s="35" t="s">
        <v>654</v>
      </c>
      <c r="C2419" s="35" t="s">
        <v>655</v>
      </c>
      <c r="D2419" s="39">
        <v>75.589996337890625</v>
      </c>
      <c r="E2419" s="39">
        <v>62.745773315429688</v>
      </c>
      <c r="F2419" s="41">
        <v>449105</v>
      </c>
      <c r="G2419" s="35" t="s">
        <v>679</v>
      </c>
      <c r="H2419" s="35" t="s">
        <v>115</v>
      </c>
    </row>
    <row r="2420" spans="1:8">
      <c r="A2420" s="37">
        <v>41789.15625</v>
      </c>
      <c r="B2420" s="35" t="s">
        <v>654</v>
      </c>
      <c r="C2420" s="35" t="s">
        <v>655</v>
      </c>
      <c r="D2420" s="39">
        <v>78.279998779296875</v>
      </c>
      <c r="E2420" s="39">
        <v>64.978706359863281</v>
      </c>
      <c r="F2420" s="41">
        <v>766375</v>
      </c>
      <c r="G2420" s="35" t="s">
        <v>679</v>
      </c>
      <c r="H2420" s="35" t="s">
        <v>115</v>
      </c>
    </row>
    <row r="2421" spans="1:8">
      <c r="A2421" s="37">
        <v>41792.15625</v>
      </c>
      <c r="B2421" s="35" t="s">
        <v>654</v>
      </c>
      <c r="C2421" s="35" t="s">
        <v>655</v>
      </c>
      <c r="D2421" s="39">
        <v>76.029998779296875</v>
      </c>
      <c r="E2421" s="39">
        <v>63.11102294921875</v>
      </c>
      <c r="F2421" s="41">
        <v>528835</v>
      </c>
      <c r="G2421" s="35" t="s">
        <v>679</v>
      </c>
      <c r="H2421" s="35" t="s">
        <v>115</v>
      </c>
    </row>
    <row r="2422" spans="1:8">
      <c r="A2422" s="37">
        <v>41793.15625</v>
      </c>
      <c r="B2422" s="35" t="s">
        <v>654</v>
      </c>
      <c r="C2422" s="35" t="s">
        <v>655</v>
      </c>
      <c r="D2422" s="39">
        <v>78.129997253417969</v>
      </c>
      <c r="E2422" s="39">
        <v>64.85418701171875</v>
      </c>
      <c r="F2422" s="41">
        <v>610280</v>
      </c>
      <c r="G2422" s="35" t="s">
        <v>679</v>
      </c>
      <c r="H2422" s="35" t="s">
        <v>115</v>
      </c>
    </row>
    <row r="2423" spans="1:8">
      <c r="A2423" s="37">
        <v>41794.15625</v>
      </c>
      <c r="B2423" s="35" t="s">
        <v>654</v>
      </c>
      <c r="C2423" s="35" t="s">
        <v>655</v>
      </c>
      <c r="D2423" s="39">
        <v>79.419998168945313</v>
      </c>
      <c r="E2423" s="39">
        <v>65.924972534179688</v>
      </c>
      <c r="F2423" s="41">
        <v>464395</v>
      </c>
      <c r="G2423" s="35" t="s">
        <v>679</v>
      </c>
      <c r="H2423" s="35" t="s">
        <v>115</v>
      </c>
    </row>
    <row r="2424" spans="1:8">
      <c r="A2424" s="37">
        <v>41795.15625</v>
      </c>
      <c r="B2424" s="35" t="s">
        <v>654</v>
      </c>
      <c r="C2424" s="35" t="s">
        <v>655</v>
      </c>
      <c r="D2424" s="39">
        <v>78.029998779296875</v>
      </c>
      <c r="E2424" s="39">
        <v>64.771186828613281</v>
      </c>
      <c r="F2424" s="41">
        <v>725550</v>
      </c>
      <c r="G2424" s="35" t="s">
        <v>679</v>
      </c>
      <c r="H2424" s="35" t="s">
        <v>115</v>
      </c>
    </row>
    <row r="2425" spans="1:8">
      <c r="A2425" s="37">
        <v>41796.15625</v>
      </c>
      <c r="B2425" s="35" t="s">
        <v>654</v>
      </c>
      <c r="C2425" s="35" t="s">
        <v>655</v>
      </c>
      <c r="D2425" s="39">
        <v>79.160003662109375</v>
      </c>
      <c r="E2425" s="39">
        <v>65.709159851074219</v>
      </c>
      <c r="F2425" s="41">
        <v>466195</v>
      </c>
      <c r="G2425" s="35" t="s">
        <v>679</v>
      </c>
      <c r="H2425" s="35" t="s">
        <v>115</v>
      </c>
    </row>
    <row r="2426" spans="1:8">
      <c r="A2426" s="37">
        <v>41799.15625</v>
      </c>
      <c r="B2426" s="35" t="s">
        <v>654</v>
      </c>
      <c r="C2426" s="35" t="s">
        <v>655</v>
      </c>
      <c r="D2426" s="39">
        <v>81.80999755859375</v>
      </c>
      <c r="E2426" s="39">
        <v>67.908882141113281</v>
      </c>
      <c r="F2426" s="41">
        <v>877595</v>
      </c>
      <c r="G2426" s="35" t="s">
        <v>679</v>
      </c>
      <c r="H2426" s="35" t="s">
        <v>115</v>
      </c>
    </row>
    <row r="2427" spans="1:8">
      <c r="A2427" s="37">
        <v>41800.15625</v>
      </c>
      <c r="B2427" s="35" t="s">
        <v>654</v>
      </c>
      <c r="C2427" s="35" t="s">
        <v>655</v>
      </c>
      <c r="D2427" s="39">
        <v>85.580001831054688</v>
      </c>
      <c r="E2427" s="39">
        <v>71.038261413574219</v>
      </c>
      <c r="F2427" s="41">
        <v>2338325</v>
      </c>
      <c r="G2427" s="35" t="s">
        <v>679</v>
      </c>
      <c r="H2427" s="35" t="s">
        <v>115</v>
      </c>
    </row>
    <row r="2428" spans="1:8">
      <c r="A2428" s="37">
        <v>41801.15625</v>
      </c>
      <c r="B2428" s="35" t="s">
        <v>654</v>
      </c>
      <c r="C2428" s="35" t="s">
        <v>655</v>
      </c>
      <c r="D2428" s="39">
        <v>85.680000305175781</v>
      </c>
      <c r="E2428" s="39">
        <v>71.121299743652344</v>
      </c>
      <c r="F2428" s="41">
        <v>797895</v>
      </c>
      <c r="G2428" s="35" t="s">
        <v>679</v>
      </c>
      <c r="H2428" s="35" t="s">
        <v>115</v>
      </c>
    </row>
    <row r="2429" spans="1:8">
      <c r="A2429" s="37">
        <v>41802.15625</v>
      </c>
      <c r="B2429" s="35" t="s">
        <v>654</v>
      </c>
      <c r="C2429" s="35" t="s">
        <v>655</v>
      </c>
      <c r="D2429" s="39">
        <v>87.930000305175781</v>
      </c>
      <c r="E2429" s="39">
        <v>72.988960266113281</v>
      </c>
      <c r="F2429" s="41">
        <v>603160</v>
      </c>
      <c r="G2429" s="35" t="s">
        <v>679</v>
      </c>
      <c r="H2429" s="35" t="s">
        <v>115</v>
      </c>
    </row>
    <row r="2430" spans="1:8">
      <c r="A2430" s="37">
        <v>41803.15625</v>
      </c>
      <c r="B2430" s="35" t="s">
        <v>654</v>
      </c>
      <c r="C2430" s="35" t="s">
        <v>655</v>
      </c>
      <c r="D2430" s="39">
        <v>85.5</v>
      </c>
      <c r="E2430" s="39">
        <v>70.971878051757813</v>
      </c>
      <c r="F2430" s="41">
        <v>456295</v>
      </c>
      <c r="G2430" s="35" t="s">
        <v>679</v>
      </c>
      <c r="H2430" s="35" t="s">
        <v>115</v>
      </c>
    </row>
    <row r="2431" spans="1:8">
      <c r="A2431" s="37">
        <v>41806.15625</v>
      </c>
      <c r="B2431" s="35" t="s">
        <v>654</v>
      </c>
      <c r="C2431" s="35" t="s">
        <v>655</v>
      </c>
      <c r="D2431" s="39">
        <v>85.550003051757813</v>
      </c>
      <c r="E2431" s="39">
        <v>71.013381958007813</v>
      </c>
      <c r="F2431" s="41">
        <v>212900</v>
      </c>
      <c r="G2431" s="35" t="s">
        <v>679</v>
      </c>
      <c r="H2431" s="35" t="s">
        <v>115</v>
      </c>
    </row>
    <row r="2432" spans="1:8">
      <c r="A2432" s="37">
        <v>41807.15625</v>
      </c>
      <c r="B2432" s="35" t="s">
        <v>654</v>
      </c>
      <c r="C2432" s="35" t="s">
        <v>655</v>
      </c>
      <c r="D2432" s="39">
        <v>89.480003356933594</v>
      </c>
      <c r="E2432" s="39">
        <v>74.275588989257813</v>
      </c>
      <c r="F2432" s="41">
        <v>608040</v>
      </c>
      <c r="G2432" s="35" t="s">
        <v>679</v>
      </c>
      <c r="H2432" s="35" t="s">
        <v>115</v>
      </c>
    </row>
    <row r="2433" spans="1:8">
      <c r="A2433" s="37">
        <v>41808.15625</v>
      </c>
      <c r="B2433" s="35" t="s">
        <v>654</v>
      </c>
      <c r="C2433" s="35" t="s">
        <v>655</v>
      </c>
      <c r="D2433" s="39">
        <v>91.05999755859375</v>
      </c>
      <c r="E2433" s="39">
        <v>75.587135314941406</v>
      </c>
      <c r="F2433" s="41">
        <v>783980</v>
      </c>
      <c r="G2433" s="35" t="s">
        <v>679</v>
      </c>
      <c r="H2433" s="35" t="s">
        <v>115</v>
      </c>
    </row>
    <row r="2434" spans="1:8">
      <c r="A2434" s="37">
        <v>41809.15625</v>
      </c>
      <c r="B2434" s="35" t="s">
        <v>654</v>
      </c>
      <c r="C2434" s="35" t="s">
        <v>655</v>
      </c>
      <c r="D2434" s="39">
        <v>89.180000305175781</v>
      </c>
      <c r="E2434" s="39">
        <v>74.026573181152344</v>
      </c>
      <c r="F2434" s="41">
        <v>358015</v>
      </c>
      <c r="G2434" s="35" t="s">
        <v>679</v>
      </c>
      <c r="H2434" s="35" t="s">
        <v>115</v>
      </c>
    </row>
    <row r="2435" spans="1:8">
      <c r="A2435" s="37">
        <v>41810.15625</v>
      </c>
      <c r="B2435" s="35" t="s">
        <v>654</v>
      </c>
      <c r="C2435" s="35" t="s">
        <v>655</v>
      </c>
      <c r="D2435" s="39">
        <v>85.239997863769531</v>
      </c>
      <c r="E2435" s="39">
        <v>70.756072998046875</v>
      </c>
      <c r="F2435" s="41">
        <v>553780</v>
      </c>
      <c r="G2435" s="35" t="s">
        <v>679</v>
      </c>
      <c r="H2435" s="35" t="s">
        <v>115</v>
      </c>
    </row>
    <row r="2436" spans="1:8">
      <c r="A2436" s="37">
        <v>41813.15625</v>
      </c>
      <c r="B2436" s="35" t="s">
        <v>654</v>
      </c>
      <c r="C2436" s="35" t="s">
        <v>655</v>
      </c>
      <c r="D2436" s="39">
        <v>85.459999084472656</v>
      </c>
      <c r="E2436" s="39">
        <v>70.938674926757813</v>
      </c>
      <c r="F2436" s="41">
        <v>255065</v>
      </c>
      <c r="G2436" s="35" t="s">
        <v>679</v>
      </c>
      <c r="H2436" s="35" t="s">
        <v>115</v>
      </c>
    </row>
    <row r="2437" spans="1:8">
      <c r="A2437" s="37">
        <v>41814.15625</v>
      </c>
      <c r="B2437" s="35" t="s">
        <v>654</v>
      </c>
      <c r="C2437" s="35" t="s">
        <v>655</v>
      </c>
      <c r="D2437" s="39">
        <v>86.529998779296875</v>
      </c>
      <c r="E2437" s="39">
        <v>71.826866149902344</v>
      </c>
      <c r="F2437" s="41">
        <v>255235</v>
      </c>
      <c r="G2437" s="35" t="s">
        <v>679</v>
      </c>
      <c r="H2437" s="35" t="s">
        <v>115</v>
      </c>
    </row>
    <row r="2438" spans="1:8">
      <c r="A2438" s="37">
        <v>41815.15625</v>
      </c>
      <c r="B2438" s="35" t="s">
        <v>654</v>
      </c>
      <c r="C2438" s="35" t="s">
        <v>655</v>
      </c>
      <c r="D2438" s="39">
        <v>85.370002746582031</v>
      </c>
      <c r="E2438" s="39">
        <v>70.863967895507813</v>
      </c>
      <c r="F2438" s="41">
        <v>244285</v>
      </c>
      <c r="G2438" s="35" t="s">
        <v>679</v>
      </c>
      <c r="H2438" s="35" t="s">
        <v>115</v>
      </c>
    </row>
    <row r="2439" spans="1:8">
      <c r="A2439" s="37">
        <v>41816.15625</v>
      </c>
      <c r="B2439" s="35" t="s">
        <v>654</v>
      </c>
      <c r="C2439" s="35" t="s">
        <v>655</v>
      </c>
      <c r="D2439" s="39">
        <v>84.319999694824219</v>
      </c>
      <c r="E2439" s="39">
        <v>71.499946594238281</v>
      </c>
      <c r="F2439" s="41">
        <v>252555</v>
      </c>
      <c r="G2439" s="35" t="s">
        <v>679</v>
      </c>
      <c r="H2439" s="35" t="s">
        <v>115</v>
      </c>
    </row>
    <row r="2440" spans="1:8">
      <c r="A2440" s="37">
        <v>41817.15625</v>
      </c>
      <c r="B2440" s="35" t="s">
        <v>654</v>
      </c>
      <c r="C2440" s="35" t="s">
        <v>655</v>
      </c>
      <c r="D2440" s="39">
        <v>86.800003051757813</v>
      </c>
      <c r="E2440" s="39">
        <v>73.602867126464844</v>
      </c>
      <c r="F2440" s="41">
        <v>595500</v>
      </c>
      <c r="G2440" s="35" t="s">
        <v>679</v>
      </c>
      <c r="H2440" s="35" t="s">
        <v>115</v>
      </c>
    </row>
    <row r="2441" spans="1:8">
      <c r="A2441" s="37">
        <v>41820.15625</v>
      </c>
      <c r="B2441" s="35" t="s">
        <v>654</v>
      </c>
      <c r="C2441" s="35" t="s">
        <v>655</v>
      </c>
      <c r="D2441" s="39">
        <v>88.629997253417969</v>
      </c>
      <c r="E2441" s="39">
        <v>75.154647827148438</v>
      </c>
      <c r="F2441" s="41">
        <v>474535</v>
      </c>
      <c r="G2441" s="35" t="s">
        <v>679</v>
      </c>
      <c r="H2441" s="35" t="s">
        <v>115</v>
      </c>
    </row>
    <row r="2442" spans="1:8">
      <c r="A2442" s="37">
        <v>41821.15625</v>
      </c>
      <c r="B2442" s="35" t="s">
        <v>654</v>
      </c>
      <c r="C2442" s="35" t="s">
        <v>655</v>
      </c>
      <c r="D2442" s="39">
        <v>90.110000610351563</v>
      </c>
      <c r="E2442" s="39">
        <v>76.409629821777344</v>
      </c>
      <c r="F2442" s="41">
        <v>289875</v>
      </c>
      <c r="G2442" s="35" t="s">
        <v>679</v>
      </c>
      <c r="H2442" s="35" t="s">
        <v>115</v>
      </c>
    </row>
    <row r="2443" spans="1:8">
      <c r="A2443" s="37">
        <v>41822.15625</v>
      </c>
      <c r="B2443" s="35" t="s">
        <v>654</v>
      </c>
      <c r="C2443" s="35" t="s">
        <v>655</v>
      </c>
      <c r="D2443" s="39">
        <v>92.839996337890625</v>
      </c>
      <c r="E2443" s="39">
        <v>78.724555969238281</v>
      </c>
      <c r="F2443" s="41">
        <v>464830</v>
      </c>
      <c r="G2443" s="35" t="s">
        <v>679</v>
      </c>
      <c r="H2443" s="35" t="s">
        <v>115</v>
      </c>
    </row>
    <row r="2444" spans="1:8">
      <c r="A2444" s="37">
        <v>41823.15625</v>
      </c>
      <c r="B2444" s="35" t="s">
        <v>654</v>
      </c>
      <c r="C2444" s="35" t="s">
        <v>655</v>
      </c>
      <c r="D2444" s="39">
        <v>90.019996643066406</v>
      </c>
      <c r="E2444" s="39">
        <v>76.333305358886719</v>
      </c>
      <c r="F2444" s="41">
        <v>269470</v>
      </c>
      <c r="G2444" s="35" t="s">
        <v>679</v>
      </c>
      <c r="H2444" s="35" t="s">
        <v>115</v>
      </c>
    </row>
    <row r="2445" spans="1:8">
      <c r="A2445" s="37">
        <v>41824.15625</v>
      </c>
      <c r="B2445" s="35" t="s">
        <v>654</v>
      </c>
      <c r="C2445" s="35" t="s">
        <v>655</v>
      </c>
      <c r="D2445" s="39">
        <v>91.410003662109375</v>
      </c>
      <c r="E2445" s="39">
        <v>77.511993408203125</v>
      </c>
      <c r="F2445" s="41">
        <v>204190</v>
      </c>
      <c r="G2445" s="35" t="s">
        <v>679</v>
      </c>
      <c r="H2445" s="35" t="s">
        <v>115</v>
      </c>
    </row>
    <row r="2446" spans="1:8">
      <c r="A2446" s="37">
        <v>41827.15625</v>
      </c>
      <c r="B2446" s="35" t="s">
        <v>654</v>
      </c>
      <c r="C2446" s="35" t="s">
        <v>655</v>
      </c>
      <c r="D2446" s="39">
        <v>93.260002136230469</v>
      </c>
      <c r="E2446" s="39">
        <v>79.080680847167969</v>
      </c>
      <c r="F2446" s="41">
        <v>225185</v>
      </c>
      <c r="G2446" s="35" t="s">
        <v>679</v>
      </c>
      <c r="H2446" s="35" t="s">
        <v>115</v>
      </c>
    </row>
    <row r="2447" spans="1:8">
      <c r="A2447" s="37">
        <v>41828.15625</v>
      </c>
      <c r="B2447" s="35" t="s">
        <v>654</v>
      </c>
      <c r="C2447" s="35" t="s">
        <v>655</v>
      </c>
      <c r="D2447" s="39">
        <v>90.279998779296875</v>
      </c>
      <c r="E2447" s="39">
        <v>76.55377197265625</v>
      </c>
      <c r="F2447" s="41">
        <v>371125</v>
      </c>
      <c r="G2447" s="35" t="s">
        <v>679</v>
      </c>
      <c r="H2447" s="35" t="s">
        <v>115</v>
      </c>
    </row>
    <row r="2448" spans="1:8">
      <c r="A2448" s="37">
        <v>41829.15625</v>
      </c>
      <c r="B2448" s="35" t="s">
        <v>654</v>
      </c>
      <c r="C2448" s="35" t="s">
        <v>655</v>
      </c>
      <c r="D2448" s="39">
        <v>93.889999389648438</v>
      </c>
      <c r="E2448" s="39">
        <v>79.614921569824219</v>
      </c>
      <c r="F2448" s="41">
        <v>761890</v>
      </c>
      <c r="G2448" s="35" t="s">
        <v>679</v>
      </c>
      <c r="H2448" s="35" t="s">
        <v>115</v>
      </c>
    </row>
    <row r="2449" spans="1:8">
      <c r="A2449" s="37">
        <v>41830.15625</v>
      </c>
      <c r="B2449" s="35" t="s">
        <v>654</v>
      </c>
      <c r="C2449" s="35" t="s">
        <v>655</v>
      </c>
      <c r="D2449" s="39">
        <v>93.129997253417969</v>
      </c>
      <c r="E2449" s="39">
        <v>78.970443725585938</v>
      </c>
      <c r="F2449" s="41">
        <v>556275</v>
      </c>
      <c r="G2449" s="35" t="s">
        <v>679</v>
      </c>
      <c r="H2449" s="35" t="s">
        <v>115</v>
      </c>
    </row>
    <row r="2450" spans="1:8">
      <c r="A2450" s="37">
        <v>41831.15625</v>
      </c>
      <c r="B2450" s="35" t="s">
        <v>654</v>
      </c>
      <c r="C2450" s="35" t="s">
        <v>655</v>
      </c>
      <c r="D2450" s="39">
        <v>95.080001831054688</v>
      </c>
      <c r="E2450" s="39">
        <v>80.624000549316406</v>
      </c>
      <c r="F2450" s="41">
        <v>1131940</v>
      </c>
      <c r="G2450" s="35" t="s">
        <v>679</v>
      </c>
      <c r="H2450" s="35" t="s">
        <v>115</v>
      </c>
    </row>
    <row r="2451" spans="1:8">
      <c r="A2451" s="37">
        <v>41834.15625</v>
      </c>
      <c r="B2451" s="35" t="s">
        <v>654</v>
      </c>
      <c r="C2451" s="35" t="s">
        <v>655</v>
      </c>
      <c r="D2451" s="39">
        <v>92.550003051757813</v>
      </c>
      <c r="E2451" s="39">
        <v>78.478652954101563</v>
      </c>
      <c r="F2451" s="41">
        <v>496895</v>
      </c>
      <c r="G2451" s="35" t="s">
        <v>679</v>
      </c>
      <c r="H2451" s="35" t="s">
        <v>115</v>
      </c>
    </row>
    <row r="2452" spans="1:8">
      <c r="A2452" s="37">
        <v>41835.15625</v>
      </c>
      <c r="B2452" s="35" t="s">
        <v>654</v>
      </c>
      <c r="C2452" s="35" t="s">
        <v>655</v>
      </c>
      <c r="D2452" s="39">
        <v>81.589996337890625</v>
      </c>
      <c r="E2452" s="39">
        <v>69.185005187988281</v>
      </c>
      <c r="F2452" s="41">
        <v>6382295</v>
      </c>
      <c r="G2452" s="35" t="s">
        <v>679</v>
      </c>
      <c r="H2452" s="35" t="s">
        <v>115</v>
      </c>
    </row>
    <row r="2453" spans="1:8">
      <c r="A2453" s="37">
        <v>41836.15625</v>
      </c>
      <c r="B2453" s="35" t="s">
        <v>654</v>
      </c>
      <c r="C2453" s="35" t="s">
        <v>655</v>
      </c>
      <c r="D2453" s="39">
        <v>75.449996948242188</v>
      </c>
      <c r="E2453" s="39">
        <v>63.978534698486328</v>
      </c>
      <c r="F2453" s="41">
        <v>6752765</v>
      </c>
      <c r="G2453" s="35" t="s">
        <v>679</v>
      </c>
      <c r="H2453" s="35" t="s">
        <v>115</v>
      </c>
    </row>
    <row r="2454" spans="1:8">
      <c r="A2454" s="37">
        <v>41837.15625</v>
      </c>
      <c r="B2454" s="35" t="s">
        <v>654</v>
      </c>
      <c r="C2454" s="35" t="s">
        <v>655</v>
      </c>
      <c r="D2454" s="39">
        <v>77.900001525878906</v>
      </c>
      <c r="E2454" s="39">
        <v>66.056053161621094</v>
      </c>
      <c r="F2454" s="41">
        <v>4095855</v>
      </c>
      <c r="G2454" s="35" t="s">
        <v>679</v>
      </c>
      <c r="H2454" s="35" t="s">
        <v>115</v>
      </c>
    </row>
    <row r="2455" spans="1:8">
      <c r="A2455" s="37">
        <v>41838.15625</v>
      </c>
      <c r="B2455" s="35" t="s">
        <v>654</v>
      </c>
      <c r="C2455" s="35" t="s">
        <v>655</v>
      </c>
      <c r="D2455" s="39">
        <v>77.010002136230469</v>
      </c>
      <c r="E2455" s="39">
        <v>65.301368713378906</v>
      </c>
      <c r="F2455" s="41">
        <v>1886435</v>
      </c>
      <c r="G2455" s="35" t="s">
        <v>679</v>
      </c>
      <c r="H2455" s="35" t="s">
        <v>115</v>
      </c>
    </row>
    <row r="2456" spans="1:8">
      <c r="A2456" s="37">
        <v>41841.15625</v>
      </c>
      <c r="B2456" s="35" t="s">
        <v>654</v>
      </c>
      <c r="C2456" s="35" t="s">
        <v>655</v>
      </c>
      <c r="D2456" s="39">
        <v>75.489997863769531</v>
      </c>
      <c r="E2456" s="39">
        <v>64.012458801269531</v>
      </c>
      <c r="F2456" s="41">
        <v>844425</v>
      </c>
      <c r="G2456" s="35" t="s">
        <v>679</v>
      </c>
      <c r="H2456" s="35" t="s">
        <v>115</v>
      </c>
    </row>
    <row r="2457" spans="1:8">
      <c r="A2457" s="37">
        <v>41842.15625</v>
      </c>
      <c r="B2457" s="35" t="s">
        <v>654</v>
      </c>
      <c r="C2457" s="35" t="s">
        <v>655</v>
      </c>
      <c r="D2457" s="39">
        <v>75.480003356933594</v>
      </c>
      <c r="E2457" s="39">
        <v>64.003959655761719</v>
      </c>
      <c r="F2457" s="41">
        <v>1690245</v>
      </c>
      <c r="G2457" s="35" t="s">
        <v>679</v>
      </c>
      <c r="H2457" s="35" t="s">
        <v>115</v>
      </c>
    </row>
    <row r="2458" spans="1:8">
      <c r="A2458" s="37">
        <v>41843.15625</v>
      </c>
      <c r="B2458" s="35" t="s">
        <v>654</v>
      </c>
      <c r="C2458" s="35" t="s">
        <v>655</v>
      </c>
      <c r="D2458" s="39">
        <v>75.900001525878906</v>
      </c>
      <c r="E2458" s="39">
        <v>64.360107421875</v>
      </c>
      <c r="F2458" s="41">
        <v>1629375</v>
      </c>
      <c r="G2458" s="35" t="s">
        <v>679</v>
      </c>
      <c r="H2458" s="35" t="s">
        <v>115</v>
      </c>
    </row>
    <row r="2459" spans="1:8">
      <c r="A2459" s="37">
        <v>41844.15625</v>
      </c>
      <c r="B2459" s="35" t="s">
        <v>654</v>
      </c>
      <c r="C2459" s="35" t="s">
        <v>655</v>
      </c>
      <c r="D2459" s="39">
        <v>75.900001525878906</v>
      </c>
      <c r="E2459" s="39">
        <v>64.360107421875</v>
      </c>
      <c r="F2459" s="41">
        <v>841570</v>
      </c>
      <c r="G2459" s="35" t="s">
        <v>679</v>
      </c>
      <c r="H2459" s="35" t="s">
        <v>115</v>
      </c>
    </row>
    <row r="2460" spans="1:8">
      <c r="A2460" s="37">
        <v>41845.15625</v>
      </c>
      <c r="B2460" s="35" t="s">
        <v>654</v>
      </c>
      <c r="C2460" s="35" t="s">
        <v>655</v>
      </c>
      <c r="D2460" s="39">
        <v>74.110000610351563</v>
      </c>
      <c r="E2460" s="39">
        <v>62.842258453369141</v>
      </c>
      <c r="F2460" s="41">
        <v>644415</v>
      </c>
      <c r="G2460" s="35" t="s">
        <v>679</v>
      </c>
      <c r="H2460" s="35" t="s">
        <v>115</v>
      </c>
    </row>
    <row r="2461" spans="1:8">
      <c r="A2461" s="37">
        <v>41848.15625</v>
      </c>
      <c r="B2461" s="35" t="s">
        <v>654</v>
      </c>
      <c r="C2461" s="35" t="s">
        <v>655</v>
      </c>
      <c r="D2461" s="39">
        <v>72.589996337890625</v>
      </c>
      <c r="E2461" s="39">
        <v>61.553390502929688</v>
      </c>
      <c r="F2461" s="41">
        <v>684515</v>
      </c>
      <c r="G2461" s="35" t="s">
        <v>679</v>
      </c>
      <c r="H2461" s="35" t="s">
        <v>115</v>
      </c>
    </row>
    <row r="2462" spans="1:8">
      <c r="A2462" s="37">
        <v>41850.15625</v>
      </c>
      <c r="B2462" s="35" t="s">
        <v>654</v>
      </c>
      <c r="C2462" s="35" t="s">
        <v>655</v>
      </c>
      <c r="D2462" s="39">
        <v>73.779998779296875</v>
      </c>
      <c r="E2462" s="39">
        <v>62.562465667724609</v>
      </c>
      <c r="F2462" s="41">
        <v>811550</v>
      </c>
      <c r="G2462" s="35" t="s">
        <v>679</v>
      </c>
      <c r="H2462" s="35" t="s">
        <v>115</v>
      </c>
    </row>
    <row r="2463" spans="1:8">
      <c r="A2463" s="37">
        <v>41851.15625</v>
      </c>
      <c r="B2463" s="35" t="s">
        <v>654</v>
      </c>
      <c r="C2463" s="35" t="s">
        <v>655</v>
      </c>
      <c r="D2463" s="39">
        <v>75.349998474121094</v>
      </c>
      <c r="E2463" s="39">
        <v>63.893695831298828</v>
      </c>
      <c r="F2463" s="41">
        <v>615395</v>
      </c>
      <c r="G2463" s="35" t="s">
        <v>679</v>
      </c>
      <c r="H2463" s="35" t="s">
        <v>115</v>
      </c>
    </row>
    <row r="2464" spans="1:8">
      <c r="A2464" s="37">
        <v>41852.15625</v>
      </c>
      <c r="B2464" s="35" t="s">
        <v>654</v>
      </c>
      <c r="C2464" s="35" t="s">
        <v>655</v>
      </c>
      <c r="D2464" s="39">
        <v>74.730003356933594</v>
      </c>
      <c r="E2464" s="39">
        <v>63.368000030517578</v>
      </c>
      <c r="F2464" s="41">
        <v>543340</v>
      </c>
      <c r="G2464" s="35" t="s">
        <v>679</v>
      </c>
      <c r="H2464" s="35" t="s">
        <v>115</v>
      </c>
    </row>
    <row r="2465" spans="1:8">
      <c r="A2465" s="37">
        <v>41855.15625</v>
      </c>
      <c r="B2465" s="35" t="s">
        <v>654</v>
      </c>
      <c r="C2465" s="35" t="s">
        <v>655</v>
      </c>
      <c r="D2465" s="39">
        <v>74.80999755859375</v>
      </c>
      <c r="E2465" s="39">
        <v>63.435840606689453</v>
      </c>
      <c r="F2465" s="41">
        <v>171965</v>
      </c>
      <c r="G2465" s="35" t="s">
        <v>679</v>
      </c>
      <c r="H2465" s="35" t="s">
        <v>115</v>
      </c>
    </row>
    <row r="2466" spans="1:8">
      <c r="A2466" s="37">
        <v>41856.15625</v>
      </c>
      <c r="B2466" s="35" t="s">
        <v>654</v>
      </c>
      <c r="C2466" s="35" t="s">
        <v>655</v>
      </c>
      <c r="D2466" s="39">
        <v>75.879997253417969</v>
      </c>
      <c r="E2466" s="39">
        <v>64.343154907226563</v>
      </c>
      <c r="F2466" s="41">
        <v>411310</v>
      </c>
      <c r="G2466" s="35" t="s">
        <v>679</v>
      </c>
      <c r="H2466" s="35" t="s">
        <v>115</v>
      </c>
    </row>
    <row r="2467" spans="1:8">
      <c r="A2467" s="37">
        <v>41857.15625</v>
      </c>
      <c r="B2467" s="35" t="s">
        <v>654</v>
      </c>
      <c r="C2467" s="35" t="s">
        <v>655</v>
      </c>
      <c r="D2467" s="39">
        <v>76.019996643066406</v>
      </c>
      <c r="E2467" s="39">
        <v>64.461868286132813</v>
      </c>
      <c r="F2467" s="41">
        <v>390430</v>
      </c>
      <c r="G2467" s="35" t="s">
        <v>679</v>
      </c>
      <c r="H2467" s="35" t="s">
        <v>115</v>
      </c>
    </row>
    <row r="2468" spans="1:8">
      <c r="A2468" s="37">
        <v>41858.15625</v>
      </c>
      <c r="B2468" s="35" t="s">
        <v>654</v>
      </c>
      <c r="C2468" s="35" t="s">
        <v>655</v>
      </c>
      <c r="D2468" s="39">
        <v>75.400001525878906</v>
      </c>
      <c r="E2468" s="39">
        <v>63.936141967773438</v>
      </c>
      <c r="F2468" s="41">
        <v>318475</v>
      </c>
      <c r="G2468" s="35" t="s">
        <v>679</v>
      </c>
      <c r="H2468" s="35" t="s">
        <v>115</v>
      </c>
    </row>
    <row r="2469" spans="1:8">
      <c r="A2469" s="37">
        <v>41859.15625</v>
      </c>
      <c r="B2469" s="35" t="s">
        <v>654</v>
      </c>
      <c r="C2469" s="35" t="s">
        <v>655</v>
      </c>
      <c r="D2469" s="39">
        <v>76.529998779296875</v>
      </c>
      <c r="E2469" s="39">
        <v>64.894340515136719</v>
      </c>
      <c r="F2469" s="41">
        <v>732930</v>
      </c>
      <c r="G2469" s="35" t="s">
        <v>679</v>
      </c>
      <c r="H2469" s="35" t="s">
        <v>115</v>
      </c>
    </row>
    <row r="2470" spans="1:8">
      <c r="A2470" s="37">
        <v>41862.15625</v>
      </c>
      <c r="B2470" s="35" t="s">
        <v>654</v>
      </c>
      <c r="C2470" s="35" t="s">
        <v>655</v>
      </c>
      <c r="D2470" s="39">
        <v>76.930000305175781</v>
      </c>
      <c r="E2470" s="39">
        <v>65.233528137207031</v>
      </c>
      <c r="F2470" s="41">
        <v>782155</v>
      </c>
      <c r="G2470" s="35" t="s">
        <v>679</v>
      </c>
      <c r="H2470" s="35" t="s">
        <v>115</v>
      </c>
    </row>
    <row r="2471" spans="1:8">
      <c r="A2471" s="37">
        <v>41863.15625</v>
      </c>
      <c r="B2471" s="35" t="s">
        <v>654</v>
      </c>
      <c r="C2471" s="35" t="s">
        <v>655</v>
      </c>
      <c r="D2471" s="39">
        <v>76.699996948242188</v>
      </c>
      <c r="E2471" s="39">
        <v>65.038497924804688</v>
      </c>
      <c r="F2471" s="41">
        <v>272270</v>
      </c>
      <c r="G2471" s="35" t="s">
        <v>679</v>
      </c>
      <c r="H2471" s="35" t="s">
        <v>115</v>
      </c>
    </row>
    <row r="2472" spans="1:8">
      <c r="A2472" s="37">
        <v>41864.15625</v>
      </c>
      <c r="B2472" s="35" t="s">
        <v>654</v>
      </c>
      <c r="C2472" s="35" t="s">
        <v>655</v>
      </c>
      <c r="D2472" s="39">
        <v>74.230003356933594</v>
      </c>
      <c r="E2472" s="39">
        <v>62.944019317626953</v>
      </c>
      <c r="F2472" s="41">
        <v>401235</v>
      </c>
      <c r="G2472" s="35" t="s">
        <v>679</v>
      </c>
      <c r="H2472" s="35" t="s">
        <v>115</v>
      </c>
    </row>
    <row r="2473" spans="1:8">
      <c r="A2473" s="37">
        <v>41865.15625</v>
      </c>
      <c r="B2473" s="35" t="s">
        <v>654</v>
      </c>
      <c r="C2473" s="35" t="s">
        <v>655</v>
      </c>
      <c r="D2473" s="39">
        <v>73.209999084472656</v>
      </c>
      <c r="E2473" s="39">
        <v>62.079105377197266</v>
      </c>
      <c r="F2473" s="41">
        <v>163875</v>
      </c>
      <c r="G2473" s="35" t="s">
        <v>679</v>
      </c>
      <c r="H2473" s="35" t="s">
        <v>115</v>
      </c>
    </row>
    <row r="2474" spans="1:8">
      <c r="A2474" s="37">
        <v>41869.15625</v>
      </c>
      <c r="B2474" s="35" t="s">
        <v>654</v>
      </c>
      <c r="C2474" s="35" t="s">
        <v>655</v>
      </c>
      <c r="D2474" s="39">
        <v>73.949996948242188</v>
      </c>
      <c r="E2474" s="39">
        <v>62.706607818603516</v>
      </c>
      <c r="F2474" s="41">
        <v>165180</v>
      </c>
      <c r="G2474" s="35" t="s">
        <v>679</v>
      </c>
      <c r="H2474" s="35" t="s">
        <v>115</v>
      </c>
    </row>
    <row r="2475" spans="1:8">
      <c r="A2475" s="37">
        <v>41870.15625</v>
      </c>
      <c r="B2475" s="35" t="s">
        <v>654</v>
      </c>
      <c r="C2475" s="35" t="s">
        <v>655</v>
      </c>
      <c r="D2475" s="39">
        <v>73.919998168945313</v>
      </c>
      <c r="E2475" s="39">
        <v>62.681159973144531</v>
      </c>
      <c r="F2475" s="41">
        <v>166740</v>
      </c>
      <c r="G2475" s="35" t="s">
        <v>679</v>
      </c>
      <c r="H2475" s="35" t="s">
        <v>115</v>
      </c>
    </row>
    <row r="2476" spans="1:8">
      <c r="A2476" s="37">
        <v>41871.15625</v>
      </c>
      <c r="B2476" s="35" t="s">
        <v>654</v>
      </c>
      <c r="C2476" s="35" t="s">
        <v>655</v>
      </c>
      <c r="D2476" s="39">
        <v>73.589996337890625</v>
      </c>
      <c r="E2476" s="39">
        <v>62.401344299316406</v>
      </c>
      <c r="F2476" s="41">
        <v>181835</v>
      </c>
      <c r="G2476" s="35" t="s">
        <v>679</v>
      </c>
      <c r="H2476" s="35" t="s">
        <v>115</v>
      </c>
    </row>
    <row r="2477" spans="1:8">
      <c r="A2477" s="37">
        <v>41872.15625</v>
      </c>
      <c r="B2477" s="35" t="s">
        <v>654</v>
      </c>
      <c r="C2477" s="35" t="s">
        <v>655</v>
      </c>
      <c r="D2477" s="39">
        <v>74.30999755859375</v>
      </c>
      <c r="E2477" s="39">
        <v>63.011867523193359</v>
      </c>
      <c r="F2477" s="41">
        <v>382120</v>
      </c>
      <c r="G2477" s="35" t="s">
        <v>679</v>
      </c>
      <c r="H2477" s="35" t="s">
        <v>115</v>
      </c>
    </row>
    <row r="2478" spans="1:8">
      <c r="A2478" s="37">
        <v>41873.15625</v>
      </c>
      <c r="B2478" s="35" t="s">
        <v>654</v>
      </c>
      <c r="C2478" s="35" t="s">
        <v>655</v>
      </c>
      <c r="D2478" s="39">
        <v>73.769996643066406</v>
      </c>
      <c r="E2478" s="39">
        <v>62.553966522216797</v>
      </c>
      <c r="F2478" s="41">
        <v>178770</v>
      </c>
      <c r="G2478" s="35" t="s">
        <v>679</v>
      </c>
      <c r="H2478" s="35" t="s">
        <v>115</v>
      </c>
    </row>
    <row r="2479" spans="1:8">
      <c r="A2479" s="37">
        <v>41876.15625</v>
      </c>
      <c r="B2479" s="35" t="s">
        <v>654</v>
      </c>
      <c r="C2479" s="35" t="s">
        <v>655</v>
      </c>
      <c r="D2479" s="39">
        <v>73.680000305175781</v>
      </c>
      <c r="E2479" s="39">
        <v>62.477638244628906</v>
      </c>
      <c r="F2479" s="41">
        <v>341295</v>
      </c>
      <c r="G2479" s="35" t="s">
        <v>679</v>
      </c>
      <c r="H2479" s="35" t="s">
        <v>115</v>
      </c>
    </row>
    <row r="2480" spans="1:8">
      <c r="A2480" s="37">
        <v>41877.15625</v>
      </c>
      <c r="B2480" s="35" t="s">
        <v>654</v>
      </c>
      <c r="C2480" s="35" t="s">
        <v>655</v>
      </c>
      <c r="D2480" s="39">
        <v>74.419998168945313</v>
      </c>
      <c r="E2480" s="39">
        <v>63.105144500732422</v>
      </c>
      <c r="F2480" s="41">
        <v>740870</v>
      </c>
      <c r="G2480" s="35" t="s">
        <v>679</v>
      </c>
      <c r="H2480" s="35" t="s">
        <v>115</v>
      </c>
    </row>
    <row r="2481" spans="1:8">
      <c r="A2481" s="37">
        <v>41878.15625</v>
      </c>
      <c r="B2481" s="35" t="s">
        <v>654</v>
      </c>
      <c r="C2481" s="35" t="s">
        <v>655</v>
      </c>
      <c r="D2481" s="39">
        <v>72.379997253417969</v>
      </c>
      <c r="E2481" s="39">
        <v>61.375286102294922</v>
      </c>
      <c r="F2481" s="41">
        <v>933945</v>
      </c>
      <c r="G2481" s="35" t="s">
        <v>679</v>
      </c>
      <c r="H2481" s="35" t="s">
        <v>115</v>
      </c>
    </row>
    <row r="2482" spans="1:8">
      <c r="A2482" s="37">
        <v>41879.15625</v>
      </c>
      <c r="B2482" s="35" t="s">
        <v>654</v>
      </c>
      <c r="C2482" s="35" t="s">
        <v>655</v>
      </c>
      <c r="D2482" s="39">
        <v>71.919998168945313</v>
      </c>
      <c r="E2482" s="39">
        <v>60.985233306884766</v>
      </c>
      <c r="F2482" s="41">
        <v>391900</v>
      </c>
      <c r="G2482" s="35" t="s">
        <v>679</v>
      </c>
      <c r="H2482" s="35" t="s">
        <v>115</v>
      </c>
    </row>
    <row r="2483" spans="1:8">
      <c r="A2483" s="37">
        <v>41883.15625</v>
      </c>
      <c r="B2483" s="35" t="s">
        <v>654</v>
      </c>
      <c r="C2483" s="35" t="s">
        <v>655</v>
      </c>
      <c r="D2483" s="39">
        <v>71.860000610351563</v>
      </c>
      <c r="E2483" s="39">
        <v>60.934356689453125</v>
      </c>
      <c r="F2483" s="41">
        <v>275595</v>
      </c>
      <c r="G2483" s="35" t="s">
        <v>679</v>
      </c>
      <c r="H2483" s="35" t="s">
        <v>115</v>
      </c>
    </row>
    <row r="2484" spans="1:8">
      <c r="A2484" s="37">
        <v>41884.15625</v>
      </c>
      <c r="B2484" s="35" t="s">
        <v>654</v>
      </c>
      <c r="C2484" s="35" t="s">
        <v>655</v>
      </c>
      <c r="D2484" s="39">
        <v>73.669998168945313</v>
      </c>
      <c r="E2484" s="39">
        <v>62.469169616699219</v>
      </c>
      <c r="F2484" s="41">
        <v>619855</v>
      </c>
      <c r="G2484" s="35" t="s">
        <v>679</v>
      </c>
      <c r="H2484" s="35" t="s">
        <v>115</v>
      </c>
    </row>
    <row r="2485" spans="1:8">
      <c r="A2485" s="37">
        <v>41885.15625</v>
      </c>
      <c r="B2485" s="35" t="s">
        <v>654</v>
      </c>
      <c r="C2485" s="35" t="s">
        <v>655</v>
      </c>
      <c r="D2485" s="39">
        <v>73.330001831054688</v>
      </c>
      <c r="E2485" s="39">
        <v>62.180870056152344</v>
      </c>
      <c r="F2485" s="41">
        <v>1256720</v>
      </c>
      <c r="G2485" s="35" t="s">
        <v>679</v>
      </c>
      <c r="H2485" s="35" t="s">
        <v>115</v>
      </c>
    </row>
    <row r="2486" spans="1:8">
      <c r="A2486" s="37">
        <v>41886.15625</v>
      </c>
      <c r="B2486" s="35" t="s">
        <v>654</v>
      </c>
      <c r="C2486" s="35" t="s">
        <v>655</v>
      </c>
      <c r="D2486" s="39">
        <v>72.349998474121094</v>
      </c>
      <c r="E2486" s="39">
        <v>61.349857330322266</v>
      </c>
      <c r="F2486" s="41">
        <v>210055</v>
      </c>
      <c r="G2486" s="35" t="s">
        <v>679</v>
      </c>
      <c r="H2486" s="35" t="s">
        <v>115</v>
      </c>
    </row>
    <row r="2487" spans="1:8">
      <c r="A2487" s="37">
        <v>41887.15625</v>
      </c>
      <c r="B2487" s="35" t="s">
        <v>654</v>
      </c>
      <c r="C2487" s="35" t="s">
        <v>655</v>
      </c>
      <c r="D2487" s="39">
        <v>72.260002136230469</v>
      </c>
      <c r="E2487" s="39">
        <v>61.273555755615234</v>
      </c>
      <c r="F2487" s="41">
        <v>951845</v>
      </c>
      <c r="G2487" s="35" t="s">
        <v>679</v>
      </c>
      <c r="H2487" s="35" t="s">
        <v>115</v>
      </c>
    </row>
    <row r="2488" spans="1:8">
      <c r="A2488" s="37">
        <v>41890.15625</v>
      </c>
      <c r="B2488" s="35" t="s">
        <v>654</v>
      </c>
      <c r="C2488" s="35" t="s">
        <v>655</v>
      </c>
      <c r="D2488" s="39">
        <v>72.339996337890625</v>
      </c>
      <c r="E2488" s="39">
        <v>61.341373443603516</v>
      </c>
      <c r="F2488" s="41">
        <v>272590</v>
      </c>
      <c r="G2488" s="35" t="s">
        <v>679</v>
      </c>
      <c r="H2488" s="35" t="s">
        <v>115</v>
      </c>
    </row>
    <row r="2489" spans="1:8">
      <c r="A2489" s="37">
        <v>41891.15625</v>
      </c>
      <c r="B2489" s="35" t="s">
        <v>654</v>
      </c>
      <c r="C2489" s="35" t="s">
        <v>655</v>
      </c>
      <c r="D2489" s="39">
        <v>74.25</v>
      </c>
      <c r="E2489" s="39">
        <v>62.960990905761719</v>
      </c>
      <c r="F2489" s="41">
        <v>769790</v>
      </c>
      <c r="G2489" s="35" t="s">
        <v>679</v>
      </c>
      <c r="H2489" s="35" t="s">
        <v>115</v>
      </c>
    </row>
    <row r="2490" spans="1:8">
      <c r="A2490" s="37">
        <v>41892.15625</v>
      </c>
      <c r="B2490" s="35" t="s">
        <v>654</v>
      </c>
      <c r="C2490" s="35" t="s">
        <v>655</v>
      </c>
      <c r="D2490" s="39">
        <v>75</v>
      </c>
      <c r="E2490" s="39">
        <v>63.596927642822266</v>
      </c>
      <c r="F2490" s="41">
        <v>418415</v>
      </c>
      <c r="G2490" s="35" t="s">
        <v>679</v>
      </c>
      <c r="H2490" s="35" t="s">
        <v>115</v>
      </c>
    </row>
    <row r="2491" spans="1:8">
      <c r="A2491" s="37">
        <v>41893.15625</v>
      </c>
      <c r="B2491" s="35" t="s">
        <v>654</v>
      </c>
      <c r="C2491" s="35" t="s">
        <v>655</v>
      </c>
      <c r="D2491" s="39">
        <v>77.459999084472656</v>
      </c>
      <c r="E2491" s="39">
        <v>65.682937622070313</v>
      </c>
      <c r="F2491" s="41">
        <v>1197480</v>
      </c>
      <c r="G2491" s="35" t="s">
        <v>679</v>
      </c>
      <c r="H2491" s="35" t="s">
        <v>115</v>
      </c>
    </row>
    <row r="2492" spans="1:8">
      <c r="A2492" s="37">
        <v>41894.15625</v>
      </c>
      <c r="B2492" s="35" t="s">
        <v>654</v>
      </c>
      <c r="C2492" s="35" t="s">
        <v>655</v>
      </c>
      <c r="D2492" s="39">
        <v>77.730003356933594</v>
      </c>
      <c r="E2492" s="39">
        <v>65.911895751953125</v>
      </c>
      <c r="F2492" s="41">
        <v>856225</v>
      </c>
      <c r="G2492" s="35" t="s">
        <v>679</v>
      </c>
      <c r="H2492" s="35" t="s">
        <v>115</v>
      </c>
    </row>
    <row r="2493" spans="1:8">
      <c r="A2493" s="37">
        <v>41897.15625</v>
      </c>
      <c r="B2493" s="35" t="s">
        <v>654</v>
      </c>
      <c r="C2493" s="35" t="s">
        <v>655</v>
      </c>
      <c r="D2493" s="39">
        <v>76.349998474121094</v>
      </c>
      <c r="E2493" s="39">
        <v>64.74169921875</v>
      </c>
      <c r="F2493" s="41">
        <v>198220</v>
      </c>
      <c r="G2493" s="35" t="s">
        <v>679</v>
      </c>
      <c r="H2493" s="35" t="s">
        <v>115</v>
      </c>
    </row>
    <row r="2494" spans="1:8">
      <c r="A2494" s="37">
        <v>41898.15625</v>
      </c>
      <c r="B2494" s="35" t="s">
        <v>654</v>
      </c>
      <c r="C2494" s="35" t="s">
        <v>655</v>
      </c>
      <c r="D2494" s="39">
        <v>76.029998779296875</v>
      </c>
      <c r="E2494" s="39">
        <v>64.470375061035156</v>
      </c>
      <c r="F2494" s="41">
        <v>1002985</v>
      </c>
      <c r="G2494" s="35" t="s">
        <v>679</v>
      </c>
      <c r="H2494" s="35" t="s">
        <v>115</v>
      </c>
    </row>
    <row r="2495" spans="1:8">
      <c r="A2495" s="37">
        <v>41899.15625</v>
      </c>
      <c r="B2495" s="35" t="s">
        <v>654</v>
      </c>
      <c r="C2495" s="35" t="s">
        <v>655</v>
      </c>
      <c r="D2495" s="39">
        <v>75.900001525878906</v>
      </c>
      <c r="E2495" s="39">
        <v>64.360107421875</v>
      </c>
      <c r="F2495" s="41">
        <v>473140</v>
      </c>
      <c r="G2495" s="35" t="s">
        <v>679</v>
      </c>
      <c r="H2495" s="35" t="s">
        <v>115</v>
      </c>
    </row>
    <row r="2496" spans="1:8">
      <c r="A2496" s="37">
        <v>41900.15625</v>
      </c>
      <c r="B2496" s="35" t="s">
        <v>654</v>
      </c>
      <c r="C2496" s="35" t="s">
        <v>655</v>
      </c>
      <c r="D2496" s="39">
        <v>80.55999755859375</v>
      </c>
      <c r="E2496" s="39">
        <v>68.311599731445313</v>
      </c>
      <c r="F2496" s="41">
        <v>1678270</v>
      </c>
      <c r="G2496" s="35" t="s">
        <v>679</v>
      </c>
      <c r="H2496" s="35" t="s">
        <v>115</v>
      </c>
    </row>
    <row r="2497" spans="1:8">
      <c r="A2497" s="37">
        <v>41901.15625</v>
      </c>
      <c r="B2497" s="35" t="s">
        <v>654</v>
      </c>
      <c r="C2497" s="35" t="s">
        <v>655</v>
      </c>
      <c r="D2497" s="39">
        <v>85.800003051757813</v>
      </c>
      <c r="E2497" s="39">
        <v>72.754920959472656</v>
      </c>
      <c r="F2497" s="41">
        <v>2704340</v>
      </c>
      <c r="G2497" s="35" t="s">
        <v>679</v>
      </c>
      <c r="H2497" s="35" t="s">
        <v>115</v>
      </c>
    </row>
    <row r="2498" spans="1:8">
      <c r="A2498" s="37">
        <v>41904.15625</v>
      </c>
      <c r="B2498" s="35" t="s">
        <v>654</v>
      </c>
      <c r="C2498" s="35" t="s">
        <v>655</v>
      </c>
      <c r="D2498" s="39">
        <v>86.75</v>
      </c>
      <c r="E2498" s="39">
        <v>73.560462951660156</v>
      </c>
      <c r="F2498" s="41">
        <v>960305</v>
      </c>
      <c r="G2498" s="35" t="s">
        <v>679</v>
      </c>
      <c r="H2498" s="35" t="s">
        <v>115</v>
      </c>
    </row>
    <row r="2499" spans="1:8">
      <c r="A2499" s="37">
        <v>41905.15625</v>
      </c>
      <c r="B2499" s="35" t="s">
        <v>654</v>
      </c>
      <c r="C2499" s="35" t="s">
        <v>655</v>
      </c>
      <c r="D2499" s="39">
        <v>83.830001831054688</v>
      </c>
      <c r="E2499" s="39">
        <v>71.084434509277344</v>
      </c>
      <c r="F2499" s="41">
        <v>589825</v>
      </c>
      <c r="G2499" s="35" t="s">
        <v>679</v>
      </c>
      <c r="H2499" s="35" t="s">
        <v>115</v>
      </c>
    </row>
    <row r="2500" spans="1:8">
      <c r="A2500" s="37">
        <v>41906.15625</v>
      </c>
      <c r="B2500" s="35" t="s">
        <v>654</v>
      </c>
      <c r="C2500" s="35" t="s">
        <v>655</v>
      </c>
      <c r="D2500" s="39">
        <v>79.330001831054688</v>
      </c>
      <c r="E2500" s="39">
        <v>67.26861572265625</v>
      </c>
      <c r="F2500" s="41">
        <v>391580</v>
      </c>
      <c r="G2500" s="35" t="s">
        <v>679</v>
      </c>
      <c r="H2500" s="35" t="s">
        <v>115</v>
      </c>
    </row>
    <row r="2501" spans="1:8">
      <c r="A2501" s="37">
        <v>41907.15625</v>
      </c>
      <c r="B2501" s="35" t="s">
        <v>654</v>
      </c>
      <c r="C2501" s="35" t="s">
        <v>655</v>
      </c>
      <c r="D2501" s="39">
        <v>77.199996948242188</v>
      </c>
      <c r="E2501" s="39">
        <v>65.462478637695313</v>
      </c>
      <c r="F2501" s="41">
        <v>362600</v>
      </c>
      <c r="G2501" s="35" t="s">
        <v>679</v>
      </c>
      <c r="H2501" s="35" t="s">
        <v>115</v>
      </c>
    </row>
    <row r="2502" spans="1:8">
      <c r="A2502" s="37">
        <v>41908.15625</v>
      </c>
      <c r="B2502" s="35" t="s">
        <v>654</v>
      </c>
      <c r="C2502" s="35" t="s">
        <v>655</v>
      </c>
      <c r="D2502" s="39">
        <v>76.370002746582031</v>
      </c>
      <c r="E2502" s="39">
        <v>64.758674621582031</v>
      </c>
      <c r="F2502" s="41">
        <v>335360</v>
      </c>
      <c r="G2502" s="35" t="s">
        <v>679</v>
      </c>
      <c r="H2502" s="35" t="s">
        <v>115</v>
      </c>
    </row>
    <row r="2503" spans="1:8">
      <c r="A2503" s="37">
        <v>41911.15625</v>
      </c>
      <c r="B2503" s="35" t="s">
        <v>654</v>
      </c>
      <c r="C2503" s="35" t="s">
        <v>655</v>
      </c>
      <c r="D2503" s="39">
        <v>79.760002136230469</v>
      </c>
      <c r="E2503" s="39">
        <v>67.633255004882813</v>
      </c>
      <c r="F2503" s="41">
        <v>445365</v>
      </c>
      <c r="G2503" s="35" t="s">
        <v>679</v>
      </c>
      <c r="H2503" s="35" t="s">
        <v>115</v>
      </c>
    </row>
    <row r="2504" spans="1:8">
      <c r="A2504" s="37">
        <v>41912.15625</v>
      </c>
      <c r="B2504" s="35" t="s">
        <v>654</v>
      </c>
      <c r="C2504" s="35" t="s">
        <v>655</v>
      </c>
      <c r="D2504" s="39">
        <v>80.050003051757813</v>
      </c>
      <c r="E2504" s="39">
        <v>67.879158020019531</v>
      </c>
      <c r="F2504" s="41">
        <v>562575</v>
      </c>
      <c r="G2504" s="35" t="s">
        <v>679</v>
      </c>
      <c r="H2504" s="35" t="s">
        <v>115</v>
      </c>
    </row>
    <row r="2505" spans="1:8">
      <c r="A2505" s="37">
        <v>41913.15625</v>
      </c>
      <c r="B2505" s="35" t="s">
        <v>654</v>
      </c>
      <c r="C2505" s="35" t="s">
        <v>655</v>
      </c>
      <c r="D2505" s="39">
        <v>82.290000915527344</v>
      </c>
      <c r="E2505" s="39">
        <v>69.778572082519531</v>
      </c>
      <c r="F2505" s="41">
        <v>853580</v>
      </c>
      <c r="G2505" s="35" t="s">
        <v>679</v>
      </c>
      <c r="H2505" s="35" t="s">
        <v>115</v>
      </c>
    </row>
    <row r="2506" spans="1:8">
      <c r="A2506" s="37">
        <v>41919.15625</v>
      </c>
      <c r="B2506" s="35" t="s">
        <v>654</v>
      </c>
      <c r="C2506" s="35" t="s">
        <v>655</v>
      </c>
      <c r="D2506" s="39">
        <v>79.400001525878906</v>
      </c>
      <c r="E2506" s="39">
        <v>67.327980041503906</v>
      </c>
      <c r="F2506" s="41">
        <v>253795</v>
      </c>
      <c r="G2506" s="35" t="s">
        <v>679</v>
      </c>
      <c r="H2506" s="35" t="s">
        <v>115</v>
      </c>
    </row>
    <row r="2507" spans="1:8">
      <c r="A2507" s="37">
        <v>41920.15625</v>
      </c>
      <c r="B2507" s="35" t="s">
        <v>654</v>
      </c>
      <c r="C2507" s="35" t="s">
        <v>655</v>
      </c>
      <c r="D2507" s="39">
        <v>80.040000915527344</v>
      </c>
      <c r="E2507" s="39">
        <v>67.870681762695313</v>
      </c>
      <c r="F2507" s="41">
        <v>853755</v>
      </c>
      <c r="G2507" s="35" t="s">
        <v>679</v>
      </c>
      <c r="H2507" s="35" t="s">
        <v>115</v>
      </c>
    </row>
    <row r="2508" spans="1:8">
      <c r="A2508" s="37">
        <v>41921.15625</v>
      </c>
      <c r="B2508" s="35" t="s">
        <v>654</v>
      </c>
      <c r="C2508" s="35" t="s">
        <v>655</v>
      </c>
      <c r="D2508" s="39">
        <v>80.75</v>
      </c>
      <c r="E2508" s="39">
        <v>68.47271728515625</v>
      </c>
      <c r="F2508" s="41">
        <v>266415</v>
      </c>
      <c r="G2508" s="35" t="s">
        <v>679</v>
      </c>
      <c r="H2508" s="35" t="s">
        <v>115</v>
      </c>
    </row>
    <row r="2509" spans="1:8">
      <c r="A2509" s="37">
        <v>41922.15625</v>
      </c>
      <c r="B2509" s="35" t="s">
        <v>654</v>
      </c>
      <c r="C2509" s="35" t="s">
        <v>655</v>
      </c>
      <c r="D2509" s="39">
        <v>78.430000305175781</v>
      </c>
      <c r="E2509" s="39">
        <v>66.505462646484375</v>
      </c>
      <c r="F2509" s="41">
        <v>321850</v>
      </c>
      <c r="G2509" s="35" t="s">
        <v>679</v>
      </c>
      <c r="H2509" s="35" t="s">
        <v>115</v>
      </c>
    </row>
    <row r="2510" spans="1:8">
      <c r="A2510" s="37">
        <v>41925.15625</v>
      </c>
      <c r="B2510" s="35" t="s">
        <v>654</v>
      </c>
      <c r="C2510" s="35" t="s">
        <v>655</v>
      </c>
      <c r="D2510" s="39">
        <v>80.540000915527344</v>
      </c>
      <c r="E2510" s="39">
        <v>68.294654846191406</v>
      </c>
      <c r="F2510" s="41">
        <v>383370</v>
      </c>
      <c r="G2510" s="35" t="s">
        <v>679</v>
      </c>
      <c r="H2510" s="35" t="s">
        <v>115</v>
      </c>
    </row>
    <row r="2511" spans="1:8">
      <c r="A2511" s="37">
        <v>41926.15625</v>
      </c>
      <c r="B2511" s="35" t="s">
        <v>654</v>
      </c>
      <c r="C2511" s="35" t="s">
        <v>655</v>
      </c>
      <c r="D2511" s="39">
        <v>78.739997863769531</v>
      </c>
      <c r="E2511" s="39">
        <v>66.768325805664063</v>
      </c>
      <c r="F2511" s="41">
        <v>673050</v>
      </c>
      <c r="G2511" s="35" t="s">
        <v>679</v>
      </c>
      <c r="H2511" s="35" t="s">
        <v>115</v>
      </c>
    </row>
    <row r="2512" spans="1:8">
      <c r="A2512" s="37">
        <v>41927.15625</v>
      </c>
      <c r="B2512" s="35" t="s">
        <v>654</v>
      </c>
      <c r="C2512" s="35" t="s">
        <v>655</v>
      </c>
      <c r="D2512" s="39">
        <v>78.739997863769531</v>
      </c>
      <c r="E2512" s="39">
        <v>66.768325805664063</v>
      </c>
      <c r="F2512" s="41">
        <v>0</v>
      </c>
      <c r="G2512" s="35" t="s">
        <v>679</v>
      </c>
      <c r="H2512" s="35" t="s">
        <v>115</v>
      </c>
    </row>
    <row r="2513" spans="1:8">
      <c r="A2513" s="37">
        <v>41928.15625</v>
      </c>
      <c r="B2513" s="35" t="s">
        <v>654</v>
      </c>
      <c r="C2513" s="35" t="s">
        <v>655</v>
      </c>
      <c r="D2513" s="39">
        <v>75.389999389648438</v>
      </c>
      <c r="E2513" s="39">
        <v>63.927650451660156</v>
      </c>
      <c r="F2513" s="41">
        <v>1538220</v>
      </c>
      <c r="G2513" s="35" t="s">
        <v>679</v>
      </c>
      <c r="H2513" s="35" t="s">
        <v>115</v>
      </c>
    </row>
    <row r="2514" spans="1:8">
      <c r="A2514" s="37">
        <v>41929.15625</v>
      </c>
      <c r="B2514" s="35" t="s">
        <v>654</v>
      </c>
      <c r="C2514" s="35" t="s">
        <v>655</v>
      </c>
      <c r="D2514" s="39">
        <v>75.569999694824219</v>
      </c>
      <c r="E2514" s="39">
        <v>64.080284118652344</v>
      </c>
      <c r="F2514" s="41">
        <v>558445</v>
      </c>
      <c r="G2514" s="35" t="s">
        <v>679</v>
      </c>
      <c r="H2514" s="35" t="s">
        <v>115</v>
      </c>
    </row>
    <row r="2515" spans="1:8">
      <c r="A2515" s="37">
        <v>41932.15625</v>
      </c>
      <c r="B2515" s="35" t="s">
        <v>654</v>
      </c>
      <c r="C2515" s="35" t="s">
        <v>655</v>
      </c>
      <c r="D2515" s="39">
        <v>74.389999389648438</v>
      </c>
      <c r="E2515" s="39">
        <v>63.079704284667969</v>
      </c>
      <c r="F2515" s="41">
        <v>171470</v>
      </c>
      <c r="G2515" s="35" t="s">
        <v>679</v>
      </c>
      <c r="H2515" s="35" t="s">
        <v>115</v>
      </c>
    </row>
    <row r="2516" spans="1:8">
      <c r="A2516" s="37">
        <v>41933.15625</v>
      </c>
      <c r="B2516" s="35" t="s">
        <v>654</v>
      </c>
      <c r="C2516" s="35" t="s">
        <v>655</v>
      </c>
      <c r="D2516" s="39">
        <v>72.790000915527344</v>
      </c>
      <c r="E2516" s="39">
        <v>61.722969055175781</v>
      </c>
      <c r="F2516" s="41">
        <v>570960</v>
      </c>
      <c r="G2516" s="35" t="s">
        <v>679</v>
      </c>
      <c r="H2516" s="35" t="s">
        <v>115</v>
      </c>
    </row>
    <row r="2517" spans="1:8">
      <c r="A2517" s="37">
        <v>41934.15625</v>
      </c>
      <c r="B2517" s="35" t="s">
        <v>654</v>
      </c>
      <c r="C2517" s="35" t="s">
        <v>655</v>
      </c>
      <c r="D2517" s="39">
        <v>72.870002746582031</v>
      </c>
      <c r="E2517" s="39">
        <v>61.790798187255859</v>
      </c>
      <c r="F2517" s="41">
        <v>315845</v>
      </c>
      <c r="G2517" s="35" t="s">
        <v>679</v>
      </c>
      <c r="H2517" s="35" t="s">
        <v>115</v>
      </c>
    </row>
    <row r="2518" spans="1:8">
      <c r="A2518" s="37">
        <v>41939.15625</v>
      </c>
      <c r="B2518" s="35" t="s">
        <v>654</v>
      </c>
      <c r="C2518" s="35" t="s">
        <v>655</v>
      </c>
      <c r="D2518" s="39">
        <v>73.44000244140625</v>
      </c>
      <c r="E2518" s="39">
        <v>62.274127960205078</v>
      </c>
      <c r="F2518" s="41">
        <v>166365</v>
      </c>
      <c r="G2518" s="35" t="s">
        <v>679</v>
      </c>
      <c r="H2518" s="35" t="s">
        <v>115</v>
      </c>
    </row>
    <row r="2519" spans="1:8">
      <c r="A2519" s="37">
        <v>41940.15625</v>
      </c>
      <c r="B2519" s="35" t="s">
        <v>654</v>
      </c>
      <c r="C2519" s="35" t="s">
        <v>655</v>
      </c>
      <c r="D2519" s="39">
        <v>73.839996337890625</v>
      </c>
      <c r="E2519" s="39">
        <v>62.613319396972656</v>
      </c>
      <c r="F2519" s="41">
        <v>307895</v>
      </c>
      <c r="G2519" s="35" t="s">
        <v>679</v>
      </c>
      <c r="H2519" s="35" t="s">
        <v>115</v>
      </c>
    </row>
    <row r="2520" spans="1:8">
      <c r="A2520" s="37">
        <v>41941.15625</v>
      </c>
      <c r="B2520" s="35" t="s">
        <v>654</v>
      </c>
      <c r="C2520" s="35" t="s">
        <v>655</v>
      </c>
      <c r="D2520" s="39">
        <v>76.290000915527344</v>
      </c>
      <c r="E2520" s="39">
        <v>64.690826416015625</v>
      </c>
      <c r="F2520" s="41">
        <v>395950</v>
      </c>
      <c r="G2520" s="35" t="s">
        <v>679</v>
      </c>
      <c r="H2520" s="35" t="s">
        <v>115</v>
      </c>
    </row>
    <row r="2521" spans="1:8">
      <c r="A2521" s="37">
        <v>41942.15625</v>
      </c>
      <c r="B2521" s="35" t="s">
        <v>654</v>
      </c>
      <c r="C2521" s="35" t="s">
        <v>655</v>
      </c>
      <c r="D2521" s="39">
        <v>75.620002746582031</v>
      </c>
      <c r="E2521" s="39">
        <v>64.1226806640625</v>
      </c>
      <c r="F2521" s="41">
        <v>204125</v>
      </c>
      <c r="G2521" s="35" t="s">
        <v>679</v>
      </c>
      <c r="H2521" s="35" t="s">
        <v>115</v>
      </c>
    </row>
    <row r="2522" spans="1:8">
      <c r="A2522" s="37">
        <v>41943.15625</v>
      </c>
      <c r="B2522" s="35" t="s">
        <v>654</v>
      </c>
      <c r="C2522" s="35" t="s">
        <v>655</v>
      </c>
      <c r="D2522" s="39">
        <v>77.290000915527344</v>
      </c>
      <c r="E2522" s="39">
        <v>65.538772583007813</v>
      </c>
      <c r="F2522" s="41">
        <v>537605</v>
      </c>
      <c r="G2522" s="35" t="s">
        <v>679</v>
      </c>
      <c r="H2522" s="35" t="s">
        <v>115</v>
      </c>
    </row>
    <row r="2523" spans="1:8">
      <c r="A2523" s="37">
        <v>41946.15625</v>
      </c>
      <c r="B2523" s="35" t="s">
        <v>654</v>
      </c>
      <c r="C2523" s="35" t="s">
        <v>655</v>
      </c>
      <c r="D2523" s="39">
        <v>77.660003662109375</v>
      </c>
      <c r="E2523" s="39">
        <v>65.852531433105469</v>
      </c>
      <c r="F2523" s="41">
        <v>141695</v>
      </c>
      <c r="G2523" s="35" t="s">
        <v>679</v>
      </c>
      <c r="H2523" s="35" t="s">
        <v>115</v>
      </c>
    </row>
    <row r="2524" spans="1:8">
      <c r="A2524" s="37">
        <v>41948.15625</v>
      </c>
      <c r="B2524" s="35" t="s">
        <v>654</v>
      </c>
      <c r="C2524" s="35" t="s">
        <v>655</v>
      </c>
      <c r="D2524" s="39">
        <v>77.709999084472656</v>
      </c>
      <c r="E2524" s="39">
        <v>65.894920349121094</v>
      </c>
      <c r="F2524" s="41">
        <v>138800</v>
      </c>
      <c r="G2524" s="35" t="s">
        <v>679</v>
      </c>
      <c r="H2524" s="35" t="s">
        <v>115</v>
      </c>
    </row>
    <row r="2525" spans="1:8">
      <c r="A2525" s="37">
        <v>41950.15625</v>
      </c>
      <c r="B2525" s="35" t="s">
        <v>654</v>
      </c>
      <c r="C2525" s="35" t="s">
        <v>655</v>
      </c>
      <c r="D2525" s="39">
        <v>77.430000305175781</v>
      </c>
      <c r="E2525" s="39">
        <v>65.657524108886719</v>
      </c>
      <c r="F2525" s="41">
        <v>225705</v>
      </c>
      <c r="G2525" s="35" t="s">
        <v>679</v>
      </c>
      <c r="H2525" s="35" t="s">
        <v>115</v>
      </c>
    </row>
    <row r="2526" spans="1:8">
      <c r="A2526" s="37">
        <v>41953.15625</v>
      </c>
      <c r="B2526" s="35" t="s">
        <v>654</v>
      </c>
      <c r="C2526" s="35" t="s">
        <v>655</v>
      </c>
      <c r="D2526" s="39">
        <v>76.970001220703125</v>
      </c>
      <c r="E2526" s="39">
        <v>65.267440795898438</v>
      </c>
      <c r="F2526" s="41">
        <v>147620</v>
      </c>
      <c r="G2526" s="35" t="s">
        <v>679</v>
      </c>
      <c r="H2526" s="35" t="s">
        <v>115</v>
      </c>
    </row>
    <row r="2527" spans="1:8">
      <c r="A2527" s="37">
        <v>41954.15625</v>
      </c>
      <c r="B2527" s="35" t="s">
        <v>654</v>
      </c>
      <c r="C2527" s="35" t="s">
        <v>655</v>
      </c>
      <c r="D2527" s="39">
        <v>76.930000305175781</v>
      </c>
      <c r="E2527" s="39">
        <v>65.233528137207031</v>
      </c>
      <c r="F2527" s="41">
        <v>133215</v>
      </c>
      <c r="G2527" s="35" t="s">
        <v>679</v>
      </c>
      <c r="H2527" s="35" t="s">
        <v>115</v>
      </c>
    </row>
    <row r="2528" spans="1:8">
      <c r="A2528" s="37">
        <v>41955.15625</v>
      </c>
      <c r="B2528" s="35" t="s">
        <v>654</v>
      </c>
      <c r="C2528" s="35" t="s">
        <v>655</v>
      </c>
      <c r="D2528" s="39">
        <v>78.239997863769531</v>
      </c>
      <c r="E2528" s="39">
        <v>66.344337463378906</v>
      </c>
      <c r="F2528" s="41">
        <v>324015</v>
      </c>
      <c r="G2528" s="35" t="s">
        <v>679</v>
      </c>
      <c r="H2528" s="35" t="s">
        <v>115</v>
      </c>
    </row>
    <row r="2529" spans="1:8">
      <c r="A2529" s="37">
        <v>41956.15625</v>
      </c>
      <c r="B2529" s="35" t="s">
        <v>654</v>
      </c>
      <c r="C2529" s="35" t="s">
        <v>655</v>
      </c>
      <c r="D2529" s="39">
        <v>80.319999694824219</v>
      </c>
      <c r="E2529" s="39">
        <v>68.108100891113281</v>
      </c>
      <c r="F2529" s="41">
        <v>731460</v>
      </c>
      <c r="G2529" s="35" t="s">
        <v>679</v>
      </c>
      <c r="H2529" s="35" t="s">
        <v>115</v>
      </c>
    </row>
    <row r="2530" spans="1:8">
      <c r="A2530" s="37">
        <v>41957.15625</v>
      </c>
      <c r="B2530" s="35" t="s">
        <v>654</v>
      </c>
      <c r="C2530" s="35" t="s">
        <v>655</v>
      </c>
      <c r="D2530" s="39">
        <v>80.099998474121094</v>
      </c>
      <c r="E2530" s="39">
        <v>67.921562194824219</v>
      </c>
      <c r="F2530" s="41">
        <v>618310</v>
      </c>
      <c r="G2530" s="35" t="s">
        <v>679</v>
      </c>
      <c r="H2530" s="35" t="s">
        <v>115</v>
      </c>
    </row>
    <row r="2531" spans="1:8">
      <c r="A2531" s="37">
        <v>41960.15625</v>
      </c>
      <c r="B2531" s="35" t="s">
        <v>654</v>
      </c>
      <c r="C2531" s="35" t="s">
        <v>655</v>
      </c>
      <c r="D2531" s="39">
        <v>79.180000305175781</v>
      </c>
      <c r="E2531" s="39">
        <v>67.141426086425781</v>
      </c>
      <c r="F2531" s="41">
        <v>188170</v>
      </c>
      <c r="G2531" s="35" t="s">
        <v>679</v>
      </c>
      <c r="H2531" s="35" t="s">
        <v>115</v>
      </c>
    </row>
    <row r="2532" spans="1:8">
      <c r="A2532" s="37">
        <v>41961.15625</v>
      </c>
      <c r="B2532" s="35" t="s">
        <v>654</v>
      </c>
      <c r="C2532" s="35" t="s">
        <v>655</v>
      </c>
      <c r="D2532" s="39">
        <v>78.540000915527344</v>
      </c>
      <c r="E2532" s="39">
        <v>66.598731994628906</v>
      </c>
      <c r="F2532" s="41">
        <v>194420</v>
      </c>
      <c r="G2532" s="35" t="s">
        <v>679</v>
      </c>
      <c r="H2532" s="35" t="s">
        <v>115</v>
      </c>
    </row>
    <row r="2533" spans="1:8">
      <c r="A2533" s="37">
        <v>41962.15625</v>
      </c>
      <c r="B2533" s="35" t="s">
        <v>654</v>
      </c>
      <c r="C2533" s="35" t="s">
        <v>655</v>
      </c>
      <c r="D2533" s="39">
        <v>77.620002746582031</v>
      </c>
      <c r="E2533" s="39">
        <v>65.818611145019531</v>
      </c>
      <c r="F2533" s="41">
        <v>137375</v>
      </c>
      <c r="G2533" s="35" t="s">
        <v>679</v>
      </c>
      <c r="H2533" s="35" t="s">
        <v>115</v>
      </c>
    </row>
    <row r="2534" spans="1:8">
      <c r="A2534" s="37">
        <v>41963.15625</v>
      </c>
      <c r="B2534" s="35" t="s">
        <v>654</v>
      </c>
      <c r="C2534" s="35" t="s">
        <v>655</v>
      </c>
      <c r="D2534" s="39">
        <v>78.680000305175781</v>
      </c>
      <c r="E2534" s="39">
        <v>66.717437744140625</v>
      </c>
      <c r="F2534" s="41">
        <v>131560</v>
      </c>
      <c r="G2534" s="35" t="s">
        <v>679</v>
      </c>
      <c r="H2534" s="35" t="s">
        <v>115</v>
      </c>
    </row>
    <row r="2535" spans="1:8">
      <c r="A2535" s="37">
        <v>41964.15625</v>
      </c>
      <c r="B2535" s="35" t="s">
        <v>654</v>
      </c>
      <c r="C2535" s="35" t="s">
        <v>655</v>
      </c>
      <c r="D2535" s="39">
        <v>75.839996337890625</v>
      </c>
      <c r="E2535" s="39">
        <v>64.309234619140625</v>
      </c>
      <c r="F2535" s="41">
        <v>810020</v>
      </c>
      <c r="G2535" s="35" t="s">
        <v>679</v>
      </c>
      <c r="H2535" s="35" t="s">
        <v>115</v>
      </c>
    </row>
    <row r="2536" spans="1:8">
      <c r="A2536" s="37">
        <v>41967.15625</v>
      </c>
      <c r="B2536" s="35" t="s">
        <v>654</v>
      </c>
      <c r="C2536" s="35" t="s">
        <v>655</v>
      </c>
      <c r="D2536" s="39">
        <v>76.379997253417969</v>
      </c>
      <c r="E2536" s="39">
        <v>64.76715087890625</v>
      </c>
      <c r="F2536" s="41">
        <v>158775</v>
      </c>
      <c r="G2536" s="35" t="s">
        <v>679</v>
      </c>
      <c r="H2536" s="35" t="s">
        <v>115</v>
      </c>
    </row>
    <row r="2537" spans="1:8">
      <c r="A2537" s="37">
        <v>41968.15625</v>
      </c>
      <c r="B2537" s="35" t="s">
        <v>654</v>
      </c>
      <c r="C2537" s="35" t="s">
        <v>655</v>
      </c>
      <c r="D2537" s="39">
        <v>75.629997253417969</v>
      </c>
      <c r="E2537" s="39">
        <v>64.131149291992188</v>
      </c>
      <c r="F2537" s="41">
        <v>313815</v>
      </c>
      <c r="G2537" s="35" t="s">
        <v>679</v>
      </c>
      <c r="H2537" s="35" t="s">
        <v>115</v>
      </c>
    </row>
    <row r="2538" spans="1:8">
      <c r="A2538" s="37">
        <v>41969.15625</v>
      </c>
      <c r="B2538" s="35" t="s">
        <v>654</v>
      </c>
      <c r="C2538" s="35" t="s">
        <v>655</v>
      </c>
      <c r="D2538" s="39">
        <v>75.519996643066406</v>
      </c>
      <c r="E2538" s="39">
        <v>64.037879943847656</v>
      </c>
      <c r="F2538" s="41">
        <v>58950</v>
      </c>
      <c r="G2538" s="35" t="s">
        <v>679</v>
      </c>
      <c r="H2538" s="35" t="s">
        <v>115</v>
      </c>
    </row>
    <row r="2539" spans="1:8">
      <c r="A2539" s="37">
        <v>41970.15625</v>
      </c>
      <c r="B2539" s="35" t="s">
        <v>654</v>
      </c>
      <c r="C2539" s="35" t="s">
        <v>655</v>
      </c>
      <c r="D2539" s="39">
        <v>75.459999084472656</v>
      </c>
      <c r="E2539" s="39">
        <v>63.98699951171875</v>
      </c>
      <c r="F2539" s="41">
        <v>103380</v>
      </c>
      <c r="G2539" s="35" t="s">
        <v>679</v>
      </c>
      <c r="H2539" s="35" t="s">
        <v>115</v>
      </c>
    </row>
    <row r="2540" spans="1:8">
      <c r="A2540" s="37">
        <v>41971.15625</v>
      </c>
      <c r="B2540" s="35" t="s">
        <v>654</v>
      </c>
      <c r="C2540" s="35" t="s">
        <v>655</v>
      </c>
      <c r="D2540" s="39">
        <v>76.110000610351563</v>
      </c>
      <c r="E2540" s="39">
        <v>64.538192749023438</v>
      </c>
      <c r="F2540" s="41">
        <v>461335</v>
      </c>
      <c r="G2540" s="35" t="s">
        <v>679</v>
      </c>
      <c r="H2540" s="35" t="s">
        <v>115</v>
      </c>
    </row>
    <row r="2541" spans="1:8">
      <c r="A2541" s="37">
        <v>41974.15625</v>
      </c>
      <c r="B2541" s="35" t="s">
        <v>654</v>
      </c>
      <c r="C2541" s="35" t="s">
        <v>655</v>
      </c>
      <c r="D2541" s="39">
        <v>74.089996337890625</v>
      </c>
      <c r="E2541" s="39">
        <v>62.825309753417969</v>
      </c>
      <c r="F2541" s="41">
        <v>628360</v>
      </c>
      <c r="G2541" s="35" t="s">
        <v>679</v>
      </c>
      <c r="H2541" s="35" t="s">
        <v>115</v>
      </c>
    </row>
    <row r="2542" spans="1:8">
      <c r="A2542" s="37">
        <v>41975.15625</v>
      </c>
      <c r="B2542" s="35" t="s">
        <v>654</v>
      </c>
      <c r="C2542" s="35" t="s">
        <v>655</v>
      </c>
      <c r="D2542" s="39">
        <v>74.19000244140625</v>
      </c>
      <c r="E2542" s="39">
        <v>62.910110473632813</v>
      </c>
      <c r="F2542" s="41">
        <v>105925</v>
      </c>
      <c r="G2542" s="35" t="s">
        <v>679</v>
      </c>
      <c r="H2542" s="35" t="s">
        <v>115</v>
      </c>
    </row>
    <row r="2543" spans="1:8">
      <c r="A2543" s="37">
        <v>41976.15625</v>
      </c>
      <c r="B2543" s="35" t="s">
        <v>654</v>
      </c>
      <c r="C2543" s="35" t="s">
        <v>655</v>
      </c>
      <c r="D2543" s="39">
        <v>74.760002136230469</v>
      </c>
      <c r="E2543" s="39">
        <v>63.393455505371094</v>
      </c>
      <c r="F2543" s="41">
        <v>235190</v>
      </c>
      <c r="G2543" s="35" t="s">
        <v>679</v>
      </c>
      <c r="H2543" s="35" t="s">
        <v>115</v>
      </c>
    </row>
    <row r="2544" spans="1:8">
      <c r="A2544" s="37">
        <v>41977.15625</v>
      </c>
      <c r="B2544" s="35" t="s">
        <v>654</v>
      </c>
      <c r="C2544" s="35" t="s">
        <v>655</v>
      </c>
      <c r="D2544" s="39">
        <v>74.889999389648438</v>
      </c>
      <c r="E2544" s="39">
        <v>63.503681182861328</v>
      </c>
      <c r="F2544" s="41">
        <v>170130</v>
      </c>
      <c r="G2544" s="35" t="s">
        <v>679</v>
      </c>
      <c r="H2544" s="35" t="s">
        <v>115</v>
      </c>
    </row>
    <row r="2545" spans="1:8">
      <c r="A2545" s="37">
        <v>41978.15625</v>
      </c>
      <c r="B2545" s="35" t="s">
        <v>654</v>
      </c>
      <c r="C2545" s="35" t="s">
        <v>655</v>
      </c>
      <c r="D2545" s="39">
        <v>73.459999084472656</v>
      </c>
      <c r="E2545" s="39">
        <v>62.291099548339844</v>
      </c>
      <c r="F2545" s="41">
        <v>360075</v>
      </c>
      <c r="G2545" s="35" t="s">
        <v>679</v>
      </c>
      <c r="H2545" s="35" t="s">
        <v>115</v>
      </c>
    </row>
    <row r="2546" spans="1:8">
      <c r="A2546" s="37">
        <v>41981.15625</v>
      </c>
      <c r="B2546" s="35" t="s">
        <v>654</v>
      </c>
      <c r="C2546" s="35" t="s">
        <v>655</v>
      </c>
      <c r="D2546" s="39">
        <v>73.589996337890625</v>
      </c>
      <c r="E2546" s="39">
        <v>62.401344299316406</v>
      </c>
      <c r="F2546" s="41">
        <v>298225</v>
      </c>
      <c r="G2546" s="35" t="s">
        <v>679</v>
      </c>
      <c r="H2546" s="35" t="s">
        <v>115</v>
      </c>
    </row>
    <row r="2547" spans="1:8">
      <c r="A2547" s="37">
        <v>41982.15625</v>
      </c>
      <c r="B2547" s="35" t="s">
        <v>654</v>
      </c>
      <c r="C2547" s="35" t="s">
        <v>655</v>
      </c>
      <c r="D2547" s="39">
        <v>74.360000610351563</v>
      </c>
      <c r="E2547" s="39">
        <v>63.054267883300781</v>
      </c>
      <c r="F2547" s="41">
        <v>446100</v>
      </c>
      <c r="G2547" s="35" t="s">
        <v>679</v>
      </c>
      <c r="H2547" s="35" t="s">
        <v>115</v>
      </c>
    </row>
    <row r="2548" spans="1:8">
      <c r="A2548" s="37">
        <v>41983.15625</v>
      </c>
      <c r="B2548" s="35" t="s">
        <v>654</v>
      </c>
      <c r="C2548" s="35" t="s">
        <v>655</v>
      </c>
      <c r="D2548" s="39">
        <v>73.919998168945313</v>
      </c>
      <c r="E2548" s="39">
        <v>62.681159973144531</v>
      </c>
      <c r="F2548" s="41">
        <v>177575</v>
      </c>
      <c r="G2548" s="35" t="s">
        <v>679</v>
      </c>
      <c r="H2548" s="35" t="s">
        <v>115</v>
      </c>
    </row>
    <row r="2549" spans="1:8">
      <c r="A2549" s="37">
        <v>41984.15625</v>
      </c>
      <c r="B2549" s="35" t="s">
        <v>654</v>
      </c>
      <c r="C2549" s="35" t="s">
        <v>655</v>
      </c>
      <c r="D2549" s="39">
        <v>73.660003662109375</v>
      </c>
      <c r="E2549" s="39">
        <v>62.460708618164063</v>
      </c>
      <c r="F2549" s="41">
        <v>433000</v>
      </c>
      <c r="G2549" s="35" t="s">
        <v>679</v>
      </c>
      <c r="H2549" s="35" t="s">
        <v>115</v>
      </c>
    </row>
    <row r="2550" spans="1:8">
      <c r="A2550" s="37">
        <v>41985.15625</v>
      </c>
      <c r="B2550" s="35" t="s">
        <v>654</v>
      </c>
      <c r="C2550" s="35" t="s">
        <v>655</v>
      </c>
      <c r="D2550" s="39">
        <v>73.480003356933594</v>
      </c>
      <c r="E2550" s="39">
        <v>62.308071136474609</v>
      </c>
      <c r="F2550" s="41">
        <v>262600</v>
      </c>
      <c r="G2550" s="35" t="s">
        <v>679</v>
      </c>
      <c r="H2550" s="35" t="s">
        <v>115</v>
      </c>
    </row>
    <row r="2551" spans="1:8">
      <c r="A2551" s="37">
        <v>41988.15625</v>
      </c>
      <c r="B2551" s="35" t="s">
        <v>654</v>
      </c>
      <c r="C2551" s="35" t="s">
        <v>655</v>
      </c>
      <c r="D2551" s="39">
        <v>70.519996643066406</v>
      </c>
      <c r="E2551" s="39">
        <v>59.798095703125</v>
      </c>
      <c r="F2551" s="41">
        <v>455535</v>
      </c>
      <c r="G2551" s="35" t="s">
        <v>679</v>
      </c>
      <c r="H2551" s="35" t="s">
        <v>115</v>
      </c>
    </row>
    <row r="2552" spans="1:8">
      <c r="A2552" s="37">
        <v>41989.15625</v>
      </c>
      <c r="B2552" s="35" t="s">
        <v>654</v>
      </c>
      <c r="C2552" s="35" t="s">
        <v>655</v>
      </c>
      <c r="D2552" s="39">
        <v>69.540000915527344</v>
      </c>
      <c r="E2552" s="39">
        <v>58.967105865478516</v>
      </c>
      <c r="F2552" s="41">
        <v>389985</v>
      </c>
      <c r="G2552" s="35" t="s">
        <v>679</v>
      </c>
      <c r="H2552" s="35" t="s">
        <v>115</v>
      </c>
    </row>
    <row r="2553" spans="1:8">
      <c r="A2553" s="37">
        <v>41990.15625</v>
      </c>
      <c r="B2553" s="35" t="s">
        <v>654</v>
      </c>
      <c r="C2553" s="35" t="s">
        <v>655</v>
      </c>
      <c r="D2553" s="39">
        <v>68.55999755859375</v>
      </c>
      <c r="E2553" s="39">
        <v>58.136093139648438</v>
      </c>
      <c r="F2553" s="41">
        <v>1315700</v>
      </c>
      <c r="G2553" s="35" t="s">
        <v>679</v>
      </c>
      <c r="H2553" s="35" t="s">
        <v>115</v>
      </c>
    </row>
    <row r="2554" spans="1:8">
      <c r="A2554" s="37">
        <v>41991.15625</v>
      </c>
      <c r="B2554" s="35" t="s">
        <v>654</v>
      </c>
      <c r="C2554" s="35" t="s">
        <v>655</v>
      </c>
      <c r="D2554" s="39">
        <v>69.860000610351563</v>
      </c>
      <c r="E2554" s="39">
        <v>59.238441467285156</v>
      </c>
      <c r="F2554" s="41">
        <v>297020</v>
      </c>
      <c r="G2554" s="35" t="s">
        <v>679</v>
      </c>
      <c r="H2554" s="35" t="s">
        <v>115</v>
      </c>
    </row>
    <row r="2555" spans="1:8">
      <c r="A2555" s="37">
        <v>41992.15625</v>
      </c>
      <c r="B2555" s="35" t="s">
        <v>654</v>
      </c>
      <c r="C2555" s="35" t="s">
        <v>655</v>
      </c>
      <c r="D2555" s="39">
        <v>69.349998474121094</v>
      </c>
      <c r="E2555" s="39">
        <v>58.805973052978516</v>
      </c>
      <c r="F2555" s="41">
        <v>478235</v>
      </c>
      <c r="G2555" s="35" t="s">
        <v>679</v>
      </c>
      <c r="H2555" s="35" t="s">
        <v>115</v>
      </c>
    </row>
    <row r="2556" spans="1:8">
      <c r="A2556" s="37">
        <v>41995.15625</v>
      </c>
      <c r="B2556" s="35" t="s">
        <v>654</v>
      </c>
      <c r="C2556" s="35" t="s">
        <v>655</v>
      </c>
      <c r="D2556" s="39">
        <v>69</v>
      </c>
      <c r="E2556" s="39">
        <v>58.509208679199219</v>
      </c>
      <c r="F2556" s="41">
        <v>353280</v>
      </c>
      <c r="G2556" s="35" t="s">
        <v>679</v>
      </c>
      <c r="H2556" s="35" t="s">
        <v>115</v>
      </c>
    </row>
    <row r="2557" spans="1:8">
      <c r="A2557" s="37">
        <v>41996.15625</v>
      </c>
      <c r="B2557" s="35" t="s">
        <v>654</v>
      </c>
      <c r="C2557" s="35" t="s">
        <v>655</v>
      </c>
      <c r="D2557" s="39">
        <v>69</v>
      </c>
      <c r="E2557" s="39">
        <v>58.509208679199219</v>
      </c>
      <c r="F2557" s="41">
        <v>107465</v>
      </c>
      <c r="G2557" s="35" t="s">
        <v>679</v>
      </c>
      <c r="H2557" s="35" t="s">
        <v>115</v>
      </c>
    </row>
    <row r="2558" spans="1:8">
      <c r="A2558" s="37">
        <v>41997.15625</v>
      </c>
      <c r="B2558" s="35" t="s">
        <v>654</v>
      </c>
      <c r="C2558" s="35" t="s">
        <v>655</v>
      </c>
      <c r="D2558" s="39">
        <v>67.970001220703125</v>
      </c>
      <c r="E2558" s="39">
        <v>57.635814666748047</v>
      </c>
      <c r="F2558" s="41">
        <v>208810</v>
      </c>
      <c r="G2558" s="35" t="s">
        <v>679</v>
      </c>
      <c r="H2558" s="35" t="s">
        <v>115</v>
      </c>
    </row>
    <row r="2559" spans="1:8">
      <c r="A2559" s="37">
        <v>41999.15625</v>
      </c>
      <c r="B2559" s="35" t="s">
        <v>654</v>
      </c>
      <c r="C2559" s="35" t="s">
        <v>655</v>
      </c>
      <c r="D2559" s="39">
        <v>68.519996643066406</v>
      </c>
      <c r="E2559" s="39">
        <v>58.102176666259766</v>
      </c>
      <c r="F2559" s="41">
        <v>91090</v>
      </c>
      <c r="G2559" s="35" t="s">
        <v>679</v>
      </c>
      <c r="H2559" s="35" t="s">
        <v>115</v>
      </c>
    </row>
    <row r="2560" spans="1:8">
      <c r="A2560" s="37">
        <v>42002.15625</v>
      </c>
      <c r="B2560" s="35" t="s">
        <v>654</v>
      </c>
      <c r="C2560" s="35" t="s">
        <v>655</v>
      </c>
      <c r="D2560" s="39">
        <v>69.94000244140625</v>
      </c>
      <c r="E2560" s="39">
        <v>59.306278228759766</v>
      </c>
      <c r="F2560" s="41">
        <v>114460</v>
      </c>
      <c r="G2560" s="35" t="s">
        <v>679</v>
      </c>
      <c r="H2560" s="35" t="s">
        <v>115</v>
      </c>
    </row>
    <row r="2561" spans="1:8">
      <c r="A2561" s="37">
        <v>42003.15625</v>
      </c>
      <c r="B2561" s="35" t="s">
        <v>654</v>
      </c>
      <c r="C2561" s="35" t="s">
        <v>655</v>
      </c>
      <c r="D2561" s="39">
        <v>70.709999084472656</v>
      </c>
      <c r="E2561" s="39">
        <v>59.959197998046875</v>
      </c>
      <c r="F2561" s="41">
        <v>973255</v>
      </c>
      <c r="G2561" s="35" t="s">
        <v>679</v>
      </c>
      <c r="H2561" s="35" t="s">
        <v>115</v>
      </c>
    </row>
    <row r="2562" spans="1:8">
      <c r="A2562" s="37">
        <v>42004.15625</v>
      </c>
      <c r="B2562" s="35" t="s">
        <v>654</v>
      </c>
      <c r="C2562" s="35" t="s">
        <v>655</v>
      </c>
      <c r="D2562" s="39">
        <v>74.129997253417969</v>
      </c>
      <c r="E2562" s="39">
        <v>62.859222412109375</v>
      </c>
      <c r="F2562" s="41">
        <v>1275855</v>
      </c>
      <c r="G2562" s="35" t="s">
        <v>679</v>
      </c>
      <c r="H2562" s="35" t="s">
        <v>115</v>
      </c>
    </row>
    <row r="2563" spans="1:8">
      <c r="A2563" s="37">
        <v>42005.15625</v>
      </c>
      <c r="B2563" s="35" t="s">
        <v>654</v>
      </c>
      <c r="C2563" s="35" t="s">
        <v>655</v>
      </c>
      <c r="D2563" s="39">
        <v>73.410003662109375</v>
      </c>
      <c r="E2563" s="39">
        <v>62.248695373535156</v>
      </c>
      <c r="F2563" s="41">
        <v>117770</v>
      </c>
      <c r="G2563" s="35" t="s">
        <v>679</v>
      </c>
      <c r="H2563" s="35" t="s">
        <v>115</v>
      </c>
    </row>
    <row r="2564" spans="1:8">
      <c r="A2564" s="37">
        <v>42006.15625</v>
      </c>
      <c r="B2564" s="35" t="s">
        <v>654</v>
      </c>
      <c r="C2564" s="35" t="s">
        <v>655</v>
      </c>
      <c r="D2564" s="39">
        <v>76.019996643066406</v>
      </c>
      <c r="E2564" s="39">
        <v>64.461868286132813</v>
      </c>
      <c r="F2564" s="41">
        <v>488220</v>
      </c>
      <c r="G2564" s="35" t="s">
        <v>679</v>
      </c>
      <c r="H2564" s="35" t="s">
        <v>115</v>
      </c>
    </row>
    <row r="2565" spans="1:8">
      <c r="A2565" s="37">
        <v>42009.15625</v>
      </c>
      <c r="B2565" s="35" t="s">
        <v>654</v>
      </c>
      <c r="C2565" s="35" t="s">
        <v>655</v>
      </c>
      <c r="D2565" s="39">
        <v>74.930000305175781</v>
      </c>
      <c r="E2565" s="39">
        <v>63.537578582763672</v>
      </c>
      <c r="F2565" s="41">
        <v>292670</v>
      </c>
      <c r="G2565" s="35" t="s">
        <v>679</v>
      </c>
      <c r="H2565" s="35" t="s">
        <v>115</v>
      </c>
    </row>
    <row r="2566" spans="1:8">
      <c r="A2566" s="37">
        <v>42010.15625</v>
      </c>
      <c r="B2566" s="35" t="s">
        <v>654</v>
      </c>
      <c r="C2566" s="35" t="s">
        <v>655</v>
      </c>
      <c r="D2566" s="39">
        <v>72.970001220703125</v>
      </c>
      <c r="E2566" s="39">
        <v>61.875602722167969</v>
      </c>
      <c r="F2566" s="41">
        <v>697405</v>
      </c>
      <c r="G2566" s="35" t="s">
        <v>679</v>
      </c>
      <c r="H2566" s="35" t="s">
        <v>115</v>
      </c>
    </row>
    <row r="2567" spans="1:8">
      <c r="A2567" s="37">
        <v>42011.15625</v>
      </c>
      <c r="B2567" s="35" t="s">
        <v>654</v>
      </c>
      <c r="C2567" s="35" t="s">
        <v>655</v>
      </c>
      <c r="D2567" s="39">
        <v>71.230003356933594</v>
      </c>
      <c r="E2567" s="39">
        <v>60.400157928466797</v>
      </c>
      <c r="F2567" s="41">
        <v>164355</v>
      </c>
      <c r="G2567" s="35" t="s">
        <v>679</v>
      </c>
      <c r="H2567" s="35" t="s">
        <v>115</v>
      </c>
    </row>
    <row r="2568" spans="1:8">
      <c r="A2568" s="37">
        <v>42012.15625</v>
      </c>
      <c r="B2568" s="35" t="s">
        <v>654</v>
      </c>
      <c r="C2568" s="35" t="s">
        <v>655</v>
      </c>
      <c r="D2568" s="39">
        <v>71.900001525878906</v>
      </c>
      <c r="E2568" s="39">
        <v>60.968265533447266</v>
      </c>
      <c r="F2568" s="41">
        <v>89460</v>
      </c>
      <c r="G2568" s="35" t="s">
        <v>679</v>
      </c>
      <c r="H2568" s="35" t="s">
        <v>115</v>
      </c>
    </row>
    <row r="2569" spans="1:8">
      <c r="A2569" s="37">
        <v>42013.15625</v>
      </c>
      <c r="B2569" s="35" t="s">
        <v>654</v>
      </c>
      <c r="C2569" s="35" t="s">
        <v>655</v>
      </c>
      <c r="D2569" s="39">
        <v>71.970001220703125</v>
      </c>
      <c r="E2569" s="39">
        <v>61.027652740478516</v>
      </c>
      <c r="F2569" s="41">
        <v>655695</v>
      </c>
      <c r="G2569" s="35" t="s">
        <v>679</v>
      </c>
      <c r="H2569" s="35" t="s">
        <v>115</v>
      </c>
    </row>
    <row r="2570" spans="1:8">
      <c r="A2570" s="37">
        <v>42016.15625</v>
      </c>
      <c r="B2570" s="35" t="s">
        <v>654</v>
      </c>
      <c r="C2570" s="35" t="s">
        <v>655</v>
      </c>
      <c r="D2570" s="39">
        <v>73.080001831054688</v>
      </c>
      <c r="E2570" s="39">
        <v>61.968883514404297</v>
      </c>
      <c r="F2570" s="41">
        <v>335755</v>
      </c>
      <c r="G2570" s="35" t="s">
        <v>679</v>
      </c>
      <c r="H2570" s="35" t="s">
        <v>115</v>
      </c>
    </row>
    <row r="2571" spans="1:8">
      <c r="A2571" s="37">
        <v>42017.15625</v>
      </c>
      <c r="B2571" s="35" t="s">
        <v>654</v>
      </c>
      <c r="C2571" s="35" t="s">
        <v>655</v>
      </c>
      <c r="D2571" s="39">
        <v>74.019996643066406</v>
      </c>
      <c r="E2571" s="39">
        <v>62.765968322753906</v>
      </c>
      <c r="F2571" s="41">
        <v>201095</v>
      </c>
      <c r="G2571" s="35" t="s">
        <v>679</v>
      </c>
      <c r="H2571" s="35" t="s">
        <v>115</v>
      </c>
    </row>
    <row r="2572" spans="1:8">
      <c r="A2572" s="37">
        <v>42018.15625</v>
      </c>
      <c r="B2572" s="35" t="s">
        <v>654</v>
      </c>
      <c r="C2572" s="35" t="s">
        <v>655</v>
      </c>
      <c r="D2572" s="39">
        <v>76.55999755859375</v>
      </c>
      <c r="E2572" s="39">
        <v>64.919776916503906</v>
      </c>
      <c r="F2572" s="41">
        <v>3775445</v>
      </c>
      <c r="G2572" s="35" t="s">
        <v>679</v>
      </c>
      <c r="H2572" s="35" t="s">
        <v>115</v>
      </c>
    </row>
    <row r="2573" spans="1:8">
      <c r="A2573" s="37">
        <v>42019.15625</v>
      </c>
      <c r="B2573" s="35" t="s">
        <v>654</v>
      </c>
      <c r="C2573" s="35" t="s">
        <v>655</v>
      </c>
      <c r="D2573" s="39">
        <v>74.769996643066406</v>
      </c>
      <c r="E2573" s="39">
        <v>63.40191650390625</v>
      </c>
      <c r="F2573" s="41">
        <v>1785935</v>
      </c>
      <c r="G2573" s="35" t="s">
        <v>679</v>
      </c>
      <c r="H2573" s="35" t="s">
        <v>115</v>
      </c>
    </row>
    <row r="2574" spans="1:8">
      <c r="A2574" s="37">
        <v>42020.15625</v>
      </c>
      <c r="B2574" s="35" t="s">
        <v>654</v>
      </c>
      <c r="C2574" s="35" t="s">
        <v>655</v>
      </c>
      <c r="D2574" s="39">
        <v>74.029998779296875</v>
      </c>
      <c r="E2574" s="39">
        <v>62.774440765380859</v>
      </c>
      <c r="F2574" s="41">
        <v>169030</v>
      </c>
      <c r="G2574" s="35" t="s">
        <v>679</v>
      </c>
      <c r="H2574" s="35" t="s">
        <v>115</v>
      </c>
    </row>
    <row r="2575" spans="1:8">
      <c r="A2575" s="37">
        <v>42023.15625</v>
      </c>
      <c r="B2575" s="35" t="s">
        <v>654</v>
      </c>
      <c r="C2575" s="35" t="s">
        <v>655</v>
      </c>
      <c r="D2575" s="39">
        <v>74.760002136230469</v>
      </c>
      <c r="E2575" s="39">
        <v>63.393455505371094</v>
      </c>
      <c r="F2575" s="41">
        <v>268995</v>
      </c>
      <c r="G2575" s="35" t="s">
        <v>679</v>
      </c>
      <c r="H2575" s="35" t="s">
        <v>115</v>
      </c>
    </row>
    <row r="2576" spans="1:8">
      <c r="A2576" s="37">
        <v>42024.15625</v>
      </c>
      <c r="B2576" s="35" t="s">
        <v>654</v>
      </c>
      <c r="C2576" s="35" t="s">
        <v>655</v>
      </c>
      <c r="D2576" s="39">
        <v>74.839996337890625</v>
      </c>
      <c r="E2576" s="39">
        <v>63.461284637451172</v>
      </c>
      <c r="F2576" s="41">
        <v>1149660</v>
      </c>
      <c r="G2576" s="35" t="s">
        <v>679</v>
      </c>
      <c r="H2576" s="35" t="s">
        <v>115</v>
      </c>
    </row>
    <row r="2577" spans="1:8">
      <c r="A2577" s="37">
        <v>42025.15625</v>
      </c>
      <c r="B2577" s="35" t="s">
        <v>654</v>
      </c>
      <c r="C2577" s="35" t="s">
        <v>655</v>
      </c>
      <c r="D2577" s="39">
        <v>74.449996948242188</v>
      </c>
      <c r="E2577" s="39">
        <v>63.130588531494141</v>
      </c>
      <c r="F2577" s="41">
        <v>686720</v>
      </c>
      <c r="G2577" s="35" t="s">
        <v>679</v>
      </c>
      <c r="H2577" s="35" t="s">
        <v>115</v>
      </c>
    </row>
    <row r="2578" spans="1:8">
      <c r="A2578" s="37">
        <v>42026.15625</v>
      </c>
      <c r="B2578" s="35" t="s">
        <v>654</v>
      </c>
      <c r="C2578" s="35" t="s">
        <v>655</v>
      </c>
      <c r="D2578" s="39">
        <v>74.269996643066406</v>
      </c>
      <c r="E2578" s="39">
        <v>62.977947235107422</v>
      </c>
      <c r="F2578" s="41">
        <v>592445</v>
      </c>
      <c r="G2578" s="35" t="s">
        <v>679</v>
      </c>
      <c r="H2578" s="35" t="s">
        <v>115</v>
      </c>
    </row>
    <row r="2579" spans="1:8">
      <c r="A2579" s="37">
        <v>42027.15625</v>
      </c>
      <c r="B2579" s="35" t="s">
        <v>654</v>
      </c>
      <c r="C2579" s="35" t="s">
        <v>655</v>
      </c>
      <c r="D2579" s="39">
        <v>73.080001831054688</v>
      </c>
      <c r="E2579" s="39">
        <v>61.968883514404297</v>
      </c>
      <c r="F2579" s="41">
        <v>397530</v>
      </c>
      <c r="G2579" s="35" t="s">
        <v>679</v>
      </c>
      <c r="H2579" s="35" t="s">
        <v>115</v>
      </c>
    </row>
    <row r="2580" spans="1:8">
      <c r="A2580" s="37">
        <v>42031.15625</v>
      </c>
      <c r="B2580" s="35" t="s">
        <v>654</v>
      </c>
      <c r="C2580" s="35" t="s">
        <v>655</v>
      </c>
      <c r="D2580" s="39">
        <v>71.709999084472656</v>
      </c>
      <c r="E2580" s="39">
        <v>60.807170867919922</v>
      </c>
      <c r="F2580" s="41">
        <v>872825</v>
      </c>
      <c r="G2580" s="35" t="s">
        <v>679</v>
      </c>
      <c r="H2580" s="35" t="s">
        <v>115</v>
      </c>
    </row>
    <row r="2581" spans="1:8">
      <c r="A2581" s="37">
        <v>42032.15625</v>
      </c>
      <c r="B2581" s="35" t="s">
        <v>654</v>
      </c>
      <c r="C2581" s="35" t="s">
        <v>655</v>
      </c>
      <c r="D2581" s="39">
        <v>69.330001831054688</v>
      </c>
      <c r="E2581" s="39">
        <v>58.789028167724609</v>
      </c>
      <c r="F2581" s="41">
        <v>966480</v>
      </c>
      <c r="G2581" s="35" t="s">
        <v>679</v>
      </c>
      <c r="H2581" s="35" t="s">
        <v>115</v>
      </c>
    </row>
    <row r="2582" spans="1:8">
      <c r="A2582" s="37">
        <v>42033.15625</v>
      </c>
      <c r="B2582" s="35" t="s">
        <v>654</v>
      </c>
      <c r="C2582" s="35" t="s">
        <v>655</v>
      </c>
      <c r="D2582" s="39">
        <v>69.180000305175781</v>
      </c>
      <c r="E2582" s="39">
        <v>58.661838531494141</v>
      </c>
      <c r="F2582" s="41">
        <v>470650</v>
      </c>
      <c r="G2582" s="35" t="s">
        <v>679</v>
      </c>
      <c r="H2582" s="35" t="s">
        <v>115</v>
      </c>
    </row>
    <row r="2583" spans="1:8">
      <c r="A2583" s="37">
        <v>42034.15625</v>
      </c>
      <c r="B2583" s="35" t="s">
        <v>654</v>
      </c>
      <c r="C2583" s="35" t="s">
        <v>655</v>
      </c>
      <c r="D2583" s="39">
        <v>70.05999755859375</v>
      </c>
      <c r="E2583" s="39">
        <v>59.408031463623047</v>
      </c>
      <c r="F2583" s="41">
        <v>265230</v>
      </c>
      <c r="G2583" s="35" t="s">
        <v>679</v>
      </c>
      <c r="H2583" s="35" t="s">
        <v>115</v>
      </c>
    </row>
    <row r="2584" spans="1:8">
      <c r="A2584" s="37">
        <v>42037.15625</v>
      </c>
      <c r="B2584" s="35" t="s">
        <v>654</v>
      </c>
      <c r="C2584" s="35" t="s">
        <v>655</v>
      </c>
      <c r="D2584" s="39">
        <v>70.279998779296875</v>
      </c>
      <c r="E2584" s="39">
        <v>59.594573974609375</v>
      </c>
      <c r="F2584" s="41">
        <v>220685</v>
      </c>
      <c r="G2584" s="35" t="s">
        <v>679</v>
      </c>
      <c r="H2584" s="35" t="s">
        <v>115</v>
      </c>
    </row>
    <row r="2585" spans="1:8">
      <c r="A2585" s="37">
        <v>42038.15625</v>
      </c>
      <c r="B2585" s="35" t="s">
        <v>654</v>
      </c>
      <c r="C2585" s="35" t="s">
        <v>655</v>
      </c>
      <c r="D2585" s="39">
        <v>70</v>
      </c>
      <c r="E2585" s="39">
        <v>59.357154846191406</v>
      </c>
      <c r="F2585" s="41">
        <v>154710</v>
      </c>
      <c r="G2585" s="35" t="s">
        <v>679</v>
      </c>
      <c r="H2585" s="35" t="s">
        <v>115</v>
      </c>
    </row>
    <row r="2586" spans="1:8">
      <c r="A2586" s="37">
        <v>42039.15625</v>
      </c>
      <c r="B2586" s="35" t="s">
        <v>654</v>
      </c>
      <c r="C2586" s="35" t="s">
        <v>655</v>
      </c>
      <c r="D2586" s="39">
        <v>69.550003051757813</v>
      </c>
      <c r="E2586" s="39">
        <v>58.975566864013672</v>
      </c>
      <c r="F2586" s="41">
        <v>201650</v>
      </c>
      <c r="G2586" s="35" t="s">
        <v>679</v>
      </c>
      <c r="H2586" s="35" t="s">
        <v>115</v>
      </c>
    </row>
    <row r="2587" spans="1:8">
      <c r="A2587" s="37">
        <v>42040.15625</v>
      </c>
      <c r="B2587" s="35" t="s">
        <v>654</v>
      </c>
      <c r="C2587" s="35" t="s">
        <v>655</v>
      </c>
      <c r="D2587" s="39">
        <v>70.099998474121094</v>
      </c>
      <c r="E2587" s="39">
        <v>59.441959381103516</v>
      </c>
      <c r="F2587" s="41">
        <v>813750</v>
      </c>
      <c r="G2587" s="35" t="s">
        <v>679</v>
      </c>
      <c r="H2587" s="35" t="s">
        <v>115</v>
      </c>
    </row>
    <row r="2588" spans="1:8">
      <c r="A2588" s="37">
        <v>42041.15625</v>
      </c>
      <c r="B2588" s="35" t="s">
        <v>654</v>
      </c>
      <c r="C2588" s="35" t="s">
        <v>655</v>
      </c>
      <c r="D2588" s="39">
        <v>68.860000610351563</v>
      </c>
      <c r="E2588" s="39">
        <v>58.390480041503906</v>
      </c>
      <c r="F2588" s="41">
        <v>221055</v>
      </c>
      <c r="G2588" s="35" t="s">
        <v>679</v>
      </c>
      <c r="H2588" s="35" t="s">
        <v>115</v>
      </c>
    </row>
    <row r="2589" spans="1:8">
      <c r="A2589" s="37">
        <v>42044.15625</v>
      </c>
      <c r="B2589" s="35" t="s">
        <v>654</v>
      </c>
      <c r="C2589" s="35" t="s">
        <v>655</v>
      </c>
      <c r="D2589" s="39">
        <v>72.25</v>
      </c>
      <c r="E2589" s="39">
        <v>61.265068054199219</v>
      </c>
      <c r="F2589" s="41">
        <v>355930</v>
      </c>
      <c r="G2589" s="35" t="s">
        <v>679</v>
      </c>
      <c r="H2589" s="35" t="s">
        <v>115</v>
      </c>
    </row>
    <row r="2590" spans="1:8">
      <c r="A2590" s="37">
        <v>42045.15625</v>
      </c>
      <c r="B2590" s="35" t="s">
        <v>654</v>
      </c>
      <c r="C2590" s="35" t="s">
        <v>655</v>
      </c>
      <c r="D2590" s="39">
        <v>75.580001831054688</v>
      </c>
      <c r="E2590" s="39">
        <v>64.088752746582031</v>
      </c>
      <c r="F2590" s="41">
        <v>452810</v>
      </c>
      <c r="G2590" s="35" t="s">
        <v>679</v>
      </c>
      <c r="H2590" s="35" t="s">
        <v>115</v>
      </c>
    </row>
    <row r="2591" spans="1:8">
      <c r="A2591" s="37">
        <v>42046.15625</v>
      </c>
      <c r="B2591" s="35" t="s">
        <v>654</v>
      </c>
      <c r="C2591" s="35" t="s">
        <v>655</v>
      </c>
      <c r="D2591" s="39">
        <v>74.160003662109375</v>
      </c>
      <c r="E2591" s="39">
        <v>62.884662628173828</v>
      </c>
      <c r="F2591" s="41">
        <v>180825</v>
      </c>
      <c r="G2591" s="35" t="s">
        <v>679</v>
      </c>
      <c r="H2591" s="35" t="s">
        <v>115</v>
      </c>
    </row>
    <row r="2592" spans="1:8">
      <c r="A2592" s="37">
        <v>42047.15625</v>
      </c>
      <c r="B2592" s="35" t="s">
        <v>654</v>
      </c>
      <c r="C2592" s="35" t="s">
        <v>655</v>
      </c>
      <c r="D2592" s="39">
        <v>73.919998168945313</v>
      </c>
      <c r="E2592" s="39">
        <v>62.681159973144531</v>
      </c>
      <c r="F2592" s="41">
        <v>69555</v>
      </c>
      <c r="G2592" s="35" t="s">
        <v>679</v>
      </c>
      <c r="H2592" s="35" t="s">
        <v>115</v>
      </c>
    </row>
    <row r="2593" spans="1:8">
      <c r="A2593" s="37">
        <v>42048.15625</v>
      </c>
      <c r="B2593" s="35" t="s">
        <v>654</v>
      </c>
      <c r="C2593" s="35" t="s">
        <v>655</v>
      </c>
      <c r="D2593" s="39">
        <v>74.260002136230469</v>
      </c>
      <c r="E2593" s="39">
        <v>62.969470977783203</v>
      </c>
      <c r="F2593" s="41">
        <v>77115</v>
      </c>
      <c r="G2593" s="35" t="s">
        <v>679</v>
      </c>
      <c r="H2593" s="35" t="s">
        <v>115</v>
      </c>
    </row>
    <row r="2594" spans="1:8">
      <c r="A2594" s="37">
        <v>42051.15625</v>
      </c>
      <c r="B2594" s="35" t="s">
        <v>654</v>
      </c>
      <c r="C2594" s="35" t="s">
        <v>655</v>
      </c>
      <c r="D2594" s="39">
        <v>73.889999389648438</v>
      </c>
      <c r="E2594" s="39">
        <v>62.655712127685547</v>
      </c>
      <c r="F2594" s="41">
        <v>89460</v>
      </c>
      <c r="G2594" s="35" t="s">
        <v>679</v>
      </c>
      <c r="H2594" s="35" t="s">
        <v>115</v>
      </c>
    </row>
    <row r="2595" spans="1:8">
      <c r="A2595" s="37">
        <v>42053.15625</v>
      </c>
      <c r="B2595" s="35" t="s">
        <v>654</v>
      </c>
      <c r="C2595" s="35" t="s">
        <v>655</v>
      </c>
      <c r="D2595" s="39">
        <v>74.449996948242188</v>
      </c>
      <c r="E2595" s="39">
        <v>63.130588531494141</v>
      </c>
      <c r="F2595" s="41">
        <v>83300</v>
      </c>
      <c r="G2595" s="35" t="s">
        <v>679</v>
      </c>
      <c r="H2595" s="35" t="s">
        <v>115</v>
      </c>
    </row>
    <row r="2596" spans="1:8">
      <c r="A2596" s="37">
        <v>42054.15625</v>
      </c>
      <c r="B2596" s="35" t="s">
        <v>654</v>
      </c>
      <c r="C2596" s="35" t="s">
        <v>655</v>
      </c>
      <c r="D2596" s="39">
        <v>76.010002136230469</v>
      </c>
      <c r="E2596" s="39">
        <v>64.453407287597656</v>
      </c>
      <c r="F2596" s="41">
        <v>340000</v>
      </c>
      <c r="G2596" s="35" t="s">
        <v>679</v>
      </c>
      <c r="H2596" s="35" t="s">
        <v>115</v>
      </c>
    </row>
    <row r="2597" spans="1:8">
      <c r="A2597" s="37">
        <v>42055.15625</v>
      </c>
      <c r="B2597" s="35" t="s">
        <v>654</v>
      </c>
      <c r="C2597" s="35" t="s">
        <v>655</v>
      </c>
      <c r="D2597" s="39">
        <v>77.889999389648438</v>
      </c>
      <c r="E2597" s="39">
        <v>66.04754638671875</v>
      </c>
      <c r="F2597" s="41">
        <v>382640</v>
      </c>
      <c r="G2597" s="35" t="s">
        <v>679</v>
      </c>
      <c r="H2597" s="35" t="s">
        <v>115</v>
      </c>
    </row>
    <row r="2598" spans="1:8">
      <c r="A2598" s="37">
        <v>42058.15625</v>
      </c>
      <c r="B2598" s="35" t="s">
        <v>654</v>
      </c>
      <c r="C2598" s="35" t="s">
        <v>655</v>
      </c>
      <c r="D2598" s="39">
        <v>79</v>
      </c>
      <c r="E2598" s="39">
        <v>66.988800048828125</v>
      </c>
      <c r="F2598" s="41">
        <v>1242210</v>
      </c>
      <c r="G2598" s="35" t="s">
        <v>679</v>
      </c>
      <c r="H2598" s="35" t="s">
        <v>115</v>
      </c>
    </row>
    <row r="2599" spans="1:8">
      <c r="A2599" s="37">
        <v>42059.15625</v>
      </c>
      <c r="B2599" s="35" t="s">
        <v>654</v>
      </c>
      <c r="C2599" s="35" t="s">
        <v>655</v>
      </c>
      <c r="D2599" s="39">
        <v>78.519996643066406</v>
      </c>
      <c r="E2599" s="39">
        <v>66.581787109375</v>
      </c>
      <c r="F2599" s="41">
        <v>229470</v>
      </c>
      <c r="G2599" s="35" t="s">
        <v>679</v>
      </c>
      <c r="H2599" s="35" t="s">
        <v>115</v>
      </c>
    </row>
    <row r="2600" spans="1:8">
      <c r="A2600" s="37">
        <v>42060.15625</v>
      </c>
      <c r="B2600" s="35" t="s">
        <v>654</v>
      </c>
      <c r="C2600" s="35" t="s">
        <v>655</v>
      </c>
      <c r="D2600" s="39">
        <v>82</v>
      </c>
      <c r="E2600" s="39">
        <v>69.532669067382813</v>
      </c>
      <c r="F2600" s="41">
        <v>2178060</v>
      </c>
      <c r="G2600" s="35" t="s">
        <v>679</v>
      </c>
      <c r="H2600" s="35" t="s">
        <v>115</v>
      </c>
    </row>
    <row r="2601" spans="1:8">
      <c r="A2601" s="37">
        <v>42061.15625</v>
      </c>
      <c r="B2601" s="35" t="s">
        <v>654</v>
      </c>
      <c r="C2601" s="35" t="s">
        <v>655</v>
      </c>
      <c r="D2601" s="39">
        <v>83.709999084472656</v>
      </c>
      <c r="E2601" s="39">
        <v>70.982673645019531</v>
      </c>
      <c r="F2601" s="41">
        <v>1049735</v>
      </c>
      <c r="G2601" s="35" t="s">
        <v>679</v>
      </c>
      <c r="H2601" s="35" t="s">
        <v>115</v>
      </c>
    </row>
    <row r="2602" spans="1:8">
      <c r="A2602" s="37">
        <v>42062.15625</v>
      </c>
      <c r="B2602" s="35" t="s">
        <v>654</v>
      </c>
      <c r="C2602" s="35" t="s">
        <v>655</v>
      </c>
      <c r="D2602" s="39">
        <v>81.510002136230469</v>
      </c>
      <c r="E2602" s="39">
        <v>69.117195129394531</v>
      </c>
      <c r="F2602" s="41">
        <v>310560</v>
      </c>
      <c r="G2602" s="35" t="s">
        <v>679</v>
      </c>
      <c r="H2602" s="35" t="s">
        <v>115</v>
      </c>
    </row>
    <row r="2603" spans="1:8">
      <c r="A2603" s="37">
        <v>42065.15625</v>
      </c>
      <c r="B2603" s="35" t="s">
        <v>654</v>
      </c>
      <c r="C2603" s="35" t="s">
        <v>655</v>
      </c>
      <c r="D2603" s="39">
        <v>80.55999755859375</v>
      </c>
      <c r="E2603" s="39">
        <v>68.311599731445313</v>
      </c>
      <c r="F2603" s="41">
        <v>136735</v>
      </c>
      <c r="G2603" s="35" t="s">
        <v>679</v>
      </c>
      <c r="H2603" s="35" t="s">
        <v>115</v>
      </c>
    </row>
    <row r="2604" spans="1:8">
      <c r="A2604" s="37">
        <v>42066.15625</v>
      </c>
      <c r="B2604" s="35" t="s">
        <v>654</v>
      </c>
      <c r="C2604" s="35" t="s">
        <v>655</v>
      </c>
      <c r="D2604" s="39">
        <v>81.970001220703125</v>
      </c>
      <c r="E2604" s="39">
        <v>69.507225036621094</v>
      </c>
      <c r="F2604" s="41">
        <v>293420</v>
      </c>
      <c r="G2604" s="35" t="s">
        <v>679</v>
      </c>
      <c r="H2604" s="35" t="s">
        <v>115</v>
      </c>
    </row>
    <row r="2605" spans="1:8">
      <c r="A2605" s="37">
        <v>42067.15625</v>
      </c>
      <c r="B2605" s="35" t="s">
        <v>654</v>
      </c>
      <c r="C2605" s="35" t="s">
        <v>655</v>
      </c>
      <c r="D2605" s="39">
        <v>81.669998168945313</v>
      </c>
      <c r="E2605" s="39">
        <v>69.252853393554688</v>
      </c>
      <c r="F2605" s="41">
        <v>315890</v>
      </c>
      <c r="G2605" s="35" t="s">
        <v>679</v>
      </c>
      <c r="H2605" s="35" t="s">
        <v>115</v>
      </c>
    </row>
    <row r="2606" spans="1:8">
      <c r="A2606" s="37">
        <v>42068.15625</v>
      </c>
      <c r="B2606" s="35" t="s">
        <v>654</v>
      </c>
      <c r="C2606" s="35" t="s">
        <v>655</v>
      </c>
      <c r="D2606" s="39">
        <v>83.69000244140625</v>
      </c>
      <c r="E2606" s="39">
        <v>70.965744018554688</v>
      </c>
      <c r="F2606" s="41">
        <v>351575</v>
      </c>
      <c r="G2606" s="35" t="s">
        <v>679</v>
      </c>
      <c r="H2606" s="35" t="s">
        <v>115</v>
      </c>
    </row>
    <row r="2607" spans="1:8">
      <c r="A2607" s="37">
        <v>42072.15625</v>
      </c>
      <c r="B2607" s="35" t="s">
        <v>654</v>
      </c>
      <c r="C2607" s="35" t="s">
        <v>655</v>
      </c>
      <c r="D2607" s="39">
        <v>83.540000915527344</v>
      </c>
      <c r="E2607" s="39">
        <v>70.838516235351563</v>
      </c>
      <c r="F2607" s="41">
        <v>209430</v>
      </c>
      <c r="G2607" s="35" t="s">
        <v>679</v>
      </c>
      <c r="H2607" s="35" t="s">
        <v>115</v>
      </c>
    </row>
    <row r="2608" spans="1:8">
      <c r="A2608" s="37">
        <v>42073.15625</v>
      </c>
      <c r="B2608" s="35" t="s">
        <v>654</v>
      </c>
      <c r="C2608" s="35" t="s">
        <v>655</v>
      </c>
      <c r="D2608" s="39">
        <v>81.879997253417969</v>
      </c>
      <c r="E2608" s="39">
        <v>69.430915832519531</v>
      </c>
      <c r="F2608" s="41">
        <v>137125</v>
      </c>
      <c r="G2608" s="35" t="s">
        <v>679</v>
      </c>
      <c r="H2608" s="35" t="s">
        <v>115</v>
      </c>
    </row>
    <row r="2609" spans="1:8">
      <c r="A2609" s="37">
        <v>42074.15625</v>
      </c>
      <c r="B2609" s="35" t="s">
        <v>654</v>
      </c>
      <c r="C2609" s="35" t="s">
        <v>655</v>
      </c>
      <c r="D2609" s="39">
        <v>85.699996948242188</v>
      </c>
      <c r="E2609" s="39">
        <v>72.670112609863281</v>
      </c>
      <c r="F2609" s="41">
        <v>2924765</v>
      </c>
      <c r="G2609" s="35" t="s">
        <v>679</v>
      </c>
      <c r="H2609" s="35" t="s">
        <v>115</v>
      </c>
    </row>
    <row r="2610" spans="1:8">
      <c r="A2610" s="37">
        <v>42075.15625</v>
      </c>
      <c r="B2610" s="35" t="s">
        <v>654</v>
      </c>
      <c r="C2610" s="35" t="s">
        <v>655</v>
      </c>
      <c r="D2610" s="39">
        <v>84.830001831054688</v>
      </c>
      <c r="E2610" s="39">
        <v>71.932388305664063</v>
      </c>
      <c r="F2610" s="41">
        <v>260290</v>
      </c>
      <c r="G2610" s="35" t="s">
        <v>679</v>
      </c>
      <c r="H2610" s="35" t="s">
        <v>115</v>
      </c>
    </row>
    <row r="2611" spans="1:8">
      <c r="A2611" s="37">
        <v>42076.15625</v>
      </c>
      <c r="B2611" s="35" t="s">
        <v>654</v>
      </c>
      <c r="C2611" s="35" t="s">
        <v>655</v>
      </c>
      <c r="D2611" s="39">
        <v>84.949996948242188</v>
      </c>
      <c r="E2611" s="39">
        <v>72.034156799316406</v>
      </c>
      <c r="F2611" s="41">
        <v>386250</v>
      </c>
      <c r="G2611" s="35" t="s">
        <v>679</v>
      </c>
      <c r="H2611" s="35" t="s">
        <v>115</v>
      </c>
    </row>
    <row r="2612" spans="1:8">
      <c r="A2612" s="37">
        <v>42079.15625</v>
      </c>
      <c r="B2612" s="35" t="s">
        <v>654</v>
      </c>
      <c r="C2612" s="35" t="s">
        <v>655</v>
      </c>
      <c r="D2612" s="39">
        <v>81.44000244140625</v>
      </c>
      <c r="E2612" s="39">
        <v>69.057807922363281</v>
      </c>
      <c r="F2612" s="41">
        <v>215395</v>
      </c>
      <c r="G2612" s="35" t="s">
        <v>679</v>
      </c>
      <c r="H2612" s="35" t="s">
        <v>115</v>
      </c>
    </row>
    <row r="2613" spans="1:8">
      <c r="A2613" s="37">
        <v>42080.15625</v>
      </c>
      <c r="B2613" s="35" t="s">
        <v>654</v>
      </c>
      <c r="C2613" s="35" t="s">
        <v>655</v>
      </c>
      <c r="D2613" s="39">
        <v>80.610000610351563</v>
      </c>
      <c r="E2613" s="39">
        <v>68.354011535644531</v>
      </c>
      <c r="F2613" s="41">
        <v>227050</v>
      </c>
      <c r="G2613" s="35" t="s">
        <v>679</v>
      </c>
      <c r="H2613" s="35" t="s">
        <v>115</v>
      </c>
    </row>
    <row r="2614" spans="1:8">
      <c r="A2614" s="37">
        <v>42081.15625</v>
      </c>
      <c r="B2614" s="35" t="s">
        <v>654</v>
      </c>
      <c r="C2614" s="35" t="s">
        <v>655</v>
      </c>
      <c r="D2614" s="39">
        <v>79.790000915527344</v>
      </c>
      <c r="E2614" s="39">
        <v>67.65869140625</v>
      </c>
      <c r="F2614" s="41">
        <v>89715</v>
      </c>
      <c r="G2614" s="35" t="s">
        <v>679</v>
      </c>
      <c r="H2614" s="35" t="s">
        <v>115</v>
      </c>
    </row>
    <row r="2615" spans="1:8">
      <c r="A2615" s="37">
        <v>42082.15625</v>
      </c>
      <c r="B2615" s="35" t="s">
        <v>654</v>
      </c>
      <c r="C2615" s="35" t="s">
        <v>655</v>
      </c>
      <c r="D2615" s="39">
        <v>77.639999389648438</v>
      </c>
      <c r="E2615" s="39">
        <v>65.8355712890625</v>
      </c>
      <c r="F2615" s="41">
        <v>252760</v>
      </c>
      <c r="G2615" s="35" t="s">
        <v>679</v>
      </c>
      <c r="H2615" s="35" t="s">
        <v>115</v>
      </c>
    </row>
    <row r="2616" spans="1:8">
      <c r="A2616" s="37">
        <v>42083.15625</v>
      </c>
      <c r="B2616" s="35" t="s">
        <v>654</v>
      </c>
      <c r="C2616" s="35" t="s">
        <v>655</v>
      </c>
      <c r="D2616" s="39">
        <v>75.010002136230469</v>
      </c>
      <c r="E2616" s="39">
        <v>63.605434417724609</v>
      </c>
      <c r="F2616" s="41">
        <v>248930</v>
      </c>
      <c r="G2616" s="35" t="s">
        <v>679</v>
      </c>
      <c r="H2616" s="35" t="s">
        <v>115</v>
      </c>
    </row>
    <row r="2617" spans="1:8">
      <c r="A2617" s="37">
        <v>42086.15625</v>
      </c>
      <c r="B2617" s="35" t="s">
        <v>654</v>
      </c>
      <c r="C2617" s="35" t="s">
        <v>655</v>
      </c>
      <c r="D2617" s="39">
        <v>74.879997253417969</v>
      </c>
      <c r="E2617" s="39">
        <v>63.495204925537109</v>
      </c>
      <c r="F2617" s="41">
        <v>137625</v>
      </c>
      <c r="G2617" s="35" t="s">
        <v>679</v>
      </c>
      <c r="H2617" s="35" t="s">
        <v>115</v>
      </c>
    </row>
    <row r="2618" spans="1:8">
      <c r="A2618" s="37">
        <v>42087.15625</v>
      </c>
      <c r="B2618" s="35" t="s">
        <v>654</v>
      </c>
      <c r="C2618" s="35" t="s">
        <v>655</v>
      </c>
      <c r="D2618" s="39">
        <v>70.419998168945313</v>
      </c>
      <c r="E2618" s="39">
        <v>59.713294982910156</v>
      </c>
      <c r="F2618" s="41">
        <v>1322190</v>
      </c>
      <c r="G2618" s="35" t="s">
        <v>679</v>
      </c>
      <c r="H2618" s="35" t="s">
        <v>115</v>
      </c>
    </row>
    <row r="2619" spans="1:8">
      <c r="A2619" s="37">
        <v>42088.15625</v>
      </c>
      <c r="B2619" s="35" t="s">
        <v>654</v>
      </c>
      <c r="C2619" s="35" t="s">
        <v>655</v>
      </c>
      <c r="D2619" s="39">
        <v>67.75</v>
      </c>
      <c r="E2619" s="39">
        <v>57.449264526367188</v>
      </c>
      <c r="F2619" s="41">
        <v>383630</v>
      </c>
      <c r="G2619" s="35" t="s">
        <v>679</v>
      </c>
      <c r="H2619" s="35" t="s">
        <v>115</v>
      </c>
    </row>
    <row r="2620" spans="1:8">
      <c r="A2620" s="37">
        <v>42089.15625</v>
      </c>
      <c r="B2620" s="35" t="s">
        <v>654</v>
      </c>
      <c r="C2620" s="35" t="s">
        <v>655</v>
      </c>
      <c r="D2620" s="39">
        <v>68.769996643066406</v>
      </c>
      <c r="E2620" s="39">
        <v>58.314167022705078</v>
      </c>
      <c r="F2620" s="41">
        <v>394705</v>
      </c>
      <c r="G2620" s="35" t="s">
        <v>679</v>
      </c>
      <c r="H2620" s="35" t="s">
        <v>115</v>
      </c>
    </row>
    <row r="2621" spans="1:8">
      <c r="A2621" s="37">
        <v>42090.15625</v>
      </c>
      <c r="B2621" s="35" t="s">
        <v>654</v>
      </c>
      <c r="C2621" s="35" t="s">
        <v>655</v>
      </c>
      <c r="D2621" s="39">
        <v>69.449996948242188</v>
      </c>
      <c r="E2621" s="39">
        <v>58.890777587890625</v>
      </c>
      <c r="F2621" s="41">
        <v>401385</v>
      </c>
      <c r="G2621" s="35" t="s">
        <v>679</v>
      </c>
      <c r="H2621" s="35" t="s">
        <v>115</v>
      </c>
    </row>
    <row r="2622" spans="1:8">
      <c r="A2622" s="37">
        <v>42093.15625</v>
      </c>
      <c r="B2622" s="35" t="s">
        <v>654</v>
      </c>
      <c r="C2622" s="35" t="s">
        <v>655</v>
      </c>
      <c r="D2622" s="39">
        <v>69.879997253417969</v>
      </c>
      <c r="E2622" s="39">
        <v>59.255397796630859</v>
      </c>
      <c r="F2622" s="41">
        <v>264955</v>
      </c>
      <c r="G2622" s="35" t="s">
        <v>679</v>
      </c>
      <c r="H2622" s="35" t="s">
        <v>115</v>
      </c>
    </row>
    <row r="2623" spans="1:8">
      <c r="A2623" s="37">
        <v>42094.15625</v>
      </c>
      <c r="B2623" s="35" t="s">
        <v>654</v>
      </c>
      <c r="C2623" s="35" t="s">
        <v>655</v>
      </c>
      <c r="D2623" s="39">
        <v>69.860000610351563</v>
      </c>
      <c r="E2623" s="39">
        <v>59.238441467285156</v>
      </c>
      <c r="F2623" s="41">
        <v>619260</v>
      </c>
      <c r="G2623" s="35" t="s">
        <v>679</v>
      </c>
      <c r="H2623" s="35" t="s">
        <v>115</v>
      </c>
    </row>
    <row r="2624" spans="1:8">
      <c r="A2624" s="37">
        <v>42095.15625</v>
      </c>
      <c r="B2624" s="35" t="s">
        <v>654</v>
      </c>
      <c r="C2624" s="35" t="s">
        <v>655</v>
      </c>
      <c r="D2624" s="39">
        <v>73.239997863769531</v>
      </c>
      <c r="E2624" s="39">
        <v>62.104534149169922</v>
      </c>
      <c r="F2624" s="41">
        <v>739400</v>
      </c>
      <c r="G2624" s="35" t="s">
        <v>680</v>
      </c>
      <c r="H2624" s="35" t="s">
        <v>115</v>
      </c>
    </row>
    <row r="2625" spans="1:8">
      <c r="A2625" s="37">
        <v>42100.15625</v>
      </c>
      <c r="B2625" s="35" t="s">
        <v>654</v>
      </c>
      <c r="C2625" s="35" t="s">
        <v>655</v>
      </c>
      <c r="D2625" s="39">
        <v>73.019996643066406</v>
      </c>
      <c r="E2625" s="39">
        <v>61.917987823486328</v>
      </c>
      <c r="F2625" s="41">
        <v>168125</v>
      </c>
      <c r="G2625" s="35" t="s">
        <v>680</v>
      </c>
      <c r="H2625" s="35" t="s">
        <v>115</v>
      </c>
    </row>
    <row r="2626" spans="1:8">
      <c r="A2626" s="37">
        <v>42101.15625</v>
      </c>
      <c r="B2626" s="35" t="s">
        <v>654</v>
      </c>
      <c r="C2626" s="35" t="s">
        <v>655</v>
      </c>
      <c r="D2626" s="39">
        <v>73.459999084472656</v>
      </c>
      <c r="E2626" s="39">
        <v>62.291099548339844</v>
      </c>
      <c r="F2626" s="41">
        <v>75055</v>
      </c>
      <c r="G2626" s="35" t="s">
        <v>680</v>
      </c>
      <c r="H2626" s="35" t="s">
        <v>115</v>
      </c>
    </row>
    <row r="2627" spans="1:8">
      <c r="A2627" s="37">
        <v>42102.15625</v>
      </c>
      <c r="B2627" s="35" t="s">
        <v>654</v>
      </c>
      <c r="C2627" s="35" t="s">
        <v>655</v>
      </c>
      <c r="D2627" s="39">
        <v>74.230003356933594</v>
      </c>
      <c r="E2627" s="39">
        <v>62.944019317626953</v>
      </c>
      <c r="F2627" s="41">
        <v>126195</v>
      </c>
      <c r="G2627" s="35" t="s">
        <v>680</v>
      </c>
      <c r="H2627" s="35" t="s">
        <v>115</v>
      </c>
    </row>
    <row r="2628" spans="1:8">
      <c r="A2628" s="37">
        <v>42103.15625</v>
      </c>
      <c r="B2628" s="35" t="s">
        <v>654</v>
      </c>
      <c r="C2628" s="35" t="s">
        <v>655</v>
      </c>
      <c r="D2628" s="39">
        <v>73.889999389648438</v>
      </c>
      <c r="E2628" s="39">
        <v>62.655712127685547</v>
      </c>
      <c r="F2628" s="41">
        <v>276380</v>
      </c>
      <c r="G2628" s="35" t="s">
        <v>680</v>
      </c>
      <c r="H2628" s="35" t="s">
        <v>115</v>
      </c>
    </row>
    <row r="2629" spans="1:8">
      <c r="A2629" s="37">
        <v>42104.15625</v>
      </c>
      <c r="B2629" s="35" t="s">
        <v>654</v>
      </c>
      <c r="C2629" s="35" t="s">
        <v>655</v>
      </c>
      <c r="D2629" s="39">
        <v>74.339996337890625</v>
      </c>
      <c r="E2629" s="39">
        <v>63.037296295166016</v>
      </c>
      <c r="F2629" s="41">
        <v>170530</v>
      </c>
      <c r="G2629" s="35" t="s">
        <v>680</v>
      </c>
      <c r="H2629" s="35" t="s">
        <v>115</v>
      </c>
    </row>
    <row r="2630" spans="1:8">
      <c r="A2630" s="37">
        <v>42107.15625</v>
      </c>
      <c r="B2630" s="35" t="s">
        <v>654</v>
      </c>
      <c r="C2630" s="35" t="s">
        <v>655</v>
      </c>
      <c r="D2630" s="39">
        <v>74.519996643066406</v>
      </c>
      <c r="E2630" s="39">
        <v>63.189945220947266</v>
      </c>
      <c r="F2630" s="41">
        <v>89135</v>
      </c>
      <c r="G2630" s="35" t="s">
        <v>680</v>
      </c>
      <c r="H2630" s="35" t="s">
        <v>115</v>
      </c>
    </row>
    <row r="2631" spans="1:8">
      <c r="A2631" s="37">
        <v>42109.15625</v>
      </c>
      <c r="B2631" s="35" t="s">
        <v>654</v>
      </c>
      <c r="C2631" s="35" t="s">
        <v>655</v>
      </c>
      <c r="D2631" s="39">
        <v>74.949996948242188</v>
      </c>
      <c r="E2631" s="39">
        <v>63.554561614990234</v>
      </c>
      <c r="F2631" s="41">
        <v>785090</v>
      </c>
      <c r="G2631" s="35" t="s">
        <v>680</v>
      </c>
      <c r="H2631" s="35" t="s">
        <v>115</v>
      </c>
    </row>
    <row r="2632" spans="1:8">
      <c r="A2632" s="37">
        <v>42110.15625</v>
      </c>
      <c r="B2632" s="35" t="s">
        <v>654</v>
      </c>
      <c r="C2632" s="35" t="s">
        <v>655</v>
      </c>
      <c r="D2632" s="39">
        <v>75.80999755859375</v>
      </c>
      <c r="E2632" s="39">
        <v>64.283805847167969</v>
      </c>
      <c r="F2632" s="41">
        <v>388385</v>
      </c>
      <c r="G2632" s="35" t="s">
        <v>680</v>
      </c>
      <c r="H2632" s="35" t="s">
        <v>115</v>
      </c>
    </row>
    <row r="2633" spans="1:8">
      <c r="A2633" s="37">
        <v>42111.15625</v>
      </c>
      <c r="B2633" s="35" t="s">
        <v>654</v>
      </c>
      <c r="C2633" s="35" t="s">
        <v>655</v>
      </c>
      <c r="D2633" s="39">
        <v>74.660003662109375</v>
      </c>
      <c r="E2633" s="39">
        <v>63.308673858642578</v>
      </c>
      <c r="F2633" s="41">
        <v>154735</v>
      </c>
      <c r="G2633" s="35" t="s">
        <v>680</v>
      </c>
      <c r="H2633" s="35" t="s">
        <v>115</v>
      </c>
    </row>
    <row r="2634" spans="1:8">
      <c r="A2634" s="37">
        <v>42114.15625</v>
      </c>
      <c r="B2634" s="35" t="s">
        <v>654</v>
      </c>
      <c r="C2634" s="35" t="s">
        <v>655</v>
      </c>
      <c r="D2634" s="39">
        <v>74.180000305175781</v>
      </c>
      <c r="E2634" s="39">
        <v>62.901618957519531</v>
      </c>
      <c r="F2634" s="41">
        <v>137000</v>
      </c>
      <c r="G2634" s="35" t="s">
        <v>680</v>
      </c>
      <c r="H2634" s="35" t="s">
        <v>115</v>
      </c>
    </row>
    <row r="2635" spans="1:8">
      <c r="A2635" s="37">
        <v>42115.15625</v>
      </c>
      <c r="B2635" s="35" t="s">
        <v>654</v>
      </c>
      <c r="C2635" s="35" t="s">
        <v>655</v>
      </c>
      <c r="D2635" s="39">
        <v>73.80999755859375</v>
      </c>
      <c r="E2635" s="39">
        <v>62.587886810302734</v>
      </c>
      <c r="F2635" s="41">
        <v>155790</v>
      </c>
      <c r="G2635" s="35" t="s">
        <v>680</v>
      </c>
      <c r="H2635" s="35" t="s">
        <v>115</v>
      </c>
    </row>
    <row r="2636" spans="1:8">
      <c r="A2636" s="37">
        <v>42116.15625</v>
      </c>
      <c r="B2636" s="35" t="s">
        <v>654</v>
      </c>
      <c r="C2636" s="35" t="s">
        <v>655</v>
      </c>
      <c r="D2636" s="39">
        <v>74.180000305175781</v>
      </c>
      <c r="E2636" s="39">
        <v>62.901618957519531</v>
      </c>
      <c r="F2636" s="41">
        <v>583105</v>
      </c>
      <c r="G2636" s="35" t="s">
        <v>680</v>
      </c>
      <c r="H2636" s="35" t="s">
        <v>115</v>
      </c>
    </row>
    <row r="2637" spans="1:8">
      <c r="A2637" s="37">
        <v>42117.15625</v>
      </c>
      <c r="B2637" s="35" t="s">
        <v>654</v>
      </c>
      <c r="C2637" s="35" t="s">
        <v>655</v>
      </c>
      <c r="D2637" s="39">
        <v>73.959999084472656</v>
      </c>
      <c r="E2637" s="39">
        <v>62.715072631835938</v>
      </c>
      <c r="F2637" s="41">
        <v>53725</v>
      </c>
      <c r="G2637" s="35" t="s">
        <v>680</v>
      </c>
      <c r="H2637" s="35" t="s">
        <v>115</v>
      </c>
    </row>
    <row r="2638" spans="1:8">
      <c r="A2638" s="37">
        <v>42118.15625</v>
      </c>
      <c r="B2638" s="35" t="s">
        <v>654</v>
      </c>
      <c r="C2638" s="35" t="s">
        <v>655</v>
      </c>
      <c r="D2638" s="39">
        <v>72.959999084472656</v>
      </c>
      <c r="E2638" s="39">
        <v>61.867103576660156</v>
      </c>
      <c r="F2638" s="41">
        <v>317450</v>
      </c>
      <c r="G2638" s="35" t="s">
        <v>680</v>
      </c>
      <c r="H2638" s="35" t="s">
        <v>115</v>
      </c>
    </row>
    <row r="2639" spans="1:8">
      <c r="A2639" s="37">
        <v>42121.15625</v>
      </c>
      <c r="B2639" s="35" t="s">
        <v>654</v>
      </c>
      <c r="C2639" s="35" t="s">
        <v>655</v>
      </c>
      <c r="D2639" s="39">
        <v>73.349998474121094</v>
      </c>
      <c r="E2639" s="39">
        <v>62.197830200195313</v>
      </c>
      <c r="F2639" s="41">
        <v>304115</v>
      </c>
      <c r="G2639" s="35" t="s">
        <v>680</v>
      </c>
      <c r="H2639" s="35" t="s">
        <v>115</v>
      </c>
    </row>
    <row r="2640" spans="1:8">
      <c r="A2640" s="37">
        <v>42122.15625</v>
      </c>
      <c r="B2640" s="35" t="s">
        <v>654</v>
      </c>
      <c r="C2640" s="35" t="s">
        <v>655</v>
      </c>
      <c r="D2640" s="39">
        <v>72.379997253417969</v>
      </c>
      <c r="E2640" s="39">
        <v>61.375286102294922</v>
      </c>
      <c r="F2640" s="41">
        <v>271645</v>
      </c>
      <c r="G2640" s="35" t="s">
        <v>680</v>
      </c>
      <c r="H2640" s="35" t="s">
        <v>115</v>
      </c>
    </row>
    <row r="2641" spans="1:8">
      <c r="A2641" s="37">
        <v>42123.15625</v>
      </c>
      <c r="B2641" s="35" t="s">
        <v>654</v>
      </c>
      <c r="C2641" s="35" t="s">
        <v>655</v>
      </c>
      <c r="D2641" s="39">
        <v>71.800003051757813</v>
      </c>
      <c r="E2641" s="39">
        <v>60.88348388671875</v>
      </c>
      <c r="F2641" s="41">
        <v>444320</v>
      </c>
      <c r="G2641" s="35" t="s">
        <v>680</v>
      </c>
      <c r="H2641" s="35" t="s">
        <v>115</v>
      </c>
    </row>
    <row r="2642" spans="1:8">
      <c r="A2642" s="37">
        <v>42124.15625</v>
      </c>
      <c r="B2642" s="35" t="s">
        <v>654</v>
      </c>
      <c r="C2642" s="35" t="s">
        <v>655</v>
      </c>
      <c r="D2642" s="39">
        <v>70.169998168945313</v>
      </c>
      <c r="E2642" s="39">
        <v>59.501312255859375</v>
      </c>
      <c r="F2642" s="41">
        <v>764450</v>
      </c>
      <c r="G2642" s="35" t="s">
        <v>680</v>
      </c>
      <c r="H2642" s="35" t="s">
        <v>115</v>
      </c>
    </row>
    <row r="2643" spans="1:8">
      <c r="A2643" s="37">
        <v>42128.15625</v>
      </c>
      <c r="B2643" s="35" t="s">
        <v>654</v>
      </c>
      <c r="C2643" s="35" t="s">
        <v>655</v>
      </c>
      <c r="D2643" s="39">
        <v>71.300003051757813</v>
      </c>
      <c r="E2643" s="39">
        <v>60.459503173828125</v>
      </c>
      <c r="F2643" s="41">
        <v>1026385</v>
      </c>
      <c r="G2643" s="35" t="s">
        <v>680</v>
      </c>
      <c r="H2643" s="35" t="s">
        <v>115</v>
      </c>
    </row>
    <row r="2644" spans="1:8">
      <c r="A2644" s="37">
        <v>42129.15625</v>
      </c>
      <c r="B2644" s="35" t="s">
        <v>654</v>
      </c>
      <c r="C2644" s="35" t="s">
        <v>655</v>
      </c>
      <c r="D2644" s="39">
        <v>80.400001525878906</v>
      </c>
      <c r="E2644" s="39">
        <v>68.175926208496094</v>
      </c>
      <c r="F2644" s="41">
        <v>6433560</v>
      </c>
      <c r="G2644" s="35" t="s">
        <v>680</v>
      </c>
      <c r="H2644" s="35" t="s">
        <v>115</v>
      </c>
    </row>
    <row r="2645" spans="1:8">
      <c r="A2645" s="37">
        <v>42130.15625</v>
      </c>
      <c r="B2645" s="35" t="s">
        <v>654</v>
      </c>
      <c r="C2645" s="35" t="s">
        <v>655</v>
      </c>
      <c r="D2645" s="39">
        <v>76.620002746582031</v>
      </c>
      <c r="E2645" s="39">
        <v>64.970649719238281</v>
      </c>
      <c r="F2645" s="41">
        <v>1800485</v>
      </c>
      <c r="G2645" s="35" t="s">
        <v>680</v>
      </c>
      <c r="H2645" s="35" t="s">
        <v>115</v>
      </c>
    </row>
    <row r="2646" spans="1:8">
      <c r="A2646" s="37">
        <v>42131.15625</v>
      </c>
      <c r="B2646" s="35" t="s">
        <v>654</v>
      </c>
      <c r="C2646" s="35" t="s">
        <v>655</v>
      </c>
      <c r="D2646" s="39">
        <v>73.819999694824219</v>
      </c>
      <c r="E2646" s="39">
        <v>62.596370697021484</v>
      </c>
      <c r="F2646" s="41">
        <v>348080</v>
      </c>
      <c r="G2646" s="35" t="s">
        <v>680</v>
      </c>
      <c r="H2646" s="35" t="s">
        <v>115</v>
      </c>
    </row>
    <row r="2647" spans="1:8">
      <c r="A2647" s="37">
        <v>42132.15625</v>
      </c>
      <c r="B2647" s="35" t="s">
        <v>654</v>
      </c>
      <c r="C2647" s="35" t="s">
        <v>655</v>
      </c>
      <c r="D2647" s="39">
        <v>74.739997863769531</v>
      </c>
      <c r="E2647" s="39">
        <v>63.376472473144531</v>
      </c>
      <c r="F2647" s="41">
        <v>259985</v>
      </c>
      <c r="G2647" s="35" t="s">
        <v>680</v>
      </c>
      <c r="H2647" s="35" t="s">
        <v>115</v>
      </c>
    </row>
    <row r="2648" spans="1:8">
      <c r="A2648" s="37">
        <v>42135.15625</v>
      </c>
      <c r="B2648" s="35" t="s">
        <v>654</v>
      </c>
      <c r="C2648" s="35" t="s">
        <v>655</v>
      </c>
      <c r="D2648" s="39">
        <v>74.489997863769531</v>
      </c>
      <c r="E2648" s="39">
        <v>63.164493560791016</v>
      </c>
      <c r="F2648" s="41">
        <v>216060</v>
      </c>
      <c r="G2648" s="35" t="s">
        <v>680</v>
      </c>
      <c r="H2648" s="35" t="s">
        <v>115</v>
      </c>
    </row>
    <row r="2649" spans="1:8">
      <c r="A2649" s="37">
        <v>42136.15625</v>
      </c>
      <c r="B2649" s="35" t="s">
        <v>654</v>
      </c>
      <c r="C2649" s="35" t="s">
        <v>655</v>
      </c>
      <c r="D2649" s="39">
        <v>74.389999389648438</v>
      </c>
      <c r="E2649" s="39">
        <v>63.079704284667969</v>
      </c>
      <c r="F2649" s="41">
        <v>144705</v>
      </c>
      <c r="G2649" s="35" t="s">
        <v>680</v>
      </c>
      <c r="H2649" s="35" t="s">
        <v>115</v>
      </c>
    </row>
    <row r="2650" spans="1:8">
      <c r="A2650" s="37">
        <v>42137.15625</v>
      </c>
      <c r="B2650" s="35" t="s">
        <v>654</v>
      </c>
      <c r="C2650" s="35" t="s">
        <v>655</v>
      </c>
      <c r="D2650" s="39">
        <v>74.069999694824219</v>
      </c>
      <c r="E2650" s="39">
        <v>62.808364868164063</v>
      </c>
      <c r="F2650" s="41">
        <v>156750</v>
      </c>
      <c r="G2650" s="35" t="s">
        <v>680</v>
      </c>
      <c r="H2650" s="35" t="s">
        <v>115</v>
      </c>
    </row>
    <row r="2651" spans="1:8">
      <c r="A2651" s="37">
        <v>42138.15625</v>
      </c>
      <c r="B2651" s="35" t="s">
        <v>654</v>
      </c>
      <c r="C2651" s="35" t="s">
        <v>655</v>
      </c>
      <c r="D2651" s="39">
        <v>74.580001831054688</v>
      </c>
      <c r="E2651" s="39">
        <v>63.240814208984375</v>
      </c>
      <c r="F2651" s="41">
        <v>185310</v>
      </c>
      <c r="G2651" s="35" t="s">
        <v>680</v>
      </c>
      <c r="H2651" s="35" t="s">
        <v>115</v>
      </c>
    </row>
    <row r="2652" spans="1:8">
      <c r="A2652" s="37">
        <v>42139.15625</v>
      </c>
      <c r="B2652" s="35" t="s">
        <v>654</v>
      </c>
      <c r="C2652" s="35" t="s">
        <v>655</v>
      </c>
      <c r="D2652" s="39">
        <v>74.160003662109375</v>
      </c>
      <c r="E2652" s="39">
        <v>62.884662628173828</v>
      </c>
      <c r="F2652" s="41">
        <v>56465</v>
      </c>
      <c r="G2652" s="35" t="s">
        <v>680</v>
      </c>
      <c r="H2652" s="35" t="s">
        <v>115</v>
      </c>
    </row>
    <row r="2653" spans="1:8">
      <c r="A2653" s="37">
        <v>42142.15625</v>
      </c>
      <c r="B2653" s="35" t="s">
        <v>654</v>
      </c>
      <c r="C2653" s="35" t="s">
        <v>655</v>
      </c>
      <c r="D2653" s="39">
        <v>76.25</v>
      </c>
      <c r="E2653" s="39">
        <v>64.656906127929688</v>
      </c>
      <c r="F2653" s="41">
        <v>280795</v>
      </c>
      <c r="G2653" s="35" t="s">
        <v>680</v>
      </c>
      <c r="H2653" s="35" t="s">
        <v>115</v>
      </c>
    </row>
    <row r="2654" spans="1:8">
      <c r="A2654" s="37">
        <v>42143.15625</v>
      </c>
      <c r="B2654" s="35" t="s">
        <v>654</v>
      </c>
      <c r="C2654" s="35" t="s">
        <v>655</v>
      </c>
      <c r="D2654" s="39">
        <v>77.550003051757813</v>
      </c>
      <c r="E2654" s="39">
        <v>65.759269714355469</v>
      </c>
      <c r="F2654" s="41">
        <v>346655</v>
      </c>
      <c r="G2654" s="35" t="s">
        <v>680</v>
      </c>
      <c r="H2654" s="35" t="s">
        <v>115</v>
      </c>
    </row>
    <row r="2655" spans="1:8">
      <c r="A2655" s="37">
        <v>42144.15625</v>
      </c>
      <c r="B2655" s="35" t="s">
        <v>654</v>
      </c>
      <c r="C2655" s="35" t="s">
        <v>655</v>
      </c>
      <c r="D2655" s="39">
        <v>77.199996948242188</v>
      </c>
      <c r="E2655" s="39">
        <v>65.462478637695313</v>
      </c>
      <c r="F2655" s="41">
        <v>90675</v>
      </c>
      <c r="G2655" s="35" t="s">
        <v>680</v>
      </c>
      <c r="H2655" s="35" t="s">
        <v>115</v>
      </c>
    </row>
    <row r="2656" spans="1:8">
      <c r="A2656" s="37">
        <v>42145.15625</v>
      </c>
      <c r="B2656" s="35" t="s">
        <v>654</v>
      </c>
      <c r="C2656" s="35" t="s">
        <v>655</v>
      </c>
      <c r="D2656" s="39">
        <v>77.489997863769531</v>
      </c>
      <c r="E2656" s="39">
        <v>65.708381652832031</v>
      </c>
      <c r="F2656" s="41">
        <v>62060</v>
      </c>
      <c r="G2656" s="35" t="s">
        <v>680</v>
      </c>
      <c r="H2656" s="35" t="s">
        <v>115</v>
      </c>
    </row>
    <row r="2657" spans="1:8">
      <c r="A2657" s="37">
        <v>42146.15625</v>
      </c>
      <c r="B2657" s="35" t="s">
        <v>654</v>
      </c>
      <c r="C2657" s="35" t="s">
        <v>655</v>
      </c>
      <c r="D2657" s="39">
        <v>77.279998779296875</v>
      </c>
      <c r="E2657" s="39">
        <v>65.530296325683594</v>
      </c>
      <c r="F2657" s="41">
        <v>77050</v>
      </c>
      <c r="G2657" s="35" t="s">
        <v>680</v>
      </c>
      <c r="H2657" s="35" t="s">
        <v>115</v>
      </c>
    </row>
    <row r="2658" spans="1:8">
      <c r="A2658" s="37">
        <v>42149.15625</v>
      </c>
      <c r="B2658" s="35" t="s">
        <v>654</v>
      </c>
      <c r="C2658" s="35" t="s">
        <v>655</v>
      </c>
      <c r="D2658" s="39">
        <v>75.569999694824219</v>
      </c>
      <c r="E2658" s="39">
        <v>64.080284118652344</v>
      </c>
      <c r="F2658" s="41">
        <v>31115</v>
      </c>
      <c r="G2658" s="35" t="s">
        <v>680</v>
      </c>
      <c r="H2658" s="35" t="s">
        <v>115</v>
      </c>
    </row>
    <row r="2659" spans="1:8">
      <c r="A2659" s="37">
        <v>42150.15625</v>
      </c>
      <c r="B2659" s="35" t="s">
        <v>654</v>
      </c>
      <c r="C2659" s="35" t="s">
        <v>655</v>
      </c>
      <c r="D2659" s="39">
        <v>74.629997253417969</v>
      </c>
      <c r="E2659" s="39">
        <v>63.283218383789063</v>
      </c>
      <c r="F2659" s="41">
        <v>34975</v>
      </c>
      <c r="G2659" s="35" t="s">
        <v>680</v>
      </c>
      <c r="H2659" s="35" t="s">
        <v>115</v>
      </c>
    </row>
    <row r="2660" spans="1:8">
      <c r="A2660" s="37">
        <v>42151.15625</v>
      </c>
      <c r="B2660" s="35" t="s">
        <v>654</v>
      </c>
      <c r="C2660" s="35" t="s">
        <v>655</v>
      </c>
      <c r="D2660" s="39">
        <v>76.519996643066406</v>
      </c>
      <c r="E2660" s="39">
        <v>64.885848999023438</v>
      </c>
      <c r="F2660" s="41">
        <v>118095</v>
      </c>
      <c r="G2660" s="35" t="s">
        <v>680</v>
      </c>
      <c r="H2660" s="35" t="s">
        <v>115</v>
      </c>
    </row>
    <row r="2661" spans="1:8">
      <c r="A2661" s="37">
        <v>42152.15625</v>
      </c>
      <c r="B2661" s="35" t="s">
        <v>654</v>
      </c>
      <c r="C2661" s="35" t="s">
        <v>655</v>
      </c>
      <c r="D2661" s="39">
        <v>75.949996948242188</v>
      </c>
      <c r="E2661" s="39">
        <v>64.402511596679688</v>
      </c>
      <c r="F2661" s="41">
        <v>61330</v>
      </c>
      <c r="G2661" s="35" t="s">
        <v>680</v>
      </c>
      <c r="H2661" s="35" t="s">
        <v>115</v>
      </c>
    </row>
    <row r="2662" spans="1:8">
      <c r="A2662" s="37">
        <v>42153.15625</v>
      </c>
      <c r="B2662" s="35" t="s">
        <v>654</v>
      </c>
      <c r="C2662" s="35" t="s">
        <v>655</v>
      </c>
      <c r="D2662" s="39">
        <v>76.370002746582031</v>
      </c>
      <c r="E2662" s="39">
        <v>64.758674621582031</v>
      </c>
      <c r="F2662" s="41">
        <v>305970</v>
      </c>
      <c r="G2662" s="35" t="s">
        <v>680</v>
      </c>
      <c r="H2662" s="35" t="s">
        <v>115</v>
      </c>
    </row>
    <row r="2663" spans="1:8">
      <c r="A2663" s="37">
        <v>42156.15625</v>
      </c>
      <c r="B2663" s="35" t="s">
        <v>654</v>
      </c>
      <c r="C2663" s="35" t="s">
        <v>655</v>
      </c>
      <c r="D2663" s="39">
        <v>77.069999694824219</v>
      </c>
      <c r="E2663" s="39">
        <v>65.352241516113281</v>
      </c>
      <c r="F2663" s="41">
        <v>48015</v>
      </c>
      <c r="G2663" s="35" t="s">
        <v>680</v>
      </c>
      <c r="H2663" s="35" t="s">
        <v>115</v>
      </c>
    </row>
    <row r="2664" spans="1:8">
      <c r="A2664" s="37">
        <v>42157.15625</v>
      </c>
      <c r="B2664" s="35" t="s">
        <v>654</v>
      </c>
      <c r="C2664" s="35" t="s">
        <v>655</v>
      </c>
      <c r="D2664" s="39">
        <v>76.629997253417969</v>
      </c>
      <c r="E2664" s="39">
        <v>64.979133605957031</v>
      </c>
      <c r="F2664" s="41">
        <v>91030</v>
      </c>
      <c r="G2664" s="35" t="s">
        <v>680</v>
      </c>
      <c r="H2664" s="35" t="s">
        <v>115</v>
      </c>
    </row>
    <row r="2665" spans="1:8">
      <c r="A2665" s="37">
        <v>42158.15625</v>
      </c>
      <c r="B2665" s="35" t="s">
        <v>654</v>
      </c>
      <c r="C2665" s="35" t="s">
        <v>655</v>
      </c>
      <c r="D2665" s="39">
        <v>79.760002136230469</v>
      </c>
      <c r="E2665" s="39">
        <v>67.633255004882813</v>
      </c>
      <c r="F2665" s="41">
        <v>380740</v>
      </c>
      <c r="G2665" s="35" t="s">
        <v>680</v>
      </c>
      <c r="H2665" s="35" t="s">
        <v>115</v>
      </c>
    </row>
    <row r="2666" spans="1:8">
      <c r="A2666" s="37">
        <v>42159.15625</v>
      </c>
      <c r="B2666" s="35" t="s">
        <v>654</v>
      </c>
      <c r="C2666" s="35" t="s">
        <v>655</v>
      </c>
      <c r="D2666" s="39">
        <v>80.040000915527344</v>
      </c>
      <c r="E2666" s="39">
        <v>67.870681762695313</v>
      </c>
      <c r="F2666" s="41">
        <v>394265</v>
      </c>
      <c r="G2666" s="35" t="s">
        <v>680</v>
      </c>
      <c r="H2666" s="35" t="s">
        <v>115</v>
      </c>
    </row>
    <row r="2667" spans="1:8">
      <c r="A2667" s="37">
        <v>42160.15625</v>
      </c>
      <c r="B2667" s="35" t="s">
        <v>654</v>
      </c>
      <c r="C2667" s="35" t="s">
        <v>655</v>
      </c>
      <c r="D2667" s="39">
        <v>79.199996948242188</v>
      </c>
      <c r="E2667" s="39">
        <v>67.158370971679688</v>
      </c>
      <c r="F2667" s="41">
        <v>54070</v>
      </c>
      <c r="G2667" s="35" t="s">
        <v>680</v>
      </c>
      <c r="H2667" s="35" t="s">
        <v>115</v>
      </c>
    </row>
    <row r="2668" spans="1:8">
      <c r="A2668" s="37">
        <v>42163.15625</v>
      </c>
      <c r="B2668" s="35" t="s">
        <v>654</v>
      </c>
      <c r="C2668" s="35" t="s">
        <v>655</v>
      </c>
      <c r="D2668" s="39">
        <v>77.55999755859375</v>
      </c>
      <c r="E2668" s="39">
        <v>65.767745971679688</v>
      </c>
      <c r="F2668" s="41">
        <v>50585</v>
      </c>
      <c r="G2668" s="35" t="s">
        <v>680</v>
      </c>
      <c r="H2668" s="35" t="s">
        <v>115</v>
      </c>
    </row>
    <row r="2669" spans="1:8">
      <c r="A2669" s="37">
        <v>42164.15625</v>
      </c>
      <c r="B2669" s="35" t="s">
        <v>654</v>
      </c>
      <c r="C2669" s="35" t="s">
        <v>655</v>
      </c>
      <c r="D2669" s="39">
        <v>77.050003051757813</v>
      </c>
      <c r="E2669" s="39">
        <v>65.335273742675781</v>
      </c>
      <c r="F2669" s="41">
        <v>32380</v>
      </c>
      <c r="G2669" s="35" t="s">
        <v>680</v>
      </c>
      <c r="H2669" s="35" t="s">
        <v>115</v>
      </c>
    </row>
    <row r="2670" spans="1:8">
      <c r="A2670" s="37">
        <v>42165.15625</v>
      </c>
      <c r="B2670" s="35" t="s">
        <v>654</v>
      </c>
      <c r="C2670" s="35" t="s">
        <v>655</v>
      </c>
      <c r="D2670" s="39">
        <v>76.400001525878906</v>
      </c>
      <c r="E2670" s="39">
        <v>64.784095764160156</v>
      </c>
      <c r="F2670" s="41">
        <v>179975</v>
      </c>
      <c r="G2670" s="35" t="s">
        <v>680</v>
      </c>
      <c r="H2670" s="35" t="s">
        <v>115</v>
      </c>
    </row>
    <row r="2671" spans="1:8">
      <c r="A2671" s="37">
        <v>42166.15625</v>
      </c>
      <c r="B2671" s="35" t="s">
        <v>654</v>
      </c>
      <c r="C2671" s="35" t="s">
        <v>655</v>
      </c>
      <c r="D2671" s="39">
        <v>76.989997863769531</v>
      </c>
      <c r="E2671" s="39">
        <v>65.284378051757813</v>
      </c>
      <c r="F2671" s="41">
        <v>69960</v>
      </c>
      <c r="G2671" s="35" t="s">
        <v>680</v>
      </c>
      <c r="H2671" s="35" t="s">
        <v>115</v>
      </c>
    </row>
    <row r="2672" spans="1:8">
      <c r="A2672" s="37">
        <v>42167.15625</v>
      </c>
      <c r="B2672" s="35" t="s">
        <v>654</v>
      </c>
      <c r="C2672" s="35" t="s">
        <v>655</v>
      </c>
      <c r="D2672" s="39">
        <v>76.629997253417969</v>
      </c>
      <c r="E2672" s="39">
        <v>64.979133605957031</v>
      </c>
      <c r="F2672" s="41">
        <v>22725</v>
      </c>
      <c r="G2672" s="35" t="s">
        <v>680</v>
      </c>
      <c r="H2672" s="35" t="s">
        <v>115</v>
      </c>
    </row>
    <row r="2673" spans="1:8">
      <c r="A2673" s="37">
        <v>42170.15625</v>
      </c>
      <c r="B2673" s="35" t="s">
        <v>654</v>
      </c>
      <c r="C2673" s="35" t="s">
        <v>655</v>
      </c>
      <c r="D2673" s="39">
        <v>76.660003662109375</v>
      </c>
      <c r="E2673" s="39">
        <v>65.004562377929688</v>
      </c>
      <c r="F2673" s="41">
        <v>13960</v>
      </c>
      <c r="G2673" s="35" t="s">
        <v>680</v>
      </c>
      <c r="H2673" s="35" t="s">
        <v>115</v>
      </c>
    </row>
    <row r="2674" spans="1:8">
      <c r="A2674" s="37">
        <v>42171.15625</v>
      </c>
      <c r="B2674" s="35" t="s">
        <v>654</v>
      </c>
      <c r="C2674" s="35" t="s">
        <v>655</v>
      </c>
      <c r="D2674" s="39">
        <v>76.360000610351563</v>
      </c>
      <c r="E2674" s="39">
        <v>64.750175476074219</v>
      </c>
      <c r="F2674" s="41">
        <v>43720</v>
      </c>
      <c r="G2674" s="35" t="s">
        <v>680</v>
      </c>
      <c r="H2674" s="35" t="s">
        <v>115</v>
      </c>
    </row>
    <row r="2675" spans="1:8">
      <c r="A2675" s="37">
        <v>42172.15625</v>
      </c>
      <c r="B2675" s="35" t="s">
        <v>654</v>
      </c>
      <c r="C2675" s="35" t="s">
        <v>655</v>
      </c>
      <c r="D2675" s="39">
        <v>76.760002136230469</v>
      </c>
      <c r="E2675" s="39">
        <v>65.089363098144531</v>
      </c>
      <c r="F2675" s="41">
        <v>21535</v>
      </c>
      <c r="G2675" s="35" t="s">
        <v>680</v>
      </c>
      <c r="H2675" s="35" t="s">
        <v>115</v>
      </c>
    </row>
    <row r="2676" spans="1:8">
      <c r="A2676" s="37">
        <v>42173.15625</v>
      </c>
      <c r="B2676" s="35" t="s">
        <v>654</v>
      </c>
      <c r="C2676" s="35" t="s">
        <v>655</v>
      </c>
      <c r="D2676" s="39">
        <v>77.30999755859375</v>
      </c>
      <c r="E2676" s="39">
        <v>65.555740356445313</v>
      </c>
      <c r="F2676" s="41">
        <v>31360</v>
      </c>
      <c r="G2676" s="35" t="s">
        <v>680</v>
      </c>
      <c r="H2676" s="35" t="s">
        <v>115</v>
      </c>
    </row>
    <row r="2677" spans="1:8">
      <c r="A2677" s="37">
        <v>42174.15625</v>
      </c>
      <c r="B2677" s="35" t="s">
        <v>654</v>
      </c>
      <c r="C2677" s="35" t="s">
        <v>655</v>
      </c>
      <c r="D2677" s="39">
        <v>79.860000610351563</v>
      </c>
      <c r="E2677" s="39">
        <v>67.718032836914063</v>
      </c>
      <c r="F2677" s="41">
        <v>257310</v>
      </c>
      <c r="G2677" s="35" t="s">
        <v>680</v>
      </c>
      <c r="H2677" s="35" t="s">
        <v>115</v>
      </c>
    </row>
    <row r="2678" spans="1:8">
      <c r="A2678" s="37">
        <v>42177.15625</v>
      </c>
      <c r="B2678" s="35" t="s">
        <v>654</v>
      </c>
      <c r="C2678" s="35" t="s">
        <v>655</v>
      </c>
      <c r="D2678" s="39">
        <v>80.709999084472656</v>
      </c>
      <c r="E2678" s="39">
        <v>68.438804626464844</v>
      </c>
      <c r="F2678" s="41">
        <v>146970</v>
      </c>
      <c r="G2678" s="35" t="s">
        <v>680</v>
      </c>
      <c r="H2678" s="35" t="s">
        <v>115</v>
      </c>
    </row>
    <row r="2679" spans="1:8">
      <c r="A2679" s="37">
        <v>42178.15625</v>
      </c>
      <c r="B2679" s="35" t="s">
        <v>654</v>
      </c>
      <c r="C2679" s="35" t="s">
        <v>655</v>
      </c>
      <c r="D2679" s="39">
        <v>80.610000610351563</v>
      </c>
      <c r="E2679" s="39">
        <v>68.354011535644531</v>
      </c>
      <c r="F2679" s="41">
        <v>1862155</v>
      </c>
      <c r="G2679" s="35" t="s">
        <v>680</v>
      </c>
      <c r="H2679" s="35" t="s">
        <v>115</v>
      </c>
    </row>
    <row r="2680" spans="1:8">
      <c r="A2680" s="37">
        <v>42179.15625</v>
      </c>
      <c r="B2680" s="35" t="s">
        <v>654</v>
      </c>
      <c r="C2680" s="35" t="s">
        <v>655</v>
      </c>
      <c r="D2680" s="39">
        <v>80.300003051757813</v>
      </c>
      <c r="E2680" s="39">
        <v>68.091133117675781</v>
      </c>
      <c r="F2680" s="41">
        <v>91200</v>
      </c>
      <c r="G2680" s="35" t="s">
        <v>680</v>
      </c>
      <c r="H2680" s="35" t="s">
        <v>115</v>
      </c>
    </row>
    <row r="2681" spans="1:8">
      <c r="A2681" s="37">
        <v>42180.15625</v>
      </c>
      <c r="B2681" s="35" t="s">
        <v>654</v>
      </c>
      <c r="C2681" s="35" t="s">
        <v>655</v>
      </c>
      <c r="D2681" s="39">
        <v>78.370002746582031</v>
      </c>
      <c r="E2681" s="39">
        <v>66.454574584960938</v>
      </c>
      <c r="F2681" s="41">
        <v>50195</v>
      </c>
      <c r="G2681" s="35" t="s">
        <v>680</v>
      </c>
      <c r="H2681" s="35" t="s">
        <v>115</v>
      </c>
    </row>
    <row r="2682" spans="1:8">
      <c r="A2682" s="37">
        <v>42181.15625</v>
      </c>
      <c r="B2682" s="35" t="s">
        <v>654</v>
      </c>
      <c r="C2682" s="35" t="s">
        <v>655</v>
      </c>
      <c r="D2682" s="39">
        <v>78.580001831054688</v>
      </c>
      <c r="E2682" s="39">
        <v>66.632644653320313</v>
      </c>
      <c r="F2682" s="41">
        <v>96455</v>
      </c>
      <c r="G2682" s="35" t="s">
        <v>680</v>
      </c>
      <c r="H2682" s="35" t="s">
        <v>115</v>
      </c>
    </row>
    <row r="2683" spans="1:8">
      <c r="A2683" s="37">
        <v>42184.15625</v>
      </c>
      <c r="B2683" s="35" t="s">
        <v>654</v>
      </c>
      <c r="C2683" s="35" t="s">
        <v>655</v>
      </c>
      <c r="D2683" s="39">
        <v>77.639999389648438</v>
      </c>
      <c r="E2683" s="39">
        <v>65.8355712890625</v>
      </c>
      <c r="F2683" s="41">
        <v>68220</v>
      </c>
      <c r="G2683" s="35" t="s">
        <v>680</v>
      </c>
      <c r="H2683" s="35" t="s">
        <v>115</v>
      </c>
    </row>
    <row r="2684" spans="1:8">
      <c r="A2684" s="37">
        <v>42185.15625</v>
      </c>
      <c r="B2684" s="35" t="s">
        <v>654</v>
      </c>
      <c r="C2684" s="35" t="s">
        <v>655</v>
      </c>
      <c r="D2684" s="39">
        <v>78.010002136230469</v>
      </c>
      <c r="E2684" s="39">
        <v>66.149307250976563</v>
      </c>
      <c r="F2684" s="41">
        <v>209410</v>
      </c>
      <c r="G2684" s="35" t="s">
        <v>680</v>
      </c>
      <c r="H2684" s="35" t="s">
        <v>115</v>
      </c>
    </row>
    <row r="2685" spans="1:8">
      <c r="A2685" s="37">
        <v>42186.15625</v>
      </c>
      <c r="B2685" s="35" t="s">
        <v>654</v>
      </c>
      <c r="C2685" s="35" t="s">
        <v>655</v>
      </c>
      <c r="D2685" s="39">
        <v>77.599998474121094</v>
      </c>
      <c r="E2685" s="39">
        <v>65.801651000976563</v>
      </c>
      <c r="F2685" s="41">
        <v>591800</v>
      </c>
      <c r="G2685" s="35" t="s">
        <v>680</v>
      </c>
      <c r="H2685" s="35" t="s">
        <v>115</v>
      </c>
    </row>
    <row r="2686" spans="1:8">
      <c r="A2686" s="37">
        <v>42187.15625</v>
      </c>
      <c r="B2686" s="35" t="s">
        <v>654</v>
      </c>
      <c r="C2686" s="35" t="s">
        <v>655</v>
      </c>
      <c r="D2686" s="39">
        <v>77.739997863769531</v>
      </c>
      <c r="E2686" s="39">
        <v>65.920372009277344</v>
      </c>
      <c r="F2686" s="41">
        <v>70920</v>
      </c>
      <c r="G2686" s="35" t="s">
        <v>680</v>
      </c>
      <c r="H2686" s="35" t="s">
        <v>115</v>
      </c>
    </row>
    <row r="2687" spans="1:8">
      <c r="A2687" s="37">
        <v>42188.15625</v>
      </c>
      <c r="B2687" s="35" t="s">
        <v>654</v>
      </c>
      <c r="C2687" s="35" t="s">
        <v>655</v>
      </c>
      <c r="D2687" s="39">
        <v>78.410003662109375</v>
      </c>
      <c r="E2687" s="39">
        <v>66.488487243652344</v>
      </c>
      <c r="F2687" s="41">
        <v>135570</v>
      </c>
      <c r="G2687" s="35" t="s">
        <v>680</v>
      </c>
      <c r="H2687" s="35" t="s">
        <v>115</v>
      </c>
    </row>
    <row r="2688" spans="1:8">
      <c r="A2688" s="37">
        <v>42191.15625</v>
      </c>
      <c r="B2688" s="35" t="s">
        <v>654</v>
      </c>
      <c r="C2688" s="35" t="s">
        <v>655</v>
      </c>
      <c r="D2688" s="39">
        <v>78.709999084472656</v>
      </c>
      <c r="E2688" s="39">
        <v>66.742889404296875</v>
      </c>
      <c r="F2688" s="41">
        <v>70705</v>
      </c>
      <c r="G2688" s="35" t="s">
        <v>680</v>
      </c>
      <c r="H2688" s="35" t="s">
        <v>115</v>
      </c>
    </row>
    <row r="2689" spans="1:8">
      <c r="A2689" s="37">
        <v>42192.15625</v>
      </c>
      <c r="B2689" s="35" t="s">
        <v>654</v>
      </c>
      <c r="C2689" s="35" t="s">
        <v>655</v>
      </c>
      <c r="D2689" s="39">
        <v>77.75</v>
      </c>
      <c r="E2689" s="39">
        <v>65.9288330078125</v>
      </c>
      <c r="F2689" s="41">
        <v>61250</v>
      </c>
      <c r="G2689" s="35" t="s">
        <v>680</v>
      </c>
      <c r="H2689" s="35" t="s">
        <v>115</v>
      </c>
    </row>
    <row r="2690" spans="1:8">
      <c r="A2690" s="37">
        <v>42193.15625</v>
      </c>
      <c r="B2690" s="35" t="s">
        <v>654</v>
      </c>
      <c r="C2690" s="35" t="s">
        <v>655</v>
      </c>
      <c r="D2690" s="39">
        <v>76.610000610351563</v>
      </c>
      <c r="E2690" s="39">
        <v>64.962158203125</v>
      </c>
      <c r="F2690" s="41">
        <v>115945</v>
      </c>
      <c r="G2690" s="35" t="s">
        <v>680</v>
      </c>
      <c r="H2690" s="35" t="s">
        <v>115</v>
      </c>
    </row>
    <row r="2691" spans="1:8">
      <c r="A2691" s="37">
        <v>42194.15625</v>
      </c>
      <c r="B2691" s="35" t="s">
        <v>654</v>
      </c>
      <c r="C2691" s="35" t="s">
        <v>655</v>
      </c>
      <c r="D2691" s="39">
        <v>76.930000305175781</v>
      </c>
      <c r="E2691" s="39">
        <v>65.233528137207031</v>
      </c>
      <c r="F2691" s="41">
        <v>94115</v>
      </c>
      <c r="G2691" s="35" t="s">
        <v>680</v>
      </c>
      <c r="H2691" s="35" t="s">
        <v>115</v>
      </c>
    </row>
    <row r="2692" spans="1:8">
      <c r="A2692" s="37">
        <v>42195.15625</v>
      </c>
      <c r="B2692" s="35" t="s">
        <v>654</v>
      </c>
      <c r="C2692" s="35" t="s">
        <v>655</v>
      </c>
      <c r="D2692" s="39">
        <v>77.790000915527344</v>
      </c>
      <c r="E2692" s="39">
        <v>65.9627685546875</v>
      </c>
      <c r="F2692" s="41">
        <v>69240</v>
      </c>
      <c r="G2692" s="35" t="s">
        <v>680</v>
      </c>
      <c r="H2692" s="35" t="s">
        <v>115</v>
      </c>
    </row>
    <row r="2693" spans="1:8">
      <c r="A2693" s="37">
        <v>42198.15625</v>
      </c>
      <c r="B2693" s="35" t="s">
        <v>654</v>
      </c>
      <c r="C2693" s="35" t="s">
        <v>655</v>
      </c>
      <c r="D2693" s="39">
        <v>83.720001220703125</v>
      </c>
      <c r="E2693" s="39">
        <v>70.991180419921875</v>
      </c>
      <c r="F2693" s="41">
        <v>612270</v>
      </c>
      <c r="G2693" s="35" t="s">
        <v>680</v>
      </c>
      <c r="H2693" s="35" t="s">
        <v>115</v>
      </c>
    </row>
    <row r="2694" spans="1:8">
      <c r="A2694" s="37">
        <v>42199.15625</v>
      </c>
      <c r="B2694" s="35" t="s">
        <v>654</v>
      </c>
      <c r="C2694" s="35" t="s">
        <v>655</v>
      </c>
      <c r="D2694" s="39">
        <v>92.69000244140625</v>
      </c>
      <c r="E2694" s="39">
        <v>78.597366333007813</v>
      </c>
      <c r="F2694" s="41">
        <v>10459175</v>
      </c>
      <c r="G2694" s="35" t="s">
        <v>680</v>
      </c>
      <c r="H2694" s="35" t="s">
        <v>115</v>
      </c>
    </row>
    <row r="2695" spans="1:8">
      <c r="A2695" s="37">
        <v>42200.15625</v>
      </c>
      <c r="B2695" s="35" t="s">
        <v>654</v>
      </c>
      <c r="C2695" s="35" t="s">
        <v>655</v>
      </c>
      <c r="D2695" s="39">
        <v>91.930000305175781</v>
      </c>
      <c r="E2695" s="39">
        <v>77.952911376953125</v>
      </c>
      <c r="F2695" s="41">
        <v>2900140</v>
      </c>
      <c r="G2695" s="35" t="s">
        <v>680</v>
      </c>
      <c r="H2695" s="35" t="s">
        <v>115</v>
      </c>
    </row>
    <row r="2696" spans="1:8">
      <c r="A2696" s="37">
        <v>42201.15625</v>
      </c>
      <c r="B2696" s="35" t="s">
        <v>654</v>
      </c>
      <c r="C2696" s="35" t="s">
        <v>655</v>
      </c>
      <c r="D2696" s="39">
        <v>97.319999694824219</v>
      </c>
      <c r="E2696" s="39">
        <v>82.523406982421875</v>
      </c>
      <c r="F2696" s="41">
        <v>4124775</v>
      </c>
      <c r="G2696" s="35" t="s">
        <v>680</v>
      </c>
      <c r="H2696" s="35" t="s">
        <v>115</v>
      </c>
    </row>
    <row r="2697" spans="1:8">
      <c r="A2697" s="37">
        <v>42202.15625</v>
      </c>
      <c r="B2697" s="35" t="s">
        <v>654</v>
      </c>
      <c r="C2697" s="35" t="s">
        <v>655</v>
      </c>
      <c r="D2697" s="39">
        <v>95.169998168945313</v>
      </c>
      <c r="E2697" s="39">
        <v>80.700302124023438</v>
      </c>
      <c r="F2697" s="41">
        <v>1605370</v>
      </c>
      <c r="G2697" s="35" t="s">
        <v>680</v>
      </c>
      <c r="H2697" s="35" t="s">
        <v>115</v>
      </c>
    </row>
    <row r="2698" spans="1:8">
      <c r="A2698" s="37">
        <v>42205.15625</v>
      </c>
      <c r="B2698" s="35" t="s">
        <v>654</v>
      </c>
      <c r="C2698" s="35" t="s">
        <v>655</v>
      </c>
      <c r="D2698" s="39">
        <v>96.209999084472656</v>
      </c>
      <c r="E2698" s="39">
        <v>81.582199096679688</v>
      </c>
      <c r="F2698" s="41">
        <v>1196320</v>
      </c>
      <c r="G2698" s="35" t="s">
        <v>680</v>
      </c>
      <c r="H2698" s="35" t="s">
        <v>115</v>
      </c>
    </row>
    <row r="2699" spans="1:8">
      <c r="A2699" s="37">
        <v>42206.15625</v>
      </c>
      <c r="B2699" s="35" t="s">
        <v>654</v>
      </c>
      <c r="C2699" s="35" t="s">
        <v>655</v>
      </c>
      <c r="D2699" s="39">
        <v>96.290000915527344</v>
      </c>
      <c r="E2699" s="39">
        <v>81.650032043457031</v>
      </c>
      <c r="F2699" s="41">
        <v>3025940</v>
      </c>
      <c r="G2699" s="35" t="s">
        <v>680</v>
      </c>
      <c r="H2699" s="35" t="s">
        <v>115</v>
      </c>
    </row>
    <row r="2700" spans="1:8">
      <c r="A2700" s="37">
        <v>42207.15625</v>
      </c>
      <c r="B2700" s="35" t="s">
        <v>654</v>
      </c>
      <c r="C2700" s="35" t="s">
        <v>655</v>
      </c>
      <c r="D2700" s="39">
        <v>99.839996337890625</v>
      </c>
      <c r="E2700" s="39">
        <v>84.660270690917969</v>
      </c>
      <c r="F2700" s="41">
        <v>1050640</v>
      </c>
      <c r="G2700" s="35" t="s">
        <v>680</v>
      </c>
      <c r="H2700" s="35" t="s">
        <v>115</v>
      </c>
    </row>
    <row r="2701" spans="1:8">
      <c r="A2701" s="37">
        <v>42208.15625</v>
      </c>
      <c r="B2701" s="35" t="s">
        <v>654</v>
      </c>
      <c r="C2701" s="35" t="s">
        <v>655</v>
      </c>
      <c r="D2701" s="39">
        <v>97.870002746582031</v>
      </c>
      <c r="E2701" s="39">
        <v>84.599754333496094</v>
      </c>
      <c r="F2701" s="41">
        <v>595360</v>
      </c>
      <c r="G2701" s="35" t="s">
        <v>680</v>
      </c>
      <c r="H2701" s="35" t="s">
        <v>115</v>
      </c>
    </row>
    <row r="2702" spans="1:8">
      <c r="A2702" s="37">
        <v>42209.15625</v>
      </c>
      <c r="B2702" s="35" t="s">
        <v>654</v>
      </c>
      <c r="C2702" s="35" t="s">
        <v>655</v>
      </c>
      <c r="D2702" s="39">
        <v>97.550003051757813</v>
      </c>
      <c r="E2702" s="39">
        <v>84.323135375976563</v>
      </c>
      <c r="F2702" s="41">
        <v>681535</v>
      </c>
      <c r="G2702" s="35" t="s">
        <v>680</v>
      </c>
      <c r="H2702" s="35" t="s">
        <v>115</v>
      </c>
    </row>
    <row r="2703" spans="1:8">
      <c r="A2703" s="37">
        <v>42212.15625</v>
      </c>
      <c r="B2703" s="35" t="s">
        <v>654</v>
      </c>
      <c r="C2703" s="35" t="s">
        <v>655</v>
      </c>
      <c r="D2703" s="39">
        <v>93.519996643066406</v>
      </c>
      <c r="E2703" s="39">
        <v>80.839546203613281</v>
      </c>
      <c r="F2703" s="41">
        <v>635925</v>
      </c>
      <c r="G2703" s="35" t="s">
        <v>680</v>
      </c>
      <c r="H2703" s="35" t="s">
        <v>115</v>
      </c>
    </row>
    <row r="2704" spans="1:8">
      <c r="A2704" s="37">
        <v>42213.15625</v>
      </c>
      <c r="B2704" s="35" t="s">
        <v>654</v>
      </c>
      <c r="C2704" s="35" t="s">
        <v>655</v>
      </c>
      <c r="D2704" s="39">
        <v>94.449996948242188</v>
      </c>
      <c r="E2704" s="39">
        <v>81.643470764160156</v>
      </c>
      <c r="F2704" s="41">
        <v>1163170</v>
      </c>
      <c r="G2704" s="35" t="s">
        <v>680</v>
      </c>
      <c r="H2704" s="35" t="s">
        <v>115</v>
      </c>
    </row>
    <row r="2705" spans="1:8">
      <c r="A2705" s="37">
        <v>42214.15625</v>
      </c>
      <c r="B2705" s="35" t="s">
        <v>654</v>
      </c>
      <c r="C2705" s="35" t="s">
        <v>655</v>
      </c>
      <c r="D2705" s="39">
        <v>95.550003051757813</v>
      </c>
      <c r="E2705" s="39">
        <v>82.594329833984375</v>
      </c>
      <c r="F2705" s="41">
        <v>445505</v>
      </c>
      <c r="G2705" s="35" t="s">
        <v>680</v>
      </c>
      <c r="H2705" s="35" t="s">
        <v>115</v>
      </c>
    </row>
    <row r="2706" spans="1:8">
      <c r="A2706" s="37">
        <v>42215.15625</v>
      </c>
      <c r="B2706" s="35" t="s">
        <v>654</v>
      </c>
      <c r="C2706" s="35" t="s">
        <v>655</v>
      </c>
      <c r="D2706" s="39">
        <v>96.400001525878906</v>
      </c>
      <c r="E2706" s="39">
        <v>83.3291015625</v>
      </c>
      <c r="F2706" s="41">
        <v>486185</v>
      </c>
      <c r="G2706" s="35" t="s">
        <v>680</v>
      </c>
      <c r="H2706" s="35" t="s">
        <v>115</v>
      </c>
    </row>
    <row r="2707" spans="1:8">
      <c r="A2707" s="37">
        <v>42216.15625</v>
      </c>
      <c r="B2707" s="35" t="s">
        <v>654</v>
      </c>
      <c r="C2707" s="35" t="s">
        <v>655</v>
      </c>
      <c r="D2707" s="39">
        <v>96.449996948242188</v>
      </c>
      <c r="E2707" s="39">
        <v>83.372306823730469</v>
      </c>
      <c r="F2707" s="41">
        <v>484855</v>
      </c>
      <c r="G2707" s="35" t="s">
        <v>680</v>
      </c>
      <c r="H2707" s="35" t="s">
        <v>115</v>
      </c>
    </row>
    <row r="2708" spans="1:8">
      <c r="A2708" s="37">
        <v>42219.15625</v>
      </c>
      <c r="B2708" s="35" t="s">
        <v>654</v>
      </c>
      <c r="C2708" s="35" t="s">
        <v>655</v>
      </c>
      <c r="D2708" s="39">
        <v>95.94000244140625</v>
      </c>
      <c r="E2708" s="39">
        <v>82.931449890136719</v>
      </c>
      <c r="F2708" s="41">
        <v>399350</v>
      </c>
      <c r="G2708" s="35" t="s">
        <v>680</v>
      </c>
      <c r="H2708" s="35" t="s">
        <v>115</v>
      </c>
    </row>
    <row r="2709" spans="1:8">
      <c r="A2709" s="37">
        <v>42220.15625</v>
      </c>
      <c r="B2709" s="35" t="s">
        <v>654</v>
      </c>
      <c r="C2709" s="35" t="s">
        <v>655</v>
      </c>
      <c r="D2709" s="39">
        <v>93.19000244140625</v>
      </c>
      <c r="E2709" s="39">
        <v>80.5543212890625</v>
      </c>
      <c r="F2709" s="41">
        <v>534940</v>
      </c>
      <c r="G2709" s="35" t="s">
        <v>680</v>
      </c>
      <c r="H2709" s="35" t="s">
        <v>115</v>
      </c>
    </row>
    <row r="2710" spans="1:8">
      <c r="A2710" s="37">
        <v>42221.15625</v>
      </c>
      <c r="B2710" s="35" t="s">
        <v>654</v>
      </c>
      <c r="C2710" s="35" t="s">
        <v>655</v>
      </c>
      <c r="D2710" s="39">
        <v>92.629997253417969</v>
      </c>
      <c r="E2710" s="39">
        <v>80.070236206054688</v>
      </c>
      <c r="F2710" s="41">
        <v>606835</v>
      </c>
      <c r="G2710" s="35" t="s">
        <v>680</v>
      </c>
      <c r="H2710" s="35" t="s">
        <v>115</v>
      </c>
    </row>
    <row r="2711" spans="1:8">
      <c r="A2711" s="37">
        <v>42222.15625</v>
      </c>
      <c r="B2711" s="35" t="s">
        <v>654</v>
      </c>
      <c r="C2711" s="35" t="s">
        <v>655</v>
      </c>
      <c r="D2711" s="39">
        <v>94.370002746582031</v>
      </c>
      <c r="E2711" s="39">
        <v>81.574295043945313</v>
      </c>
      <c r="F2711" s="41">
        <v>1020060</v>
      </c>
      <c r="G2711" s="35" t="s">
        <v>680</v>
      </c>
      <c r="H2711" s="35" t="s">
        <v>115</v>
      </c>
    </row>
    <row r="2712" spans="1:8">
      <c r="A2712" s="37">
        <v>42223.15625</v>
      </c>
      <c r="B2712" s="35" t="s">
        <v>654</v>
      </c>
      <c r="C2712" s="35" t="s">
        <v>655</v>
      </c>
      <c r="D2712" s="39">
        <v>95.709999084472656</v>
      </c>
      <c r="E2712" s="39">
        <v>82.732635498046875</v>
      </c>
      <c r="F2712" s="41">
        <v>1222960</v>
      </c>
      <c r="G2712" s="35" t="s">
        <v>680</v>
      </c>
      <c r="H2712" s="35" t="s">
        <v>115</v>
      </c>
    </row>
    <row r="2713" spans="1:8">
      <c r="A2713" s="37">
        <v>42226.15625</v>
      </c>
      <c r="B2713" s="35" t="s">
        <v>654</v>
      </c>
      <c r="C2713" s="35" t="s">
        <v>655</v>
      </c>
      <c r="D2713" s="39">
        <v>97</v>
      </c>
      <c r="E2713" s="39">
        <v>83.847724914550781</v>
      </c>
      <c r="F2713" s="41">
        <v>859420</v>
      </c>
      <c r="G2713" s="35" t="s">
        <v>680</v>
      </c>
      <c r="H2713" s="35" t="s">
        <v>115</v>
      </c>
    </row>
    <row r="2714" spans="1:8">
      <c r="A2714" s="37">
        <v>42227.15625</v>
      </c>
      <c r="B2714" s="35" t="s">
        <v>654</v>
      </c>
      <c r="C2714" s="35" t="s">
        <v>655</v>
      </c>
      <c r="D2714" s="39">
        <v>103.68000030517578</v>
      </c>
      <c r="E2714" s="39">
        <v>89.621986389160156</v>
      </c>
      <c r="F2714" s="41">
        <v>2017915</v>
      </c>
      <c r="G2714" s="35" t="s">
        <v>680</v>
      </c>
      <c r="H2714" s="35" t="s">
        <v>115</v>
      </c>
    </row>
    <row r="2715" spans="1:8">
      <c r="A2715" s="37">
        <v>42228.15625</v>
      </c>
      <c r="B2715" s="35" t="s">
        <v>654</v>
      </c>
      <c r="C2715" s="35" t="s">
        <v>655</v>
      </c>
      <c r="D2715" s="39">
        <v>106.31999969482422</v>
      </c>
      <c r="E2715" s="39">
        <v>91.904037475585938</v>
      </c>
      <c r="F2715" s="41">
        <v>2978195</v>
      </c>
      <c r="G2715" s="35" t="s">
        <v>680</v>
      </c>
      <c r="H2715" s="35" t="s">
        <v>115</v>
      </c>
    </row>
    <row r="2716" spans="1:8">
      <c r="A2716" s="37">
        <v>42229.15625</v>
      </c>
      <c r="B2716" s="35" t="s">
        <v>654</v>
      </c>
      <c r="C2716" s="35" t="s">
        <v>655</v>
      </c>
      <c r="D2716" s="39">
        <v>99.480003356933594</v>
      </c>
      <c r="E2716" s="39">
        <v>85.991462707519531</v>
      </c>
      <c r="F2716" s="41">
        <v>1200495</v>
      </c>
      <c r="G2716" s="35" t="s">
        <v>680</v>
      </c>
      <c r="H2716" s="35" t="s">
        <v>115</v>
      </c>
    </row>
    <row r="2717" spans="1:8">
      <c r="A2717" s="37">
        <v>42230.15625</v>
      </c>
      <c r="B2717" s="35" t="s">
        <v>654</v>
      </c>
      <c r="C2717" s="35" t="s">
        <v>655</v>
      </c>
      <c r="D2717" s="39">
        <v>101.44999694824219</v>
      </c>
      <c r="E2717" s="39">
        <v>87.694343566894531</v>
      </c>
      <c r="F2717" s="41">
        <v>1259490</v>
      </c>
      <c r="G2717" s="35" t="s">
        <v>680</v>
      </c>
      <c r="H2717" s="35" t="s">
        <v>115</v>
      </c>
    </row>
    <row r="2718" spans="1:8">
      <c r="A2718" s="37">
        <v>42233.15625</v>
      </c>
      <c r="B2718" s="35" t="s">
        <v>654</v>
      </c>
      <c r="C2718" s="35" t="s">
        <v>655</v>
      </c>
      <c r="D2718" s="39">
        <v>102.62999725341797</v>
      </c>
      <c r="E2718" s="39">
        <v>88.714370727539063</v>
      </c>
      <c r="F2718" s="41">
        <v>1100170</v>
      </c>
      <c r="G2718" s="35" t="s">
        <v>680</v>
      </c>
      <c r="H2718" s="35" t="s">
        <v>115</v>
      </c>
    </row>
    <row r="2719" spans="1:8">
      <c r="A2719" s="37">
        <v>42234.15625</v>
      </c>
      <c r="B2719" s="35" t="s">
        <v>654</v>
      </c>
      <c r="C2719" s="35" t="s">
        <v>655</v>
      </c>
      <c r="D2719" s="39">
        <v>104.05999755859375</v>
      </c>
      <c r="E2719" s="39">
        <v>89.950447082519531</v>
      </c>
      <c r="F2719" s="41">
        <v>903675</v>
      </c>
      <c r="G2719" s="35" t="s">
        <v>680</v>
      </c>
      <c r="H2719" s="35" t="s">
        <v>115</v>
      </c>
    </row>
    <row r="2720" spans="1:8">
      <c r="A2720" s="37">
        <v>42235.15625</v>
      </c>
      <c r="B2720" s="35" t="s">
        <v>654</v>
      </c>
      <c r="C2720" s="35" t="s">
        <v>655</v>
      </c>
      <c r="D2720" s="39">
        <v>103.98999786376953</v>
      </c>
      <c r="E2720" s="39">
        <v>89.889923095703125</v>
      </c>
      <c r="F2720" s="41">
        <v>672120</v>
      </c>
      <c r="G2720" s="35" t="s">
        <v>680</v>
      </c>
      <c r="H2720" s="35" t="s">
        <v>115</v>
      </c>
    </row>
    <row r="2721" spans="1:8">
      <c r="A2721" s="37">
        <v>42236.15625</v>
      </c>
      <c r="B2721" s="35" t="s">
        <v>654</v>
      </c>
      <c r="C2721" s="35" t="s">
        <v>655</v>
      </c>
      <c r="D2721" s="39">
        <v>101.80999755859375</v>
      </c>
      <c r="E2721" s="39">
        <v>88.005531311035156</v>
      </c>
      <c r="F2721" s="41">
        <v>365310</v>
      </c>
      <c r="G2721" s="35" t="s">
        <v>680</v>
      </c>
      <c r="H2721" s="35" t="s">
        <v>115</v>
      </c>
    </row>
    <row r="2722" spans="1:8">
      <c r="A2722" s="37">
        <v>42237.15625</v>
      </c>
      <c r="B2722" s="35" t="s">
        <v>654</v>
      </c>
      <c r="C2722" s="35" t="s">
        <v>655</v>
      </c>
      <c r="D2722" s="39">
        <v>99.029998779296875</v>
      </c>
      <c r="E2722" s="39">
        <v>85.602455139160156</v>
      </c>
      <c r="F2722" s="41">
        <v>593275</v>
      </c>
      <c r="G2722" s="35" t="s">
        <v>680</v>
      </c>
      <c r="H2722" s="35" t="s">
        <v>115</v>
      </c>
    </row>
    <row r="2723" spans="1:8">
      <c r="A2723" s="37">
        <v>42240.15625</v>
      </c>
      <c r="B2723" s="35" t="s">
        <v>654</v>
      </c>
      <c r="C2723" s="35" t="s">
        <v>655</v>
      </c>
      <c r="D2723" s="39">
        <v>90.75</v>
      </c>
      <c r="E2723" s="39">
        <v>78.445167541503906</v>
      </c>
      <c r="F2723" s="41">
        <v>637250</v>
      </c>
      <c r="G2723" s="35" t="s">
        <v>680</v>
      </c>
      <c r="H2723" s="35" t="s">
        <v>115</v>
      </c>
    </row>
    <row r="2724" spans="1:8">
      <c r="A2724" s="37">
        <v>42241.15625</v>
      </c>
      <c r="B2724" s="35" t="s">
        <v>654</v>
      </c>
      <c r="C2724" s="35" t="s">
        <v>655</v>
      </c>
      <c r="D2724" s="39">
        <v>87.089996337890625</v>
      </c>
      <c r="E2724" s="39">
        <v>75.281417846679688</v>
      </c>
      <c r="F2724" s="41">
        <v>982800</v>
      </c>
      <c r="G2724" s="35" t="s">
        <v>680</v>
      </c>
      <c r="H2724" s="35" t="s">
        <v>115</v>
      </c>
    </row>
    <row r="2725" spans="1:8">
      <c r="A2725" s="37">
        <v>42242.15625</v>
      </c>
      <c r="B2725" s="35" t="s">
        <v>654</v>
      </c>
      <c r="C2725" s="35" t="s">
        <v>655</v>
      </c>
      <c r="D2725" s="39">
        <v>86.139999389648438</v>
      </c>
      <c r="E2725" s="39">
        <v>74.460220336914063</v>
      </c>
      <c r="F2725" s="41">
        <v>389725</v>
      </c>
      <c r="G2725" s="35" t="s">
        <v>680</v>
      </c>
      <c r="H2725" s="35" t="s">
        <v>115</v>
      </c>
    </row>
    <row r="2726" spans="1:8">
      <c r="A2726" s="37">
        <v>42243.15625</v>
      </c>
      <c r="B2726" s="35" t="s">
        <v>654</v>
      </c>
      <c r="C2726" s="35" t="s">
        <v>655</v>
      </c>
      <c r="D2726" s="39">
        <v>87.910003662109375</v>
      </c>
      <c r="E2726" s="39">
        <v>75.990242004394531</v>
      </c>
      <c r="F2726" s="41">
        <v>471400</v>
      </c>
      <c r="G2726" s="35" t="s">
        <v>680</v>
      </c>
      <c r="H2726" s="35" t="s">
        <v>115</v>
      </c>
    </row>
    <row r="2727" spans="1:8">
      <c r="A2727" s="37">
        <v>42244.15625</v>
      </c>
      <c r="B2727" s="35" t="s">
        <v>654</v>
      </c>
      <c r="C2727" s="35" t="s">
        <v>655</v>
      </c>
      <c r="D2727" s="39">
        <v>86.349998474121094</v>
      </c>
      <c r="E2727" s="39">
        <v>74.641761779785156</v>
      </c>
      <c r="F2727" s="41">
        <v>622505</v>
      </c>
      <c r="G2727" s="35" t="s">
        <v>680</v>
      </c>
      <c r="H2727" s="35" t="s">
        <v>115</v>
      </c>
    </row>
    <row r="2728" spans="1:8">
      <c r="A2728" s="37">
        <v>42247.15625</v>
      </c>
      <c r="B2728" s="35" t="s">
        <v>654</v>
      </c>
      <c r="C2728" s="35" t="s">
        <v>655</v>
      </c>
      <c r="D2728" s="39">
        <v>93.269996643066406</v>
      </c>
      <c r="E2728" s="39">
        <v>80.623466491699219</v>
      </c>
      <c r="F2728" s="41">
        <v>1486540</v>
      </c>
      <c r="G2728" s="35" t="s">
        <v>680</v>
      </c>
      <c r="H2728" s="35" t="s">
        <v>115</v>
      </c>
    </row>
    <row r="2729" spans="1:8">
      <c r="A2729" s="37">
        <v>42248.15625</v>
      </c>
      <c r="B2729" s="35" t="s">
        <v>654</v>
      </c>
      <c r="C2729" s="35" t="s">
        <v>655</v>
      </c>
      <c r="D2729" s="39">
        <v>93.629997253417969</v>
      </c>
      <c r="E2729" s="39">
        <v>80.934646606445313</v>
      </c>
      <c r="F2729" s="41">
        <v>1617415</v>
      </c>
      <c r="G2729" s="35" t="s">
        <v>680</v>
      </c>
      <c r="H2729" s="35" t="s">
        <v>115</v>
      </c>
    </row>
    <row r="2730" spans="1:8">
      <c r="A2730" s="37">
        <v>42249.15625</v>
      </c>
      <c r="B2730" s="35" t="s">
        <v>654</v>
      </c>
      <c r="C2730" s="35" t="s">
        <v>655</v>
      </c>
      <c r="D2730" s="39">
        <v>93.580001831054688</v>
      </c>
      <c r="E2730" s="39">
        <v>80.891448974609375</v>
      </c>
      <c r="F2730" s="41">
        <v>538005</v>
      </c>
      <c r="G2730" s="35" t="s">
        <v>680</v>
      </c>
      <c r="H2730" s="35" t="s">
        <v>115</v>
      </c>
    </row>
    <row r="2731" spans="1:8">
      <c r="A2731" s="37">
        <v>42250.15625</v>
      </c>
      <c r="B2731" s="35" t="s">
        <v>654</v>
      </c>
      <c r="C2731" s="35" t="s">
        <v>655</v>
      </c>
      <c r="D2731" s="39">
        <v>92.529998779296875</v>
      </c>
      <c r="E2731" s="39">
        <v>79.98382568359375</v>
      </c>
      <c r="F2731" s="41">
        <v>158370</v>
      </c>
      <c r="G2731" s="35" t="s">
        <v>680</v>
      </c>
      <c r="H2731" s="35" t="s">
        <v>115</v>
      </c>
    </row>
    <row r="2732" spans="1:8">
      <c r="A2732" s="37">
        <v>42251.15625</v>
      </c>
      <c r="B2732" s="35" t="s">
        <v>654</v>
      </c>
      <c r="C2732" s="35" t="s">
        <v>655</v>
      </c>
      <c r="D2732" s="39">
        <v>89.620002746582031</v>
      </c>
      <c r="E2732" s="39">
        <v>77.468368530273438</v>
      </c>
      <c r="F2732" s="41">
        <v>234395</v>
      </c>
      <c r="G2732" s="35" t="s">
        <v>680</v>
      </c>
      <c r="H2732" s="35" t="s">
        <v>115</v>
      </c>
    </row>
    <row r="2733" spans="1:8">
      <c r="A2733" s="37">
        <v>42254.15625</v>
      </c>
      <c r="B2733" s="35" t="s">
        <v>654</v>
      </c>
      <c r="C2733" s="35" t="s">
        <v>655</v>
      </c>
      <c r="D2733" s="39">
        <v>88.290000915527344</v>
      </c>
      <c r="E2733" s="39">
        <v>76.3187255859375</v>
      </c>
      <c r="F2733" s="41">
        <v>264420</v>
      </c>
      <c r="G2733" s="35" t="s">
        <v>680</v>
      </c>
      <c r="H2733" s="35" t="s">
        <v>115</v>
      </c>
    </row>
    <row r="2734" spans="1:8">
      <c r="A2734" s="37">
        <v>42255.15625</v>
      </c>
      <c r="B2734" s="35" t="s">
        <v>654</v>
      </c>
      <c r="C2734" s="35" t="s">
        <v>655</v>
      </c>
      <c r="D2734" s="39">
        <v>85.900001525878906</v>
      </c>
      <c r="E2734" s="39">
        <v>74.252761840820313</v>
      </c>
      <c r="F2734" s="41">
        <v>305955</v>
      </c>
      <c r="G2734" s="35" t="s">
        <v>680</v>
      </c>
      <c r="H2734" s="35" t="s">
        <v>115</v>
      </c>
    </row>
    <row r="2735" spans="1:8">
      <c r="A2735" s="37">
        <v>42256.15625</v>
      </c>
      <c r="B2735" s="35" t="s">
        <v>654</v>
      </c>
      <c r="C2735" s="35" t="s">
        <v>655</v>
      </c>
      <c r="D2735" s="39">
        <v>89.040000915527344</v>
      </c>
      <c r="E2735" s="39">
        <v>76.967018127441406</v>
      </c>
      <c r="F2735" s="41">
        <v>326380</v>
      </c>
      <c r="G2735" s="35" t="s">
        <v>680</v>
      </c>
      <c r="H2735" s="35" t="s">
        <v>115</v>
      </c>
    </row>
    <row r="2736" spans="1:8">
      <c r="A2736" s="37">
        <v>42257.15625</v>
      </c>
      <c r="B2736" s="35" t="s">
        <v>654</v>
      </c>
      <c r="C2736" s="35" t="s">
        <v>655</v>
      </c>
      <c r="D2736" s="39">
        <v>90.790000915527344</v>
      </c>
      <c r="E2736" s="39">
        <v>78.479736328125</v>
      </c>
      <c r="F2736" s="41">
        <v>345600</v>
      </c>
      <c r="G2736" s="35" t="s">
        <v>680</v>
      </c>
      <c r="H2736" s="35" t="s">
        <v>115</v>
      </c>
    </row>
    <row r="2737" spans="1:8">
      <c r="A2737" s="37">
        <v>42258.15625</v>
      </c>
      <c r="B2737" s="35" t="s">
        <v>654</v>
      </c>
      <c r="C2737" s="35" t="s">
        <v>655</v>
      </c>
      <c r="D2737" s="39">
        <v>90.360000610351563</v>
      </c>
      <c r="E2737" s="39">
        <v>78.108039855957031</v>
      </c>
      <c r="F2737" s="41">
        <v>1771770</v>
      </c>
      <c r="G2737" s="35" t="s">
        <v>680</v>
      </c>
      <c r="H2737" s="35" t="s">
        <v>115</v>
      </c>
    </row>
    <row r="2738" spans="1:8">
      <c r="A2738" s="37">
        <v>42261.15625</v>
      </c>
      <c r="B2738" s="35" t="s">
        <v>654</v>
      </c>
      <c r="C2738" s="35" t="s">
        <v>655</v>
      </c>
      <c r="D2738" s="39">
        <v>88.599998474121094</v>
      </c>
      <c r="E2738" s="39">
        <v>76.586700439453125</v>
      </c>
      <c r="F2738" s="41">
        <v>314315</v>
      </c>
      <c r="G2738" s="35" t="s">
        <v>680</v>
      </c>
      <c r="H2738" s="35" t="s">
        <v>115</v>
      </c>
    </row>
    <row r="2739" spans="1:8">
      <c r="A2739" s="37">
        <v>42262.15625</v>
      </c>
      <c r="B2739" s="35" t="s">
        <v>654</v>
      </c>
      <c r="C2739" s="35" t="s">
        <v>655</v>
      </c>
      <c r="D2739" s="39">
        <v>87.139999389648438</v>
      </c>
      <c r="E2739" s="39">
        <v>75.324653625488281</v>
      </c>
      <c r="F2739" s="41">
        <v>175710</v>
      </c>
      <c r="G2739" s="35" t="s">
        <v>680</v>
      </c>
      <c r="H2739" s="35" t="s">
        <v>115</v>
      </c>
    </row>
    <row r="2740" spans="1:8">
      <c r="A2740" s="37">
        <v>42263.15625</v>
      </c>
      <c r="B2740" s="35" t="s">
        <v>654</v>
      </c>
      <c r="C2740" s="35" t="s">
        <v>655</v>
      </c>
      <c r="D2740" s="39">
        <v>90.669998168945313</v>
      </c>
      <c r="E2740" s="39">
        <v>78.376022338867188</v>
      </c>
      <c r="F2740" s="41">
        <v>353950</v>
      </c>
      <c r="G2740" s="35" t="s">
        <v>680</v>
      </c>
      <c r="H2740" s="35" t="s">
        <v>115</v>
      </c>
    </row>
    <row r="2741" spans="1:8">
      <c r="A2741" s="37">
        <v>42265.15625</v>
      </c>
      <c r="B2741" s="35" t="s">
        <v>654</v>
      </c>
      <c r="C2741" s="35" t="s">
        <v>655</v>
      </c>
      <c r="D2741" s="39">
        <v>88.099998474121094</v>
      </c>
      <c r="E2741" s="39">
        <v>76.15447998046875</v>
      </c>
      <c r="F2741" s="41">
        <v>674795</v>
      </c>
      <c r="G2741" s="35" t="s">
        <v>680</v>
      </c>
      <c r="H2741" s="35" t="s">
        <v>115</v>
      </c>
    </row>
    <row r="2742" spans="1:8">
      <c r="A2742" s="37">
        <v>42268.15625</v>
      </c>
      <c r="B2742" s="35" t="s">
        <v>654</v>
      </c>
      <c r="C2742" s="35" t="s">
        <v>655</v>
      </c>
      <c r="D2742" s="39">
        <v>88.239997863769531</v>
      </c>
      <c r="E2742" s="39">
        <v>76.2755126953125</v>
      </c>
      <c r="F2742" s="41">
        <v>291560</v>
      </c>
      <c r="G2742" s="35" t="s">
        <v>680</v>
      </c>
      <c r="H2742" s="35" t="s">
        <v>115</v>
      </c>
    </row>
    <row r="2743" spans="1:8">
      <c r="A2743" s="37">
        <v>42269.15625</v>
      </c>
      <c r="B2743" s="35" t="s">
        <v>654</v>
      </c>
      <c r="C2743" s="35" t="s">
        <v>655</v>
      </c>
      <c r="D2743" s="39">
        <v>88.199996948242188</v>
      </c>
      <c r="E2743" s="39">
        <v>76.24090576171875</v>
      </c>
      <c r="F2743" s="41">
        <v>709060</v>
      </c>
      <c r="G2743" s="35" t="s">
        <v>680</v>
      </c>
      <c r="H2743" s="35" t="s">
        <v>115</v>
      </c>
    </row>
    <row r="2744" spans="1:8">
      <c r="A2744" s="37">
        <v>42270.15625</v>
      </c>
      <c r="B2744" s="35" t="s">
        <v>654</v>
      </c>
      <c r="C2744" s="35" t="s">
        <v>655</v>
      </c>
      <c r="D2744" s="39">
        <v>89.529998779296875</v>
      </c>
      <c r="E2744" s="39">
        <v>77.390586853027344</v>
      </c>
      <c r="F2744" s="41">
        <v>449760</v>
      </c>
      <c r="G2744" s="35" t="s">
        <v>680</v>
      </c>
      <c r="H2744" s="35" t="s">
        <v>115</v>
      </c>
    </row>
    <row r="2745" spans="1:8">
      <c r="A2745" s="37">
        <v>42271.15625</v>
      </c>
      <c r="B2745" s="35" t="s">
        <v>654</v>
      </c>
      <c r="C2745" s="35" t="s">
        <v>655</v>
      </c>
      <c r="D2745" s="39">
        <v>94.239997863769531</v>
      </c>
      <c r="E2745" s="39">
        <v>81.461967468261719</v>
      </c>
      <c r="F2745" s="41">
        <v>789085</v>
      </c>
      <c r="G2745" s="35" t="s">
        <v>680</v>
      </c>
      <c r="H2745" s="35" t="s">
        <v>115</v>
      </c>
    </row>
    <row r="2746" spans="1:8">
      <c r="A2746" s="37">
        <v>42275.15625</v>
      </c>
      <c r="B2746" s="35" t="s">
        <v>654</v>
      </c>
      <c r="C2746" s="35" t="s">
        <v>655</v>
      </c>
      <c r="D2746" s="39">
        <v>95.919998168945313</v>
      </c>
      <c r="E2746" s="39">
        <v>82.914169311523438</v>
      </c>
      <c r="F2746" s="41">
        <v>964845</v>
      </c>
      <c r="G2746" s="35" t="s">
        <v>680</v>
      </c>
      <c r="H2746" s="35" t="s">
        <v>115</v>
      </c>
    </row>
    <row r="2747" spans="1:8">
      <c r="A2747" s="37">
        <v>42276.15625</v>
      </c>
      <c r="B2747" s="35" t="s">
        <v>654</v>
      </c>
      <c r="C2747" s="35" t="s">
        <v>655</v>
      </c>
      <c r="D2747" s="39">
        <v>93.260002136230469</v>
      </c>
      <c r="E2747" s="39">
        <v>80.614814758300781</v>
      </c>
      <c r="F2747" s="41">
        <v>588700</v>
      </c>
      <c r="G2747" s="35" t="s">
        <v>680</v>
      </c>
      <c r="H2747" s="35" t="s">
        <v>115</v>
      </c>
    </row>
    <row r="2748" spans="1:8">
      <c r="A2748" s="37">
        <v>42277.15625</v>
      </c>
      <c r="B2748" s="35" t="s">
        <v>654</v>
      </c>
      <c r="C2748" s="35" t="s">
        <v>655</v>
      </c>
      <c r="D2748" s="39">
        <v>94.540000915527344</v>
      </c>
      <c r="E2748" s="39">
        <v>81.721275329589844</v>
      </c>
      <c r="F2748" s="41">
        <v>281150</v>
      </c>
      <c r="G2748" s="35" t="s">
        <v>680</v>
      </c>
      <c r="H2748" s="35" t="s">
        <v>115</v>
      </c>
    </row>
    <row r="2749" spans="1:8">
      <c r="A2749" s="37">
        <v>42278.15625</v>
      </c>
      <c r="B2749" s="35" t="s">
        <v>654</v>
      </c>
      <c r="C2749" s="35" t="s">
        <v>655</v>
      </c>
      <c r="D2749" s="39">
        <v>94.769996643066406</v>
      </c>
      <c r="E2749" s="39">
        <v>81.920089721679688</v>
      </c>
      <c r="F2749" s="41">
        <v>227185</v>
      </c>
      <c r="G2749" s="35" t="s">
        <v>680</v>
      </c>
      <c r="H2749" s="35" t="s">
        <v>115</v>
      </c>
    </row>
    <row r="2750" spans="1:8">
      <c r="A2750" s="37">
        <v>42282.15625</v>
      </c>
      <c r="B2750" s="35" t="s">
        <v>654</v>
      </c>
      <c r="C2750" s="35" t="s">
        <v>655</v>
      </c>
      <c r="D2750" s="39">
        <v>93.169998168945313</v>
      </c>
      <c r="E2750" s="39">
        <v>80.537025451660156</v>
      </c>
      <c r="F2750" s="41">
        <v>202490</v>
      </c>
      <c r="G2750" s="35" t="s">
        <v>680</v>
      </c>
      <c r="H2750" s="35" t="s">
        <v>115</v>
      </c>
    </row>
    <row r="2751" spans="1:8">
      <c r="A2751" s="37">
        <v>42283.15625</v>
      </c>
      <c r="B2751" s="35" t="s">
        <v>654</v>
      </c>
      <c r="C2751" s="35" t="s">
        <v>655</v>
      </c>
      <c r="D2751" s="39">
        <v>93.5</v>
      </c>
      <c r="E2751" s="39">
        <v>80.822288513183594</v>
      </c>
      <c r="F2751" s="41">
        <v>450700</v>
      </c>
      <c r="G2751" s="35" t="s">
        <v>680</v>
      </c>
      <c r="H2751" s="35" t="s">
        <v>115</v>
      </c>
    </row>
    <row r="2752" spans="1:8">
      <c r="A2752" s="37">
        <v>42284.15625</v>
      </c>
      <c r="B2752" s="35" t="s">
        <v>654</v>
      </c>
      <c r="C2752" s="35" t="s">
        <v>655</v>
      </c>
      <c r="D2752" s="39">
        <v>91.760002136230469</v>
      </c>
      <c r="E2752" s="39">
        <v>79.318214416503906</v>
      </c>
      <c r="F2752" s="41">
        <v>400790</v>
      </c>
      <c r="G2752" s="35" t="s">
        <v>680</v>
      </c>
      <c r="H2752" s="35" t="s">
        <v>115</v>
      </c>
    </row>
    <row r="2753" spans="1:8">
      <c r="A2753" s="37">
        <v>42285.15625</v>
      </c>
      <c r="B2753" s="35" t="s">
        <v>654</v>
      </c>
      <c r="C2753" s="35" t="s">
        <v>655</v>
      </c>
      <c r="D2753" s="39">
        <v>91.519996643066406</v>
      </c>
      <c r="E2753" s="39">
        <v>79.110755920410156</v>
      </c>
      <c r="F2753" s="41">
        <v>287905</v>
      </c>
      <c r="G2753" s="35" t="s">
        <v>680</v>
      </c>
      <c r="H2753" s="35" t="s">
        <v>115</v>
      </c>
    </row>
    <row r="2754" spans="1:8">
      <c r="A2754" s="37">
        <v>42286.15625</v>
      </c>
      <c r="B2754" s="35" t="s">
        <v>654</v>
      </c>
      <c r="C2754" s="35" t="s">
        <v>655</v>
      </c>
      <c r="D2754" s="39">
        <v>88.720001220703125</v>
      </c>
      <c r="E2754" s="39">
        <v>76.690437316894531</v>
      </c>
      <c r="F2754" s="41">
        <v>507255</v>
      </c>
      <c r="G2754" s="35" t="s">
        <v>680</v>
      </c>
      <c r="H2754" s="35" t="s">
        <v>115</v>
      </c>
    </row>
    <row r="2755" spans="1:8">
      <c r="A2755" s="37">
        <v>42289.15625</v>
      </c>
      <c r="B2755" s="35" t="s">
        <v>654</v>
      </c>
      <c r="C2755" s="35" t="s">
        <v>655</v>
      </c>
      <c r="D2755" s="39">
        <v>89.55999755859375</v>
      </c>
      <c r="E2755" s="39">
        <v>77.41650390625</v>
      </c>
      <c r="F2755" s="41">
        <v>355140</v>
      </c>
      <c r="G2755" s="35" t="s">
        <v>680</v>
      </c>
      <c r="H2755" s="35" t="s">
        <v>115</v>
      </c>
    </row>
    <row r="2756" spans="1:8">
      <c r="A2756" s="37">
        <v>42290.15625</v>
      </c>
      <c r="B2756" s="35" t="s">
        <v>654</v>
      </c>
      <c r="C2756" s="35" t="s">
        <v>655</v>
      </c>
      <c r="D2756" s="39">
        <v>90.699996948242188</v>
      </c>
      <c r="E2756" s="39">
        <v>78.401947021484375</v>
      </c>
      <c r="F2756" s="41">
        <v>1355455</v>
      </c>
      <c r="G2756" s="35" t="s">
        <v>680</v>
      </c>
      <c r="H2756" s="35" t="s">
        <v>115</v>
      </c>
    </row>
    <row r="2757" spans="1:8">
      <c r="A2757" s="37">
        <v>42291.15625</v>
      </c>
      <c r="B2757" s="35" t="s">
        <v>654</v>
      </c>
      <c r="C2757" s="35" t="s">
        <v>655</v>
      </c>
      <c r="D2757" s="39">
        <v>89.169998168945313</v>
      </c>
      <c r="E2757" s="39">
        <v>77.079391479492188</v>
      </c>
      <c r="F2757" s="41">
        <v>563550</v>
      </c>
      <c r="G2757" s="35" t="s">
        <v>680</v>
      </c>
      <c r="H2757" s="35" t="s">
        <v>115</v>
      </c>
    </row>
    <row r="2758" spans="1:8">
      <c r="A2758" s="37">
        <v>42292.15625</v>
      </c>
      <c r="B2758" s="35" t="s">
        <v>654</v>
      </c>
      <c r="C2758" s="35" t="s">
        <v>655</v>
      </c>
      <c r="D2758" s="39">
        <v>91.989997863769531</v>
      </c>
      <c r="E2758" s="39">
        <v>79.517036437988281</v>
      </c>
      <c r="F2758" s="41">
        <v>704400</v>
      </c>
      <c r="G2758" s="35" t="s">
        <v>680</v>
      </c>
      <c r="H2758" s="35" t="s">
        <v>115</v>
      </c>
    </row>
    <row r="2759" spans="1:8">
      <c r="A2759" s="37">
        <v>42293.15625</v>
      </c>
      <c r="B2759" s="35" t="s">
        <v>654</v>
      </c>
      <c r="C2759" s="35" t="s">
        <v>655</v>
      </c>
      <c r="D2759" s="39">
        <v>97.639999389648438</v>
      </c>
      <c r="E2759" s="39">
        <v>84.400947570800781</v>
      </c>
      <c r="F2759" s="41">
        <v>11866270</v>
      </c>
      <c r="G2759" s="35" t="s">
        <v>680</v>
      </c>
      <c r="H2759" s="35" t="s">
        <v>115</v>
      </c>
    </row>
    <row r="2760" spans="1:8">
      <c r="A2760" s="37">
        <v>42296.15625</v>
      </c>
      <c r="B2760" s="35" t="s">
        <v>654</v>
      </c>
      <c r="C2760" s="35" t="s">
        <v>655</v>
      </c>
      <c r="D2760" s="39">
        <v>112.20999908447266</v>
      </c>
      <c r="E2760" s="39">
        <v>96.995391845703125</v>
      </c>
      <c r="F2760" s="41">
        <v>10359940</v>
      </c>
      <c r="G2760" s="35" t="s">
        <v>680</v>
      </c>
      <c r="H2760" s="35" t="s">
        <v>115</v>
      </c>
    </row>
    <row r="2761" spans="1:8">
      <c r="A2761" s="37">
        <v>42297.15625</v>
      </c>
      <c r="B2761" s="35" t="s">
        <v>654</v>
      </c>
      <c r="C2761" s="35" t="s">
        <v>655</v>
      </c>
      <c r="D2761" s="39">
        <v>108.86000061035156</v>
      </c>
      <c r="E2761" s="39">
        <v>94.099624633789063</v>
      </c>
      <c r="F2761" s="41">
        <v>6937385</v>
      </c>
      <c r="G2761" s="35" t="s">
        <v>680</v>
      </c>
      <c r="H2761" s="35" t="s">
        <v>115</v>
      </c>
    </row>
    <row r="2762" spans="1:8">
      <c r="A2762" s="37">
        <v>42298.15625</v>
      </c>
      <c r="B2762" s="35" t="s">
        <v>654</v>
      </c>
      <c r="C2762" s="35" t="s">
        <v>655</v>
      </c>
      <c r="D2762" s="39">
        <v>105.22000122070313</v>
      </c>
      <c r="E2762" s="39">
        <v>90.953163146972656</v>
      </c>
      <c r="F2762" s="41">
        <v>1318955</v>
      </c>
      <c r="G2762" s="35" t="s">
        <v>680</v>
      </c>
      <c r="H2762" s="35" t="s">
        <v>115</v>
      </c>
    </row>
    <row r="2763" spans="1:8">
      <c r="A2763" s="37">
        <v>42300.15625</v>
      </c>
      <c r="B2763" s="35" t="s">
        <v>654</v>
      </c>
      <c r="C2763" s="35" t="s">
        <v>655</v>
      </c>
      <c r="D2763" s="39">
        <v>105.18000030517578</v>
      </c>
      <c r="E2763" s="39">
        <v>90.918594360351563</v>
      </c>
      <c r="F2763" s="41">
        <v>2523320</v>
      </c>
      <c r="G2763" s="35" t="s">
        <v>680</v>
      </c>
      <c r="H2763" s="35" t="s">
        <v>115</v>
      </c>
    </row>
    <row r="2764" spans="1:8">
      <c r="A2764" s="37">
        <v>42303.15625</v>
      </c>
      <c r="B2764" s="35" t="s">
        <v>654</v>
      </c>
      <c r="C2764" s="35" t="s">
        <v>655</v>
      </c>
      <c r="D2764" s="39">
        <v>110.69000244140625</v>
      </c>
      <c r="E2764" s="39">
        <v>95.681488037109375</v>
      </c>
      <c r="F2764" s="41">
        <v>3545640</v>
      </c>
      <c r="G2764" s="35" t="s">
        <v>680</v>
      </c>
      <c r="H2764" s="35" t="s">
        <v>115</v>
      </c>
    </row>
    <row r="2765" spans="1:8">
      <c r="A2765" s="37">
        <v>42304.15625</v>
      </c>
      <c r="B2765" s="35" t="s">
        <v>654</v>
      </c>
      <c r="C2765" s="35" t="s">
        <v>655</v>
      </c>
      <c r="D2765" s="39">
        <v>115.84999847412109</v>
      </c>
      <c r="E2765" s="39">
        <v>100.141845703125</v>
      </c>
      <c r="F2765" s="41">
        <v>7016025</v>
      </c>
      <c r="G2765" s="35" t="s">
        <v>680</v>
      </c>
      <c r="H2765" s="35" t="s">
        <v>115</v>
      </c>
    </row>
    <row r="2766" spans="1:8">
      <c r="A2766" s="37">
        <v>42305.15625</v>
      </c>
      <c r="B2766" s="35" t="s">
        <v>654</v>
      </c>
      <c r="C2766" s="35" t="s">
        <v>655</v>
      </c>
      <c r="D2766" s="39">
        <v>113.81999969482422</v>
      </c>
      <c r="E2766" s="39">
        <v>98.3870849609375</v>
      </c>
      <c r="F2766" s="41">
        <v>1343380</v>
      </c>
      <c r="G2766" s="35" t="s">
        <v>680</v>
      </c>
      <c r="H2766" s="35" t="s">
        <v>115</v>
      </c>
    </row>
    <row r="2767" spans="1:8">
      <c r="A2767" s="37">
        <v>42306.15625</v>
      </c>
      <c r="B2767" s="35" t="s">
        <v>654</v>
      </c>
      <c r="C2767" s="35" t="s">
        <v>655</v>
      </c>
      <c r="D2767" s="39">
        <v>111.58000183105469</v>
      </c>
      <c r="E2767" s="39">
        <v>96.450813293457031</v>
      </c>
      <c r="F2767" s="41">
        <v>1586795</v>
      </c>
      <c r="G2767" s="35" t="s">
        <v>680</v>
      </c>
      <c r="H2767" s="35" t="s">
        <v>115</v>
      </c>
    </row>
    <row r="2768" spans="1:8">
      <c r="A2768" s="37">
        <v>42307.15625</v>
      </c>
      <c r="B2768" s="35" t="s">
        <v>654</v>
      </c>
      <c r="C2768" s="35" t="s">
        <v>655</v>
      </c>
      <c r="D2768" s="39">
        <v>113.15000152587891</v>
      </c>
      <c r="E2768" s="39">
        <v>97.807937622070313</v>
      </c>
      <c r="F2768" s="41">
        <v>8986430</v>
      </c>
      <c r="G2768" s="35" t="s">
        <v>680</v>
      </c>
      <c r="H2768" s="35" t="s">
        <v>115</v>
      </c>
    </row>
    <row r="2769" spans="1:8">
      <c r="A2769" s="37">
        <v>42310.15625</v>
      </c>
      <c r="B2769" s="35" t="s">
        <v>654</v>
      </c>
      <c r="C2769" s="35" t="s">
        <v>655</v>
      </c>
      <c r="D2769" s="39">
        <v>118.06999969482422</v>
      </c>
      <c r="E2769" s="39">
        <v>102.06085205078125</v>
      </c>
      <c r="F2769" s="41">
        <v>2906290</v>
      </c>
      <c r="G2769" s="35" t="s">
        <v>680</v>
      </c>
      <c r="H2769" s="35" t="s">
        <v>115</v>
      </c>
    </row>
    <row r="2770" spans="1:8">
      <c r="A2770" s="37">
        <v>42311.15625</v>
      </c>
      <c r="B2770" s="35" t="s">
        <v>654</v>
      </c>
      <c r="C2770" s="35" t="s">
        <v>655</v>
      </c>
      <c r="D2770" s="39">
        <v>117.48000335693359</v>
      </c>
      <c r="E2770" s="39">
        <v>101.55084228515625</v>
      </c>
      <c r="F2770" s="41">
        <v>2105530</v>
      </c>
      <c r="G2770" s="35" t="s">
        <v>680</v>
      </c>
      <c r="H2770" s="35" t="s">
        <v>115</v>
      </c>
    </row>
    <row r="2771" spans="1:8">
      <c r="A2771" s="37">
        <v>42312.15625</v>
      </c>
      <c r="B2771" s="35" t="s">
        <v>654</v>
      </c>
      <c r="C2771" s="35" t="s">
        <v>655</v>
      </c>
      <c r="D2771" s="39">
        <v>117.01000213623047</v>
      </c>
      <c r="E2771" s="39">
        <v>101.14455413818359</v>
      </c>
      <c r="F2771" s="41">
        <v>1241980</v>
      </c>
      <c r="G2771" s="35" t="s">
        <v>680</v>
      </c>
      <c r="H2771" s="35" t="s">
        <v>115</v>
      </c>
    </row>
    <row r="2772" spans="1:8">
      <c r="A2772" s="37">
        <v>42313.15625</v>
      </c>
      <c r="B2772" s="35" t="s">
        <v>654</v>
      </c>
      <c r="C2772" s="35" t="s">
        <v>655</v>
      </c>
      <c r="D2772" s="39">
        <v>114.79000091552734</v>
      </c>
      <c r="E2772" s="39">
        <v>99.225563049316406</v>
      </c>
      <c r="F2772" s="41">
        <v>729210</v>
      </c>
      <c r="G2772" s="35" t="s">
        <v>680</v>
      </c>
      <c r="H2772" s="35" t="s">
        <v>115</v>
      </c>
    </row>
    <row r="2773" spans="1:8">
      <c r="A2773" s="37">
        <v>42314.15625</v>
      </c>
      <c r="B2773" s="35" t="s">
        <v>654</v>
      </c>
      <c r="C2773" s="35" t="s">
        <v>655</v>
      </c>
      <c r="D2773" s="39">
        <v>111.34999847412109</v>
      </c>
      <c r="E2773" s="39">
        <v>96.251991271972656</v>
      </c>
      <c r="F2773" s="41">
        <v>1441350</v>
      </c>
      <c r="G2773" s="35" t="s">
        <v>680</v>
      </c>
      <c r="H2773" s="35" t="s">
        <v>115</v>
      </c>
    </row>
    <row r="2774" spans="1:8">
      <c r="A2774" s="37">
        <v>42317.15625</v>
      </c>
      <c r="B2774" s="35" t="s">
        <v>654</v>
      </c>
      <c r="C2774" s="35" t="s">
        <v>655</v>
      </c>
      <c r="D2774" s="39">
        <v>118.87000274658203</v>
      </c>
      <c r="E2774" s="39">
        <v>102.75234985351563</v>
      </c>
      <c r="F2774" s="41">
        <v>2445285</v>
      </c>
      <c r="G2774" s="35" t="s">
        <v>680</v>
      </c>
      <c r="H2774" s="35" t="s">
        <v>115</v>
      </c>
    </row>
    <row r="2775" spans="1:8">
      <c r="A2775" s="37">
        <v>42318.15625</v>
      </c>
      <c r="B2775" s="35" t="s">
        <v>654</v>
      </c>
      <c r="C2775" s="35" t="s">
        <v>655</v>
      </c>
      <c r="D2775" s="39">
        <v>114.55000305175781</v>
      </c>
      <c r="E2775" s="39">
        <v>99.018112182617188</v>
      </c>
      <c r="F2775" s="41">
        <v>3553380</v>
      </c>
      <c r="G2775" s="35" t="s">
        <v>680</v>
      </c>
      <c r="H2775" s="35" t="s">
        <v>115</v>
      </c>
    </row>
    <row r="2776" spans="1:8">
      <c r="A2776" s="37">
        <v>42321.15625</v>
      </c>
      <c r="B2776" s="35" t="s">
        <v>654</v>
      </c>
      <c r="C2776" s="35" t="s">
        <v>655</v>
      </c>
      <c r="D2776" s="39">
        <v>112.91999816894531</v>
      </c>
      <c r="E2776" s="39">
        <v>97.609123229980469</v>
      </c>
      <c r="F2776" s="41">
        <v>1205885</v>
      </c>
      <c r="G2776" s="35" t="s">
        <v>680</v>
      </c>
      <c r="H2776" s="35" t="s">
        <v>115</v>
      </c>
    </row>
    <row r="2777" spans="1:8">
      <c r="A2777" s="37">
        <v>42324.15625</v>
      </c>
      <c r="B2777" s="35" t="s">
        <v>654</v>
      </c>
      <c r="C2777" s="35" t="s">
        <v>655</v>
      </c>
      <c r="D2777" s="39">
        <v>118.94000244140625</v>
      </c>
      <c r="E2777" s="39">
        <v>102.81285858154297</v>
      </c>
      <c r="F2777" s="41">
        <v>2092440</v>
      </c>
      <c r="G2777" s="35" t="s">
        <v>680</v>
      </c>
      <c r="H2777" s="35" t="s">
        <v>115</v>
      </c>
    </row>
    <row r="2778" spans="1:8">
      <c r="A2778" s="37">
        <v>42325.15625</v>
      </c>
      <c r="B2778" s="35" t="s">
        <v>654</v>
      </c>
      <c r="C2778" s="35" t="s">
        <v>655</v>
      </c>
      <c r="D2778" s="39">
        <v>124.33999633789063</v>
      </c>
      <c r="E2778" s="39">
        <v>107.48067474365234</v>
      </c>
      <c r="F2778" s="41">
        <v>4059700</v>
      </c>
      <c r="G2778" s="35" t="s">
        <v>680</v>
      </c>
      <c r="H2778" s="35" t="s">
        <v>115</v>
      </c>
    </row>
    <row r="2779" spans="1:8">
      <c r="A2779" s="37">
        <v>42326.15625</v>
      </c>
      <c r="B2779" s="35" t="s">
        <v>654</v>
      </c>
      <c r="C2779" s="35" t="s">
        <v>655</v>
      </c>
      <c r="D2779" s="39">
        <v>119.59999847412109</v>
      </c>
      <c r="E2779" s="39">
        <v>103.38337707519531</v>
      </c>
      <c r="F2779" s="41">
        <v>1703930</v>
      </c>
      <c r="G2779" s="35" t="s">
        <v>680</v>
      </c>
      <c r="H2779" s="35" t="s">
        <v>115</v>
      </c>
    </row>
    <row r="2780" spans="1:8">
      <c r="A2780" s="37">
        <v>42327.15625</v>
      </c>
      <c r="B2780" s="35" t="s">
        <v>654</v>
      </c>
      <c r="C2780" s="35" t="s">
        <v>655</v>
      </c>
      <c r="D2780" s="39">
        <v>121.51000213623047</v>
      </c>
      <c r="E2780" s="39">
        <v>105.03441619873047</v>
      </c>
      <c r="F2780" s="41">
        <v>928925</v>
      </c>
      <c r="G2780" s="35" t="s">
        <v>680</v>
      </c>
      <c r="H2780" s="35" t="s">
        <v>115</v>
      </c>
    </row>
    <row r="2781" spans="1:8">
      <c r="A2781" s="37">
        <v>42328.15625</v>
      </c>
      <c r="B2781" s="35" t="s">
        <v>654</v>
      </c>
      <c r="C2781" s="35" t="s">
        <v>655</v>
      </c>
      <c r="D2781" s="39">
        <v>116.79000091552734</v>
      </c>
      <c r="E2781" s="39">
        <v>100.95438385009766</v>
      </c>
      <c r="F2781" s="41">
        <v>958470</v>
      </c>
      <c r="G2781" s="35" t="s">
        <v>680</v>
      </c>
      <c r="H2781" s="35" t="s">
        <v>115</v>
      </c>
    </row>
    <row r="2782" spans="1:8">
      <c r="A2782" s="37">
        <v>42331.15625</v>
      </c>
      <c r="B2782" s="35" t="s">
        <v>654</v>
      </c>
      <c r="C2782" s="35" t="s">
        <v>655</v>
      </c>
      <c r="D2782" s="39">
        <v>115.94000244140625</v>
      </c>
      <c r="E2782" s="39">
        <v>100.21962738037109</v>
      </c>
      <c r="F2782" s="41">
        <v>1070465</v>
      </c>
      <c r="G2782" s="35" t="s">
        <v>680</v>
      </c>
      <c r="H2782" s="35" t="s">
        <v>115</v>
      </c>
    </row>
    <row r="2783" spans="1:8">
      <c r="A2783" s="37">
        <v>42332.15625</v>
      </c>
      <c r="B2783" s="35" t="s">
        <v>654</v>
      </c>
      <c r="C2783" s="35" t="s">
        <v>655</v>
      </c>
      <c r="D2783" s="39">
        <v>117.52999877929688</v>
      </c>
      <c r="E2783" s="39">
        <v>101.59405517578125</v>
      </c>
      <c r="F2783" s="41">
        <v>1280770</v>
      </c>
      <c r="G2783" s="35" t="s">
        <v>680</v>
      </c>
      <c r="H2783" s="35" t="s">
        <v>115</v>
      </c>
    </row>
    <row r="2784" spans="1:8">
      <c r="A2784" s="37">
        <v>42334.15625</v>
      </c>
      <c r="B2784" s="35" t="s">
        <v>654</v>
      </c>
      <c r="C2784" s="35" t="s">
        <v>655</v>
      </c>
      <c r="D2784" s="39">
        <v>117.09999847412109</v>
      </c>
      <c r="E2784" s="39">
        <v>101.22235870361328</v>
      </c>
      <c r="F2784" s="41">
        <v>534880</v>
      </c>
      <c r="G2784" s="35" t="s">
        <v>680</v>
      </c>
      <c r="H2784" s="35" t="s">
        <v>115</v>
      </c>
    </row>
    <row r="2785" spans="1:8">
      <c r="A2785" s="37">
        <v>42335.15625</v>
      </c>
      <c r="B2785" s="35" t="s">
        <v>654</v>
      </c>
      <c r="C2785" s="35" t="s">
        <v>655</v>
      </c>
      <c r="D2785" s="39">
        <v>114.34999847412109</v>
      </c>
      <c r="E2785" s="39">
        <v>98.84521484375</v>
      </c>
      <c r="F2785" s="41">
        <v>1070715</v>
      </c>
      <c r="G2785" s="35" t="s">
        <v>680</v>
      </c>
      <c r="H2785" s="35" t="s">
        <v>115</v>
      </c>
    </row>
    <row r="2786" spans="1:8">
      <c r="A2786" s="37">
        <v>42338.15625</v>
      </c>
      <c r="B2786" s="35" t="s">
        <v>654</v>
      </c>
      <c r="C2786" s="35" t="s">
        <v>655</v>
      </c>
      <c r="D2786" s="39">
        <v>113.90000152587891</v>
      </c>
      <c r="E2786" s="39">
        <v>98.456245422363281</v>
      </c>
      <c r="F2786" s="41">
        <v>792440</v>
      </c>
      <c r="G2786" s="35" t="s">
        <v>680</v>
      </c>
      <c r="H2786" s="35" t="s">
        <v>115</v>
      </c>
    </row>
    <row r="2787" spans="1:8">
      <c r="A2787" s="37">
        <v>42339.15625</v>
      </c>
      <c r="B2787" s="35" t="s">
        <v>654</v>
      </c>
      <c r="C2787" s="35" t="s">
        <v>655</v>
      </c>
      <c r="D2787" s="39">
        <v>116.30999755859375</v>
      </c>
      <c r="E2787" s="39">
        <v>100.53946685791016</v>
      </c>
      <c r="F2787" s="41">
        <v>1185080</v>
      </c>
      <c r="G2787" s="35" t="s">
        <v>680</v>
      </c>
      <c r="H2787" s="35" t="s">
        <v>115</v>
      </c>
    </row>
    <row r="2788" spans="1:8">
      <c r="A2788" s="37">
        <v>42340.15625</v>
      </c>
      <c r="B2788" s="35" t="s">
        <v>654</v>
      </c>
      <c r="C2788" s="35" t="s">
        <v>655</v>
      </c>
      <c r="D2788" s="39">
        <v>114.83999633789063</v>
      </c>
      <c r="E2788" s="39">
        <v>99.268798828125</v>
      </c>
      <c r="F2788" s="41">
        <v>442370</v>
      </c>
      <c r="G2788" s="35" t="s">
        <v>680</v>
      </c>
      <c r="H2788" s="35" t="s">
        <v>115</v>
      </c>
    </row>
    <row r="2789" spans="1:8">
      <c r="A2789" s="37">
        <v>42341.15625</v>
      </c>
      <c r="B2789" s="35" t="s">
        <v>654</v>
      </c>
      <c r="C2789" s="35" t="s">
        <v>655</v>
      </c>
      <c r="D2789" s="39">
        <v>116.01000213623047</v>
      </c>
      <c r="E2789" s="39">
        <v>100.28015899658203</v>
      </c>
      <c r="F2789" s="41">
        <v>1167035</v>
      </c>
      <c r="G2789" s="35" t="s">
        <v>680</v>
      </c>
      <c r="H2789" s="35" t="s">
        <v>115</v>
      </c>
    </row>
    <row r="2790" spans="1:8">
      <c r="A2790" s="37">
        <v>42342.15625</v>
      </c>
      <c r="B2790" s="35" t="s">
        <v>654</v>
      </c>
      <c r="C2790" s="35" t="s">
        <v>655</v>
      </c>
      <c r="D2790" s="39">
        <v>116.16000366210938</v>
      </c>
      <c r="E2790" s="39">
        <v>100.40983581542969</v>
      </c>
      <c r="F2790" s="41">
        <v>1331655</v>
      </c>
      <c r="G2790" s="35" t="s">
        <v>680</v>
      </c>
      <c r="H2790" s="35" t="s">
        <v>115</v>
      </c>
    </row>
    <row r="2791" spans="1:8">
      <c r="A2791" s="37">
        <v>42345.15625</v>
      </c>
      <c r="B2791" s="35" t="s">
        <v>654</v>
      </c>
      <c r="C2791" s="35" t="s">
        <v>655</v>
      </c>
      <c r="D2791" s="39">
        <v>119.19999694824219</v>
      </c>
      <c r="E2791" s="39">
        <v>103.03761291503906</v>
      </c>
      <c r="F2791" s="41">
        <v>1094610</v>
      </c>
      <c r="G2791" s="35" t="s">
        <v>680</v>
      </c>
      <c r="H2791" s="35" t="s">
        <v>115</v>
      </c>
    </row>
    <row r="2792" spans="1:8">
      <c r="A2792" s="37">
        <v>42346.15625</v>
      </c>
      <c r="B2792" s="35" t="s">
        <v>654</v>
      </c>
      <c r="C2792" s="35" t="s">
        <v>655</v>
      </c>
      <c r="D2792" s="39">
        <v>118.87999725341797</v>
      </c>
      <c r="E2792" s="39">
        <v>102.76099395751953</v>
      </c>
      <c r="F2792" s="41">
        <v>644090</v>
      </c>
      <c r="G2792" s="35" t="s">
        <v>680</v>
      </c>
      <c r="H2792" s="35" t="s">
        <v>115</v>
      </c>
    </row>
    <row r="2793" spans="1:8">
      <c r="A2793" s="37">
        <v>42347.15625</v>
      </c>
      <c r="B2793" s="35" t="s">
        <v>654</v>
      </c>
      <c r="C2793" s="35" t="s">
        <v>655</v>
      </c>
      <c r="D2793" s="39">
        <v>117.93000030517578</v>
      </c>
      <c r="E2793" s="39">
        <v>101.93981170654297</v>
      </c>
      <c r="F2793" s="41">
        <v>729510</v>
      </c>
      <c r="G2793" s="35" t="s">
        <v>680</v>
      </c>
      <c r="H2793" s="35" t="s">
        <v>115</v>
      </c>
    </row>
    <row r="2794" spans="1:8">
      <c r="A2794" s="37">
        <v>42348.15625</v>
      </c>
      <c r="B2794" s="35" t="s">
        <v>654</v>
      </c>
      <c r="C2794" s="35" t="s">
        <v>655</v>
      </c>
      <c r="D2794" s="39">
        <v>117.95999908447266</v>
      </c>
      <c r="E2794" s="39">
        <v>101.96573638916016</v>
      </c>
      <c r="F2794" s="41">
        <v>834080</v>
      </c>
      <c r="G2794" s="35" t="s">
        <v>680</v>
      </c>
      <c r="H2794" s="35" t="s">
        <v>115</v>
      </c>
    </row>
    <row r="2795" spans="1:8">
      <c r="A2795" s="37">
        <v>42349.15625</v>
      </c>
      <c r="B2795" s="35" t="s">
        <v>654</v>
      </c>
      <c r="C2795" s="35" t="s">
        <v>655</v>
      </c>
      <c r="D2795" s="39">
        <v>118.23999786376953</v>
      </c>
      <c r="E2795" s="39">
        <v>102.207763671875</v>
      </c>
      <c r="F2795" s="41">
        <v>2378500</v>
      </c>
      <c r="G2795" s="35" t="s">
        <v>680</v>
      </c>
      <c r="H2795" s="35" t="s">
        <v>115</v>
      </c>
    </row>
    <row r="2796" spans="1:8">
      <c r="A2796" s="37">
        <v>42352.15625</v>
      </c>
      <c r="B2796" s="35" t="s">
        <v>654</v>
      </c>
      <c r="C2796" s="35" t="s">
        <v>655</v>
      </c>
      <c r="D2796" s="39">
        <v>117.98000335693359</v>
      </c>
      <c r="E2796" s="39">
        <v>101.98303985595703</v>
      </c>
      <c r="F2796" s="41">
        <v>291140</v>
      </c>
      <c r="G2796" s="35" t="s">
        <v>680</v>
      </c>
      <c r="H2796" s="35" t="s">
        <v>115</v>
      </c>
    </row>
    <row r="2797" spans="1:8">
      <c r="A2797" s="37">
        <v>42353.15625</v>
      </c>
      <c r="B2797" s="35" t="s">
        <v>654</v>
      </c>
      <c r="C2797" s="35" t="s">
        <v>655</v>
      </c>
      <c r="D2797" s="39">
        <v>119.58999633789063</v>
      </c>
      <c r="E2797" s="39">
        <v>103.37473297119141</v>
      </c>
      <c r="F2797" s="41">
        <v>1563575</v>
      </c>
      <c r="G2797" s="35" t="s">
        <v>680</v>
      </c>
      <c r="H2797" s="35" t="s">
        <v>115</v>
      </c>
    </row>
    <row r="2798" spans="1:8">
      <c r="A2798" s="37">
        <v>42354.15625</v>
      </c>
      <c r="B2798" s="35" t="s">
        <v>654</v>
      </c>
      <c r="C2798" s="35" t="s">
        <v>655</v>
      </c>
      <c r="D2798" s="39">
        <v>117.16000366210938</v>
      </c>
      <c r="E2798" s="39">
        <v>101.27423095703125</v>
      </c>
      <c r="F2798" s="41">
        <v>353715</v>
      </c>
      <c r="G2798" s="35" t="s">
        <v>680</v>
      </c>
      <c r="H2798" s="35" t="s">
        <v>115</v>
      </c>
    </row>
    <row r="2799" spans="1:8">
      <c r="A2799" s="37">
        <v>42355.15625</v>
      </c>
      <c r="B2799" s="35" t="s">
        <v>654</v>
      </c>
      <c r="C2799" s="35" t="s">
        <v>655</v>
      </c>
      <c r="D2799" s="39">
        <v>118.86000061035156</v>
      </c>
      <c r="E2799" s="39">
        <v>102.74369049072266</v>
      </c>
      <c r="F2799" s="41">
        <v>606810</v>
      </c>
      <c r="G2799" s="35" t="s">
        <v>680</v>
      </c>
      <c r="H2799" s="35" t="s">
        <v>115</v>
      </c>
    </row>
    <row r="2800" spans="1:8">
      <c r="A2800" s="37">
        <v>42356.15625</v>
      </c>
      <c r="B2800" s="35" t="s">
        <v>654</v>
      </c>
      <c r="C2800" s="35" t="s">
        <v>655</v>
      </c>
      <c r="D2800" s="39">
        <v>117.97000122070313</v>
      </c>
      <c r="E2800" s="39">
        <v>101.97439575195313</v>
      </c>
      <c r="F2800" s="41">
        <v>586500</v>
      </c>
      <c r="G2800" s="35" t="s">
        <v>680</v>
      </c>
      <c r="H2800" s="35" t="s">
        <v>115</v>
      </c>
    </row>
    <row r="2801" spans="1:8">
      <c r="A2801" s="37">
        <v>42359.15625</v>
      </c>
      <c r="B2801" s="35" t="s">
        <v>654</v>
      </c>
      <c r="C2801" s="35" t="s">
        <v>655</v>
      </c>
      <c r="D2801" s="39">
        <v>117.66000366210938</v>
      </c>
      <c r="E2801" s="39">
        <v>101.70642852783203</v>
      </c>
      <c r="F2801" s="41">
        <v>815195</v>
      </c>
      <c r="G2801" s="35" t="s">
        <v>680</v>
      </c>
      <c r="H2801" s="35" t="s">
        <v>115</v>
      </c>
    </row>
    <row r="2802" spans="1:8">
      <c r="A2802" s="37">
        <v>42360.15625</v>
      </c>
      <c r="B2802" s="35" t="s">
        <v>654</v>
      </c>
      <c r="C2802" s="35" t="s">
        <v>655</v>
      </c>
      <c r="D2802" s="39">
        <v>117.88999938964844</v>
      </c>
      <c r="E2802" s="39">
        <v>101.90522003173828</v>
      </c>
      <c r="F2802" s="41">
        <v>1460835</v>
      </c>
      <c r="G2802" s="35" t="s">
        <v>680</v>
      </c>
      <c r="H2802" s="35" t="s">
        <v>115</v>
      </c>
    </row>
    <row r="2803" spans="1:8">
      <c r="A2803" s="37">
        <v>42361.15625</v>
      </c>
      <c r="B2803" s="35" t="s">
        <v>654</v>
      </c>
      <c r="C2803" s="35" t="s">
        <v>655</v>
      </c>
      <c r="D2803" s="39">
        <v>118.45999908447266</v>
      </c>
      <c r="E2803" s="39">
        <v>102.39794158935547</v>
      </c>
      <c r="F2803" s="41">
        <v>363250</v>
      </c>
      <c r="G2803" s="35" t="s">
        <v>680</v>
      </c>
      <c r="H2803" s="35" t="s">
        <v>115</v>
      </c>
    </row>
    <row r="2804" spans="1:8">
      <c r="A2804" s="37">
        <v>42362.15625</v>
      </c>
      <c r="B2804" s="35" t="s">
        <v>654</v>
      </c>
      <c r="C2804" s="35" t="s">
        <v>655</v>
      </c>
      <c r="D2804" s="39">
        <v>117.37000274658203</v>
      </c>
      <c r="E2804" s="39">
        <v>101.45575714111328</v>
      </c>
      <c r="F2804" s="41">
        <v>274690</v>
      </c>
      <c r="G2804" s="35" t="s">
        <v>680</v>
      </c>
      <c r="H2804" s="35" t="s">
        <v>115</v>
      </c>
    </row>
    <row r="2805" spans="1:8">
      <c r="A2805" s="37">
        <v>42366.15625</v>
      </c>
      <c r="B2805" s="35" t="s">
        <v>654</v>
      </c>
      <c r="C2805" s="35" t="s">
        <v>655</v>
      </c>
      <c r="D2805" s="39">
        <v>116.98000335693359</v>
      </c>
      <c r="E2805" s="39">
        <v>101.11863708496094</v>
      </c>
      <c r="F2805" s="41">
        <v>250005</v>
      </c>
      <c r="G2805" s="35" t="s">
        <v>680</v>
      </c>
      <c r="H2805" s="35" t="s">
        <v>115</v>
      </c>
    </row>
    <row r="2806" spans="1:8">
      <c r="A2806" s="37">
        <v>42367.15625</v>
      </c>
      <c r="B2806" s="35" t="s">
        <v>654</v>
      </c>
      <c r="C2806" s="35" t="s">
        <v>655</v>
      </c>
      <c r="D2806" s="39">
        <v>115.76000213623047</v>
      </c>
      <c r="E2806" s="39">
        <v>100.06404113769531</v>
      </c>
      <c r="F2806" s="41">
        <v>465190</v>
      </c>
      <c r="G2806" s="35" t="s">
        <v>680</v>
      </c>
      <c r="H2806" s="35" t="s">
        <v>115</v>
      </c>
    </row>
    <row r="2807" spans="1:8">
      <c r="A2807" s="37">
        <v>42368.15625</v>
      </c>
      <c r="B2807" s="35" t="s">
        <v>654</v>
      </c>
      <c r="C2807" s="35" t="s">
        <v>655</v>
      </c>
      <c r="D2807" s="39">
        <v>115.27999877929688</v>
      </c>
      <c r="E2807" s="39">
        <v>99.649131774902344</v>
      </c>
      <c r="F2807" s="41">
        <v>244600</v>
      </c>
      <c r="G2807" s="35" t="s">
        <v>680</v>
      </c>
      <c r="H2807" s="35" t="s">
        <v>115</v>
      </c>
    </row>
    <row r="2808" spans="1:8">
      <c r="A2808" s="37">
        <v>42369.15625</v>
      </c>
      <c r="B2808" s="35" t="s">
        <v>654</v>
      </c>
      <c r="C2808" s="35" t="s">
        <v>655</v>
      </c>
      <c r="D2808" s="39">
        <v>115.91000366210938</v>
      </c>
      <c r="E2808" s="39">
        <v>100.19369506835938</v>
      </c>
      <c r="F2808" s="41">
        <v>235080</v>
      </c>
      <c r="G2808" s="35" t="s">
        <v>680</v>
      </c>
      <c r="H2808" s="35" t="s">
        <v>115</v>
      </c>
    </row>
    <row r="2809" spans="1:8">
      <c r="A2809" s="37">
        <v>42370.15625</v>
      </c>
      <c r="B2809" s="35" t="s">
        <v>654</v>
      </c>
      <c r="C2809" s="35" t="s">
        <v>655</v>
      </c>
      <c r="D2809" s="39">
        <v>115.51999664306641</v>
      </c>
      <c r="E2809" s="39">
        <v>99.856597900390625</v>
      </c>
      <c r="F2809" s="41">
        <v>144260</v>
      </c>
      <c r="G2809" s="35" t="s">
        <v>680</v>
      </c>
      <c r="H2809" s="35" t="s">
        <v>115</v>
      </c>
    </row>
    <row r="2810" spans="1:8">
      <c r="A2810" s="37">
        <v>42373.15625</v>
      </c>
      <c r="B2810" s="35" t="s">
        <v>654</v>
      </c>
      <c r="C2810" s="35" t="s">
        <v>655</v>
      </c>
      <c r="D2810" s="39">
        <v>116.09999847412109</v>
      </c>
      <c r="E2810" s="39">
        <v>100.35793304443359</v>
      </c>
      <c r="F2810" s="41">
        <v>417665</v>
      </c>
      <c r="G2810" s="35" t="s">
        <v>680</v>
      </c>
      <c r="H2810" s="35" t="s">
        <v>115</v>
      </c>
    </row>
    <row r="2811" spans="1:8">
      <c r="A2811" s="37">
        <v>42374.15625</v>
      </c>
      <c r="B2811" s="35" t="s">
        <v>654</v>
      </c>
      <c r="C2811" s="35" t="s">
        <v>655</v>
      </c>
      <c r="D2811" s="39">
        <v>114.62000274658203</v>
      </c>
      <c r="E2811" s="39">
        <v>99.07861328125</v>
      </c>
      <c r="F2811" s="41">
        <v>420775</v>
      </c>
      <c r="G2811" s="35" t="s">
        <v>680</v>
      </c>
      <c r="H2811" s="35" t="s">
        <v>115</v>
      </c>
    </row>
    <row r="2812" spans="1:8">
      <c r="A2812" s="37">
        <v>42375.15625</v>
      </c>
      <c r="B2812" s="35" t="s">
        <v>654</v>
      </c>
      <c r="C2812" s="35" t="s">
        <v>655</v>
      </c>
      <c r="D2812" s="39">
        <v>113.79000091552734</v>
      </c>
      <c r="E2812" s="39">
        <v>98.361152648925781</v>
      </c>
      <c r="F2812" s="41">
        <v>373400</v>
      </c>
      <c r="G2812" s="35" t="s">
        <v>680</v>
      </c>
      <c r="H2812" s="35" t="s">
        <v>115</v>
      </c>
    </row>
    <row r="2813" spans="1:8">
      <c r="A2813" s="37">
        <v>42376.15625</v>
      </c>
      <c r="B2813" s="35" t="s">
        <v>654</v>
      </c>
      <c r="C2813" s="35" t="s">
        <v>655</v>
      </c>
      <c r="D2813" s="39">
        <v>107.55999755859375</v>
      </c>
      <c r="E2813" s="39">
        <v>92.975883483886719</v>
      </c>
      <c r="F2813" s="41">
        <v>638880</v>
      </c>
      <c r="G2813" s="35" t="s">
        <v>680</v>
      </c>
      <c r="H2813" s="35" t="s">
        <v>115</v>
      </c>
    </row>
    <row r="2814" spans="1:8">
      <c r="A2814" s="37">
        <v>42377.15625</v>
      </c>
      <c r="B2814" s="35" t="s">
        <v>654</v>
      </c>
      <c r="C2814" s="35" t="s">
        <v>655</v>
      </c>
      <c r="D2814" s="39">
        <v>107.19999694824219</v>
      </c>
      <c r="E2814" s="39">
        <v>92.664710998535156</v>
      </c>
      <c r="F2814" s="41">
        <v>835960</v>
      </c>
      <c r="G2814" s="35" t="s">
        <v>680</v>
      </c>
      <c r="H2814" s="35" t="s">
        <v>115</v>
      </c>
    </row>
    <row r="2815" spans="1:8">
      <c r="A2815" s="37">
        <v>42380.15625</v>
      </c>
      <c r="B2815" s="35" t="s">
        <v>654</v>
      </c>
      <c r="C2815" s="35" t="s">
        <v>655</v>
      </c>
      <c r="D2815" s="39">
        <v>108.41000366210938</v>
      </c>
      <c r="E2815" s="39">
        <v>93.710647583007813</v>
      </c>
      <c r="F2815" s="41">
        <v>1836620</v>
      </c>
      <c r="G2815" s="35" t="s">
        <v>680</v>
      </c>
      <c r="H2815" s="35" t="s">
        <v>115</v>
      </c>
    </row>
    <row r="2816" spans="1:8">
      <c r="A2816" s="37">
        <v>42381.15625</v>
      </c>
      <c r="B2816" s="35" t="s">
        <v>654</v>
      </c>
      <c r="C2816" s="35" t="s">
        <v>655</v>
      </c>
      <c r="D2816" s="39">
        <v>111.30000305175781</v>
      </c>
      <c r="E2816" s="39">
        <v>96.208793640136719</v>
      </c>
      <c r="F2816" s="41">
        <v>1375730</v>
      </c>
      <c r="G2816" s="35" t="s">
        <v>680</v>
      </c>
      <c r="H2816" s="35" t="s">
        <v>115</v>
      </c>
    </row>
    <row r="2817" spans="1:8">
      <c r="A2817" s="37">
        <v>42382.15625</v>
      </c>
      <c r="B2817" s="35" t="s">
        <v>654</v>
      </c>
      <c r="C2817" s="35" t="s">
        <v>655</v>
      </c>
      <c r="D2817" s="39">
        <v>109.27999877929688</v>
      </c>
      <c r="E2817" s="39">
        <v>94.462669372558594</v>
      </c>
      <c r="F2817" s="41">
        <v>1160220</v>
      </c>
      <c r="G2817" s="35" t="s">
        <v>680</v>
      </c>
      <c r="H2817" s="35" t="s">
        <v>115</v>
      </c>
    </row>
    <row r="2818" spans="1:8">
      <c r="A2818" s="37">
        <v>42383.15625</v>
      </c>
      <c r="B2818" s="35" t="s">
        <v>654</v>
      </c>
      <c r="C2818" s="35" t="s">
        <v>655</v>
      </c>
      <c r="D2818" s="39">
        <v>114.05999755859375</v>
      </c>
      <c r="E2818" s="39">
        <v>98.594558715820313</v>
      </c>
      <c r="F2818" s="41">
        <v>2792460</v>
      </c>
      <c r="G2818" s="35" t="s">
        <v>680</v>
      </c>
      <c r="H2818" s="35" t="s">
        <v>115</v>
      </c>
    </row>
    <row r="2819" spans="1:8">
      <c r="A2819" s="37">
        <v>42384.15625</v>
      </c>
      <c r="B2819" s="35" t="s">
        <v>654</v>
      </c>
      <c r="C2819" s="35" t="s">
        <v>655</v>
      </c>
      <c r="D2819" s="39">
        <v>102.91999816894531</v>
      </c>
      <c r="E2819" s="39">
        <v>88.965034484863281</v>
      </c>
      <c r="F2819" s="41">
        <v>8650060</v>
      </c>
      <c r="G2819" s="35" t="s">
        <v>680</v>
      </c>
      <c r="H2819" s="35" t="s">
        <v>115</v>
      </c>
    </row>
    <row r="2820" spans="1:8">
      <c r="A2820" s="37">
        <v>42387.15625</v>
      </c>
      <c r="B2820" s="35" t="s">
        <v>654</v>
      </c>
      <c r="C2820" s="35" t="s">
        <v>655</v>
      </c>
      <c r="D2820" s="39">
        <v>97.470001220703125</v>
      </c>
      <c r="E2820" s="39">
        <v>84.254020690917969</v>
      </c>
      <c r="F2820" s="41">
        <v>1845505</v>
      </c>
      <c r="G2820" s="35" t="s">
        <v>680</v>
      </c>
      <c r="H2820" s="35" t="s">
        <v>115</v>
      </c>
    </row>
    <row r="2821" spans="1:8">
      <c r="A2821" s="37">
        <v>42388.15625</v>
      </c>
      <c r="B2821" s="35" t="s">
        <v>654</v>
      </c>
      <c r="C2821" s="35" t="s">
        <v>655</v>
      </c>
      <c r="D2821" s="39">
        <v>94.769996643066406</v>
      </c>
      <c r="E2821" s="39">
        <v>81.920089721679688</v>
      </c>
      <c r="F2821" s="41">
        <v>1997810</v>
      </c>
      <c r="G2821" s="35" t="s">
        <v>680</v>
      </c>
      <c r="H2821" s="35" t="s">
        <v>115</v>
      </c>
    </row>
    <row r="2822" spans="1:8">
      <c r="A2822" s="37">
        <v>42389.15625</v>
      </c>
      <c r="B2822" s="35" t="s">
        <v>654</v>
      </c>
      <c r="C2822" s="35" t="s">
        <v>655</v>
      </c>
      <c r="D2822" s="39">
        <v>89.099998474121094</v>
      </c>
      <c r="E2822" s="39">
        <v>77.018875122070313</v>
      </c>
      <c r="F2822" s="41">
        <v>1601725</v>
      </c>
      <c r="G2822" s="35" t="s">
        <v>680</v>
      </c>
      <c r="H2822" s="35" t="s">
        <v>115</v>
      </c>
    </row>
    <row r="2823" spans="1:8">
      <c r="A2823" s="37">
        <v>42390.15625</v>
      </c>
      <c r="B2823" s="35" t="s">
        <v>654</v>
      </c>
      <c r="C2823" s="35" t="s">
        <v>655</v>
      </c>
      <c r="D2823" s="39">
        <v>97.919998168945313</v>
      </c>
      <c r="E2823" s="39">
        <v>84.642974853515625</v>
      </c>
      <c r="F2823" s="41">
        <v>5910370</v>
      </c>
      <c r="G2823" s="35" t="s">
        <v>680</v>
      </c>
      <c r="H2823" s="35" t="s">
        <v>115</v>
      </c>
    </row>
    <row r="2824" spans="1:8">
      <c r="A2824" s="37">
        <v>42391.15625</v>
      </c>
      <c r="B2824" s="35" t="s">
        <v>654</v>
      </c>
      <c r="C2824" s="35" t="s">
        <v>655</v>
      </c>
      <c r="D2824" s="39">
        <v>96.129997253417969</v>
      </c>
      <c r="E2824" s="39">
        <v>83.095680236816406</v>
      </c>
      <c r="F2824" s="41">
        <v>2042415</v>
      </c>
      <c r="G2824" s="35" t="s">
        <v>680</v>
      </c>
      <c r="H2824" s="35" t="s">
        <v>115</v>
      </c>
    </row>
    <row r="2825" spans="1:8">
      <c r="A2825" s="37">
        <v>42394.15625</v>
      </c>
      <c r="B2825" s="35" t="s">
        <v>654</v>
      </c>
      <c r="C2825" s="35" t="s">
        <v>655</v>
      </c>
      <c r="D2825" s="39">
        <v>102.30999755859375</v>
      </c>
      <c r="E2825" s="39">
        <v>88.437744140625</v>
      </c>
      <c r="F2825" s="41">
        <v>2021935</v>
      </c>
      <c r="G2825" s="35" t="s">
        <v>680</v>
      </c>
      <c r="H2825" s="35" t="s">
        <v>115</v>
      </c>
    </row>
    <row r="2826" spans="1:8">
      <c r="A2826" s="37">
        <v>42396.15625</v>
      </c>
      <c r="B2826" s="35" t="s">
        <v>654</v>
      </c>
      <c r="C2826" s="35" t="s">
        <v>655</v>
      </c>
      <c r="D2826" s="39">
        <v>106.16999816894531</v>
      </c>
      <c r="E2826" s="39">
        <v>91.774368286132813</v>
      </c>
      <c r="F2826" s="41">
        <v>2027935</v>
      </c>
      <c r="G2826" s="35" t="s">
        <v>680</v>
      </c>
      <c r="H2826" s="35" t="s">
        <v>115</v>
      </c>
    </row>
    <row r="2827" spans="1:8">
      <c r="A2827" s="37">
        <v>42397.15625</v>
      </c>
      <c r="B2827" s="35" t="s">
        <v>654</v>
      </c>
      <c r="C2827" s="35" t="s">
        <v>655</v>
      </c>
      <c r="D2827" s="39">
        <v>106.44000244140625</v>
      </c>
      <c r="E2827" s="39">
        <v>92.007759094238281</v>
      </c>
      <c r="F2827" s="41">
        <v>762985</v>
      </c>
      <c r="G2827" s="35" t="s">
        <v>680</v>
      </c>
      <c r="H2827" s="35" t="s">
        <v>115</v>
      </c>
    </row>
    <row r="2828" spans="1:8">
      <c r="A2828" s="37">
        <v>42398.15625</v>
      </c>
      <c r="B2828" s="35" t="s">
        <v>654</v>
      </c>
      <c r="C2828" s="35" t="s">
        <v>655</v>
      </c>
      <c r="D2828" s="39">
        <v>110.33999633789063</v>
      </c>
      <c r="E2828" s="39">
        <v>95.378929138183594</v>
      </c>
      <c r="F2828" s="41">
        <v>1282045</v>
      </c>
      <c r="G2828" s="35" t="s">
        <v>680</v>
      </c>
      <c r="H2828" s="35" t="s">
        <v>115</v>
      </c>
    </row>
    <row r="2829" spans="1:8">
      <c r="A2829" s="37">
        <v>42401.15625</v>
      </c>
      <c r="B2829" s="35" t="s">
        <v>654</v>
      </c>
      <c r="C2829" s="35" t="s">
        <v>655</v>
      </c>
      <c r="D2829" s="39">
        <v>106.29000091552734</v>
      </c>
      <c r="E2829" s="39">
        <v>91.878089904785156</v>
      </c>
      <c r="F2829" s="41">
        <v>701185</v>
      </c>
      <c r="G2829" s="35" t="s">
        <v>680</v>
      </c>
      <c r="H2829" s="35" t="s">
        <v>115</v>
      </c>
    </row>
    <row r="2830" spans="1:8">
      <c r="A2830" s="37">
        <v>42402.15625</v>
      </c>
      <c r="B2830" s="35" t="s">
        <v>654</v>
      </c>
      <c r="C2830" s="35" t="s">
        <v>655</v>
      </c>
      <c r="D2830" s="39">
        <v>109.93000030517578</v>
      </c>
      <c r="E2830" s="39">
        <v>95.024551391601563</v>
      </c>
      <c r="F2830" s="41">
        <v>1147275</v>
      </c>
      <c r="G2830" s="35" t="s">
        <v>680</v>
      </c>
      <c r="H2830" s="35" t="s">
        <v>115</v>
      </c>
    </row>
    <row r="2831" spans="1:8">
      <c r="A2831" s="37">
        <v>42403.15625</v>
      </c>
      <c r="B2831" s="35" t="s">
        <v>654</v>
      </c>
      <c r="C2831" s="35" t="s">
        <v>655</v>
      </c>
      <c r="D2831" s="39">
        <v>107.86000061035156</v>
      </c>
      <c r="E2831" s="39">
        <v>93.235214233398438</v>
      </c>
      <c r="F2831" s="41">
        <v>346610</v>
      </c>
      <c r="G2831" s="35" t="s">
        <v>680</v>
      </c>
      <c r="H2831" s="35" t="s">
        <v>115</v>
      </c>
    </row>
    <row r="2832" spans="1:8">
      <c r="A2832" s="37">
        <v>42404.15625</v>
      </c>
      <c r="B2832" s="35" t="s">
        <v>654</v>
      </c>
      <c r="C2832" s="35" t="s">
        <v>655</v>
      </c>
      <c r="D2832" s="39">
        <v>109.37999725341797</v>
      </c>
      <c r="E2832" s="39">
        <v>94.549118041992188</v>
      </c>
      <c r="F2832" s="41">
        <v>699205</v>
      </c>
      <c r="G2832" s="35" t="s">
        <v>680</v>
      </c>
      <c r="H2832" s="35" t="s">
        <v>115</v>
      </c>
    </row>
    <row r="2833" spans="1:8">
      <c r="A2833" s="37">
        <v>42405.15625</v>
      </c>
      <c r="B2833" s="35" t="s">
        <v>654</v>
      </c>
      <c r="C2833" s="35" t="s">
        <v>655</v>
      </c>
      <c r="D2833" s="39">
        <v>105.73000335693359</v>
      </c>
      <c r="E2833" s="39">
        <v>91.394027709960938</v>
      </c>
      <c r="F2833" s="41">
        <v>493830</v>
      </c>
      <c r="G2833" s="35" t="s">
        <v>680</v>
      </c>
      <c r="H2833" s="35" t="s">
        <v>115</v>
      </c>
    </row>
    <row r="2834" spans="1:8">
      <c r="A2834" s="37">
        <v>42408.15625</v>
      </c>
      <c r="B2834" s="35" t="s">
        <v>654</v>
      </c>
      <c r="C2834" s="35" t="s">
        <v>655</v>
      </c>
      <c r="D2834" s="39">
        <v>105.05999755859375</v>
      </c>
      <c r="E2834" s="39">
        <v>90.814857482910156</v>
      </c>
      <c r="F2834" s="41">
        <v>374465</v>
      </c>
      <c r="G2834" s="35" t="s">
        <v>680</v>
      </c>
      <c r="H2834" s="35" t="s">
        <v>115</v>
      </c>
    </row>
    <row r="2835" spans="1:8">
      <c r="A2835" s="37">
        <v>42409.15625</v>
      </c>
      <c r="B2835" s="35" t="s">
        <v>654</v>
      </c>
      <c r="C2835" s="35" t="s">
        <v>655</v>
      </c>
      <c r="D2835" s="39">
        <v>101.77999877929688</v>
      </c>
      <c r="E2835" s="39">
        <v>87.979591369628906</v>
      </c>
      <c r="F2835" s="41">
        <v>427965</v>
      </c>
      <c r="G2835" s="35" t="s">
        <v>680</v>
      </c>
      <c r="H2835" s="35" t="s">
        <v>115</v>
      </c>
    </row>
    <row r="2836" spans="1:8">
      <c r="A2836" s="37">
        <v>42410.15625</v>
      </c>
      <c r="B2836" s="35" t="s">
        <v>654</v>
      </c>
      <c r="C2836" s="35" t="s">
        <v>655</v>
      </c>
      <c r="D2836" s="39">
        <v>101.02999877929688</v>
      </c>
      <c r="E2836" s="39">
        <v>87.331291198730469</v>
      </c>
      <c r="F2836" s="41">
        <v>553735</v>
      </c>
      <c r="G2836" s="35" t="s">
        <v>680</v>
      </c>
      <c r="H2836" s="35" t="s">
        <v>115</v>
      </c>
    </row>
    <row r="2837" spans="1:8">
      <c r="A2837" s="37">
        <v>42411.15625</v>
      </c>
      <c r="B2837" s="35" t="s">
        <v>654</v>
      </c>
      <c r="C2837" s="35" t="s">
        <v>655</v>
      </c>
      <c r="D2837" s="39">
        <v>97.050003051757813</v>
      </c>
      <c r="E2837" s="39">
        <v>83.890953063964844</v>
      </c>
      <c r="F2837" s="41">
        <v>674340</v>
      </c>
      <c r="G2837" s="35" t="s">
        <v>680</v>
      </c>
      <c r="H2837" s="35" t="s">
        <v>115</v>
      </c>
    </row>
    <row r="2838" spans="1:8">
      <c r="A2838" s="37">
        <v>42412.15625</v>
      </c>
      <c r="B2838" s="35" t="s">
        <v>654</v>
      </c>
      <c r="C2838" s="35" t="s">
        <v>655</v>
      </c>
      <c r="D2838" s="39">
        <v>98.180000305175781</v>
      </c>
      <c r="E2838" s="39">
        <v>84.867721557617188</v>
      </c>
      <c r="F2838" s="41">
        <v>653530</v>
      </c>
      <c r="G2838" s="35" t="s">
        <v>680</v>
      </c>
      <c r="H2838" s="35" t="s">
        <v>115</v>
      </c>
    </row>
    <row r="2839" spans="1:8">
      <c r="A2839" s="37">
        <v>42415.15625</v>
      </c>
      <c r="B2839" s="35" t="s">
        <v>654</v>
      </c>
      <c r="C2839" s="35" t="s">
        <v>655</v>
      </c>
      <c r="D2839" s="39">
        <v>99.889999389648438</v>
      </c>
      <c r="E2839" s="39">
        <v>86.345878601074219</v>
      </c>
      <c r="F2839" s="41">
        <v>367530</v>
      </c>
      <c r="G2839" s="35" t="s">
        <v>680</v>
      </c>
      <c r="H2839" s="35" t="s">
        <v>115</v>
      </c>
    </row>
    <row r="2840" spans="1:8">
      <c r="A2840" s="37">
        <v>42416.15625</v>
      </c>
      <c r="B2840" s="35" t="s">
        <v>654</v>
      </c>
      <c r="C2840" s="35" t="s">
        <v>655</v>
      </c>
      <c r="D2840" s="39">
        <v>99.459999084472656</v>
      </c>
      <c r="E2840" s="39">
        <v>85.974174499511719</v>
      </c>
      <c r="F2840" s="41">
        <v>439740</v>
      </c>
      <c r="G2840" s="35" t="s">
        <v>680</v>
      </c>
      <c r="H2840" s="35" t="s">
        <v>115</v>
      </c>
    </row>
    <row r="2841" spans="1:8">
      <c r="A2841" s="37">
        <v>42417.15625</v>
      </c>
      <c r="B2841" s="35" t="s">
        <v>654</v>
      </c>
      <c r="C2841" s="35" t="s">
        <v>655</v>
      </c>
      <c r="D2841" s="39">
        <v>99.300003051757813</v>
      </c>
      <c r="E2841" s="39">
        <v>85.835861206054688</v>
      </c>
      <c r="F2841" s="41">
        <v>457885</v>
      </c>
      <c r="G2841" s="35" t="s">
        <v>680</v>
      </c>
      <c r="H2841" s="35" t="s">
        <v>115</v>
      </c>
    </row>
    <row r="2842" spans="1:8">
      <c r="A2842" s="37">
        <v>42418.15625</v>
      </c>
      <c r="B2842" s="35" t="s">
        <v>654</v>
      </c>
      <c r="C2842" s="35" t="s">
        <v>655</v>
      </c>
      <c r="D2842" s="39">
        <v>95.790000915527344</v>
      </c>
      <c r="E2842" s="39">
        <v>82.801773071289063</v>
      </c>
      <c r="F2842" s="41">
        <v>819725</v>
      </c>
      <c r="G2842" s="35" t="s">
        <v>680</v>
      </c>
      <c r="H2842" s="35" t="s">
        <v>115</v>
      </c>
    </row>
    <row r="2843" spans="1:8">
      <c r="A2843" s="37">
        <v>42419.15625</v>
      </c>
      <c r="B2843" s="35" t="s">
        <v>654</v>
      </c>
      <c r="C2843" s="35" t="s">
        <v>655</v>
      </c>
      <c r="D2843" s="39">
        <v>93.610000610351563</v>
      </c>
      <c r="E2843" s="39">
        <v>80.917373657226563</v>
      </c>
      <c r="F2843" s="41">
        <v>965120</v>
      </c>
      <c r="G2843" s="35" t="s">
        <v>680</v>
      </c>
      <c r="H2843" s="35" t="s">
        <v>115</v>
      </c>
    </row>
    <row r="2844" spans="1:8">
      <c r="A2844" s="37">
        <v>42422.15625</v>
      </c>
      <c r="B2844" s="35" t="s">
        <v>654</v>
      </c>
      <c r="C2844" s="35" t="s">
        <v>655</v>
      </c>
      <c r="D2844" s="39">
        <v>93.379997253417969</v>
      </c>
      <c r="E2844" s="39">
        <v>80.718551635742188</v>
      </c>
      <c r="F2844" s="41">
        <v>427870</v>
      </c>
      <c r="G2844" s="35" t="s">
        <v>680</v>
      </c>
      <c r="H2844" s="35" t="s">
        <v>115</v>
      </c>
    </row>
    <row r="2845" spans="1:8">
      <c r="A2845" s="37">
        <v>42423.15625</v>
      </c>
      <c r="B2845" s="35" t="s">
        <v>654</v>
      </c>
      <c r="C2845" s="35" t="s">
        <v>655</v>
      </c>
      <c r="D2845" s="39">
        <v>90.760002136230469</v>
      </c>
      <c r="E2845" s="39">
        <v>78.453819274902344</v>
      </c>
      <c r="F2845" s="41">
        <v>313620</v>
      </c>
      <c r="G2845" s="35" t="s">
        <v>680</v>
      </c>
      <c r="H2845" s="35" t="s">
        <v>115</v>
      </c>
    </row>
    <row r="2846" spans="1:8">
      <c r="A2846" s="37">
        <v>42424.15625</v>
      </c>
      <c r="B2846" s="35" t="s">
        <v>654</v>
      </c>
      <c r="C2846" s="35" t="s">
        <v>655</v>
      </c>
      <c r="D2846" s="39">
        <v>92.580001831054688</v>
      </c>
      <c r="E2846" s="39">
        <v>80.027030944824219</v>
      </c>
      <c r="F2846" s="41">
        <v>4388220</v>
      </c>
      <c r="G2846" s="35" t="s">
        <v>680</v>
      </c>
      <c r="H2846" s="35" t="s">
        <v>115</v>
      </c>
    </row>
    <row r="2847" spans="1:8">
      <c r="A2847" s="37">
        <v>42425.15625</v>
      </c>
      <c r="B2847" s="35" t="s">
        <v>654</v>
      </c>
      <c r="C2847" s="35" t="s">
        <v>655</v>
      </c>
      <c r="D2847" s="39">
        <v>88.970001220703125</v>
      </c>
      <c r="E2847" s="39">
        <v>76.906509399414063</v>
      </c>
      <c r="F2847" s="41">
        <v>1118510</v>
      </c>
      <c r="G2847" s="35" t="s">
        <v>680</v>
      </c>
      <c r="H2847" s="35" t="s">
        <v>115</v>
      </c>
    </row>
    <row r="2848" spans="1:8">
      <c r="A2848" s="37">
        <v>42426.15625</v>
      </c>
      <c r="B2848" s="35" t="s">
        <v>654</v>
      </c>
      <c r="C2848" s="35" t="s">
        <v>655</v>
      </c>
      <c r="D2848" s="39">
        <v>85.080001831054688</v>
      </c>
      <c r="E2848" s="39">
        <v>73.543975830078125</v>
      </c>
      <c r="F2848" s="41">
        <v>1696140</v>
      </c>
      <c r="G2848" s="35" t="s">
        <v>680</v>
      </c>
      <c r="H2848" s="35" t="s">
        <v>115</v>
      </c>
    </row>
    <row r="2849" spans="1:8">
      <c r="A2849" s="37">
        <v>42429.15625</v>
      </c>
      <c r="B2849" s="35" t="s">
        <v>654</v>
      </c>
      <c r="C2849" s="35" t="s">
        <v>655</v>
      </c>
      <c r="D2849" s="39">
        <v>83.910003662109375</v>
      </c>
      <c r="E2849" s="39">
        <v>72.532600402832031</v>
      </c>
      <c r="F2849" s="41">
        <v>1191265</v>
      </c>
      <c r="G2849" s="35" t="s">
        <v>680</v>
      </c>
      <c r="H2849" s="35" t="s">
        <v>115</v>
      </c>
    </row>
    <row r="2850" spans="1:8">
      <c r="A2850" s="37">
        <v>42430.15625</v>
      </c>
      <c r="B2850" s="35" t="s">
        <v>654</v>
      </c>
      <c r="C2850" s="35" t="s">
        <v>655</v>
      </c>
      <c r="D2850" s="39">
        <v>92.930000305175781</v>
      </c>
      <c r="E2850" s="39">
        <v>80.329566955566406</v>
      </c>
      <c r="F2850" s="41">
        <v>3533980</v>
      </c>
      <c r="G2850" s="35" t="s">
        <v>680</v>
      </c>
      <c r="H2850" s="35" t="s">
        <v>115</v>
      </c>
    </row>
    <row r="2851" spans="1:8">
      <c r="A2851" s="37">
        <v>42431.15625</v>
      </c>
      <c r="B2851" s="35" t="s">
        <v>654</v>
      </c>
      <c r="C2851" s="35" t="s">
        <v>655</v>
      </c>
      <c r="D2851" s="39">
        <v>92.760002136230469</v>
      </c>
      <c r="E2851" s="39">
        <v>80.182624816894531</v>
      </c>
      <c r="F2851" s="41">
        <v>962760</v>
      </c>
      <c r="G2851" s="35" t="s">
        <v>680</v>
      </c>
      <c r="H2851" s="35" t="s">
        <v>115</v>
      </c>
    </row>
    <row r="2852" spans="1:8">
      <c r="A2852" s="37">
        <v>42432.15625</v>
      </c>
      <c r="B2852" s="35" t="s">
        <v>654</v>
      </c>
      <c r="C2852" s="35" t="s">
        <v>655</v>
      </c>
      <c r="D2852" s="39">
        <v>98.849998474121094</v>
      </c>
      <c r="E2852" s="39">
        <v>85.4468994140625</v>
      </c>
      <c r="F2852" s="41">
        <v>1628535</v>
      </c>
      <c r="G2852" s="35" t="s">
        <v>680</v>
      </c>
      <c r="H2852" s="35" t="s">
        <v>115</v>
      </c>
    </row>
    <row r="2853" spans="1:8">
      <c r="A2853" s="37">
        <v>42433.15625</v>
      </c>
      <c r="B2853" s="35" t="s">
        <v>654</v>
      </c>
      <c r="C2853" s="35" t="s">
        <v>655</v>
      </c>
      <c r="D2853" s="39">
        <v>95.989997863769531</v>
      </c>
      <c r="E2853" s="39">
        <v>82.97467041015625</v>
      </c>
      <c r="F2853" s="41">
        <v>1548195</v>
      </c>
      <c r="G2853" s="35" t="s">
        <v>680</v>
      </c>
      <c r="H2853" s="35" t="s">
        <v>115</v>
      </c>
    </row>
    <row r="2854" spans="1:8">
      <c r="A2854" s="37">
        <v>42437.15625</v>
      </c>
      <c r="B2854" s="35" t="s">
        <v>654</v>
      </c>
      <c r="C2854" s="35" t="s">
        <v>655</v>
      </c>
      <c r="D2854" s="39">
        <v>93.279998779296875</v>
      </c>
      <c r="E2854" s="39">
        <v>80.632110595703125</v>
      </c>
      <c r="F2854" s="41">
        <v>614330</v>
      </c>
      <c r="G2854" s="35" t="s">
        <v>680</v>
      </c>
      <c r="H2854" s="35" t="s">
        <v>115</v>
      </c>
    </row>
    <row r="2855" spans="1:8">
      <c r="A2855" s="37">
        <v>42438.15625</v>
      </c>
      <c r="B2855" s="35" t="s">
        <v>654</v>
      </c>
      <c r="C2855" s="35" t="s">
        <v>655</v>
      </c>
      <c r="D2855" s="39">
        <v>90.94000244140625</v>
      </c>
      <c r="E2855" s="39">
        <v>78.609390258789063</v>
      </c>
      <c r="F2855" s="41">
        <v>621010</v>
      </c>
      <c r="G2855" s="35" t="s">
        <v>680</v>
      </c>
      <c r="H2855" s="35" t="s">
        <v>115</v>
      </c>
    </row>
    <row r="2856" spans="1:8">
      <c r="A2856" s="37">
        <v>42439.15625</v>
      </c>
      <c r="B2856" s="35" t="s">
        <v>654</v>
      </c>
      <c r="C2856" s="35" t="s">
        <v>655</v>
      </c>
      <c r="D2856" s="39">
        <v>93.269996643066406</v>
      </c>
      <c r="E2856" s="39">
        <v>80.623466491699219</v>
      </c>
      <c r="F2856" s="41">
        <v>2284210</v>
      </c>
      <c r="G2856" s="35" t="s">
        <v>680</v>
      </c>
      <c r="H2856" s="35" t="s">
        <v>115</v>
      </c>
    </row>
    <row r="2857" spans="1:8">
      <c r="A2857" s="37">
        <v>42440.15625</v>
      </c>
      <c r="B2857" s="35" t="s">
        <v>654</v>
      </c>
      <c r="C2857" s="35" t="s">
        <v>655</v>
      </c>
      <c r="D2857" s="39">
        <v>92.470001220703125</v>
      </c>
      <c r="E2857" s="39">
        <v>79.931976318359375</v>
      </c>
      <c r="F2857" s="41">
        <v>665095</v>
      </c>
      <c r="G2857" s="35" t="s">
        <v>680</v>
      </c>
      <c r="H2857" s="35" t="s">
        <v>115</v>
      </c>
    </row>
    <row r="2858" spans="1:8">
      <c r="A2858" s="37">
        <v>42443.15625</v>
      </c>
      <c r="B2858" s="35" t="s">
        <v>654</v>
      </c>
      <c r="C2858" s="35" t="s">
        <v>655</v>
      </c>
      <c r="D2858" s="39">
        <v>94.120002746582031</v>
      </c>
      <c r="E2858" s="39">
        <v>81.35821533203125</v>
      </c>
      <c r="F2858" s="41">
        <v>1251190</v>
      </c>
      <c r="G2858" s="35" t="s">
        <v>680</v>
      </c>
      <c r="H2858" s="35" t="s">
        <v>115</v>
      </c>
    </row>
    <row r="2859" spans="1:8">
      <c r="A2859" s="37">
        <v>42444.15625</v>
      </c>
      <c r="B2859" s="35" t="s">
        <v>654</v>
      </c>
      <c r="C2859" s="35" t="s">
        <v>655</v>
      </c>
      <c r="D2859" s="39">
        <v>93.709999084472656</v>
      </c>
      <c r="E2859" s="39">
        <v>81.003837585449219</v>
      </c>
      <c r="F2859" s="41">
        <v>517810</v>
      </c>
      <c r="G2859" s="35" t="s">
        <v>680</v>
      </c>
      <c r="H2859" s="35" t="s">
        <v>115</v>
      </c>
    </row>
    <row r="2860" spans="1:8">
      <c r="A2860" s="37">
        <v>42445.15625</v>
      </c>
      <c r="B2860" s="35" t="s">
        <v>654</v>
      </c>
      <c r="C2860" s="35" t="s">
        <v>655</v>
      </c>
      <c r="D2860" s="39">
        <v>96.519996643066406</v>
      </c>
      <c r="E2860" s="39">
        <v>83.432792663574219</v>
      </c>
      <c r="F2860" s="41">
        <v>1409230</v>
      </c>
      <c r="G2860" s="35" t="s">
        <v>680</v>
      </c>
      <c r="H2860" s="35" t="s">
        <v>115</v>
      </c>
    </row>
    <row r="2861" spans="1:8">
      <c r="A2861" s="37">
        <v>42446.15625</v>
      </c>
      <c r="B2861" s="35" t="s">
        <v>654</v>
      </c>
      <c r="C2861" s="35" t="s">
        <v>655</v>
      </c>
      <c r="D2861" s="39">
        <v>94.400001525878906</v>
      </c>
      <c r="E2861" s="39">
        <v>81.600265502929688</v>
      </c>
      <c r="F2861" s="41">
        <v>544760</v>
      </c>
      <c r="G2861" s="35" t="s">
        <v>680</v>
      </c>
      <c r="H2861" s="35" t="s">
        <v>115</v>
      </c>
    </row>
    <row r="2862" spans="1:8">
      <c r="A2862" s="37">
        <v>42447.15625</v>
      </c>
      <c r="B2862" s="35" t="s">
        <v>654</v>
      </c>
      <c r="C2862" s="35" t="s">
        <v>655</v>
      </c>
      <c r="D2862" s="39">
        <v>98.160003662109375</v>
      </c>
      <c r="E2862" s="39">
        <v>84.850456237792969</v>
      </c>
      <c r="F2862" s="41">
        <v>1010660</v>
      </c>
      <c r="G2862" s="35" t="s">
        <v>680</v>
      </c>
      <c r="H2862" s="35" t="s">
        <v>115</v>
      </c>
    </row>
    <row r="2863" spans="1:8">
      <c r="A2863" s="37">
        <v>42450.15625</v>
      </c>
      <c r="B2863" s="35" t="s">
        <v>654</v>
      </c>
      <c r="C2863" s="35" t="s">
        <v>655</v>
      </c>
      <c r="D2863" s="39">
        <v>98.260002136230469</v>
      </c>
      <c r="E2863" s="39">
        <v>84.936874389648438</v>
      </c>
      <c r="F2863" s="41">
        <v>501360</v>
      </c>
      <c r="G2863" s="35" t="s">
        <v>680</v>
      </c>
      <c r="H2863" s="35" t="s">
        <v>115</v>
      </c>
    </row>
    <row r="2864" spans="1:8">
      <c r="A2864" s="37">
        <v>42451.15625</v>
      </c>
      <c r="B2864" s="35" t="s">
        <v>654</v>
      </c>
      <c r="C2864" s="35" t="s">
        <v>655</v>
      </c>
      <c r="D2864" s="39">
        <v>98.379997253417969</v>
      </c>
      <c r="E2864" s="39">
        <v>85.040596008300781</v>
      </c>
      <c r="F2864" s="41">
        <v>665495</v>
      </c>
      <c r="G2864" s="35" t="s">
        <v>680</v>
      </c>
      <c r="H2864" s="35" t="s">
        <v>115</v>
      </c>
    </row>
    <row r="2865" spans="1:8">
      <c r="A2865" s="37">
        <v>42452.15625</v>
      </c>
      <c r="B2865" s="35" t="s">
        <v>654</v>
      </c>
      <c r="C2865" s="35" t="s">
        <v>655</v>
      </c>
      <c r="D2865" s="39">
        <v>101.05000305175781</v>
      </c>
      <c r="E2865" s="39">
        <v>87.348579406738281</v>
      </c>
      <c r="F2865" s="41">
        <v>692345</v>
      </c>
      <c r="G2865" s="35" t="s">
        <v>680</v>
      </c>
      <c r="H2865" s="35" t="s">
        <v>115</v>
      </c>
    </row>
    <row r="2866" spans="1:8">
      <c r="A2866" s="37">
        <v>42457.15625</v>
      </c>
      <c r="B2866" s="35" t="s">
        <v>654</v>
      </c>
      <c r="C2866" s="35" t="s">
        <v>655</v>
      </c>
      <c r="D2866" s="39">
        <v>97.629997253417969</v>
      </c>
      <c r="E2866" s="39">
        <v>84.392288208007813</v>
      </c>
      <c r="F2866" s="41">
        <v>650525</v>
      </c>
      <c r="G2866" s="35" t="s">
        <v>680</v>
      </c>
      <c r="H2866" s="35" t="s">
        <v>115</v>
      </c>
    </row>
    <row r="2867" spans="1:8">
      <c r="A2867" s="37">
        <v>42458.15625</v>
      </c>
      <c r="B2867" s="35" t="s">
        <v>654</v>
      </c>
      <c r="C2867" s="35" t="s">
        <v>655</v>
      </c>
      <c r="D2867" s="39">
        <v>97.620002746582031</v>
      </c>
      <c r="E2867" s="39">
        <v>84.3836669921875</v>
      </c>
      <c r="F2867" s="41">
        <v>500140</v>
      </c>
      <c r="G2867" s="35" t="s">
        <v>680</v>
      </c>
      <c r="H2867" s="35" t="s">
        <v>115</v>
      </c>
    </row>
    <row r="2868" spans="1:8">
      <c r="A2868" s="37">
        <v>42459.15625</v>
      </c>
      <c r="B2868" s="35" t="s">
        <v>654</v>
      </c>
      <c r="C2868" s="35" t="s">
        <v>655</v>
      </c>
      <c r="D2868" s="39">
        <v>98.910003662109375</v>
      </c>
      <c r="E2868" s="39">
        <v>85.498771667480469</v>
      </c>
      <c r="F2868" s="41">
        <v>575030</v>
      </c>
      <c r="G2868" s="35" t="s">
        <v>680</v>
      </c>
      <c r="H2868" s="35" t="s">
        <v>115</v>
      </c>
    </row>
    <row r="2869" spans="1:8">
      <c r="A2869" s="37">
        <v>42460.15625</v>
      </c>
      <c r="B2869" s="35" t="s">
        <v>654</v>
      </c>
      <c r="C2869" s="35" t="s">
        <v>655</v>
      </c>
      <c r="D2869" s="39">
        <v>99.339996337890625</v>
      </c>
      <c r="E2869" s="39">
        <v>85.87042236328125</v>
      </c>
      <c r="F2869" s="41">
        <v>403990</v>
      </c>
      <c r="G2869" s="35" t="s">
        <v>680</v>
      </c>
      <c r="H2869" s="35" t="s">
        <v>115</v>
      </c>
    </row>
    <row r="2870" spans="1:8">
      <c r="A2870" s="37">
        <v>42461.15625</v>
      </c>
      <c r="B2870" s="35" t="s">
        <v>654</v>
      </c>
      <c r="C2870" s="35" t="s">
        <v>655</v>
      </c>
      <c r="D2870" s="39">
        <v>99.110000610351563</v>
      </c>
      <c r="E2870" s="39">
        <v>85.671623229980469</v>
      </c>
      <c r="F2870" s="41">
        <v>875340</v>
      </c>
      <c r="G2870" s="35" t="s">
        <v>681</v>
      </c>
      <c r="H2870" s="35" t="s">
        <v>115</v>
      </c>
    </row>
    <row r="2871" spans="1:8">
      <c r="A2871" s="37">
        <v>42464.15625</v>
      </c>
      <c r="B2871" s="35" t="s">
        <v>654</v>
      </c>
      <c r="C2871" s="35" t="s">
        <v>655</v>
      </c>
      <c r="D2871" s="39">
        <v>101.51000213623047</v>
      </c>
      <c r="E2871" s="39">
        <v>87.746200561523438</v>
      </c>
      <c r="F2871" s="41">
        <v>742155</v>
      </c>
      <c r="G2871" s="35" t="s">
        <v>681</v>
      </c>
      <c r="H2871" s="35" t="s">
        <v>115</v>
      </c>
    </row>
    <row r="2872" spans="1:8">
      <c r="A2872" s="37">
        <v>42465.15625</v>
      </c>
      <c r="B2872" s="35" t="s">
        <v>654</v>
      </c>
      <c r="C2872" s="35" t="s">
        <v>655</v>
      </c>
      <c r="D2872" s="39">
        <v>98.790000915527344</v>
      </c>
      <c r="E2872" s="39">
        <v>85.395027160644531</v>
      </c>
      <c r="F2872" s="41">
        <v>660780</v>
      </c>
      <c r="G2872" s="35" t="s">
        <v>681</v>
      </c>
      <c r="H2872" s="35" t="s">
        <v>115</v>
      </c>
    </row>
    <row r="2873" spans="1:8">
      <c r="A2873" s="37">
        <v>42466.15625</v>
      </c>
      <c r="B2873" s="35" t="s">
        <v>654</v>
      </c>
      <c r="C2873" s="35" t="s">
        <v>655</v>
      </c>
      <c r="D2873" s="39">
        <v>97.989997863769531</v>
      </c>
      <c r="E2873" s="39">
        <v>84.703483581542969</v>
      </c>
      <c r="F2873" s="41">
        <v>844575</v>
      </c>
      <c r="G2873" s="35" t="s">
        <v>681</v>
      </c>
      <c r="H2873" s="35" t="s">
        <v>115</v>
      </c>
    </row>
    <row r="2874" spans="1:8">
      <c r="A2874" s="37">
        <v>42467.15625</v>
      </c>
      <c r="B2874" s="35" t="s">
        <v>654</v>
      </c>
      <c r="C2874" s="35" t="s">
        <v>655</v>
      </c>
      <c r="D2874" s="39">
        <v>98.589996337890625</v>
      </c>
      <c r="E2874" s="39">
        <v>85.222122192382813</v>
      </c>
      <c r="F2874" s="41">
        <v>292805</v>
      </c>
      <c r="G2874" s="35" t="s">
        <v>681</v>
      </c>
      <c r="H2874" s="35" t="s">
        <v>115</v>
      </c>
    </row>
    <row r="2875" spans="1:8">
      <c r="A2875" s="37">
        <v>42468.15625</v>
      </c>
      <c r="B2875" s="35" t="s">
        <v>654</v>
      </c>
      <c r="C2875" s="35" t="s">
        <v>655</v>
      </c>
      <c r="D2875" s="39">
        <v>99.800003051757813</v>
      </c>
      <c r="E2875" s="39">
        <v>86.26806640625</v>
      </c>
      <c r="F2875" s="41">
        <v>277730</v>
      </c>
      <c r="G2875" s="35" t="s">
        <v>681</v>
      </c>
      <c r="H2875" s="35" t="s">
        <v>115</v>
      </c>
    </row>
    <row r="2876" spans="1:8">
      <c r="A2876" s="37">
        <v>42471.15625</v>
      </c>
      <c r="B2876" s="35" t="s">
        <v>654</v>
      </c>
      <c r="C2876" s="35" t="s">
        <v>655</v>
      </c>
      <c r="D2876" s="39">
        <v>99.540000915527344</v>
      </c>
      <c r="E2876" s="39">
        <v>86.043312072753906</v>
      </c>
      <c r="F2876" s="41">
        <v>247910</v>
      </c>
      <c r="G2876" s="35" t="s">
        <v>681</v>
      </c>
      <c r="H2876" s="35" t="s">
        <v>115</v>
      </c>
    </row>
    <row r="2877" spans="1:8">
      <c r="A2877" s="37">
        <v>42472.15625</v>
      </c>
      <c r="B2877" s="35" t="s">
        <v>654</v>
      </c>
      <c r="C2877" s="35" t="s">
        <v>655</v>
      </c>
      <c r="D2877" s="39">
        <v>99.150001525878906</v>
      </c>
      <c r="E2877" s="39">
        <v>85.706230163574219</v>
      </c>
      <c r="F2877" s="41">
        <v>203080</v>
      </c>
      <c r="G2877" s="35" t="s">
        <v>681</v>
      </c>
      <c r="H2877" s="35" t="s">
        <v>115</v>
      </c>
    </row>
    <row r="2878" spans="1:8">
      <c r="A2878" s="37">
        <v>42473.15625</v>
      </c>
      <c r="B2878" s="35" t="s">
        <v>654</v>
      </c>
      <c r="C2878" s="35" t="s">
        <v>655</v>
      </c>
      <c r="D2878" s="39">
        <v>98.849998474121094</v>
      </c>
      <c r="E2878" s="39">
        <v>85.4468994140625</v>
      </c>
      <c r="F2878" s="41">
        <v>306585</v>
      </c>
      <c r="G2878" s="35" t="s">
        <v>681</v>
      </c>
      <c r="H2878" s="35" t="s">
        <v>115</v>
      </c>
    </row>
    <row r="2879" spans="1:8">
      <c r="A2879" s="37">
        <v>42478.15625</v>
      </c>
      <c r="B2879" s="35" t="s">
        <v>654</v>
      </c>
      <c r="C2879" s="35" t="s">
        <v>655</v>
      </c>
      <c r="D2879" s="39">
        <v>102.19000244140625</v>
      </c>
      <c r="E2879" s="39">
        <v>88.334037780761719</v>
      </c>
      <c r="F2879" s="41">
        <v>1046420</v>
      </c>
      <c r="G2879" s="35" t="s">
        <v>681</v>
      </c>
      <c r="H2879" s="35" t="s">
        <v>115</v>
      </c>
    </row>
    <row r="2880" spans="1:8">
      <c r="A2880" s="37">
        <v>42480.15625</v>
      </c>
      <c r="B2880" s="35" t="s">
        <v>654</v>
      </c>
      <c r="C2880" s="35" t="s">
        <v>655</v>
      </c>
      <c r="D2880" s="39">
        <v>100.62999725341797</v>
      </c>
      <c r="E2880" s="39">
        <v>86.985527038574219</v>
      </c>
      <c r="F2880" s="41">
        <v>501220</v>
      </c>
      <c r="G2880" s="35" t="s">
        <v>681</v>
      </c>
      <c r="H2880" s="35" t="s">
        <v>115</v>
      </c>
    </row>
    <row r="2881" spans="1:8">
      <c r="A2881" s="37">
        <v>42481.15625</v>
      </c>
      <c r="B2881" s="35" t="s">
        <v>654</v>
      </c>
      <c r="C2881" s="35" t="s">
        <v>655</v>
      </c>
      <c r="D2881" s="39">
        <v>100.08999633789063</v>
      </c>
      <c r="E2881" s="39">
        <v>86.518745422363281</v>
      </c>
      <c r="F2881" s="41">
        <v>1989110</v>
      </c>
      <c r="G2881" s="35" t="s">
        <v>681</v>
      </c>
      <c r="H2881" s="35" t="s">
        <v>115</v>
      </c>
    </row>
    <row r="2882" spans="1:8">
      <c r="A2882" s="37">
        <v>42482.15625</v>
      </c>
      <c r="B2882" s="35" t="s">
        <v>654</v>
      </c>
      <c r="C2882" s="35" t="s">
        <v>655</v>
      </c>
      <c r="D2882" s="39">
        <v>99.959999084472656</v>
      </c>
      <c r="E2882" s="39">
        <v>86.406364440917969</v>
      </c>
      <c r="F2882" s="41">
        <v>220165</v>
      </c>
      <c r="G2882" s="35" t="s">
        <v>681</v>
      </c>
      <c r="H2882" s="35" t="s">
        <v>115</v>
      </c>
    </row>
    <row r="2883" spans="1:8">
      <c r="A2883" s="37">
        <v>42485.15625</v>
      </c>
      <c r="B2883" s="35" t="s">
        <v>654</v>
      </c>
      <c r="C2883" s="35" t="s">
        <v>655</v>
      </c>
      <c r="D2883" s="39">
        <v>98.959999084472656</v>
      </c>
      <c r="E2883" s="39">
        <v>85.541969299316406</v>
      </c>
      <c r="F2883" s="41">
        <v>636335</v>
      </c>
      <c r="G2883" s="35" t="s">
        <v>681</v>
      </c>
      <c r="H2883" s="35" t="s">
        <v>115</v>
      </c>
    </row>
    <row r="2884" spans="1:8">
      <c r="A2884" s="37">
        <v>42486.15625</v>
      </c>
      <c r="B2884" s="35" t="s">
        <v>654</v>
      </c>
      <c r="C2884" s="35" t="s">
        <v>655</v>
      </c>
      <c r="D2884" s="39">
        <v>97.389999389648438</v>
      </c>
      <c r="E2884" s="39">
        <v>84.184844970703125</v>
      </c>
      <c r="F2884" s="41">
        <v>504445</v>
      </c>
      <c r="G2884" s="35" t="s">
        <v>681</v>
      </c>
      <c r="H2884" s="35" t="s">
        <v>115</v>
      </c>
    </row>
    <row r="2885" spans="1:8">
      <c r="A2885" s="37">
        <v>42487.15625</v>
      </c>
      <c r="B2885" s="35" t="s">
        <v>654</v>
      </c>
      <c r="C2885" s="35" t="s">
        <v>655</v>
      </c>
      <c r="D2885" s="39">
        <v>96.150001525878906</v>
      </c>
      <c r="E2885" s="39">
        <v>83.11297607421875</v>
      </c>
      <c r="F2885" s="41">
        <v>444720</v>
      </c>
      <c r="G2885" s="35" t="s">
        <v>681</v>
      </c>
      <c r="H2885" s="35" t="s">
        <v>115</v>
      </c>
    </row>
    <row r="2886" spans="1:8">
      <c r="A2886" s="37">
        <v>42488.15625</v>
      </c>
      <c r="B2886" s="35" t="s">
        <v>654</v>
      </c>
      <c r="C2886" s="35" t="s">
        <v>655</v>
      </c>
      <c r="D2886" s="39">
        <v>93.930000305175781</v>
      </c>
      <c r="E2886" s="39">
        <v>81.193992614746094</v>
      </c>
      <c r="F2886" s="41">
        <v>404715</v>
      </c>
      <c r="G2886" s="35" t="s">
        <v>681</v>
      </c>
      <c r="H2886" s="35" t="s">
        <v>115</v>
      </c>
    </row>
    <row r="2887" spans="1:8">
      <c r="A2887" s="37">
        <v>42489.15625</v>
      </c>
      <c r="B2887" s="35" t="s">
        <v>654</v>
      </c>
      <c r="C2887" s="35" t="s">
        <v>655</v>
      </c>
      <c r="D2887" s="39">
        <v>93.930000305175781</v>
      </c>
      <c r="E2887" s="39">
        <v>81.193992614746094</v>
      </c>
      <c r="F2887" s="41">
        <v>533375</v>
      </c>
      <c r="G2887" s="35" t="s">
        <v>681</v>
      </c>
      <c r="H2887" s="35" t="s">
        <v>115</v>
      </c>
    </row>
    <row r="2888" spans="1:8">
      <c r="A2888" s="37">
        <v>42492.15625</v>
      </c>
      <c r="B2888" s="35" t="s">
        <v>654</v>
      </c>
      <c r="C2888" s="35" t="s">
        <v>655</v>
      </c>
      <c r="D2888" s="39">
        <v>95.510002136230469</v>
      </c>
      <c r="E2888" s="39">
        <v>82.559745788574219</v>
      </c>
      <c r="F2888" s="41">
        <v>355250</v>
      </c>
      <c r="G2888" s="35" t="s">
        <v>681</v>
      </c>
      <c r="H2888" s="35" t="s">
        <v>115</v>
      </c>
    </row>
    <row r="2889" spans="1:8">
      <c r="A2889" s="37">
        <v>42493.15625</v>
      </c>
      <c r="B2889" s="35" t="s">
        <v>654</v>
      </c>
      <c r="C2889" s="35" t="s">
        <v>655</v>
      </c>
      <c r="D2889" s="39">
        <v>93.480003356933594</v>
      </c>
      <c r="E2889" s="39">
        <v>80.805015563964844</v>
      </c>
      <c r="F2889" s="41">
        <v>499320</v>
      </c>
      <c r="G2889" s="35" t="s">
        <v>681</v>
      </c>
      <c r="H2889" s="35" t="s">
        <v>115</v>
      </c>
    </row>
    <row r="2890" spans="1:8">
      <c r="A2890" s="37">
        <v>42494.15625</v>
      </c>
      <c r="B2890" s="35" t="s">
        <v>654</v>
      </c>
      <c r="C2890" s="35" t="s">
        <v>655</v>
      </c>
      <c r="D2890" s="39">
        <v>91.930000305175781</v>
      </c>
      <c r="E2890" s="39">
        <v>79.465171813964844</v>
      </c>
      <c r="F2890" s="41">
        <v>820705</v>
      </c>
      <c r="G2890" s="35" t="s">
        <v>681</v>
      </c>
      <c r="H2890" s="35" t="s">
        <v>115</v>
      </c>
    </row>
    <row r="2891" spans="1:8">
      <c r="A2891" s="37">
        <v>42495.15625</v>
      </c>
      <c r="B2891" s="35" t="s">
        <v>654</v>
      </c>
      <c r="C2891" s="35" t="s">
        <v>655</v>
      </c>
      <c r="D2891" s="39">
        <v>92.129997253417969</v>
      </c>
      <c r="E2891" s="39">
        <v>79.638038635253906</v>
      </c>
      <c r="F2891" s="41">
        <v>358405</v>
      </c>
      <c r="G2891" s="35" t="s">
        <v>681</v>
      </c>
      <c r="H2891" s="35" t="s">
        <v>115</v>
      </c>
    </row>
    <row r="2892" spans="1:8">
      <c r="A2892" s="37">
        <v>42496.15625</v>
      </c>
      <c r="B2892" s="35" t="s">
        <v>654</v>
      </c>
      <c r="C2892" s="35" t="s">
        <v>655</v>
      </c>
      <c r="D2892" s="39">
        <v>97.519996643066406</v>
      </c>
      <c r="E2892" s="39">
        <v>84.297210693359375</v>
      </c>
      <c r="F2892" s="41">
        <v>8462325</v>
      </c>
      <c r="G2892" s="35" t="s">
        <v>681</v>
      </c>
      <c r="H2892" s="35" t="s">
        <v>115</v>
      </c>
    </row>
    <row r="2893" spans="1:8">
      <c r="A2893" s="37">
        <v>42499.15625</v>
      </c>
      <c r="B2893" s="35" t="s">
        <v>654</v>
      </c>
      <c r="C2893" s="35" t="s">
        <v>655</v>
      </c>
      <c r="D2893" s="39">
        <v>96.55999755859375</v>
      </c>
      <c r="E2893" s="39">
        <v>83.467361450195313</v>
      </c>
      <c r="F2893" s="41">
        <v>1332150</v>
      </c>
      <c r="G2893" s="35" t="s">
        <v>681</v>
      </c>
      <c r="H2893" s="35" t="s">
        <v>115</v>
      </c>
    </row>
    <row r="2894" spans="1:8">
      <c r="A2894" s="37">
        <v>42500.15625</v>
      </c>
      <c r="B2894" s="35" t="s">
        <v>654</v>
      </c>
      <c r="C2894" s="35" t="s">
        <v>655</v>
      </c>
      <c r="D2894" s="39">
        <v>94.150001525878906</v>
      </c>
      <c r="E2894" s="39">
        <v>81.3841552734375</v>
      </c>
      <c r="F2894" s="41">
        <v>607120</v>
      </c>
      <c r="G2894" s="35" t="s">
        <v>681</v>
      </c>
      <c r="H2894" s="35" t="s">
        <v>115</v>
      </c>
    </row>
    <row r="2895" spans="1:8">
      <c r="A2895" s="37">
        <v>42501.15625</v>
      </c>
      <c r="B2895" s="35" t="s">
        <v>654</v>
      </c>
      <c r="C2895" s="35" t="s">
        <v>655</v>
      </c>
      <c r="D2895" s="39">
        <v>95.209999084472656</v>
      </c>
      <c r="E2895" s="39">
        <v>82.300430297851563</v>
      </c>
      <c r="F2895" s="41">
        <v>629120</v>
      </c>
      <c r="G2895" s="35" t="s">
        <v>681</v>
      </c>
      <c r="H2895" s="35" t="s">
        <v>115</v>
      </c>
    </row>
    <row r="2896" spans="1:8">
      <c r="A2896" s="37">
        <v>42502.15625</v>
      </c>
      <c r="B2896" s="35" t="s">
        <v>654</v>
      </c>
      <c r="C2896" s="35" t="s">
        <v>655</v>
      </c>
      <c r="D2896" s="39">
        <v>94.830001831054688</v>
      </c>
      <c r="E2896" s="39">
        <v>81.971961975097656</v>
      </c>
      <c r="F2896" s="41">
        <v>355760</v>
      </c>
      <c r="G2896" s="35" t="s">
        <v>681</v>
      </c>
      <c r="H2896" s="35" t="s">
        <v>115</v>
      </c>
    </row>
    <row r="2897" spans="1:8">
      <c r="A2897" s="37">
        <v>42503.15625</v>
      </c>
      <c r="B2897" s="35" t="s">
        <v>654</v>
      </c>
      <c r="C2897" s="35" t="s">
        <v>655</v>
      </c>
      <c r="D2897" s="39">
        <v>94.790000915527344</v>
      </c>
      <c r="E2897" s="39">
        <v>81.937370300292969</v>
      </c>
      <c r="F2897" s="41">
        <v>614340</v>
      </c>
      <c r="G2897" s="35" t="s">
        <v>681</v>
      </c>
      <c r="H2897" s="35" t="s">
        <v>115</v>
      </c>
    </row>
    <row r="2898" spans="1:8">
      <c r="A2898" s="37">
        <v>42506.15625</v>
      </c>
      <c r="B2898" s="35" t="s">
        <v>654</v>
      </c>
      <c r="C2898" s="35" t="s">
        <v>655</v>
      </c>
      <c r="D2898" s="39">
        <v>94.720001220703125</v>
      </c>
      <c r="E2898" s="39">
        <v>81.876861572265625</v>
      </c>
      <c r="F2898" s="41">
        <v>440560</v>
      </c>
      <c r="G2898" s="35" t="s">
        <v>681</v>
      </c>
      <c r="H2898" s="35" t="s">
        <v>115</v>
      </c>
    </row>
    <row r="2899" spans="1:8">
      <c r="A2899" s="37">
        <v>42507.15625</v>
      </c>
      <c r="B2899" s="35" t="s">
        <v>654</v>
      </c>
      <c r="C2899" s="35" t="s">
        <v>655</v>
      </c>
      <c r="D2899" s="39">
        <v>95.760002136230469</v>
      </c>
      <c r="E2899" s="39">
        <v>82.775856018066406</v>
      </c>
      <c r="F2899" s="41">
        <v>866630</v>
      </c>
      <c r="G2899" s="35" t="s">
        <v>681</v>
      </c>
      <c r="H2899" s="35" t="s">
        <v>115</v>
      </c>
    </row>
    <row r="2900" spans="1:8">
      <c r="A2900" s="37">
        <v>42508.15625</v>
      </c>
      <c r="B2900" s="35" t="s">
        <v>654</v>
      </c>
      <c r="C2900" s="35" t="s">
        <v>655</v>
      </c>
      <c r="D2900" s="39">
        <v>95.80999755859375</v>
      </c>
      <c r="E2900" s="39">
        <v>82.819061279296875</v>
      </c>
      <c r="F2900" s="41">
        <v>600850</v>
      </c>
      <c r="G2900" s="35" t="s">
        <v>681</v>
      </c>
      <c r="H2900" s="35" t="s">
        <v>115</v>
      </c>
    </row>
    <row r="2901" spans="1:8">
      <c r="A2901" s="37">
        <v>42509.15625</v>
      </c>
      <c r="B2901" s="35" t="s">
        <v>654</v>
      </c>
      <c r="C2901" s="35" t="s">
        <v>655</v>
      </c>
      <c r="D2901" s="39">
        <v>94.610000610351563</v>
      </c>
      <c r="E2901" s="39">
        <v>81.781784057617188</v>
      </c>
      <c r="F2901" s="41">
        <v>446200</v>
      </c>
      <c r="G2901" s="35" t="s">
        <v>681</v>
      </c>
      <c r="H2901" s="35" t="s">
        <v>115</v>
      </c>
    </row>
    <row r="2902" spans="1:8">
      <c r="A2902" s="37">
        <v>42510.15625</v>
      </c>
      <c r="B2902" s="35" t="s">
        <v>654</v>
      </c>
      <c r="C2902" s="35" t="s">
        <v>655</v>
      </c>
      <c r="D2902" s="39">
        <v>94.980003356933594</v>
      </c>
      <c r="E2902" s="39">
        <v>82.101608276367188</v>
      </c>
      <c r="F2902" s="41">
        <v>325860</v>
      </c>
      <c r="G2902" s="35" t="s">
        <v>681</v>
      </c>
      <c r="H2902" s="35" t="s">
        <v>115</v>
      </c>
    </row>
    <row r="2903" spans="1:8">
      <c r="A2903" s="37">
        <v>42513.15625</v>
      </c>
      <c r="B2903" s="35" t="s">
        <v>654</v>
      </c>
      <c r="C2903" s="35" t="s">
        <v>655</v>
      </c>
      <c r="D2903" s="39">
        <v>95.040000915527344</v>
      </c>
      <c r="E2903" s="39">
        <v>82.153472900390625</v>
      </c>
      <c r="F2903" s="41">
        <v>176500</v>
      </c>
      <c r="G2903" s="35" t="s">
        <v>681</v>
      </c>
      <c r="H2903" s="35" t="s">
        <v>115</v>
      </c>
    </row>
    <row r="2904" spans="1:8">
      <c r="A2904" s="37">
        <v>42514.15625</v>
      </c>
      <c r="B2904" s="35" t="s">
        <v>654</v>
      </c>
      <c r="C2904" s="35" t="s">
        <v>655</v>
      </c>
      <c r="D2904" s="39">
        <v>95.089996337890625</v>
      </c>
      <c r="E2904" s="39">
        <v>82.196693420410156</v>
      </c>
      <c r="F2904" s="41">
        <v>233085</v>
      </c>
      <c r="G2904" s="35" t="s">
        <v>681</v>
      </c>
      <c r="H2904" s="35" t="s">
        <v>115</v>
      </c>
    </row>
    <row r="2905" spans="1:8">
      <c r="A2905" s="37">
        <v>42515.15625</v>
      </c>
      <c r="B2905" s="35" t="s">
        <v>654</v>
      </c>
      <c r="C2905" s="35" t="s">
        <v>655</v>
      </c>
      <c r="D2905" s="39">
        <v>95.019996643066406</v>
      </c>
      <c r="E2905" s="39">
        <v>82.136184692382813</v>
      </c>
      <c r="F2905" s="41">
        <v>203790</v>
      </c>
      <c r="G2905" s="35" t="s">
        <v>681</v>
      </c>
      <c r="H2905" s="35" t="s">
        <v>115</v>
      </c>
    </row>
    <row r="2906" spans="1:8">
      <c r="A2906" s="37">
        <v>42516.15625</v>
      </c>
      <c r="B2906" s="35" t="s">
        <v>654</v>
      </c>
      <c r="C2906" s="35" t="s">
        <v>655</v>
      </c>
      <c r="D2906" s="39">
        <v>94.989997863769531</v>
      </c>
      <c r="E2906" s="39">
        <v>82.110252380371094</v>
      </c>
      <c r="F2906" s="41">
        <v>195035</v>
      </c>
      <c r="G2906" s="35" t="s">
        <v>681</v>
      </c>
      <c r="H2906" s="35" t="s">
        <v>115</v>
      </c>
    </row>
    <row r="2907" spans="1:8">
      <c r="A2907" s="37">
        <v>42517.15625</v>
      </c>
      <c r="B2907" s="35" t="s">
        <v>654</v>
      </c>
      <c r="C2907" s="35" t="s">
        <v>655</v>
      </c>
      <c r="D2907" s="39">
        <v>94.919998168945313</v>
      </c>
      <c r="E2907" s="39">
        <v>82.049751281738281</v>
      </c>
      <c r="F2907" s="41">
        <v>319165</v>
      </c>
      <c r="G2907" s="35" t="s">
        <v>681</v>
      </c>
      <c r="H2907" s="35" t="s">
        <v>115</v>
      </c>
    </row>
    <row r="2908" spans="1:8">
      <c r="A2908" s="37">
        <v>42520.15625</v>
      </c>
      <c r="B2908" s="35" t="s">
        <v>654</v>
      </c>
      <c r="C2908" s="35" t="s">
        <v>655</v>
      </c>
      <c r="D2908" s="39">
        <v>95.099998474121094</v>
      </c>
      <c r="E2908" s="39">
        <v>82.205337524414063</v>
      </c>
      <c r="F2908" s="41">
        <v>220630</v>
      </c>
      <c r="G2908" s="35" t="s">
        <v>681</v>
      </c>
      <c r="H2908" s="35" t="s">
        <v>115</v>
      </c>
    </row>
    <row r="2909" spans="1:8">
      <c r="A2909" s="37">
        <v>42521.15625</v>
      </c>
      <c r="B2909" s="35" t="s">
        <v>654</v>
      </c>
      <c r="C2909" s="35" t="s">
        <v>655</v>
      </c>
      <c r="D2909" s="39">
        <v>97.120002746582031</v>
      </c>
      <c r="E2909" s="39">
        <v>83.951454162597656</v>
      </c>
      <c r="F2909" s="41">
        <v>1043190</v>
      </c>
      <c r="G2909" s="35" t="s">
        <v>681</v>
      </c>
      <c r="H2909" s="35" t="s">
        <v>115</v>
      </c>
    </row>
    <row r="2910" spans="1:8">
      <c r="A2910" s="37">
        <v>42522.15625</v>
      </c>
      <c r="B2910" s="35" t="s">
        <v>654</v>
      </c>
      <c r="C2910" s="35" t="s">
        <v>655</v>
      </c>
      <c r="D2910" s="39">
        <v>99.400001525878906</v>
      </c>
      <c r="E2910" s="39">
        <v>85.922317504882813</v>
      </c>
      <c r="F2910" s="41">
        <v>688905</v>
      </c>
      <c r="G2910" s="35" t="s">
        <v>681</v>
      </c>
      <c r="H2910" s="35" t="s">
        <v>115</v>
      </c>
    </row>
    <row r="2911" spans="1:8">
      <c r="A2911" s="37">
        <v>42523.15625</v>
      </c>
      <c r="B2911" s="35" t="s">
        <v>654</v>
      </c>
      <c r="C2911" s="35" t="s">
        <v>655</v>
      </c>
      <c r="D2911" s="39">
        <v>99.989997863769531</v>
      </c>
      <c r="E2911" s="39">
        <v>86.432304382324219</v>
      </c>
      <c r="F2911" s="41">
        <v>368855</v>
      </c>
      <c r="G2911" s="35" t="s">
        <v>681</v>
      </c>
      <c r="H2911" s="35" t="s">
        <v>115</v>
      </c>
    </row>
    <row r="2912" spans="1:8">
      <c r="A2912" s="37">
        <v>42524.15625</v>
      </c>
      <c r="B2912" s="35" t="s">
        <v>654</v>
      </c>
      <c r="C2912" s="35" t="s">
        <v>655</v>
      </c>
      <c r="D2912" s="39">
        <v>99.400001525878906</v>
      </c>
      <c r="E2912" s="39">
        <v>85.922317504882813</v>
      </c>
      <c r="F2912" s="41">
        <v>204525</v>
      </c>
      <c r="G2912" s="35" t="s">
        <v>681</v>
      </c>
      <c r="H2912" s="35" t="s">
        <v>115</v>
      </c>
    </row>
    <row r="2913" spans="1:8">
      <c r="A2913" s="37">
        <v>42527.15625</v>
      </c>
      <c r="B2913" s="35" t="s">
        <v>654</v>
      </c>
      <c r="C2913" s="35" t="s">
        <v>655</v>
      </c>
      <c r="D2913" s="39">
        <v>100.93000030517578</v>
      </c>
      <c r="E2913" s="39">
        <v>87.244857788085938</v>
      </c>
      <c r="F2913" s="41">
        <v>465830</v>
      </c>
      <c r="G2913" s="35" t="s">
        <v>681</v>
      </c>
      <c r="H2913" s="35" t="s">
        <v>115</v>
      </c>
    </row>
    <row r="2914" spans="1:8">
      <c r="A2914" s="37">
        <v>42528.15625</v>
      </c>
      <c r="B2914" s="35" t="s">
        <v>654</v>
      </c>
      <c r="C2914" s="35" t="s">
        <v>655</v>
      </c>
      <c r="D2914" s="39">
        <v>102.58000183105469</v>
      </c>
      <c r="E2914" s="39">
        <v>88.671134948730469</v>
      </c>
      <c r="F2914" s="41">
        <v>1667605</v>
      </c>
      <c r="G2914" s="35" t="s">
        <v>681</v>
      </c>
      <c r="H2914" s="35" t="s">
        <v>115</v>
      </c>
    </row>
    <row r="2915" spans="1:8">
      <c r="A2915" s="37">
        <v>42529.15625</v>
      </c>
      <c r="B2915" s="35" t="s">
        <v>654</v>
      </c>
      <c r="C2915" s="35" t="s">
        <v>655</v>
      </c>
      <c r="D2915" s="39">
        <v>108.26999664306641</v>
      </c>
      <c r="E2915" s="39">
        <v>93.589614868164063</v>
      </c>
      <c r="F2915" s="41">
        <v>1861765</v>
      </c>
      <c r="G2915" s="35" t="s">
        <v>681</v>
      </c>
      <c r="H2915" s="35" t="s">
        <v>115</v>
      </c>
    </row>
    <row r="2916" spans="1:8">
      <c r="A2916" s="37">
        <v>42530.15625</v>
      </c>
      <c r="B2916" s="35" t="s">
        <v>654</v>
      </c>
      <c r="C2916" s="35" t="s">
        <v>655</v>
      </c>
      <c r="D2916" s="39">
        <v>105.33999633789063</v>
      </c>
      <c r="E2916" s="39">
        <v>91.056877136230469</v>
      </c>
      <c r="F2916" s="41">
        <v>438720</v>
      </c>
      <c r="G2916" s="35" t="s">
        <v>681</v>
      </c>
      <c r="H2916" s="35" t="s">
        <v>115</v>
      </c>
    </row>
    <row r="2917" spans="1:8">
      <c r="A2917" s="37">
        <v>42531.15625</v>
      </c>
      <c r="B2917" s="35" t="s">
        <v>654</v>
      </c>
      <c r="C2917" s="35" t="s">
        <v>655</v>
      </c>
      <c r="D2917" s="39">
        <v>106.47000122070313</v>
      </c>
      <c r="E2917" s="39">
        <v>92.033676147460938</v>
      </c>
      <c r="F2917" s="41">
        <v>1376830</v>
      </c>
      <c r="G2917" s="35" t="s">
        <v>681</v>
      </c>
      <c r="H2917" s="35" t="s">
        <v>115</v>
      </c>
    </row>
    <row r="2918" spans="1:8">
      <c r="A2918" s="37">
        <v>42534.15625</v>
      </c>
      <c r="B2918" s="35" t="s">
        <v>654</v>
      </c>
      <c r="C2918" s="35" t="s">
        <v>655</v>
      </c>
      <c r="D2918" s="39">
        <v>110.98000335693359</v>
      </c>
      <c r="E2918" s="39">
        <v>95.932167053222656</v>
      </c>
      <c r="F2918" s="41">
        <v>1439175</v>
      </c>
      <c r="G2918" s="35" t="s">
        <v>681</v>
      </c>
      <c r="H2918" s="35" t="s">
        <v>115</v>
      </c>
    </row>
    <row r="2919" spans="1:8">
      <c r="A2919" s="37">
        <v>42535.15625</v>
      </c>
      <c r="B2919" s="35" t="s">
        <v>654</v>
      </c>
      <c r="C2919" s="35" t="s">
        <v>655</v>
      </c>
      <c r="D2919" s="39">
        <v>113.33000183105469</v>
      </c>
      <c r="E2919" s="39">
        <v>97.963531494140625</v>
      </c>
      <c r="F2919" s="41">
        <v>770965</v>
      </c>
      <c r="G2919" s="35" t="s">
        <v>681</v>
      </c>
      <c r="H2919" s="35" t="s">
        <v>115</v>
      </c>
    </row>
    <row r="2920" spans="1:8">
      <c r="A2920" s="37">
        <v>42536.15625</v>
      </c>
      <c r="B2920" s="35" t="s">
        <v>654</v>
      </c>
      <c r="C2920" s="35" t="s">
        <v>655</v>
      </c>
      <c r="D2920" s="39">
        <v>111</v>
      </c>
      <c r="E2920" s="39">
        <v>95.949455261230469</v>
      </c>
      <c r="F2920" s="41">
        <v>1767020</v>
      </c>
      <c r="G2920" s="35" t="s">
        <v>681</v>
      </c>
      <c r="H2920" s="35" t="s">
        <v>115</v>
      </c>
    </row>
    <row r="2921" spans="1:8">
      <c r="A2921" s="37">
        <v>42537.15625</v>
      </c>
      <c r="B2921" s="35" t="s">
        <v>654</v>
      </c>
      <c r="C2921" s="35" t="s">
        <v>655</v>
      </c>
      <c r="D2921" s="39">
        <v>108.79000091552734</v>
      </c>
      <c r="E2921" s="39">
        <v>94.039100646972656</v>
      </c>
      <c r="F2921" s="41">
        <v>1152150</v>
      </c>
      <c r="G2921" s="35" t="s">
        <v>681</v>
      </c>
      <c r="H2921" s="35" t="s">
        <v>115</v>
      </c>
    </row>
    <row r="2922" spans="1:8">
      <c r="A2922" s="37">
        <v>42538.15625</v>
      </c>
      <c r="B2922" s="35" t="s">
        <v>654</v>
      </c>
      <c r="C2922" s="35" t="s">
        <v>655</v>
      </c>
      <c r="D2922" s="39">
        <v>108.30999755859375</v>
      </c>
      <c r="E2922" s="39">
        <v>93.624183654785156</v>
      </c>
      <c r="F2922" s="41">
        <v>320000</v>
      </c>
      <c r="G2922" s="35" t="s">
        <v>681</v>
      </c>
      <c r="H2922" s="35" t="s">
        <v>115</v>
      </c>
    </row>
    <row r="2923" spans="1:8">
      <c r="A2923" s="37">
        <v>42541.15625</v>
      </c>
      <c r="B2923" s="35" t="s">
        <v>654</v>
      </c>
      <c r="C2923" s="35" t="s">
        <v>655</v>
      </c>
      <c r="D2923" s="39">
        <v>106.86000061035156</v>
      </c>
      <c r="E2923" s="39">
        <v>92.370803833007813</v>
      </c>
      <c r="F2923" s="41">
        <v>263275</v>
      </c>
      <c r="G2923" s="35" t="s">
        <v>681</v>
      </c>
      <c r="H2923" s="35" t="s">
        <v>115</v>
      </c>
    </row>
    <row r="2924" spans="1:8">
      <c r="A2924" s="37">
        <v>42542.15625</v>
      </c>
      <c r="B2924" s="35" t="s">
        <v>654</v>
      </c>
      <c r="C2924" s="35" t="s">
        <v>655</v>
      </c>
      <c r="D2924" s="39">
        <v>105.72000122070313</v>
      </c>
      <c r="E2924" s="39">
        <v>91.385368347167969</v>
      </c>
      <c r="F2924" s="41">
        <v>186560</v>
      </c>
      <c r="G2924" s="35" t="s">
        <v>681</v>
      </c>
      <c r="H2924" s="35" t="s">
        <v>115</v>
      </c>
    </row>
    <row r="2925" spans="1:8">
      <c r="A2925" s="37">
        <v>42543.15625</v>
      </c>
      <c r="B2925" s="35" t="s">
        <v>654</v>
      </c>
      <c r="C2925" s="35" t="s">
        <v>655</v>
      </c>
      <c r="D2925" s="39">
        <v>104.44999694824219</v>
      </c>
      <c r="E2925" s="39">
        <v>90.287567138671875</v>
      </c>
      <c r="F2925" s="41">
        <v>984870</v>
      </c>
      <c r="G2925" s="35" t="s">
        <v>681</v>
      </c>
      <c r="H2925" s="35" t="s">
        <v>115</v>
      </c>
    </row>
    <row r="2926" spans="1:8">
      <c r="A2926" s="37">
        <v>42544.15625</v>
      </c>
      <c r="B2926" s="35" t="s">
        <v>654</v>
      </c>
      <c r="C2926" s="35" t="s">
        <v>655</v>
      </c>
      <c r="D2926" s="39">
        <v>104.43000030517578</v>
      </c>
      <c r="E2926" s="39">
        <v>90.270286560058594</v>
      </c>
      <c r="F2926" s="41">
        <v>315025</v>
      </c>
      <c r="G2926" s="35" t="s">
        <v>681</v>
      </c>
      <c r="H2926" s="35" t="s">
        <v>115</v>
      </c>
    </row>
    <row r="2927" spans="1:8">
      <c r="A2927" s="37">
        <v>42545.15625</v>
      </c>
      <c r="B2927" s="35" t="s">
        <v>654</v>
      </c>
      <c r="C2927" s="35" t="s">
        <v>655</v>
      </c>
      <c r="D2927" s="39">
        <v>101.44999694824219</v>
      </c>
      <c r="E2927" s="39">
        <v>87.694343566894531</v>
      </c>
      <c r="F2927" s="41">
        <v>406800</v>
      </c>
      <c r="G2927" s="35" t="s">
        <v>681</v>
      </c>
      <c r="H2927" s="35" t="s">
        <v>115</v>
      </c>
    </row>
    <row r="2928" spans="1:8">
      <c r="A2928" s="37">
        <v>42548.15625</v>
      </c>
      <c r="B2928" s="35" t="s">
        <v>654</v>
      </c>
      <c r="C2928" s="35" t="s">
        <v>655</v>
      </c>
      <c r="D2928" s="39">
        <v>100.31999969482422</v>
      </c>
      <c r="E2928" s="39">
        <v>86.717552185058594</v>
      </c>
      <c r="F2928" s="41">
        <v>354300</v>
      </c>
      <c r="G2928" s="35" t="s">
        <v>681</v>
      </c>
      <c r="H2928" s="35" t="s">
        <v>115</v>
      </c>
    </row>
    <row r="2929" spans="1:8">
      <c r="A2929" s="37">
        <v>42549.15625</v>
      </c>
      <c r="B2929" s="35" t="s">
        <v>654</v>
      </c>
      <c r="C2929" s="35" t="s">
        <v>655</v>
      </c>
      <c r="D2929" s="39">
        <v>97.879997253417969</v>
      </c>
      <c r="E2929" s="39">
        <v>84.608383178710938</v>
      </c>
      <c r="F2929" s="41">
        <v>1011145</v>
      </c>
      <c r="G2929" s="35" t="s">
        <v>681</v>
      </c>
      <c r="H2929" s="35" t="s">
        <v>115</v>
      </c>
    </row>
    <row r="2930" spans="1:8">
      <c r="A2930" s="37">
        <v>42550.15625</v>
      </c>
      <c r="B2930" s="35" t="s">
        <v>654</v>
      </c>
      <c r="C2930" s="35" t="s">
        <v>655</v>
      </c>
      <c r="D2930" s="39">
        <v>99.30999755859375</v>
      </c>
      <c r="E2930" s="39">
        <v>85.844482421875</v>
      </c>
      <c r="F2930" s="41">
        <v>666565</v>
      </c>
      <c r="G2930" s="35" t="s">
        <v>681</v>
      </c>
      <c r="H2930" s="35" t="s">
        <v>115</v>
      </c>
    </row>
    <row r="2931" spans="1:8">
      <c r="A2931" s="37">
        <v>42551.15625</v>
      </c>
      <c r="B2931" s="35" t="s">
        <v>654</v>
      </c>
      <c r="C2931" s="35" t="s">
        <v>655</v>
      </c>
      <c r="D2931" s="39">
        <v>102.55000305175781</v>
      </c>
      <c r="E2931" s="39">
        <v>88.64520263671875</v>
      </c>
      <c r="F2931" s="41">
        <v>1864410</v>
      </c>
      <c r="G2931" s="35" t="s">
        <v>681</v>
      </c>
      <c r="H2931" s="35" t="s">
        <v>115</v>
      </c>
    </row>
    <row r="2932" spans="1:8">
      <c r="A2932" s="37">
        <v>42552.15625</v>
      </c>
      <c r="B2932" s="35" t="s">
        <v>654</v>
      </c>
      <c r="C2932" s="35" t="s">
        <v>655</v>
      </c>
      <c r="D2932" s="39">
        <v>103.38999938964844</v>
      </c>
      <c r="E2932" s="39">
        <v>89.371307373046875</v>
      </c>
      <c r="F2932" s="41">
        <v>3100685</v>
      </c>
      <c r="G2932" s="35" t="s">
        <v>681</v>
      </c>
      <c r="H2932" s="35" t="s">
        <v>115</v>
      </c>
    </row>
    <row r="2933" spans="1:8">
      <c r="A2933" s="37">
        <v>42555.15625</v>
      </c>
      <c r="B2933" s="35" t="s">
        <v>654</v>
      </c>
      <c r="C2933" s="35" t="s">
        <v>655</v>
      </c>
      <c r="D2933" s="39">
        <v>104.73999786376953</v>
      </c>
      <c r="E2933" s="39">
        <v>90.538253784179688</v>
      </c>
      <c r="F2933" s="41">
        <v>905000</v>
      </c>
      <c r="G2933" s="35" t="s">
        <v>681</v>
      </c>
      <c r="H2933" s="35" t="s">
        <v>115</v>
      </c>
    </row>
    <row r="2934" spans="1:8">
      <c r="A2934" s="37">
        <v>42556.15625</v>
      </c>
      <c r="B2934" s="35" t="s">
        <v>654</v>
      </c>
      <c r="C2934" s="35" t="s">
        <v>655</v>
      </c>
      <c r="D2934" s="39">
        <v>105.94000244140625</v>
      </c>
      <c r="E2934" s="39">
        <v>91.575553894042969</v>
      </c>
      <c r="F2934" s="41">
        <v>1230090</v>
      </c>
      <c r="G2934" s="35" t="s">
        <v>681</v>
      </c>
      <c r="H2934" s="35" t="s">
        <v>115</v>
      </c>
    </row>
    <row r="2935" spans="1:8">
      <c r="A2935" s="37">
        <v>42558.15625</v>
      </c>
      <c r="B2935" s="35" t="s">
        <v>654</v>
      </c>
      <c r="C2935" s="35" t="s">
        <v>655</v>
      </c>
      <c r="D2935" s="39">
        <v>101.84999847412109</v>
      </c>
      <c r="E2935" s="39">
        <v>88.040077209472656</v>
      </c>
      <c r="F2935" s="41">
        <v>1271185</v>
      </c>
      <c r="G2935" s="35" t="s">
        <v>681</v>
      </c>
      <c r="H2935" s="35" t="s">
        <v>115</v>
      </c>
    </row>
    <row r="2936" spans="1:8">
      <c r="A2936" s="37">
        <v>42559.15625</v>
      </c>
      <c r="B2936" s="35" t="s">
        <v>654</v>
      </c>
      <c r="C2936" s="35" t="s">
        <v>655</v>
      </c>
      <c r="D2936" s="39">
        <v>100.54000091552734</v>
      </c>
      <c r="E2936" s="39">
        <v>86.907722473144531</v>
      </c>
      <c r="F2936" s="41">
        <v>818110</v>
      </c>
      <c r="G2936" s="35" t="s">
        <v>681</v>
      </c>
      <c r="H2936" s="35" t="s">
        <v>115</v>
      </c>
    </row>
    <row r="2937" spans="1:8">
      <c r="A2937" s="37">
        <v>42562.15625</v>
      </c>
      <c r="B2937" s="35" t="s">
        <v>654</v>
      </c>
      <c r="C2937" s="35" t="s">
        <v>655</v>
      </c>
      <c r="D2937" s="39">
        <v>100.69999694824219</v>
      </c>
      <c r="E2937" s="39">
        <v>87.046043395996094</v>
      </c>
      <c r="F2937" s="41">
        <v>633855</v>
      </c>
      <c r="G2937" s="35" t="s">
        <v>681</v>
      </c>
      <c r="H2937" s="35" t="s">
        <v>115</v>
      </c>
    </row>
    <row r="2938" spans="1:8">
      <c r="A2938" s="37">
        <v>42563.15625</v>
      </c>
      <c r="B2938" s="35" t="s">
        <v>654</v>
      </c>
      <c r="C2938" s="35" t="s">
        <v>655</v>
      </c>
      <c r="D2938" s="39">
        <v>100.80999755859375</v>
      </c>
      <c r="E2938" s="39">
        <v>87.14111328125</v>
      </c>
      <c r="F2938" s="41">
        <v>842775</v>
      </c>
      <c r="G2938" s="35" t="s">
        <v>681</v>
      </c>
      <c r="H2938" s="35" t="s">
        <v>115</v>
      </c>
    </row>
    <row r="2939" spans="1:8">
      <c r="A2939" s="37">
        <v>42564.15625</v>
      </c>
      <c r="B2939" s="35" t="s">
        <v>654</v>
      </c>
      <c r="C2939" s="35" t="s">
        <v>655</v>
      </c>
      <c r="D2939" s="39">
        <v>100.73000335693359</v>
      </c>
      <c r="E2939" s="39">
        <v>87.071983337402344</v>
      </c>
      <c r="F2939" s="41">
        <v>460485</v>
      </c>
      <c r="G2939" s="35" t="s">
        <v>681</v>
      </c>
      <c r="H2939" s="35" t="s">
        <v>115</v>
      </c>
    </row>
    <row r="2940" spans="1:8">
      <c r="A2940" s="37">
        <v>42565.15625</v>
      </c>
      <c r="B2940" s="35" t="s">
        <v>654</v>
      </c>
      <c r="C2940" s="35" t="s">
        <v>655</v>
      </c>
      <c r="D2940" s="39">
        <v>99.459999084472656</v>
      </c>
      <c r="E2940" s="39">
        <v>85.974174499511719</v>
      </c>
      <c r="F2940" s="41">
        <v>515425</v>
      </c>
      <c r="G2940" s="35" t="s">
        <v>681</v>
      </c>
      <c r="H2940" s="35" t="s">
        <v>115</v>
      </c>
    </row>
    <row r="2941" spans="1:8">
      <c r="A2941" s="37">
        <v>42566.15625</v>
      </c>
      <c r="B2941" s="35" t="s">
        <v>654</v>
      </c>
      <c r="C2941" s="35" t="s">
        <v>655</v>
      </c>
      <c r="D2941" s="39">
        <v>94.040000915527344</v>
      </c>
      <c r="E2941" s="39">
        <v>81.2890625</v>
      </c>
      <c r="F2941" s="41">
        <v>9435020</v>
      </c>
      <c r="G2941" s="35" t="s">
        <v>681</v>
      </c>
      <c r="H2941" s="35" t="s">
        <v>115</v>
      </c>
    </row>
    <row r="2942" spans="1:8">
      <c r="A2942" s="37">
        <v>42569.15625</v>
      </c>
      <c r="B2942" s="35" t="s">
        <v>654</v>
      </c>
      <c r="C2942" s="35" t="s">
        <v>655</v>
      </c>
      <c r="D2942" s="39">
        <v>94.529998779296875</v>
      </c>
      <c r="E2942" s="39">
        <v>81.712631225585938</v>
      </c>
      <c r="F2942" s="41">
        <v>1421250</v>
      </c>
      <c r="G2942" s="35" t="s">
        <v>681</v>
      </c>
      <c r="H2942" s="35" t="s">
        <v>115</v>
      </c>
    </row>
    <row r="2943" spans="1:8">
      <c r="A2943" s="37">
        <v>42570.15625</v>
      </c>
      <c r="B2943" s="35" t="s">
        <v>654</v>
      </c>
      <c r="C2943" s="35" t="s">
        <v>655</v>
      </c>
      <c r="D2943" s="39">
        <v>94.379997253417969</v>
      </c>
      <c r="E2943" s="39">
        <v>81.582962036132813</v>
      </c>
      <c r="F2943" s="41">
        <v>722570</v>
      </c>
      <c r="G2943" s="35" t="s">
        <v>681</v>
      </c>
      <c r="H2943" s="35" t="s">
        <v>115</v>
      </c>
    </row>
    <row r="2944" spans="1:8">
      <c r="A2944" s="37">
        <v>42571.15625</v>
      </c>
      <c r="B2944" s="35" t="s">
        <v>654</v>
      </c>
      <c r="C2944" s="35" t="s">
        <v>655</v>
      </c>
      <c r="D2944" s="39">
        <v>93.790000915527344</v>
      </c>
      <c r="E2944" s="39">
        <v>81.072982788085938</v>
      </c>
      <c r="F2944" s="41">
        <v>756335</v>
      </c>
      <c r="G2944" s="35" t="s">
        <v>681</v>
      </c>
      <c r="H2944" s="35" t="s">
        <v>115</v>
      </c>
    </row>
    <row r="2945" spans="1:8">
      <c r="A2945" s="37">
        <v>42572.15625</v>
      </c>
      <c r="B2945" s="35" t="s">
        <v>654</v>
      </c>
      <c r="C2945" s="35" t="s">
        <v>655</v>
      </c>
      <c r="D2945" s="39">
        <v>93.150001525878906</v>
      </c>
      <c r="E2945" s="39">
        <v>80.519729614257813</v>
      </c>
      <c r="F2945" s="41">
        <v>577365</v>
      </c>
      <c r="G2945" s="35" t="s">
        <v>681</v>
      </c>
      <c r="H2945" s="35" t="s">
        <v>115</v>
      </c>
    </row>
    <row r="2946" spans="1:8">
      <c r="A2946" s="37">
        <v>42573.15625</v>
      </c>
      <c r="B2946" s="35" t="s">
        <v>654</v>
      </c>
      <c r="C2946" s="35" t="s">
        <v>655</v>
      </c>
      <c r="D2946" s="39">
        <v>92.730003356933594</v>
      </c>
      <c r="E2946" s="39">
        <v>81.915489196777344</v>
      </c>
      <c r="F2946" s="41">
        <v>1074085</v>
      </c>
      <c r="G2946" s="35" t="s">
        <v>681</v>
      </c>
      <c r="H2946" s="35" t="s">
        <v>115</v>
      </c>
    </row>
    <row r="2947" spans="1:8">
      <c r="A2947" s="37">
        <v>42576.15625</v>
      </c>
      <c r="B2947" s="35" t="s">
        <v>654</v>
      </c>
      <c r="C2947" s="35" t="s">
        <v>655</v>
      </c>
      <c r="D2947" s="39">
        <v>92.19000244140625</v>
      </c>
      <c r="E2947" s="39">
        <v>81.438438415527344</v>
      </c>
      <c r="F2947" s="41">
        <v>657640</v>
      </c>
      <c r="G2947" s="35" t="s">
        <v>681</v>
      </c>
      <c r="H2947" s="35" t="s">
        <v>115</v>
      </c>
    </row>
    <row r="2948" spans="1:8">
      <c r="A2948" s="37">
        <v>42577.15625</v>
      </c>
      <c r="B2948" s="35" t="s">
        <v>654</v>
      </c>
      <c r="C2948" s="35" t="s">
        <v>655</v>
      </c>
      <c r="D2948" s="39">
        <v>93.470001220703125</v>
      </c>
      <c r="E2948" s="39">
        <v>82.569183349609375</v>
      </c>
      <c r="F2948" s="41">
        <v>2275285</v>
      </c>
      <c r="G2948" s="35" t="s">
        <v>681</v>
      </c>
      <c r="H2948" s="35" t="s">
        <v>115</v>
      </c>
    </row>
    <row r="2949" spans="1:8">
      <c r="A2949" s="37">
        <v>42578.15625</v>
      </c>
      <c r="B2949" s="35" t="s">
        <v>654</v>
      </c>
      <c r="C2949" s="35" t="s">
        <v>655</v>
      </c>
      <c r="D2949" s="39">
        <v>92.019996643066406</v>
      </c>
      <c r="E2949" s="39">
        <v>81.288291931152344</v>
      </c>
      <c r="F2949" s="41">
        <v>817640</v>
      </c>
      <c r="G2949" s="35" t="s">
        <v>681</v>
      </c>
      <c r="H2949" s="35" t="s">
        <v>115</v>
      </c>
    </row>
    <row r="2950" spans="1:8">
      <c r="A2950" s="37">
        <v>42579.15625</v>
      </c>
      <c r="B2950" s="35" t="s">
        <v>654</v>
      </c>
      <c r="C2950" s="35" t="s">
        <v>655</v>
      </c>
      <c r="D2950" s="39">
        <v>93.5</v>
      </c>
      <c r="E2950" s="39">
        <v>82.595680236816406</v>
      </c>
      <c r="F2950" s="41">
        <v>2264070</v>
      </c>
      <c r="G2950" s="35" t="s">
        <v>681</v>
      </c>
      <c r="H2950" s="35" t="s">
        <v>115</v>
      </c>
    </row>
    <row r="2951" spans="1:8">
      <c r="A2951" s="37">
        <v>42580.15625</v>
      </c>
      <c r="B2951" s="35" t="s">
        <v>654</v>
      </c>
      <c r="C2951" s="35" t="s">
        <v>655</v>
      </c>
      <c r="D2951" s="39">
        <v>90.010002136230469</v>
      </c>
      <c r="E2951" s="39">
        <v>79.512702941894531</v>
      </c>
      <c r="F2951" s="41">
        <v>1888015</v>
      </c>
      <c r="G2951" s="35" t="s">
        <v>681</v>
      </c>
      <c r="H2951" s="35" t="s">
        <v>115</v>
      </c>
    </row>
    <row r="2952" spans="1:8">
      <c r="A2952" s="37">
        <v>42583.15625</v>
      </c>
      <c r="B2952" s="35" t="s">
        <v>654</v>
      </c>
      <c r="C2952" s="35" t="s">
        <v>655</v>
      </c>
      <c r="D2952" s="39">
        <v>89.209999084472656</v>
      </c>
      <c r="E2952" s="39">
        <v>78.806007385253906</v>
      </c>
      <c r="F2952" s="41">
        <v>1117580</v>
      </c>
      <c r="G2952" s="35" t="s">
        <v>681</v>
      </c>
      <c r="H2952" s="35" t="s">
        <v>115</v>
      </c>
    </row>
    <row r="2953" spans="1:8">
      <c r="A2953" s="37">
        <v>42584.15625</v>
      </c>
      <c r="B2953" s="35" t="s">
        <v>654</v>
      </c>
      <c r="C2953" s="35" t="s">
        <v>655</v>
      </c>
      <c r="D2953" s="39">
        <v>88.470001220703125</v>
      </c>
      <c r="E2953" s="39">
        <v>78.152305603027344</v>
      </c>
      <c r="F2953" s="41">
        <v>644245</v>
      </c>
      <c r="G2953" s="35" t="s">
        <v>681</v>
      </c>
      <c r="H2953" s="35" t="s">
        <v>115</v>
      </c>
    </row>
    <row r="2954" spans="1:8">
      <c r="A2954" s="37">
        <v>42585.15625</v>
      </c>
      <c r="B2954" s="35" t="s">
        <v>654</v>
      </c>
      <c r="C2954" s="35" t="s">
        <v>655</v>
      </c>
      <c r="D2954" s="39">
        <v>84.449996948242188</v>
      </c>
      <c r="E2954" s="39">
        <v>74.601119995117188</v>
      </c>
      <c r="F2954" s="41">
        <v>1268010</v>
      </c>
      <c r="G2954" s="35" t="s">
        <v>681</v>
      </c>
      <c r="H2954" s="35" t="s">
        <v>115</v>
      </c>
    </row>
    <row r="2955" spans="1:8">
      <c r="A2955" s="37">
        <v>42586.15625</v>
      </c>
      <c r="B2955" s="35" t="s">
        <v>654</v>
      </c>
      <c r="C2955" s="35" t="s">
        <v>655</v>
      </c>
      <c r="D2955" s="39">
        <v>85.069999694824219</v>
      </c>
      <c r="E2955" s="39">
        <v>75.148796081542969</v>
      </c>
      <c r="F2955" s="41">
        <v>1675235</v>
      </c>
      <c r="G2955" s="35" t="s">
        <v>681</v>
      </c>
      <c r="H2955" s="35" t="s">
        <v>115</v>
      </c>
    </row>
    <row r="2956" spans="1:8">
      <c r="A2956" s="37">
        <v>42587.15625</v>
      </c>
      <c r="B2956" s="35" t="s">
        <v>654</v>
      </c>
      <c r="C2956" s="35" t="s">
        <v>655</v>
      </c>
      <c r="D2956" s="39">
        <v>84.599998474121094</v>
      </c>
      <c r="E2956" s="39">
        <v>74.733619689941406</v>
      </c>
      <c r="F2956" s="41">
        <v>1162790</v>
      </c>
      <c r="G2956" s="35" t="s">
        <v>681</v>
      </c>
      <c r="H2956" s="35" t="s">
        <v>115</v>
      </c>
    </row>
    <row r="2957" spans="1:8">
      <c r="A2957" s="37">
        <v>42590.15625</v>
      </c>
      <c r="B2957" s="35" t="s">
        <v>654</v>
      </c>
      <c r="C2957" s="35" t="s">
        <v>655</v>
      </c>
      <c r="D2957" s="39">
        <v>84.339996337890625</v>
      </c>
      <c r="E2957" s="39">
        <v>74.50396728515625</v>
      </c>
      <c r="F2957" s="41">
        <v>832790</v>
      </c>
      <c r="G2957" s="35" t="s">
        <v>681</v>
      </c>
      <c r="H2957" s="35" t="s">
        <v>115</v>
      </c>
    </row>
    <row r="2958" spans="1:8">
      <c r="A2958" s="37">
        <v>42591.15625</v>
      </c>
      <c r="B2958" s="35" t="s">
        <v>654</v>
      </c>
      <c r="C2958" s="35" t="s">
        <v>655</v>
      </c>
      <c r="D2958" s="39">
        <v>82.959999084472656</v>
      </c>
      <c r="E2958" s="39">
        <v>73.284896850585938</v>
      </c>
      <c r="F2958" s="41">
        <v>955155</v>
      </c>
      <c r="G2958" s="35" t="s">
        <v>681</v>
      </c>
      <c r="H2958" s="35" t="s">
        <v>115</v>
      </c>
    </row>
    <row r="2959" spans="1:8">
      <c r="A2959" s="37">
        <v>42592.15625</v>
      </c>
      <c r="B2959" s="35" t="s">
        <v>654</v>
      </c>
      <c r="C2959" s="35" t="s">
        <v>655</v>
      </c>
      <c r="D2959" s="39">
        <v>81.459999084472656</v>
      </c>
      <c r="E2959" s="39">
        <v>71.959831237792969</v>
      </c>
      <c r="F2959" s="41">
        <v>1999185</v>
      </c>
      <c r="G2959" s="35" t="s">
        <v>681</v>
      </c>
      <c r="H2959" s="35" t="s">
        <v>115</v>
      </c>
    </row>
    <row r="2960" spans="1:8">
      <c r="A2960" s="37">
        <v>42593.15625</v>
      </c>
      <c r="B2960" s="35" t="s">
        <v>654</v>
      </c>
      <c r="C2960" s="35" t="s">
        <v>655</v>
      </c>
      <c r="D2960" s="39">
        <v>82.669998168945313</v>
      </c>
      <c r="E2960" s="39">
        <v>73.028694152832031</v>
      </c>
      <c r="F2960" s="41">
        <v>1265940</v>
      </c>
      <c r="G2960" s="35" t="s">
        <v>681</v>
      </c>
      <c r="H2960" s="35" t="s">
        <v>115</v>
      </c>
    </row>
    <row r="2961" spans="1:8">
      <c r="A2961" s="37">
        <v>42594.15625</v>
      </c>
      <c r="B2961" s="35" t="s">
        <v>654</v>
      </c>
      <c r="C2961" s="35" t="s">
        <v>655</v>
      </c>
      <c r="D2961" s="39">
        <v>82.220001220703125</v>
      </c>
      <c r="E2961" s="39">
        <v>72.631217956542969</v>
      </c>
      <c r="F2961" s="41">
        <v>723390</v>
      </c>
      <c r="G2961" s="35" t="s">
        <v>681</v>
      </c>
      <c r="H2961" s="35" t="s">
        <v>115</v>
      </c>
    </row>
    <row r="2962" spans="1:8">
      <c r="A2962" s="37">
        <v>42598.15625</v>
      </c>
      <c r="B2962" s="35" t="s">
        <v>654</v>
      </c>
      <c r="C2962" s="35" t="s">
        <v>655</v>
      </c>
      <c r="D2962" s="39">
        <v>82.080001831054688</v>
      </c>
      <c r="E2962" s="39">
        <v>72.507514953613281</v>
      </c>
      <c r="F2962" s="41">
        <v>1532660</v>
      </c>
      <c r="G2962" s="35" t="s">
        <v>681</v>
      </c>
      <c r="H2962" s="35" t="s">
        <v>115</v>
      </c>
    </row>
    <row r="2963" spans="1:8">
      <c r="A2963" s="37">
        <v>42599.15625</v>
      </c>
      <c r="B2963" s="35" t="s">
        <v>654</v>
      </c>
      <c r="C2963" s="35" t="s">
        <v>655</v>
      </c>
      <c r="D2963" s="39">
        <v>81.550003051757813</v>
      </c>
      <c r="E2963" s="39">
        <v>72.039352416992188</v>
      </c>
      <c r="F2963" s="41">
        <v>1096915</v>
      </c>
      <c r="G2963" s="35" t="s">
        <v>681</v>
      </c>
      <c r="H2963" s="35" t="s">
        <v>115</v>
      </c>
    </row>
    <row r="2964" spans="1:8">
      <c r="A2964" s="37">
        <v>42600.15625</v>
      </c>
      <c r="B2964" s="35" t="s">
        <v>654</v>
      </c>
      <c r="C2964" s="35" t="s">
        <v>655</v>
      </c>
      <c r="D2964" s="39">
        <v>83.040000915527344</v>
      </c>
      <c r="E2964" s="39">
        <v>73.355560302734375</v>
      </c>
      <c r="F2964" s="41">
        <v>1684890</v>
      </c>
      <c r="G2964" s="35" t="s">
        <v>681</v>
      </c>
      <c r="H2964" s="35" t="s">
        <v>115</v>
      </c>
    </row>
    <row r="2965" spans="1:8">
      <c r="A2965" s="37">
        <v>42601.15625</v>
      </c>
      <c r="B2965" s="35" t="s">
        <v>654</v>
      </c>
      <c r="C2965" s="35" t="s">
        <v>655</v>
      </c>
      <c r="D2965" s="39">
        <v>84.160003662109375</v>
      </c>
      <c r="E2965" s="39">
        <v>74.344963073730469</v>
      </c>
      <c r="F2965" s="41">
        <v>2254545</v>
      </c>
      <c r="G2965" s="35" t="s">
        <v>681</v>
      </c>
      <c r="H2965" s="35" t="s">
        <v>115</v>
      </c>
    </row>
    <row r="2966" spans="1:8">
      <c r="A2966" s="37">
        <v>42604.15625</v>
      </c>
      <c r="B2966" s="35" t="s">
        <v>654</v>
      </c>
      <c r="C2966" s="35" t="s">
        <v>655</v>
      </c>
      <c r="D2966" s="39">
        <v>83.489997863769531</v>
      </c>
      <c r="E2966" s="39">
        <v>73.753089904785156</v>
      </c>
      <c r="F2966" s="41">
        <v>790135</v>
      </c>
      <c r="G2966" s="35" t="s">
        <v>681</v>
      </c>
      <c r="H2966" s="35" t="s">
        <v>115</v>
      </c>
    </row>
    <row r="2967" spans="1:8">
      <c r="A2967" s="37">
        <v>42605.15625</v>
      </c>
      <c r="B2967" s="35" t="s">
        <v>654</v>
      </c>
      <c r="C2967" s="35" t="s">
        <v>655</v>
      </c>
      <c r="D2967" s="39">
        <v>82.480003356933594</v>
      </c>
      <c r="E2967" s="39">
        <v>72.860870361328125</v>
      </c>
      <c r="F2967" s="41">
        <v>801710</v>
      </c>
      <c r="G2967" s="35" t="s">
        <v>681</v>
      </c>
      <c r="H2967" s="35" t="s">
        <v>115</v>
      </c>
    </row>
    <row r="2968" spans="1:8">
      <c r="A2968" s="37">
        <v>42606.15625</v>
      </c>
      <c r="B2968" s="35" t="s">
        <v>654</v>
      </c>
      <c r="C2968" s="35" t="s">
        <v>655</v>
      </c>
      <c r="D2968" s="39">
        <v>82.150001525878906</v>
      </c>
      <c r="E2968" s="39">
        <v>72.569366455078125</v>
      </c>
      <c r="F2968" s="41">
        <v>1165070</v>
      </c>
      <c r="G2968" s="35" t="s">
        <v>681</v>
      </c>
      <c r="H2968" s="35" t="s">
        <v>115</v>
      </c>
    </row>
    <row r="2969" spans="1:8">
      <c r="A2969" s="37">
        <v>42607.15625</v>
      </c>
      <c r="B2969" s="35" t="s">
        <v>654</v>
      </c>
      <c r="C2969" s="35" t="s">
        <v>655</v>
      </c>
      <c r="D2969" s="39">
        <v>80.410003662109375</v>
      </c>
      <c r="E2969" s="39">
        <v>71.032310485839844</v>
      </c>
      <c r="F2969" s="41">
        <v>3859445</v>
      </c>
      <c r="G2969" s="35" t="s">
        <v>681</v>
      </c>
      <c r="H2969" s="35" t="s">
        <v>115</v>
      </c>
    </row>
    <row r="2970" spans="1:8">
      <c r="A2970" s="37">
        <v>42608.15625</v>
      </c>
      <c r="B2970" s="35" t="s">
        <v>654</v>
      </c>
      <c r="C2970" s="35" t="s">
        <v>655</v>
      </c>
      <c r="D2970" s="39">
        <v>79.889999389648438</v>
      </c>
      <c r="E2970" s="39">
        <v>70.572952270507813</v>
      </c>
      <c r="F2970" s="41">
        <v>1531685</v>
      </c>
      <c r="G2970" s="35" t="s">
        <v>681</v>
      </c>
      <c r="H2970" s="35" t="s">
        <v>115</v>
      </c>
    </row>
    <row r="2971" spans="1:8">
      <c r="A2971" s="37">
        <v>42611.15625</v>
      </c>
      <c r="B2971" s="35" t="s">
        <v>654</v>
      </c>
      <c r="C2971" s="35" t="s">
        <v>655</v>
      </c>
      <c r="D2971" s="39">
        <v>78.239997863769531</v>
      </c>
      <c r="E2971" s="39">
        <v>69.115379333496094</v>
      </c>
      <c r="F2971" s="41">
        <v>687035</v>
      </c>
      <c r="G2971" s="35" t="s">
        <v>681</v>
      </c>
      <c r="H2971" s="35" t="s">
        <v>115</v>
      </c>
    </row>
    <row r="2972" spans="1:8">
      <c r="A2972" s="37">
        <v>42612.15625</v>
      </c>
      <c r="B2972" s="35" t="s">
        <v>654</v>
      </c>
      <c r="C2972" s="35" t="s">
        <v>655</v>
      </c>
      <c r="D2972" s="39">
        <v>79.129997253417969</v>
      </c>
      <c r="E2972" s="39">
        <v>69.90155029296875</v>
      </c>
      <c r="F2972" s="41">
        <v>924340</v>
      </c>
      <c r="G2972" s="35" t="s">
        <v>681</v>
      </c>
      <c r="H2972" s="35" t="s">
        <v>115</v>
      </c>
    </row>
    <row r="2973" spans="1:8">
      <c r="A2973" s="37">
        <v>42613.15625</v>
      </c>
      <c r="B2973" s="35" t="s">
        <v>654</v>
      </c>
      <c r="C2973" s="35" t="s">
        <v>655</v>
      </c>
      <c r="D2973" s="39">
        <v>80</v>
      </c>
      <c r="E2973" s="39">
        <v>70.67010498046875</v>
      </c>
      <c r="F2973" s="41">
        <v>1295745</v>
      </c>
      <c r="G2973" s="35" t="s">
        <v>681</v>
      </c>
      <c r="H2973" s="35" t="s">
        <v>115</v>
      </c>
    </row>
    <row r="2974" spans="1:8">
      <c r="A2974" s="37">
        <v>42614.15625</v>
      </c>
      <c r="B2974" s="35" t="s">
        <v>654</v>
      </c>
      <c r="C2974" s="35" t="s">
        <v>655</v>
      </c>
      <c r="D2974" s="39">
        <v>79.919998168945313</v>
      </c>
      <c r="E2974" s="39">
        <v>70.59942626953125</v>
      </c>
      <c r="F2974" s="41">
        <v>931535</v>
      </c>
      <c r="G2974" s="35" t="s">
        <v>681</v>
      </c>
      <c r="H2974" s="35" t="s">
        <v>115</v>
      </c>
    </row>
    <row r="2975" spans="1:8">
      <c r="A2975" s="37">
        <v>42615.15625</v>
      </c>
      <c r="B2975" s="35" t="s">
        <v>654</v>
      </c>
      <c r="C2975" s="35" t="s">
        <v>655</v>
      </c>
      <c r="D2975" s="39">
        <v>80.120002746582031</v>
      </c>
      <c r="E2975" s="39">
        <v>70.776107788085938</v>
      </c>
      <c r="F2975" s="41">
        <v>1076165</v>
      </c>
      <c r="G2975" s="35" t="s">
        <v>681</v>
      </c>
      <c r="H2975" s="35" t="s">
        <v>115</v>
      </c>
    </row>
    <row r="2976" spans="1:8">
      <c r="A2976" s="37">
        <v>42619.15625</v>
      </c>
      <c r="B2976" s="35" t="s">
        <v>654</v>
      </c>
      <c r="C2976" s="35" t="s">
        <v>655</v>
      </c>
      <c r="D2976" s="39">
        <v>79.449996948242188</v>
      </c>
      <c r="E2976" s="39">
        <v>70.184249877929688</v>
      </c>
      <c r="F2976" s="41">
        <v>664345</v>
      </c>
      <c r="G2976" s="35" t="s">
        <v>681</v>
      </c>
      <c r="H2976" s="35" t="s">
        <v>115</v>
      </c>
    </row>
    <row r="2977" spans="1:8">
      <c r="A2977" s="37">
        <v>42620.15625</v>
      </c>
      <c r="B2977" s="35" t="s">
        <v>654</v>
      </c>
      <c r="C2977" s="35" t="s">
        <v>655</v>
      </c>
      <c r="D2977" s="39">
        <v>79.970001220703125</v>
      </c>
      <c r="E2977" s="39">
        <v>70.643608093261719</v>
      </c>
      <c r="F2977" s="41">
        <v>754360</v>
      </c>
      <c r="G2977" s="35" t="s">
        <v>681</v>
      </c>
      <c r="H2977" s="35" t="s">
        <v>115</v>
      </c>
    </row>
    <row r="2978" spans="1:8">
      <c r="A2978" s="37">
        <v>42621.15625</v>
      </c>
      <c r="B2978" s="35" t="s">
        <v>654</v>
      </c>
      <c r="C2978" s="35" t="s">
        <v>655</v>
      </c>
      <c r="D2978" s="39">
        <v>78.889999389648438</v>
      </c>
      <c r="E2978" s="39">
        <v>69.689544677734375</v>
      </c>
      <c r="F2978" s="41">
        <v>455275</v>
      </c>
      <c r="G2978" s="35" t="s">
        <v>681</v>
      </c>
      <c r="H2978" s="35" t="s">
        <v>115</v>
      </c>
    </row>
    <row r="2979" spans="1:8">
      <c r="A2979" s="37">
        <v>42622.15625</v>
      </c>
      <c r="B2979" s="35" t="s">
        <v>654</v>
      </c>
      <c r="C2979" s="35" t="s">
        <v>655</v>
      </c>
      <c r="D2979" s="39">
        <v>80.620002746582031</v>
      </c>
      <c r="E2979" s="39">
        <v>71.217811584472656</v>
      </c>
      <c r="F2979" s="41">
        <v>1684140</v>
      </c>
      <c r="G2979" s="35" t="s">
        <v>681</v>
      </c>
      <c r="H2979" s="35" t="s">
        <v>115</v>
      </c>
    </row>
    <row r="2980" spans="1:8">
      <c r="A2980" s="37">
        <v>42625.15625</v>
      </c>
      <c r="B2980" s="35" t="s">
        <v>654</v>
      </c>
      <c r="C2980" s="35" t="s">
        <v>655</v>
      </c>
      <c r="D2980" s="39">
        <v>81</v>
      </c>
      <c r="E2980" s="39">
        <v>71.553459167480469</v>
      </c>
      <c r="F2980" s="41">
        <v>3021225</v>
      </c>
      <c r="G2980" s="35" t="s">
        <v>681</v>
      </c>
      <c r="H2980" s="35" t="s">
        <v>115</v>
      </c>
    </row>
    <row r="2981" spans="1:8">
      <c r="A2981" s="37">
        <v>42627.15625</v>
      </c>
      <c r="B2981" s="35" t="s">
        <v>654</v>
      </c>
      <c r="C2981" s="35" t="s">
        <v>655</v>
      </c>
      <c r="D2981" s="39">
        <v>82.199996948242188</v>
      </c>
      <c r="E2981" s="39">
        <v>72.613525390625</v>
      </c>
      <c r="F2981" s="41">
        <v>3863105</v>
      </c>
      <c r="G2981" s="35" t="s">
        <v>681</v>
      </c>
      <c r="H2981" s="35" t="s">
        <v>115</v>
      </c>
    </row>
    <row r="2982" spans="1:8">
      <c r="A2982" s="37">
        <v>42628.15625</v>
      </c>
      <c r="B2982" s="35" t="s">
        <v>654</v>
      </c>
      <c r="C2982" s="35" t="s">
        <v>655</v>
      </c>
      <c r="D2982" s="39">
        <v>81.139999389648438</v>
      </c>
      <c r="E2982" s="39">
        <v>71.677146911621094</v>
      </c>
      <c r="F2982" s="41">
        <v>929270</v>
      </c>
      <c r="G2982" s="35" t="s">
        <v>681</v>
      </c>
      <c r="H2982" s="35" t="s">
        <v>115</v>
      </c>
    </row>
    <row r="2983" spans="1:8">
      <c r="A2983" s="37">
        <v>42629.15625</v>
      </c>
      <c r="B2983" s="35" t="s">
        <v>654</v>
      </c>
      <c r="C2983" s="35" t="s">
        <v>655</v>
      </c>
      <c r="D2983" s="39">
        <v>81.720001220703125</v>
      </c>
      <c r="E2983" s="39">
        <v>72.189521789550781</v>
      </c>
      <c r="F2983" s="41">
        <v>1847975</v>
      </c>
      <c r="G2983" s="35" t="s">
        <v>681</v>
      </c>
      <c r="H2983" s="35" t="s">
        <v>115</v>
      </c>
    </row>
    <row r="2984" spans="1:8">
      <c r="A2984" s="37">
        <v>42632.15625</v>
      </c>
      <c r="B2984" s="35" t="s">
        <v>654</v>
      </c>
      <c r="C2984" s="35" t="s">
        <v>655</v>
      </c>
      <c r="D2984" s="39">
        <v>82.239997863769531</v>
      </c>
      <c r="E2984" s="39">
        <v>72.648849487304688</v>
      </c>
      <c r="F2984" s="41">
        <v>897460</v>
      </c>
      <c r="G2984" s="35" t="s">
        <v>681</v>
      </c>
      <c r="H2984" s="35" t="s">
        <v>115</v>
      </c>
    </row>
    <row r="2985" spans="1:8">
      <c r="A2985" s="37">
        <v>42633.15625</v>
      </c>
      <c r="B2985" s="35" t="s">
        <v>654</v>
      </c>
      <c r="C2985" s="35" t="s">
        <v>655</v>
      </c>
      <c r="D2985" s="39">
        <v>81.529998779296875</v>
      </c>
      <c r="E2985" s="39">
        <v>72.021659851074219</v>
      </c>
      <c r="F2985" s="41">
        <v>988460</v>
      </c>
      <c r="G2985" s="35" t="s">
        <v>681</v>
      </c>
      <c r="H2985" s="35" t="s">
        <v>115</v>
      </c>
    </row>
    <row r="2986" spans="1:8">
      <c r="A2986" s="37">
        <v>42634.15625</v>
      </c>
      <c r="B2986" s="35" t="s">
        <v>654</v>
      </c>
      <c r="C2986" s="35" t="s">
        <v>655</v>
      </c>
      <c r="D2986" s="39">
        <v>82</v>
      </c>
      <c r="E2986" s="39">
        <v>72.436851501464844</v>
      </c>
      <c r="F2986" s="41">
        <v>429925</v>
      </c>
      <c r="G2986" s="35" t="s">
        <v>681</v>
      </c>
      <c r="H2986" s="35" t="s">
        <v>115</v>
      </c>
    </row>
    <row r="2987" spans="1:8">
      <c r="A2987" s="37">
        <v>42635.15625</v>
      </c>
      <c r="B2987" s="35" t="s">
        <v>654</v>
      </c>
      <c r="C2987" s="35" t="s">
        <v>655</v>
      </c>
      <c r="D2987" s="39">
        <v>82.470001220703125</v>
      </c>
      <c r="E2987" s="39">
        <v>72.852020263671875</v>
      </c>
      <c r="F2987" s="41">
        <v>1154470</v>
      </c>
      <c r="G2987" s="35" t="s">
        <v>681</v>
      </c>
      <c r="H2987" s="35" t="s">
        <v>115</v>
      </c>
    </row>
    <row r="2988" spans="1:8">
      <c r="A2988" s="37">
        <v>42636.15625</v>
      </c>
      <c r="B2988" s="35" t="s">
        <v>654</v>
      </c>
      <c r="C2988" s="35" t="s">
        <v>655</v>
      </c>
      <c r="D2988" s="39">
        <v>86.269996643066406</v>
      </c>
      <c r="E2988" s="39">
        <v>76.208854675292969</v>
      </c>
      <c r="F2988" s="41">
        <v>5608735</v>
      </c>
      <c r="G2988" s="35" t="s">
        <v>681</v>
      </c>
      <c r="H2988" s="35" t="s">
        <v>115</v>
      </c>
    </row>
    <row r="2989" spans="1:8">
      <c r="A2989" s="37">
        <v>42639.15625</v>
      </c>
      <c r="B2989" s="35" t="s">
        <v>654</v>
      </c>
      <c r="C2989" s="35" t="s">
        <v>655</v>
      </c>
      <c r="D2989" s="39">
        <v>88.180000305175781</v>
      </c>
      <c r="E2989" s="39">
        <v>77.896125793457031</v>
      </c>
      <c r="F2989" s="41">
        <v>4276295</v>
      </c>
      <c r="G2989" s="35" t="s">
        <v>681</v>
      </c>
      <c r="H2989" s="35" t="s">
        <v>115</v>
      </c>
    </row>
    <row r="2990" spans="1:8">
      <c r="A2990" s="37">
        <v>42640.15625</v>
      </c>
      <c r="B2990" s="35" t="s">
        <v>654</v>
      </c>
      <c r="C2990" s="35" t="s">
        <v>655</v>
      </c>
      <c r="D2990" s="39">
        <v>88.080001831054688</v>
      </c>
      <c r="E2990" s="39">
        <v>77.807792663574219</v>
      </c>
      <c r="F2990" s="41">
        <v>1430915</v>
      </c>
      <c r="G2990" s="35" t="s">
        <v>681</v>
      </c>
      <c r="H2990" s="35" t="s">
        <v>115</v>
      </c>
    </row>
    <row r="2991" spans="1:8">
      <c r="A2991" s="37">
        <v>42641.15625</v>
      </c>
      <c r="B2991" s="35" t="s">
        <v>654</v>
      </c>
      <c r="C2991" s="35" t="s">
        <v>655</v>
      </c>
      <c r="D2991" s="39">
        <v>87.80999755859375</v>
      </c>
      <c r="E2991" s="39">
        <v>77.56927490234375</v>
      </c>
      <c r="F2991" s="41">
        <v>1697765</v>
      </c>
      <c r="G2991" s="35" t="s">
        <v>681</v>
      </c>
      <c r="H2991" s="35" t="s">
        <v>115</v>
      </c>
    </row>
    <row r="2992" spans="1:8">
      <c r="A2992" s="37">
        <v>42642.15625</v>
      </c>
      <c r="B2992" s="35" t="s">
        <v>654</v>
      </c>
      <c r="C2992" s="35" t="s">
        <v>655</v>
      </c>
      <c r="D2992" s="39">
        <v>82.519996643066406</v>
      </c>
      <c r="E2992" s="39">
        <v>72.896186828613281</v>
      </c>
      <c r="F2992" s="41">
        <v>1541100</v>
      </c>
      <c r="G2992" s="35" t="s">
        <v>681</v>
      </c>
      <c r="H2992" s="35" t="s">
        <v>115</v>
      </c>
    </row>
    <row r="2993" spans="1:8">
      <c r="A2993" s="37">
        <v>42643.15625</v>
      </c>
      <c r="B2993" s="35" t="s">
        <v>654</v>
      </c>
      <c r="C2993" s="35" t="s">
        <v>655</v>
      </c>
      <c r="D2993" s="39">
        <v>83.790000915527344</v>
      </c>
      <c r="E2993" s="39">
        <v>74.018104553222656</v>
      </c>
      <c r="F2993" s="41">
        <v>1510460</v>
      </c>
      <c r="G2993" s="35" t="s">
        <v>681</v>
      </c>
      <c r="H2993" s="35" t="s">
        <v>115</v>
      </c>
    </row>
    <row r="2994" spans="1:8">
      <c r="A2994" s="37">
        <v>42646.15625</v>
      </c>
      <c r="B2994" s="35" t="s">
        <v>654</v>
      </c>
      <c r="C2994" s="35" t="s">
        <v>655</v>
      </c>
      <c r="D2994" s="39">
        <v>85.269996643066406</v>
      </c>
      <c r="E2994" s="39">
        <v>75.325492858886719</v>
      </c>
      <c r="F2994" s="41">
        <v>913610</v>
      </c>
      <c r="G2994" s="35" t="s">
        <v>681</v>
      </c>
      <c r="H2994" s="35" t="s">
        <v>115</v>
      </c>
    </row>
    <row r="2995" spans="1:8">
      <c r="A2995" s="37">
        <v>42647.15625</v>
      </c>
      <c r="B2995" s="35" t="s">
        <v>654</v>
      </c>
      <c r="C2995" s="35" t="s">
        <v>655</v>
      </c>
      <c r="D2995" s="39">
        <v>85.199996948242188</v>
      </c>
      <c r="E2995" s="39">
        <v>75.263664245605469</v>
      </c>
      <c r="F2995" s="41">
        <v>588095</v>
      </c>
      <c r="G2995" s="35" t="s">
        <v>681</v>
      </c>
      <c r="H2995" s="35" t="s">
        <v>115</v>
      </c>
    </row>
    <row r="2996" spans="1:8">
      <c r="A2996" s="37">
        <v>42648.15625</v>
      </c>
      <c r="B2996" s="35" t="s">
        <v>654</v>
      </c>
      <c r="C2996" s="35" t="s">
        <v>655</v>
      </c>
      <c r="D2996" s="39">
        <v>85.029998779296875</v>
      </c>
      <c r="E2996" s="39">
        <v>75.113479614257813</v>
      </c>
      <c r="F2996" s="41">
        <v>700405</v>
      </c>
      <c r="G2996" s="35" t="s">
        <v>681</v>
      </c>
      <c r="H2996" s="35" t="s">
        <v>115</v>
      </c>
    </row>
    <row r="2997" spans="1:8">
      <c r="A2997" s="37">
        <v>42649.15625</v>
      </c>
      <c r="B2997" s="35" t="s">
        <v>654</v>
      </c>
      <c r="C2997" s="35" t="s">
        <v>655</v>
      </c>
      <c r="D2997" s="39">
        <v>84.150001525878906</v>
      </c>
      <c r="E2997" s="39">
        <v>74.336128234863281</v>
      </c>
      <c r="F2997" s="41">
        <v>678085</v>
      </c>
      <c r="G2997" s="35" t="s">
        <v>681</v>
      </c>
      <c r="H2997" s="35" t="s">
        <v>115</v>
      </c>
    </row>
    <row r="2998" spans="1:8">
      <c r="A2998" s="37">
        <v>42650.15625</v>
      </c>
      <c r="B2998" s="35" t="s">
        <v>654</v>
      </c>
      <c r="C2998" s="35" t="s">
        <v>655</v>
      </c>
      <c r="D2998" s="39">
        <v>81.650001525878906</v>
      </c>
      <c r="E2998" s="39">
        <v>72.127662658691406</v>
      </c>
      <c r="F2998" s="41">
        <v>972265</v>
      </c>
      <c r="G2998" s="35" t="s">
        <v>681</v>
      </c>
      <c r="H2998" s="35" t="s">
        <v>115</v>
      </c>
    </row>
    <row r="2999" spans="1:8">
      <c r="A2999" s="37">
        <v>42653.15625</v>
      </c>
      <c r="B2999" s="35" t="s">
        <v>654</v>
      </c>
      <c r="C2999" s="35" t="s">
        <v>655</v>
      </c>
      <c r="D2999" s="39">
        <v>83.099998474121094</v>
      </c>
      <c r="E2999" s="39">
        <v>73.408584594726563</v>
      </c>
      <c r="F2999" s="41">
        <v>619095</v>
      </c>
      <c r="G2999" s="35" t="s">
        <v>681</v>
      </c>
      <c r="H2999" s="35" t="s">
        <v>115</v>
      </c>
    </row>
    <row r="3000" spans="1:8">
      <c r="A3000" s="37">
        <v>42656.15625</v>
      </c>
      <c r="B3000" s="35" t="s">
        <v>654</v>
      </c>
      <c r="C3000" s="35" t="s">
        <v>655</v>
      </c>
      <c r="D3000" s="39">
        <v>84.319999694824219</v>
      </c>
      <c r="E3000" s="39">
        <v>74.486282348632813</v>
      </c>
      <c r="F3000" s="41">
        <v>1719385</v>
      </c>
      <c r="G3000" s="35" t="s">
        <v>681</v>
      </c>
      <c r="H3000" s="35" t="s">
        <v>115</v>
      </c>
    </row>
    <row r="3001" spans="1:8">
      <c r="A3001" s="37">
        <v>42657.15625</v>
      </c>
      <c r="B3001" s="35" t="s">
        <v>654</v>
      </c>
      <c r="C3001" s="35" t="s">
        <v>655</v>
      </c>
      <c r="D3001" s="39">
        <v>88.05999755859375</v>
      </c>
      <c r="E3001" s="39">
        <v>77.790122985839844</v>
      </c>
      <c r="F3001" s="41">
        <v>4362805</v>
      </c>
      <c r="G3001" s="35" t="s">
        <v>681</v>
      </c>
      <c r="H3001" s="35" t="s">
        <v>115</v>
      </c>
    </row>
    <row r="3002" spans="1:8">
      <c r="A3002" s="37">
        <v>42660.15625</v>
      </c>
      <c r="B3002" s="35" t="s">
        <v>654</v>
      </c>
      <c r="C3002" s="35" t="s">
        <v>655</v>
      </c>
      <c r="D3002" s="39">
        <v>82.260002136230469</v>
      </c>
      <c r="E3002" s="39">
        <v>72.66650390625</v>
      </c>
      <c r="F3002" s="41">
        <v>5479770</v>
      </c>
      <c r="G3002" s="35" t="s">
        <v>681</v>
      </c>
      <c r="H3002" s="35" t="s">
        <v>115</v>
      </c>
    </row>
    <row r="3003" spans="1:8">
      <c r="A3003" s="37">
        <v>42661.15625</v>
      </c>
      <c r="B3003" s="35" t="s">
        <v>654</v>
      </c>
      <c r="C3003" s="35" t="s">
        <v>655</v>
      </c>
      <c r="D3003" s="39">
        <v>83.19000244140625</v>
      </c>
      <c r="E3003" s="39">
        <v>73.488075256347656</v>
      </c>
      <c r="F3003" s="41">
        <v>2351010</v>
      </c>
      <c r="G3003" s="35" t="s">
        <v>681</v>
      </c>
      <c r="H3003" s="35" t="s">
        <v>115</v>
      </c>
    </row>
    <row r="3004" spans="1:8">
      <c r="A3004" s="37">
        <v>42662.15625</v>
      </c>
      <c r="B3004" s="35" t="s">
        <v>654</v>
      </c>
      <c r="C3004" s="35" t="s">
        <v>655</v>
      </c>
      <c r="D3004" s="39">
        <v>85.290000915527344</v>
      </c>
      <c r="E3004" s="39">
        <v>75.343170166015625</v>
      </c>
      <c r="F3004" s="41">
        <v>2622980</v>
      </c>
      <c r="G3004" s="35" t="s">
        <v>681</v>
      </c>
      <c r="H3004" s="35" t="s">
        <v>115</v>
      </c>
    </row>
    <row r="3005" spans="1:8">
      <c r="A3005" s="37">
        <v>42663.15625</v>
      </c>
      <c r="B3005" s="35" t="s">
        <v>654</v>
      </c>
      <c r="C3005" s="35" t="s">
        <v>655</v>
      </c>
      <c r="D3005" s="39">
        <v>84.639999389648438</v>
      </c>
      <c r="E3005" s="39">
        <v>74.768966674804688</v>
      </c>
      <c r="F3005" s="41">
        <v>907065</v>
      </c>
      <c r="G3005" s="35" t="s">
        <v>681</v>
      </c>
      <c r="H3005" s="35" t="s">
        <v>115</v>
      </c>
    </row>
    <row r="3006" spans="1:8">
      <c r="A3006" s="37">
        <v>42664.15625</v>
      </c>
      <c r="B3006" s="35" t="s">
        <v>654</v>
      </c>
      <c r="C3006" s="35" t="s">
        <v>655</v>
      </c>
      <c r="D3006" s="39">
        <v>85.650001525878906</v>
      </c>
      <c r="E3006" s="39">
        <v>75.661178588867188</v>
      </c>
      <c r="F3006" s="41">
        <v>885145</v>
      </c>
      <c r="G3006" s="35" t="s">
        <v>681</v>
      </c>
      <c r="H3006" s="35" t="s">
        <v>115</v>
      </c>
    </row>
    <row r="3007" spans="1:8">
      <c r="A3007" s="37">
        <v>42667.15625</v>
      </c>
      <c r="B3007" s="35" t="s">
        <v>654</v>
      </c>
      <c r="C3007" s="35" t="s">
        <v>655</v>
      </c>
      <c r="D3007" s="39">
        <v>85.610000610351563</v>
      </c>
      <c r="E3007" s="39">
        <v>75.625846862792969</v>
      </c>
      <c r="F3007" s="41">
        <v>1698595</v>
      </c>
      <c r="G3007" s="35" t="s">
        <v>681</v>
      </c>
      <c r="H3007" s="35" t="s">
        <v>115</v>
      </c>
    </row>
    <row r="3008" spans="1:8">
      <c r="A3008" s="37">
        <v>42668.15625</v>
      </c>
      <c r="B3008" s="35" t="s">
        <v>654</v>
      </c>
      <c r="C3008" s="35" t="s">
        <v>655</v>
      </c>
      <c r="D3008" s="39">
        <v>84.709999084472656</v>
      </c>
      <c r="E3008" s="39">
        <v>74.830818176269531</v>
      </c>
      <c r="F3008" s="41">
        <v>794775</v>
      </c>
      <c r="G3008" s="35" t="s">
        <v>681</v>
      </c>
      <c r="H3008" s="35" t="s">
        <v>115</v>
      </c>
    </row>
    <row r="3009" spans="1:8">
      <c r="A3009" s="37">
        <v>42669.15625</v>
      </c>
      <c r="B3009" s="35" t="s">
        <v>654</v>
      </c>
      <c r="C3009" s="35" t="s">
        <v>655</v>
      </c>
      <c r="D3009" s="39">
        <v>84.629997253417969</v>
      </c>
      <c r="E3009" s="39">
        <v>74.7601318359375</v>
      </c>
      <c r="F3009" s="41">
        <v>642060</v>
      </c>
      <c r="G3009" s="35" t="s">
        <v>681</v>
      </c>
      <c r="H3009" s="35" t="s">
        <v>115</v>
      </c>
    </row>
    <row r="3010" spans="1:8">
      <c r="A3010" s="37">
        <v>42670.15625</v>
      </c>
      <c r="B3010" s="35" t="s">
        <v>654</v>
      </c>
      <c r="C3010" s="35" t="s">
        <v>655</v>
      </c>
      <c r="D3010" s="39">
        <v>81.760002136230469</v>
      </c>
      <c r="E3010" s="39">
        <v>72.224853515625</v>
      </c>
      <c r="F3010" s="41">
        <v>841980</v>
      </c>
      <c r="G3010" s="35" t="s">
        <v>681</v>
      </c>
      <c r="H3010" s="35" t="s">
        <v>115</v>
      </c>
    </row>
    <row r="3011" spans="1:8">
      <c r="A3011" s="37">
        <v>42671.15625</v>
      </c>
      <c r="B3011" s="35" t="s">
        <v>654</v>
      </c>
      <c r="C3011" s="35" t="s">
        <v>655</v>
      </c>
      <c r="D3011" s="39">
        <v>81.370002746582031</v>
      </c>
      <c r="E3011" s="39">
        <v>71.880332946777344</v>
      </c>
      <c r="F3011" s="41">
        <v>831160</v>
      </c>
      <c r="G3011" s="35" t="s">
        <v>681</v>
      </c>
      <c r="H3011" s="35" t="s">
        <v>115</v>
      </c>
    </row>
    <row r="3012" spans="1:8">
      <c r="A3012" s="37">
        <v>42675.15625</v>
      </c>
      <c r="B3012" s="35" t="s">
        <v>654</v>
      </c>
      <c r="C3012" s="35" t="s">
        <v>655</v>
      </c>
      <c r="D3012" s="39">
        <v>80.879997253417969</v>
      </c>
      <c r="E3012" s="39">
        <v>71.447463989257813</v>
      </c>
      <c r="F3012" s="41">
        <v>892290</v>
      </c>
      <c r="G3012" s="35" t="s">
        <v>681</v>
      </c>
      <c r="H3012" s="35" t="s">
        <v>115</v>
      </c>
    </row>
    <row r="3013" spans="1:8">
      <c r="A3013" s="37">
        <v>42676.15625</v>
      </c>
      <c r="B3013" s="35" t="s">
        <v>654</v>
      </c>
      <c r="C3013" s="35" t="s">
        <v>655</v>
      </c>
      <c r="D3013" s="39">
        <v>81.160003662109375</v>
      </c>
      <c r="E3013" s="39">
        <v>71.69482421875</v>
      </c>
      <c r="F3013" s="41">
        <v>1599895</v>
      </c>
      <c r="G3013" s="35" t="s">
        <v>681</v>
      </c>
      <c r="H3013" s="35" t="s">
        <v>115</v>
      </c>
    </row>
    <row r="3014" spans="1:8">
      <c r="A3014" s="37">
        <v>42677.15625</v>
      </c>
      <c r="B3014" s="35" t="s">
        <v>654</v>
      </c>
      <c r="C3014" s="35" t="s">
        <v>655</v>
      </c>
      <c r="D3014" s="39">
        <v>79.150001525878906</v>
      </c>
      <c r="E3014" s="39">
        <v>69.919219970703125</v>
      </c>
      <c r="F3014" s="41">
        <v>1345285</v>
      </c>
      <c r="G3014" s="35" t="s">
        <v>681</v>
      </c>
      <c r="H3014" s="35" t="s">
        <v>115</v>
      </c>
    </row>
    <row r="3015" spans="1:8">
      <c r="A3015" s="37">
        <v>42678.15625</v>
      </c>
      <c r="B3015" s="35" t="s">
        <v>654</v>
      </c>
      <c r="C3015" s="35" t="s">
        <v>655</v>
      </c>
      <c r="D3015" s="39">
        <v>80.599998474121094</v>
      </c>
      <c r="E3015" s="39">
        <v>71.200119018554688</v>
      </c>
      <c r="F3015" s="41">
        <v>2264815</v>
      </c>
      <c r="G3015" s="35" t="s">
        <v>681</v>
      </c>
      <c r="H3015" s="35" t="s">
        <v>115</v>
      </c>
    </row>
    <row r="3016" spans="1:8">
      <c r="A3016" s="37">
        <v>42681.15625</v>
      </c>
      <c r="B3016" s="35" t="s">
        <v>654</v>
      </c>
      <c r="C3016" s="35" t="s">
        <v>655</v>
      </c>
      <c r="D3016" s="39">
        <v>80.980003356933594</v>
      </c>
      <c r="E3016" s="39">
        <v>71.535835266113281</v>
      </c>
      <c r="F3016" s="41">
        <v>562200</v>
      </c>
      <c r="G3016" s="35" t="s">
        <v>681</v>
      </c>
      <c r="H3016" s="35" t="s">
        <v>115</v>
      </c>
    </row>
    <row r="3017" spans="1:8">
      <c r="A3017" s="37">
        <v>42682.15625</v>
      </c>
      <c r="B3017" s="35" t="s">
        <v>654</v>
      </c>
      <c r="C3017" s="35" t="s">
        <v>655</v>
      </c>
      <c r="D3017" s="39">
        <v>81.449996948242188</v>
      </c>
      <c r="E3017" s="39">
        <v>71.950996398925781</v>
      </c>
      <c r="F3017" s="41">
        <v>834075</v>
      </c>
      <c r="G3017" s="35" t="s">
        <v>681</v>
      </c>
      <c r="H3017" s="35" t="s">
        <v>115</v>
      </c>
    </row>
    <row r="3018" spans="1:8">
      <c r="A3018" s="37">
        <v>42683.15625</v>
      </c>
      <c r="B3018" s="35" t="s">
        <v>654</v>
      </c>
      <c r="C3018" s="35" t="s">
        <v>655</v>
      </c>
      <c r="D3018" s="39">
        <v>80.790000915527344</v>
      </c>
      <c r="E3018" s="39">
        <v>71.367965698242188</v>
      </c>
      <c r="F3018" s="41">
        <v>1731825</v>
      </c>
      <c r="G3018" s="35" t="s">
        <v>681</v>
      </c>
      <c r="H3018" s="35" t="s">
        <v>115</v>
      </c>
    </row>
    <row r="3019" spans="1:8">
      <c r="A3019" s="37">
        <v>42684.15625</v>
      </c>
      <c r="B3019" s="35" t="s">
        <v>654</v>
      </c>
      <c r="C3019" s="35" t="s">
        <v>655</v>
      </c>
      <c r="D3019" s="39">
        <v>81.410003662109375</v>
      </c>
      <c r="E3019" s="39">
        <v>71.915657043457031</v>
      </c>
      <c r="F3019" s="41">
        <v>717795</v>
      </c>
      <c r="G3019" s="35" t="s">
        <v>681</v>
      </c>
      <c r="H3019" s="35" t="s">
        <v>115</v>
      </c>
    </row>
    <row r="3020" spans="1:8">
      <c r="A3020" s="37">
        <v>42685.15625</v>
      </c>
      <c r="B3020" s="35" t="s">
        <v>654</v>
      </c>
      <c r="C3020" s="35" t="s">
        <v>655</v>
      </c>
      <c r="D3020" s="39">
        <v>79.220001220703125</v>
      </c>
      <c r="E3020" s="39">
        <v>69.981071472167969</v>
      </c>
      <c r="F3020" s="41">
        <v>1084495</v>
      </c>
      <c r="G3020" s="35" t="s">
        <v>681</v>
      </c>
      <c r="H3020" s="35" t="s">
        <v>115</v>
      </c>
    </row>
    <row r="3021" spans="1:8">
      <c r="A3021" s="37">
        <v>42689.15625</v>
      </c>
      <c r="B3021" s="35" t="s">
        <v>654</v>
      </c>
      <c r="C3021" s="35" t="s">
        <v>655</v>
      </c>
      <c r="D3021" s="39">
        <v>79.849998474121094</v>
      </c>
      <c r="E3021" s="39">
        <v>70.53759765625</v>
      </c>
      <c r="F3021" s="41">
        <v>1003475</v>
      </c>
      <c r="G3021" s="35" t="s">
        <v>681</v>
      </c>
      <c r="H3021" s="35" t="s">
        <v>115</v>
      </c>
    </row>
    <row r="3022" spans="1:8">
      <c r="A3022" s="37">
        <v>42690.15625</v>
      </c>
      <c r="B3022" s="35" t="s">
        <v>654</v>
      </c>
      <c r="C3022" s="35" t="s">
        <v>655</v>
      </c>
      <c r="D3022" s="39">
        <v>80.089996337890625</v>
      </c>
      <c r="E3022" s="39">
        <v>70.749610900878906</v>
      </c>
      <c r="F3022" s="41">
        <v>1172450</v>
      </c>
      <c r="G3022" s="35" t="s">
        <v>681</v>
      </c>
      <c r="H3022" s="35" t="s">
        <v>115</v>
      </c>
    </row>
    <row r="3023" spans="1:8">
      <c r="A3023" s="37">
        <v>42691.15625</v>
      </c>
      <c r="B3023" s="35" t="s">
        <v>654</v>
      </c>
      <c r="C3023" s="35" t="s">
        <v>655</v>
      </c>
      <c r="D3023" s="39">
        <v>80.449996948242188</v>
      </c>
      <c r="E3023" s="39">
        <v>71.067619323730469</v>
      </c>
      <c r="F3023" s="41">
        <v>850575</v>
      </c>
      <c r="G3023" s="35" t="s">
        <v>681</v>
      </c>
      <c r="H3023" s="35" t="s">
        <v>115</v>
      </c>
    </row>
    <row r="3024" spans="1:8">
      <c r="A3024" s="37">
        <v>42692.15625</v>
      </c>
      <c r="B3024" s="35" t="s">
        <v>654</v>
      </c>
      <c r="C3024" s="35" t="s">
        <v>655</v>
      </c>
      <c r="D3024" s="39">
        <v>80.300003051757813</v>
      </c>
      <c r="E3024" s="39">
        <v>70.935104370117188</v>
      </c>
      <c r="F3024" s="41">
        <v>868405</v>
      </c>
      <c r="G3024" s="35" t="s">
        <v>681</v>
      </c>
      <c r="H3024" s="35" t="s">
        <v>115</v>
      </c>
    </row>
    <row r="3025" spans="1:8">
      <c r="A3025" s="37">
        <v>42695.15625</v>
      </c>
      <c r="B3025" s="35" t="s">
        <v>654</v>
      </c>
      <c r="C3025" s="35" t="s">
        <v>655</v>
      </c>
      <c r="D3025" s="39">
        <v>79.800003051757813</v>
      </c>
      <c r="E3025" s="39">
        <v>70.493431091308594</v>
      </c>
      <c r="F3025" s="41">
        <v>740375</v>
      </c>
      <c r="G3025" s="35" t="s">
        <v>681</v>
      </c>
      <c r="H3025" s="35" t="s">
        <v>115</v>
      </c>
    </row>
    <row r="3026" spans="1:8">
      <c r="A3026" s="37">
        <v>42696.15625</v>
      </c>
      <c r="B3026" s="35" t="s">
        <v>654</v>
      </c>
      <c r="C3026" s="35" t="s">
        <v>655</v>
      </c>
      <c r="D3026" s="39">
        <v>80.110000610351563</v>
      </c>
      <c r="E3026" s="39">
        <v>70.767280578613281</v>
      </c>
      <c r="F3026" s="41">
        <v>1684010</v>
      </c>
      <c r="G3026" s="35" t="s">
        <v>681</v>
      </c>
      <c r="H3026" s="35" t="s">
        <v>115</v>
      </c>
    </row>
    <row r="3027" spans="1:8">
      <c r="A3027" s="37">
        <v>42697.15625</v>
      </c>
      <c r="B3027" s="35" t="s">
        <v>654</v>
      </c>
      <c r="C3027" s="35" t="s">
        <v>655</v>
      </c>
      <c r="D3027" s="39">
        <v>79.959999084472656</v>
      </c>
      <c r="E3027" s="39">
        <v>70.634750366210938</v>
      </c>
      <c r="F3027" s="41">
        <v>710760</v>
      </c>
      <c r="G3027" s="35" t="s">
        <v>681</v>
      </c>
      <c r="H3027" s="35" t="s">
        <v>115</v>
      </c>
    </row>
    <row r="3028" spans="1:8">
      <c r="A3028" s="37">
        <v>42698.15625</v>
      </c>
      <c r="B3028" s="35" t="s">
        <v>654</v>
      </c>
      <c r="C3028" s="35" t="s">
        <v>655</v>
      </c>
      <c r="D3028" s="39">
        <v>80.019996643066406</v>
      </c>
      <c r="E3028" s="39">
        <v>70.687782287597656</v>
      </c>
      <c r="F3028" s="41">
        <v>1343440</v>
      </c>
      <c r="G3028" s="35" t="s">
        <v>681</v>
      </c>
      <c r="H3028" s="35" t="s">
        <v>115</v>
      </c>
    </row>
    <row r="3029" spans="1:8">
      <c r="A3029" s="37">
        <v>42699.15625</v>
      </c>
      <c r="B3029" s="35" t="s">
        <v>654</v>
      </c>
      <c r="C3029" s="35" t="s">
        <v>655</v>
      </c>
      <c r="D3029" s="39">
        <v>83.480003356933594</v>
      </c>
      <c r="E3029" s="39">
        <v>73.7442626953125</v>
      </c>
      <c r="F3029" s="41">
        <v>2347240</v>
      </c>
      <c r="G3029" s="35" t="s">
        <v>681</v>
      </c>
      <c r="H3029" s="35" t="s">
        <v>115</v>
      </c>
    </row>
    <row r="3030" spans="1:8">
      <c r="A3030" s="37">
        <v>42702.15625</v>
      </c>
      <c r="B3030" s="35" t="s">
        <v>654</v>
      </c>
      <c r="C3030" s="35" t="s">
        <v>655</v>
      </c>
      <c r="D3030" s="39">
        <v>84.510002136230469</v>
      </c>
      <c r="E3030" s="39">
        <v>74.654121398925781</v>
      </c>
      <c r="F3030" s="41">
        <v>1162020</v>
      </c>
      <c r="G3030" s="35" t="s">
        <v>681</v>
      </c>
      <c r="H3030" s="35" t="s">
        <v>115</v>
      </c>
    </row>
    <row r="3031" spans="1:8">
      <c r="A3031" s="37">
        <v>42703.15625</v>
      </c>
      <c r="B3031" s="35" t="s">
        <v>654</v>
      </c>
      <c r="C3031" s="35" t="s">
        <v>655</v>
      </c>
      <c r="D3031" s="39">
        <v>85.199996948242188</v>
      </c>
      <c r="E3031" s="39">
        <v>75.263664245605469</v>
      </c>
      <c r="F3031" s="41">
        <v>993415</v>
      </c>
      <c r="G3031" s="35" t="s">
        <v>681</v>
      </c>
      <c r="H3031" s="35" t="s">
        <v>115</v>
      </c>
    </row>
    <row r="3032" spans="1:8">
      <c r="A3032" s="37">
        <v>42704.15625</v>
      </c>
      <c r="B3032" s="35" t="s">
        <v>654</v>
      </c>
      <c r="C3032" s="35" t="s">
        <v>655</v>
      </c>
      <c r="D3032" s="39">
        <v>85.040000915527344</v>
      </c>
      <c r="E3032" s="39">
        <v>75.122314453125</v>
      </c>
      <c r="F3032" s="41">
        <v>861960</v>
      </c>
      <c r="G3032" s="35" t="s">
        <v>681</v>
      </c>
      <c r="H3032" s="35" t="s">
        <v>115</v>
      </c>
    </row>
    <row r="3033" spans="1:8">
      <c r="A3033" s="37">
        <v>42705.15625</v>
      </c>
      <c r="B3033" s="35" t="s">
        <v>654</v>
      </c>
      <c r="C3033" s="35" t="s">
        <v>655</v>
      </c>
      <c r="D3033" s="39">
        <v>85.040000915527344</v>
      </c>
      <c r="E3033" s="39">
        <v>75.122314453125</v>
      </c>
      <c r="F3033" s="41">
        <v>798200</v>
      </c>
      <c r="G3033" s="35" t="s">
        <v>681</v>
      </c>
      <c r="H3033" s="35" t="s">
        <v>115</v>
      </c>
    </row>
    <row r="3034" spans="1:8">
      <c r="A3034" s="37">
        <v>42706.15625</v>
      </c>
      <c r="B3034" s="35" t="s">
        <v>654</v>
      </c>
      <c r="C3034" s="35" t="s">
        <v>655</v>
      </c>
      <c r="D3034" s="39">
        <v>84.650001525878906</v>
      </c>
      <c r="E3034" s="39">
        <v>74.777793884277344</v>
      </c>
      <c r="F3034" s="41">
        <v>499230</v>
      </c>
      <c r="G3034" s="35" t="s">
        <v>681</v>
      </c>
      <c r="H3034" s="35" t="s">
        <v>115</v>
      </c>
    </row>
    <row r="3035" spans="1:8">
      <c r="A3035" s="37">
        <v>42709.15625</v>
      </c>
      <c r="B3035" s="35" t="s">
        <v>654</v>
      </c>
      <c r="C3035" s="35" t="s">
        <v>655</v>
      </c>
      <c r="D3035" s="39">
        <v>84.050003051757813</v>
      </c>
      <c r="E3035" s="39">
        <v>74.247772216796875</v>
      </c>
      <c r="F3035" s="41">
        <v>721110</v>
      </c>
      <c r="G3035" s="35" t="s">
        <v>681</v>
      </c>
      <c r="H3035" s="35" t="s">
        <v>115</v>
      </c>
    </row>
    <row r="3036" spans="1:8">
      <c r="A3036" s="37">
        <v>42710.15625</v>
      </c>
      <c r="B3036" s="35" t="s">
        <v>654</v>
      </c>
      <c r="C3036" s="35" t="s">
        <v>655</v>
      </c>
      <c r="D3036" s="39">
        <v>85.110000610351563</v>
      </c>
      <c r="E3036" s="39">
        <v>75.184158325195313</v>
      </c>
      <c r="F3036" s="41">
        <v>845865</v>
      </c>
      <c r="G3036" s="35" t="s">
        <v>681</v>
      </c>
      <c r="H3036" s="35" t="s">
        <v>115</v>
      </c>
    </row>
    <row r="3037" spans="1:8">
      <c r="A3037" s="37">
        <v>42711.15625</v>
      </c>
      <c r="B3037" s="35" t="s">
        <v>654</v>
      </c>
      <c r="C3037" s="35" t="s">
        <v>655</v>
      </c>
      <c r="D3037" s="39">
        <v>84.910003662109375</v>
      </c>
      <c r="E3037" s="39">
        <v>75.007476806640625</v>
      </c>
      <c r="F3037" s="41">
        <v>381720</v>
      </c>
      <c r="G3037" s="35" t="s">
        <v>681</v>
      </c>
      <c r="H3037" s="35" t="s">
        <v>115</v>
      </c>
    </row>
    <row r="3038" spans="1:8">
      <c r="A3038" s="37">
        <v>42712.15625</v>
      </c>
      <c r="B3038" s="35" t="s">
        <v>654</v>
      </c>
      <c r="C3038" s="35" t="s">
        <v>655</v>
      </c>
      <c r="D3038" s="39">
        <v>85.529998779296875</v>
      </c>
      <c r="E3038" s="39">
        <v>75.555191040039063</v>
      </c>
      <c r="F3038" s="41">
        <v>1031215</v>
      </c>
      <c r="G3038" s="35" t="s">
        <v>681</v>
      </c>
      <c r="H3038" s="35" t="s">
        <v>115</v>
      </c>
    </row>
    <row r="3039" spans="1:8">
      <c r="A3039" s="37">
        <v>42713.15625</v>
      </c>
      <c r="B3039" s="35" t="s">
        <v>654</v>
      </c>
      <c r="C3039" s="35" t="s">
        <v>655</v>
      </c>
      <c r="D3039" s="39">
        <v>87.580001831054688</v>
      </c>
      <c r="E3039" s="39">
        <v>77.3660888671875</v>
      </c>
      <c r="F3039" s="41">
        <v>1441875</v>
      </c>
      <c r="G3039" s="35" t="s">
        <v>681</v>
      </c>
      <c r="H3039" s="35" t="s">
        <v>115</v>
      </c>
    </row>
    <row r="3040" spans="1:8">
      <c r="A3040" s="37">
        <v>42716.15625</v>
      </c>
      <c r="B3040" s="35" t="s">
        <v>654</v>
      </c>
      <c r="C3040" s="35" t="s">
        <v>655</v>
      </c>
      <c r="D3040" s="39">
        <v>85.730003356933594</v>
      </c>
      <c r="E3040" s="39">
        <v>75.731842041015625</v>
      </c>
      <c r="F3040" s="41">
        <v>534690</v>
      </c>
      <c r="G3040" s="35" t="s">
        <v>681</v>
      </c>
      <c r="H3040" s="35" t="s">
        <v>115</v>
      </c>
    </row>
    <row r="3041" spans="1:8">
      <c r="A3041" s="37">
        <v>42717.15625</v>
      </c>
      <c r="B3041" s="35" t="s">
        <v>654</v>
      </c>
      <c r="C3041" s="35" t="s">
        <v>655</v>
      </c>
      <c r="D3041" s="39">
        <v>86.19000244140625</v>
      </c>
      <c r="E3041" s="39">
        <v>76.138206481933594</v>
      </c>
      <c r="F3041" s="41">
        <v>798065</v>
      </c>
      <c r="G3041" s="35" t="s">
        <v>681</v>
      </c>
      <c r="H3041" s="35" t="s">
        <v>115</v>
      </c>
    </row>
    <row r="3042" spans="1:8">
      <c r="A3042" s="37">
        <v>42718.15625</v>
      </c>
      <c r="B3042" s="35" t="s">
        <v>654</v>
      </c>
      <c r="C3042" s="35" t="s">
        <v>655</v>
      </c>
      <c r="D3042" s="39">
        <v>85.050003051757813</v>
      </c>
      <c r="E3042" s="39">
        <v>75.131141662597656</v>
      </c>
      <c r="F3042" s="41">
        <v>778520</v>
      </c>
      <c r="G3042" s="35" t="s">
        <v>681</v>
      </c>
      <c r="H3042" s="35" t="s">
        <v>115</v>
      </c>
    </row>
    <row r="3043" spans="1:8">
      <c r="A3043" s="37">
        <v>42719.15625</v>
      </c>
      <c r="B3043" s="35" t="s">
        <v>654</v>
      </c>
      <c r="C3043" s="35" t="s">
        <v>655</v>
      </c>
      <c r="D3043" s="39">
        <v>85.510002136230469</v>
      </c>
      <c r="E3043" s="39">
        <v>75.537506103515625</v>
      </c>
      <c r="F3043" s="41">
        <v>515590</v>
      </c>
      <c r="G3043" s="35" t="s">
        <v>681</v>
      </c>
      <c r="H3043" s="35" t="s">
        <v>115</v>
      </c>
    </row>
    <row r="3044" spans="1:8">
      <c r="A3044" s="37">
        <v>42720.15625</v>
      </c>
      <c r="B3044" s="35" t="s">
        <v>654</v>
      </c>
      <c r="C3044" s="35" t="s">
        <v>655</v>
      </c>
      <c r="D3044" s="39">
        <v>85.419998168945313</v>
      </c>
      <c r="E3044" s="39">
        <v>75.457992553710938</v>
      </c>
      <c r="F3044" s="41">
        <v>505345</v>
      </c>
      <c r="G3044" s="35" t="s">
        <v>681</v>
      </c>
      <c r="H3044" s="35" t="s">
        <v>115</v>
      </c>
    </row>
    <row r="3045" spans="1:8">
      <c r="A3045" s="37">
        <v>42723.15625</v>
      </c>
      <c r="B3045" s="35" t="s">
        <v>654</v>
      </c>
      <c r="C3045" s="35" t="s">
        <v>655</v>
      </c>
      <c r="D3045" s="39">
        <v>84.680000305175781</v>
      </c>
      <c r="E3045" s="39">
        <v>74.804283142089844</v>
      </c>
      <c r="F3045" s="41">
        <v>257140</v>
      </c>
      <c r="G3045" s="35" t="s">
        <v>681</v>
      </c>
      <c r="H3045" s="35" t="s">
        <v>115</v>
      </c>
    </row>
    <row r="3046" spans="1:8">
      <c r="A3046" s="37">
        <v>42724.15625</v>
      </c>
      <c r="B3046" s="35" t="s">
        <v>654</v>
      </c>
      <c r="C3046" s="35" t="s">
        <v>655</v>
      </c>
      <c r="D3046" s="39">
        <v>85.769996643066406</v>
      </c>
      <c r="E3046" s="39">
        <v>75.767189025878906</v>
      </c>
      <c r="F3046" s="41">
        <v>492800</v>
      </c>
      <c r="G3046" s="35" t="s">
        <v>681</v>
      </c>
      <c r="H3046" s="35" t="s">
        <v>115</v>
      </c>
    </row>
    <row r="3047" spans="1:8">
      <c r="A3047" s="37">
        <v>42725.15625</v>
      </c>
      <c r="B3047" s="35" t="s">
        <v>654</v>
      </c>
      <c r="C3047" s="35" t="s">
        <v>655</v>
      </c>
      <c r="D3047" s="39">
        <v>86.629997253417969</v>
      </c>
      <c r="E3047" s="39">
        <v>76.526885986328125</v>
      </c>
      <c r="F3047" s="41">
        <v>1470920</v>
      </c>
      <c r="G3047" s="35" t="s">
        <v>681</v>
      </c>
      <c r="H3047" s="35" t="s">
        <v>115</v>
      </c>
    </row>
    <row r="3048" spans="1:8">
      <c r="A3048" s="37">
        <v>42726.15625</v>
      </c>
      <c r="B3048" s="35" t="s">
        <v>654</v>
      </c>
      <c r="C3048" s="35" t="s">
        <v>655</v>
      </c>
      <c r="D3048" s="39">
        <v>86.550003051757813</v>
      </c>
      <c r="E3048" s="39">
        <v>76.456222534179688</v>
      </c>
      <c r="F3048" s="41">
        <v>908305</v>
      </c>
      <c r="G3048" s="35" t="s">
        <v>681</v>
      </c>
      <c r="H3048" s="35" t="s">
        <v>115</v>
      </c>
    </row>
    <row r="3049" spans="1:8">
      <c r="A3049" s="37">
        <v>42727.15625</v>
      </c>
      <c r="B3049" s="35" t="s">
        <v>654</v>
      </c>
      <c r="C3049" s="35" t="s">
        <v>655</v>
      </c>
      <c r="D3049" s="39">
        <v>85.980003356933594</v>
      </c>
      <c r="E3049" s="39">
        <v>75.95269775390625</v>
      </c>
      <c r="F3049" s="41">
        <v>1606530</v>
      </c>
      <c r="G3049" s="35" t="s">
        <v>681</v>
      </c>
      <c r="H3049" s="35" t="s">
        <v>115</v>
      </c>
    </row>
    <row r="3050" spans="1:8">
      <c r="A3050" s="37">
        <v>42730.15625</v>
      </c>
      <c r="B3050" s="35" t="s">
        <v>654</v>
      </c>
      <c r="C3050" s="35" t="s">
        <v>655</v>
      </c>
      <c r="D3050" s="39">
        <v>82.089996337890625</v>
      </c>
      <c r="E3050" s="39">
        <v>72.516334533691406</v>
      </c>
      <c r="F3050" s="41">
        <v>792625</v>
      </c>
      <c r="G3050" s="35" t="s">
        <v>681</v>
      </c>
      <c r="H3050" s="35" t="s">
        <v>115</v>
      </c>
    </row>
    <row r="3051" spans="1:8">
      <c r="A3051" s="37">
        <v>42731.15625</v>
      </c>
      <c r="B3051" s="35" t="s">
        <v>654</v>
      </c>
      <c r="C3051" s="35" t="s">
        <v>655</v>
      </c>
      <c r="D3051" s="39">
        <v>84.75</v>
      </c>
      <c r="E3051" s="39">
        <v>74.866127014160156</v>
      </c>
      <c r="F3051" s="41">
        <v>1605785</v>
      </c>
      <c r="G3051" s="35" t="s">
        <v>681</v>
      </c>
      <c r="H3051" s="35" t="s">
        <v>115</v>
      </c>
    </row>
    <row r="3052" spans="1:8">
      <c r="A3052" s="37">
        <v>42732.15625</v>
      </c>
      <c r="B3052" s="35" t="s">
        <v>654</v>
      </c>
      <c r="C3052" s="35" t="s">
        <v>655</v>
      </c>
      <c r="D3052" s="39">
        <v>84.989997863769531</v>
      </c>
      <c r="E3052" s="39">
        <v>75.078155517578125</v>
      </c>
      <c r="F3052" s="41">
        <v>649555</v>
      </c>
      <c r="G3052" s="35" t="s">
        <v>681</v>
      </c>
      <c r="H3052" s="35" t="s">
        <v>115</v>
      </c>
    </row>
    <row r="3053" spans="1:8">
      <c r="A3053" s="37">
        <v>42733.15625</v>
      </c>
      <c r="B3053" s="35" t="s">
        <v>654</v>
      </c>
      <c r="C3053" s="35" t="s">
        <v>655</v>
      </c>
      <c r="D3053" s="39">
        <v>84.830001831054688</v>
      </c>
      <c r="E3053" s="39">
        <v>74.936798095703125</v>
      </c>
      <c r="F3053" s="41">
        <v>1911645</v>
      </c>
      <c r="G3053" s="35" t="s">
        <v>681</v>
      </c>
      <c r="H3053" s="35" t="s">
        <v>115</v>
      </c>
    </row>
    <row r="3054" spans="1:8">
      <c r="A3054" s="37">
        <v>42734.15625</v>
      </c>
      <c r="B3054" s="35" t="s">
        <v>654</v>
      </c>
      <c r="C3054" s="35" t="s">
        <v>655</v>
      </c>
      <c r="D3054" s="39">
        <v>84.94000244140625</v>
      </c>
      <c r="E3054" s="39">
        <v>75.033973693847656</v>
      </c>
      <c r="F3054" s="41">
        <v>1859720</v>
      </c>
      <c r="G3054" s="35" t="s">
        <v>681</v>
      </c>
      <c r="H3054" s="35" t="s">
        <v>115</v>
      </c>
    </row>
    <row r="3055" spans="1:8">
      <c r="A3055" s="37">
        <v>42737.15625</v>
      </c>
      <c r="B3055" s="35" t="s">
        <v>654</v>
      </c>
      <c r="C3055" s="35" t="s">
        <v>655</v>
      </c>
      <c r="D3055" s="39">
        <v>85.269996643066406</v>
      </c>
      <c r="E3055" s="39">
        <v>75.325492858886719</v>
      </c>
      <c r="F3055" s="41">
        <v>574825</v>
      </c>
      <c r="G3055" s="35" t="s">
        <v>681</v>
      </c>
      <c r="H3055" s="35" t="s">
        <v>115</v>
      </c>
    </row>
    <row r="3056" spans="1:8">
      <c r="A3056" s="37">
        <v>42738.15625</v>
      </c>
      <c r="B3056" s="35" t="s">
        <v>654</v>
      </c>
      <c r="C3056" s="35" t="s">
        <v>655</v>
      </c>
      <c r="D3056" s="39">
        <v>86.180000305175781</v>
      </c>
      <c r="E3056" s="39">
        <v>76.129356384277344</v>
      </c>
      <c r="F3056" s="41">
        <v>1043865</v>
      </c>
      <c r="G3056" s="35" t="s">
        <v>681</v>
      </c>
      <c r="H3056" s="35" t="s">
        <v>115</v>
      </c>
    </row>
    <row r="3057" spans="1:8">
      <c r="A3057" s="37">
        <v>42739.15625</v>
      </c>
      <c r="B3057" s="35" t="s">
        <v>654</v>
      </c>
      <c r="C3057" s="35" t="s">
        <v>655</v>
      </c>
      <c r="D3057" s="39">
        <v>87.370002746582031</v>
      </c>
      <c r="E3057" s="39">
        <v>77.180587768554688</v>
      </c>
      <c r="F3057" s="41">
        <v>1793400</v>
      </c>
      <c r="G3057" s="35" t="s">
        <v>681</v>
      </c>
      <c r="H3057" s="35" t="s">
        <v>115</v>
      </c>
    </row>
    <row r="3058" spans="1:8">
      <c r="A3058" s="37">
        <v>42740.15625</v>
      </c>
      <c r="B3058" s="35" t="s">
        <v>654</v>
      </c>
      <c r="C3058" s="35" t="s">
        <v>655</v>
      </c>
      <c r="D3058" s="39">
        <v>86.110000610351563</v>
      </c>
      <c r="E3058" s="39">
        <v>76.067520141601563</v>
      </c>
      <c r="F3058" s="41">
        <v>2228925</v>
      </c>
      <c r="G3058" s="35" t="s">
        <v>681</v>
      </c>
      <c r="H3058" s="35" t="s">
        <v>115</v>
      </c>
    </row>
    <row r="3059" spans="1:8">
      <c r="A3059" s="37">
        <v>42741.15625</v>
      </c>
      <c r="B3059" s="35" t="s">
        <v>654</v>
      </c>
      <c r="C3059" s="35" t="s">
        <v>655</v>
      </c>
      <c r="D3059" s="39">
        <v>84.529998779296875</v>
      </c>
      <c r="E3059" s="39">
        <v>74.67181396484375</v>
      </c>
      <c r="F3059" s="41">
        <v>791455</v>
      </c>
      <c r="G3059" s="35" t="s">
        <v>681</v>
      </c>
      <c r="H3059" s="35" t="s">
        <v>115</v>
      </c>
    </row>
    <row r="3060" spans="1:8">
      <c r="A3060" s="37">
        <v>42744.15625</v>
      </c>
      <c r="B3060" s="35" t="s">
        <v>654</v>
      </c>
      <c r="C3060" s="35" t="s">
        <v>655</v>
      </c>
      <c r="D3060" s="39">
        <v>86.040000915527344</v>
      </c>
      <c r="E3060" s="39">
        <v>76.005699157714844</v>
      </c>
      <c r="F3060" s="41">
        <v>1090235</v>
      </c>
      <c r="G3060" s="35" t="s">
        <v>681</v>
      </c>
      <c r="H3060" s="35" t="s">
        <v>115</v>
      </c>
    </row>
    <row r="3061" spans="1:8">
      <c r="A3061" s="37">
        <v>42745.15625</v>
      </c>
      <c r="B3061" s="35" t="s">
        <v>654</v>
      </c>
      <c r="C3061" s="35" t="s">
        <v>655</v>
      </c>
      <c r="D3061" s="39">
        <v>86.209999084472656</v>
      </c>
      <c r="E3061" s="39">
        <v>76.155860900878906</v>
      </c>
      <c r="F3061" s="41">
        <v>1108580</v>
      </c>
      <c r="G3061" s="35" t="s">
        <v>681</v>
      </c>
      <c r="H3061" s="35" t="s">
        <v>115</v>
      </c>
    </row>
    <row r="3062" spans="1:8">
      <c r="A3062" s="37">
        <v>42746.15625</v>
      </c>
      <c r="B3062" s="35" t="s">
        <v>654</v>
      </c>
      <c r="C3062" s="35" t="s">
        <v>655</v>
      </c>
      <c r="D3062" s="39">
        <v>85.919998168945313</v>
      </c>
      <c r="E3062" s="39">
        <v>75.899665832519531</v>
      </c>
      <c r="F3062" s="41">
        <v>542660</v>
      </c>
      <c r="G3062" s="35" t="s">
        <v>681</v>
      </c>
      <c r="H3062" s="35" t="s">
        <v>115</v>
      </c>
    </row>
    <row r="3063" spans="1:8">
      <c r="A3063" s="37">
        <v>42747.15625</v>
      </c>
      <c r="B3063" s="35" t="s">
        <v>654</v>
      </c>
      <c r="C3063" s="35" t="s">
        <v>655</v>
      </c>
      <c r="D3063" s="39">
        <v>85.980003356933594</v>
      </c>
      <c r="E3063" s="39">
        <v>75.95269775390625</v>
      </c>
      <c r="F3063" s="41">
        <v>946120</v>
      </c>
      <c r="G3063" s="35" t="s">
        <v>681</v>
      </c>
      <c r="H3063" s="35" t="s">
        <v>115</v>
      </c>
    </row>
    <row r="3064" spans="1:8">
      <c r="A3064" s="37">
        <v>42748.15625</v>
      </c>
      <c r="B3064" s="35" t="s">
        <v>654</v>
      </c>
      <c r="C3064" s="35" t="s">
        <v>655</v>
      </c>
      <c r="D3064" s="39">
        <v>85.080001831054688</v>
      </c>
      <c r="E3064" s="39">
        <v>75.157646179199219</v>
      </c>
      <c r="F3064" s="41">
        <v>695980</v>
      </c>
      <c r="G3064" s="35" t="s">
        <v>681</v>
      </c>
      <c r="H3064" s="35" t="s">
        <v>115</v>
      </c>
    </row>
    <row r="3065" spans="1:8">
      <c r="A3065" s="37">
        <v>42751.15625</v>
      </c>
      <c r="B3065" s="35" t="s">
        <v>654</v>
      </c>
      <c r="C3065" s="35" t="s">
        <v>655</v>
      </c>
      <c r="D3065" s="39">
        <v>85.260002136230469</v>
      </c>
      <c r="E3065" s="39">
        <v>75.316658020019531</v>
      </c>
      <c r="F3065" s="41">
        <v>596635</v>
      </c>
      <c r="G3065" s="35" t="s">
        <v>681</v>
      </c>
      <c r="H3065" s="35" t="s">
        <v>115</v>
      </c>
    </row>
    <row r="3066" spans="1:8">
      <c r="A3066" s="37">
        <v>42752.15625</v>
      </c>
      <c r="B3066" s="35" t="s">
        <v>654</v>
      </c>
      <c r="C3066" s="35" t="s">
        <v>655</v>
      </c>
      <c r="D3066" s="39">
        <v>83.129997253417969</v>
      </c>
      <c r="E3066" s="39">
        <v>73.435066223144531</v>
      </c>
      <c r="F3066" s="41">
        <v>7563830</v>
      </c>
      <c r="G3066" s="35" t="s">
        <v>681</v>
      </c>
      <c r="H3066" s="35" t="s">
        <v>115</v>
      </c>
    </row>
    <row r="3067" spans="1:8">
      <c r="A3067" s="37">
        <v>42753.15625</v>
      </c>
      <c r="B3067" s="35" t="s">
        <v>654</v>
      </c>
      <c r="C3067" s="35" t="s">
        <v>655</v>
      </c>
      <c r="D3067" s="39">
        <v>86.769996643066406</v>
      </c>
      <c r="E3067" s="39">
        <v>76.65057373046875</v>
      </c>
      <c r="F3067" s="41">
        <v>3785375</v>
      </c>
      <c r="G3067" s="35" t="s">
        <v>681</v>
      </c>
      <c r="H3067" s="35" t="s">
        <v>115</v>
      </c>
    </row>
    <row r="3068" spans="1:8">
      <c r="A3068" s="37">
        <v>42754.15625</v>
      </c>
      <c r="B3068" s="35" t="s">
        <v>654</v>
      </c>
      <c r="C3068" s="35" t="s">
        <v>655</v>
      </c>
      <c r="D3068" s="39">
        <v>88.089996337890625</v>
      </c>
      <c r="E3068" s="39">
        <v>77.81658935546875</v>
      </c>
      <c r="F3068" s="41">
        <v>1602865</v>
      </c>
      <c r="G3068" s="35" t="s">
        <v>681</v>
      </c>
      <c r="H3068" s="35" t="s">
        <v>115</v>
      </c>
    </row>
    <row r="3069" spans="1:8">
      <c r="A3069" s="37">
        <v>42755.15625</v>
      </c>
      <c r="B3069" s="35" t="s">
        <v>654</v>
      </c>
      <c r="C3069" s="35" t="s">
        <v>655</v>
      </c>
      <c r="D3069" s="39">
        <v>88.709999084472656</v>
      </c>
      <c r="E3069" s="39">
        <v>78.364295959472656</v>
      </c>
      <c r="F3069" s="41">
        <v>2501715</v>
      </c>
      <c r="G3069" s="35" t="s">
        <v>681</v>
      </c>
      <c r="H3069" s="35" t="s">
        <v>115</v>
      </c>
    </row>
    <row r="3070" spans="1:8">
      <c r="A3070" s="37">
        <v>42758.15625</v>
      </c>
      <c r="B3070" s="35" t="s">
        <v>654</v>
      </c>
      <c r="C3070" s="35" t="s">
        <v>655</v>
      </c>
      <c r="D3070" s="39">
        <v>88.400001525878906</v>
      </c>
      <c r="E3070" s="39">
        <v>78.0904541015625</v>
      </c>
      <c r="F3070" s="41">
        <v>1159870</v>
      </c>
      <c r="G3070" s="35" t="s">
        <v>681</v>
      </c>
      <c r="H3070" s="35" t="s">
        <v>115</v>
      </c>
    </row>
    <row r="3071" spans="1:8">
      <c r="A3071" s="37">
        <v>42759.15625</v>
      </c>
      <c r="B3071" s="35" t="s">
        <v>654</v>
      </c>
      <c r="C3071" s="35" t="s">
        <v>655</v>
      </c>
      <c r="D3071" s="39">
        <v>86.870002746582031</v>
      </c>
      <c r="E3071" s="39">
        <v>76.7388916015625</v>
      </c>
      <c r="F3071" s="41">
        <v>1656655</v>
      </c>
      <c r="G3071" s="35" t="s">
        <v>681</v>
      </c>
      <c r="H3071" s="35" t="s">
        <v>115</v>
      </c>
    </row>
    <row r="3072" spans="1:8">
      <c r="A3072" s="37">
        <v>42760.15625</v>
      </c>
      <c r="B3072" s="35" t="s">
        <v>654</v>
      </c>
      <c r="C3072" s="35" t="s">
        <v>655</v>
      </c>
      <c r="D3072" s="39">
        <v>87.230003356933594</v>
      </c>
      <c r="E3072" s="39">
        <v>77.056892395019531</v>
      </c>
      <c r="F3072" s="41">
        <v>1164985</v>
      </c>
      <c r="G3072" s="35" t="s">
        <v>681</v>
      </c>
      <c r="H3072" s="35" t="s">
        <v>115</v>
      </c>
    </row>
    <row r="3073" spans="1:8">
      <c r="A3073" s="37">
        <v>42762.15625</v>
      </c>
      <c r="B3073" s="35" t="s">
        <v>654</v>
      </c>
      <c r="C3073" s="35" t="s">
        <v>655</v>
      </c>
      <c r="D3073" s="39">
        <v>85.669998168945313</v>
      </c>
      <c r="E3073" s="39">
        <v>75.678863525390625</v>
      </c>
      <c r="F3073" s="41">
        <v>1063160</v>
      </c>
      <c r="G3073" s="35" t="s">
        <v>681</v>
      </c>
      <c r="H3073" s="35" t="s">
        <v>115</v>
      </c>
    </row>
    <row r="3074" spans="1:8">
      <c r="A3074" s="37">
        <v>42765.15625</v>
      </c>
      <c r="B3074" s="35" t="s">
        <v>654</v>
      </c>
      <c r="C3074" s="35" t="s">
        <v>655</v>
      </c>
      <c r="D3074" s="39">
        <v>84.620002746582031</v>
      </c>
      <c r="E3074" s="39">
        <v>74.751304626464844</v>
      </c>
      <c r="F3074" s="41">
        <v>626575</v>
      </c>
      <c r="G3074" s="35" t="s">
        <v>681</v>
      </c>
      <c r="H3074" s="35" t="s">
        <v>115</v>
      </c>
    </row>
    <row r="3075" spans="1:8">
      <c r="A3075" s="37">
        <v>42766.15625</v>
      </c>
      <c r="B3075" s="35" t="s">
        <v>654</v>
      </c>
      <c r="C3075" s="35" t="s">
        <v>655</v>
      </c>
      <c r="D3075" s="39">
        <v>82.019996643066406</v>
      </c>
      <c r="E3075" s="39">
        <v>72.454513549804688</v>
      </c>
      <c r="F3075" s="41">
        <v>982020</v>
      </c>
      <c r="G3075" s="35" t="s">
        <v>681</v>
      </c>
      <c r="H3075" s="35" t="s">
        <v>115</v>
      </c>
    </row>
    <row r="3076" spans="1:8">
      <c r="A3076" s="37">
        <v>42767.15625</v>
      </c>
      <c r="B3076" s="35" t="s">
        <v>654</v>
      </c>
      <c r="C3076" s="35" t="s">
        <v>655</v>
      </c>
      <c r="D3076" s="39">
        <v>81.730003356933594</v>
      </c>
      <c r="E3076" s="39">
        <v>72.198341369628906</v>
      </c>
      <c r="F3076" s="41">
        <v>804465</v>
      </c>
      <c r="G3076" s="35" t="s">
        <v>681</v>
      </c>
      <c r="H3076" s="35" t="s">
        <v>115</v>
      </c>
    </row>
    <row r="3077" spans="1:8">
      <c r="A3077" s="37">
        <v>42768.15625</v>
      </c>
      <c r="B3077" s="35" t="s">
        <v>654</v>
      </c>
      <c r="C3077" s="35" t="s">
        <v>655</v>
      </c>
      <c r="D3077" s="39">
        <v>83.400001525878906</v>
      </c>
      <c r="E3077" s="39">
        <v>73.673591613769531</v>
      </c>
      <c r="F3077" s="41">
        <v>998015</v>
      </c>
      <c r="G3077" s="35" t="s">
        <v>681</v>
      </c>
      <c r="H3077" s="35" t="s">
        <v>115</v>
      </c>
    </row>
    <row r="3078" spans="1:8">
      <c r="A3078" s="37">
        <v>42769.15625</v>
      </c>
      <c r="B3078" s="35" t="s">
        <v>654</v>
      </c>
      <c r="C3078" s="35" t="s">
        <v>655</v>
      </c>
      <c r="D3078" s="39">
        <v>84.75</v>
      </c>
      <c r="E3078" s="39">
        <v>74.866127014160156</v>
      </c>
      <c r="F3078" s="41">
        <v>1003605</v>
      </c>
      <c r="G3078" s="35" t="s">
        <v>681</v>
      </c>
      <c r="H3078" s="35" t="s">
        <v>115</v>
      </c>
    </row>
    <row r="3079" spans="1:8">
      <c r="A3079" s="37">
        <v>42772.15625</v>
      </c>
      <c r="B3079" s="35" t="s">
        <v>654</v>
      </c>
      <c r="C3079" s="35" t="s">
        <v>655</v>
      </c>
      <c r="D3079" s="39">
        <v>84.680000305175781</v>
      </c>
      <c r="E3079" s="39">
        <v>74.804283142089844</v>
      </c>
      <c r="F3079" s="41">
        <v>721365</v>
      </c>
      <c r="G3079" s="35" t="s">
        <v>681</v>
      </c>
      <c r="H3079" s="35" t="s">
        <v>115</v>
      </c>
    </row>
    <row r="3080" spans="1:8">
      <c r="A3080" s="37">
        <v>42773.15625</v>
      </c>
      <c r="B3080" s="35" t="s">
        <v>654</v>
      </c>
      <c r="C3080" s="35" t="s">
        <v>655</v>
      </c>
      <c r="D3080" s="39">
        <v>84.410003662109375</v>
      </c>
      <c r="E3080" s="39">
        <v>74.565780639648438</v>
      </c>
      <c r="F3080" s="41">
        <v>697970</v>
      </c>
      <c r="G3080" s="35" t="s">
        <v>681</v>
      </c>
      <c r="H3080" s="35" t="s">
        <v>115</v>
      </c>
    </row>
    <row r="3081" spans="1:8">
      <c r="A3081" s="37">
        <v>42774.15625</v>
      </c>
      <c r="B3081" s="35" t="s">
        <v>654</v>
      </c>
      <c r="C3081" s="35" t="s">
        <v>655</v>
      </c>
      <c r="D3081" s="39">
        <v>85.699996948242188</v>
      </c>
      <c r="E3081" s="39">
        <v>75.705352783203125</v>
      </c>
      <c r="F3081" s="41">
        <v>916100</v>
      </c>
      <c r="G3081" s="35" t="s">
        <v>681</v>
      </c>
      <c r="H3081" s="35" t="s">
        <v>115</v>
      </c>
    </row>
    <row r="3082" spans="1:8">
      <c r="A3082" s="37">
        <v>42775.15625</v>
      </c>
      <c r="B3082" s="35" t="s">
        <v>654</v>
      </c>
      <c r="C3082" s="35" t="s">
        <v>655</v>
      </c>
      <c r="D3082" s="39">
        <v>84.69000244140625</v>
      </c>
      <c r="E3082" s="39">
        <v>74.813133239746094</v>
      </c>
      <c r="F3082" s="41">
        <v>1021645</v>
      </c>
      <c r="G3082" s="35" t="s">
        <v>681</v>
      </c>
      <c r="H3082" s="35" t="s">
        <v>115</v>
      </c>
    </row>
    <row r="3083" spans="1:8">
      <c r="A3083" s="37">
        <v>42776.15625</v>
      </c>
      <c r="B3083" s="35" t="s">
        <v>654</v>
      </c>
      <c r="C3083" s="35" t="s">
        <v>655</v>
      </c>
      <c r="D3083" s="39">
        <v>84.949996948242188</v>
      </c>
      <c r="E3083" s="39">
        <v>75.042800903320313</v>
      </c>
      <c r="F3083" s="41">
        <v>1112980</v>
      </c>
      <c r="G3083" s="35" t="s">
        <v>681</v>
      </c>
      <c r="H3083" s="35" t="s">
        <v>115</v>
      </c>
    </row>
    <row r="3084" spans="1:8">
      <c r="A3084" s="37">
        <v>42779.15625</v>
      </c>
      <c r="B3084" s="35" t="s">
        <v>654</v>
      </c>
      <c r="C3084" s="35" t="s">
        <v>655</v>
      </c>
      <c r="D3084" s="39">
        <v>85.55999755859375</v>
      </c>
      <c r="E3084" s="39">
        <v>75.5816650390625</v>
      </c>
      <c r="F3084" s="41">
        <v>807385</v>
      </c>
      <c r="G3084" s="35" t="s">
        <v>681</v>
      </c>
      <c r="H3084" s="35" t="s">
        <v>115</v>
      </c>
    </row>
    <row r="3085" spans="1:8">
      <c r="A3085" s="37">
        <v>42780.15625</v>
      </c>
      <c r="B3085" s="35" t="s">
        <v>654</v>
      </c>
      <c r="C3085" s="35" t="s">
        <v>655</v>
      </c>
      <c r="D3085" s="39">
        <v>85.389999389648438</v>
      </c>
      <c r="E3085" s="39">
        <v>75.431503295898438</v>
      </c>
      <c r="F3085" s="41">
        <v>651040</v>
      </c>
      <c r="G3085" s="35" t="s">
        <v>681</v>
      </c>
      <c r="H3085" s="35" t="s">
        <v>115</v>
      </c>
    </row>
    <row r="3086" spans="1:8">
      <c r="A3086" s="37">
        <v>42781.15625</v>
      </c>
      <c r="B3086" s="35" t="s">
        <v>654</v>
      </c>
      <c r="C3086" s="35" t="s">
        <v>655</v>
      </c>
      <c r="D3086" s="39">
        <v>83.629997253417969</v>
      </c>
      <c r="E3086" s="39">
        <v>73.876747131347656</v>
      </c>
      <c r="F3086" s="41">
        <v>955680</v>
      </c>
      <c r="G3086" s="35" t="s">
        <v>681</v>
      </c>
      <c r="H3086" s="35" t="s">
        <v>115</v>
      </c>
    </row>
    <row r="3087" spans="1:8">
      <c r="A3087" s="37">
        <v>42782.15625</v>
      </c>
      <c r="B3087" s="35" t="s">
        <v>654</v>
      </c>
      <c r="C3087" s="35" t="s">
        <v>655</v>
      </c>
      <c r="D3087" s="39">
        <v>84.739997863769531</v>
      </c>
      <c r="E3087" s="39">
        <v>74.857322692871094</v>
      </c>
      <c r="F3087" s="41">
        <v>1324550</v>
      </c>
      <c r="G3087" s="35" t="s">
        <v>681</v>
      </c>
      <c r="H3087" s="35" t="s">
        <v>115</v>
      </c>
    </row>
    <row r="3088" spans="1:8">
      <c r="A3088" s="37">
        <v>42783.15625</v>
      </c>
      <c r="B3088" s="35" t="s">
        <v>654</v>
      </c>
      <c r="C3088" s="35" t="s">
        <v>655</v>
      </c>
      <c r="D3088" s="39">
        <v>85.010002136230469</v>
      </c>
      <c r="E3088" s="39">
        <v>75.095817565917969</v>
      </c>
      <c r="F3088" s="41">
        <v>764615</v>
      </c>
      <c r="G3088" s="35" t="s">
        <v>681</v>
      </c>
      <c r="H3088" s="35" t="s">
        <v>115</v>
      </c>
    </row>
    <row r="3089" spans="1:8">
      <c r="A3089" s="37">
        <v>42786.15625</v>
      </c>
      <c r="B3089" s="35" t="s">
        <v>654</v>
      </c>
      <c r="C3089" s="35" t="s">
        <v>655</v>
      </c>
      <c r="D3089" s="39">
        <v>84.709999084472656</v>
      </c>
      <c r="E3089" s="39">
        <v>74.830818176269531</v>
      </c>
      <c r="F3089" s="41">
        <v>401965</v>
      </c>
      <c r="G3089" s="35" t="s">
        <v>681</v>
      </c>
      <c r="H3089" s="35" t="s">
        <v>115</v>
      </c>
    </row>
    <row r="3090" spans="1:8">
      <c r="A3090" s="37">
        <v>42787.15625</v>
      </c>
      <c r="B3090" s="35" t="s">
        <v>654</v>
      </c>
      <c r="C3090" s="35" t="s">
        <v>655</v>
      </c>
      <c r="D3090" s="39">
        <v>83.790000915527344</v>
      </c>
      <c r="E3090" s="39">
        <v>74.018104553222656</v>
      </c>
      <c r="F3090" s="41">
        <v>1433335</v>
      </c>
      <c r="G3090" s="35" t="s">
        <v>681</v>
      </c>
      <c r="H3090" s="35" t="s">
        <v>115</v>
      </c>
    </row>
    <row r="3091" spans="1:8">
      <c r="A3091" s="37">
        <v>42788.15625</v>
      </c>
      <c r="B3091" s="35" t="s">
        <v>654</v>
      </c>
      <c r="C3091" s="35" t="s">
        <v>655</v>
      </c>
      <c r="D3091" s="39">
        <v>83.540000915527344</v>
      </c>
      <c r="E3091" s="39">
        <v>73.797225952148438</v>
      </c>
      <c r="F3091" s="41">
        <v>962150</v>
      </c>
      <c r="G3091" s="35" t="s">
        <v>681</v>
      </c>
      <c r="H3091" s="35" t="s">
        <v>115</v>
      </c>
    </row>
    <row r="3092" spans="1:8">
      <c r="A3092" s="37">
        <v>42789.15625</v>
      </c>
      <c r="B3092" s="35" t="s">
        <v>654</v>
      </c>
      <c r="C3092" s="35" t="s">
        <v>655</v>
      </c>
      <c r="D3092" s="39">
        <v>84.580001831054688</v>
      </c>
      <c r="E3092" s="39">
        <v>74.715957641601563</v>
      </c>
      <c r="F3092" s="41">
        <v>946690</v>
      </c>
      <c r="G3092" s="35" t="s">
        <v>681</v>
      </c>
      <c r="H3092" s="35" t="s">
        <v>115</v>
      </c>
    </row>
    <row r="3093" spans="1:8">
      <c r="A3093" s="37">
        <v>42793.15625</v>
      </c>
      <c r="B3093" s="35" t="s">
        <v>654</v>
      </c>
      <c r="C3093" s="35" t="s">
        <v>655</v>
      </c>
      <c r="D3093" s="39">
        <v>83.25</v>
      </c>
      <c r="E3093" s="39">
        <v>73.541084289550781</v>
      </c>
      <c r="F3093" s="41">
        <v>487170</v>
      </c>
      <c r="G3093" s="35" t="s">
        <v>681</v>
      </c>
      <c r="H3093" s="35" t="s">
        <v>115</v>
      </c>
    </row>
    <row r="3094" spans="1:8">
      <c r="A3094" s="37">
        <v>42794.15625</v>
      </c>
      <c r="B3094" s="35" t="s">
        <v>654</v>
      </c>
      <c r="C3094" s="35" t="s">
        <v>655</v>
      </c>
      <c r="D3094" s="39">
        <v>83.239997863769531</v>
      </c>
      <c r="E3094" s="39">
        <v>73.532234191894531</v>
      </c>
      <c r="F3094" s="41">
        <v>690640</v>
      </c>
      <c r="G3094" s="35" t="s">
        <v>681</v>
      </c>
      <c r="H3094" s="35" t="s">
        <v>115</v>
      </c>
    </row>
    <row r="3095" spans="1:8">
      <c r="A3095" s="37">
        <v>42795.15625</v>
      </c>
      <c r="B3095" s="35" t="s">
        <v>654</v>
      </c>
      <c r="C3095" s="35" t="s">
        <v>655</v>
      </c>
      <c r="D3095" s="39">
        <v>83.379997253417969</v>
      </c>
      <c r="E3095" s="39">
        <v>73.655914306640625</v>
      </c>
      <c r="F3095" s="41">
        <v>793245</v>
      </c>
      <c r="G3095" s="35" t="s">
        <v>681</v>
      </c>
      <c r="H3095" s="35" t="s">
        <v>115</v>
      </c>
    </row>
    <row r="3096" spans="1:8">
      <c r="A3096" s="37">
        <v>42796.15625</v>
      </c>
      <c r="B3096" s="35" t="s">
        <v>654</v>
      </c>
      <c r="C3096" s="35" t="s">
        <v>655</v>
      </c>
      <c r="D3096" s="39">
        <v>81.720001220703125</v>
      </c>
      <c r="E3096" s="39">
        <v>72.189521789550781</v>
      </c>
      <c r="F3096" s="41">
        <v>761425</v>
      </c>
      <c r="G3096" s="35" t="s">
        <v>681</v>
      </c>
      <c r="H3096" s="35" t="s">
        <v>115</v>
      </c>
    </row>
    <row r="3097" spans="1:8">
      <c r="A3097" s="37">
        <v>42797.15625</v>
      </c>
      <c r="B3097" s="35" t="s">
        <v>654</v>
      </c>
      <c r="C3097" s="35" t="s">
        <v>655</v>
      </c>
      <c r="D3097" s="39">
        <v>83.389999389648438</v>
      </c>
      <c r="E3097" s="39">
        <v>73.664741516113281</v>
      </c>
      <c r="F3097" s="41">
        <v>806995</v>
      </c>
      <c r="G3097" s="35" t="s">
        <v>681</v>
      </c>
      <c r="H3097" s="35" t="s">
        <v>115</v>
      </c>
    </row>
    <row r="3098" spans="1:8">
      <c r="A3098" s="37">
        <v>42800.15625</v>
      </c>
      <c r="B3098" s="35" t="s">
        <v>654</v>
      </c>
      <c r="C3098" s="35" t="s">
        <v>655</v>
      </c>
      <c r="D3098" s="39">
        <v>83.379997253417969</v>
      </c>
      <c r="E3098" s="39">
        <v>73.655914306640625</v>
      </c>
      <c r="F3098" s="41">
        <v>432110</v>
      </c>
      <c r="G3098" s="35" t="s">
        <v>681</v>
      </c>
      <c r="H3098" s="35" t="s">
        <v>115</v>
      </c>
    </row>
    <row r="3099" spans="1:8">
      <c r="A3099" s="37">
        <v>42801.15625</v>
      </c>
      <c r="B3099" s="35" t="s">
        <v>654</v>
      </c>
      <c r="C3099" s="35" t="s">
        <v>655</v>
      </c>
      <c r="D3099" s="39">
        <v>83.720001220703125</v>
      </c>
      <c r="E3099" s="39">
        <v>73.956268310546875</v>
      </c>
      <c r="F3099" s="41">
        <v>551010</v>
      </c>
      <c r="G3099" s="35" t="s">
        <v>681</v>
      </c>
      <c r="H3099" s="35" t="s">
        <v>115</v>
      </c>
    </row>
    <row r="3100" spans="1:8">
      <c r="A3100" s="37">
        <v>42802.15625</v>
      </c>
      <c r="B3100" s="35" t="s">
        <v>654</v>
      </c>
      <c r="C3100" s="35" t="s">
        <v>655</v>
      </c>
      <c r="D3100" s="39">
        <v>83.519996643066406</v>
      </c>
      <c r="E3100" s="39">
        <v>73.779586791992188</v>
      </c>
      <c r="F3100" s="41">
        <v>702610</v>
      </c>
      <c r="G3100" s="35" t="s">
        <v>681</v>
      </c>
      <c r="H3100" s="35" t="s">
        <v>115</v>
      </c>
    </row>
    <row r="3101" spans="1:8">
      <c r="A3101" s="37">
        <v>42803.15625</v>
      </c>
      <c r="B3101" s="35" t="s">
        <v>654</v>
      </c>
      <c r="C3101" s="35" t="s">
        <v>655</v>
      </c>
      <c r="D3101" s="39">
        <v>83.709999084472656</v>
      </c>
      <c r="E3101" s="39">
        <v>73.947418212890625</v>
      </c>
      <c r="F3101" s="41">
        <v>545780</v>
      </c>
      <c r="G3101" s="35" t="s">
        <v>681</v>
      </c>
      <c r="H3101" s="35" t="s">
        <v>115</v>
      </c>
    </row>
    <row r="3102" spans="1:8">
      <c r="A3102" s="37">
        <v>42804.15625</v>
      </c>
      <c r="B3102" s="35" t="s">
        <v>654</v>
      </c>
      <c r="C3102" s="35" t="s">
        <v>655</v>
      </c>
      <c r="D3102" s="39">
        <v>83.510002136230469</v>
      </c>
      <c r="E3102" s="39">
        <v>73.770721435546875</v>
      </c>
      <c r="F3102" s="41">
        <v>418080</v>
      </c>
      <c r="G3102" s="35" t="s">
        <v>681</v>
      </c>
      <c r="H3102" s="35" t="s">
        <v>115</v>
      </c>
    </row>
    <row r="3103" spans="1:8">
      <c r="A3103" s="37">
        <v>42808.15625</v>
      </c>
      <c r="B3103" s="35" t="s">
        <v>654</v>
      </c>
      <c r="C3103" s="35" t="s">
        <v>655</v>
      </c>
      <c r="D3103" s="39">
        <v>84.599998474121094</v>
      </c>
      <c r="E3103" s="39">
        <v>74.733619689941406</v>
      </c>
      <c r="F3103" s="41">
        <v>593495</v>
      </c>
      <c r="G3103" s="35" t="s">
        <v>681</v>
      </c>
      <c r="H3103" s="35" t="s">
        <v>115</v>
      </c>
    </row>
    <row r="3104" spans="1:8">
      <c r="A3104" s="37">
        <v>42809.15625</v>
      </c>
      <c r="B3104" s="35" t="s">
        <v>654</v>
      </c>
      <c r="C3104" s="35" t="s">
        <v>655</v>
      </c>
      <c r="D3104" s="39">
        <v>83.44000244140625</v>
      </c>
      <c r="E3104" s="39">
        <v>73.708930969238281</v>
      </c>
      <c r="F3104" s="41">
        <v>555460</v>
      </c>
      <c r="G3104" s="35" t="s">
        <v>681</v>
      </c>
      <c r="H3104" s="35" t="s">
        <v>115</v>
      </c>
    </row>
    <row r="3105" spans="1:8">
      <c r="A3105" s="37">
        <v>42810.15625</v>
      </c>
      <c r="B3105" s="35" t="s">
        <v>654</v>
      </c>
      <c r="C3105" s="35" t="s">
        <v>655</v>
      </c>
      <c r="D3105" s="39">
        <v>83.300003051757813</v>
      </c>
      <c r="E3105" s="39">
        <v>73.585243225097656</v>
      </c>
      <c r="F3105" s="41">
        <v>1443360</v>
      </c>
      <c r="G3105" s="35" t="s">
        <v>681</v>
      </c>
      <c r="H3105" s="35" t="s">
        <v>115</v>
      </c>
    </row>
    <row r="3106" spans="1:8">
      <c r="A3106" s="37">
        <v>42811.15625</v>
      </c>
      <c r="B3106" s="35" t="s">
        <v>654</v>
      </c>
      <c r="C3106" s="35" t="s">
        <v>655</v>
      </c>
      <c r="D3106" s="39">
        <v>84.94000244140625</v>
      </c>
      <c r="E3106" s="39">
        <v>75.033973693847656</v>
      </c>
      <c r="F3106" s="41">
        <v>1250120</v>
      </c>
      <c r="G3106" s="35" t="s">
        <v>681</v>
      </c>
      <c r="H3106" s="35" t="s">
        <v>115</v>
      </c>
    </row>
    <row r="3107" spans="1:8">
      <c r="A3107" s="37">
        <v>42814.15625</v>
      </c>
      <c r="B3107" s="35" t="s">
        <v>654</v>
      </c>
      <c r="C3107" s="35" t="s">
        <v>655</v>
      </c>
      <c r="D3107" s="39">
        <v>84.360000610351563</v>
      </c>
      <c r="E3107" s="39">
        <v>74.521621704101563</v>
      </c>
      <c r="F3107" s="41">
        <v>922405</v>
      </c>
      <c r="G3107" s="35" t="s">
        <v>681</v>
      </c>
      <c r="H3107" s="35" t="s">
        <v>115</v>
      </c>
    </row>
    <row r="3108" spans="1:8">
      <c r="A3108" s="37">
        <v>42815.15625</v>
      </c>
      <c r="B3108" s="35" t="s">
        <v>654</v>
      </c>
      <c r="C3108" s="35" t="s">
        <v>655</v>
      </c>
      <c r="D3108" s="39">
        <v>83.5</v>
      </c>
      <c r="E3108" s="39">
        <v>73.761932373046875</v>
      </c>
      <c r="F3108" s="41">
        <v>855255</v>
      </c>
      <c r="G3108" s="35" t="s">
        <v>681</v>
      </c>
      <c r="H3108" s="35" t="s">
        <v>115</v>
      </c>
    </row>
    <row r="3109" spans="1:8">
      <c r="A3109" s="37">
        <v>42816.15625</v>
      </c>
      <c r="B3109" s="35" t="s">
        <v>654</v>
      </c>
      <c r="C3109" s="35" t="s">
        <v>655</v>
      </c>
      <c r="D3109" s="39">
        <v>81.879997253417969</v>
      </c>
      <c r="E3109" s="39">
        <v>72.330833435058594</v>
      </c>
      <c r="F3109" s="41">
        <v>781750</v>
      </c>
      <c r="G3109" s="35" t="s">
        <v>681</v>
      </c>
      <c r="H3109" s="35" t="s">
        <v>115</v>
      </c>
    </row>
    <row r="3110" spans="1:8">
      <c r="A3110" s="37">
        <v>42817.15625</v>
      </c>
      <c r="B3110" s="35" t="s">
        <v>654</v>
      </c>
      <c r="C3110" s="35" t="s">
        <v>655</v>
      </c>
      <c r="D3110" s="39">
        <v>82.569999694824219</v>
      </c>
      <c r="E3110" s="39">
        <v>72.94036865234375</v>
      </c>
      <c r="F3110" s="41">
        <v>624250</v>
      </c>
      <c r="G3110" s="35" t="s">
        <v>681</v>
      </c>
      <c r="H3110" s="35" t="s">
        <v>115</v>
      </c>
    </row>
    <row r="3111" spans="1:8">
      <c r="A3111" s="37">
        <v>42818.15625</v>
      </c>
      <c r="B3111" s="35" t="s">
        <v>654</v>
      </c>
      <c r="C3111" s="35" t="s">
        <v>655</v>
      </c>
      <c r="D3111" s="39">
        <v>84.660003662109375</v>
      </c>
      <c r="E3111" s="39">
        <v>74.78662109375</v>
      </c>
      <c r="F3111" s="41">
        <v>1651870</v>
      </c>
      <c r="G3111" s="35" t="s">
        <v>681</v>
      </c>
      <c r="H3111" s="35" t="s">
        <v>115</v>
      </c>
    </row>
    <row r="3112" spans="1:8">
      <c r="A3112" s="37">
        <v>42821.15625</v>
      </c>
      <c r="B3112" s="35" t="s">
        <v>654</v>
      </c>
      <c r="C3112" s="35" t="s">
        <v>655</v>
      </c>
      <c r="D3112" s="39">
        <v>85.019996643066406</v>
      </c>
      <c r="E3112" s="39">
        <v>75.104644775390625</v>
      </c>
      <c r="F3112" s="41">
        <v>985525</v>
      </c>
      <c r="G3112" s="35" t="s">
        <v>681</v>
      </c>
      <c r="H3112" s="35" t="s">
        <v>115</v>
      </c>
    </row>
    <row r="3113" spans="1:8">
      <c r="A3113" s="37">
        <v>42822.15625</v>
      </c>
      <c r="B3113" s="35" t="s">
        <v>654</v>
      </c>
      <c r="C3113" s="35" t="s">
        <v>655</v>
      </c>
      <c r="D3113" s="39">
        <v>85</v>
      </c>
      <c r="E3113" s="39">
        <v>75.086990356445313</v>
      </c>
      <c r="F3113" s="41">
        <v>713755</v>
      </c>
      <c r="G3113" s="35" t="s">
        <v>681</v>
      </c>
      <c r="H3113" s="35" t="s">
        <v>115</v>
      </c>
    </row>
    <row r="3114" spans="1:8">
      <c r="A3114" s="37">
        <v>42823.15625</v>
      </c>
      <c r="B3114" s="35" t="s">
        <v>654</v>
      </c>
      <c r="C3114" s="35" t="s">
        <v>655</v>
      </c>
      <c r="D3114" s="39">
        <v>85.110000610351563</v>
      </c>
      <c r="E3114" s="39">
        <v>75.184158325195313</v>
      </c>
      <c r="F3114" s="41">
        <v>645005</v>
      </c>
      <c r="G3114" s="35" t="s">
        <v>681</v>
      </c>
      <c r="H3114" s="35" t="s">
        <v>115</v>
      </c>
    </row>
    <row r="3115" spans="1:8">
      <c r="A3115" s="37">
        <v>42824.15625</v>
      </c>
      <c r="B3115" s="35" t="s">
        <v>654</v>
      </c>
      <c r="C3115" s="35" t="s">
        <v>655</v>
      </c>
      <c r="D3115" s="39">
        <v>84.010002136230469</v>
      </c>
      <c r="E3115" s="39">
        <v>74.212448120117188</v>
      </c>
      <c r="F3115" s="41">
        <v>2254980</v>
      </c>
      <c r="G3115" s="35" t="s">
        <v>681</v>
      </c>
      <c r="H3115" s="35" t="s">
        <v>115</v>
      </c>
    </row>
    <row r="3116" spans="1:8">
      <c r="A3116" s="37">
        <v>42825.15625</v>
      </c>
      <c r="B3116" s="35" t="s">
        <v>654</v>
      </c>
      <c r="C3116" s="35" t="s">
        <v>655</v>
      </c>
      <c r="D3116" s="39">
        <v>87.120002746582031</v>
      </c>
      <c r="E3116" s="39">
        <v>76.959754943847656</v>
      </c>
      <c r="F3116" s="41">
        <v>1928955</v>
      </c>
      <c r="G3116" s="35" t="s">
        <v>681</v>
      </c>
      <c r="H3116" s="35" t="s">
        <v>115</v>
      </c>
    </row>
    <row r="3117" spans="1:8">
      <c r="A3117" s="37">
        <v>42828.15625</v>
      </c>
      <c r="B3117" s="35" t="s">
        <v>654</v>
      </c>
      <c r="C3117" s="35" t="s">
        <v>655</v>
      </c>
      <c r="D3117" s="39">
        <v>86.989997863769531</v>
      </c>
      <c r="E3117" s="39">
        <v>76.844902038574219</v>
      </c>
      <c r="F3117" s="41">
        <v>947440</v>
      </c>
      <c r="G3117" s="35" t="s">
        <v>682</v>
      </c>
      <c r="H3117" s="35" t="s">
        <v>115</v>
      </c>
    </row>
    <row r="3118" spans="1:8">
      <c r="A3118" s="37">
        <v>42830.15625</v>
      </c>
      <c r="B3118" s="35" t="s">
        <v>654</v>
      </c>
      <c r="C3118" s="35" t="s">
        <v>655</v>
      </c>
      <c r="D3118" s="39">
        <v>86.629997253417969</v>
      </c>
      <c r="E3118" s="39">
        <v>76.526885986328125</v>
      </c>
      <c r="F3118" s="41">
        <v>732490</v>
      </c>
      <c r="G3118" s="35" t="s">
        <v>682</v>
      </c>
      <c r="H3118" s="35" t="s">
        <v>115</v>
      </c>
    </row>
    <row r="3119" spans="1:8">
      <c r="A3119" s="37">
        <v>42831.15625</v>
      </c>
      <c r="B3119" s="35" t="s">
        <v>654</v>
      </c>
      <c r="C3119" s="35" t="s">
        <v>655</v>
      </c>
      <c r="D3119" s="39">
        <v>84.790000915527344</v>
      </c>
      <c r="E3119" s="39">
        <v>74.901481628417969</v>
      </c>
      <c r="F3119" s="41">
        <v>755555</v>
      </c>
      <c r="G3119" s="35" t="s">
        <v>682</v>
      </c>
      <c r="H3119" s="35" t="s">
        <v>115</v>
      </c>
    </row>
    <row r="3120" spans="1:8">
      <c r="A3120" s="37">
        <v>42832.15625</v>
      </c>
      <c r="B3120" s="35" t="s">
        <v>654</v>
      </c>
      <c r="C3120" s="35" t="s">
        <v>655</v>
      </c>
      <c r="D3120" s="39">
        <v>88.55999755859375</v>
      </c>
      <c r="E3120" s="39">
        <v>78.231803894042969</v>
      </c>
      <c r="F3120" s="41">
        <v>2298020</v>
      </c>
      <c r="G3120" s="35" t="s">
        <v>682</v>
      </c>
      <c r="H3120" s="35" t="s">
        <v>115</v>
      </c>
    </row>
    <row r="3121" spans="1:8">
      <c r="A3121" s="37">
        <v>42835.15625</v>
      </c>
      <c r="B3121" s="35" t="s">
        <v>654</v>
      </c>
      <c r="C3121" s="35" t="s">
        <v>655</v>
      </c>
      <c r="D3121" s="39">
        <v>85.790000915527344</v>
      </c>
      <c r="E3121" s="39">
        <v>75.784843444824219</v>
      </c>
      <c r="F3121" s="41">
        <v>1570180</v>
      </c>
      <c r="G3121" s="35" t="s">
        <v>682</v>
      </c>
      <c r="H3121" s="35" t="s">
        <v>115</v>
      </c>
    </row>
    <row r="3122" spans="1:8">
      <c r="A3122" s="37">
        <v>42836.15625</v>
      </c>
      <c r="B3122" s="35" t="s">
        <v>654</v>
      </c>
      <c r="C3122" s="35" t="s">
        <v>655</v>
      </c>
      <c r="D3122" s="39">
        <v>85.290000915527344</v>
      </c>
      <c r="E3122" s="39">
        <v>75.343170166015625</v>
      </c>
      <c r="F3122" s="41">
        <v>1513645</v>
      </c>
      <c r="G3122" s="35" t="s">
        <v>682</v>
      </c>
      <c r="H3122" s="35" t="s">
        <v>115</v>
      </c>
    </row>
    <row r="3123" spans="1:8">
      <c r="A3123" s="37">
        <v>42837.15625</v>
      </c>
      <c r="B3123" s="35" t="s">
        <v>654</v>
      </c>
      <c r="C3123" s="35" t="s">
        <v>655</v>
      </c>
      <c r="D3123" s="39">
        <v>85.319999694824219</v>
      </c>
      <c r="E3123" s="39">
        <v>75.369667053222656</v>
      </c>
      <c r="F3123" s="41">
        <v>946285</v>
      </c>
      <c r="G3123" s="35" t="s">
        <v>682</v>
      </c>
      <c r="H3123" s="35" t="s">
        <v>115</v>
      </c>
    </row>
    <row r="3124" spans="1:8">
      <c r="A3124" s="37">
        <v>42838.15625</v>
      </c>
      <c r="B3124" s="35" t="s">
        <v>654</v>
      </c>
      <c r="C3124" s="35" t="s">
        <v>655</v>
      </c>
      <c r="D3124" s="39">
        <v>85.260002136230469</v>
      </c>
      <c r="E3124" s="39">
        <v>75.316658020019531</v>
      </c>
      <c r="F3124" s="41">
        <v>1088475</v>
      </c>
      <c r="G3124" s="35" t="s">
        <v>682</v>
      </c>
      <c r="H3124" s="35" t="s">
        <v>115</v>
      </c>
    </row>
    <row r="3125" spans="1:8">
      <c r="A3125" s="37">
        <v>42842.15625</v>
      </c>
      <c r="B3125" s="35" t="s">
        <v>654</v>
      </c>
      <c r="C3125" s="35" t="s">
        <v>655</v>
      </c>
      <c r="D3125" s="39">
        <v>86.269996643066406</v>
      </c>
      <c r="E3125" s="39">
        <v>76.208854675292969</v>
      </c>
      <c r="F3125" s="41">
        <v>1063640</v>
      </c>
      <c r="G3125" s="35" t="s">
        <v>682</v>
      </c>
      <c r="H3125" s="35" t="s">
        <v>115</v>
      </c>
    </row>
    <row r="3126" spans="1:8">
      <c r="A3126" s="37">
        <v>42843.15625</v>
      </c>
      <c r="B3126" s="35" t="s">
        <v>654</v>
      </c>
      <c r="C3126" s="35" t="s">
        <v>655</v>
      </c>
      <c r="D3126" s="39">
        <v>86.050003051757813</v>
      </c>
      <c r="E3126" s="39">
        <v>76.014541625976563</v>
      </c>
      <c r="F3126" s="41">
        <v>1781220</v>
      </c>
      <c r="G3126" s="35" t="s">
        <v>682</v>
      </c>
      <c r="H3126" s="35" t="s">
        <v>115</v>
      </c>
    </row>
    <row r="3127" spans="1:8">
      <c r="A3127" s="37">
        <v>42844.15625</v>
      </c>
      <c r="B3127" s="35" t="s">
        <v>654</v>
      </c>
      <c r="C3127" s="35" t="s">
        <v>655</v>
      </c>
      <c r="D3127" s="39">
        <v>84.410003662109375</v>
      </c>
      <c r="E3127" s="39">
        <v>74.565780639648438</v>
      </c>
      <c r="F3127" s="41">
        <v>857990</v>
      </c>
      <c r="G3127" s="35" t="s">
        <v>682</v>
      </c>
      <c r="H3127" s="35" t="s">
        <v>115</v>
      </c>
    </row>
    <row r="3128" spans="1:8">
      <c r="A3128" s="37">
        <v>42845.15625</v>
      </c>
      <c r="B3128" s="35" t="s">
        <v>654</v>
      </c>
      <c r="C3128" s="35" t="s">
        <v>655</v>
      </c>
      <c r="D3128" s="39">
        <v>85.25</v>
      </c>
      <c r="E3128" s="39">
        <v>75.307823181152344</v>
      </c>
      <c r="F3128" s="41">
        <v>832760</v>
      </c>
      <c r="G3128" s="35" t="s">
        <v>682</v>
      </c>
      <c r="H3128" s="35" t="s">
        <v>115</v>
      </c>
    </row>
    <row r="3129" spans="1:8">
      <c r="A3129" s="37">
        <v>42846.15625</v>
      </c>
      <c r="B3129" s="35" t="s">
        <v>654</v>
      </c>
      <c r="C3129" s="35" t="s">
        <v>655</v>
      </c>
      <c r="D3129" s="39">
        <v>84.910003662109375</v>
      </c>
      <c r="E3129" s="39">
        <v>75.007476806640625</v>
      </c>
      <c r="F3129" s="41">
        <v>875765</v>
      </c>
      <c r="G3129" s="35" t="s">
        <v>682</v>
      </c>
      <c r="H3129" s="35" t="s">
        <v>115</v>
      </c>
    </row>
    <row r="3130" spans="1:8">
      <c r="A3130" s="37">
        <v>42849.15625</v>
      </c>
      <c r="B3130" s="35" t="s">
        <v>654</v>
      </c>
      <c r="C3130" s="35" t="s">
        <v>655</v>
      </c>
      <c r="D3130" s="39">
        <v>85.819999694824219</v>
      </c>
      <c r="E3130" s="39">
        <v>75.811355590820313</v>
      </c>
      <c r="F3130" s="41">
        <v>914990</v>
      </c>
      <c r="G3130" s="35" t="s">
        <v>682</v>
      </c>
      <c r="H3130" s="35" t="s">
        <v>115</v>
      </c>
    </row>
    <row r="3131" spans="1:8">
      <c r="A3131" s="37">
        <v>42850.15625</v>
      </c>
      <c r="B3131" s="35" t="s">
        <v>654</v>
      </c>
      <c r="C3131" s="35" t="s">
        <v>655</v>
      </c>
      <c r="D3131" s="39">
        <v>87.290000915527344</v>
      </c>
      <c r="E3131" s="39">
        <v>77.109916687011719</v>
      </c>
      <c r="F3131" s="41">
        <v>1312970</v>
      </c>
      <c r="G3131" s="35" t="s">
        <v>682</v>
      </c>
      <c r="H3131" s="35" t="s">
        <v>115</v>
      </c>
    </row>
    <row r="3132" spans="1:8">
      <c r="A3132" s="37">
        <v>42851.15625</v>
      </c>
      <c r="B3132" s="35" t="s">
        <v>654</v>
      </c>
      <c r="C3132" s="35" t="s">
        <v>655</v>
      </c>
      <c r="D3132" s="39">
        <v>91.709999084472656</v>
      </c>
      <c r="E3132" s="39">
        <v>81.014427185058594</v>
      </c>
      <c r="F3132" s="41">
        <v>7844750</v>
      </c>
      <c r="G3132" s="35" t="s">
        <v>682</v>
      </c>
      <c r="H3132" s="35" t="s">
        <v>115</v>
      </c>
    </row>
    <row r="3133" spans="1:8">
      <c r="A3133" s="37">
        <v>42852.15625</v>
      </c>
      <c r="B3133" s="35" t="s">
        <v>654</v>
      </c>
      <c r="C3133" s="35" t="s">
        <v>655</v>
      </c>
      <c r="D3133" s="39">
        <v>92.620002746582031</v>
      </c>
      <c r="E3133" s="39">
        <v>81.81829833984375</v>
      </c>
      <c r="F3133" s="41">
        <v>2509650</v>
      </c>
      <c r="G3133" s="35" t="s">
        <v>682</v>
      </c>
      <c r="H3133" s="35" t="s">
        <v>115</v>
      </c>
    </row>
    <row r="3134" spans="1:8">
      <c r="A3134" s="37">
        <v>42853.145833333336</v>
      </c>
      <c r="B3134" s="35" t="s">
        <v>654</v>
      </c>
      <c r="C3134" s="35" t="s">
        <v>655</v>
      </c>
      <c r="D3134" s="39">
        <v>91.769996643066406</v>
      </c>
      <c r="E3134" s="39">
        <v>81.06744384765625</v>
      </c>
      <c r="F3134" s="41">
        <v>1391010</v>
      </c>
      <c r="G3134" s="35" t="s">
        <v>682</v>
      </c>
      <c r="H3134" s="35" t="s">
        <v>115</v>
      </c>
    </row>
    <row r="3135" spans="1:8">
      <c r="A3135" s="37">
        <v>42857.15625</v>
      </c>
      <c r="B3135" s="35" t="s">
        <v>654</v>
      </c>
      <c r="C3135" s="35" t="s">
        <v>655</v>
      </c>
      <c r="D3135" s="39">
        <v>92.639999389648438</v>
      </c>
      <c r="E3135" s="39">
        <v>81.835975646972656</v>
      </c>
      <c r="F3135" s="41">
        <v>1465030</v>
      </c>
      <c r="G3135" s="35" t="s">
        <v>682</v>
      </c>
      <c r="H3135" s="35" t="s">
        <v>115</v>
      </c>
    </row>
    <row r="3136" spans="1:8">
      <c r="A3136" s="37">
        <v>42858.15625</v>
      </c>
      <c r="B3136" s="35" t="s">
        <v>654</v>
      </c>
      <c r="C3136" s="35" t="s">
        <v>655</v>
      </c>
      <c r="D3136" s="39">
        <v>94.120002746582031</v>
      </c>
      <c r="E3136" s="39">
        <v>83.143379211425781</v>
      </c>
      <c r="F3136" s="41">
        <v>2515150</v>
      </c>
      <c r="G3136" s="35" t="s">
        <v>682</v>
      </c>
      <c r="H3136" s="35" t="s">
        <v>115</v>
      </c>
    </row>
    <row r="3137" spans="1:8">
      <c r="A3137" s="37">
        <v>42859.15625</v>
      </c>
      <c r="B3137" s="35" t="s">
        <v>654</v>
      </c>
      <c r="C3137" s="35" t="s">
        <v>655</v>
      </c>
      <c r="D3137" s="39">
        <v>95.790000915527344</v>
      </c>
      <c r="E3137" s="39">
        <v>84.618614196777344</v>
      </c>
      <c r="F3137" s="41">
        <v>1469410</v>
      </c>
      <c r="G3137" s="35" t="s">
        <v>682</v>
      </c>
      <c r="H3137" s="35" t="s">
        <v>115</v>
      </c>
    </row>
    <row r="3138" spans="1:8">
      <c r="A3138" s="37">
        <v>42860.15625</v>
      </c>
      <c r="B3138" s="35" t="s">
        <v>654</v>
      </c>
      <c r="C3138" s="35" t="s">
        <v>655</v>
      </c>
      <c r="D3138" s="39">
        <v>94.30999755859375</v>
      </c>
      <c r="E3138" s="39">
        <v>83.311195373535156</v>
      </c>
      <c r="F3138" s="41">
        <v>1909265</v>
      </c>
      <c r="G3138" s="35" t="s">
        <v>682</v>
      </c>
      <c r="H3138" s="35" t="s">
        <v>115</v>
      </c>
    </row>
    <row r="3139" spans="1:8">
      <c r="A3139" s="37">
        <v>42863.15625</v>
      </c>
      <c r="B3139" s="35" t="s">
        <v>654</v>
      </c>
      <c r="C3139" s="35" t="s">
        <v>655</v>
      </c>
      <c r="D3139" s="39">
        <v>97.80999755859375</v>
      </c>
      <c r="E3139" s="39">
        <v>86.403045654296875</v>
      </c>
      <c r="F3139" s="41">
        <v>7752755</v>
      </c>
      <c r="G3139" s="35" t="s">
        <v>682</v>
      </c>
      <c r="H3139" s="35" t="s">
        <v>115</v>
      </c>
    </row>
    <row r="3140" spans="1:8">
      <c r="A3140" s="37">
        <v>42864.15625</v>
      </c>
      <c r="B3140" s="35" t="s">
        <v>654</v>
      </c>
      <c r="C3140" s="35" t="s">
        <v>655</v>
      </c>
      <c r="D3140" s="39">
        <v>99.290000915527344</v>
      </c>
      <c r="E3140" s="39">
        <v>87.710426330566406</v>
      </c>
      <c r="F3140" s="41">
        <v>2684590</v>
      </c>
      <c r="G3140" s="35" t="s">
        <v>682</v>
      </c>
      <c r="H3140" s="35" t="s">
        <v>115</v>
      </c>
    </row>
    <row r="3141" spans="1:8">
      <c r="A3141" s="37">
        <v>42865.15625</v>
      </c>
      <c r="B3141" s="35" t="s">
        <v>654</v>
      </c>
      <c r="C3141" s="35" t="s">
        <v>655</v>
      </c>
      <c r="D3141" s="39">
        <v>105.45999908447266</v>
      </c>
      <c r="E3141" s="39">
        <v>93.160858154296875</v>
      </c>
      <c r="F3141" s="41">
        <v>4868865</v>
      </c>
      <c r="G3141" s="35" t="s">
        <v>682</v>
      </c>
      <c r="H3141" s="35" t="s">
        <v>115</v>
      </c>
    </row>
    <row r="3142" spans="1:8">
      <c r="A3142" s="37">
        <v>42866.15625</v>
      </c>
      <c r="B3142" s="35" t="s">
        <v>654</v>
      </c>
      <c r="C3142" s="35" t="s">
        <v>655</v>
      </c>
      <c r="D3142" s="39">
        <v>101.94999694824219</v>
      </c>
      <c r="E3142" s="39">
        <v>90.060203552246094</v>
      </c>
      <c r="F3142" s="41">
        <v>2321275</v>
      </c>
      <c r="G3142" s="35" t="s">
        <v>682</v>
      </c>
      <c r="H3142" s="35" t="s">
        <v>115</v>
      </c>
    </row>
    <row r="3143" spans="1:8">
      <c r="A3143" s="37">
        <v>42867.15625</v>
      </c>
      <c r="B3143" s="35" t="s">
        <v>654</v>
      </c>
      <c r="C3143" s="35" t="s">
        <v>655</v>
      </c>
      <c r="D3143" s="39">
        <v>105.48000335693359</v>
      </c>
      <c r="E3143" s="39">
        <v>93.178504943847656</v>
      </c>
      <c r="F3143" s="41">
        <v>5021130</v>
      </c>
      <c r="G3143" s="35" t="s">
        <v>682</v>
      </c>
      <c r="H3143" s="35" t="s">
        <v>115</v>
      </c>
    </row>
    <row r="3144" spans="1:8">
      <c r="A3144" s="37">
        <v>42870.15625</v>
      </c>
      <c r="B3144" s="35" t="s">
        <v>654</v>
      </c>
      <c r="C3144" s="35" t="s">
        <v>655</v>
      </c>
      <c r="D3144" s="39">
        <v>104.54000091552734</v>
      </c>
      <c r="E3144" s="39">
        <v>92.348159790039063</v>
      </c>
      <c r="F3144" s="41">
        <v>1359895</v>
      </c>
      <c r="G3144" s="35" t="s">
        <v>682</v>
      </c>
      <c r="H3144" s="35" t="s">
        <v>115</v>
      </c>
    </row>
    <row r="3145" spans="1:8">
      <c r="A3145" s="37">
        <v>42871.15625</v>
      </c>
      <c r="B3145" s="35" t="s">
        <v>654</v>
      </c>
      <c r="C3145" s="35" t="s">
        <v>655</v>
      </c>
      <c r="D3145" s="39">
        <v>105.83000183105469</v>
      </c>
      <c r="E3145" s="39">
        <v>93.487709045410156</v>
      </c>
      <c r="F3145" s="41">
        <v>3318460</v>
      </c>
      <c r="G3145" s="35" t="s">
        <v>682</v>
      </c>
      <c r="H3145" s="35" t="s">
        <v>115</v>
      </c>
    </row>
    <row r="3146" spans="1:8">
      <c r="A3146" s="37">
        <v>42872.15625</v>
      </c>
      <c r="B3146" s="35" t="s">
        <v>654</v>
      </c>
      <c r="C3146" s="35" t="s">
        <v>655</v>
      </c>
      <c r="D3146" s="39">
        <v>104.61000061035156</v>
      </c>
      <c r="E3146" s="39">
        <v>92.409996032714844</v>
      </c>
      <c r="F3146" s="41">
        <v>2231845</v>
      </c>
      <c r="G3146" s="35" t="s">
        <v>682</v>
      </c>
      <c r="H3146" s="35" t="s">
        <v>115</v>
      </c>
    </row>
    <row r="3147" spans="1:8">
      <c r="A3147" s="37">
        <v>42873.15625</v>
      </c>
      <c r="B3147" s="35" t="s">
        <v>654</v>
      </c>
      <c r="C3147" s="35" t="s">
        <v>655</v>
      </c>
      <c r="D3147" s="39">
        <v>102.69999694824219</v>
      </c>
      <c r="E3147" s="39">
        <v>90.722740173339844</v>
      </c>
      <c r="F3147" s="41">
        <v>2724430</v>
      </c>
      <c r="G3147" s="35" t="s">
        <v>682</v>
      </c>
      <c r="H3147" s="35" t="s">
        <v>115</v>
      </c>
    </row>
    <row r="3148" spans="1:8">
      <c r="A3148" s="37">
        <v>42874.15625</v>
      </c>
      <c r="B3148" s="35" t="s">
        <v>654</v>
      </c>
      <c r="C3148" s="35" t="s">
        <v>655</v>
      </c>
      <c r="D3148" s="39">
        <v>99.910003662109375</v>
      </c>
      <c r="E3148" s="39">
        <v>88.25811767578125</v>
      </c>
      <c r="F3148" s="41">
        <v>1823390</v>
      </c>
      <c r="G3148" s="35" t="s">
        <v>682</v>
      </c>
      <c r="H3148" s="35" t="s">
        <v>115</v>
      </c>
    </row>
    <row r="3149" spans="1:8">
      <c r="A3149" s="37">
        <v>42877.15625</v>
      </c>
      <c r="B3149" s="35" t="s">
        <v>654</v>
      </c>
      <c r="C3149" s="35" t="s">
        <v>655</v>
      </c>
      <c r="D3149" s="39">
        <v>97.430000305175781</v>
      </c>
      <c r="E3149" s="39">
        <v>86.067359924316406</v>
      </c>
      <c r="F3149" s="41">
        <v>2304420</v>
      </c>
      <c r="G3149" s="35" t="s">
        <v>682</v>
      </c>
      <c r="H3149" s="35" t="s">
        <v>115</v>
      </c>
    </row>
    <row r="3150" spans="1:8">
      <c r="A3150" s="37">
        <v>42878.15625</v>
      </c>
      <c r="B3150" s="35" t="s">
        <v>654</v>
      </c>
      <c r="C3150" s="35" t="s">
        <v>655</v>
      </c>
      <c r="D3150" s="39">
        <v>98.19000244140625</v>
      </c>
      <c r="E3150" s="39">
        <v>86.738716125488281</v>
      </c>
      <c r="F3150" s="41">
        <v>2732385</v>
      </c>
      <c r="G3150" s="35" t="s">
        <v>682</v>
      </c>
      <c r="H3150" s="35" t="s">
        <v>115</v>
      </c>
    </row>
    <row r="3151" spans="1:8">
      <c r="A3151" s="37">
        <v>42879.15625</v>
      </c>
      <c r="B3151" s="35" t="s">
        <v>654</v>
      </c>
      <c r="C3151" s="35" t="s">
        <v>655</v>
      </c>
      <c r="D3151" s="39">
        <v>96.379997253417969</v>
      </c>
      <c r="E3151" s="39">
        <v>85.139785766601563</v>
      </c>
      <c r="F3151" s="41">
        <v>1592680</v>
      </c>
      <c r="G3151" s="35" t="s">
        <v>682</v>
      </c>
      <c r="H3151" s="35" t="s">
        <v>115</v>
      </c>
    </row>
    <row r="3152" spans="1:8">
      <c r="A3152" s="37">
        <v>42880.15625</v>
      </c>
      <c r="B3152" s="35" t="s">
        <v>654</v>
      </c>
      <c r="C3152" s="35" t="s">
        <v>655</v>
      </c>
      <c r="D3152" s="39">
        <v>98.470001220703125</v>
      </c>
      <c r="E3152" s="39">
        <v>86.986061096191406</v>
      </c>
      <c r="F3152" s="41">
        <v>1753660</v>
      </c>
      <c r="G3152" s="35" t="s">
        <v>682</v>
      </c>
      <c r="H3152" s="35" t="s">
        <v>115</v>
      </c>
    </row>
    <row r="3153" spans="1:8">
      <c r="A3153" s="37">
        <v>42881.15625</v>
      </c>
      <c r="B3153" s="35" t="s">
        <v>654</v>
      </c>
      <c r="C3153" s="35" t="s">
        <v>655</v>
      </c>
      <c r="D3153" s="39">
        <v>100.05000305175781</v>
      </c>
      <c r="E3153" s="39">
        <v>88.381782531738281</v>
      </c>
      <c r="F3153" s="41">
        <v>1541190</v>
      </c>
      <c r="G3153" s="35" t="s">
        <v>682</v>
      </c>
      <c r="H3153" s="35" t="s">
        <v>115</v>
      </c>
    </row>
    <row r="3154" spans="1:8">
      <c r="A3154" s="37">
        <v>42884.15625</v>
      </c>
      <c r="B3154" s="35" t="s">
        <v>654</v>
      </c>
      <c r="C3154" s="35" t="s">
        <v>655</v>
      </c>
      <c r="D3154" s="39">
        <v>102.95999908447266</v>
      </c>
      <c r="E3154" s="39">
        <v>90.952407836914063</v>
      </c>
      <c r="F3154" s="41">
        <v>1784320</v>
      </c>
      <c r="G3154" s="35" t="s">
        <v>682</v>
      </c>
      <c r="H3154" s="35" t="s">
        <v>115</v>
      </c>
    </row>
    <row r="3155" spans="1:8">
      <c r="A3155" s="37">
        <v>42885.15625</v>
      </c>
      <c r="B3155" s="35" t="s">
        <v>654</v>
      </c>
      <c r="C3155" s="35" t="s">
        <v>655</v>
      </c>
      <c r="D3155" s="39">
        <v>104.81999969482422</v>
      </c>
      <c r="E3155" s="39">
        <v>92.595512390136719</v>
      </c>
      <c r="F3155" s="41">
        <v>1448635</v>
      </c>
      <c r="G3155" s="35" t="s">
        <v>682</v>
      </c>
      <c r="H3155" s="35" t="s">
        <v>115</v>
      </c>
    </row>
    <row r="3156" spans="1:8">
      <c r="A3156" s="37">
        <v>42886.15625</v>
      </c>
      <c r="B3156" s="35" t="s">
        <v>654</v>
      </c>
      <c r="C3156" s="35" t="s">
        <v>655</v>
      </c>
      <c r="D3156" s="39">
        <v>104.51000213623047</v>
      </c>
      <c r="E3156" s="39">
        <v>92.3216552734375</v>
      </c>
      <c r="F3156" s="41">
        <v>1611855</v>
      </c>
      <c r="G3156" s="35" t="s">
        <v>682</v>
      </c>
      <c r="H3156" s="35" t="s">
        <v>115</v>
      </c>
    </row>
    <row r="3157" spans="1:8">
      <c r="A3157" s="37">
        <v>42887.15625</v>
      </c>
      <c r="B3157" s="35" t="s">
        <v>654</v>
      </c>
      <c r="C3157" s="35" t="s">
        <v>655</v>
      </c>
      <c r="D3157" s="39">
        <v>107.36000061035156</v>
      </c>
      <c r="E3157" s="39">
        <v>94.839256286621094</v>
      </c>
      <c r="F3157" s="41">
        <v>2506165</v>
      </c>
      <c r="G3157" s="35" t="s">
        <v>682</v>
      </c>
      <c r="H3157" s="35" t="s">
        <v>115</v>
      </c>
    </row>
    <row r="3158" spans="1:8">
      <c r="A3158" s="37">
        <v>42888.15625</v>
      </c>
      <c r="B3158" s="35" t="s">
        <v>654</v>
      </c>
      <c r="C3158" s="35" t="s">
        <v>655</v>
      </c>
      <c r="D3158" s="39">
        <v>108.11000061035156</v>
      </c>
      <c r="E3158" s="39">
        <v>95.501808166503906</v>
      </c>
      <c r="F3158" s="41">
        <v>1293460</v>
      </c>
      <c r="G3158" s="35" t="s">
        <v>682</v>
      </c>
      <c r="H3158" s="35" t="s">
        <v>115</v>
      </c>
    </row>
    <row r="3159" spans="1:8">
      <c r="A3159" s="37">
        <v>42891.15625</v>
      </c>
      <c r="B3159" s="35" t="s">
        <v>654</v>
      </c>
      <c r="C3159" s="35" t="s">
        <v>655</v>
      </c>
      <c r="D3159" s="39">
        <v>111.19000244140625</v>
      </c>
      <c r="E3159" s="39">
        <v>98.222625732421875</v>
      </c>
      <c r="F3159" s="41">
        <v>2044850</v>
      </c>
      <c r="G3159" s="35" t="s">
        <v>682</v>
      </c>
      <c r="H3159" s="35" t="s">
        <v>115</v>
      </c>
    </row>
    <row r="3160" spans="1:8">
      <c r="A3160" s="37">
        <v>42892.15625</v>
      </c>
      <c r="B3160" s="35" t="s">
        <v>654</v>
      </c>
      <c r="C3160" s="35" t="s">
        <v>655</v>
      </c>
      <c r="D3160" s="39">
        <v>109.73000335693359</v>
      </c>
      <c r="E3160" s="39">
        <v>96.932899475097656</v>
      </c>
      <c r="F3160" s="41">
        <v>3958685</v>
      </c>
      <c r="G3160" s="35" t="s">
        <v>682</v>
      </c>
      <c r="H3160" s="35" t="s">
        <v>115</v>
      </c>
    </row>
    <row r="3161" spans="1:8">
      <c r="A3161" s="37">
        <v>42893.15625</v>
      </c>
      <c r="B3161" s="35" t="s">
        <v>654</v>
      </c>
      <c r="C3161" s="35" t="s">
        <v>655</v>
      </c>
      <c r="D3161" s="39">
        <v>107.12000274658203</v>
      </c>
      <c r="E3161" s="39">
        <v>94.627265930175781</v>
      </c>
      <c r="F3161" s="41">
        <v>2895210</v>
      </c>
      <c r="G3161" s="35" t="s">
        <v>682</v>
      </c>
      <c r="H3161" s="35" t="s">
        <v>115</v>
      </c>
    </row>
    <row r="3162" spans="1:8">
      <c r="A3162" s="37">
        <v>42894.15625</v>
      </c>
      <c r="B3162" s="35" t="s">
        <v>654</v>
      </c>
      <c r="C3162" s="35" t="s">
        <v>655</v>
      </c>
      <c r="D3162" s="39">
        <v>112.98000335693359</v>
      </c>
      <c r="E3162" s="39">
        <v>99.803863525390625</v>
      </c>
      <c r="F3162" s="41">
        <v>4405270</v>
      </c>
      <c r="G3162" s="35" t="s">
        <v>682</v>
      </c>
      <c r="H3162" s="35" t="s">
        <v>115</v>
      </c>
    </row>
    <row r="3163" spans="1:8">
      <c r="A3163" s="37">
        <v>42895.15625</v>
      </c>
      <c r="B3163" s="35" t="s">
        <v>654</v>
      </c>
      <c r="C3163" s="35" t="s">
        <v>655</v>
      </c>
      <c r="D3163" s="39">
        <v>114.69999694824219</v>
      </c>
      <c r="E3163" s="39">
        <v>101.32327270507813</v>
      </c>
      <c r="F3163" s="41">
        <v>3121270</v>
      </c>
      <c r="G3163" s="35" t="s">
        <v>682</v>
      </c>
      <c r="H3163" s="35" t="s">
        <v>115</v>
      </c>
    </row>
    <row r="3164" spans="1:8">
      <c r="A3164" s="37">
        <v>42898.15625</v>
      </c>
      <c r="B3164" s="35" t="s">
        <v>654</v>
      </c>
      <c r="C3164" s="35" t="s">
        <v>655</v>
      </c>
      <c r="D3164" s="39">
        <v>111.08000183105469</v>
      </c>
      <c r="E3164" s="39">
        <v>98.12542724609375</v>
      </c>
      <c r="F3164" s="41">
        <v>1256820</v>
      </c>
      <c r="G3164" s="35" t="s">
        <v>682</v>
      </c>
      <c r="H3164" s="35" t="s">
        <v>115</v>
      </c>
    </row>
    <row r="3165" spans="1:8">
      <c r="A3165" s="37">
        <v>42899.15625</v>
      </c>
      <c r="B3165" s="35" t="s">
        <v>654</v>
      </c>
      <c r="C3165" s="35" t="s">
        <v>655</v>
      </c>
      <c r="D3165" s="39">
        <v>110.62000274658203</v>
      </c>
      <c r="E3165" s="39">
        <v>97.719078063964844</v>
      </c>
      <c r="F3165" s="41">
        <v>1316090</v>
      </c>
      <c r="G3165" s="35" t="s">
        <v>682</v>
      </c>
      <c r="H3165" s="35" t="s">
        <v>115</v>
      </c>
    </row>
    <row r="3166" spans="1:8">
      <c r="A3166" s="37">
        <v>42900.15625</v>
      </c>
      <c r="B3166" s="35" t="s">
        <v>654</v>
      </c>
      <c r="C3166" s="35" t="s">
        <v>655</v>
      </c>
      <c r="D3166" s="39">
        <v>113.13999938964844</v>
      </c>
      <c r="E3166" s="39">
        <v>99.945182800292969</v>
      </c>
      <c r="F3166" s="41">
        <v>2339595</v>
      </c>
      <c r="G3166" s="35" t="s">
        <v>682</v>
      </c>
      <c r="H3166" s="35" t="s">
        <v>115</v>
      </c>
    </row>
    <row r="3167" spans="1:8">
      <c r="A3167" s="37">
        <v>42901.15625</v>
      </c>
      <c r="B3167" s="35" t="s">
        <v>654</v>
      </c>
      <c r="C3167" s="35" t="s">
        <v>655</v>
      </c>
      <c r="D3167" s="39">
        <v>113.26000213623047</v>
      </c>
      <c r="E3167" s="39">
        <v>100.05118560791016</v>
      </c>
      <c r="F3167" s="41">
        <v>1329310</v>
      </c>
      <c r="G3167" s="35" t="s">
        <v>682</v>
      </c>
      <c r="H3167" s="35" t="s">
        <v>115</v>
      </c>
    </row>
    <row r="3168" spans="1:8">
      <c r="A3168" s="37">
        <v>42902.15625</v>
      </c>
      <c r="B3168" s="35" t="s">
        <v>654</v>
      </c>
      <c r="C3168" s="35" t="s">
        <v>655</v>
      </c>
      <c r="D3168" s="39">
        <v>113.66999816894531</v>
      </c>
      <c r="E3168" s="39">
        <v>100.41337585449219</v>
      </c>
      <c r="F3168" s="41">
        <v>3346280</v>
      </c>
      <c r="G3168" s="35" t="s">
        <v>682</v>
      </c>
      <c r="H3168" s="35" t="s">
        <v>115</v>
      </c>
    </row>
    <row r="3169" spans="1:8">
      <c r="A3169" s="37">
        <v>42905.15625</v>
      </c>
      <c r="B3169" s="35" t="s">
        <v>654</v>
      </c>
      <c r="C3169" s="35" t="s">
        <v>655</v>
      </c>
      <c r="D3169" s="39">
        <v>114.16000366210938</v>
      </c>
      <c r="E3169" s="39">
        <v>100.84622955322266</v>
      </c>
      <c r="F3169" s="41">
        <v>1327705</v>
      </c>
      <c r="G3169" s="35" t="s">
        <v>682</v>
      </c>
      <c r="H3169" s="35" t="s">
        <v>115</v>
      </c>
    </row>
    <row r="3170" spans="1:8">
      <c r="A3170" s="37">
        <v>42906.15625</v>
      </c>
      <c r="B3170" s="35" t="s">
        <v>654</v>
      </c>
      <c r="C3170" s="35" t="s">
        <v>655</v>
      </c>
      <c r="D3170" s="39">
        <v>115.31999969482422</v>
      </c>
      <c r="E3170" s="39">
        <v>101.87095642089844</v>
      </c>
      <c r="F3170" s="41">
        <v>4677485</v>
      </c>
      <c r="G3170" s="35" t="s">
        <v>682</v>
      </c>
      <c r="H3170" s="35" t="s">
        <v>115</v>
      </c>
    </row>
    <row r="3171" spans="1:8">
      <c r="A3171" s="37">
        <v>42907.15625</v>
      </c>
      <c r="B3171" s="35" t="s">
        <v>654</v>
      </c>
      <c r="C3171" s="35" t="s">
        <v>655</v>
      </c>
      <c r="D3171" s="39">
        <v>116.26999664306641</v>
      </c>
      <c r="E3171" s="39">
        <v>102.71015167236328</v>
      </c>
      <c r="F3171" s="41">
        <v>2677790</v>
      </c>
      <c r="G3171" s="35" t="s">
        <v>682</v>
      </c>
      <c r="H3171" s="35" t="s">
        <v>115</v>
      </c>
    </row>
    <row r="3172" spans="1:8">
      <c r="A3172" s="37">
        <v>42908.15625</v>
      </c>
      <c r="B3172" s="35" t="s">
        <v>654</v>
      </c>
      <c r="C3172" s="35" t="s">
        <v>655</v>
      </c>
      <c r="D3172" s="39">
        <v>114.58000183105469</v>
      </c>
      <c r="E3172" s="39">
        <v>101.21725463867188</v>
      </c>
      <c r="F3172" s="41">
        <v>1738500</v>
      </c>
      <c r="G3172" s="35" t="s">
        <v>682</v>
      </c>
      <c r="H3172" s="35" t="s">
        <v>115</v>
      </c>
    </row>
    <row r="3173" spans="1:8">
      <c r="A3173" s="37">
        <v>42909.15625</v>
      </c>
      <c r="B3173" s="35" t="s">
        <v>654</v>
      </c>
      <c r="C3173" s="35" t="s">
        <v>655</v>
      </c>
      <c r="D3173" s="39">
        <v>112.72000122070313</v>
      </c>
      <c r="E3173" s="39">
        <v>99.574172973632813</v>
      </c>
      <c r="F3173" s="41">
        <v>1107150</v>
      </c>
      <c r="G3173" s="35" t="s">
        <v>682</v>
      </c>
      <c r="H3173" s="35" t="s">
        <v>115</v>
      </c>
    </row>
    <row r="3174" spans="1:8">
      <c r="A3174" s="37">
        <v>42913.15625</v>
      </c>
      <c r="B3174" s="35" t="s">
        <v>654</v>
      </c>
      <c r="C3174" s="35" t="s">
        <v>655</v>
      </c>
      <c r="D3174" s="39">
        <v>111.70999908447266</v>
      </c>
      <c r="E3174" s="39">
        <v>98.681976318359375</v>
      </c>
      <c r="F3174" s="41">
        <v>1270635</v>
      </c>
      <c r="G3174" s="35" t="s">
        <v>682</v>
      </c>
      <c r="H3174" s="35" t="s">
        <v>115</v>
      </c>
    </row>
    <row r="3175" spans="1:8">
      <c r="A3175" s="37">
        <v>42914.15625</v>
      </c>
      <c r="B3175" s="35" t="s">
        <v>654</v>
      </c>
      <c r="C3175" s="35" t="s">
        <v>655</v>
      </c>
      <c r="D3175" s="39">
        <v>115.45999908447266</v>
      </c>
      <c r="E3175" s="39">
        <v>101.99462127685547</v>
      </c>
      <c r="F3175" s="41">
        <v>5637075</v>
      </c>
      <c r="G3175" s="35" t="s">
        <v>682</v>
      </c>
      <c r="H3175" s="35" t="s">
        <v>115</v>
      </c>
    </row>
    <row r="3176" spans="1:8">
      <c r="A3176" s="37">
        <v>42915.15625</v>
      </c>
      <c r="B3176" s="35" t="s">
        <v>654</v>
      </c>
      <c r="C3176" s="35" t="s">
        <v>655</v>
      </c>
      <c r="D3176" s="39">
        <v>114.41999816894531</v>
      </c>
      <c r="E3176" s="39">
        <v>101.07590484619141</v>
      </c>
      <c r="F3176" s="41">
        <v>3824925</v>
      </c>
      <c r="G3176" s="35" t="s">
        <v>682</v>
      </c>
      <c r="H3176" s="35" t="s">
        <v>115</v>
      </c>
    </row>
    <row r="3177" spans="1:8">
      <c r="A3177" s="37">
        <v>42916.15625</v>
      </c>
      <c r="B3177" s="35" t="s">
        <v>654</v>
      </c>
      <c r="C3177" s="35" t="s">
        <v>655</v>
      </c>
      <c r="D3177" s="39">
        <v>115.48999786376953</v>
      </c>
      <c r="E3177" s="39">
        <v>102.02112579345703</v>
      </c>
      <c r="F3177" s="41">
        <v>1800385</v>
      </c>
      <c r="G3177" s="35" t="s">
        <v>682</v>
      </c>
      <c r="H3177" s="35" t="s">
        <v>115</v>
      </c>
    </row>
    <row r="3178" spans="1:8">
      <c r="A3178" s="37">
        <v>42919.15625</v>
      </c>
      <c r="B3178" s="35" t="s">
        <v>654</v>
      </c>
      <c r="C3178" s="35" t="s">
        <v>655</v>
      </c>
      <c r="D3178" s="39">
        <v>113.11000061035156</v>
      </c>
      <c r="E3178" s="39">
        <v>99.918670654296875</v>
      </c>
      <c r="F3178" s="41">
        <v>1346075</v>
      </c>
      <c r="G3178" s="35" t="s">
        <v>682</v>
      </c>
      <c r="H3178" s="35" t="s">
        <v>115</v>
      </c>
    </row>
    <row r="3179" spans="1:8">
      <c r="A3179" s="37">
        <v>42920.15625</v>
      </c>
      <c r="B3179" s="35" t="s">
        <v>654</v>
      </c>
      <c r="C3179" s="35" t="s">
        <v>655</v>
      </c>
      <c r="D3179" s="39">
        <v>113.04000091552734</v>
      </c>
      <c r="E3179" s="39">
        <v>99.856864929199219</v>
      </c>
      <c r="F3179" s="41">
        <v>1499260</v>
      </c>
      <c r="G3179" s="35" t="s">
        <v>682</v>
      </c>
      <c r="H3179" s="35" t="s">
        <v>115</v>
      </c>
    </row>
    <row r="3180" spans="1:8">
      <c r="A3180" s="37">
        <v>42921.15625</v>
      </c>
      <c r="B3180" s="35" t="s">
        <v>654</v>
      </c>
      <c r="C3180" s="35" t="s">
        <v>655</v>
      </c>
      <c r="D3180" s="39">
        <v>113.54000091552734</v>
      </c>
      <c r="E3180" s="39">
        <v>100.29853820800781</v>
      </c>
      <c r="F3180" s="41">
        <v>800040</v>
      </c>
      <c r="G3180" s="35" t="s">
        <v>682</v>
      </c>
      <c r="H3180" s="35" t="s">
        <v>115</v>
      </c>
    </row>
    <row r="3181" spans="1:8">
      <c r="A3181" s="37">
        <v>42922.15625</v>
      </c>
      <c r="B3181" s="35" t="s">
        <v>654</v>
      </c>
      <c r="C3181" s="35" t="s">
        <v>655</v>
      </c>
      <c r="D3181" s="39">
        <v>111.12999725341797</v>
      </c>
      <c r="E3181" s="39">
        <v>98.169609069824219</v>
      </c>
      <c r="F3181" s="41">
        <v>1148425</v>
      </c>
      <c r="G3181" s="35" t="s">
        <v>682</v>
      </c>
      <c r="H3181" s="35" t="s">
        <v>115</v>
      </c>
    </row>
    <row r="3182" spans="1:8">
      <c r="A3182" s="37">
        <v>42923.15625</v>
      </c>
      <c r="B3182" s="35" t="s">
        <v>654</v>
      </c>
      <c r="C3182" s="35" t="s">
        <v>655</v>
      </c>
      <c r="D3182" s="39">
        <v>111.44999694824219</v>
      </c>
      <c r="E3182" s="39">
        <v>98.452285766601563</v>
      </c>
      <c r="F3182" s="41">
        <v>1620215</v>
      </c>
      <c r="G3182" s="35" t="s">
        <v>682</v>
      </c>
      <c r="H3182" s="35" t="s">
        <v>115</v>
      </c>
    </row>
    <row r="3183" spans="1:8">
      <c r="A3183" s="37">
        <v>42926.15625</v>
      </c>
      <c r="B3183" s="35" t="s">
        <v>654</v>
      </c>
      <c r="C3183" s="35" t="s">
        <v>655</v>
      </c>
      <c r="D3183" s="39">
        <v>113.18000030517578</v>
      </c>
      <c r="E3183" s="39">
        <v>99.980522155761719</v>
      </c>
      <c r="F3183" s="41">
        <v>428635</v>
      </c>
      <c r="G3183" s="35" t="s">
        <v>682</v>
      </c>
      <c r="H3183" s="35" t="s">
        <v>115</v>
      </c>
    </row>
    <row r="3184" spans="1:8">
      <c r="A3184" s="37">
        <v>42927.15625</v>
      </c>
      <c r="B3184" s="35" t="s">
        <v>654</v>
      </c>
      <c r="C3184" s="35" t="s">
        <v>655</v>
      </c>
      <c r="D3184" s="39">
        <v>117.73999786376953</v>
      </c>
      <c r="E3184" s="39">
        <v>104.00870513916016</v>
      </c>
      <c r="F3184" s="41">
        <v>7763640</v>
      </c>
      <c r="G3184" s="35" t="s">
        <v>682</v>
      </c>
      <c r="H3184" s="35" t="s">
        <v>115</v>
      </c>
    </row>
    <row r="3185" spans="1:8">
      <c r="A3185" s="37">
        <v>42928.15625</v>
      </c>
      <c r="B3185" s="35" t="s">
        <v>654</v>
      </c>
      <c r="C3185" s="35" t="s">
        <v>655</v>
      </c>
      <c r="D3185" s="39">
        <v>115.73999786376953</v>
      </c>
      <c r="E3185" s="39">
        <v>102.24196624755859</v>
      </c>
      <c r="F3185" s="41">
        <v>2641910</v>
      </c>
      <c r="G3185" s="35" t="s">
        <v>682</v>
      </c>
      <c r="H3185" s="35" t="s">
        <v>115</v>
      </c>
    </row>
    <row r="3186" spans="1:8">
      <c r="A3186" s="37">
        <v>42929.15625</v>
      </c>
      <c r="B3186" s="35" t="s">
        <v>654</v>
      </c>
      <c r="C3186" s="35" t="s">
        <v>655</v>
      </c>
      <c r="D3186" s="39">
        <v>114.19999694824219</v>
      </c>
      <c r="E3186" s="39">
        <v>100.88156127929688</v>
      </c>
      <c r="F3186" s="41">
        <v>4054635</v>
      </c>
      <c r="G3186" s="35" t="s">
        <v>682</v>
      </c>
      <c r="H3186" s="35" t="s">
        <v>115</v>
      </c>
    </row>
    <row r="3187" spans="1:8">
      <c r="A3187" s="37">
        <v>42930.15625</v>
      </c>
      <c r="B3187" s="35" t="s">
        <v>654</v>
      </c>
      <c r="C3187" s="35" t="s">
        <v>655</v>
      </c>
      <c r="D3187" s="39">
        <v>112.58000183105469</v>
      </c>
      <c r="E3187" s="39">
        <v>99.450508117675781</v>
      </c>
      <c r="F3187" s="41">
        <v>2281210</v>
      </c>
      <c r="G3187" s="35" t="s">
        <v>682</v>
      </c>
      <c r="H3187" s="35" t="s">
        <v>115</v>
      </c>
    </row>
    <row r="3188" spans="1:8">
      <c r="A3188" s="37">
        <v>42933.15625</v>
      </c>
      <c r="B3188" s="35" t="s">
        <v>654</v>
      </c>
      <c r="C3188" s="35" t="s">
        <v>655</v>
      </c>
      <c r="D3188" s="39">
        <v>110.87999725341797</v>
      </c>
      <c r="E3188" s="39">
        <v>97.948738098144531</v>
      </c>
      <c r="F3188" s="41">
        <v>1894805</v>
      </c>
      <c r="G3188" s="35" t="s">
        <v>682</v>
      </c>
      <c r="H3188" s="35" t="s">
        <v>115</v>
      </c>
    </row>
    <row r="3189" spans="1:8">
      <c r="A3189" s="37">
        <v>42934.15625</v>
      </c>
      <c r="B3189" s="35" t="s">
        <v>654</v>
      </c>
      <c r="C3189" s="35" t="s">
        <v>655</v>
      </c>
      <c r="D3189" s="39">
        <v>109.66999816894531</v>
      </c>
      <c r="E3189" s="39">
        <v>96.879859924316406</v>
      </c>
      <c r="F3189" s="41">
        <v>2108080</v>
      </c>
      <c r="G3189" s="35" t="s">
        <v>682</v>
      </c>
      <c r="H3189" s="35" t="s">
        <v>115</v>
      </c>
    </row>
    <row r="3190" spans="1:8">
      <c r="A3190" s="37">
        <v>42935.15625</v>
      </c>
      <c r="B3190" s="35" t="s">
        <v>654</v>
      </c>
      <c r="C3190" s="35" t="s">
        <v>655</v>
      </c>
      <c r="D3190" s="39">
        <v>110.01000213623047</v>
      </c>
      <c r="E3190" s="39">
        <v>97.180221557617188</v>
      </c>
      <c r="F3190" s="41">
        <v>1761090</v>
      </c>
      <c r="G3190" s="35" t="s">
        <v>682</v>
      </c>
      <c r="H3190" s="35" t="s">
        <v>115</v>
      </c>
    </row>
    <row r="3191" spans="1:8">
      <c r="A3191" s="37">
        <v>42936.15625</v>
      </c>
      <c r="B3191" s="35" t="s">
        <v>654</v>
      </c>
      <c r="C3191" s="35" t="s">
        <v>655</v>
      </c>
      <c r="D3191" s="39">
        <v>109.05999755859375</v>
      </c>
      <c r="E3191" s="39">
        <v>96.341026306152344</v>
      </c>
      <c r="F3191" s="41">
        <v>6000745</v>
      </c>
      <c r="G3191" s="35" t="s">
        <v>682</v>
      </c>
      <c r="H3191" s="35" t="s">
        <v>115</v>
      </c>
    </row>
    <row r="3192" spans="1:8">
      <c r="A3192" s="37">
        <v>42937.15625</v>
      </c>
      <c r="B3192" s="35" t="s">
        <v>654</v>
      </c>
      <c r="C3192" s="35" t="s">
        <v>655</v>
      </c>
      <c r="D3192" s="39">
        <v>108.73000335693359</v>
      </c>
      <c r="E3192" s="39">
        <v>96.049507141113281</v>
      </c>
      <c r="F3192" s="41">
        <v>1998400</v>
      </c>
      <c r="G3192" s="35" t="s">
        <v>682</v>
      </c>
      <c r="H3192" s="35" t="s">
        <v>115</v>
      </c>
    </row>
    <row r="3193" spans="1:8">
      <c r="A3193" s="37">
        <v>42940.15625</v>
      </c>
      <c r="B3193" s="35" t="s">
        <v>654</v>
      </c>
      <c r="C3193" s="35" t="s">
        <v>655</v>
      </c>
      <c r="D3193" s="39">
        <v>107.41000366210938</v>
      </c>
      <c r="E3193" s="39">
        <v>94.883445739746094</v>
      </c>
      <c r="F3193" s="41">
        <v>2003595</v>
      </c>
      <c r="G3193" s="35" t="s">
        <v>682</v>
      </c>
      <c r="H3193" s="35" t="s">
        <v>115</v>
      </c>
    </row>
    <row r="3194" spans="1:8">
      <c r="A3194" s="37">
        <v>42941.15625</v>
      </c>
      <c r="B3194" s="35" t="s">
        <v>654</v>
      </c>
      <c r="C3194" s="35" t="s">
        <v>655</v>
      </c>
      <c r="D3194" s="39">
        <v>105.73999786376953</v>
      </c>
      <c r="E3194" s="39">
        <v>93.408226013183594</v>
      </c>
      <c r="F3194" s="41">
        <v>1876280</v>
      </c>
      <c r="G3194" s="35" t="s">
        <v>682</v>
      </c>
      <c r="H3194" s="35" t="s">
        <v>115</v>
      </c>
    </row>
    <row r="3195" spans="1:8">
      <c r="A3195" s="37">
        <v>42942.15625</v>
      </c>
      <c r="B3195" s="35" t="s">
        <v>654</v>
      </c>
      <c r="C3195" s="35" t="s">
        <v>655</v>
      </c>
      <c r="D3195" s="39">
        <v>104.38999938964844</v>
      </c>
      <c r="E3195" s="39">
        <v>92.215629577636719</v>
      </c>
      <c r="F3195" s="41">
        <v>1388680</v>
      </c>
      <c r="G3195" s="35" t="s">
        <v>682</v>
      </c>
      <c r="H3195" s="35" t="s">
        <v>115</v>
      </c>
    </row>
    <row r="3196" spans="1:8">
      <c r="A3196" s="37">
        <v>42943.15625</v>
      </c>
      <c r="B3196" s="35" t="s">
        <v>654</v>
      </c>
      <c r="C3196" s="35" t="s">
        <v>655</v>
      </c>
      <c r="D3196" s="39">
        <v>104.83000183105469</v>
      </c>
      <c r="E3196" s="39">
        <v>92.604347229003906</v>
      </c>
      <c r="F3196" s="41">
        <v>1792590</v>
      </c>
      <c r="G3196" s="35" t="s">
        <v>682</v>
      </c>
      <c r="H3196" s="35" t="s">
        <v>115</v>
      </c>
    </row>
    <row r="3197" spans="1:8">
      <c r="A3197" s="37">
        <v>42944.15625</v>
      </c>
      <c r="B3197" s="35" t="s">
        <v>654</v>
      </c>
      <c r="C3197" s="35" t="s">
        <v>655</v>
      </c>
      <c r="D3197" s="39">
        <v>103.58000183105469</v>
      </c>
      <c r="E3197" s="39">
        <v>91.500099182128906</v>
      </c>
      <c r="F3197" s="41">
        <v>1133715</v>
      </c>
      <c r="G3197" s="35" t="s">
        <v>682</v>
      </c>
      <c r="H3197" s="35" t="s">
        <v>115</v>
      </c>
    </row>
    <row r="3198" spans="1:8">
      <c r="A3198" s="37">
        <v>42947.15625</v>
      </c>
      <c r="B3198" s="35" t="s">
        <v>654</v>
      </c>
      <c r="C3198" s="35" t="s">
        <v>655</v>
      </c>
      <c r="D3198" s="39">
        <v>103.09999847412109</v>
      </c>
      <c r="E3198" s="39">
        <v>91.076095581054688</v>
      </c>
      <c r="F3198" s="41">
        <v>1595475</v>
      </c>
      <c r="G3198" s="35" t="s">
        <v>682</v>
      </c>
      <c r="H3198" s="35" t="s">
        <v>115</v>
      </c>
    </row>
    <row r="3199" spans="1:8">
      <c r="A3199" s="37">
        <v>42948.15625</v>
      </c>
      <c r="B3199" s="35" t="s">
        <v>654</v>
      </c>
      <c r="C3199" s="35" t="s">
        <v>655</v>
      </c>
      <c r="D3199" s="39">
        <v>101.12999725341797</v>
      </c>
      <c r="E3199" s="39">
        <v>89.335845947265625</v>
      </c>
      <c r="F3199" s="41">
        <v>2029515</v>
      </c>
      <c r="G3199" s="35" t="s">
        <v>682</v>
      </c>
      <c r="H3199" s="35" t="s">
        <v>115</v>
      </c>
    </row>
    <row r="3200" spans="1:8">
      <c r="A3200" s="37">
        <v>42949.15625</v>
      </c>
      <c r="B3200" s="35" t="s">
        <v>654</v>
      </c>
      <c r="C3200" s="35" t="s">
        <v>655</v>
      </c>
      <c r="D3200" s="39">
        <v>102.12000274658203</v>
      </c>
      <c r="E3200" s="39">
        <v>90.210380554199219</v>
      </c>
      <c r="F3200" s="41">
        <v>3392940</v>
      </c>
      <c r="G3200" s="35" t="s">
        <v>682</v>
      </c>
      <c r="H3200" s="35" t="s">
        <v>115</v>
      </c>
    </row>
    <row r="3201" spans="1:8">
      <c r="A3201" s="37">
        <v>42950.15625</v>
      </c>
      <c r="B3201" s="35" t="s">
        <v>654</v>
      </c>
      <c r="C3201" s="35" t="s">
        <v>655</v>
      </c>
      <c r="D3201" s="39">
        <v>100.41000366210938</v>
      </c>
      <c r="E3201" s="39">
        <v>88.699806213378906</v>
      </c>
      <c r="F3201" s="41">
        <v>1748395</v>
      </c>
      <c r="G3201" s="35" t="s">
        <v>682</v>
      </c>
      <c r="H3201" s="35" t="s">
        <v>115</v>
      </c>
    </row>
    <row r="3202" spans="1:8">
      <c r="A3202" s="37">
        <v>42951.15625</v>
      </c>
      <c r="B3202" s="35" t="s">
        <v>654</v>
      </c>
      <c r="C3202" s="35" t="s">
        <v>655</v>
      </c>
      <c r="D3202" s="39">
        <v>100.55999755859375</v>
      </c>
      <c r="E3202" s="39">
        <v>88.832313537597656</v>
      </c>
      <c r="F3202" s="41">
        <v>1350320</v>
      </c>
      <c r="G3202" s="35" t="s">
        <v>682</v>
      </c>
      <c r="H3202" s="35" t="s">
        <v>115</v>
      </c>
    </row>
    <row r="3203" spans="1:8">
      <c r="A3203" s="37">
        <v>42954.15625</v>
      </c>
      <c r="B3203" s="35" t="s">
        <v>654</v>
      </c>
      <c r="C3203" s="35" t="s">
        <v>655</v>
      </c>
      <c r="D3203" s="39">
        <v>99.919998168945313</v>
      </c>
      <c r="E3203" s="39">
        <v>88.266944885253906</v>
      </c>
      <c r="F3203" s="41">
        <v>1390130</v>
      </c>
      <c r="G3203" s="35" t="s">
        <v>682</v>
      </c>
      <c r="H3203" s="35" t="s">
        <v>115</v>
      </c>
    </row>
    <row r="3204" spans="1:8">
      <c r="A3204" s="37">
        <v>42955.15625</v>
      </c>
      <c r="B3204" s="35" t="s">
        <v>654</v>
      </c>
      <c r="C3204" s="35" t="s">
        <v>655</v>
      </c>
      <c r="D3204" s="39">
        <v>97.839996337890625</v>
      </c>
      <c r="E3204" s="39">
        <v>86.429527282714844</v>
      </c>
      <c r="F3204" s="41">
        <v>1215605</v>
      </c>
      <c r="G3204" s="35" t="s">
        <v>682</v>
      </c>
      <c r="H3204" s="35" t="s">
        <v>115</v>
      </c>
    </row>
    <row r="3205" spans="1:8">
      <c r="A3205" s="37">
        <v>42956.15625</v>
      </c>
      <c r="B3205" s="35" t="s">
        <v>654</v>
      </c>
      <c r="C3205" s="35" t="s">
        <v>655</v>
      </c>
      <c r="D3205" s="39">
        <v>96.489997863769531</v>
      </c>
      <c r="E3205" s="39">
        <v>85.236961364746094</v>
      </c>
      <c r="F3205" s="41">
        <v>1825670</v>
      </c>
      <c r="G3205" s="35" t="s">
        <v>682</v>
      </c>
      <c r="H3205" s="35" t="s">
        <v>115</v>
      </c>
    </row>
    <row r="3206" spans="1:8">
      <c r="A3206" s="37">
        <v>42957.15625</v>
      </c>
      <c r="B3206" s="35" t="s">
        <v>654</v>
      </c>
      <c r="C3206" s="35" t="s">
        <v>655</v>
      </c>
      <c r="D3206" s="39">
        <v>95.069999694824219</v>
      </c>
      <c r="E3206" s="39">
        <v>83.982574462890625</v>
      </c>
      <c r="F3206" s="41">
        <v>1775755</v>
      </c>
      <c r="G3206" s="35" t="s">
        <v>682</v>
      </c>
      <c r="H3206" s="35" t="s">
        <v>115</v>
      </c>
    </row>
    <row r="3207" spans="1:8">
      <c r="A3207" s="37">
        <v>42958.15625</v>
      </c>
      <c r="B3207" s="35" t="s">
        <v>654</v>
      </c>
      <c r="C3207" s="35" t="s">
        <v>655</v>
      </c>
      <c r="D3207" s="39">
        <v>95.919998168945313</v>
      </c>
      <c r="E3207" s="39">
        <v>84.73345947265625</v>
      </c>
      <c r="F3207" s="41">
        <v>2064870</v>
      </c>
      <c r="G3207" s="35" t="s">
        <v>682</v>
      </c>
      <c r="H3207" s="35" t="s">
        <v>115</v>
      </c>
    </row>
    <row r="3208" spans="1:8">
      <c r="A3208" s="37">
        <v>42961.15625</v>
      </c>
      <c r="B3208" s="35" t="s">
        <v>654</v>
      </c>
      <c r="C3208" s="35" t="s">
        <v>655</v>
      </c>
      <c r="D3208" s="39">
        <v>97.139999389648438</v>
      </c>
      <c r="E3208" s="39">
        <v>85.8111572265625</v>
      </c>
      <c r="F3208" s="41">
        <v>540845</v>
      </c>
      <c r="G3208" s="35" t="s">
        <v>682</v>
      </c>
      <c r="H3208" s="35" t="s">
        <v>115</v>
      </c>
    </row>
    <row r="3209" spans="1:8">
      <c r="A3209" s="37">
        <v>42963.15625</v>
      </c>
      <c r="B3209" s="35" t="s">
        <v>654</v>
      </c>
      <c r="C3209" s="35" t="s">
        <v>655</v>
      </c>
      <c r="D3209" s="39">
        <v>98.169998168945313</v>
      </c>
      <c r="E3209" s="39">
        <v>86.721046447753906</v>
      </c>
      <c r="F3209" s="41">
        <v>1476970</v>
      </c>
      <c r="G3209" s="35" t="s">
        <v>682</v>
      </c>
      <c r="H3209" s="35" t="s">
        <v>115</v>
      </c>
    </row>
    <row r="3210" spans="1:8">
      <c r="A3210" s="37">
        <v>42964.15625</v>
      </c>
      <c r="B3210" s="35" t="s">
        <v>654</v>
      </c>
      <c r="C3210" s="35" t="s">
        <v>655</v>
      </c>
      <c r="D3210" s="39">
        <v>99.819999694824219</v>
      </c>
      <c r="E3210" s="39">
        <v>88.178619384765625</v>
      </c>
      <c r="F3210" s="41">
        <v>3154720</v>
      </c>
      <c r="G3210" s="35" t="s">
        <v>682</v>
      </c>
      <c r="H3210" s="35" t="s">
        <v>115</v>
      </c>
    </row>
    <row r="3211" spans="1:8">
      <c r="A3211" s="37">
        <v>42965.15625</v>
      </c>
      <c r="B3211" s="35" t="s">
        <v>654</v>
      </c>
      <c r="C3211" s="35" t="s">
        <v>655</v>
      </c>
      <c r="D3211" s="39">
        <v>99.330001831054688</v>
      </c>
      <c r="E3211" s="39">
        <v>87.745773315429688</v>
      </c>
      <c r="F3211" s="41">
        <v>1091965</v>
      </c>
      <c r="G3211" s="35" t="s">
        <v>682</v>
      </c>
      <c r="H3211" s="35" t="s">
        <v>115</v>
      </c>
    </row>
    <row r="3212" spans="1:8">
      <c r="A3212" s="37">
        <v>42968.15625</v>
      </c>
      <c r="B3212" s="35" t="s">
        <v>654</v>
      </c>
      <c r="C3212" s="35" t="s">
        <v>655</v>
      </c>
      <c r="D3212" s="39">
        <v>96.709999084472656</v>
      </c>
      <c r="E3212" s="39">
        <v>85.431304931640625</v>
      </c>
      <c r="F3212" s="41">
        <v>477170</v>
      </c>
      <c r="G3212" s="35" t="s">
        <v>682</v>
      </c>
      <c r="H3212" s="35" t="s">
        <v>115</v>
      </c>
    </row>
    <row r="3213" spans="1:8">
      <c r="A3213" s="37">
        <v>42969.15625</v>
      </c>
      <c r="B3213" s="35" t="s">
        <v>654</v>
      </c>
      <c r="C3213" s="35" t="s">
        <v>655</v>
      </c>
      <c r="D3213" s="39">
        <v>96.839996337890625</v>
      </c>
      <c r="E3213" s="39">
        <v>85.546157836914063</v>
      </c>
      <c r="F3213" s="41">
        <v>1752705</v>
      </c>
      <c r="G3213" s="35" t="s">
        <v>682</v>
      </c>
      <c r="H3213" s="35" t="s">
        <v>115</v>
      </c>
    </row>
    <row r="3214" spans="1:8">
      <c r="A3214" s="37">
        <v>42970.15625</v>
      </c>
      <c r="B3214" s="35" t="s">
        <v>654</v>
      </c>
      <c r="C3214" s="35" t="s">
        <v>655</v>
      </c>
      <c r="D3214" s="39">
        <v>99.19000244140625</v>
      </c>
      <c r="E3214" s="39">
        <v>87.622093200683594</v>
      </c>
      <c r="F3214" s="41">
        <v>1331325</v>
      </c>
      <c r="G3214" s="35" t="s">
        <v>682</v>
      </c>
      <c r="H3214" s="35" t="s">
        <v>115</v>
      </c>
    </row>
    <row r="3215" spans="1:8">
      <c r="A3215" s="37">
        <v>42971.15625</v>
      </c>
      <c r="B3215" s="35" t="s">
        <v>654</v>
      </c>
      <c r="C3215" s="35" t="s">
        <v>655</v>
      </c>
      <c r="D3215" s="39">
        <v>99.419998168945313</v>
      </c>
      <c r="E3215" s="39">
        <v>87.82525634765625</v>
      </c>
      <c r="F3215" s="41">
        <v>1769080</v>
      </c>
      <c r="G3215" s="35" t="s">
        <v>682</v>
      </c>
      <c r="H3215" s="35" t="s">
        <v>115</v>
      </c>
    </row>
    <row r="3216" spans="1:8">
      <c r="A3216" s="37">
        <v>42975.15625</v>
      </c>
      <c r="B3216" s="35" t="s">
        <v>654</v>
      </c>
      <c r="C3216" s="35" t="s">
        <v>655</v>
      </c>
      <c r="D3216" s="39">
        <v>99.019996643066406</v>
      </c>
      <c r="E3216" s="39">
        <v>87.471923828125</v>
      </c>
      <c r="F3216" s="41">
        <v>2892775</v>
      </c>
      <c r="G3216" s="35" t="s">
        <v>682</v>
      </c>
      <c r="H3216" s="35" t="s">
        <v>115</v>
      </c>
    </row>
    <row r="3217" spans="1:8">
      <c r="A3217" s="37">
        <v>42976.15625</v>
      </c>
      <c r="B3217" s="35" t="s">
        <v>654</v>
      </c>
      <c r="C3217" s="35" t="s">
        <v>655</v>
      </c>
      <c r="D3217" s="39">
        <v>99.650001525878906</v>
      </c>
      <c r="E3217" s="39">
        <v>88.028450012207031</v>
      </c>
      <c r="F3217" s="41">
        <v>1244415</v>
      </c>
      <c r="G3217" s="35" t="s">
        <v>682</v>
      </c>
      <c r="H3217" s="35" t="s">
        <v>115</v>
      </c>
    </row>
    <row r="3218" spans="1:8">
      <c r="A3218" s="37">
        <v>42977.15625</v>
      </c>
      <c r="B3218" s="35" t="s">
        <v>654</v>
      </c>
      <c r="C3218" s="35" t="s">
        <v>655</v>
      </c>
      <c r="D3218" s="39">
        <v>100.44999694824219</v>
      </c>
      <c r="E3218" s="39">
        <v>88.735130310058594</v>
      </c>
      <c r="F3218" s="41">
        <v>1632435</v>
      </c>
      <c r="G3218" s="35" t="s">
        <v>682</v>
      </c>
      <c r="H3218" s="35" t="s">
        <v>115</v>
      </c>
    </row>
    <row r="3219" spans="1:8">
      <c r="A3219" s="37">
        <v>42978.15625</v>
      </c>
      <c r="B3219" s="35" t="s">
        <v>654</v>
      </c>
      <c r="C3219" s="35" t="s">
        <v>655</v>
      </c>
      <c r="D3219" s="39">
        <v>99.709999084472656</v>
      </c>
      <c r="E3219" s="39">
        <v>88.081443786621094</v>
      </c>
      <c r="F3219" s="41">
        <v>1914775</v>
      </c>
      <c r="G3219" s="35" t="s">
        <v>682</v>
      </c>
      <c r="H3219" s="35" t="s">
        <v>115</v>
      </c>
    </row>
    <row r="3220" spans="1:8">
      <c r="A3220" s="37">
        <v>42979.15625</v>
      </c>
      <c r="B3220" s="35" t="s">
        <v>654</v>
      </c>
      <c r="C3220" s="35" t="s">
        <v>655</v>
      </c>
      <c r="D3220" s="39">
        <v>102.65000152587891</v>
      </c>
      <c r="E3220" s="39">
        <v>90.678573608398438</v>
      </c>
      <c r="F3220" s="41">
        <v>1821185</v>
      </c>
      <c r="G3220" s="35" t="s">
        <v>682</v>
      </c>
      <c r="H3220" s="35" t="s">
        <v>115</v>
      </c>
    </row>
    <row r="3221" spans="1:8">
      <c r="A3221" s="37">
        <v>42982.15625</v>
      </c>
      <c r="B3221" s="35" t="s">
        <v>654</v>
      </c>
      <c r="C3221" s="35" t="s">
        <v>655</v>
      </c>
      <c r="D3221" s="39">
        <v>102.08000183105469</v>
      </c>
      <c r="E3221" s="39">
        <v>90.175041198730469</v>
      </c>
      <c r="F3221" s="41">
        <v>1035650</v>
      </c>
      <c r="G3221" s="35" t="s">
        <v>682</v>
      </c>
      <c r="H3221" s="35" t="s">
        <v>115</v>
      </c>
    </row>
    <row r="3222" spans="1:8">
      <c r="A3222" s="37">
        <v>42983.15625</v>
      </c>
      <c r="B3222" s="35" t="s">
        <v>654</v>
      </c>
      <c r="C3222" s="35" t="s">
        <v>655</v>
      </c>
      <c r="D3222" s="39">
        <v>102.97000122070313</v>
      </c>
      <c r="E3222" s="39">
        <v>90.961250305175781</v>
      </c>
      <c r="F3222" s="41">
        <v>1677130</v>
      </c>
      <c r="G3222" s="35" t="s">
        <v>682</v>
      </c>
      <c r="H3222" s="35" t="s">
        <v>115</v>
      </c>
    </row>
    <row r="3223" spans="1:8">
      <c r="A3223" s="37">
        <v>42984.15625</v>
      </c>
      <c r="B3223" s="35" t="s">
        <v>654</v>
      </c>
      <c r="C3223" s="35" t="s">
        <v>655</v>
      </c>
      <c r="D3223" s="39">
        <v>102.47000122070313</v>
      </c>
      <c r="E3223" s="39">
        <v>90.519577026367188</v>
      </c>
      <c r="F3223" s="41">
        <v>593165</v>
      </c>
      <c r="G3223" s="35" t="s">
        <v>682</v>
      </c>
      <c r="H3223" s="35" t="s">
        <v>115</v>
      </c>
    </row>
    <row r="3224" spans="1:8">
      <c r="A3224" s="37">
        <v>42985.15625</v>
      </c>
      <c r="B3224" s="35" t="s">
        <v>654</v>
      </c>
      <c r="C3224" s="35" t="s">
        <v>655</v>
      </c>
      <c r="D3224" s="39">
        <v>101.11000061035156</v>
      </c>
      <c r="E3224" s="39">
        <v>89.318168640136719</v>
      </c>
      <c r="F3224" s="41">
        <v>1496070</v>
      </c>
      <c r="G3224" s="35" t="s">
        <v>682</v>
      </c>
      <c r="H3224" s="35" t="s">
        <v>115</v>
      </c>
    </row>
    <row r="3225" spans="1:8">
      <c r="A3225" s="37">
        <v>42986.15625</v>
      </c>
      <c r="B3225" s="35" t="s">
        <v>654</v>
      </c>
      <c r="C3225" s="35" t="s">
        <v>655</v>
      </c>
      <c r="D3225" s="39">
        <v>99.069999694824219</v>
      </c>
      <c r="E3225" s="39">
        <v>87.516098022460938</v>
      </c>
      <c r="F3225" s="41">
        <v>2188260</v>
      </c>
      <c r="G3225" s="35" t="s">
        <v>682</v>
      </c>
      <c r="H3225" s="35" t="s">
        <v>115</v>
      </c>
    </row>
    <row r="3226" spans="1:8">
      <c r="A3226" s="37">
        <v>42989.15625</v>
      </c>
      <c r="B3226" s="35" t="s">
        <v>654</v>
      </c>
      <c r="C3226" s="35" t="s">
        <v>655</v>
      </c>
      <c r="D3226" s="39">
        <v>99.739997863769531</v>
      </c>
      <c r="E3226" s="39">
        <v>88.107955932617188</v>
      </c>
      <c r="F3226" s="41">
        <v>1635520</v>
      </c>
      <c r="G3226" s="35" t="s">
        <v>682</v>
      </c>
      <c r="H3226" s="35" t="s">
        <v>115</v>
      </c>
    </row>
    <row r="3227" spans="1:8">
      <c r="A3227" s="37">
        <v>42990.15625</v>
      </c>
      <c r="B3227" s="35" t="s">
        <v>654</v>
      </c>
      <c r="C3227" s="35" t="s">
        <v>655</v>
      </c>
      <c r="D3227" s="39">
        <v>100.98999786376953</v>
      </c>
      <c r="E3227" s="39">
        <v>89.212165832519531</v>
      </c>
      <c r="F3227" s="41">
        <v>1097880</v>
      </c>
      <c r="G3227" s="35" t="s">
        <v>682</v>
      </c>
      <c r="H3227" s="35" t="s">
        <v>115</v>
      </c>
    </row>
    <row r="3228" spans="1:8">
      <c r="A3228" s="37">
        <v>42991.15625</v>
      </c>
      <c r="B3228" s="35" t="s">
        <v>654</v>
      </c>
      <c r="C3228" s="35" t="s">
        <v>655</v>
      </c>
      <c r="D3228" s="39">
        <v>100.13999938964844</v>
      </c>
      <c r="E3228" s="39">
        <v>88.461296081542969</v>
      </c>
      <c r="F3228" s="41">
        <v>1160925</v>
      </c>
      <c r="G3228" s="35" t="s">
        <v>682</v>
      </c>
      <c r="H3228" s="35" t="s">
        <v>115</v>
      </c>
    </row>
    <row r="3229" spans="1:8">
      <c r="A3229" s="37">
        <v>42992.15625</v>
      </c>
      <c r="B3229" s="35" t="s">
        <v>654</v>
      </c>
      <c r="C3229" s="35" t="s">
        <v>655</v>
      </c>
      <c r="D3229" s="39">
        <v>98.94000244140625</v>
      </c>
      <c r="E3229" s="39">
        <v>89.639091491699219</v>
      </c>
      <c r="F3229" s="41">
        <v>1496675</v>
      </c>
      <c r="G3229" s="35" t="s">
        <v>682</v>
      </c>
      <c r="H3229" s="35" t="s">
        <v>115</v>
      </c>
    </row>
    <row r="3230" spans="1:8">
      <c r="A3230" s="37">
        <v>42993.15625</v>
      </c>
      <c r="B3230" s="35" t="s">
        <v>654</v>
      </c>
      <c r="C3230" s="35" t="s">
        <v>655</v>
      </c>
      <c r="D3230" s="39">
        <v>99.919998168945313</v>
      </c>
      <c r="E3230" s="39">
        <v>90.526962280273438</v>
      </c>
      <c r="F3230" s="41">
        <v>1746325</v>
      </c>
      <c r="G3230" s="35" t="s">
        <v>682</v>
      </c>
      <c r="H3230" s="35" t="s">
        <v>115</v>
      </c>
    </row>
    <row r="3231" spans="1:8">
      <c r="A3231" s="37">
        <v>42996.15625</v>
      </c>
      <c r="B3231" s="35" t="s">
        <v>654</v>
      </c>
      <c r="C3231" s="35" t="s">
        <v>655</v>
      </c>
      <c r="D3231" s="39">
        <v>100.45999908447266</v>
      </c>
      <c r="E3231" s="39">
        <v>91.016204833984375</v>
      </c>
      <c r="F3231" s="41">
        <v>1094315</v>
      </c>
      <c r="G3231" s="35" t="s">
        <v>682</v>
      </c>
      <c r="H3231" s="35" t="s">
        <v>115</v>
      </c>
    </row>
    <row r="3232" spans="1:8">
      <c r="A3232" s="37">
        <v>42997.15625</v>
      </c>
      <c r="B3232" s="35" t="s">
        <v>654</v>
      </c>
      <c r="C3232" s="35" t="s">
        <v>655</v>
      </c>
      <c r="D3232" s="39">
        <v>101.25</v>
      </c>
      <c r="E3232" s="39">
        <v>91.731941223144531</v>
      </c>
      <c r="F3232" s="41">
        <v>1376895</v>
      </c>
      <c r="G3232" s="35" t="s">
        <v>682</v>
      </c>
      <c r="H3232" s="35" t="s">
        <v>115</v>
      </c>
    </row>
    <row r="3233" spans="1:8">
      <c r="A3233" s="37">
        <v>42998.15625</v>
      </c>
      <c r="B3233" s="35" t="s">
        <v>654</v>
      </c>
      <c r="C3233" s="35" t="s">
        <v>655</v>
      </c>
      <c r="D3233" s="39">
        <v>106.48999786376953</v>
      </c>
      <c r="E3233" s="39">
        <v>96.479354858398438</v>
      </c>
      <c r="F3233" s="41">
        <v>4265200</v>
      </c>
      <c r="G3233" s="35" t="s">
        <v>682</v>
      </c>
      <c r="H3233" s="35" t="s">
        <v>115</v>
      </c>
    </row>
    <row r="3234" spans="1:8">
      <c r="A3234" s="37">
        <v>42999.15625</v>
      </c>
      <c r="B3234" s="35" t="s">
        <v>654</v>
      </c>
      <c r="C3234" s="35" t="s">
        <v>655</v>
      </c>
      <c r="D3234" s="39">
        <v>107.75</v>
      </c>
      <c r="E3234" s="39">
        <v>97.620895385742188</v>
      </c>
      <c r="F3234" s="41">
        <v>2812485</v>
      </c>
      <c r="G3234" s="35" t="s">
        <v>682</v>
      </c>
      <c r="H3234" s="35" t="s">
        <v>115</v>
      </c>
    </row>
    <row r="3235" spans="1:8">
      <c r="A3235" s="37">
        <v>43000.15625</v>
      </c>
      <c r="B3235" s="35" t="s">
        <v>654</v>
      </c>
      <c r="C3235" s="35" t="s">
        <v>655</v>
      </c>
      <c r="D3235" s="39">
        <v>103.87999725341797</v>
      </c>
      <c r="E3235" s="39">
        <v>94.114700317382813</v>
      </c>
      <c r="F3235" s="41">
        <v>2745960</v>
      </c>
      <c r="G3235" s="35" t="s">
        <v>682</v>
      </c>
      <c r="H3235" s="35" t="s">
        <v>115</v>
      </c>
    </row>
    <row r="3236" spans="1:8">
      <c r="A3236" s="37">
        <v>43003.15625</v>
      </c>
      <c r="B3236" s="35" t="s">
        <v>654</v>
      </c>
      <c r="C3236" s="35" t="s">
        <v>655</v>
      </c>
      <c r="D3236" s="39">
        <v>101.01000213623047</v>
      </c>
      <c r="E3236" s="39">
        <v>91.514480590820313</v>
      </c>
      <c r="F3236" s="41">
        <v>1486485</v>
      </c>
      <c r="G3236" s="35" t="s">
        <v>682</v>
      </c>
      <c r="H3236" s="35" t="s">
        <v>115</v>
      </c>
    </row>
    <row r="3237" spans="1:8">
      <c r="A3237" s="37">
        <v>43004.15625</v>
      </c>
      <c r="B3237" s="35" t="s">
        <v>654</v>
      </c>
      <c r="C3237" s="35" t="s">
        <v>655</v>
      </c>
      <c r="D3237" s="39">
        <v>102.84999847412109</v>
      </c>
      <c r="E3237" s="39">
        <v>93.181526184082031</v>
      </c>
      <c r="F3237" s="41">
        <v>1667525</v>
      </c>
      <c r="G3237" s="35" t="s">
        <v>682</v>
      </c>
      <c r="H3237" s="35" t="s">
        <v>115</v>
      </c>
    </row>
    <row r="3238" spans="1:8">
      <c r="A3238" s="37">
        <v>43005.15625</v>
      </c>
      <c r="B3238" s="35" t="s">
        <v>654</v>
      </c>
      <c r="C3238" s="35" t="s">
        <v>655</v>
      </c>
      <c r="D3238" s="39">
        <v>104.87999725341797</v>
      </c>
      <c r="E3238" s="39">
        <v>95.020698547363281</v>
      </c>
      <c r="F3238" s="41">
        <v>4708640</v>
      </c>
      <c r="G3238" s="35" t="s">
        <v>682</v>
      </c>
      <c r="H3238" s="35" t="s">
        <v>115</v>
      </c>
    </row>
    <row r="3239" spans="1:8">
      <c r="A3239" s="37">
        <v>43006.15625</v>
      </c>
      <c r="B3239" s="35" t="s">
        <v>654</v>
      </c>
      <c r="C3239" s="35" t="s">
        <v>655</v>
      </c>
      <c r="D3239" s="39">
        <v>109.56999969482422</v>
      </c>
      <c r="E3239" s="39">
        <v>99.269813537597656</v>
      </c>
      <c r="F3239" s="41">
        <v>5959610</v>
      </c>
      <c r="G3239" s="35" t="s">
        <v>682</v>
      </c>
      <c r="H3239" s="35" t="s">
        <v>115</v>
      </c>
    </row>
    <row r="3240" spans="1:8">
      <c r="A3240" s="37">
        <v>43007.15625</v>
      </c>
      <c r="B3240" s="35" t="s">
        <v>654</v>
      </c>
      <c r="C3240" s="35" t="s">
        <v>655</v>
      </c>
      <c r="D3240" s="39">
        <v>108.51000213623047</v>
      </c>
      <c r="E3240" s="39">
        <v>98.309478759765625</v>
      </c>
      <c r="F3240" s="41">
        <v>1815065</v>
      </c>
      <c r="G3240" s="35" t="s">
        <v>682</v>
      </c>
      <c r="H3240" s="35" t="s">
        <v>115</v>
      </c>
    </row>
    <row r="3241" spans="1:8">
      <c r="A3241" s="37">
        <v>43011.15625</v>
      </c>
      <c r="B3241" s="35" t="s">
        <v>654</v>
      </c>
      <c r="C3241" s="35" t="s">
        <v>655</v>
      </c>
      <c r="D3241" s="39">
        <v>109.98000335693359</v>
      </c>
      <c r="E3241" s="39">
        <v>99.641273498535156</v>
      </c>
      <c r="F3241" s="41">
        <v>2255985</v>
      </c>
      <c r="G3241" s="35" t="s">
        <v>682</v>
      </c>
      <c r="H3241" s="35" t="s">
        <v>115</v>
      </c>
    </row>
    <row r="3242" spans="1:8">
      <c r="A3242" s="37">
        <v>43012.15625</v>
      </c>
      <c r="B3242" s="35" t="s">
        <v>654</v>
      </c>
      <c r="C3242" s="35" t="s">
        <v>655</v>
      </c>
      <c r="D3242" s="39">
        <v>109.44000244140625</v>
      </c>
      <c r="E3242" s="39">
        <v>99.152046203613281</v>
      </c>
      <c r="F3242" s="41">
        <v>1193545</v>
      </c>
      <c r="G3242" s="35" t="s">
        <v>682</v>
      </c>
      <c r="H3242" s="35" t="s">
        <v>115</v>
      </c>
    </row>
    <row r="3243" spans="1:8">
      <c r="A3243" s="37">
        <v>43013.15625</v>
      </c>
      <c r="B3243" s="35" t="s">
        <v>654</v>
      </c>
      <c r="C3243" s="35" t="s">
        <v>655</v>
      </c>
      <c r="D3243" s="39">
        <v>112.43000030517578</v>
      </c>
      <c r="E3243" s="39">
        <v>101.86094665527344</v>
      </c>
      <c r="F3243" s="41">
        <v>1819255</v>
      </c>
      <c r="G3243" s="35" t="s">
        <v>682</v>
      </c>
      <c r="H3243" s="35" t="s">
        <v>115</v>
      </c>
    </row>
    <row r="3244" spans="1:8">
      <c r="A3244" s="37">
        <v>43014.15625</v>
      </c>
      <c r="B3244" s="35" t="s">
        <v>654</v>
      </c>
      <c r="C3244" s="35" t="s">
        <v>655</v>
      </c>
      <c r="D3244" s="39">
        <v>113.12000274658203</v>
      </c>
      <c r="E3244" s="39">
        <v>102.48606872558594</v>
      </c>
      <c r="F3244" s="41">
        <v>1038525</v>
      </c>
      <c r="G3244" s="35" t="s">
        <v>682</v>
      </c>
      <c r="H3244" s="35" t="s">
        <v>115</v>
      </c>
    </row>
    <row r="3245" spans="1:8">
      <c r="A3245" s="37">
        <v>43017.15625</v>
      </c>
      <c r="B3245" s="35" t="s">
        <v>654</v>
      </c>
      <c r="C3245" s="35" t="s">
        <v>655</v>
      </c>
      <c r="D3245" s="39">
        <v>113.66999816894531</v>
      </c>
      <c r="E3245" s="39">
        <v>102.98438262939453</v>
      </c>
      <c r="F3245" s="41">
        <v>644125</v>
      </c>
      <c r="G3245" s="35" t="s">
        <v>682</v>
      </c>
      <c r="H3245" s="35" t="s">
        <v>115</v>
      </c>
    </row>
    <row r="3246" spans="1:8">
      <c r="A3246" s="37">
        <v>43018.15625</v>
      </c>
      <c r="B3246" s="35" t="s">
        <v>654</v>
      </c>
      <c r="C3246" s="35" t="s">
        <v>655</v>
      </c>
      <c r="D3246" s="39">
        <v>120.88999938964844</v>
      </c>
      <c r="E3246" s="39">
        <v>109.52567291259766</v>
      </c>
      <c r="F3246" s="41">
        <v>4118210</v>
      </c>
      <c r="G3246" s="35" t="s">
        <v>682</v>
      </c>
      <c r="H3246" s="35" t="s">
        <v>115</v>
      </c>
    </row>
    <row r="3247" spans="1:8">
      <c r="A3247" s="37">
        <v>43019.15625</v>
      </c>
      <c r="B3247" s="35" t="s">
        <v>654</v>
      </c>
      <c r="C3247" s="35" t="s">
        <v>655</v>
      </c>
      <c r="D3247" s="39">
        <v>118.73999786376953</v>
      </c>
      <c r="E3247" s="39">
        <v>107.57778167724609</v>
      </c>
      <c r="F3247" s="41">
        <v>4876870</v>
      </c>
      <c r="G3247" s="35" t="s">
        <v>682</v>
      </c>
      <c r="H3247" s="35" t="s">
        <v>115</v>
      </c>
    </row>
    <row r="3248" spans="1:8">
      <c r="A3248" s="37">
        <v>43020.15625</v>
      </c>
      <c r="B3248" s="35" t="s">
        <v>654</v>
      </c>
      <c r="C3248" s="35" t="s">
        <v>655</v>
      </c>
      <c r="D3248" s="39">
        <v>122.55000305175781</v>
      </c>
      <c r="E3248" s="39">
        <v>111.02963256835938</v>
      </c>
      <c r="F3248" s="41">
        <v>5320730</v>
      </c>
      <c r="G3248" s="35" t="s">
        <v>682</v>
      </c>
      <c r="H3248" s="35" t="s">
        <v>115</v>
      </c>
    </row>
    <row r="3249" spans="1:8">
      <c r="A3249" s="37">
        <v>43021.15625</v>
      </c>
      <c r="B3249" s="35" t="s">
        <v>654</v>
      </c>
      <c r="C3249" s="35" t="s">
        <v>655</v>
      </c>
      <c r="D3249" s="39">
        <v>124.69000244140625</v>
      </c>
      <c r="E3249" s="39">
        <v>112.96842956542969</v>
      </c>
      <c r="F3249" s="41">
        <v>8426550</v>
      </c>
      <c r="G3249" s="35" t="s">
        <v>682</v>
      </c>
      <c r="H3249" s="35" t="s">
        <v>115</v>
      </c>
    </row>
    <row r="3250" spans="1:8">
      <c r="A3250" s="37">
        <v>43024.15625</v>
      </c>
      <c r="B3250" s="35" t="s">
        <v>654</v>
      </c>
      <c r="C3250" s="35" t="s">
        <v>655</v>
      </c>
      <c r="D3250" s="39">
        <v>125.16000366210938</v>
      </c>
      <c r="E3250" s="39">
        <v>113.39425659179688</v>
      </c>
      <c r="F3250" s="41">
        <v>3069470</v>
      </c>
      <c r="G3250" s="35" t="s">
        <v>682</v>
      </c>
      <c r="H3250" s="35" t="s">
        <v>115</v>
      </c>
    </row>
    <row r="3251" spans="1:8">
      <c r="A3251" s="37">
        <v>43025.145833333336</v>
      </c>
      <c r="B3251" s="35" t="s">
        <v>654</v>
      </c>
      <c r="C3251" s="35" t="s">
        <v>655</v>
      </c>
      <c r="D3251" s="39">
        <v>126.70999908447266</v>
      </c>
      <c r="E3251" s="39">
        <v>114.79854583740234</v>
      </c>
      <c r="F3251" s="41">
        <v>3092125</v>
      </c>
      <c r="G3251" s="35" t="s">
        <v>682</v>
      </c>
      <c r="H3251" s="35" t="s">
        <v>115</v>
      </c>
    </row>
    <row r="3252" spans="1:8">
      <c r="A3252" s="37">
        <v>43026.15625</v>
      </c>
      <c r="B3252" s="35" t="s">
        <v>654</v>
      </c>
      <c r="C3252" s="35" t="s">
        <v>655</v>
      </c>
      <c r="D3252" s="39">
        <v>122.72000122070313</v>
      </c>
      <c r="E3252" s="39">
        <v>111.18363952636719</v>
      </c>
      <c r="F3252" s="41">
        <v>11622455</v>
      </c>
      <c r="G3252" s="35" t="s">
        <v>682</v>
      </c>
      <c r="H3252" s="35" t="s">
        <v>115</v>
      </c>
    </row>
    <row r="3253" spans="1:8">
      <c r="A3253" s="37">
        <v>43027.145833333336</v>
      </c>
      <c r="B3253" s="35" t="s">
        <v>654</v>
      </c>
      <c r="C3253" s="35" t="s">
        <v>655</v>
      </c>
      <c r="D3253" s="39">
        <v>122.37000274658203</v>
      </c>
      <c r="E3253" s="39">
        <v>110.86652374267578</v>
      </c>
      <c r="F3253" s="41">
        <v>534495</v>
      </c>
      <c r="G3253" s="35" t="s">
        <v>682</v>
      </c>
      <c r="H3253" s="35" t="s">
        <v>115</v>
      </c>
    </row>
    <row r="3254" spans="1:8">
      <c r="A3254" s="37">
        <v>43031.15625</v>
      </c>
      <c r="B3254" s="35" t="s">
        <v>654</v>
      </c>
      <c r="C3254" s="35" t="s">
        <v>655</v>
      </c>
      <c r="D3254" s="39">
        <v>122.47000122070313</v>
      </c>
      <c r="E3254" s="39">
        <v>110.95713806152344</v>
      </c>
      <c r="F3254" s="41">
        <v>2449375</v>
      </c>
      <c r="G3254" s="35" t="s">
        <v>682</v>
      </c>
      <c r="H3254" s="35" t="s">
        <v>115</v>
      </c>
    </row>
    <row r="3255" spans="1:8">
      <c r="A3255" s="37">
        <v>43032.15625</v>
      </c>
      <c r="B3255" s="35" t="s">
        <v>654</v>
      </c>
      <c r="C3255" s="35" t="s">
        <v>655</v>
      </c>
      <c r="D3255" s="39">
        <v>121.66000366210938</v>
      </c>
      <c r="E3255" s="39">
        <v>110.22328948974609</v>
      </c>
      <c r="F3255" s="41">
        <v>1412250</v>
      </c>
      <c r="G3255" s="35" t="s">
        <v>682</v>
      </c>
      <c r="H3255" s="35" t="s">
        <v>115</v>
      </c>
    </row>
    <row r="3256" spans="1:8">
      <c r="A3256" s="37">
        <v>43033.15625</v>
      </c>
      <c r="B3256" s="35" t="s">
        <v>654</v>
      </c>
      <c r="C3256" s="35" t="s">
        <v>655</v>
      </c>
      <c r="D3256" s="39">
        <v>122.55999755859375</v>
      </c>
      <c r="E3256" s="39">
        <v>111.03868103027344</v>
      </c>
      <c r="F3256" s="41">
        <v>2205630</v>
      </c>
      <c r="G3256" s="35" t="s">
        <v>682</v>
      </c>
      <c r="H3256" s="35" t="s">
        <v>115</v>
      </c>
    </row>
    <row r="3257" spans="1:8">
      <c r="A3257" s="37">
        <v>43034.15625</v>
      </c>
      <c r="B3257" s="35" t="s">
        <v>654</v>
      </c>
      <c r="C3257" s="35" t="s">
        <v>655</v>
      </c>
      <c r="D3257" s="39">
        <v>121.81999969482422</v>
      </c>
      <c r="E3257" s="39">
        <v>110.36824035644531</v>
      </c>
      <c r="F3257" s="41">
        <v>2449550</v>
      </c>
      <c r="G3257" s="35" t="s">
        <v>682</v>
      </c>
      <c r="H3257" s="35" t="s">
        <v>115</v>
      </c>
    </row>
    <row r="3258" spans="1:8">
      <c r="A3258" s="37">
        <v>43035.15625</v>
      </c>
      <c r="B3258" s="35" t="s">
        <v>654</v>
      </c>
      <c r="C3258" s="35" t="s">
        <v>655</v>
      </c>
      <c r="D3258" s="39">
        <v>128.24000549316406</v>
      </c>
      <c r="E3258" s="39">
        <v>116.18473052978516</v>
      </c>
      <c r="F3258" s="41">
        <v>3530395</v>
      </c>
      <c r="G3258" s="35" t="s">
        <v>682</v>
      </c>
      <c r="H3258" s="35" t="s">
        <v>115</v>
      </c>
    </row>
    <row r="3259" spans="1:8">
      <c r="A3259" s="37">
        <v>43038.15625</v>
      </c>
      <c r="B3259" s="35" t="s">
        <v>654</v>
      </c>
      <c r="C3259" s="35" t="s">
        <v>655</v>
      </c>
      <c r="D3259" s="39">
        <v>128.46000671386719</v>
      </c>
      <c r="E3259" s="39">
        <v>116.38404846191406</v>
      </c>
      <c r="F3259" s="41">
        <v>1385305</v>
      </c>
      <c r="G3259" s="35" t="s">
        <v>682</v>
      </c>
      <c r="H3259" s="35" t="s">
        <v>115</v>
      </c>
    </row>
    <row r="3260" spans="1:8">
      <c r="A3260" s="37">
        <v>43039.15625</v>
      </c>
      <c r="B3260" s="35" t="s">
        <v>654</v>
      </c>
      <c r="C3260" s="35" t="s">
        <v>655</v>
      </c>
      <c r="D3260" s="39">
        <v>135.38999938964844</v>
      </c>
      <c r="E3260" s="39">
        <v>122.66255187988281</v>
      </c>
      <c r="F3260" s="41">
        <v>9345065</v>
      </c>
      <c r="G3260" s="35" t="s">
        <v>682</v>
      </c>
      <c r="H3260" s="35" t="s">
        <v>115</v>
      </c>
    </row>
    <row r="3261" spans="1:8">
      <c r="A3261" s="37">
        <v>43040.15625</v>
      </c>
      <c r="B3261" s="35" t="s">
        <v>654</v>
      </c>
      <c r="C3261" s="35" t="s">
        <v>655</v>
      </c>
      <c r="D3261" s="39">
        <v>130.82000732421875</v>
      </c>
      <c r="E3261" s="39">
        <v>118.52217102050781</v>
      </c>
      <c r="F3261" s="41">
        <v>2588455</v>
      </c>
      <c r="G3261" s="35" t="s">
        <v>682</v>
      </c>
      <c r="H3261" s="35" t="s">
        <v>115</v>
      </c>
    </row>
    <row r="3262" spans="1:8">
      <c r="A3262" s="37">
        <v>43041.15625</v>
      </c>
      <c r="B3262" s="35" t="s">
        <v>654</v>
      </c>
      <c r="C3262" s="35" t="s">
        <v>655</v>
      </c>
      <c r="D3262" s="39">
        <v>128.55000305175781</v>
      </c>
      <c r="E3262" s="39">
        <v>116.46559143066406</v>
      </c>
      <c r="F3262" s="41">
        <v>2578535</v>
      </c>
      <c r="G3262" s="35" t="s">
        <v>682</v>
      </c>
      <c r="H3262" s="35" t="s">
        <v>115</v>
      </c>
    </row>
    <row r="3263" spans="1:8">
      <c r="A3263" s="37">
        <v>43042.15625</v>
      </c>
      <c r="B3263" s="35" t="s">
        <v>654</v>
      </c>
      <c r="C3263" s="35" t="s">
        <v>655</v>
      </c>
      <c r="D3263" s="39">
        <v>129.77000427246094</v>
      </c>
      <c r="E3263" s="39">
        <v>117.5709228515625</v>
      </c>
      <c r="F3263" s="41">
        <v>1205690</v>
      </c>
      <c r="G3263" s="35" t="s">
        <v>682</v>
      </c>
      <c r="H3263" s="35" t="s">
        <v>115</v>
      </c>
    </row>
    <row r="3264" spans="1:8">
      <c r="A3264" s="37">
        <v>43045.15625</v>
      </c>
      <c r="B3264" s="35" t="s">
        <v>654</v>
      </c>
      <c r="C3264" s="35" t="s">
        <v>655</v>
      </c>
      <c r="D3264" s="39">
        <v>127.18000030517578</v>
      </c>
      <c r="E3264" s="39">
        <v>115.22435760498047</v>
      </c>
      <c r="F3264" s="41">
        <v>1258980</v>
      </c>
      <c r="G3264" s="35" t="s">
        <v>682</v>
      </c>
      <c r="H3264" s="35" t="s">
        <v>115</v>
      </c>
    </row>
    <row r="3265" spans="1:8">
      <c r="A3265" s="37">
        <v>43046.15625</v>
      </c>
      <c r="B3265" s="35" t="s">
        <v>654</v>
      </c>
      <c r="C3265" s="35" t="s">
        <v>655</v>
      </c>
      <c r="D3265" s="39">
        <v>127.84999847412109</v>
      </c>
      <c r="E3265" s="39">
        <v>115.83138275146484</v>
      </c>
      <c r="F3265" s="41">
        <v>2257620</v>
      </c>
      <c r="G3265" s="35" t="s">
        <v>682</v>
      </c>
      <c r="H3265" s="35" t="s">
        <v>115</v>
      </c>
    </row>
    <row r="3266" spans="1:8">
      <c r="A3266" s="37">
        <v>43047.15625</v>
      </c>
      <c r="B3266" s="35" t="s">
        <v>654</v>
      </c>
      <c r="C3266" s="35" t="s">
        <v>655</v>
      </c>
      <c r="D3266" s="39">
        <v>128.52000427246094</v>
      </c>
      <c r="E3266" s="39">
        <v>116.43841552734375</v>
      </c>
      <c r="F3266" s="41">
        <v>1791215</v>
      </c>
      <c r="G3266" s="35" t="s">
        <v>682</v>
      </c>
      <c r="H3266" s="35" t="s">
        <v>115</v>
      </c>
    </row>
    <row r="3267" spans="1:8">
      <c r="A3267" s="37">
        <v>43048.15625</v>
      </c>
      <c r="B3267" s="35" t="s">
        <v>654</v>
      </c>
      <c r="C3267" s="35" t="s">
        <v>655</v>
      </c>
      <c r="D3267" s="39">
        <v>132.00999450683594</v>
      </c>
      <c r="E3267" s="39">
        <v>119.60031127929688</v>
      </c>
      <c r="F3267" s="41">
        <v>5530445</v>
      </c>
      <c r="G3267" s="35" t="s">
        <v>682</v>
      </c>
      <c r="H3267" s="35" t="s">
        <v>115</v>
      </c>
    </row>
    <row r="3268" spans="1:8">
      <c r="A3268" s="37">
        <v>43049.15625</v>
      </c>
      <c r="B3268" s="35" t="s">
        <v>654</v>
      </c>
      <c r="C3268" s="35" t="s">
        <v>655</v>
      </c>
      <c r="D3268" s="39">
        <v>125.04000091552734</v>
      </c>
      <c r="E3268" s="39">
        <v>113.28554534912109</v>
      </c>
      <c r="F3268" s="41">
        <v>1868770</v>
      </c>
      <c r="G3268" s="35" t="s">
        <v>682</v>
      </c>
      <c r="H3268" s="35" t="s">
        <v>115</v>
      </c>
    </row>
    <row r="3269" spans="1:8">
      <c r="A3269" s="37">
        <v>43052.15625</v>
      </c>
      <c r="B3269" s="35" t="s">
        <v>654</v>
      </c>
      <c r="C3269" s="35" t="s">
        <v>655</v>
      </c>
      <c r="D3269" s="39">
        <v>127.04000091552734</v>
      </c>
      <c r="E3269" s="39">
        <v>115.09751892089844</v>
      </c>
      <c r="F3269" s="41">
        <v>1200690</v>
      </c>
      <c r="G3269" s="35" t="s">
        <v>682</v>
      </c>
      <c r="H3269" s="35" t="s">
        <v>115</v>
      </c>
    </row>
    <row r="3270" spans="1:8">
      <c r="A3270" s="37">
        <v>43053.15625</v>
      </c>
      <c r="B3270" s="35" t="s">
        <v>654</v>
      </c>
      <c r="C3270" s="35" t="s">
        <v>655</v>
      </c>
      <c r="D3270" s="39">
        <v>130.11000061035156</v>
      </c>
      <c r="E3270" s="39">
        <v>117.87896728515625</v>
      </c>
      <c r="F3270" s="41">
        <v>3787870</v>
      </c>
      <c r="G3270" s="35" t="s">
        <v>682</v>
      </c>
      <c r="H3270" s="35" t="s">
        <v>115</v>
      </c>
    </row>
    <row r="3271" spans="1:8">
      <c r="A3271" s="37">
        <v>43054.15625</v>
      </c>
      <c r="B3271" s="35" t="s">
        <v>654</v>
      </c>
      <c r="C3271" s="35" t="s">
        <v>655</v>
      </c>
      <c r="D3271" s="39">
        <v>126.30000305175781</v>
      </c>
      <c r="E3271" s="39">
        <v>114.42710113525391</v>
      </c>
      <c r="F3271" s="41">
        <v>1572840</v>
      </c>
      <c r="G3271" s="35" t="s">
        <v>682</v>
      </c>
      <c r="H3271" s="35" t="s">
        <v>115</v>
      </c>
    </row>
    <row r="3272" spans="1:8">
      <c r="A3272" s="37">
        <v>43055.15625</v>
      </c>
      <c r="B3272" s="35" t="s">
        <v>654</v>
      </c>
      <c r="C3272" s="35" t="s">
        <v>655</v>
      </c>
      <c r="D3272" s="39">
        <v>127.54000091552734</v>
      </c>
      <c r="E3272" s="39">
        <v>115.55052947998047</v>
      </c>
      <c r="F3272" s="41">
        <v>1120330</v>
      </c>
      <c r="G3272" s="35" t="s">
        <v>682</v>
      </c>
      <c r="H3272" s="35" t="s">
        <v>115</v>
      </c>
    </row>
    <row r="3273" spans="1:8">
      <c r="A3273" s="37">
        <v>43056.15625</v>
      </c>
      <c r="B3273" s="35" t="s">
        <v>654</v>
      </c>
      <c r="C3273" s="35" t="s">
        <v>655</v>
      </c>
      <c r="D3273" s="39">
        <v>128.44000244140625</v>
      </c>
      <c r="E3273" s="39">
        <v>116.36592102050781</v>
      </c>
      <c r="F3273" s="41">
        <v>1659225</v>
      </c>
      <c r="G3273" s="35" t="s">
        <v>682</v>
      </c>
      <c r="H3273" s="35" t="s">
        <v>115</v>
      </c>
    </row>
    <row r="3274" spans="1:8">
      <c r="A3274" s="37">
        <v>43059.15625</v>
      </c>
      <c r="B3274" s="35" t="s">
        <v>654</v>
      </c>
      <c r="C3274" s="35" t="s">
        <v>655</v>
      </c>
      <c r="D3274" s="39">
        <v>128.3800048828125</v>
      </c>
      <c r="E3274" s="39">
        <v>116.31156921386719</v>
      </c>
      <c r="F3274" s="41">
        <v>890145</v>
      </c>
      <c r="G3274" s="35" t="s">
        <v>682</v>
      </c>
      <c r="H3274" s="35" t="s">
        <v>115</v>
      </c>
    </row>
    <row r="3275" spans="1:8">
      <c r="A3275" s="37">
        <v>43060.15625</v>
      </c>
      <c r="B3275" s="35" t="s">
        <v>654</v>
      </c>
      <c r="C3275" s="35" t="s">
        <v>655</v>
      </c>
      <c r="D3275" s="39">
        <v>127.43000030517578</v>
      </c>
      <c r="E3275" s="39">
        <v>115.45088195800781</v>
      </c>
      <c r="F3275" s="41">
        <v>814070</v>
      </c>
      <c r="G3275" s="35" t="s">
        <v>682</v>
      </c>
      <c r="H3275" s="35" t="s">
        <v>115</v>
      </c>
    </row>
    <row r="3276" spans="1:8">
      <c r="A3276" s="37">
        <v>43061.15625</v>
      </c>
      <c r="B3276" s="35" t="s">
        <v>654</v>
      </c>
      <c r="C3276" s="35" t="s">
        <v>655</v>
      </c>
      <c r="D3276" s="39">
        <v>127.95999908447266</v>
      </c>
      <c r="E3276" s="39">
        <v>115.93105316162109</v>
      </c>
      <c r="F3276" s="41">
        <v>1309900</v>
      </c>
      <c r="G3276" s="35" t="s">
        <v>682</v>
      </c>
      <c r="H3276" s="35" t="s">
        <v>115</v>
      </c>
    </row>
    <row r="3277" spans="1:8">
      <c r="A3277" s="37">
        <v>43062.15625</v>
      </c>
      <c r="B3277" s="35" t="s">
        <v>654</v>
      </c>
      <c r="C3277" s="35" t="s">
        <v>655</v>
      </c>
      <c r="D3277" s="39">
        <v>131.21000671386719</v>
      </c>
      <c r="E3277" s="39">
        <v>118.87555694580078</v>
      </c>
      <c r="F3277" s="41">
        <v>2355100</v>
      </c>
      <c r="G3277" s="35" t="s">
        <v>682</v>
      </c>
      <c r="H3277" s="35" t="s">
        <v>115</v>
      </c>
    </row>
    <row r="3278" spans="1:8">
      <c r="A3278" s="37">
        <v>43063.15625</v>
      </c>
      <c r="B3278" s="35" t="s">
        <v>654</v>
      </c>
      <c r="C3278" s="35" t="s">
        <v>655</v>
      </c>
      <c r="D3278" s="39">
        <v>131.78999328613281</v>
      </c>
      <c r="E3278" s="39">
        <v>119.40100860595703</v>
      </c>
      <c r="F3278" s="41">
        <v>1777370</v>
      </c>
      <c r="G3278" s="35" t="s">
        <v>682</v>
      </c>
      <c r="H3278" s="35" t="s">
        <v>115</v>
      </c>
    </row>
    <row r="3279" spans="1:8">
      <c r="A3279" s="37">
        <v>43066.15625</v>
      </c>
      <c r="B3279" s="35" t="s">
        <v>654</v>
      </c>
      <c r="C3279" s="35" t="s">
        <v>655</v>
      </c>
      <c r="D3279" s="39">
        <v>128.00999450683594</v>
      </c>
      <c r="E3279" s="39">
        <v>115.97634124755859</v>
      </c>
      <c r="F3279" s="41">
        <v>2106620</v>
      </c>
      <c r="G3279" s="35" t="s">
        <v>682</v>
      </c>
      <c r="H3279" s="35" t="s">
        <v>115</v>
      </c>
    </row>
    <row r="3280" spans="1:8">
      <c r="A3280" s="37">
        <v>43067.15625</v>
      </c>
      <c r="B3280" s="35" t="s">
        <v>654</v>
      </c>
      <c r="C3280" s="35" t="s">
        <v>655</v>
      </c>
      <c r="D3280" s="39">
        <v>127.80999755859375</v>
      </c>
      <c r="E3280" s="39">
        <v>115.79515838623047</v>
      </c>
      <c r="F3280" s="41">
        <v>1593815</v>
      </c>
      <c r="G3280" s="35" t="s">
        <v>682</v>
      </c>
      <c r="H3280" s="35" t="s">
        <v>115</v>
      </c>
    </row>
    <row r="3281" spans="1:8">
      <c r="A3281" s="37">
        <v>43068.15625</v>
      </c>
      <c r="B3281" s="35" t="s">
        <v>654</v>
      </c>
      <c r="C3281" s="35" t="s">
        <v>655</v>
      </c>
      <c r="D3281" s="39">
        <v>126.51999664306641</v>
      </c>
      <c r="E3281" s="39">
        <v>114.62639617919922</v>
      </c>
      <c r="F3281" s="41">
        <v>978675</v>
      </c>
      <c r="G3281" s="35" t="s">
        <v>682</v>
      </c>
      <c r="H3281" s="35" t="s">
        <v>115</v>
      </c>
    </row>
    <row r="3282" spans="1:8">
      <c r="A3282" s="37">
        <v>43069.15625</v>
      </c>
      <c r="B3282" s="35" t="s">
        <v>654</v>
      </c>
      <c r="C3282" s="35" t="s">
        <v>655</v>
      </c>
      <c r="D3282" s="39">
        <v>127.80000305175781</v>
      </c>
      <c r="E3282" s="39">
        <v>115.78608703613281</v>
      </c>
      <c r="F3282" s="41">
        <v>3278575</v>
      </c>
      <c r="G3282" s="35" t="s">
        <v>682</v>
      </c>
      <c r="H3282" s="35" t="s">
        <v>115</v>
      </c>
    </row>
    <row r="3283" spans="1:8">
      <c r="A3283" s="37">
        <v>43070.15625</v>
      </c>
      <c r="B3283" s="35" t="s">
        <v>654</v>
      </c>
      <c r="C3283" s="35" t="s">
        <v>655</v>
      </c>
      <c r="D3283" s="39">
        <v>126.26999664306641</v>
      </c>
      <c r="E3283" s="39">
        <v>114.39992523193359</v>
      </c>
      <c r="F3283" s="41">
        <v>1069475</v>
      </c>
      <c r="G3283" s="35" t="s">
        <v>682</v>
      </c>
      <c r="H3283" s="35" t="s">
        <v>115</v>
      </c>
    </row>
    <row r="3284" spans="1:8">
      <c r="A3284" s="37">
        <v>43073.15625</v>
      </c>
      <c r="B3284" s="35" t="s">
        <v>654</v>
      </c>
      <c r="C3284" s="35" t="s">
        <v>655</v>
      </c>
      <c r="D3284" s="39">
        <v>124.73999786376953</v>
      </c>
      <c r="E3284" s="39">
        <v>113.01373291015625</v>
      </c>
      <c r="F3284" s="41">
        <v>1691675</v>
      </c>
      <c r="G3284" s="35" t="s">
        <v>682</v>
      </c>
      <c r="H3284" s="35" t="s">
        <v>115</v>
      </c>
    </row>
    <row r="3285" spans="1:8">
      <c r="A3285" s="37">
        <v>43074.15625</v>
      </c>
      <c r="B3285" s="35" t="s">
        <v>654</v>
      </c>
      <c r="C3285" s="35" t="s">
        <v>655</v>
      </c>
      <c r="D3285" s="39">
        <v>127.66999816894531</v>
      </c>
      <c r="E3285" s="39">
        <v>115.66829681396484</v>
      </c>
      <c r="F3285" s="41">
        <v>1167915</v>
      </c>
      <c r="G3285" s="35" t="s">
        <v>682</v>
      </c>
      <c r="H3285" s="35" t="s">
        <v>115</v>
      </c>
    </row>
    <row r="3286" spans="1:8">
      <c r="A3286" s="37">
        <v>43075.15625</v>
      </c>
      <c r="B3286" s="35" t="s">
        <v>654</v>
      </c>
      <c r="C3286" s="35" t="s">
        <v>655</v>
      </c>
      <c r="D3286" s="39">
        <v>126.87000274658203</v>
      </c>
      <c r="E3286" s="39">
        <v>114.94351196289063</v>
      </c>
      <c r="F3286" s="41">
        <v>2542895</v>
      </c>
      <c r="G3286" s="35" t="s">
        <v>682</v>
      </c>
      <c r="H3286" s="35" t="s">
        <v>115</v>
      </c>
    </row>
    <row r="3287" spans="1:8">
      <c r="A3287" s="37">
        <v>43076.15625</v>
      </c>
      <c r="B3287" s="35" t="s">
        <v>654</v>
      </c>
      <c r="C3287" s="35" t="s">
        <v>655</v>
      </c>
      <c r="D3287" s="39">
        <v>125.68000030517578</v>
      </c>
      <c r="E3287" s="39">
        <v>113.86539459228516</v>
      </c>
      <c r="F3287" s="41">
        <v>1497015</v>
      </c>
      <c r="G3287" s="35" t="s">
        <v>682</v>
      </c>
      <c r="H3287" s="35" t="s">
        <v>115</v>
      </c>
    </row>
    <row r="3288" spans="1:8">
      <c r="A3288" s="37">
        <v>43077.15625</v>
      </c>
      <c r="B3288" s="35" t="s">
        <v>654</v>
      </c>
      <c r="C3288" s="35" t="s">
        <v>655</v>
      </c>
      <c r="D3288" s="39">
        <v>126.09999847412109</v>
      </c>
      <c r="E3288" s="39">
        <v>114.24588012695313</v>
      </c>
      <c r="F3288" s="41">
        <v>930455</v>
      </c>
      <c r="G3288" s="35" t="s">
        <v>682</v>
      </c>
      <c r="H3288" s="35" t="s">
        <v>115</v>
      </c>
    </row>
    <row r="3289" spans="1:8">
      <c r="A3289" s="37">
        <v>43080.15625</v>
      </c>
      <c r="B3289" s="35" t="s">
        <v>654</v>
      </c>
      <c r="C3289" s="35" t="s">
        <v>655</v>
      </c>
      <c r="D3289" s="39">
        <v>128.53999328613281</v>
      </c>
      <c r="E3289" s="39">
        <v>116.45652770996094</v>
      </c>
      <c r="F3289" s="41">
        <v>1079135</v>
      </c>
      <c r="G3289" s="35" t="s">
        <v>682</v>
      </c>
      <c r="H3289" s="35" t="s">
        <v>115</v>
      </c>
    </row>
    <row r="3290" spans="1:8">
      <c r="A3290" s="37">
        <v>43081.15625</v>
      </c>
      <c r="B3290" s="35" t="s">
        <v>654</v>
      </c>
      <c r="C3290" s="35" t="s">
        <v>655</v>
      </c>
      <c r="D3290" s="39">
        <v>126.22000122070313</v>
      </c>
      <c r="E3290" s="39">
        <v>114.3546142578125</v>
      </c>
      <c r="F3290" s="41">
        <v>2408180</v>
      </c>
      <c r="G3290" s="35" t="s">
        <v>682</v>
      </c>
      <c r="H3290" s="35" t="s">
        <v>115</v>
      </c>
    </row>
    <row r="3291" spans="1:8">
      <c r="A3291" s="37">
        <v>43082.15625</v>
      </c>
      <c r="B3291" s="35" t="s">
        <v>654</v>
      </c>
      <c r="C3291" s="35" t="s">
        <v>655</v>
      </c>
      <c r="D3291" s="39">
        <v>122.65000152587891</v>
      </c>
      <c r="E3291" s="39">
        <v>111.12022399902344</v>
      </c>
      <c r="F3291" s="41">
        <v>1559160</v>
      </c>
      <c r="G3291" s="35" t="s">
        <v>682</v>
      </c>
      <c r="H3291" s="35" t="s">
        <v>115</v>
      </c>
    </row>
    <row r="3292" spans="1:8">
      <c r="A3292" s="37">
        <v>43083.15625</v>
      </c>
      <c r="B3292" s="35" t="s">
        <v>654</v>
      </c>
      <c r="C3292" s="35" t="s">
        <v>655</v>
      </c>
      <c r="D3292" s="39">
        <v>123.62000274658203</v>
      </c>
      <c r="E3292" s="39">
        <v>111.99904632568359</v>
      </c>
      <c r="F3292" s="41">
        <v>2116510</v>
      </c>
      <c r="G3292" s="35" t="s">
        <v>682</v>
      </c>
      <c r="H3292" s="35" t="s">
        <v>115</v>
      </c>
    </row>
    <row r="3293" spans="1:8">
      <c r="A3293" s="37">
        <v>43084.15625</v>
      </c>
      <c r="B3293" s="35" t="s">
        <v>654</v>
      </c>
      <c r="C3293" s="35" t="s">
        <v>655</v>
      </c>
      <c r="D3293" s="39">
        <v>122.77999877929688</v>
      </c>
      <c r="E3293" s="39">
        <v>111.23797607421875</v>
      </c>
      <c r="F3293" s="41">
        <v>805360</v>
      </c>
      <c r="G3293" s="35" t="s">
        <v>682</v>
      </c>
      <c r="H3293" s="35" t="s">
        <v>115</v>
      </c>
    </row>
    <row r="3294" spans="1:8">
      <c r="A3294" s="37">
        <v>43087.15625</v>
      </c>
      <c r="B3294" s="35" t="s">
        <v>654</v>
      </c>
      <c r="C3294" s="35" t="s">
        <v>655</v>
      </c>
      <c r="D3294" s="39">
        <v>123.45999908447266</v>
      </c>
      <c r="E3294" s="39">
        <v>111.85407257080078</v>
      </c>
      <c r="F3294" s="41">
        <v>1332810</v>
      </c>
      <c r="G3294" s="35" t="s">
        <v>682</v>
      </c>
      <c r="H3294" s="35" t="s">
        <v>115</v>
      </c>
    </row>
    <row r="3295" spans="1:8">
      <c r="A3295" s="37">
        <v>43088.15625</v>
      </c>
      <c r="B3295" s="35" t="s">
        <v>654</v>
      </c>
      <c r="C3295" s="35" t="s">
        <v>655</v>
      </c>
      <c r="D3295" s="39">
        <v>124.45999908447266</v>
      </c>
      <c r="E3295" s="39">
        <v>112.76004791259766</v>
      </c>
      <c r="F3295" s="41">
        <v>2142630</v>
      </c>
      <c r="G3295" s="35" t="s">
        <v>682</v>
      </c>
      <c r="H3295" s="35" t="s">
        <v>115</v>
      </c>
    </row>
    <row r="3296" spans="1:8">
      <c r="A3296" s="37">
        <v>43089.15625</v>
      </c>
      <c r="B3296" s="35" t="s">
        <v>654</v>
      </c>
      <c r="C3296" s="35" t="s">
        <v>655</v>
      </c>
      <c r="D3296" s="39">
        <v>127.98000335693359</v>
      </c>
      <c r="E3296" s="39">
        <v>115.94915771484375</v>
      </c>
      <c r="F3296" s="41">
        <v>1714535</v>
      </c>
      <c r="G3296" s="35" t="s">
        <v>682</v>
      </c>
      <c r="H3296" s="35" t="s">
        <v>115</v>
      </c>
    </row>
    <row r="3297" spans="1:8">
      <c r="A3297" s="37">
        <v>43090.15625</v>
      </c>
      <c r="B3297" s="35" t="s">
        <v>654</v>
      </c>
      <c r="C3297" s="35" t="s">
        <v>655</v>
      </c>
      <c r="D3297" s="39">
        <v>130.05000305175781</v>
      </c>
      <c r="E3297" s="39">
        <v>117.8245849609375</v>
      </c>
      <c r="F3297" s="41">
        <v>1582795</v>
      </c>
      <c r="G3297" s="35" t="s">
        <v>682</v>
      </c>
      <c r="H3297" s="35" t="s">
        <v>115</v>
      </c>
    </row>
    <row r="3298" spans="1:8">
      <c r="A3298" s="37">
        <v>43091.15625</v>
      </c>
      <c r="B3298" s="35" t="s">
        <v>654</v>
      </c>
      <c r="C3298" s="35" t="s">
        <v>655</v>
      </c>
      <c r="D3298" s="39">
        <v>128.80999755859375</v>
      </c>
      <c r="E3298" s="39">
        <v>116.70112609863281</v>
      </c>
      <c r="F3298" s="41">
        <v>1005210</v>
      </c>
      <c r="G3298" s="35" t="s">
        <v>682</v>
      </c>
      <c r="H3298" s="35" t="s">
        <v>115</v>
      </c>
    </row>
    <row r="3299" spans="1:8">
      <c r="A3299" s="37">
        <v>43095.15625</v>
      </c>
      <c r="B3299" s="35" t="s">
        <v>654</v>
      </c>
      <c r="C3299" s="35" t="s">
        <v>655</v>
      </c>
      <c r="D3299" s="39">
        <v>127.13999938964844</v>
      </c>
      <c r="E3299" s="39">
        <v>115.18814849853516</v>
      </c>
      <c r="F3299" s="41">
        <v>1042520</v>
      </c>
      <c r="G3299" s="35" t="s">
        <v>682</v>
      </c>
      <c r="H3299" s="35" t="s">
        <v>115</v>
      </c>
    </row>
    <row r="3300" spans="1:8">
      <c r="A3300" s="37">
        <v>43096.15625</v>
      </c>
      <c r="B3300" s="35" t="s">
        <v>654</v>
      </c>
      <c r="C3300" s="35" t="s">
        <v>655</v>
      </c>
      <c r="D3300" s="39">
        <v>128.03999328613281</v>
      </c>
      <c r="E3300" s="39">
        <v>116.00352478027344</v>
      </c>
      <c r="F3300" s="41">
        <v>1099235</v>
      </c>
      <c r="G3300" s="35" t="s">
        <v>682</v>
      </c>
      <c r="H3300" s="35" t="s">
        <v>115</v>
      </c>
    </row>
    <row r="3301" spans="1:8">
      <c r="A3301" s="37">
        <v>43097.15625</v>
      </c>
      <c r="B3301" s="35" t="s">
        <v>654</v>
      </c>
      <c r="C3301" s="35" t="s">
        <v>655</v>
      </c>
      <c r="D3301" s="39">
        <v>129.91000366210938</v>
      </c>
      <c r="E3301" s="39">
        <v>117.69773101806641</v>
      </c>
      <c r="F3301" s="41">
        <v>2698110</v>
      </c>
      <c r="G3301" s="35" t="s">
        <v>682</v>
      </c>
      <c r="H3301" s="35" t="s">
        <v>115</v>
      </c>
    </row>
    <row r="3302" spans="1:8">
      <c r="A3302" s="37">
        <v>43098.15625</v>
      </c>
      <c r="B3302" s="35" t="s">
        <v>654</v>
      </c>
      <c r="C3302" s="35" t="s">
        <v>655</v>
      </c>
      <c r="D3302" s="39">
        <v>129.00999450683594</v>
      </c>
      <c r="E3302" s="39">
        <v>116.88232421875</v>
      </c>
      <c r="F3302" s="41">
        <v>2134965</v>
      </c>
      <c r="G3302" s="35" t="s">
        <v>682</v>
      </c>
      <c r="H3302" s="35" t="s">
        <v>115</v>
      </c>
    </row>
    <row r="3303" spans="1:8">
      <c r="A3303" s="37">
        <v>43101.15625</v>
      </c>
      <c r="B3303" s="35" t="s">
        <v>654</v>
      </c>
      <c r="C3303" s="35" t="s">
        <v>655</v>
      </c>
      <c r="D3303" s="39">
        <v>130.75999450683594</v>
      </c>
      <c r="E3303" s="39">
        <v>118.46784973144531</v>
      </c>
      <c r="F3303" s="41">
        <v>1066295</v>
      </c>
      <c r="G3303" s="35" t="s">
        <v>682</v>
      </c>
      <c r="H3303" s="35" t="s">
        <v>115</v>
      </c>
    </row>
    <row r="3304" spans="1:8">
      <c r="A3304" s="37">
        <v>43102.15625</v>
      </c>
      <c r="B3304" s="35" t="s">
        <v>654</v>
      </c>
      <c r="C3304" s="35" t="s">
        <v>655</v>
      </c>
      <c r="D3304" s="39">
        <v>128.50999450683594</v>
      </c>
      <c r="E3304" s="39">
        <v>116.42933654785156</v>
      </c>
      <c r="F3304" s="41">
        <v>1976870</v>
      </c>
      <c r="G3304" s="35" t="s">
        <v>682</v>
      </c>
      <c r="H3304" s="35" t="s">
        <v>115</v>
      </c>
    </row>
    <row r="3305" spans="1:8">
      <c r="A3305" s="37">
        <v>43103.15625</v>
      </c>
      <c r="B3305" s="35" t="s">
        <v>654</v>
      </c>
      <c r="C3305" s="35" t="s">
        <v>655</v>
      </c>
      <c r="D3305" s="39">
        <v>129.19000244140625</v>
      </c>
      <c r="E3305" s="39">
        <v>117.04543304443359</v>
      </c>
      <c r="F3305" s="41">
        <v>1551260</v>
      </c>
      <c r="G3305" s="35" t="s">
        <v>682</v>
      </c>
      <c r="H3305" s="35" t="s">
        <v>115</v>
      </c>
    </row>
    <row r="3306" spans="1:8">
      <c r="A3306" s="37">
        <v>43104.15625</v>
      </c>
      <c r="B3306" s="35" t="s">
        <v>654</v>
      </c>
      <c r="C3306" s="35" t="s">
        <v>655</v>
      </c>
      <c r="D3306" s="39">
        <v>130.6300048828125</v>
      </c>
      <c r="E3306" s="39">
        <v>118.35005950927734</v>
      </c>
      <c r="F3306" s="41">
        <v>1383870</v>
      </c>
      <c r="G3306" s="35" t="s">
        <v>682</v>
      </c>
      <c r="H3306" s="35" t="s">
        <v>115</v>
      </c>
    </row>
    <row r="3307" spans="1:8">
      <c r="A3307" s="37">
        <v>43105.15625</v>
      </c>
      <c r="B3307" s="35" t="s">
        <v>654</v>
      </c>
      <c r="C3307" s="35" t="s">
        <v>655</v>
      </c>
      <c r="D3307" s="39">
        <v>133.89999389648438</v>
      </c>
      <c r="E3307" s="39">
        <v>121.3126220703125</v>
      </c>
      <c r="F3307" s="41">
        <v>2123295</v>
      </c>
      <c r="G3307" s="35" t="s">
        <v>682</v>
      </c>
      <c r="H3307" s="35" t="s">
        <v>115</v>
      </c>
    </row>
    <row r="3308" spans="1:8">
      <c r="A3308" s="37">
        <v>43108.15625</v>
      </c>
      <c r="B3308" s="35" t="s">
        <v>654</v>
      </c>
      <c r="C3308" s="35" t="s">
        <v>655</v>
      </c>
      <c r="D3308" s="39">
        <v>140.80999755859375</v>
      </c>
      <c r="E3308" s="39">
        <v>127.57307434082031</v>
      </c>
      <c r="F3308" s="41">
        <v>4547385</v>
      </c>
      <c r="G3308" s="35" t="s">
        <v>682</v>
      </c>
      <c r="H3308" s="35" t="s">
        <v>115</v>
      </c>
    </row>
    <row r="3309" spans="1:8">
      <c r="A3309" s="37">
        <v>43109.15625</v>
      </c>
      <c r="B3309" s="35" t="s">
        <v>654</v>
      </c>
      <c r="C3309" s="35" t="s">
        <v>655</v>
      </c>
      <c r="D3309" s="39">
        <v>137.97999572753906</v>
      </c>
      <c r="E3309" s="39">
        <v>125.00910186767578</v>
      </c>
      <c r="F3309" s="41">
        <v>1801200</v>
      </c>
      <c r="G3309" s="35" t="s">
        <v>682</v>
      </c>
      <c r="H3309" s="35" t="s">
        <v>115</v>
      </c>
    </row>
    <row r="3310" spans="1:8">
      <c r="A3310" s="37">
        <v>43110.15625</v>
      </c>
      <c r="B3310" s="35" t="s">
        <v>654</v>
      </c>
      <c r="C3310" s="35" t="s">
        <v>655</v>
      </c>
      <c r="D3310" s="39">
        <v>143.83000183105469</v>
      </c>
      <c r="E3310" s="39">
        <v>130.30923461914063</v>
      </c>
      <c r="F3310" s="41">
        <v>5950565</v>
      </c>
      <c r="G3310" s="35" t="s">
        <v>682</v>
      </c>
      <c r="H3310" s="35" t="s">
        <v>115</v>
      </c>
    </row>
    <row r="3311" spans="1:8">
      <c r="A3311" s="37">
        <v>43111.15625</v>
      </c>
      <c r="B3311" s="35" t="s">
        <v>654</v>
      </c>
      <c r="C3311" s="35" t="s">
        <v>655</v>
      </c>
      <c r="D3311" s="39">
        <v>143.52999877929688</v>
      </c>
      <c r="E3311" s="39">
        <v>130.03741455078125</v>
      </c>
      <c r="F3311" s="41">
        <v>5076835</v>
      </c>
      <c r="G3311" s="35" t="s">
        <v>682</v>
      </c>
      <c r="H3311" s="35" t="s">
        <v>115</v>
      </c>
    </row>
    <row r="3312" spans="1:8">
      <c r="A3312" s="37">
        <v>43112.15625</v>
      </c>
      <c r="B3312" s="35" t="s">
        <v>654</v>
      </c>
      <c r="C3312" s="35" t="s">
        <v>655</v>
      </c>
      <c r="D3312" s="39">
        <v>140.25999450683594</v>
      </c>
      <c r="E3312" s="39">
        <v>127.07478332519531</v>
      </c>
      <c r="F3312" s="41">
        <v>1889545</v>
      </c>
      <c r="G3312" s="35" t="s">
        <v>682</v>
      </c>
      <c r="H3312" s="35" t="s">
        <v>115</v>
      </c>
    </row>
    <row r="3313" spans="1:8">
      <c r="A3313" s="37">
        <v>43115.15625</v>
      </c>
      <c r="B3313" s="35" t="s">
        <v>654</v>
      </c>
      <c r="C3313" s="35" t="s">
        <v>655</v>
      </c>
      <c r="D3313" s="39">
        <v>140.16999816894531</v>
      </c>
      <c r="E3313" s="39">
        <v>126.99324035644531</v>
      </c>
      <c r="F3313" s="41">
        <v>1161990</v>
      </c>
      <c r="G3313" s="35" t="s">
        <v>682</v>
      </c>
      <c r="H3313" s="35" t="s">
        <v>115</v>
      </c>
    </row>
    <row r="3314" spans="1:8">
      <c r="A3314" s="37">
        <v>43116.15625</v>
      </c>
      <c r="B3314" s="35" t="s">
        <v>654</v>
      </c>
      <c r="C3314" s="35" t="s">
        <v>655</v>
      </c>
      <c r="D3314" s="39">
        <v>141.77000427246094</v>
      </c>
      <c r="E3314" s="39">
        <v>128.44284057617188</v>
      </c>
      <c r="F3314" s="41">
        <v>4822320</v>
      </c>
      <c r="G3314" s="35" t="s">
        <v>682</v>
      </c>
      <c r="H3314" s="35" t="s">
        <v>115</v>
      </c>
    </row>
    <row r="3315" spans="1:8">
      <c r="A3315" s="37">
        <v>43117.15625</v>
      </c>
      <c r="B3315" s="35" t="s">
        <v>654</v>
      </c>
      <c r="C3315" s="35" t="s">
        <v>655</v>
      </c>
      <c r="D3315" s="39">
        <v>141.21000671386719</v>
      </c>
      <c r="E3315" s="39">
        <v>127.93550109863281</v>
      </c>
      <c r="F3315" s="41">
        <v>3796160</v>
      </c>
      <c r="G3315" s="35" t="s">
        <v>682</v>
      </c>
      <c r="H3315" s="35" t="s">
        <v>115</v>
      </c>
    </row>
    <row r="3316" spans="1:8">
      <c r="A3316" s="37">
        <v>43118.15625</v>
      </c>
      <c r="B3316" s="35" t="s">
        <v>654</v>
      </c>
      <c r="C3316" s="35" t="s">
        <v>655</v>
      </c>
      <c r="D3316" s="39">
        <v>138.63999938964844</v>
      </c>
      <c r="E3316" s="39">
        <v>125.60706329345703</v>
      </c>
      <c r="F3316" s="41">
        <v>2548480</v>
      </c>
      <c r="G3316" s="35" t="s">
        <v>682</v>
      </c>
      <c r="H3316" s="35" t="s">
        <v>115</v>
      </c>
    </row>
    <row r="3317" spans="1:8">
      <c r="A3317" s="37">
        <v>43119.15625</v>
      </c>
      <c r="B3317" s="35" t="s">
        <v>654</v>
      </c>
      <c r="C3317" s="35" t="s">
        <v>655</v>
      </c>
      <c r="D3317" s="39">
        <v>145.61000061035156</v>
      </c>
      <c r="E3317" s="39">
        <v>131.921875</v>
      </c>
      <c r="F3317" s="41">
        <v>11219470</v>
      </c>
      <c r="G3317" s="35" t="s">
        <v>682</v>
      </c>
      <c r="H3317" s="35" t="s">
        <v>115</v>
      </c>
    </row>
    <row r="3318" spans="1:8">
      <c r="A3318" s="37">
        <v>43122.15625</v>
      </c>
      <c r="B3318" s="35" t="s">
        <v>654</v>
      </c>
      <c r="C3318" s="35" t="s">
        <v>655</v>
      </c>
      <c r="D3318" s="39">
        <v>153.14999389648438</v>
      </c>
      <c r="E3318" s="39">
        <v>138.75300598144531</v>
      </c>
      <c r="F3318" s="41">
        <v>11840570</v>
      </c>
      <c r="G3318" s="35" t="s">
        <v>682</v>
      </c>
      <c r="H3318" s="35" t="s">
        <v>115</v>
      </c>
    </row>
    <row r="3319" spans="1:8">
      <c r="A3319" s="37">
        <v>43123.15625</v>
      </c>
      <c r="B3319" s="35" t="s">
        <v>654</v>
      </c>
      <c r="C3319" s="35" t="s">
        <v>655</v>
      </c>
      <c r="D3319" s="39">
        <v>156.75</v>
      </c>
      <c r="E3319" s="39">
        <v>142.01461791992188</v>
      </c>
      <c r="F3319" s="41">
        <v>5661885</v>
      </c>
      <c r="G3319" s="35" t="s">
        <v>682</v>
      </c>
      <c r="H3319" s="35" t="s">
        <v>115</v>
      </c>
    </row>
    <row r="3320" spans="1:8">
      <c r="A3320" s="37">
        <v>43124.15625</v>
      </c>
      <c r="B3320" s="35" t="s">
        <v>654</v>
      </c>
      <c r="C3320" s="35" t="s">
        <v>655</v>
      </c>
      <c r="D3320" s="39">
        <v>172.3800048828125</v>
      </c>
      <c r="E3320" s="39">
        <v>156.17533874511719</v>
      </c>
      <c r="F3320" s="41">
        <v>19322340</v>
      </c>
      <c r="G3320" s="35" t="s">
        <v>682</v>
      </c>
      <c r="H3320" s="35" t="s">
        <v>115</v>
      </c>
    </row>
    <row r="3321" spans="1:8">
      <c r="A3321" s="37">
        <v>43125.15625</v>
      </c>
      <c r="B3321" s="35" t="s">
        <v>654</v>
      </c>
      <c r="C3321" s="35" t="s">
        <v>655</v>
      </c>
      <c r="D3321" s="39">
        <v>182.82000732421875</v>
      </c>
      <c r="E3321" s="39">
        <v>165.63389587402344</v>
      </c>
      <c r="F3321" s="41">
        <v>23312155</v>
      </c>
      <c r="G3321" s="35" t="s">
        <v>682</v>
      </c>
      <c r="H3321" s="35" t="s">
        <v>115</v>
      </c>
    </row>
    <row r="3322" spans="1:8">
      <c r="A3322" s="37">
        <v>43129.15625</v>
      </c>
      <c r="B3322" s="35" t="s">
        <v>654</v>
      </c>
      <c r="C3322" s="35" t="s">
        <v>655</v>
      </c>
      <c r="D3322" s="39">
        <v>173.27000427246094</v>
      </c>
      <c r="E3322" s="39">
        <v>156.98165893554688</v>
      </c>
      <c r="F3322" s="41">
        <v>14134455</v>
      </c>
      <c r="G3322" s="35" t="s">
        <v>682</v>
      </c>
      <c r="H3322" s="35" t="s">
        <v>115</v>
      </c>
    </row>
    <row r="3323" spans="1:8">
      <c r="A3323" s="37">
        <v>43130.15625</v>
      </c>
      <c r="B3323" s="35" t="s">
        <v>654</v>
      </c>
      <c r="C3323" s="35" t="s">
        <v>655</v>
      </c>
      <c r="D3323" s="39">
        <v>171.75</v>
      </c>
      <c r="E3323" s="39">
        <v>155.60453796386719</v>
      </c>
      <c r="F3323" s="41">
        <v>8070045</v>
      </c>
      <c r="G3323" s="35" t="s">
        <v>682</v>
      </c>
      <c r="H3323" s="35" t="s">
        <v>115</v>
      </c>
    </row>
    <row r="3324" spans="1:8">
      <c r="A3324" s="37">
        <v>43131.15625</v>
      </c>
      <c r="B3324" s="35" t="s">
        <v>654</v>
      </c>
      <c r="C3324" s="35" t="s">
        <v>655</v>
      </c>
      <c r="D3324" s="39">
        <v>171.22999572753906</v>
      </c>
      <c r="E3324" s="39">
        <v>155.1334228515625</v>
      </c>
      <c r="F3324" s="41">
        <v>5346160</v>
      </c>
      <c r="G3324" s="35" t="s">
        <v>682</v>
      </c>
      <c r="H3324" s="35" t="s">
        <v>115</v>
      </c>
    </row>
    <row r="3325" spans="1:8">
      <c r="A3325" s="37">
        <v>43132.15625</v>
      </c>
      <c r="B3325" s="35" t="s">
        <v>654</v>
      </c>
      <c r="C3325" s="35" t="s">
        <v>655</v>
      </c>
      <c r="D3325" s="39">
        <v>167.02000427246094</v>
      </c>
      <c r="E3325" s="39">
        <v>151.31919860839844</v>
      </c>
      <c r="F3325" s="41">
        <v>3672230</v>
      </c>
      <c r="G3325" s="35" t="s">
        <v>682</v>
      </c>
      <c r="H3325" s="35" t="s">
        <v>115</v>
      </c>
    </row>
    <row r="3326" spans="1:8">
      <c r="A3326" s="37">
        <v>43133.15625</v>
      </c>
      <c r="B3326" s="35" t="s">
        <v>654</v>
      </c>
      <c r="C3326" s="35" t="s">
        <v>655</v>
      </c>
      <c r="D3326" s="39">
        <v>158</v>
      </c>
      <c r="E3326" s="39">
        <v>143.1470947265625</v>
      </c>
      <c r="F3326" s="41">
        <v>7866290</v>
      </c>
      <c r="G3326" s="35" t="s">
        <v>682</v>
      </c>
      <c r="H3326" s="35" t="s">
        <v>115</v>
      </c>
    </row>
    <row r="3327" spans="1:8">
      <c r="A3327" s="37">
        <v>43136.15625</v>
      </c>
      <c r="B3327" s="35" t="s">
        <v>654</v>
      </c>
      <c r="C3327" s="35" t="s">
        <v>655</v>
      </c>
      <c r="D3327" s="39">
        <v>165.35000610351563</v>
      </c>
      <c r="E3327" s="39">
        <v>149.80616760253906</v>
      </c>
      <c r="F3327" s="41">
        <v>5329770</v>
      </c>
      <c r="G3327" s="35" t="s">
        <v>682</v>
      </c>
      <c r="H3327" s="35" t="s">
        <v>115</v>
      </c>
    </row>
    <row r="3328" spans="1:8">
      <c r="A3328" s="37">
        <v>43137.15625</v>
      </c>
      <c r="B3328" s="35" t="s">
        <v>654</v>
      </c>
      <c r="C3328" s="35" t="s">
        <v>655</v>
      </c>
      <c r="D3328" s="39">
        <v>166.13999938964844</v>
      </c>
      <c r="E3328" s="39">
        <v>150.52192687988281</v>
      </c>
      <c r="F3328" s="41">
        <v>5432190</v>
      </c>
      <c r="G3328" s="35" t="s">
        <v>682</v>
      </c>
      <c r="H3328" s="35" t="s">
        <v>115</v>
      </c>
    </row>
    <row r="3329" spans="1:8">
      <c r="A3329" s="37">
        <v>43138.15625</v>
      </c>
      <c r="B3329" s="35" t="s">
        <v>654</v>
      </c>
      <c r="C3329" s="35" t="s">
        <v>655</v>
      </c>
      <c r="D3329" s="39">
        <v>167.61000061035156</v>
      </c>
      <c r="E3329" s="39">
        <v>151.85369873046875</v>
      </c>
      <c r="F3329" s="41">
        <v>6251915</v>
      </c>
      <c r="G3329" s="35" t="s">
        <v>682</v>
      </c>
      <c r="H3329" s="35" t="s">
        <v>115</v>
      </c>
    </row>
    <row r="3330" spans="1:8">
      <c r="A3330" s="37">
        <v>43139.15625</v>
      </c>
      <c r="B3330" s="35" t="s">
        <v>654</v>
      </c>
      <c r="C3330" s="35" t="s">
        <v>655</v>
      </c>
      <c r="D3330" s="39">
        <v>165.57000732421875</v>
      </c>
      <c r="E3330" s="39">
        <v>150.00552368164063</v>
      </c>
      <c r="F3330" s="41">
        <v>4802705</v>
      </c>
      <c r="G3330" s="35" t="s">
        <v>682</v>
      </c>
      <c r="H3330" s="35" t="s">
        <v>115</v>
      </c>
    </row>
    <row r="3331" spans="1:8">
      <c r="A3331" s="37">
        <v>43140.15625</v>
      </c>
      <c r="B3331" s="35" t="s">
        <v>654</v>
      </c>
      <c r="C3331" s="35" t="s">
        <v>655</v>
      </c>
      <c r="D3331" s="39">
        <v>165.99000549316406</v>
      </c>
      <c r="E3331" s="39">
        <v>150.38595581054688</v>
      </c>
      <c r="F3331" s="41">
        <v>2579265</v>
      </c>
      <c r="G3331" s="35" t="s">
        <v>682</v>
      </c>
      <c r="H3331" s="35" t="s">
        <v>115</v>
      </c>
    </row>
    <row r="3332" spans="1:8">
      <c r="A3332" s="37">
        <v>43143.15625</v>
      </c>
      <c r="B3332" s="35" t="s">
        <v>654</v>
      </c>
      <c r="C3332" s="35" t="s">
        <v>655</v>
      </c>
      <c r="D3332" s="39">
        <v>165.80999755859375</v>
      </c>
      <c r="E3332" s="39">
        <v>150.22291564941406</v>
      </c>
      <c r="F3332" s="41">
        <v>2195865</v>
      </c>
      <c r="G3332" s="35" t="s">
        <v>682</v>
      </c>
      <c r="H3332" s="35" t="s">
        <v>115</v>
      </c>
    </row>
    <row r="3333" spans="1:8">
      <c r="A3333" s="37">
        <v>43145.15625</v>
      </c>
      <c r="B3333" s="35" t="s">
        <v>654</v>
      </c>
      <c r="C3333" s="35" t="s">
        <v>655</v>
      </c>
      <c r="D3333" s="39">
        <v>166.08999633789063</v>
      </c>
      <c r="E3333" s="39">
        <v>150.47660827636719</v>
      </c>
      <c r="F3333" s="41">
        <v>5236940</v>
      </c>
      <c r="G3333" s="35" t="s">
        <v>682</v>
      </c>
      <c r="H3333" s="35" t="s">
        <v>115</v>
      </c>
    </row>
    <row r="3334" spans="1:8">
      <c r="A3334" s="37">
        <v>43146.15625</v>
      </c>
      <c r="B3334" s="35" t="s">
        <v>654</v>
      </c>
      <c r="C3334" s="35" t="s">
        <v>655</v>
      </c>
      <c r="D3334" s="39">
        <v>165.1199951171875</v>
      </c>
      <c r="E3334" s="39">
        <v>149.5977783203125</v>
      </c>
      <c r="F3334" s="41">
        <v>4122405</v>
      </c>
      <c r="G3334" s="35" t="s">
        <v>682</v>
      </c>
      <c r="H3334" s="35" t="s">
        <v>115</v>
      </c>
    </row>
    <row r="3335" spans="1:8">
      <c r="A3335" s="37">
        <v>43147.15625</v>
      </c>
      <c r="B3335" s="35" t="s">
        <v>654</v>
      </c>
      <c r="C3335" s="35" t="s">
        <v>655</v>
      </c>
      <c r="D3335" s="39">
        <v>164.05999755859375</v>
      </c>
      <c r="E3335" s="39">
        <v>148.637451171875</v>
      </c>
      <c r="F3335" s="41">
        <v>6320960</v>
      </c>
      <c r="G3335" s="35" t="s">
        <v>682</v>
      </c>
      <c r="H3335" s="35" t="s">
        <v>115</v>
      </c>
    </row>
    <row r="3336" spans="1:8">
      <c r="A3336" s="37">
        <v>43150.15625</v>
      </c>
      <c r="B3336" s="35" t="s">
        <v>654</v>
      </c>
      <c r="C3336" s="35" t="s">
        <v>655</v>
      </c>
      <c r="D3336" s="39">
        <v>152.25999450683594</v>
      </c>
      <c r="E3336" s="39">
        <v>137.94670104980469</v>
      </c>
      <c r="F3336" s="41">
        <v>6019765</v>
      </c>
      <c r="G3336" s="35" t="s">
        <v>682</v>
      </c>
      <c r="H3336" s="35" t="s">
        <v>115</v>
      </c>
    </row>
    <row r="3337" spans="1:8">
      <c r="A3337" s="37">
        <v>43151.15625</v>
      </c>
      <c r="B3337" s="35" t="s">
        <v>654</v>
      </c>
      <c r="C3337" s="35" t="s">
        <v>655</v>
      </c>
      <c r="D3337" s="39">
        <v>151.63999938964844</v>
      </c>
      <c r="E3337" s="39">
        <v>137.38497924804688</v>
      </c>
      <c r="F3337" s="41">
        <v>6912670</v>
      </c>
      <c r="G3337" s="35" t="s">
        <v>682</v>
      </c>
      <c r="H3337" s="35" t="s">
        <v>115</v>
      </c>
    </row>
    <row r="3338" spans="1:8">
      <c r="A3338" s="37">
        <v>43152.15625</v>
      </c>
      <c r="B3338" s="35" t="s">
        <v>654</v>
      </c>
      <c r="C3338" s="35" t="s">
        <v>655</v>
      </c>
      <c r="D3338" s="39">
        <v>159.07000732421875</v>
      </c>
      <c r="E3338" s="39">
        <v>144.11648559570313</v>
      </c>
      <c r="F3338" s="41">
        <v>10110260</v>
      </c>
      <c r="G3338" s="35" t="s">
        <v>682</v>
      </c>
      <c r="H3338" s="35" t="s">
        <v>115</v>
      </c>
    </row>
    <row r="3339" spans="1:8">
      <c r="A3339" s="37">
        <v>43153.15625</v>
      </c>
      <c r="B3339" s="35" t="s">
        <v>654</v>
      </c>
      <c r="C3339" s="35" t="s">
        <v>655</v>
      </c>
      <c r="D3339" s="39">
        <v>164.50999450683594</v>
      </c>
      <c r="E3339" s="39">
        <v>149.045166015625</v>
      </c>
      <c r="F3339" s="41">
        <v>14592640</v>
      </c>
      <c r="G3339" s="35" t="s">
        <v>682</v>
      </c>
      <c r="H3339" s="35" t="s">
        <v>115</v>
      </c>
    </row>
    <row r="3340" spans="1:8">
      <c r="A3340" s="37">
        <v>43154.15625</v>
      </c>
      <c r="B3340" s="35" t="s">
        <v>654</v>
      </c>
      <c r="C3340" s="35" t="s">
        <v>655</v>
      </c>
      <c r="D3340" s="39">
        <v>166.25</v>
      </c>
      <c r="E3340" s="39">
        <v>150.62158203125</v>
      </c>
      <c r="F3340" s="41">
        <v>5991485</v>
      </c>
      <c r="G3340" s="35" t="s">
        <v>682</v>
      </c>
      <c r="H3340" s="35" t="s">
        <v>115</v>
      </c>
    </row>
    <row r="3341" spans="1:8">
      <c r="A3341" s="37">
        <v>43157.15625</v>
      </c>
      <c r="B3341" s="35" t="s">
        <v>654</v>
      </c>
      <c r="C3341" s="35" t="s">
        <v>655</v>
      </c>
      <c r="D3341" s="39">
        <v>166.05999755859375</v>
      </c>
      <c r="E3341" s="39">
        <v>150.44947814941406</v>
      </c>
      <c r="F3341" s="41">
        <v>3958665</v>
      </c>
      <c r="G3341" s="35" t="s">
        <v>682</v>
      </c>
      <c r="H3341" s="35" t="s">
        <v>115</v>
      </c>
    </row>
    <row r="3342" spans="1:8">
      <c r="A3342" s="37">
        <v>43158.15625</v>
      </c>
      <c r="B3342" s="35" t="s">
        <v>654</v>
      </c>
      <c r="C3342" s="35" t="s">
        <v>655</v>
      </c>
      <c r="D3342" s="39">
        <v>166.55999755859375</v>
      </c>
      <c r="E3342" s="39">
        <v>150.90243530273438</v>
      </c>
      <c r="F3342" s="41">
        <v>4572205</v>
      </c>
      <c r="G3342" s="35" t="s">
        <v>682</v>
      </c>
      <c r="H3342" s="35" t="s">
        <v>115</v>
      </c>
    </row>
    <row r="3343" spans="1:8">
      <c r="A3343" s="37">
        <v>43159.15625</v>
      </c>
      <c r="B3343" s="35" t="s">
        <v>654</v>
      </c>
      <c r="C3343" s="35" t="s">
        <v>655</v>
      </c>
      <c r="D3343" s="39">
        <v>166.89999389648438</v>
      </c>
      <c r="E3343" s="39">
        <v>151.21049499511719</v>
      </c>
      <c r="F3343" s="41">
        <v>5907360</v>
      </c>
      <c r="G3343" s="35" t="s">
        <v>682</v>
      </c>
      <c r="H3343" s="35" t="s">
        <v>115</v>
      </c>
    </row>
    <row r="3344" spans="1:8">
      <c r="A3344" s="37">
        <v>43160.15625</v>
      </c>
      <c r="B3344" s="35" t="s">
        <v>654</v>
      </c>
      <c r="C3344" s="35" t="s">
        <v>655</v>
      </c>
      <c r="D3344" s="39">
        <v>174.27999877929688</v>
      </c>
      <c r="E3344" s="39">
        <v>157.89668273925781</v>
      </c>
      <c r="F3344" s="41">
        <v>10129240</v>
      </c>
      <c r="G3344" s="35" t="s">
        <v>682</v>
      </c>
      <c r="H3344" s="35" t="s">
        <v>115</v>
      </c>
    </row>
    <row r="3345" spans="1:8">
      <c r="A3345" s="37">
        <v>43164.15625</v>
      </c>
      <c r="B3345" s="35" t="s">
        <v>654</v>
      </c>
      <c r="C3345" s="35" t="s">
        <v>655</v>
      </c>
      <c r="D3345" s="39">
        <v>175.99000549316406</v>
      </c>
      <c r="E3345" s="39">
        <v>159.44593811035156</v>
      </c>
      <c r="F3345" s="41">
        <v>8929645</v>
      </c>
      <c r="G3345" s="35" t="s">
        <v>682</v>
      </c>
      <c r="H3345" s="35" t="s">
        <v>115</v>
      </c>
    </row>
    <row r="3346" spans="1:8">
      <c r="A3346" s="37">
        <v>43165.15625</v>
      </c>
      <c r="B3346" s="35" t="s">
        <v>654</v>
      </c>
      <c r="C3346" s="35" t="s">
        <v>655</v>
      </c>
      <c r="D3346" s="39">
        <v>171.8699951171875</v>
      </c>
      <c r="E3346" s="39">
        <v>155.71327209472656</v>
      </c>
      <c r="F3346" s="41">
        <v>2807720</v>
      </c>
      <c r="G3346" s="35" t="s">
        <v>682</v>
      </c>
      <c r="H3346" s="35" t="s">
        <v>115</v>
      </c>
    </row>
    <row r="3347" spans="1:8">
      <c r="A3347" s="37">
        <v>43166.15625</v>
      </c>
      <c r="B3347" s="35" t="s">
        <v>654</v>
      </c>
      <c r="C3347" s="35" t="s">
        <v>655</v>
      </c>
      <c r="D3347" s="39">
        <v>175.74000549316406</v>
      </c>
      <c r="E3347" s="39">
        <v>159.21942138671875</v>
      </c>
      <c r="F3347" s="41">
        <v>7562510</v>
      </c>
      <c r="G3347" s="35" t="s">
        <v>682</v>
      </c>
      <c r="H3347" s="35" t="s">
        <v>115</v>
      </c>
    </row>
    <row r="3348" spans="1:8">
      <c r="A3348" s="37">
        <v>43167.15625</v>
      </c>
      <c r="B3348" s="35" t="s">
        <v>654</v>
      </c>
      <c r="C3348" s="35" t="s">
        <v>655</v>
      </c>
      <c r="D3348" s="39">
        <v>175.80999755859375</v>
      </c>
      <c r="E3348" s="39">
        <v>159.28285217285156</v>
      </c>
      <c r="F3348" s="41">
        <v>3762270</v>
      </c>
      <c r="G3348" s="35" t="s">
        <v>682</v>
      </c>
      <c r="H3348" s="35" t="s">
        <v>115</v>
      </c>
    </row>
    <row r="3349" spans="1:8">
      <c r="A3349" s="37">
        <v>43168.15625</v>
      </c>
      <c r="B3349" s="35" t="s">
        <v>654</v>
      </c>
      <c r="C3349" s="35" t="s">
        <v>655</v>
      </c>
      <c r="D3349" s="39">
        <v>175.85000610351563</v>
      </c>
      <c r="E3349" s="39">
        <v>159.31910705566406</v>
      </c>
      <c r="F3349" s="41">
        <v>2077860</v>
      </c>
      <c r="G3349" s="35" t="s">
        <v>682</v>
      </c>
      <c r="H3349" s="35" t="s">
        <v>115</v>
      </c>
    </row>
    <row r="3350" spans="1:8">
      <c r="A3350" s="37">
        <v>43171.15625</v>
      </c>
      <c r="B3350" s="35" t="s">
        <v>654</v>
      </c>
      <c r="C3350" s="35" t="s">
        <v>655</v>
      </c>
      <c r="D3350" s="39">
        <v>182.1199951171875</v>
      </c>
      <c r="E3350" s="39">
        <v>164.99966430664063</v>
      </c>
      <c r="F3350" s="41">
        <v>7881920</v>
      </c>
      <c r="G3350" s="35" t="s">
        <v>682</v>
      </c>
      <c r="H3350" s="35" t="s">
        <v>115</v>
      </c>
    </row>
    <row r="3351" spans="1:8">
      <c r="A3351" s="37">
        <v>43172.15625</v>
      </c>
      <c r="B3351" s="35" t="s">
        <v>654</v>
      </c>
      <c r="C3351" s="35" t="s">
        <v>655</v>
      </c>
      <c r="D3351" s="39">
        <v>180.71000671386719</v>
      </c>
      <c r="E3351" s="39">
        <v>163.72224426269531</v>
      </c>
      <c r="F3351" s="41">
        <v>6115745</v>
      </c>
      <c r="G3351" s="35" t="s">
        <v>682</v>
      </c>
      <c r="H3351" s="35" t="s">
        <v>115</v>
      </c>
    </row>
    <row r="3352" spans="1:8">
      <c r="A3352" s="37">
        <v>43173.15625</v>
      </c>
      <c r="B3352" s="35" t="s">
        <v>654</v>
      </c>
      <c r="C3352" s="35" t="s">
        <v>655</v>
      </c>
      <c r="D3352" s="39">
        <v>186.49000549316406</v>
      </c>
      <c r="E3352" s="39">
        <v>168.95892333984375</v>
      </c>
      <c r="F3352" s="41">
        <v>5408835</v>
      </c>
      <c r="G3352" s="35" t="s">
        <v>682</v>
      </c>
      <c r="H3352" s="35" t="s">
        <v>115</v>
      </c>
    </row>
    <row r="3353" spans="1:8">
      <c r="A3353" s="37">
        <v>43174.15625</v>
      </c>
      <c r="B3353" s="35" t="s">
        <v>654</v>
      </c>
      <c r="C3353" s="35" t="s">
        <v>655</v>
      </c>
      <c r="D3353" s="39">
        <v>197.75999450683594</v>
      </c>
      <c r="E3353" s="39">
        <v>179.16944885253906</v>
      </c>
      <c r="F3353" s="41">
        <v>14363780</v>
      </c>
      <c r="G3353" s="35" t="s">
        <v>682</v>
      </c>
      <c r="H3353" s="35" t="s">
        <v>115</v>
      </c>
    </row>
    <row r="3354" spans="1:8">
      <c r="A3354" s="37">
        <v>43175.15625</v>
      </c>
      <c r="B3354" s="35" t="s">
        <v>654</v>
      </c>
      <c r="C3354" s="35" t="s">
        <v>655</v>
      </c>
      <c r="D3354" s="39">
        <v>185.42999267578125</v>
      </c>
      <c r="E3354" s="39">
        <v>167.99856567382813</v>
      </c>
      <c r="F3354" s="41">
        <v>10160800</v>
      </c>
      <c r="G3354" s="35" t="s">
        <v>682</v>
      </c>
      <c r="H3354" s="35" t="s">
        <v>115</v>
      </c>
    </row>
    <row r="3355" spans="1:8">
      <c r="A3355" s="37">
        <v>43178.15625</v>
      </c>
      <c r="B3355" s="35" t="s">
        <v>654</v>
      </c>
      <c r="C3355" s="35" t="s">
        <v>655</v>
      </c>
      <c r="D3355" s="39">
        <v>176.36000061035156</v>
      </c>
      <c r="E3355" s="39">
        <v>159.78120422363281</v>
      </c>
      <c r="F3355" s="41">
        <v>9498520</v>
      </c>
      <c r="G3355" s="35" t="s">
        <v>682</v>
      </c>
      <c r="H3355" s="35" t="s">
        <v>115</v>
      </c>
    </row>
    <row r="3356" spans="1:8">
      <c r="A3356" s="37">
        <v>43179.15625</v>
      </c>
      <c r="B3356" s="35" t="s">
        <v>654</v>
      </c>
      <c r="C3356" s="35" t="s">
        <v>655</v>
      </c>
      <c r="D3356" s="39">
        <v>183.61000061035156</v>
      </c>
      <c r="E3356" s="39">
        <v>166.34959411621094</v>
      </c>
      <c r="F3356" s="41">
        <v>17918760</v>
      </c>
      <c r="G3356" s="35" t="s">
        <v>682</v>
      </c>
      <c r="H3356" s="35" t="s">
        <v>115</v>
      </c>
    </row>
    <row r="3357" spans="1:8">
      <c r="A3357" s="37">
        <v>43180.15625</v>
      </c>
      <c r="B3357" s="35" t="s">
        <v>654</v>
      </c>
      <c r="C3357" s="35" t="s">
        <v>655</v>
      </c>
      <c r="D3357" s="39">
        <v>189.92999267578125</v>
      </c>
      <c r="E3357" s="39">
        <v>172.07551574707031</v>
      </c>
      <c r="F3357" s="41">
        <v>15023770</v>
      </c>
      <c r="G3357" s="35" t="s">
        <v>682</v>
      </c>
      <c r="H3357" s="35" t="s">
        <v>115</v>
      </c>
    </row>
    <row r="3358" spans="1:8">
      <c r="A3358" s="37">
        <v>43181.15625</v>
      </c>
      <c r="B3358" s="35" t="s">
        <v>654</v>
      </c>
      <c r="C3358" s="35" t="s">
        <v>655</v>
      </c>
      <c r="D3358" s="39">
        <v>186.52000427246094</v>
      </c>
      <c r="E3358" s="39">
        <v>168.98611450195313</v>
      </c>
      <c r="F3358" s="41">
        <v>9070500</v>
      </c>
      <c r="G3358" s="35" t="s">
        <v>682</v>
      </c>
      <c r="H3358" s="35" t="s">
        <v>115</v>
      </c>
    </row>
    <row r="3359" spans="1:8">
      <c r="A3359" s="37">
        <v>43182.15625</v>
      </c>
      <c r="B3359" s="35" t="s">
        <v>654</v>
      </c>
      <c r="C3359" s="35" t="s">
        <v>655</v>
      </c>
      <c r="D3359" s="39">
        <v>178.75999450683594</v>
      </c>
      <c r="E3359" s="39">
        <v>161.95552062988281</v>
      </c>
      <c r="F3359" s="41">
        <v>9672155</v>
      </c>
      <c r="G3359" s="35" t="s">
        <v>682</v>
      </c>
      <c r="H3359" s="35" t="s">
        <v>115</v>
      </c>
    </row>
    <row r="3360" spans="1:8">
      <c r="A3360" s="37">
        <v>43185.15625</v>
      </c>
      <c r="B3360" s="35" t="s">
        <v>654</v>
      </c>
      <c r="C3360" s="35" t="s">
        <v>655</v>
      </c>
      <c r="D3360" s="39">
        <v>180.30000305175781</v>
      </c>
      <c r="E3360" s="39">
        <v>163.35081481933594</v>
      </c>
      <c r="F3360" s="41">
        <v>12227470</v>
      </c>
      <c r="G3360" s="35" t="s">
        <v>682</v>
      </c>
      <c r="H3360" s="35" t="s">
        <v>115</v>
      </c>
    </row>
    <row r="3361" spans="1:8">
      <c r="A3361" s="37">
        <v>43186.15625</v>
      </c>
      <c r="B3361" s="35" t="s">
        <v>654</v>
      </c>
      <c r="C3361" s="35" t="s">
        <v>655</v>
      </c>
      <c r="D3361" s="39">
        <v>177.58000183105469</v>
      </c>
      <c r="E3361" s="39">
        <v>160.88650512695313</v>
      </c>
      <c r="F3361" s="41">
        <v>6719110</v>
      </c>
      <c r="G3361" s="35" t="s">
        <v>682</v>
      </c>
      <c r="H3361" s="35" t="s">
        <v>115</v>
      </c>
    </row>
    <row r="3362" spans="1:8">
      <c r="A3362" s="37">
        <v>43187.15625</v>
      </c>
      <c r="B3362" s="35" t="s">
        <v>654</v>
      </c>
      <c r="C3362" s="35" t="s">
        <v>655</v>
      </c>
      <c r="D3362" s="39">
        <v>173</v>
      </c>
      <c r="E3362" s="39">
        <v>156.73701477050781</v>
      </c>
      <c r="F3362" s="41">
        <v>11150985</v>
      </c>
      <c r="G3362" s="35" t="s">
        <v>682</v>
      </c>
      <c r="H3362" s="35" t="s">
        <v>115</v>
      </c>
    </row>
    <row r="3363" spans="1:8">
      <c r="A3363" s="37">
        <v>43192.15625</v>
      </c>
      <c r="B3363" s="35" t="s">
        <v>654</v>
      </c>
      <c r="C3363" s="35" t="s">
        <v>655</v>
      </c>
      <c r="D3363" s="39">
        <v>176.27999877929688</v>
      </c>
      <c r="E3363" s="39">
        <v>159.70866394042969</v>
      </c>
      <c r="F3363" s="41">
        <v>11232475</v>
      </c>
      <c r="G3363" s="35" t="s">
        <v>683</v>
      </c>
      <c r="H3363" s="35" t="s">
        <v>115</v>
      </c>
    </row>
    <row r="3364" spans="1:8">
      <c r="A3364" s="37">
        <v>43193.15625</v>
      </c>
      <c r="B3364" s="35" t="s">
        <v>654</v>
      </c>
      <c r="C3364" s="35" t="s">
        <v>655</v>
      </c>
      <c r="D3364" s="39">
        <v>176.64999389648438</v>
      </c>
      <c r="E3364" s="39">
        <v>160.04388427734375</v>
      </c>
      <c r="F3364" s="41">
        <v>4734565</v>
      </c>
      <c r="G3364" s="35" t="s">
        <v>683</v>
      </c>
      <c r="H3364" s="35" t="s">
        <v>115</v>
      </c>
    </row>
    <row r="3365" spans="1:8">
      <c r="A3365" s="37">
        <v>43194.15625</v>
      </c>
      <c r="B3365" s="35" t="s">
        <v>654</v>
      </c>
      <c r="C3365" s="35" t="s">
        <v>655</v>
      </c>
      <c r="D3365" s="39">
        <v>173.25999450683594</v>
      </c>
      <c r="E3365" s="39">
        <v>156.97256469726563</v>
      </c>
      <c r="F3365" s="41">
        <v>6125725</v>
      </c>
      <c r="G3365" s="35" t="s">
        <v>683</v>
      </c>
      <c r="H3365" s="35" t="s">
        <v>115</v>
      </c>
    </row>
    <row r="3366" spans="1:8">
      <c r="A3366" s="37">
        <v>43195.15625</v>
      </c>
      <c r="B3366" s="35" t="s">
        <v>654</v>
      </c>
      <c r="C3366" s="35" t="s">
        <v>655</v>
      </c>
      <c r="D3366" s="39">
        <v>175.97000122070313</v>
      </c>
      <c r="E3366" s="39">
        <v>159.4278564453125</v>
      </c>
      <c r="F3366" s="41">
        <v>3677925</v>
      </c>
      <c r="G3366" s="35" t="s">
        <v>683</v>
      </c>
      <c r="H3366" s="35" t="s">
        <v>115</v>
      </c>
    </row>
    <row r="3367" spans="1:8">
      <c r="A3367" s="37">
        <v>43196.15625</v>
      </c>
      <c r="B3367" s="35" t="s">
        <v>654</v>
      </c>
      <c r="C3367" s="35" t="s">
        <v>655</v>
      </c>
      <c r="D3367" s="39">
        <v>180.69999694824219</v>
      </c>
      <c r="E3367" s="39">
        <v>163.71321105957031</v>
      </c>
      <c r="F3367" s="41">
        <v>10931390</v>
      </c>
      <c r="G3367" s="35" t="s">
        <v>683</v>
      </c>
      <c r="H3367" s="35" t="s">
        <v>115</v>
      </c>
    </row>
    <row r="3368" spans="1:8">
      <c r="A3368" s="37">
        <v>43199.15625</v>
      </c>
      <c r="B3368" s="35" t="s">
        <v>654</v>
      </c>
      <c r="C3368" s="35" t="s">
        <v>655</v>
      </c>
      <c r="D3368" s="39">
        <v>176.69000244140625</v>
      </c>
      <c r="E3368" s="39">
        <v>160.08013916015625</v>
      </c>
      <c r="F3368" s="41">
        <v>3456290</v>
      </c>
      <c r="G3368" s="35" t="s">
        <v>683</v>
      </c>
      <c r="H3368" s="35" t="s">
        <v>115</v>
      </c>
    </row>
    <row r="3369" spans="1:8">
      <c r="A3369" s="37">
        <v>43200.15625</v>
      </c>
      <c r="B3369" s="35" t="s">
        <v>654</v>
      </c>
      <c r="C3369" s="35" t="s">
        <v>655</v>
      </c>
      <c r="D3369" s="39">
        <v>177.16999816894531</v>
      </c>
      <c r="E3369" s="39">
        <v>160.51502990722656</v>
      </c>
      <c r="F3369" s="41">
        <v>4409770</v>
      </c>
      <c r="G3369" s="35" t="s">
        <v>683</v>
      </c>
      <c r="H3369" s="35" t="s">
        <v>115</v>
      </c>
    </row>
    <row r="3370" spans="1:8">
      <c r="A3370" s="37">
        <v>43201.15625</v>
      </c>
      <c r="B3370" s="35" t="s">
        <v>654</v>
      </c>
      <c r="C3370" s="35" t="s">
        <v>655</v>
      </c>
      <c r="D3370" s="39">
        <v>178.19999694824219</v>
      </c>
      <c r="E3370" s="39">
        <v>161.44818115234375</v>
      </c>
      <c r="F3370" s="41">
        <v>7843190</v>
      </c>
      <c r="G3370" s="35" t="s">
        <v>683</v>
      </c>
      <c r="H3370" s="35" t="s">
        <v>115</v>
      </c>
    </row>
    <row r="3371" spans="1:8">
      <c r="A3371" s="37">
        <v>43202.15625</v>
      </c>
      <c r="B3371" s="35" t="s">
        <v>654</v>
      </c>
      <c r="C3371" s="35" t="s">
        <v>655</v>
      </c>
      <c r="D3371" s="39">
        <v>183.25</v>
      </c>
      <c r="E3371" s="39">
        <v>166.02346801757813</v>
      </c>
      <c r="F3371" s="41">
        <v>12316490</v>
      </c>
      <c r="G3371" s="35" t="s">
        <v>683</v>
      </c>
      <c r="H3371" s="35" t="s">
        <v>115</v>
      </c>
    </row>
    <row r="3372" spans="1:8">
      <c r="A3372" s="37">
        <v>43203.15625</v>
      </c>
      <c r="B3372" s="35" t="s">
        <v>654</v>
      </c>
      <c r="C3372" s="35" t="s">
        <v>655</v>
      </c>
      <c r="D3372" s="39">
        <v>183.03999328613281</v>
      </c>
      <c r="E3372" s="39">
        <v>165.83320617675781</v>
      </c>
      <c r="F3372" s="41">
        <v>7864535</v>
      </c>
      <c r="G3372" s="35" t="s">
        <v>683</v>
      </c>
      <c r="H3372" s="35" t="s">
        <v>115</v>
      </c>
    </row>
    <row r="3373" spans="1:8">
      <c r="A3373" s="37">
        <v>43206.15625</v>
      </c>
      <c r="B3373" s="35" t="s">
        <v>654</v>
      </c>
      <c r="C3373" s="35" t="s">
        <v>655</v>
      </c>
      <c r="D3373" s="39">
        <v>182.1300048828125</v>
      </c>
      <c r="E3373" s="39">
        <v>165.00874328613281</v>
      </c>
      <c r="F3373" s="41">
        <v>3848560</v>
      </c>
      <c r="G3373" s="35" t="s">
        <v>683</v>
      </c>
      <c r="H3373" s="35" t="s">
        <v>115</v>
      </c>
    </row>
    <row r="3374" spans="1:8">
      <c r="A3374" s="37">
        <v>43207.15625</v>
      </c>
      <c r="B3374" s="35" t="s">
        <v>654</v>
      </c>
      <c r="C3374" s="35" t="s">
        <v>655</v>
      </c>
      <c r="D3374" s="39">
        <v>187.02000427246094</v>
      </c>
      <c r="E3374" s="39">
        <v>169.43911743164063</v>
      </c>
      <c r="F3374" s="41">
        <v>10037245</v>
      </c>
      <c r="G3374" s="35" t="s">
        <v>683</v>
      </c>
      <c r="H3374" s="35" t="s">
        <v>115</v>
      </c>
    </row>
    <row r="3375" spans="1:8">
      <c r="A3375" s="37">
        <v>43208.145833333336</v>
      </c>
      <c r="B3375" s="35" t="s">
        <v>654</v>
      </c>
      <c r="C3375" s="35" t="s">
        <v>655</v>
      </c>
      <c r="D3375" s="39">
        <v>185.63999938964844</v>
      </c>
      <c r="E3375" s="39">
        <v>168.18878173828125</v>
      </c>
      <c r="F3375" s="41">
        <v>5994545</v>
      </c>
      <c r="G3375" s="35" t="s">
        <v>683</v>
      </c>
      <c r="H3375" s="35" t="s">
        <v>115</v>
      </c>
    </row>
    <row r="3376" spans="1:8">
      <c r="A3376" s="37">
        <v>43209.15625</v>
      </c>
      <c r="B3376" s="35" t="s">
        <v>654</v>
      </c>
      <c r="C3376" s="35" t="s">
        <v>655</v>
      </c>
      <c r="D3376" s="39">
        <v>187.22000122070313</v>
      </c>
      <c r="E3376" s="39">
        <v>169.62030029296875</v>
      </c>
      <c r="F3376" s="41">
        <v>3933275</v>
      </c>
      <c r="G3376" s="35" t="s">
        <v>683</v>
      </c>
      <c r="H3376" s="35" t="s">
        <v>115</v>
      </c>
    </row>
    <row r="3377" spans="1:8">
      <c r="A3377" s="37">
        <v>43210.15625</v>
      </c>
      <c r="B3377" s="35" t="s">
        <v>654</v>
      </c>
      <c r="C3377" s="35" t="s">
        <v>655</v>
      </c>
      <c r="D3377" s="39">
        <v>198.6300048828125</v>
      </c>
      <c r="E3377" s="39">
        <v>179.95768737792969</v>
      </c>
      <c r="F3377" s="41">
        <v>16115170</v>
      </c>
      <c r="G3377" s="35" t="s">
        <v>683</v>
      </c>
      <c r="H3377" s="35" t="s">
        <v>115</v>
      </c>
    </row>
    <row r="3378" spans="1:8">
      <c r="A3378" s="37">
        <v>43213.15625</v>
      </c>
      <c r="B3378" s="35" t="s">
        <v>654</v>
      </c>
      <c r="C3378" s="35" t="s">
        <v>655</v>
      </c>
      <c r="D3378" s="39">
        <v>207.13999938964844</v>
      </c>
      <c r="E3378" s="39">
        <v>187.66770935058594</v>
      </c>
      <c r="F3378" s="41">
        <v>27312495</v>
      </c>
      <c r="G3378" s="35" t="s">
        <v>683</v>
      </c>
      <c r="H3378" s="35" t="s">
        <v>115</v>
      </c>
    </row>
    <row r="3379" spans="1:8">
      <c r="A3379" s="37">
        <v>43214.15625</v>
      </c>
      <c r="B3379" s="35" t="s">
        <v>654</v>
      </c>
      <c r="C3379" s="35" t="s">
        <v>655</v>
      </c>
      <c r="D3379" s="39">
        <v>199.24000549316406</v>
      </c>
      <c r="E3379" s="39">
        <v>180.5103759765625</v>
      </c>
      <c r="F3379" s="41">
        <v>14153770</v>
      </c>
      <c r="G3379" s="35" t="s">
        <v>683</v>
      </c>
      <c r="H3379" s="35" t="s">
        <v>115</v>
      </c>
    </row>
    <row r="3380" spans="1:8">
      <c r="A3380" s="37">
        <v>43215.15625</v>
      </c>
      <c r="B3380" s="35" t="s">
        <v>654</v>
      </c>
      <c r="C3380" s="35" t="s">
        <v>655</v>
      </c>
      <c r="D3380" s="39">
        <v>217.5</v>
      </c>
      <c r="E3380" s="39">
        <v>197.05381774902344</v>
      </c>
      <c r="F3380" s="41">
        <v>35018540</v>
      </c>
      <c r="G3380" s="35" t="s">
        <v>683</v>
      </c>
      <c r="H3380" s="35" t="s">
        <v>115</v>
      </c>
    </row>
    <row r="3381" spans="1:8">
      <c r="A3381" s="37">
        <v>43216.15625</v>
      </c>
      <c r="B3381" s="35" t="s">
        <v>654</v>
      </c>
      <c r="C3381" s="35" t="s">
        <v>655</v>
      </c>
      <c r="D3381" s="39">
        <v>229.97999572753906</v>
      </c>
      <c r="E3381" s="39">
        <v>208.36058044433594</v>
      </c>
      <c r="F3381" s="41">
        <v>45956960</v>
      </c>
      <c r="G3381" s="35" t="s">
        <v>683</v>
      </c>
      <c r="H3381" s="35" t="s">
        <v>115</v>
      </c>
    </row>
    <row r="3382" spans="1:8">
      <c r="A3382" s="37">
        <v>43217.15625</v>
      </c>
      <c r="B3382" s="35" t="s">
        <v>654</v>
      </c>
      <c r="C3382" s="35" t="s">
        <v>655</v>
      </c>
      <c r="D3382" s="39">
        <v>226.61000061035156</v>
      </c>
      <c r="E3382" s="39">
        <v>205.307373046875</v>
      </c>
      <c r="F3382" s="41">
        <v>16229235</v>
      </c>
      <c r="G3382" s="35" t="s">
        <v>683</v>
      </c>
      <c r="H3382" s="35" t="s">
        <v>115</v>
      </c>
    </row>
    <row r="3383" spans="1:8">
      <c r="A3383" s="37">
        <v>43220.15625</v>
      </c>
      <c r="B3383" s="35" t="s">
        <v>654</v>
      </c>
      <c r="C3383" s="35" t="s">
        <v>655</v>
      </c>
      <c r="D3383" s="39">
        <v>232.41999816894531</v>
      </c>
      <c r="E3383" s="39">
        <v>210.5712890625</v>
      </c>
      <c r="F3383" s="41">
        <v>11448590</v>
      </c>
      <c r="G3383" s="35" t="s">
        <v>683</v>
      </c>
      <c r="H3383" s="35" t="s">
        <v>115</v>
      </c>
    </row>
    <row r="3384" spans="1:8">
      <c r="A3384" s="37">
        <v>43222.15625</v>
      </c>
      <c r="B3384" s="35" t="s">
        <v>654</v>
      </c>
      <c r="C3384" s="35" t="s">
        <v>655</v>
      </c>
      <c r="D3384" s="39">
        <v>219.75999450683594</v>
      </c>
      <c r="E3384" s="39">
        <v>199.10133361816406</v>
      </c>
      <c r="F3384" s="41">
        <v>12480750</v>
      </c>
      <c r="G3384" s="35" t="s">
        <v>683</v>
      </c>
      <c r="H3384" s="35" t="s">
        <v>115</v>
      </c>
    </row>
    <row r="3385" spans="1:8">
      <c r="A3385" s="37">
        <v>43223.15625</v>
      </c>
      <c r="B3385" s="35" t="s">
        <v>654</v>
      </c>
      <c r="C3385" s="35" t="s">
        <v>655</v>
      </c>
      <c r="D3385" s="39">
        <v>212.02000427246094</v>
      </c>
      <c r="E3385" s="39">
        <v>192.08892822265625</v>
      </c>
      <c r="F3385" s="41">
        <v>17677730</v>
      </c>
      <c r="G3385" s="35" t="s">
        <v>683</v>
      </c>
      <c r="H3385" s="35" t="s">
        <v>115</v>
      </c>
    </row>
    <row r="3386" spans="1:8">
      <c r="A3386" s="37">
        <v>43224.15625</v>
      </c>
      <c r="B3386" s="35" t="s">
        <v>654</v>
      </c>
      <c r="C3386" s="35" t="s">
        <v>655</v>
      </c>
      <c r="D3386" s="39">
        <v>205.63999938964844</v>
      </c>
      <c r="E3386" s="39">
        <v>186.30870056152344</v>
      </c>
      <c r="F3386" s="41">
        <v>52181860</v>
      </c>
      <c r="G3386" s="35" t="s">
        <v>683</v>
      </c>
      <c r="H3386" s="35" t="s">
        <v>115</v>
      </c>
    </row>
    <row r="3387" spans="1:8">
      <c r="A3387" s="37">
        <v>43227.15625</v>
      </c>
      <c r="B3387" s="35" t="s">
        <v>654</v>
      </c>
      <c r="C3387" s="35" t="s">
        <v>655</v>
      </c>
      <c r="D3387" s="39">
        <v>205.6199951171875</v>
      </c>
      <c r="E3387" s="39">
        <v>186.29058837890625</v>
      </c>
      <c r="F3387" s="41">
        <v>18736745</v>
      </c>
      <c r="G3387" s="35" t="s">
        <v>683</v>
      </c>
      <c r="H3387" s="35" t="s">
        <v>115</v>
      </c>
    </row>
    <row r="3388" spans="1:8">
      <c r="A3388" s="37">
        <v>43228.15625</v>
      </c>
      <c r="B3388" s="35" t="s">
        <v>654</v>
      </c>
      <c r="C3388" s="35" t="s">
        <v>655</v>
      </c>
      <c r="D3388" s="39">
        <v>211.97999572753906</v>
      </c>
      <c r="E3388" s="39">
        <v>192.05265808105469</v>
      </c>
      <c r="F3388" s="41">
        <v>13344540</v>
      </c>
      <c r="G3388" s="35" t="s">
        <v>683</v>
      </c>
      <c r="H3388" s="35" t="s">
        <v>115</v>
      </c>
    </row>
    <row r="3389" spans="1:8">
      <c r="A3389" s="37">
        <v>43229.15625</v>
      </c>
      <c r="B3389" s="35" t="s">
        <v>654</v>
      </c>
      <c r="C3389" s="35" t="s">
        <v>655</v>
      </c>
      <c r="D3389" s="39">
        <v>211.83000183105469</v>
      </c>
      <c r="E3389" s="39">
        <v>191.91679382324219</v>
      </c>
      <c r="F3389" s="41">
        <v>11017780</v>
      </c>
      <c r="G3389" s="35" t="s">
        <v>683</v>
      </c>
      <c r="H3389" s="35" t="s">
        <v>115</v>
      </c>
    </row>
    <row r="3390" spans="1:8">
      <c r="A3390" s="37">
        <v>43230.15625</v>
      </c>
      <c r="B3390" s="35" t="s">
        <v>654</v>
      </c>
      <c r="C3390" s="35" t="s">
        <v>655</v>
      </c>
      <c r="D3390" s="39">
        <v>207.44000244140625</v>
      </c>
      <c r="E3390" s="39">
        <v>187.93951416015625</v>
      </c>
      <c r="F3390" s="41">
        <v>7856495</v>
      </c>
      <c r="G3390" s="35" t="s">
        <v>683</v>
      </c>
      <c r="H3390" s="35" t="s">
        <v>115</v>
      </c>
    </row>
    <row r="3391" spans="1:8">
      <c r="A3391" s="37">
        <v>43231.15625</v>
      </c>
      <c r="B3391" s="35" t="s">
        <v>654</v>
      </c>
      <c r="C3391" s="35" t="s">
        <v>655</v>
      </c>
      <c r="D3391" s="39">
        <v>211.80000305175781</v>
      </c>
      <c r="E3391" s="39">
        <v>191.88963317871094</v>
      </c>
      <c r="F3391" s="41">
        <v>8152255</v>
      </c>
      <c r="G3391" s="35" t="s">
        <v>683</v>
      </c>
      <c r="H3391" s="35" t="s">
        <v>115</v>
      </c>
    </row>
    <row r="3392" spans="1:8">
      <c r="A3392" s="37">
        <v>43234.15625</v>
      </c>
      <c r="B3392" s="35" t="s">
        <v>654</v>
      </c>
      <c r="C3392" s="35" t="s">
        <v>655</v>
      </c>
      <c r="D3392" s="39">
        <v>213.91000366210938</v>
      </c>
      <c r="E3392" s="39">
        <v>193.80131530761719</v>
      </c>
      <c r="F3392" s="41">
        <v>6828550</v>
      </c>
      <c r="G3392" s="35" t="s">
        <v>683</v>
      </c>
      <c r="H3392" s="35" t="s">
        <v>115</v>
      </c>
    </row>
    <row r="3393" spans="1:8">
      <c r="A3393" s="37">
        <v>43235.15625</v>
      </c>
      <c r="B3393" s="35" t="s">
        <v>654</v>
      </c>
      <c r="C3393" s="35" t="s">
        <v>655</v>
      </c>
      <c r="D3393" s="39">
        <v>211.27000427246094</v>
      </c>
      <c r="E3393" s="39">
        <v>191.40945434570313</v>
      </c>
      <c r="F3393" s="41">
        <v>8723335</v>
      </c>
      <c r="G3393" s="35" t="s">
        <v>683</v>
      </c>
      <c r="H3393" s="35" t="s">
        <v>115</v>
      </c>
    </row>
    <row r="3394" spans="1:8">
      <c r="A3394" s="37">
        <v>43236.15625</v>
      </c>
      <c r="B3394" s="35" t="s">
        <v>654</v>
      </c>
      <c r="C3394" s="35" t="s">
        <v>655</v>
      </c>
      <c r="D3394" s="39">
        <v>215.3699951171875</v>
      </c>
      <c r="E3394" s="39">
        <v>195.1240234375</v>
      </c>
      <c r="F3394" s="41">
        <v>8398260</v>
      </c>
      <c r="G3394" s="35" t="s">
        <v>683</v>
      </c>
      <c r="H3394" s="35" t="s">
        <v>115</v>
      </c>
    </row>
    <row r="3395" spans="1:8">
      <c r="A3395" s="37">
        <v>43237.15625</v>
      </c>
      <c r="B3395" s="35" t="s">
        <v>654</v>
      </c>
      <c r="C3395" s="35" t="s">
        <v>655</v>
      </c>
      <c r="D3395" s="39">
        <v>211.36000061035156</v>
      </c>
      <c r="E3395" s="39">
        <v>191.49099731445313</v>
      </c>
      <c r="F3395" s="41">
        <v>4899875</v>
      </c>
      <c r="G3395" s="35" t="s">
        <v>683</v>
      </c>
      <c r="H3395" s="35" t="s">
        <v>115</v>
      </c>
    </row>
    <row r="3396" spans="1:8">
      <c r="A3396" s="37">
        <v>43238.15625</v>
      </c>
      <c r="B3396" s="35" t="s">
        <v>654</v>
      </c>
      <c r="C3396" s="35" t="s">
        <v>655</v>
      </c>
      <c r="D3396" s="39">
        <v>207.07000732421875</v>
      </c>
      <c r="E3396" s="39">
        <v>187.60427856445313</v>
      </c>
      <c r="F3396" s="41">
        <v>3141375</v>
      </c>
      <c r="G3396" s="35" t="s">
        <v>683</v>
      </c>
      <c r="H3396" s="35" t="s">
        <v>115</v>
      </c>
    </row>
    <row r="3397" spans="1:8">
      <c r="A3397" s="37">
        <v>43241.15625</v>
      </c>
      <c r="B3397" s="35" t="s">
        <v>654</v>
      </c>
      <c r="C3397" s="35" t="s">
        <v>655</v>
      </c>
      <c r="D3397" s="39">
        <v>209.77999877929688</v>
      </c>
      <c r="E3397" s="39">
        <v>190.05947875976563</v>
      </c>
      <c r="F3397" s="41">
        <v>4805775</v>
      </c>
      <c r="G3397" s="35" t="s">
        <v>683</v>
      </c>
      <c r="H3397" s="35" t="s">
        <v>115</v>
      </c>
    </row>
    <row r="3398" spans="1:8">
      <c r="A3398" s="37">
        <v>43242.15625</v>
      </c>
      <c r="B3398" s="35" t="s">
        <v>654</v>
      </c>
      <c r="C3398" s="35" t="s">
        <v>655</v>
      </c>
      <c r="D3398" s="39">
        <v>209.77999877929688</v>
      </c>
      <c r="E3398" s="39">
        <v>190.05947875976563</v>
      </c>
      <c r="F3398" s="41">
        <v>3912030</v>
      </c>
      <c r="G3398" s="35" t="s">
        <v>683</v>
      </c>
      <c r="H3398" s="35" t="s">
        <v>115</v>
      </c>
    </row>
    <row r="3399" spans="1:8">
      <c r="A3399" s="37">
        <v>43243.15625</v>
      </c>
      <c r="B3399" s="35" t="s">
        <v>654</v>
      </c>
      <c r="C3399" s="35" t="s">
        <v>655</v>
      </c>
      <c r="D3399" s="39">
        <v>214.75</v>
      </c>
      <c r="E3399" s="39">
        <v>194.56228637695313</v>
      </c>
      <c r="F3399" s="41">
        <v>8214215</v>
      </c>
      <c r="G3399" s="35" t="s">
        <v>683</v>
      </c>
      <c r="H3399" s="35" t="s">
        <v>115</v>
      </c>
    </row>
    <row r="3400" spans="1:8">
      <c r="A3400" s="37">
        <v>43244.15625</v>
      </c>
      <c r="B3400" s="35" t="s">
        <v>654</v>
      </c>
      <c r="C3400" s="35" t="s">
        <v>655</v>
      </c>
      <c r="D3400" s="39">
        <v>217.83999633789063</v>
      </c>
      <c r="E3400" s="39">
        <v>197.36184692382813</v>
      </c>
      <c r="F3400" s="41">
        <v>6654930</v>
      </c>
      <c r="G3400" s="35" t="s">
        <v>683</v>
      </c>
      <c r="H3400" s="35" t="s">
        <v>115</v>
      </c>
    </row>
    <row r="3401" spans="1:8">
      <c r="A3401" s="37">
        <v>43245.15625</v>
      </c>
      <c r="B3401" s="35" t="s">
        <v>654</v>
      </c>
      <c r="C3401" s="35" t="s">
        <v>655</v>
      </c>
      <c r="D3401" s="39">
        <v>224.55999755859375</v>
      </c>
      <c r="E3401" s="39">
        <v>203.45010375976563</v>
      </c>
      <c r="F3401" s="41">
        <v>11587800</v>
      </c>
      <c r="G3401" s="35" t="s">
        <v>683</v>
      </c>
      <c r="H3401" s="35" t="s">
        <v>115</v>
      </c>
    </row>
    <row r="3402" spans="1:8">
      <c r="A3402" s="37">
        <v>43248.15625</v>
      </c>
      <c r="B3402" s="35" t="s">
        <v>654</v>
      </c>
      <c r="C3402" s="35" t="s">
        <v>655</v>
      </c>
      <c r="D3402" s="39">
        <v>213.64999389648438</v>
      </c>
      <c r="E3402" s="39">
        <v>193.56571960449219</v>
      </c>
      <c r="F3402" s="41">
        <v>5003260</v>
      </c>
      <c r="G3402" s="35" t="s">
        <v>683</v>
      </c>
      <c r="H3402" s="35" t="s">
        <v>115</v>
      </c>
    </row>
    <row r="3403" spans="1:8">
      <c r="A3403" s="37">
        <v>43249.15625</v>
      </c>
      <c r="B3403" s="35" t="s">
        <v>654</v>
      </c>
      <c r="C3403" s="35" t="s">
        <v>655</v>
      </c>
      <c r="D3403" s="39">
        <v>218.21000671386719</v>
      </c>
      <c r="E3403" s="39">
        <v>197.69706726074219</v>
      </c>
      <c r="F3403" s="41">
        <v>8047595</v>
      </c>
      <c r="G3403" s="35" t="s">
        <v>683</v>
      </c>
      <c r="H3403" s="35" t="s">
        <v>115</v>
      </c>
    </row>
    <row r="3404" spans="1:8">
      <c r="A3404" s="37">
        <v>43250.15625</v>
      </c>
      <c r="B3404" s="35" t="s">
        <v>654</v>
      </c>
      <c r="C3404" s="35" t="s">
        <v>655</v>
      </c>
      <c r="D3404" s="39">
        <v>217.64999389648438</v>
      </c>
      <c r="E3404" s="39">
        <v>197.18966674804688</v>
      </c>
      <c r="F3404" s="41">
        <v>4905305</v>
      </c>
      <c r="G3404" s="35" t="s">
        <v>683</v>
      </c>
      <c r="H3404" s="35" t="s">
        <v>115</v>
      </c>
    </row>
    <row r="3405" spans="1:8">
      <c r="A3405" s="37">
        <v>43251.15625</v>
      </c>
      <c r="B3405" s="35" t="s">
        <v>654</v>
      </c>
      <c r="C3405" s="35" t="s">
        <v>655</v>
      </c>
      <c r="D3405" s="39">
        <v>223.41999816894531</v>
      </c>
      <c r="E3405" s="39">
        <v>202.41729736328125</v>
      </c>
      <c r="F3405" s="41">
        <v>12705035</v>
      </c>
      <c r="G3405" s="35" t="s">
        <v>683</v>
      </c>
      <c r="H3405" s="35" t="s">
        <v>115</v>
      </c>
    </row>
    <row r="3406" spans="1:8">
      <c r="A3406" s="37">
        <v>43252.15625</v>
      </c>
      <c r="B3406" s="35" t="s">
        <v>654</v>
      </c>
      <c r="C3406" s="35" t="s">
        <v>655</v>
      </c>
      <c r="D3406" s="39">
        <v>221.44000244140625</v>
      </c>
      <c r="E3406" s="39">
        <v>200.62342834472656</v>
      </c>
      <c r="F3406" s="41">
        <v>5130935</v>
      </c>
      <c r="G3406" s="35" t="s">
        <v>683</v>
      </c>
      <c r="H3406" s="35" t="s">
        <v>115</v>
      </c>
    </row>
    <row r="3407" spans="1:8">
      <c r="A3407" s="37">
        <v>43255.15625</v>
      </c>
      <c r="B3407" s="35" t="s">
        <v>654</v>
      </c>
      <c r="C3407" s="35" t="s">
        <v>655</v>
      </c>
      <c r="D3407" s="39">
        <v>217.1300048828125</v>
      </c>
      <c r="E3407" s="39">
        <v>196.71858215332031</v>
      </c>
      <c r="F3407" s="41">
        <v>3510025</v>
      </c>
      <c r="G3407" s="35" t="s">
        <v>683</v>
      </c>
      <c r="H3407" s="35" t="s">
        <v>115</v>
      </c>
    </row>
    <row r="3408" spans="1:8">
      <c r="A3408" s="37">
        <v>43256.15625</v>
      </c>
      <c r="B3408" s="35" t="s">
        <v>654</v>
      </c>
      <c r="C3408" s="35" t="s">
        <v>655</v>
      </c>
      <c r="D3408" s="39">
        <v>203.88999938964844</v>
      </c>
      <c r="E3408" s="39">
        <v>184.72323608398438</v>
      </c>
      <c r="F3408" s="41">
        <v>10066860</v>
      </c>
      <c r="G3408" s="35" t="s">
        <v>683</v>
      </c>
      <c r="H3408" s="35" t="s">
        <v>115</v>
      </c>
    </row>
    <row r="3409" spans="1:8">
      <c r="A3409" s="37">
        <v>43257.15625</v>
      </c>
      <c r="B3409" s="35" t="s">
        <v>654</v>
      </c>
      <c r="C3409" s="35" t="s">
        <v>655</v>
      </c>
      <c r="D3409" s="39">
        <v>210.08000183105469</v>
      </c>
      <c r="E3409" s="39">
        <v>190.33128356933594</v>
      </c>
      <c r="F3409" s="41">
        <v>17557250</v>
      </c>
      <c r="G3409" s="35" t="s">
        <v>683</v>
      </c>
      <c r="H3409" s="35" t="s">
        <v>115</v>
      </c>
    </row>
    <row r="3410" spans="1:8">
      <c r="A3410" s="37">
        <v>43258.15625</v>
      </c>
      <c r="B3410" s="35" t="s">
        <v>654</v>
      </c>
      <c r="C3410" s="35" t="s">
        <v>655</v>
      </c>
      <c r="D3410" s="39">
        <v>213.74000549316406</v>
      </c>
      <c r="E3410" s="39">
        <v>193.64726257324219</v>
      </c>
      <c r="F3410" s="41">
        <v>6199745</v>
      </c>
      <c r="G3410" s="35" t="s">
        <v>683</v>
      </c>
      <c r="H3410" s="35" t="s">
        <v>115</v>
      </c>
    </row>
    <row r="3411" spans="1:8">
      <c r="A3411" s="37">
        <v>43259.15625</v>
      </c>
      <c r="B3411" s="35" t="s">
        <v>654</v>
      </c>
      <c r="C3411" s="35" t="s">
        <v>655</v>
      </c>
      <c r="D3411" s="39">
        <v>214.52999877929688</v>
      </c>
      <c r="E3411" s="39">
        <v>194.36294555664063</v>
      </c>
      <c r="F3411" s="41">
        <v>5666830</v>
      </c>
      <c r="G3411" s="35" t="s">
        <v>683</v>
      </c>
      <c r="H3411" s="35" t="s">
        <v>115</v>
      </c>
    </row>
    <row r="3412" spans="1:8">
      <c r="A3412" s="37">
        <v>43262.15625</v>
      </c>
      <c r="B3412" s="35" t="s">
        <v>654</v>
      </c>
      <c r="C3412" s="35" t="s">
        <v>655</v>
      </c>
      <c r="D3412" s="39">
        <v>216.94999694824219</v>
      </c>
      <c r="E3412" s="39">
        <v>196.55545043945313</v>
      </c>
      <c r="F3412" s="41">
        <v>4329485</v>
      </c>
      <c r="G3412" s="35" t="s">
        <v>683</v>
      </c>
      <c r="H3412" s="35" t="s">
        <v>115</v>
      </c>
    </row>
    <row r="3413" spans="1:8">
      <c r="A3413" s="37">
        <v>43263.15625</v>
      </c>
      <c r="B3413" s="35" t="s">
        <v>654</v>
      </c>
      <c r="C3413" s="35" t="s">
        <v>655</v>
      </c>
      <c r="D3413" s="39">
        <v>225.10000610351563</v>
      </c>
      <c r="E3413" s="39">
        <v>203.93936157226563</v>
      </c>
      <c r="F3413" s="41">
        <v>11303665</v>
      </c>
      <c r="G3413" s="35" t="s">
        <v>683</v>
      </c>
      <c r="H3413" s="35" t="s">
        <v>115</v>
      </c>
    </row>
    <row r="3414" spans="1:8">
      <c r="A3414" s="37">
        <v>43264.15625</v>
      </c>
      <c r="B3414" s="35" t="s">
        <v>654</v>
      </c>
      <c r="C3414" s="35" t="s">
        <v>655</v>
      </c>
      <c r="D3414" s="39">
        <v>224.19999694824219</v>
      </c>
      <c r="E3414" s="39">
        <v>203.12394714355469</v>
      </c>
      <c r="F3414" s="41">
        <v>5668335</v>
      </c>
      <c r="G3414" s="35" t="s">
        <v>683</v>
      </c>
      <c r="H3414" s="35" t="s">
        <v>115</v>
      </c>
    </row>
    <row r="3415" spans="1:8">
      <c r="A3415" s="37">
        <v>43265.15625</v>
      </c>
      <c r="B3415" s="35" t="s">
        <v>654</v>
      </c>
      <c r="C3415" s="35" t="s">
        <v>655</v>
      </c>
      <c r="D3415" s="39">
        <v>225.61000061035156</v>
      </c>
      <c r="E3415" s="39">
        <v>204.40141296386719</v>
      </c>
      <c r="F3415" s="41">
        <v>5766815</v>
      </c>
      <c r="G3415" s="35" t="s">
        <v>683</v>
      </c>
      <c r="H3415" s="35" t="s">
        <v>115</v>
      </c>
    </row>
    <row r="3416" spans="1:8">
      <c r="A3416" s="37">
        <v>43266.15625</v>
      </c>
      <c r="B3416" s="35" t="s">
        <v>654</v>
      </c>
      <c r="C3416" s="35" t="s">
        <v>655</v>
      </c>
      <c r="D3416" s="39">
        <v>226.61000061035156</v>
      </c>
      <c r="E3416" s="39">
        <v>205.307373046875</v>
      </c>
      <c r="F3416" s="41">
        <v>4180385</v>
      </c>
      <c r="G3416" s="35" t="s">
        <v>683</v>
      </c>
      <c r="H3416" s="35" t="s">
        <v>115</v>
      </c>
    </row>
    <row r="3417" spans="1:8">
      <c r="A3417" s="37">
        <v>43269.15625</v>
      </c>
      <c r="B3417" s="35" t="s">
        <v>654</v>
      </c>
      <c r="C3417" s="35" t="s">
        <v>655</v>
      </c>
      <c r="D3417" s="39">
        <v>222.33999633789063</v>
      </c>
      <c r="E3417" s="39">
        <v>201.43878173828125</v>
      </c>
      <c r="F3417" s="41">
        <v>3593525</v>
      </c>
      <c r="G3417" s="35" t="s">
        <v>683</v>
      </c>
      <c r="H3417" s="35" t="s">
        <v>115</v>
      </c>
    </row>
    <row r="3418" spans="1:8">
      <c r="A3418" s="37">
        <v>43270.15625</v>
      </c>
      <c r="B3418" s="35" t="s">
        <v>654</v>
      </c>
      <c r="C3418" s="35" t="s">
        <v>655</v>
      </c>
      <c r="D3418" s="39">
        <v>220.82000732421875</v>
      </c>
      <c r="E3418" s="39">
        <v>200.06169128417969</v>
      </c>
      <c r="F3418" s="41">
        <v>3931300</v>
      </c>
      <c r="G3418" s="35" t="s">
        <v>683</v>
      </c>
      <c r="H3418" s="35" t="s">
        <v>115</v>
      </c>
    </row>
    <row r="3419" spans="1:8">
      <c r="A3419" s="37">
        <v>43271.15625</v>
      </c>
      <c r="B3419" s="35" t="s">
        <v>654</v>
      </c>
      <c r="C3419" s="35" t="s">
        <v>655</v>
      </c>
      <c r="D3419" s="39">
        <v>226.61000061035156</v>
      </c>
      <c r="E3419" s="39">
        <v>205.307373046875</v>
      </c>
      <c r="F3419" s="41">
        <v>5002635</v>
      </c>
      <c r="G3419" s="35" t="s">
        <v>683</v>
      </c>
      <c r="H3419" s="35" t="s">
        <v>115</v>
      </c>
    </row>
    <row r="3420" spans="1:8">
      <c r="A3420" s="37">
        <v>43272.15625</v>
      </c>
      <c r="B3420" s="35" t="s">
        <v>654</v>
      </c>
      <c r="C3420" s="35" t="s">
        <v>655</v>
      </c>
      <c r="D3420" s="39">
        <v>223.66000366210938</v>
      </c>
      <c r="E3420" s="39">
        <v>202.634765625</v>
      </c>
      <c r="F3420" s="41">
        <v>7747860</v>
      </c>
      <c r="G3420" s="35" t="s">
        <v>683</v>
      </c>
      <c r="H3420" s="35" t="s">
        <v>115</v>
      </c>
    </row>
    <row r="3421" spans="1:8">
      <c r="A3421" s="37">
        <v>43273.15625</v>
      </c>
      <c r="B3421" s="35" t="s">
        <v>654</v>
      </c>
      <c r="C3421" s="35" t="s">
        <v>655</v>
      </c>
      <c r="D3421" s="39">
        <v>220.25</v>
      </c>
      <c r="E3421" s="39">
        <v>199.54530334472656</v>
      </c>
      <c r="F3421" s="41">
        <v>4167395</v>
      </c>
      <c r="G3421" s="35" t="s">
        <v>683</v>
      </c>
      <c r="H3421" s="35" t="s">
        <v>115</v>
      </c>
    </row>
    <row r="3422" spans="1:8">
      <c r="A3422" s="37">
        <v>43276.15625</v>
      </c>
      <c r="B3422" s="35" t="s">
        <v>654</v>
      </c>
      <c r="C3422" s="35" t="s">
        <v>655</v>
      </c>
      <c r="D3422" s="39">
        <v>219.17999267578125</v>
      </c>
      <c r="E3422" s="39">
        <v>198.57586669921875</v>
      </c>
      <c r="F3422" s="41">
        <v>4883330</v>
      </c>
      <c r="G3422" s="35" t="s">
        <v>683</v>
      </c>
      <c r="H3422" s="35" t="s">
        <v>115</v>
      </c>
    </row>
    <row r="3423" spans="1:8">
      <c r="A3423" s="37">
        <v>43277.15625</v>
      </c>
      <c r="B3423" s="35" t="s">
        <v>654</v>
      </c>
      <c r="C3423" s="35" t="s">
        <v>655</v>
      </c>
      <c r="D3423" s="39">
        <v>221.94000244140625</v>
      </c>
      <c r="E3423" s="39">
        <v>201.076416015625</v>
      </c>
      <c r="F3423" s="41">
        <v>5007720</v>
      </c>
      <c r="G3423" s="35" t="s">
        <v>683</v>
      </c>
      <c r="H3423" s="35" t="s">
        <v>115</v>
      </c>
    </row>
    <row r="3424" spans="1:8">
      <c r="A3424" s="37">
        <v>43278.15625</v>
      </c>
      <c r="B3424" s="35" t="s">
        <v>654</v>
      </c>
      <c r="C3424" s="35" t="s">
        <v>655</v>
      </c>
      <c r="D3424" s="39">
        <v>217.82000732421875</v>
      </c>
      <c r="E3424" s="39">
        <v>197.34375</v>
      </c>
      <c r="F3424" s="41">
        <v>4692960</v>
      </c>
      <c r="G3424" s="35" t="s">
        <v>683</v>
      </c>
      <c r="H3424" s="35" t="s">
        <v>115</v>
      </c>
    </row>
    <row r="3425" spans="1:8">
      <c r="A3425" s="37">
        <v>43279.15625</v>
      </c>
      <c r="B3425" s="35" t="s">
        <v>654</v>
      </c>
      <c r="C3425" s="35" t="s">
        <v>655</v>
      </c>
      <c r="D3425" s="39">
        <v>212.13999938964844</v>
      </c>
      <c r="E3425" s="39">
        <v>192.19764709472656</v>
      </c>
      <c r="F3425" s="41">
        <v>5917945</v>
      </c>
      <c r="G3425" s="35" t="s">
        <v>683</v>
      </c>
      <c r="H3425" s="35" t="s">
        <v>115</v>
      </c>
    </row>
    <row r="3426" spans="1:8">
      <c r="A3426" s="37">
        <v>43280.15625</v>
      </c>
      <c r="B3426" s="35" t="s">
        <v>654</v>
      </c>
      <c r="C3426" s="35" t="s">
        <v>655</v>
      </c>
      <c r="D3426" s="39">
        <v>219.58000183105469</v>
      </c>
      <c r="E3426" s="39">
        <v>198.93829345703125</v>
      </c>
      <c r="F3426" s="41">
        <v>4837770</v>
      </c>
      <c r="G3426" s="35" t="s">
        <v>683</v>
      </c>
      <c r="H3426" s="35" t="s">
        <v>115</v>
      </c>
    </row>
    <row r="3427" spans="1:8">
      <c r="A3427" s="37">
        <v>43283.15625</v>
      </c>
      <c r="B3427" s="35" t="s">
        <v>654</v>
      </c>
      <c r="C3427" s="35" t="s">
        <v>655</v>
      </c>
      <c r="D3427" s="39">
        <v>220.94000244140625</v>
      </c>
      <c r="E3427" s="39">
        <v>200.17041015625</v>
      </c>
      <c r="F3427" s="41">
        <v>4223650</v>
      </c>
      <c r="G3427" s="35" t="s">
        <v>683</v>
      </c>
      <c r="H3427" s="35" t="s">
        <v>115</v>
      </c>
    </row>
    <row r="3428" spans="1:8">
      <c r="A3428" s="37">
        <v>43284.15625</v>
      </c>
      <c r="B3428" s="35" t="s">
        <v>654</v>
      </c>
      <c r="C3428" s="35" t="s">
        <v>655</v>
      </c>
      <c r="D3428" s="39">
        <v>222.44999694824219</v>
      </c>
      <c r="E3428" s="39">
        <v>201.5384521484375</v>
      </c>
      <c r="F3428" s="41">
        <v>3006465</v>
      </c>
      <c r="G3428" s="35" t="s">
        <v>683</v>
      </c>
      <c r="H3428" s="35" t="s">
        <v>115</v>
      </c>
    </row>
    <row r="3429" spans="1:8">
      <c r="A3429" s="37">
        <v>43285.15625</v>
      </c>
      <c r="B3429" s="35" t="s">
        <v>654</v>
      </c>
      <c r="C3429" s="35" t="s">
        <v>655</v>
      </c>
      <c r="D3429" s="39">
        <v>222.28999328613281</v>
      </c>
      <c r="E3429" s="39">
        <v>201.39352416992188</v>
      </c>
      <c r="F3429" s="41">
        <v>3944005</v>
      </c>
      <c r="G3429" s="35" t="s">
        <v>683</v>
      </c>
      <c r="H3429" s="35" t="s">
        <v>115</v>
      </c>
    </row>
    <row r="3430" spans="1:8">
      <c r="A3430" s="37">
        <v>43286.15625</v>
      </c>
      <c r="B3430" s="35" t="s">
        <v>654</v>
      </c>
      <c r="C3430" s="35" t="s">
        <v>655</v>
      </c>
      <c r="D3430" s="39">
        <v>218.80000305175781</v>
      </c>
      <c r="E3430" s="39">
        <v>198.23158264160156</v>
      </c>
      <c r="F3430" s="41">
        <v>3024820</v>
      </c>
      <c r="G3430" s="35" t="s">
        <v>683</v>
      </c>
      <c r="H3430" s="35" t="s">
        <v>115</v>
      </c>
    </row>
    <row r="3431" spans="1:8">
      <c r="A3431" s="37">
        <v>43287.15625</v>
      </c>
      <c r="B3431" s="35" t="s">
        <v>654</v>
      </c>
      <c r="C3431" s="35" t="s">
        <v>655</v>
      </c>
      <c r="D3431" s="39">
        <v>214.44000244140625</v>
      </c>
      <c r="E3431" s="39">
        <v>194.28144836425781</v>
      </c>
      <c r="F3431" s="41">
        <v>3386365</v>
      </c>
      <c r="G3431" s="35" t="s">
        <v>683</v>
      </c>
      <c r="H3431" s="35" t="s">
        <v>115</v>
      </c>
    </row>
    <row r="3432" spans="1:8">
      <c r="A3432" s="37">
        <v>43290.15625</v>
      </c>
      <c r="B3432" s="35" t="s">
        <v>654</v>
      </c>
      <c r="C3432" s="35" t="s">
        <v>655</v>
      </c>
      <c r="D3432" s="39">
        <v>220.3699951171875</v>
      </c>
      <c r="E3432" s="39">
        <v>199.65397644042969</v>
      </c>
      <c r="F3432" s="41">
        <v>3951995</v>
      </c>
      <c r="G3432" s="35" t="s">
        <v>683</v>
      </c>
      <c r="H3432" s="35" t="s">
        <v>115</v>
      </c>
    </row>
    <row r="3433" spans="1:8">
      <c r="A3433" s="37">
        <v>43291.15625</v>
      </c>
      <c r="B3433" s="35" t="s">
        <v>654</v>
      </c>
      <c r="C3433" s="35" t="s">
        <v>655</v>
      </c>
      <c r="D3433" s="39">
        <v>223.80000305175781</v>
      </c>
      <c r="E3433" s="39">
        <v>202.76156616210938</v>
      </c>
      <c r="F3433" s="41">
        <v>4759625</v>
      </c>
      <c r="G3433" s="35" t="s">
        <v>683</v>
      </c>
      <c r="H3433" s="35" t="s">
        <v>115</v>
      </c>
    </row>
    <row r="3434" spans="1:8">
      <c r="A3434" s="37">
        <v>43292.15625</v>
      </c>
      <c r="B3434" s="35" t="s">
        <v>654</v>
      </c>
      <c r="C3434" s="35" t="s">
        <v>655</v>
      </c>
      <c r="D3434" s="39">
        <v>225.63999938964844</v>
      </c>
      <c r="E3434" s="39">
        <v>204.4285888671875</v>
      </c>
      <c r="F3434" s="41">
        <v>5682390</v>
      </c>
      <c r="G3434" s="35" t="s">
        <v>683</v>
      </c>
      <c r="H3434" s="35" t="s">
        <v>115</v>
      </c>
    </row>
    <row r="3435" spans="1:8">
      <c r="A3435" s="37">
        <v>43293.15625</v>
      </c>
      <c r="B3435" s="35" t="s">
        <v>654</v>
      </c>
      <c r="C3435" s="35" t="s">
        <v>655</v>
      </c>
      <c r="D3435" s="39">
        <v>227.3699951171875</v>
      </c>
      <c r="E3435" s="39">
        <v>205.99592590332031</v>
      </c>
      <c r="F3435" s="41">
        <v>3474260</v>
      </c>
      <c r="G3435" s="35" t="s">
        <v>683</v>
      </c>
      <c r="H3435" s="35" t="s">
        <v>115</v>
      </c>
    </row>
    <row r="3436" spans="1:8">
      <c r="A3436" s="37">
        <v>43294.15625</v>
      </c>
      <c r="B3436" s="35" t="s">
        <v>654</v>
      </c>
      <c r="C3436" s="35" t="s">
        <v>655</v>
      </c>
      <c r="D3436" s="39">
        <v>227.41000366210938</v>
      </c>
      <c r="E3436" s="39">
        <v>206.0322265625</v>
      </c>
      <c r="F3436" s="41">
        <v>6827765</v>
      </c>
      <c r="G3436" s="35" t="s">
        <v>683</v>
      </c>
      <c r="H3436" s="35" t="s">
        <v>115</v>
      </c>
    </row>
    <row r="3437" spans="1:8">
      <c r="A3437" s="37">
        <v>43297.15625</v>
      </c>
      <c r="B3437" s="35" t="s">
        <v>654</v>
      </c>
      <c r="C3437" s="35" t="s">
        <v>655</v>
      </c>
      <c r="D3437" s="39">
        <v>226.91000366210938</v>
      </c>
      <c r="E3437" s="39">
        <v>205.57919311523438</v>
      </c>
      <c r="F3437" s="41">
        <v>2757170</v>
      </c>
      <c r="G3437" s="35" t="s">
        <v>683</v>
      </c>
      <c r="H3437" s="35" t="s">
        <v>115</v>
      </c>
    </row>
    <row r="3438" spans="1:8">
      <c r="A3438" s="37">
        <v>43298.15625</v>
      </c>
      <c r="B3438" s="35" t="s">
        <v>654</v>
      </c>
      <c r="C3438" s="35" t="s">
        <v>655</v>
      </c>
      <c r="D3438" s="39">
        <v>222.94999694824219</v>
      </c>
      <c r="E3438" s="39">
        <v>201.99148559570313</v>
      </c>
      <c r="F3438" s="41">
        <v>3456905</v>
      </c>
      <c r="G3438" s="35" t="s">
        <v>683</v>
      </c>
      <c r="H3438" s="35" t="s">
        <v>115</v>
      </c>
    </row>
    <row r="3439" spans="1:8">
      <c r="A3439" s="37">
        <v>43299.15625</v>
      </c>
      <c r="B3439" s="35" t="s">
        <v>654</v>
      </c>
      <c r="C3439" s="35" t="s">
        <v>655</v>
      </c>
      <c r="D3439" s="39">
        <v>224</v>
      </c>
      <c r="E3439" s="39">
        <v>202.94276428222656</v>
      </c>
      <c r="F3439" s="41">
        <v>14520890</v>
      </c>
      <c r="G3439" s="35" t="s">
        <v>683</v>
      </c>
      <c r="H3439" s="35" t="s">
        <v>115</v>
      </c>
    </row>
    <row r="3440" spans="1:8">
      <c r="A3440" s="37">
        <v>43300.15625</v>
      </c>
      <c r="B3440" s="35" t="s">
        <v>654</v>
      </c>
      <c r="C3440" s="35" t="s">
        <v>655</v>
      </c>
      <c r="D3440" s="39">
        <v>220.58000183105469</v>
      </c>
      <c r="E3440" s="39">
        <v>199.84425354003906</v>
      </c>
      <c r="F3440" s="41">
        <v>8661130</v>
      </c>
      <c r="G3440" s="35" t="s">
        <v>683</v>
      </c>
      <c r="H3440" s="35" t="s">
        <v>115</v>
      </c>
    </row>
    <row r="3441" spans="1:8">
      <c r="A3441" s="37">
        <v>43301.15625</v>
      </c>
      <c r="B3441" s="35" t="s">
        <v>654</v>
      </c>
      <c r="C3441" s="35" t="s">
        <v>655</v>
      </c>
      <c r="D3441" s="39">
        <v>222.55000305175781</v>
      </c>
      <c r="E3441" s="39">
        <v>201.62904357910156</v>
      </c>
      <c r="F3441" s="41">
        <v>5853175</v>
      </c>
      <c r="G3441" s="35" t="s">
        <v>683</v>
      </c>
      <c r="H3441" s="35" t="s">
        <v>115</v>
      </c>
    </row>
    <row r="3442" spans="1:8">
      <c r="A3442" s="37">
        <v>43304.15625</v>
      </c>
      <c r="B3442" s="35" t="s">
        <v>654</v>
      </c>
      <c r="C3442" s="35" t="s">
        <v>655</v>
      </c>
      <c r="D3442" s="39">
        <v>225.55999755859375</v>
      </c>
      <c r="E3442" s="39">
        <v>204.35609436035156</v>
      </c>
      <c r="F3442" s="41">
        <v>4244545</v>
      </c>
      <c r="G3442" s="35" t="s">
        <v>683</v>
      </c>
      <c r="H3442" s="35" t="s">
        <v>115</v>
      </c>
    </row>
    <row r="3443" spans="1:8">
      <c r="A3443" s="37">
        <v>43305.15625</v>
      </c>
      <c r="B3443" s="35" t="s">
        <v>654</v>
      </c>
      <c r="C3443" s="35" t="s">
        <v>655</v>
      </c>
      <c r="D3443" s="39">
        <v>243.77000427246094</v>
      </c>
      <c r="E3443" s="39">
        <v>220.85426330566406</v>
      </c>
      <c r="F3443" s="41">
        <v>14660990</v>
      </c>
      <c r="G3443" s="35" t="s">
        <v>683</v>
      </c>
      <c r="H3443" s="35" t="s">
        <v>115</v>
      </c>
    </row>
    <row r="3444" spans="1:8">
      <c r="A3444" s="37">
        <v>43306.15625</v>
      </c>
      <c r="B3444" s="35" t="s">
        <v>654</v>
      </c>
      <c r="C3444" s="35" t="s">
        <v>655</v>
      </c>
      <c r="D3444" s="39">
        <v>245.94000244140625</v>
      </c>
      <c r="E3444" s="39">
        <v>222.82028198242188</v>
      </c>
      <c r="F3444" s="41">
        <v>12070850</v>
      </c>
      <c r="G3444" s="35" t="s">
        <v>683</v>
      </c>
      <c r="H3444" s="35" t="s">
        <v>115</v>
      </c>
    </row>
    <row r="3445" spans="1:8">
      <c r="A3445" s="37">
        <v>43307.15625</v>
      </c>
      <c r="B3445" s="35" t="s">
        <v>654</v>
      </c>
      <c r="C3445" s="35" t="s">
        <v>655</v>
      </c>
      <c r="D3445" s="39">
        <v>252.32000732421875</v>
      </c>
      <c r="E3445" s="39">
        <v>228.60052490234375</v>
      </c>
      <c r="F3445" s="41">
        <v>11174715</v>
      </c>
      <c r="G3445" s="35" t="s">
        <v>683</v>
      </c>
      <c r="H3445" s="35" t="s">
        <v>115</v>
      </c>
    </row>
    <row r="3446" spans="1:8">
      <c r="A3446" s="37">
        <v>43308.15625</v>
      </c>
      <c r="B3446" s="35" t="s">
        <v>654</v>
      </c>
      <c r="C3446" s="35" t="s">
        <v>655</v>
      </c>
      <c r="D3446" s="39">
        <v>250.02000427246094</v>
      </c>
      <c r="E3446" s="39">
        <v>226.5167236328125</v>
      </c>
      <c r="F3446" s="41">
        <v>3932460</v>
      </c>
      <c r="G3446" s="35" t="s">
        <v>683</v>
      </c>
      <c r="H3446" s="35" t="s">
        <v>115</v>
      </c>
    </row>
    <row r="3447" spans="1:8">
      <c r="A3447" s="37">
        <v>43311.15625</v>
      </c>
      <c r="B3447" s="35" t="s">
        <v>654</v>
      </c>
      <c r="C3447" s="35" t="s">
        <v>655</v>
      </c>
      <c r="D3447" s="39">
        <v>245.44000244140625</v>
      </c>
      <c r="E3447" s="39">
        <v>222.36727905273438</v>
      </c>
      <c r="F3447" s="41">
        <v>2747735</v>
      </c>
      <c r="G3447" s="35" t="s">
        <v>683</v>
      </c>
      <c r="H3447" s="35" t="s">
        <v>115</v>
      </c>
    </row>
    <row r="3448" spans="1:8">
      <c r="A3448" s="37">
        <v>43312.15625</v>
      </c>
      <c r="B3448" s="35" t="s">
        <v>654</v>
      </c>
      <c r="C3448" s="35" t="s">
        <v>655</v>
      </c>
      <c r="D3448" s="39">
        <v>245.3800048828125</v>
      </c>
      <c r="E3448" s="39">
        <v>222.31295776367188</v>
      </c>
      <c r="F3448" s="41">
        <v>5216780</v>
      </c>
      <c r="G3448" s="35" t="s">
        <v>683</v>
      </c>
      <c r="H3448" s="35" t="s">
        <v>115</v>
      </c>
    </row>
    <row r="3449" spans="1:8">
      <c r="A3449" s="37">
        <v>43313.15625</v>
      </c>
      <c r="B3449" s="35" t="s">
        <v>654</v>
      </c>
      <c r="C3449" s="35" t="s">
        <v>655</v>
      </c>
      <c r="D3449" s="39">
        <v>249.77999877929688</v>
      </c>
      <c r="E3449" s="39">
        <v>226.29927062988281</v>
      </c>
      <c r="F3449" s="41">
        <v>5610290</v>
      </c>
      <c r="G3449" s="35" t="s">
        <v>683</v>
      </c>
      <c r="H3449" s="35" t="s">
        <v>115</v>
      </c>
    </row>
    <row r="3450" spans="1:8">
      <c r="A3450" s="37">
        <v>43314.15625</v>
      </c>
      <c r="B3450" s="35" t="s">
        <v>654</v>
      </c>
      <c r="C3450" s="35" t="s">
        <v>655</v>
      </c>
      <c r="D3450" s="39">
        <v>248.53999328613281</v>
      </c>
      <c r="E3450" s="39">
        <v>225.17581176757813</v>
      </c>
      <c r="F3450" s="41">
        <v>3058035</v>
      </c>
      <c r="G3450" s="35" t="s">
        <v>683</v>
      </c>
      <c r="H3450" s="35" t="s">
        <v>115</v>
      </c>
    </row>
    <row r="3451" spans="1:8">
      <c r="A3451" s="37">
        <v>43315.15625</v>
      </c>
      <c r="B3451" s="35" t="s">
        <v>654</v>
      </c>
      <c r="C3451" s="35" t="s">
        <v>655</v>
      </c>
      <c r="D3451" s="39">
        <v>258.72000122070313</v>
      </c>
      <c r="E3451" s="39">
        <v>234.39884948730469</v>
      </c>
      <c r="F3451" s="41">
        <v>9416310</v>
      </c>
      <c r="G3451" s="35" t="s">
        <v>683</v>
      </c>
      <c r="H3451" s="35" t="s">
        <v>115</v>
      </c>
    </row>
    <row r="3452" spans="1:8">
      <c r="A3452" s="37">
        <v>43318.15625</v>
      </c>
      <c r="B3452" s="35" t="s">
        <v>654</v>
      </c>
      <c r="C3452" s="35" t="s">
        <v>655</v>
      </c>
      <c r="D3452" s="39">
        <v>260.82998657226563</v>
      </c>
      <c r="E3452" s="39">
        <v>236.31057739257813</v>
      </c>
      <c r="F3452" s="41">
        <v>6316320</v>
      </c>
      <c r="G3452" s="35" t="s">
        <v>683</v>
      </c>
      <c r="H3452" s="35" t="s">
        <v>115</v>
      </c>
    </row>
    <row r="3453" spans="1:8">
      <c r="A3453" s="37">
        <v>43319.15625</v>
      </c>
      <c r="B3453" s="35" t="s">
        <v>654</v>
      </c>
      <c r="C3453" s="35" t="s">
        <v>655</v>
      </c>
      <c r="D3453" s="39">
        <v>253.69999694824219</v>
      </c>
      <c r="E3453" s="39">
        <v>229.85078430175781</v>
      </c>
      <c r="F3453" s="41">
        <v>4572565</v>
      </c>
      <c r="G3453" s="35" t="s">
        <v>683</v>
      </c>
      <c r="H3453" s="35" t="s">
        <v>115</v>
      </c>
    </row>
    <row r="3454" spans="1:8">
      <c r="A3454" s="37">
        <v>43320.15625</v>
      </c>
      <c r="B3454" s="35" t="s">
        <v>654</v>
      </c>
      <c r="C3454" s="35" t="s">
        <v>655</v>
      </c>
      <c r="D3454" s="39">
        <v>258.35000610351563</v>
      </c>
      <c r="E3454" s="39">
        <v>234.06365966796875</v>
      </c>
      <c r="F3454" s="41">
        <v>5081650</v>
      </c>
      <c r="G3454" s="35" t="s">
        <v>683</v>
      </c>
      <c r="H3454" s="35" t="s">
        <v>115</v>
      </c>
    </row>
    <row r="3455" spans="1:8">
      <c r="A3455" s="37">
        <v>43321.15625</v>
      </c>
      <c r="B3455" s="35" t="s">
        <v>654</v>
      </c>
      <c r="C3455" s="35" t="s">
        <v>655</v>
      </c>
      <c r="D3455" s="39">
        <v>252.89999389648438</v>
      </c>
      <c r="E3455" s="39">
        <v>229.12596130371094</v>
      </c>
      <c r="F3455" s="41">
        <v>3684080</v>
      </c>
      <c r="G3455" s="35" t="s">
        <v>683</v>
      </c>
      <c r="H3455" s="35" t="s">
        <v>115</v>
      </c>
    </row>
    <row r="3456" spans="1:8">
      <c r="A3456" s="37">
        <v>43322.15625</v>
      </c>
      <c r="B3456" s="35" t="s">
        <v>654</v>
      </c>
      <c r="C3456" s="35" t="s">
        <v>655</v>
      </c>
      <c r="D3456" s="39">
        <v>254.74000549316406</v>
      </c>
      <c r="E3456" s="39">
        <v>230.79304504394531</v>
      </c>
      <c r="F3456" s="41">
        <v>3888610</v>
      </c>
      <c r="G3456" s="35" t="s">
        <v>683</v>
      </c>
      <c r="H3456" s="35" t="s">
        <v>115</v>
      </c>
    </row>
    <row r="3457" spans="1:8">
      <c r="A3457" s="37">
        <v>43325.15625</v>
      </c>
      <c r="B3457" s="35" t="s">
        <v>654</v>
      </c>
      <c r="C3457" s="35" t="s">
        <v>655</v>
      </c>
      <c r="D3457" s="39">
        <v>257.92999267578125</v>
      </c>
      <c r="E3457" s="39">
        <v>233.68312072753906</v>
      </c>
      <c r="F3457" s="41">
        <v>3512680</v>
      </c>
      <c r="G3457" s="35" t="s">
        <v>683</v>
      </c>
      <c r="H3457" s="35" t="s">
        <v>115</v>
      </c>
    </row>
    <row r="3458" spans="1:8">
      <c r="A3458" s="37">
        <v>43326.15625</v>
      </c>
      <c r="B3458" s="35" t="s">
        <v>654</v>
      </c>
      <c r="C3458" s="35" t="s">
        <v>655</v>
      </c>
      <c r="D3458" s="39">
        <v>267.47000122070313</v>
      </c>
      <c r="E3458" s="39">
        <v>242.32637023925781</v>
      </c>
      <c r="F3458" s="41">
        <v>7992645</v>
      </c>
      <c r="G3458" s="35" t="s">
        <v>683</v>
      </c>
      <c r="H3458" s="35" t="s">
        <v>115</v>
      </c>
    </row>
    <row r="3459" spans="1:8">
      <c r="A3459" s="37">
        <v>43328.15625</v>
      </c>
      <c r="B3459" s="35" t="s">
        <v>654</v>
      </c>
      <c r="C3459" s="35" t="s">
        <v>655</v>
      </c>
      <c r="D3459" s="39">
        <v>262.45001220703125</v>
      </c>
      <c r="E3459" s="39">
        <v>237.77821350097656</v>
      </c>
      <c r="F3459" s="41">
        <v>4286095</v>
      </c>
      <c r="G3459" s="35" t="s">
        <v>683</v>
      </c>
      <c r="H3459" s="35" t="s">
        <v>115</v>
      </c>
    </row>
    <row r="3460" spans="1:8">
      <c r="A3460" s="37">
        <v>43329.15625</v>
      </c>
      <c r="B3460" s="35" t="s">
        <v>654</v>
      </c>
      <c r="C3460" s="35" t="s">
        <v>655</v>
      </c>
      <c r="D3460" s="39">
        <v>266.25</v>
      </c>
      <c r="E3460" s="39">
        <v>241.22099304199219</v>
      </c>
      <c r="F3460" s="41">
        <v>3301640</v>
      </c>
      <c r="G3460" s="35" t="s">
        <v>683</v>
      </c>
      <c r="H3460" s="35" t="s">
        <v>115</v>
      </c>
    </row>
    <row r="3461" spans="1:8">
      <c r="A3461" s="37">
        <v>43332.15625</v>
      </c>
      <c r="B3461" s="35" t="s">
        <v>654</v>
      </c>
      <c r="C3461" s="35" t="s">
        <v>655</v>
      </c>
      <c r="D3461" s="39">
        <v>263.14999389648438</v>
      </c>
      <c r="E3461" s="39">
        <v>238.41246032714844</v>
      </c>
      <c r="F3461" s="41">
        <v>1934390</v>
      </c>
      <c r="G3461" s="35" t="s">
        <v>683</v>
      </c>
      <c r="H3461" s="35" t="s">
        <v>115</v>
      </c>
    </row>
    <row r="3462" spans="1:8">
      <c r="A3462" s="37">
        <v>43333.15625</v>
      </c>
      <c r="B3462" s="35" t="s">
        <v>654</v>
      </c>
      <c r="C3462" s="35" t="s">
        <v>655</v>
      </c>
      <c r="D3462" s="39">
        <v>275.20001220703125</v>
      </c>
      <c r="E3462" s="39">
        <v>249.32965087890625</v>
      </c>
      <c r="F3462" s="41">
        <v>8192320</v>
      </c>
      <c r="G3462" s="35" t="s">
        <v>683</v>
      </c>
      <c r="H3462" s="35" t="s">
        <v>115</v>
      </c>
    </row>
    <row r="3463" spans="1:8">
      <c r="A3463" s="37">
        <v>43335.15625</v>
      </c>
      <c r="B3463" s="35" t="s">
        <v>654</v>
      </c>
      <c r="C3463" s="35" t="s">
        <v>655</v>
      </c>
      <c r="D3463" s="39">
        <v>271.6300048828125</v>
      </c>
      <c r="E3463" s="39">
        <v>246.09529113769531</v>
      </c>
      <c r="F3463" s="41">
        <v>6586255</v>
      </c>
      <c r="G3463" s="35" t="s">
        <v>683</v>
      </c>
      <c r="H3463" s="35" t="s">
        <v>115</v>
      </c>
    </row>
    <row r="3464" spans="1:8">
      <c r="A3464" s="37">
        <v>43336.15625</v>
      </c>
      <c r="B3464" s="35" t="s">
        <v>654</v>
      </c>
      <c r="C3464" s="35" t="s">
        <v>655</v>
      </c>
      <c r="D3464" s="39">
        <v>267.82000732421875</v>
      </c>
      <c r="E3464" s="39">
        <v>242.64346313476563</v>
      </c>
      <c r="F3464" s="41">
        <v>4739780</v>
      </c>
      <c r="G3464" s="35" t="s">
        <v>683</v>
      </c>
      <c r="H3464" s="35" t="s">
        <v>115</v>
      </c>
    </row>
    <row r="3465" spans="1:8">
      <c r="A3465" s="37">
        <v>43339.15625</v>
      </c>
      <c r="B3465" s="35" t="s">
        <v>654</v>
      </c>
      <c r="C3465" s="35" t="s">
        <v>655</v>
      </c>
      <c r="D3465" s="39">
        <v>268.57000732421875</v>
      </c>
      <c r="E3465" s="39">
        <v>243.32296752929688</v>
      </c>
      <c r="F3465" s="41">
        <v>3329500</v>
      </c>
      <c r="G3465" s="35" t="s">
        <v>683</v>
      </c>
      <c r="H3465" s="35" t="s">
        <v>115</v>
      </c>
    </row>
    <row r="3466" spans="1:8">
      <c r="A3466" s="37">
        <v>43340.15625</v>
      </c>
      <c r="B3466" s="35" t="s">
        <v>654</v>
      </c>
      <c r="C3466" s="35" t="s">
        <v>655</v>
      </c>
      <c r="D3466" s="39">
        <v>268.3599853515625</v>
      </c>
      <c r="E3466" s="39">
        <v>243.13265991210938</v>
      </c>
      <c r="F3466" s="41">
        <v>3649315</v>
      </c>
      <c r="G3466" s="35" t="s">
        <v>683</v>
      </c>
      <c r="H3466" s="35" t="s">
        <v>115</v>
      </c>
    </row>
    <row r="3467" spans="1:8">
      <c r="A3467" s="37">
        <v>43341.15625</v>
      </c>
      <c r="B3467" s="35" t="s">
        <v>654</v>
      </c>
      <c r="C3467" s="35" t="s">
        <v>655</v>
      </c>
      <c r="D3467" s="39">
        <v>265.79000854492188</v>
      </c>
      <c r="E3467" s="39">
        <v>240.80422973632813</v>
      </c>
      <c r="F3467" s="41">
        <v>3096790</v>
      </c>
      <c r="G3467" s="35" t="s">
        <v>683</v>
      </c>
      <c r="H3467" s="35" t="s">
        <v>115</v>
      </c>
    </row>
    <row r="3468" spans="1:8">
      <c r="A3468" s="37">
        <v>43342.15625</v>
      </c>
      <c r="B3468" s="35" t="s">
        <v>654</v>
      </c>
      <c r="C3468" s="35" t="s">
        <v>655</v>
      </c>
      <c r="D3468" s="39">
        <v>271.1099853515625</v>
      </c>
      <c r="E3468" s="39">
        <v>245.62411499023438</v>
      </c>
      <c r="F3468" s="41">
        <v>3054615</v>
      </c>
      <c r="G3468" s="35" t="s">
        <v>683</v>
      </c>
      <c r="H3468" s="35" t="s">
        <v>115</v>
      </c>
    </row>
    <row r="3469" spans="1:8">
      <c r="A3469" s="37">
        <v>43343.15625</v>
      </c>
      <c r="B3469" s="35" t="s">
        <v>654</v>
      </c>
      <c r="C3469" s="35" t="s">
        <v>655</v>
      </c>
      <c r="D3469" s="39">
        <v>281.33999633789063</v>
      </c>
      <c r="E3469" s="39">
        <v>254.89241027832031</v>
      </c>
      <c r="F3469" s="41">
        <v>5910780</v>
      </c>
      <c r="G3469" s="35" t="s">
        <v>683</v>
      </c>
      <c r="H3469" s="35" t="s">
        <v>115</v>
      </c>
    </row>
    <row r="3470" spans="1:8">
      <c r="A3470" s="37">
        <v>43346.15625</v>
      </c>
      <c r="B3470" s="35" t="s">
        <v>654</v>
      </c>
      <c r="C3470" s="35" t="s">
        <v>655</v>
      </c>
      <c r="D3470" s="39">
        <v>276.26998901367188</v>
      </c>
      <c r="E3470" s="39">
        <v>250.29904174804688</v>
      </c>
      <c r="F3470" s="41">
        <v>4210385</v>
      </c>
      <c r="G3470" s="35" t="s">
        <v>683</v>
      </c>
      <c r="H3470" s="35" t="s">
        <v>115</v>
      </c>
    </row>
    <row r="3471" spans="1:8">
      <c r="A3471" s="37">
        <v>43347.15625</v>
      </c>
      <c r="B3471" s="35" t="s">
        <v>654</v>
      </c>
      <c r="C3471" s="35" t="s">
        <v>655</v>
      </c>
      <c r="D3471" s="39">
        <v>272.8800048828125</v>
      </c>
      <c r="E3471" s="39">
        <v>247.22776794433594</v>
      </c>
      <c r="F3471" s="41">
        <v>4081070</v>
      </c>
      <c r="G3471" s="35" t="s">
        <v>683</v>
      </c>
      <c r="H3471" s="35" t="s">
        <v>115</v>
      </c>
    </row>
    <row r="3472" spans="1:8">
      <c r="A3472" s="37">
        <v>43348.15625</v>
      </c>
      <c r="B3472" s="35" t="s">
        <v>654</v>
      </c>
      <c r="C3472" s="35" t="s">
        <v>655</v>
      </c>
      <c r="D3472" s="39">
        <v>269.3800048828125</v>
      </c>
      <c r="E3472" s="39">
        <v>244.05677795410156</v>
      </c>
      <c r="F3472" s="41">
        <v>4315445</v>
      </c>
      <c r="G3472" s="35" t="s">
        <v>683</v>
      </c>
      <c r="H3472" s="35" t="s">
        <v>115</v>
      </c>
    </row>
    <row r="3473" spans="1:8">
      <c r="A3473" s="37">
        <v>43349.15625</v>
      </c>
      <c r="B3473" s="35" t="s">
        <v>654</v>
      </c>
      <c r="C3473" s="35" t="s">
        <v>655</v>
      </c>
      <c r="D3473" s="39">
        <v>271.239990234375</v>
      </c>
      <c r="E3473" s="39">
        <v>245.74189758300781</v>
      </c>
      <c r="F3473" s="41">
        <v>4331440</v>
      </c>
      <c r="G3473" s="35" t="s">
        <v>683</v>
      </c>
      <c r="H3473" s="35" t="s">
        <v>115</v>
      </c>
    </row>
    <row r="3474" spans="1:8">
      <c r="A3474" s="37">
        <v>43350.15625</v>
      </c>
      <c r="B3474" s="35" t="s">
        <v>654</v>
      </c>
      <c r="C3474" s="35" t="s">
        <v>655</v>
      </c>
      <c r="D3474" s="39">
        <v>274.29000854492188</v>
      </c>
      <c r="E3474" s="39">
        <v>248.5052490234375</v>
      </c>
      <c r="F3474" s="41">
        <v>2818025</v>
      </c>
      <c r="G3474" s="35" t="s">
        <v>683</v>
      </c>
      <c r="H3474" s="35" t="s">
        <v>115</v>
      </c>
    </row>
    <row r="3475" spans="1:8">
      <c r="A3475" s="37">
        <v>43353.15625</v>
      </c>
      <c r="B3475" s="35" t="s">
        <v>654</v>
      </c>
      <c r="C3475" s="35" t="s">
        <v>655</v>
      </c>
      <c r="D3475" s="39">
        <v>280.54000854492188</v>
      </c>
      <c r="E3475" s="39">
        <v>254.16769409179688</v>
      </c>
      <c r="F3475" s="41">
        <v>5555340</v>
      </c>
      <c r="G3475" s="35" t="s">
        <v>683</v>
      </c>
      <c r="H3475" s="35" t="s">
        <v>115</v>
      </c>
    </row>
    <row r="3476" spans="1:8">
      <c r="A3476" s="37">
        <v>43354.15625</v>
      </c>
      <c r="B3476" s="35" t="s">
        <v>654</v>
      </c>
      <c r="C3476" s="35" t="s">
        <v>655</v>
      </c>
      <c r="D3476" s="39">
        <v>263.94000244140625</v>
      </c>
      <c r="E3476" s="39">
        <v>239.12815856933594</v>
      </c>
      <c r="F3476" s="41">
        <v>4118355</v>
      </c>
      <c r="G3476" s="35" t="s">
        <v>683</v>
      </c>
      <c r="H3476" s="35" t="s">
        <v>115</v>
      </c>
    </row>
    <row r="3477" spans="1:8">
      <c r="A3477" s="37">
        <v>43355.15625</v>
      </c>
      <c r="B3477" s="35" t="s">
        <v>654</v>
      </c>
      <c r="C3477" s="35" t="s">
        <v>655</v>
      </c>
      <c r="D3477" s="39">
        <v>264.26998901367188</v>
      </c>
      <c r="E3477" s="39">
        <v>242.17984008789063</v>
      </c>
      <c r="F3477" s="41">
        <v>6608745</v>
      </c>
      <c r="G3477" s="35" t="s">
        <v>683</v>
      </c>
      <c r="H3477" s="35" t="s">
        <v>115</v>
      </c>
    </row>
    <row r="3478" spans="1:8">
      <c r="A3478" s="37">
        <v>43357.15625</v>
      </c>
      <c r="B3478" s="35" t="s">
        <v>654</v>
      </c>
      <c r="C3478" s="35" t="s">
        <v>655</v>
      </c>
      <c r="D3478" s="39">
        <v>266.82000732421875</v>
      </c>
      <c r="E3478" s="39">
        <v>244.51666259765625</v>
      </c>
      <c r="F3478" s="41">
        <v>3643250</v>
      </c>
      <c r="G3478" s="35" t="s">
        <v>683</v>
      </c>
      <c r="H3478" s="35" t="s">
        <v>115</v>
      </c>
    </row>
    <row r="3479" spans="1:8">
      <c r="A3479" s="37">
        <v>43360.15625</v>
      </c>
      <c r="B3479" s="35" t="s">
        <v>654</v>
      </c>
      <c r="C3479" s="35" t="s">
        <v>655</v>
      </c>
      <c r="D3479" s="39">
        <v>269.19000244140625</v>
      </c>
      <c r="E3479" s="39">
        <v>246.68858337402344</v>
      </c>
      <c r="F3479" s="41">
        <v>4285415</v>
      </c>
      <c r="G3479" s="35" t="s">
        <v>683</v>
      </c>
      <c r="H3479" s="35" t="s">
        <v>115</v>
      </c>
    </row>
    <row r="3480" spans="1:8">
      <c r="A3480" s="37">
        <v>43361.15625</v>
      </c>
      <c r="B3480" s="35" t="s">
        <v>654</v>
      </c>
      <c r="C3480" s="35" t="s">
        <v>655</v>
      </c>
      <c r="D3480" s="39">
        <v>261.42001342773438</v>
      </c>
      <c r="E3480" s="39">
        <v>239.56805419921875</v>
      </c>
      <c r="F3480" s="41">
        <v>2575345</v>
      </c>
      <c r="G3480" s="35" t="s">
        <v>683</v>
      </c>
      <c r="H3480" s="35" t="s">
        <v>115</v>
      </c>
    </row>
    <row r="3481" spans="1:8">
      <c r="A3481" s="37">
        <v>43362.15625</v>
      </c>
      <c r="B3481" s="35" t="s">
        <v>654</v>
      </c>
      <c r="C3481" s="35" t="s">
        <v>655</v>
      </c>
      <c r="D3481" s="39">
        <v>254.67999267578125</v>
      </c>
      <c r="E3481" s="39">
        <v>233.39141845703125</v>
      </c>
      <c r="F3481" s="41">
        <v>4345095</v>
      </c>
      <c r="G3481" s="35" t="s">
        <v>683</v>
      </c>
      <c r="H3481" s="35" t="s">
        <v>115</v>
      </c>
    </row>
    <row r="3482" spans="1:8">
      <c r="A3482" s="37">
        <v>43364.15625</v>
      </c>
      <c r="B3482" s="35" t="s">
        <v>654</v>
      </c>
      <c r="C3482" s="35" t="s">
        <v>655</v>
      </c>
      <c r="D3482" s="39">
        <v>242.75</v>
      </c>
      <c r="E3482" s="39">
        <v>222.45863342285156</v>
      </c>
      <c r="F3482" s="41">
        <v>6201160</v>
      </c>
      <c r="G3482" s="35" t="s">
        <v>683</v>
      </c>
      <c r="H3482" s="35" t="s">
        <v>115</v>
      </c>
    </row>
    <row r="3483" spans="1:8">
      <c r="A3483" s="37">
        <v>43367.15625</v>
      </c>
      <c r="B3483" s="35" t="s">
        <v>654</v>
      </c>
      <c r="C3483" s="35" t="s">
        <v>655</v>
      </c>
      <c r="D3483" s="39">
        <v>245.71000671386719</v>
      </c>
      <c r="E3483" s="39">
        <v>225.17124938964844</v>
      </c>
      <c r="F3483" s="41">
        <v>5292265</v>
      </c>
      <c r="G3483" s="35" t="s">
        <v>683</v>
      </c>
      <c r="H3483" s="35" t="s">
        <v>115</v>
      </c>
    </row>
    <row r="3484" spans="1:8">
      <c r="A3484" s="37">
        <v>43368.15625</v>
      </c>
      <c r="B3484" s="35" t="s">
        <v>654</v>
      </c>
      <c r="C3484" s="35" t="s">
        <v>655</v>
      </c>
      <c r="D3484" s="39">
        <v>242.77000427246094</v>
      </c>
      <c r="E3484" s="39">
        <v>222.47700500488281</v>
      </c>
      <c r="F3484" s="41">
        <v>3700230</v>
      </c>
      <c r="G3484" s="35" t="s">
        <v>683</v>
      </c>
      <c r="H3484" s="35" t="s">
        <v>115</v>
      </c>
    </row>
    <row r="3485" spans="1:8">
      <c r="A3485" s="37">
        <v>43369.15625</v>
      </c>
      <c r="B3485" s="35" t="s">
        <v>654</v>
      </c>
      <c r="C3485" s="35" t="s">
        <v>655</v>
      </c>
      <c r="D3485" s="39">
        <v>233.52000427246094</v>
      </c>
      <c r="E3485" s="39">
        <v>214.00021362304688</v>
      </c>
      <c r="F3485" s="41">
        <v>6074605</v>
      </c>
      <c r="G3485" s="35" t="s">
        <v>683</v>
      </c>
      <c r="H3485" s="35" t="s">
        <v>115</v>
      </c>
    </row>
    <row r="3486" spans="1:8">
      <c r="A3486" s="37">
        <v>43370.15625</v>
      </c>
      <c r="B3486" s="35" t="s">
        <v>654</v>
      </c>
      <c r="C3486" s="35" t="s">
        <v>655</v>
      </c>
      <c r="D3486" s="39">
        <v>223.86000061035156</v>
      </c>
      <c r="E3486" s="39">
        <v>205.14767456054688</v>
      </c>
      <c r="F3486" s="41">
        <v>6322545</v>
      </c>
      <c r="G3486" s="35" t="s">
        <v>683</v>
      </c>
      <c r="H3486" s="35" t="s">
        <v>115</v>
      </c>
    </row>
    <row r="3487" spans="1:8">
      <c r="A3487" s="37">
        <v>43371.15625</v>
      </c>
      <c r="B3487" s="35" t="s">
        <v>654</v>
      </c>
      <c r="C3487" s="35" t="s">
        <v>655</v>
      </c>
      <c r="D3487" s="39">
        <v>219.41999816894531</v>
      </c>
      <c r="E3487" s="39">
        <v>201.07879638671875</v>
      </c>
      <c r="F3487" s="41">
        <v>6237175</v>
      </c>
      <c r="G3487" s="35" t="s">
        <v>683</v>
      </c>
      <c r="H3487" s="35" t="s">
        <v>115</v>
      </c>
    </row>
    <row r="3488" spans="1:8">
      <c r="A3488" s="37">
        <v>43374.15625</v>
      </c>
      <c r="B3488" s="35" t="s">
        <v>654</v>
      </c>
      <c r="C3488" s="35" t="s">
        <v>655</v>
      </c>
      <c r="D3488" s="39">
        <v>233.42999267578125</v>
      </c>
      <c r="E3488" s="39">
        <v>213.91770935058594</v>
      </c>
      <c r="F3488" s="41">
        <v>5417325</v>
      </c>
      <c r="G3488" s="35" t="s">
        <v>683</v>
      </c>
      <c r="H3488" s="35" t="s">
        <v>115</v>
      </c>
    </row>
    <row r="3489" spans="1:8">
      <c r="A3489" s="37">
        <v>43376.15625</v>
      </c>
      <c r="B3489" s="35" t="s">
        <v>654</v>
      </c>
      <c r="C3489" s="35" t="s">
        <v>655</v>
      </c>
      <c r="D3489" s="39">
        <v>241.32000732421875</v>
      </c>
      <c r="E3489" s="39">
        <v>221.14822387695313</v>
      </c>
      <c r="F3489" s="41">
        <v>7535630</v>
      </c>
      <c r="G3489" s="35" t="s">
        <v>683</v>
      </c>
      <c r="H3489" s="35" t="s">
        <v>115</v>
      </c>
    </row>
    <row r="3490" spans="1:8">
      <c r="A3490" s="37">
        <v>43377.15625</v>
      </c>
      <c r="B3490" s="35" t="s">
        <v>654</v>
      </c>
      <c r="C3490" s="35" t="s">
        <v>655</v>
      </c>
      <c r="D3490" s="39">
        <v>239.55999755859375</v>
      </c>
      <c r="E3490" s="39">
        <v>219.53533935546875</v>
      </c>
      <c r="F3490" s="41">
        <v>5542410</v>
      </c>
      <c r="G3490" s="35" t="s">
        <v>683</v>
      </c>
      <c r="H3490" s="35" t="s">
        <v>115</v>
      </c>
    </row>
    <row r="3491" spans="1:8">
      <c r="A3491" s="37">
        <v>43378.15625</v>
      </c>
      <c r="B3491" s="35" t="s">
        <v>654</v>
      </c>
      <c r="C3491" s="35" t="s">
        <v>655</v>
      </c>
      <c r="D3491" s="39">
        <v>232.55000305175781</v>
      </c>
      <c r="E3491" s="39">
        <v>213.11129760742188</v>
      </c>
      <c r="F3491" s="41">
        <v>4130570</v>
      </c>
      <c r="G3491" s="35" t="s">
        <v>683</v>
      </c>
      <c r="H3491" s="35" t="s">
        <v>115</v>
      </c>
    </row>
    <row r="3492" spans="1:8">
      <c r="A3492" s="37">
        <v>43381.15625</v>
      </c>
      <c r="B3492" s="35" t="s">
        <v>654</v>
      </c>
      <c r="C3492" s="35" t="s">
        <v>655</v>
      </c>
      <c r="D3492" s="39">
        <v>225.08000183105469</v>
      </c>
      <c r="E3492" s="39">
        <v>206.26570129394531</v>
      </c>
      <c r="F3492" s="41">
        <v>5200960</v>
      </c>
      <c r="G3492" s="35" t="s">
        <v>683</v>
      </c>
      <c r="H3492" s="35" t="s">
        <v>115</v>
      </c>
    </row>
    <row r="3493" spans="1:8">
      <c r="A3493" s="37">
        <v>43382.15625</v>
      </c>
      <c r="B3493" s="35" t="s">
        <v>654</v>
      </c>
      <c r="C3493" s="35" t="s">
        <v>655</v>
      </c>
      <c r="D3493" s="39">
        <v>223.41000366210938</v>
      </c>
      <c r="E3493" s="39">
        <v>204.73526000976563</v>
      </c>
      <c r="F3493" s="41">
        <v>4383485</v>
      </c>
      <c r="G3493" s="35" t="s">
        <v>683</v>
      </c>
      <c r="H3493" s="35" t="s">
        <v>115</v>
      </c>
    </row>
    <row r="3494" spans="1:8">
      <c r="A3494" s="37">
        <v>43383.15625</v>
      </c>
      <c r="B3494" s="35" t="s">
        <v>654</v>
      </c>
      <c r="C3494" s="35" t="s">
        <v>655</v>
      </c>
      <c r="D3494" s="39">
        <v>238.69000244140625</v>
      </c>
      <c r="E3494" s="39">
        <v>218.73805236816406</v>
      </c>
      <c r="F3494" s="41">
        <v>5247205</v>
      </c>
      <c r="G3494" s="35" t="s">
        <v>683</v>
      </c>
      <c r="H3494" s="35" t="s">
        <v>115</v>
      </c>
    </row>
    <row r="3495" spans="1:8">
      <c r="A3495" s="37">
        <v>43384.15625</v>
      </c>
      <c r="B3495" s="35" t="s">
        <v>654</v>
      </c>
      <c r="C3495" s="35" t="s">
        <v>655</v>
      </c>
      <c r="D3495" s="39">
        <v>211.24000549316406</v>
      </c>
      <c r="E3495" s="39">
        <v>193.58250427246094</v>
      </c>
      <c r="F3495" s="41">
        <v>9138185</v>
      </c>
      <c r="G3495" s="35" t="s">
        <v>683</v>
      </c>
      <c r="H3495" s="35" t="s">
        <v>115</v>
      </c>
    </row>
    <row r="3496" spans="1:8">
      <c r="A3496" s="37">
        <v>43385.15625</v>
      </c>
      <c r="B3496" s="35" t="s">
        <v>654</v>
      </c>
      <c r="C3496" s="35" t="s">
        <v>655</v>
      </c>
      <c r="D3496" s="39">
        <v>208.99000549316406</v>
      </c>
      <c r="E3496" s="39">
        <v>191.52066040039063</v>
      </c>
      <c r="F3496" s="41">
        <v>9844225</v>
      </c>
      <c r="G3496" s="35" t="s">
        <v>683</v>
      </c>
      <c r="H3496" s="35" t="s">
        <v>115</v>
      </c>
    </row>
    <row r="3497" spans="1:8">
      <c r="A3497" s="37">
        <v>43388.15625</v>
      </c>
      <c r="B3497" s="35" t="s">
        <v>654</v>
      </c>
      <c r="C3497" s="35" t="s">
        <v>655</v>
      </c>
      <c r="D3497" s="39">
        <v>219.03999328613281</v>
      </c>
      <c r="E3497" s="39">
        <v>200.73054504394531</v>
      </c>
      <c r="F3497" s="41">
        <v>5949335</v>
      </c>
      <c r="G3497" s="35" t="s">
        <v>683</v>
      </c>
      <c r="H3497" s="35" t="s">
        <v>115</v>
      </c>
    </row>
    <row r="3498" spans="1:8">
      <c r="A3498" s="37">
        <v>43389.15625</v>
      </c>
      <c r="B3498" s="35" t="s">
        <v>654</v>
      </c>
      <c r="C3498" s="35" t="s">
        <v>655</v>
      </c>
      <c r="D3498" s="39">
        <v>227.8699951171875</v>
      </c>
      <c r="E3498" s="39">
        <v>208.82246398925781</v>
      </c>
      <c r="F3498" s="41">
        <v>5261095</v>
      </c>
      <c r="G3498" s="35" t="s">
        <v>683</v>
      </c>
      <c r="H3498" s="35" t="s">
        <v>115</v>
      </c>
    </row>
    <row r="3499" spans="1:8">
      <c r="A3499" s="37">
        <v>43390.15625</v>
      </c>
      <c r="B3499" s="35" t="s">
        <v>654</v>
      </c>
      <c r="C3499" s="35" t="s">
        <v>655</v>
      </c>
      <c r="D3499" s="39">
        <v>238.30999755859375</v>
      </c>
      <c r="E3499" s="39">
        <v>218.38984680175781</v>
      </c>
      <c r="F3499" s="41">
        <v>24858465</v>
      </c>
      <c r="G3499" s="35" t="s">
        <v>683</v>
      </c>
      <c r="H3499" s="35" t="s">
        <v>115</v>
      </c>
    </row>
    <row r="3500" spans="1:8">
      <c r="A3500" s="37">
        <v>43392.15625</v>
      </c>
      <c r="B3500" s="35" t="s">
        <v>654</v>
      </c>
      <c r="C3500" s="35" t="s">
        <v>655</v>
      </c>
      <c r="D3500" s="39">
        <v>247.64999389648438</v>
      </c>
      <c r="E3500" s="39">
        <v>226.94905090332031</v>
      </c>
      <c r="F3500" s="41">
        <v>16895940</v>
      </c>
      <c r="G3500" s="35" t="s">
        <v>683</v>
      </c>
      <c r="H3500" s="35" t="s">
        <v>115</v>
      </c>
    </row>
    <row r="3501" spans="1:8">
      <c r="A3501" s="37">
        <v>43395.15625</v>
      </c>
      <c r="B3501" s="35" t="s">
        <v>654</v>
      </c>
      <c r="C3501" s="35" t="s">
        <v>655</v>
      </c>
      <c r="D3501" s="39">
        <v>249.05999755859375</v>
      </c>
      <c r="E3501" s="39">
        <v>228.24119567871094</v>
      </c>
      <c r="F3501" s="41">
        <v>5429985</v>
      </c>
      <c r="G3501" s="35" t="s">
        <v>683</v>
      </c>
      <c r="H3501" s="35" t="s">
        <v>115</v>
      </c>
    </row>
    <row r="3502" spans="1:8">
      <c r="A3502" s="37">
        <v>43396.15625</v>
      </c>
      <c r="B3502" s="35" t="s">
        <v>654</v>
      </c>
      <c r="C3502" s="35" t="s">
        <v>655</v>
      </c>
      <c r="D3502" s="39">
        <v>244.91999816894531</v>
      </c>
      <c r="E3502" s="39">
        <v>224.447265625</v>
      </c>
      <c r="F3502" s="41">
        <v>3899040</v>
      </c>
      <c r="G3502" s="35" t="s">
        <v>683</v>
      </c>
      <c r="H3502" s="35" t="s">
        <v>115</v>
      </c>
    </row>
    <row r="3503" spans="1:8">
      <c r="A3503" s="37">
        <v>43397.15625</v>
      </c>
      <c r="B3503" s="35" t="s">
        <v>654</v>
      </c>
      <c r="C3503" s="35" t="s">
        <v>655</v>
      </c>
      <c r="D3503" s="39">
        <v>244.80000305175781</v>
      </c>
      <c r="E3503" s="39">
        <v>224.33732604980469</v>
      </c>
      <c r="F3503" s="41">
        <v>5994640</v>
      </c>
      <c r="G3503" s="35" t="s">
        <v>683</v>
      </c>
      <c r="H3503" s="35" t="s">
        <v>115</v>
      </c>
    </row>
    <row r="3504" spans="1:8">
      <c r="A3504" s="37">
        <v>43398.15625</v>
      </c>
      <c r="B3504" s="35" t="s">
        <v>654</v>
      </c>
      <c r="C3504" s="35" t="s">
        <v>655</v>
      </c>
      <c r="D3504" s="39">
        <v>236.27999877929688</v>
      </c>
      <c r="E3504" s="39">
        <v>216.52949523925781</v>
      </c>
      <c r="F3504" s="41">
        <v>4456875</v>
      </c>
      <c r="G3504" s="35" t="s">
        <v>683</v>
      </c>
      <c r="H3504" s="35" t="s">
        <v>115</v>
      </c>
    </row>
    <row r="3505" spans="1:8">
      <c r="A3505" s="37">
        <v>43399.15625</v>
      </c>
      <c r="B3505" s="35" t="s">
        <v>654</v>
      </c>
      <c r="C3505" s="35" t="s">
        <v>655</v>
      </c>
      <c r="D3505" s="39">
        <v>238.39999389648438</v>
      </c>
      <c r="E3505" s="39">
        <v>218.47225952148438</v>
      </c>
      <c r="F3505" s="41">
        <v>4597520</v>
      </c>
      <c r="G3505" s="35" t="s">
        <v>683</v>
      </c>
      <c r="H3505" s="35" t="s">
        <v>115</v>
      </c>
    </row>
    <row r="3506" spans="1:8">
      <c r="A3506" s="37">
        <v>43402.15625</v>
      </c>
      <c r="B3506" s="35" t="s">
        <v>654</v>
      </c>
      <c r="C3506" s="35" t="s">
        <v>655</v>
      </c>
      <c r="D3506" s="39">
        <v>250.52999877929688</v>
      </c>
      <c r="E3506" s="39">
        <v>229.58833312988281</v>
      </c>
      <c r="F3506" s="41">
        <v>6686630</v>
      </c>
      <c r="G3506" s="35" t="s">
        <v>683</v>
      </c>
      <c r="H3506" s="35" t="s">
        <v>115</v>
      </c>
    </row>
    <row r="3507" spans="1:8">
      <c r="A3507" s="37">
        <v>43403.15625</v>
      </c>
      <c r="B3507" s="35" t="s">
        <v>654</v>
      </c>
      <c r="C3507" s="35" t="s">
        <v>655</v>
      </c>
      <c r="D3507" s="39">
        <v>241.99000549316406</v>
      </c>
      <c r="E3507" s="39">
        <v>221.76222229003906</v>
      </c>
      <c r="F3507" s="41">
        <v>5544760</v>
      </c>
      <c r="G3507" s="35" t="s">
        <v>683</v>
      </c>
      <c r="H3507" s="35" t="s">
        <v>115</v>
      </c>
    </row>
    <row r="3508" spans="1:8">
      <c r="A3508" s="37">
        <v>43404.15625</v>
      </c>
      <c r="B3508" s="35" t="s">
        <v>654</v>
      </c>
      <c r="C3508" s="35" t="s">
        <v>655</v>
      </c>
      <c r="D3508" s="39">
        <v>245.50999450683594</v>
      </c>
      <c r="E3508" s="39">
        <v>224.98794555664063</v>
      </c>
      <c r="F3508" s="41">
        <v>4072915</v>
      </c>
      <c r="G3508" s="35" t="s">
        <v>683</v>
      </c>
      <c r="H3508" s="35" t="s">
        <v>115</v>
      </c>
    </row>
    <row r="3509" spans="1:8">
      <c r="A3509" s="37">
        <v>43405.15625</v>
      </c>
      <c r="B3509" s="35" t="s">
        <v>654</v>
      </c>
      <c r="C3509" s="35" t="s">
        <v>655</v>
      </c>
      <c r="D3509" s="39">
        <v>239.3800048828125</v>
      </c>
      <c r="E3509" s="39">
        <v>219.370361328125</v>
      </c>
      <c r="F3509" s="41">
        <v>3875105</v>
      </c>
      <c r="G3509" s="35" t="s">
        <v>683</v>
      </c>
      <c r="H3509" s="35" t="s">
        <v>115</v>
      </c>
    </row>
    <row r="3510" spans="1:8">
      <c r="A3510" s="37">
        <v>43406.15625</v>
      </c>
      <c r="B3510" s="35" t="s">
        <v>654</v>
      </c>
      <c r="C3510" s="35" t="s">
        <v>655</v>
      </c>
      <c r="D3510" s="39">
        <v>237.6300048828125</v>
      </c>
      <c r="E3510" s="39">
        <v>217.76664733886719</v>
      </c>
      <c r="F3510" s="41">
        <v>3756570</v>
      </c>
      <c r="G3510" s="35" t="s">
        <v>683</v>
      </c>
      <c r="H3510" s="35" t="s">
        <v>115</v>
      </c>
    </row>
    <row r="3511" spans="1:8">
      <c r="A3511" s="37">
        <v>43409.145833333336</v>
      </c>
      <c r="B3511" s="35" t="s">
        <v>654</v>
      </c>
      <c r="C3511" s="35" t="s">
        <v>655</v>
      </c>
      <c r="D3511" s="39">
        <v>239.74000549316406</v>
      </c>
      <c r="E3511" s="39">
        <v>219.70027160644531</v>
      </c>
      <c r="F3511" s="41">
        <v>6054235</v>
      </c>
      <c r="G3511" s="35" t="s">
        <v>683</v>
      </c>
      <c r="H3511" s="35" t="s">
        <v>115</v>
      </c>
    </row>
    <row r="3512" spans="1:8">
      <c r="A3512" s="37">
        <v>43410.15625</v>
      </c>
      <c r="B3512" s="35" t="s">
        <v>654</v>
      </c>
      <c r="C3512" s="35" t="s">
        <v>655</v>
      </c>
      <c r="D3512" s="39">
        <v>233.41999816894531</v>
      </c>
      <c r="E3512" s="39">
        <v>213.90861511230469</v>
      </c>
      <c r="F3512" s="41">
        <v>3001195</v>
      </c>
      <c r="G3512" s="35" t="s">
        <v>683</v>
      </c>
      <c r="H3512" s="35" t="s">
        <v>115</v>
      </c>
    </row>
    <row r="3513" spans="1:8">
      <c r="A3513" s="37">
        <v>43411.145833333336</v>
      </c>
      <c r="B3513" s="35" t="s">
        <v>654</v>
      </c>
      <c r="C3513" s="35" t="s">
        <v>655</v>
      </c>
      <c r="D3513" s="39">
        <v>234.08000183105469</v>
      </c>
      <c r="E3513" s="39">
        <v>214.51339721679688</v>
      </c>
      <c r="F3513" s="41">
        <v>347225</v>
      </c>
      <c r="G3513" s="35" t="s">
        <v>683</v>
      </c>
      <c r="H3513" s="35" t="s">
        <v>115</v>
      </c>
    </row>
    <row r="3514" spans="1:8">
      <c r="A3514" s="37">
        <v>43413.15625</v>
      </c>
      <c r="B3514" s="35" t="s">
        <v>654</v>
      </c>
      <c r="C3514" s="35" t="s">
        <v>655</v>
      </c>
      <c r="D3514" s="39">
        <v>234.1199951171875</v>
      </c>
      <c r="E3514" s="39">
        <v>214.550048828125</v>
      </c>
      <c r="F3514" s="41">
        <v>2212375</v>
      </c>
      <c r="G3514" s="35" t="s">
        <v>683</v>
      </c>
      <c r="H3514" s="35" t="s">
        <v>115</v>
      </c>
    </row>
    <row r="3515" spans="1:8">
      <c r="A3515" s="37">
        <v>43416.15625</v>
      </c>
      <c r="B3515" s="35" t="s">
        <v>654</v>
      </c>
      <c r="C3515" s="35" t="s">
        <v>655</v>
      </c>
      <c r="D3515" s="39">
        <v>238.44999694824219</v>
      </c>
      <c r="E3515" s="39">
        <v>218.51811218261719</v>
      </c>
      <c r="F3515" s="41">
        <v>3470385</v>
      </c>
      <c r="G3515" s="35" t="s">
        <v>683</v>
      </c>
      <c r="H3515" s="35" t="s">
        <v>115</v>
      </c>
    </row>
    <row r="3516" spans="1:8">
      <c r="A3516" s="37">
        <v>43417.15625</v>
      </c>
      <c r="B3516" s="35" t="s">
        <v>654</v>
      </c>
      <c r="C3516" s="35" t="s">
        <v>655</v>
      </c>
      <c r="D3516" s="39">
        <v>234.97999572753906</v>
      </c>
      <c r="E3516" s="39">
        <v>215.338134765625</v>
      </c>
      <c r="F3516" s="41">
        <v>4155545</v>
      </c>
      <c r="G3516" s="35" t="s">
        <v>683</v>
      </c>
      <c r="H3516" s="35" t="s">
        <v>115</v>
      </c>
    </row>
    <row r="3517" spans="1:8">
      <c r="A3517" s="37">
        <v>43418.15625</v>
      </c>
      <c r="B3517" s="35" t="s">
        <v>654</v>
      </c>
      <c r="C3517" s="35" t="s">
        <v>655</v>
      </c>
      <c r="D3517" s="39">
        <v>229.61000061035156</v>
      </c>
      <c r="E3517" s="39">
        <v>210.41705322265625</v>
      </c>
      <c r="F3517" s="41">
        <v>4448105</v>
      </c>
      <c r="G3517" s="35" t="s">
        <v>683</v>
      </c>
      <c r="H3517" s="35" t="s">
        <v>115</v>
      </c>
    </row>
    <row r="3518" spans="1:8">
      <c r="A3518" s="37">
        <v>43419.15625</v>
      </c>
      <c r="B3518" s="35" t="s">
        <v>654</v>
      </c>
      <c r="C3518" s="35" t="s">
        <v>655</v>
      </c>
      <c r="D3518" s="39">
        <v>229.36000061035156</v>
      </c>
      <c r="E3518" s="39">
        <v>210.18795776367188</v>
      </c>
      <c r="F3518" s="41">
        <v>2869115</v>
      </c>
      <c r="G3518" s="35" t="s">
        <v>683</v>
      </c>
      <c r="H3518" s="35" t="s">
        <v>115</v>
      </c>
    </row>
    <row r="3519" spans="1:8">
      <c r="A3519" s="37">
        <v>43420.15625</v>
      </c>
      <c r="B3519" s="35" t="s">
        <v>654</v>
      </c>
      <c r="C3519" s="35" t="s">
        <v>655</v>
      </c>
      <c r="D3519" s="39">
        <v>225.64999389648438</v>
      </c>
      <c r="E3519" s="39">
        <v>206.78805541992188</v>
      </c>
      <c r="F3519" s="41">
        <v>2927045</v>
      </c>
      <c r="G3519" s="35" t="s">
        <v>683</v>
      </c>
      <c r="H3519" s="35" t="s">
        <v>115</v>
      </c>
    </row>
    <row r="3520" spans="1:8">
      <c r="A3520" s="37">
        <v>43423.15625</v>
      </c>
      <c r="B3520" s="35" t="s">
        <v>654</v>
      </c>
      <c r="C3520" s="35" t="s">
        <v>655</v>
      </c>
      <c r="D3520" s="39">
        <v>226.60000610351563</v>
      </c>
      <c r="E3520" s="39">
        <v>207.65866088867188</v>
      </c>
      <c r="F3520" s="41">
        <v>2052380</v>
      </c>
      <c r="G3520" s="35" t="s">
        <v>683</v>
      </c>
      <c r="H3520" s="35" t="s">
        <v>115</v>
      </c>
    </row>
    <row r="3521" spans="1:8">
      <c r="A3521" s="37">
        <v>43424.15625</v>
      </c>
      <c r="B3521" s="35" t="s">
        <v>654</v>
      </c>
      <c r="C3521" s="35" t="s">
        <v>655</v>
      </c>
      <c r="D3521" s="39">
        <v>221.72999572753906</v>
      </c>
      <c r="E3521" s="39">
        <v>203.19573974609375</v>
      </c>
      <c r="F3521" s="41">
        <v>2780615</v>
      </c>
      <c r="G3521" s="35" t="s">
        <v>683</v>
      </c>
      <c r="H3521" s="35" t="s">
        <v>115</v>
      </c>
    </row>
    <row r="3522" spans="1:8">
      <c r="A3522" s="37">
        <v>43425.15625</v>
      </c>
      <c r="B3522" s="35" t="s">
        <v>654</v>
      </c>
      <c r="C3522" s="35" t="s">
        <v>655</v>
      </c>
      <c r="D3522" s="39">
        <v>217.14999389648438</v>
      </c>
      <c r="E3522" s="39">
        <v>198.99858093261719</v>
      </c>
      <c r="F3522" s="41">
        <v>3411715</v>
      </c>
      <c r="G3522" s="35" t="s">
        <v>683</v>
      </c>
      <c r="H3522" s="35" t="s">
        <v>115</v>
      </c>
    </row>
    <row r="3523" spans="1:8">
      <c r="A3523" s="37">
        <v>43426.15625</v>
      </c>
      <c r="B3523" s="35" t="s">
        <v>654</v>
      </c>
      <c r="C3523" s="35" t="s">
        <v>655</v>
      </c>
      <c r="D3523" s="39">
        <v>211.24000549316406</v>
      </c>
      <c r="E3523" s="39">
        <v>193.58250427246094</v>
      </c>
      <c r="F3523" s="41">
        <v>4219370</v>
      </c>
      <c r="G3523" s="35" t="s">
        <v>683</v>
      </c>
      <c r="H3523" s="35" t="s">
        <v>115</v>
      </c>
    </row>
    <row r="3524" spans="1:8">
      <c r="A3524" s="37">
        <v>43430.15625</v>
      </c>
      <c r="B3524" s="35" t="s">
        <v>654</v>
      </c>
      <c r="C3524" s="35" t="s">
        <v>655</v>
      </c>
      <c r="D3524" s="39">
        <v>215.53999328613281</v>
      </c>
      <c r="E3524" s="39">
        <v>197.52316284179688</v>
      </c>
      <c r="F3524" s="41">
        <v>5056900</v>
      </c>
      <c r="G3524" s="35" t="s">
        <v>683</v>
      </c>
      <c r="H3524" s="35" t="s">
        <v>115</v>
      </c>
    </row>
    <row r="3525" spans="1:8">
      <c r="A3525" s="37">
        <v>43431.15625</v>
      </c>
      <c r="B3525" s="35" t="s">
        <v>654</v>
      </c>
      <c r="C3525" s="35" t="s">
        <v>655</v>
      </c>
      <c r="D3525" s="39">
        <v>219.22999572753906</v>
      </c>
      <c r="E3525" s="39">
        <v>200.90464782714844</v>
      </c>
      <c r="F3525" s="41">
        <v>5416550</v>
      </c>
      <c r="G3525" s="35" t="s">
        <v>683</v>
      </c>
      <c r="H3525" s="35" t="s">
        <v>115</v>
      </c>
    </row>
    <row r="3526" spans="1:8">
      <c r="A3526" s="37">
        <v>43432.15625</v>
      </c>
      <c r="B3526" s="35" t="s">
        <v>654</v>
      </c>
      <c r="C3526" s="35" t="s">
        <v>655</v>
      </c>
      <c r="D3526" s="39">
        <v>219.35000610351563</v>
      </c>
      <c r="E3526" s="39">
        <v>201.01470947265625</v>
      </c>
      <c r="F3526" s="41">
        <v>4382510</v>
      </c>
      <c r="G3526" s="35" t="s">
        <v>683</v>
      </c>
      <c r="H3526" s="35" t="s">
        <v>115</v>
      </c>
    </row>
    <row r="3527" spans="1:8">
      <c r="A3527" s="37">
        <v>43433.15625</v>
      </c>
      <c r="B3527" s="35" t="s">
        <v>654</v>
      </c>
      <c r="C3527" s="35" t="s">
        <v>655</v>
      </c>
      <c r="D3527" s="39">
        <v>217.21000671386719</v>
      </c>
      <c r="E3527" s="39">
        <v>199.05354309082031</v>
      </c>
      <c r="F3527" s="41">
        <v>3783810</v>
      </c>
      <c r="G3527" s="35" t="s">
        <v>683</v>
      </c>
      <c r="H3527" s="35" t="s">
        <v>115</v>
      </c>
    </row>
    <row r="3528" spans="1:8">
      <c r="A3528" s="37">
        <v>43434.15625</v>
      </c>
      <c r="B3528" s="35" t="s">
        <v>654</v>
      </c>
      <c r="C3528" s="35" t="s">
        <v>655</v>
      </c>
      <c r="D3528" s="39">
        <v>217.96000671386719</v>
      </c>
      <c r="E3528" s="39">
        <v>199.74087524414063</v>
      </c>
      <c r="F3528" s="41">
        <v>3896085</v>
      </c>
      <c r="G3528" s="35" t="s">
        <v>683</v>
      </c>
      <c r="H3528" s="35" t="s">
        <v>115</v>
      </c>
    </row>
    <row r="3529" spans="1:8">
      <c r="A3529" s="37">
        <v>43437.15625</v>
      </c>
      <c r="B3529" s="35" t="s">
        <v>654</v>
      </c>
      <c r="C3529" s="35" t="s">
        <v>655</v>
      </c>
      <c r="D3529" s="39">
        <v>220.66999816894531</v>
      </c>
      <c r="E3529" s="39">
        <v>202.22430419921875</v>
      </c>
      <c r="F3529" s="41">
        <v>3143490</v>
      </c>
      <c r="G3529" s="35" t="s">
        <v>683</v>
      </c>
      <c r="H3529" s="35" t="s">
        <v>115</v>
      </c>
    </row>
    <row r="3530" spans="1:8">
      <c r="A3530" s="37">
        <v>43438.15625</v>
      </c>
      <c r="B3530" s="35" t="s">
        <v>654</v>
      </c>
      <c r="C3530" s="35" t="s">
        <v>655</v>
      </c>
      <c r="D3530" s="39">
        <v>223.17999267578125</v>
      </c>
      <c r="E3530" s="39">
        <v>204.52450561523438</v>
      </c>
      <c r="F3530" s="41">
        <v>5573995</v>
      </c>
      <c r="G3530" s="35" t="s">
        <v>683</v>
      </c>
      <c r="H3530" s="35" t="s">
        <v>115</v>
      </c>
    </row>
    <row r="3531" spans="1:8">
      <c r="A3531" s="37">
        <v>43439.15625</v>
      </c>
      <c r="B3531" s="35" t="s">
        <v>654</v>
      </c>
      <c r="C3531" s="35" t="s">
        <v>655</v>
      </c>
      <c r="D3531" s="39">
        <v>222.52000427246094</v>
      </c>
      <c r="E3531" s="39">
        <v>203.91969299316406</v>
      </c>
      <c r="F3531" s="41">
        <v>3359935</v>
      </c>
      <c r="G3531" s="35" t="s">
        <v>683</v>
      </c>
      <c r="H3531" s="35" t="s">
        <v>115</v>
      </c>
    </row>
    <row r="3532" spans="1:8">
      <c r="A3532" s="37">
        <v>43440.15625</v>
      </c>
      <c r="B3532" s="35" t="s">
        <v>654</v>
      </c>
      <c r="C3532" s="35" t="s">
        <v>655</v>
      </c>
      <c r="D3532" s="39">
        <v>216.02000427246094</v>
      </c>
      <c r="E3532" s="39">
        <v>197.96299743652344</v>
      </c>
      <c r="F3532" s="41">
        <v>3140415</v>
      </c>
      <c r="G3532" s="35" t="s">
        <v>683</v>
      </c>
      <c r="H3532" s="35" t="s">
        <v>115</v>
      </c>
    </row>
    <row r="3533" spans="1:8">
      <c r="A3533" s="37">
        <v>43441.15625</v>
      </c>
      <c r="B3533" s="35" t="s">
        <v>654</v>
      </c>
      <c r="C3533" s="35" t="s">
        <v>655</v>
      </c>
      <c r="D3533" s="39">
        <v>217.91999816894531</v>
      </c>
      <c r="E3533" s="39">
        <v>199.70417785644531</v>
      </c>
      <c r="F3533" s="41">
        <v>4230415</v>
      </c>
      <c r="G3533" s="35" t="s">
        <v>683</v>
      </c>
      <c r="H3533" s="35" t="s">
        <v>115</v>
      </c>
    </row>
    <row r="3534" spans="1:8">
      <c r="A3534" s="37">
        <v>43444.15625</v>
      </c>
      <c r="B3534" s="35" t="s">
        <v>654</v>
      </c>
      <c r="C3534" s="35" t="s">
        <v>655</v>
      </c>
      <c r="D3534" s="39">
        <v>211.21000671386719</v>
      </c>
      <c r="E3534" s="39">
        <v>193.55506896972656</v>
      </c>
      <c r="F3534" s="41">
        <v>2264770</v>
      </c>
      <c r="G3534" s="35" t="s">
        <v>683</v>
      </c>
      <c r="H3534" s="35" t="s">
        <v>115</v>
      </c>
    </row>
    <row r="3535" spans="1:8">
      <c r="A3535" s="37">
        <v>43445.15625</v>
      </c>
      <c r="B3535" s="35" t="s">
        <v>654</v>
      </c>
      <c r="C3535" s="35" t="s">
        <v>655</v>
      </c>
      <c r="D3535" s="39">
        <v>221.53999328613281</v>
      </c>
      <c r="E3535" s="39">
        <v>203.0216064453125</v>
      </c>
      <c r="F3535" s="41">
        <v>6342335</v>
      </c>
      <c r="G3535" s="35" t="s">
        <v>683</v>
      </c>
      <c r="H3535" s="35" t="s">
        <v>115</v>
      </c>
    </row>
    <row r="3536" spans="1:8">
      <c r="A3536" s="37">
        <v>43446.15625</v>
      </c>
      <c r="B3536" s="35" t="s">
        <v>654</v>
      </c>
      <c r="C3536" s="35" t="s">
        <v>655</v>
      </c>
      <c r="D3536" s="39">
        <v>222.19999694824219</v>
      </c>
      <c r="E3536" s="39">
        <v>203.62644958496094</v>
      </c>
      <c r="F3536" s="41">
        <v>2721960</v>
      </c>
      <c r="G3536" s="35" t="s">
        <v>683</v>
      </c>
      <c r="H3536" s="35" t="s">
        <v>115</v>
      </c>
    </row>
    <row r="3537" spans="1:8">
      <c r="A3537" s="37">
        <v>43447.15625</v>
      </c>
      <c r="B3537" s="35" t="s">
        <v>654</v>
      </c>
      <c r="C3537" s="35" t="s">
        <v>655</v>
      </c>
      <c r="D3537" s="39">
        <v>224.47000122070313</v>
      </c>
      <c r="E3537" s="39">
        <v>205.70671081542969</v>
      </c>
      <c r="F3537" s="41">
        <v>2216085</v>
      </c>
      <c r="G3537" s="35" t="s">
        <v>683</v>
      </c>
      <c r="H3537" s="35" t="s">
        <v>115</v>
      </c>
    </row>
    <row r="3538" spans="1:8">
      <c r="A3538" s="37">
        <v>43448.15625</v>
      </c>
      <c r="B3538" s="35" t="s">
        <v>654</v>
      </c>
      <c r="C3538" s="35" t="s">
        <v>655</v>
      </c>
      <c r="D3538" s="39">
        <v>227.83000183105469</v>
      </c>
      <c r="E3538" s="39">
        <v>208.78578186035156</v>
      </c>
      <c r="F3538" s="41">
        <v>3730490</v>
      </c>
      <c r="G3538" s="35" t="s">
        <v>683</v>
      </c>
      <c r="H3538" s="35" t="s">
        <v>115</v>
      </c>
    </row>
    <row r="3539" spans="1:8">
      <c r="A3539" s="37">
        <v>43451.15625</v>
      </c>
      <c r="B3539" s="35" t="s">
        <v>654</v>
      </c>
      <c r="C3539" s="35" t="s">
        <v>655</v>
      </c>
      <c r="D3539" s="39">
        <v>231.58999633789063</v>
      </c>
      <c r="E3539" s="39">
        <v>212.23155212402344</v>
      </c>
      <c r="F3539" s="41">
        <v>6728615</v>
      </c>
      <c r="G3539" s="35" t="s">
        <v>683</v>
      </c>
      <c r="H3539" s="35" t="s">
        <v>115</v>
      </c>
    </row>
    <row r="3540" spans="1:8">
      <c r="A3540" s="37">
        <v>43452.15625</v>
      </c>
      <c r="B3540" s="35" t="s">
        <v>654</v>
      </c>
      <c r="C3540" s="35" t="s">
        <v>655</v>
      </c>
      <c r="D3540" s="39">
        <v>225.42999267578125</v>
      </c>
      <c r="E3540" s="39">
        <v>206.58641052246094</v>
      </c>
      <c r="F3540" s="41">
        <v>3675135</v>
      </c>
      <c r="G3540" s="35" t="s">
        <v>683</v>
      </c>
      <c r="H3540" s="35" t="s">
        <v>115</v>
      </c>
    </row>
    <row r="3541" spans="1:8">
      <c r="A3541" s="37">
        <v>43453.15625</v>
      </c>
      <c r="B3541" s="35" t="s">
        <v>654</v>
      </c>
      <c r="C3541" s="35" t="s">
        <v>655</v>
      </c>
      <c r="D3541" s="39">
        <v>226.66999816894531</v>
      </c>
      <c r="E3541" s="39">
        <v>207.7227783203125</v>
      </c>
      <c r="F3541" s="41">
        <v>4178080</v>
      </c>
      <c r="G3541" s="35" t="s">
        <v>683</v>
      </c>
      <c r="H3541" s="35" t="s">
        <v>115</v>
      </c>
    </row>
    <row r="3542" spans="1:8">
      <c r="A3542" s="37">
        <v>43454.15625</v>
      </c>
      <c r="B3542" s="35" t="s">
        <v>654</v>
      </c>
      <c r="C3542" s="35" t="s">
        <v>655</v>
      </c>
      <c r="D3542" s="39">
        <v>225.5</v>
      </c>
      <c r="E3542" s="39">
        <v>206.65060424804688</v>
      </c>
      <c r="F3542" s="41">
        <v>3107295</v>
      </c>
      <c r="G3542" s="35" t="s">
        <v>683</v>
      </c>
      <c r="H3542" s="35" t="s">
        <v>115</v>
      </c>
    </row>
    <row r="3543" spans="1:8">
      <c r="A3543" s="37">
        <v>43455.15625</v>
      </c>
      <c r="B3543" s="35" t="s">
        <v>654</v>
      </c>
      <c r="C3543" s="35" t="s">
        <v>655</v>
      </c>
      <c r="D3543" s="39">
        <v>222.57000732421875</v>
      </c>
      <c r="E3543" s="39">
        <v>203.96551513671875</v>
      </c>
      <c r="F3543" s="41">
        <v>2726320</v>
      </c>
      <c r="G3543" s="35" t="s">
        <v>683</v>
      </c>
      <c r="H3543" s="35" t="s">
        <v>115</v>
      </c>
    </row>
    <row r="3544" spans="1:8">
      <c r="A3544" s="37">
        <v>43458.15625</v>
      </c>
      <c r="B3544" s="35" t="s">
        <v>654</v>
      </c>
      <c r="C3544" s="35" t="s">
        <v>655</v>
      </c>
      <c r="D3544" s="39">
        <v>223.47999572753906</v>
      </c>
      <c r="E3544" s="39">
        <v>204.79940795898438</v>
      </c>
      <c r="F3544" s="41">
        <v>1918530</v>
      </c>
      <c r="G3544" s="35" t="s">
        <v>683</v>
      </c>
      <c r="H3544" s="35" t="s">
        <v>115</v>
      </c>
    </row>
    <row r="3545" spans="1:8">
      <c r="A3545" s="37">
        <v>43460.15625</v>
      </c>
      <c r="B3545" s="35" t="s">
        <v>654</v>
      </c>
      <c r="C3545" s="35" t="s">
        <v>655</v>
      </c>
      <c r="D3545" s="39">
        <v>223.97000122070313</v>
      </c>
      <c r="E3545" s="39">
        <v>205.24850463867188</v>
      </c>
      <c r="F3545" s="41">
        <v>2908085</v>
      </c>
      <c r="G3545" s="35" t="s">
        <v>683</v>
      </c>
      <c r="H3545" s="35" t="s">
        <v>115</v>
      </c>
    </row>
    <row r="3546" spans="1:8">
      <c r="A3546" s="37">
        <v>43461.15625</v>
      </c>
      <c r="B3546" s="35" t="s">
        <v>654</v>
      </c>
      <c r="C3546" s="35" t="s">
        <v>655</v>
      </c>
      <c r="D3546" s="39">
        <v>229.96000671386719</v>
      </c>
      <c r="E3546" s="39">
        <v>210.73780822753906</v>
      </c>
      <c r="F3546" s="41">
        <v>5626480</v>
      </c>
      <c r="G3546" s="35" t="s">
        <v>683</v>
      </c>
      <c r="H3546" s="35" t="s">
        <v>115</v>
      </c>
    </row>
    <row r="3547" spans="1:8">
      <c r="A3547" s="37">
        <v>43462.15625</v>
      </c>
      <c r="B3547" s="35" t="s">
        <v>654</v>
      </c>
      <c r="C3547" s="35" t="s">
        <v>655</v>
      </c>
      <c r="D3547" s="39">
        <v>230.8699951171875</v>
      </c>
      <c r="E3547" s="39">
        <v>211.57171630859375</v>
      </c>
      <c r="F3547" s="41">
        <v>2679650</v>
      </c>
      <c r="G3547" s="35" t="s">
        <v>683</v>
      </c>
      <c r="H3547" s="35" t="s">
        <v>115</v>
      </c>
    </row>
    <row r="3548" spans="1:8">
      <c r="A3548" s="37">
        <v>43465.15625</v>
      </c>
      <c r="B3548" s="35" t="s">
        <v>654</v>
      </c>
      <c r="C3548" s="35" t="s">
        <v>655</v>
      </c>
      <c r="D3548" s="39">
        <v>229.86000061035156</v>
      </c>
      <c r="E3548" s="39">
        <v>210.64613342285156</v>
      </c>
      <c r="F3548" s="41">
        <v>1565630</v>
      </c>
      <c r="G3548" s="35" t="s">
        <v>683</v>
      </c>
      <c r="H3548" s="35" t="s">
        <v>115</v>
      </c>
    </row>
    <row r="3549" spans="1:8">
      <c r="A3549" s="37">
        <v>43466.15625</v>
      </c>
      <c r="B3549" s="35" t="s">
        <v>654</v>
      </c>
      <c r="C3549" s="35" t="s">
        <v>655</v>
      </c>
      <c r="D3549" s="39">
        <v>230.30000305175781</v>
      </c>
      <c r="E3549" s="39">
        <v>211.04931640625</v>
      </c>
      <c r="F3549" s="41">
        <v>1663555</v>
      </c>
      <c r="G3549" s="35" t="s">
        <v>683</v>
      </c>
      <c r="H3549" s="35" t="s">
        <v>115</v>
      </c>
    </row>
    <row r="3550" spans="1:8">
      <c r="A3550" s="37">
        <v>43467.15625</v>
      </c>
      <c r="B3550" s="35" t="s">
        <v>654</v>
      </c>
      <c r="C3550" s="35" t="s">
        <v>655</v>
      </c>
      <c r="D3550" s="39">
        <v>230.66000366210938</v>
      </c>
      <c r="E3550" s="39">
        <v>211.37925720214844</v>
      </c>
      <c r="F3550" s="41">
        <v>4655055</v>
      </c>
      <c r="G3550" s="35" t="s">
        <v>683</v>
      </c>
      <c r="H3550" s="35" t="s">
        <v>115</v>
      </c>
    </row>
    <row r="3551" spans="1:8">
      <c r="A3551" s="37">
        <v>43468.15625</v>
      </c>
      <c r="B3551" s="35" t="s">
        <v>654</v>
      </c>
      <c r="C3551" s="35" t="s">
        <v>655</v>
      </c>
      <c r="D3551" s="39">
        <v>226.52999877929688</v>
      </c>
      <c r="E3551" s="39">
        <v>207.59449768066406</v>
      </c>
      <c r="F3551" s="41">
        <v>2179465</v>
      </c>
      <c r="G3551" s="35" t="s">
        <v>683</v>
      </c>
      <c r="H3551" s="35" t="s">
        <v>115</v>
      </c>
    </row>
    <row r="3552" spans="1:8">
      <c r="A3552" s="37">
        <v>43469.15625</v>
      </c>
      <c r="B3552" s="35" t="s">
        <v>654</v>
      </c>
      <c r="C3552" s="35" t="s">
        <v>655</v>
      </c>
      <c r="D3552" s="39">
        <v>224.53999328613281</v>
      </c>
      <c r="E3552" s="39">
        <v>205.77082824707031</v>
      </c>
      <c r="F3552" s="41">
        <v>3615040</v>
      </c>
      <c r="G3552" s="35" t="s">
        <v>683</v>
      </c>
      <c r="H3552" s="35" t="s">
        <v>115</v>
      </c>
    </row>
    <row r="3553" spans="1:8">
      <c r="A3553" s="37">
        <v>43472.15625</v>
      </c>
      <c r="B3553" s="35" t="s">
        <v>654</v>
      </c>
      <c r="C3553" s="35" t="s">
        <v>655</v>
      </c>
      <c r="D3553" s="39">
        <v>228.27999877929688</v>
      </c>
      <c r="E3553" s="39">
        <v>209.19821166992188</v>
      </c>
      <c r="F3553" s="41">
        <v>1998250</v>
      </c>
      <c r="G3553" s="35" t="s">
        <v>683</v>
      </c>
      <c r="H3553" s="35" t="s">
        <v>115</v>
      </c>
    </row>
    <row r="3554" spans="1:8">
      <c r="A3554" s="37">
        <v>43473.15625</v>
      </c>
      <c r="B3554" s="35" t="s">
        <v>654</v>
      </c>
      <c r="C3554" s="35" t="s">
        <v>655</v>
      </c>
      <c r="D3554" s="39">
        <v>225.03999328613281</v>
      </c>
      <c r="E3554" s="39">
        <v>206.22904968261719</v>
      </c>
      <c r="F3554" s="41">
        <v>1517325</v>
      </c>
      <c r="G3554" s="35" t="s">
        <v>683</v>
      </c>
      <c r="H3554" s="35" t="s">
        <v>115</v>
      </c>
    </row>
    <row r="3555" spans="1:8">
      <c r="A3555" s="37">
        <v>43474.15625</v>
      </c>
      <c r="B3555" s="35" t="s">
        <v>654</v>
      </c>
      <c r="C3555" s="35" t="s">
        <v>655</v>
      </c>
      <c r="D3555" s="39">
        <v>232.44999694824219</v>
      </c>
      <c r="E3555" s="39">
        <v>213.01963806152344</v>
      </c>
      <c r="F3555" s="41">
        <v>7720710</v>
      </c>
      <c r="G3555" s="35" t="s">
        <v>683</v>
      </c>
      <c r="H3555" s="35" t="s">
        <v>115</v>
      </c>
    </row>
    <row r="3556" spans="1:8">
      <c r="A3556" s="37">
        <v>43475.15625</v>
      </c>
      <c r="B3556" s="35" t="s">
        <v>654</v>
      </c>
      <c r="C3556" s="35" t="s">
        <v>655</v>
      </c>
      <c r="D3556" s="39">
        <v>230.38999938964844</v>
      </c>
      <c r="E3556" s="39">
        <v>211.13182067871094</v>
      </c>
      <c r="F3556" s="41">
        <v>2238800</v>
      </c>
      <c r="G3556" s="35" t="s">
        <v>683</v>
      </c>
      <c r="H3556" s="35" t="s">
        <v>115</v>
      </c>
    </row>
    <row r="3557" spans="1:8">
      <c r="A3557" s="37">
        <v>43476.15625</v>
      </c>
      <c r="B3557" s="35" t="s">
        <v>654</v>
      </c>
      <c r="C3557" s="35" t="s">
        <v>655</v>
      </c>
      <c r="D3557" s="39">
        <v>232.41000366210938</v>
      </c>
      <c r="E3557" s="39">
        <v>212.98295593261719</v>
      </c>
      <c r="F3557" s="41">
        <v>2684745</v>
      </c>
      <c r="G3557" s="35" t="s">
        <v>683</v>
      </c>
      <c r="H3557" s="35" t="s">
        <v>115</v>
      </c>
    </row>
    <row r="3558" spans="1:8">
      <c r="A3558" s="37">
        <v>43479.15625</v>
      </c>
      <c r="B3558" s="35" t="s">
        <v>654</v>
      </c>
      <c r="C3558" s="35" t="s">
        <v>655</v>
      </c>
      <c r="D3558" s="39">
        <v>237.53999328613281</v>
      </c>
      <c r="E3558" s="39">
        <v>217.68415832519531</v>
      </c>
      <c r="F3558" s="41">
        <v>4676865</v>
      </c>
      <c r="G3558" s="35" t="s">
        <v>683</v>
      </c>
      <c r="H3558" s="35" t="s">
        <v>115</v>
      </c>
    </row>
    <row r="3559" spans="1:8">
      <c r="A3559" s="37">
        <v>43480.15625</v>
      </c>
      <c r="B3559" s="35" t="s">
        <v>654</v>
      </c>
      <c r="C3559" s="35" t="s">
        <v>655</v>
      </c>
      <c r="D3559" s="39">
        <v>237.22000122070313</v>
      </c>
      <c r="E3559" s="39">
        <v>217.39094543457031</v>
      </c>
      <c r="F3559" s="41">
        <v>5209450</v>
      </c>
      <c r="G3559" s="35" t="s">
        <v>683</v>
      </c>
      <c r="H3559" s="35" t="s">
        <v>115</v>
      </c>
    </row>
    <row r="3560" spans="1:8">
      <c r="A3560" s="37">
        <v>43481.15625</v>
      </c>
      <c r="B3560" s="35" t="s">
        <v>654</v>
      </c>
      <c r="C3560" s="35" t="s">
        <v>655</v>
      </c>
      <c r="D3560" s="39">
        <v>241.91999816894531</v>
      </c>
      <c r="E3560" s="39">
        <v>221.69802856445313</v>
      </c>
      <c r="F3560" s="41">
        <v>6304405</v>
      </c>
      <c r="G3560" s="35" t="s">
        <v>683</v>
      </c>
      <c r="H3560" s="35" t="s">
        <v>115</v>
      </c>
    </row>
    <row r="3561" spans="1:8">
      <c r="A3561" s="37">
        <v>43482.15625</v>
      </c>
      <c r="B3561" s="35" t="s">
        <v>654</v>
      </c>
      <c r="C3561" s="35" t="s">
        <v>655</v>
      </c>
      <c r="D3561" s="39">
        <v>244.42999267578125</v>
      </c>
      <c r="E3561" s="39">
        <v>223.99824523925781</v>
      </c>
      <c r="F3561" s="41">
        <v>4816605</v>
      </c>
      <c r="G3561" s="35" t="s">
        <v>683</v>
      </c>
      <c r="H3561" s="35" t="s">
        <v>115</v>
      </c>
    </row>
    <row r="3562" spans="1:8">
      <c r="A3562" s="37">
        <v>43483.15625</v>
      </c>
      <c r="B3562" s="35" t="s">
        <v>654</v>
      </c>
      <c r="C3562" s="35" t="s">
        <v>655</v>
      </c>
      <c r="D3562" s="39">
        <v>244.94999694824219</v>
      </c>
      <c r="E3562" s="39">
        <v>224.47479248046875</v>
      </c>
      <c r="F3562" s="41">
        <v>7402395</v>
      </c>
      <c r="G3562" s="35" t="s">
        <v>683</v>
      </c>
      <c r="H3562" s="35" t="s">
        <v>115</v>
      </c>
    </row>
    <row r="3563" spans="1:8">
      <c r="A3563" s="37">
        <v>43486.15625</v>
      </c>
      <c r="B3563" s="35" t="s">
        <v>654</v>
      </c>
      <c r="C3563" s="35" t="s">
        <v>655</v>
      </c>
      <c r="D3563" s="39">
        <v>253.82000732421875</v>
      </c>
      <c r="E3563" s="39">
        <v>232.60334777832031</v>
      </c>
      <c r="F3563" s="41">
        <v>12335545</v>
      </c>
      <c r="G3563" s="35" t="s">
        <v>683</v>
      </c>
      <c r="H3563" s="35" t="s">
        <v>115</v>
      </c>
    </row>
    <row r="3564" spans="1:8">
      <c r="A3564" s="37">
        <v>43487.15625</v>
      </c>
      <c r="B3564" s="35" t="s">
        <v>654</v>
      </c>
      <c r="C3564" s="35" t="s">
        <v>655</v>
      </c>
      <c r="D3564" s="39">
        <v>259.07000732421875</v>
      </c>
      <c r="E3564" s="39">
        <v>237.41448974609375</v>
      </c>
      <c r="F3564" s="41">
        <v>9362540</v>
      </c>
      <c r="G3564" s="35" t="s">
        <v>683</v>
      </c>
      <c r="H3564" s="35" t="s">
        <v>115</v>
      </c>
    </row>
    <row r="3565" spans="1:8">
      <c r="A3565" s="37">
        <v>43488.15625</v>
      </c>
      <c r="B3565" s="35" t="s">
        <v>654</v>
      </c>
      <c r="C3565" s="35" t="s">
        <v>655</v>
      </c>
      <c r="D3565" s="39">
        <v>254.99000549316406</v>
      </c>
      <c r="E3565" s="39">
        <v>233.675537109375</v>
      </c>
      <c r="F3565" s="41">
        <v>3689780</v>
      </c>
      <c r="G3565" s="35" t="s">
        <v>683</v>
      </c>
      <c r="H3565" s="35" t="s">
        <v>115</v>
      </c>
    </row>
    <row r="3566" spans="1:8">
      <c r="A3566" s="37">
        <v>43489.15625</v>
      </c>
      <c r="B3566" s="35" t="s">
        <v>654</v>
      </c>
      <c r="C3566" s="35" t="s">
        <v>655</v>
      </c>
      <c r="D3566" s="39">
        <v>260.1400146484375</v>
      </c>
      <c r="E3566" s="39">
        <v>238.39505004882813</v>
      </c>
      <c r="F3566" s="41">
        <v>5517530</v>
      </c>
      <c r="G3566" s="35" t="s">
        <v>683</v>
      </c>
      <c r="H3566" s="35" t="s">
        <v>115</v>
      </c>
    </row>
    <row r="3567" spans="1:8">
      <c r="A3567" s="37">
        <v>43490.15625</v>
      </c>
      <c r="B3567" s="35" t="s">
        <v>654</v>
      </c>
      <c r="C3567" s="35" t="s">
        <v>655</v>
      </c>
      <c r="D3567" s="39">
        <v>258.94000244140625</v>
      </c>
      <c r="E3567" s="39">
        <v>237.29537963867188</v>
      </c>
      <c r="F3567" s="41">
        <v>6006060</v>
      </c>
      <c r="G3567" s="35" t="s">
        <v>683</v>
      </c>
      <c r="H3567" s="35" t="s">
        <v>115</v>
      </c>
    </row>
    <row r="3568" spans="1:8">
      <c r="A3568" s="37">
        <v>43493.15625</v>
      </c>
      <c r="B3568" s="35" t="s">
        <v>654</v>
      </c>
      <c r="C3568" s="35" t="s">
        <v>655</v>
      </c>
      <c r="D3568" s="39">
        <v>258.20001220703125</v>
      </c>
      <c r="E3568" s="39">
        <v>236.61721801757813</v>
      </c>
      <c r="F3568" s="41">
        <v>3353680</v>
      </c>
      <c r="G3568" s="35" t="s">
        <v>683</v>
      </c>
      <c r="H3568" s="35" t="s">
        <v>115</v>
      </c>
    </row>
    <row r="3569" spans="1:8">
      <c r="A3569" s="37">
        <v>43494.15625</v>
      </c>
      <c r="B3569" s="35" t="s">
        <v>654</v>
      </c>
      <c r="C3569" s="35" t="s">
        <v>655</v>
      </c>
      <c r="D3569" s="39">
        <v>261.04000854492188</v>
      </c>
      <c r="E3569" s="39">
        <v>239.21980285644531</v>
      </c>
      <c r="F3569" s="41">
        <v>4226210</v>
      </c>
      <c r="G3569" s="35" t="s">
        <v>683</v>
      </c>
      <c r="H3569" s="35" t="s">
        <v>115</v>
      </c>
    </row>
    <row r="3570" spans="1:8">
      <c r="A3570" s="37">
        <v>43495.15625</v>
      </c>
      <c r="B3570" s="35" t="s">
        <v>654</v>
      </c>
      <c r="C3570" s="35" t="s">
        <v>655</v>
      </c>
      <c r="D3570" s="39">
        <v>257.22000122070313</v>
      </c>
      <c r="E3570" s="39">
        <v>235.71913146972656</v>
      </c>
      <c r="F3570" s="41">
        <v>3126605</v>
      </c>
      <c r="G3570" s="35" t="s">
        <v>683</v>
      </c>
      <c r="H3570" s="35" t="s">
        <v>115</v>
      </c>
    </row>
    <row r="3571" spans="1:8">
      <c r="A3571" s="37">
        <v>43496.15625</v>
      </c>
      <c r="B3571" s="35" t="s">
        <v>654</v>
      </c>
      <c r="C3571" s="35" t="s">
        <v>655</v>
      </c>
      <c r="D3571" s="39">
        <v>262.14999389648438</v>
      </c>
      <c r="E3571" s="39">
        <v>240.23703002929688</v>
      </c>
      <c r="F3571" s="41">
        <v>2710650</v>
      </c>
      <c r="G3571" s="35" t="s">
        <v>683</v>
      </c>
      <c r="H3571" s="35" t="s">
        <v>115</v>
      </c>
    </row>
    <row r="3572" spans="1:8">
      <c r="A3572" s="37">
        <v>43497.15625</v>
      </c>
      <c r="B3572" s="35" t="s">
        <v>654</v>
      </c>
      <c r="C3572" s="35" t="s">
        <v>655</v>
      </c>
      <c r="D3572" s="39">
        <v>263.8900146484375</v>
      </c>
      <c r="E3572" s="39">
        <v>241.83157348632813</v>
      </c>
      <c r="F3572" s="41">
        <v>4863595</v>
      </c>
      <c r="G3572" s="35" t="s">
        <v>683</v>
      </c>
      <c r="H3572" s="35" t="s">
        <v>115</v>
      </c>
    </row>
    <row r="3573" spans="1:8">
      <c r="A3573" s="37">
        <v>43500.15625</v>
      </c>
      <c r="B3573" s="35" t="s">
        <v>654</v>
      </c>
      <c r="C3573" s="35" t="s">
        <v>655</v>
      </c>
      <c r="D3573" s="39">
        <v>261.97000122070313</v>
      </c>
      <c r="E3573" s="39">
        <v>240.07203674316406</v>
      </c>
      <c r="F3573" s="41">
        <v>1768175</v>
      </c>
      <c r="G3573" s="35" t="s">
        <v>683</v>
      </c>
      <c r="H3573" s="35" t="s">
        <v>115</v>
      </c>
    </row>
    <row r="3574" spans="1:8">
      <c r="A3574" s="37">
        <v>43501.15625</v>
      </c>
      <c r="B3574" s="35" t="s">
        <v>654</v>
      </c>
      <c r="C3574" s="35" t="s">
        <v>655</v>
      </c>
      <c r="D3574" s="39">
        <v>264.51998901367188</v>
      </c>
      <c r="E3574" s="39">
        <v>242.40892028808594</v>
      </c>
      <c r="F3574" s="41">
        <v>2363015</v>
      </c>
      <c r="G3574" s="35" t="s">
        <v>683</v>
      </c>
      <c r="H3574" s="35" t="s">
        <v>115</v>
      </c>
    </row>
    <row r="3575" spans="1:8">
      <c r="A3575" s="37">
        <v>43502.15625</v>
      </c>
      <c r="B3575" s="35" t="s">
        <v>654</v>
      </c>
      <c r="C3575" s="35" t="s">
        <v>655</v>
      </c>
      <c r="D3575" s="39">
        <v>259.32998657226563</v>
      </c>
      <c r="E3575" s="39">
        <v>237.65274047851563</v>
      </c>
      <c r="F3575" s="41">
        <v>2801950</v>
      </c>
      <c r="G3575" s="35" t="s">
        <v>683</v>
      </c>
      <c r="H3575" s="35" t="s">
        <v>115</v>
      </c>
    </row>
    <row r="3576" spans="1:8">
      <c r="A3576" s="37">
        <v>43503.15625</v>
      </c>
      <c r="B3576" s="35" t="s">
        <v>654</v>
      </c>
      <c r="C3576" s="35" t="s">
        <v>655</v>
      </c>
      <c r="D3576" s="39">
        <v>262.8900146484375</v>
      </c>
      <c r="E3576" s="39">
        <v>240.91519165039063</v>
      </c>
      <c r="F3576" s="41">
        <v>2732115</v>
      </c>
      <c r="G3576" s="35" t="s">
        <v>683</v>
      </c>
      <c r="H3576" s="35" t="s">
        <v>115</v>
      </c>
    </row>
    <row r="3577" spans="1:8">
      <c r="A3577" s="37">
        <v>43504.15625</v>
      </c>
      <c r="B3577" s="35" t="s">
        <v>654</v>
      </c>
      <c r="C3577" s="35" t="s">
        <v>655</v>
      </c>
      <c r="D3577" s="39">
        <v>261.82998657226563</v>
      </c>
      <c r="E3577" s="39">
        <v>239.94375610351563</v>
      </c>
      <c r="F3577" s="41">
        <v>3102380</v>
      </c>
      <c r="G3577" s="35" t="s">
        <v>683</v>
      </c>
      <c r="H3577" s="35" t="s">
        <v>115</v>
      </c>
    </row>
    <row r="3578" spans="1:8">
      <c r="A3578" s="37">
        <v>43507.15625</v>
      </c>
      <c r="B3578" s="35" t="s">
        <v>654</v>
      </c>
      <c r="C3578" s="35" t="s">
        <v>655</v>
      </c>
      <c r="D3578" s="39">
        <v>264.92999267578125</v>
      </c>
      <c r="E3578" s="39">
        <v>242.78465270996094</v>
      </c>
      <c r="F3578" s="41">
        <v>1944620</v>
      </c>
      <c r="G3578" s="35" t="s">
        <v>683</v>
      </c>
      <c r="H3578" s="35" t="s">
        <v>115</v>
      </c>
    </row>
    <row r="3579" spans="1:8">
      <c r="A3579" s="37">
        <v>43508.15625</v>
      </c>
      <c r="B3579" s="35" t="s">
        <v>654</v>
      </c>
      <c r="C3579" s="35" t="s">
        <v>655</v>
      </c>
      <c r="D3579" s="39">
        <v>259.17999267578125</v>
      </c>
      <c r="E3579" s="39">
        <v>237.51527404785156</v>
      </c>
      <c r="F3579" s="41">
        <v>2138345</v>
      </c>
      <c r="G3579" s="35" t="s">
        <v>683</v>
      </c>
      <c r="H3579" s="35" t="s">
        <v>115</v>
      </c>
    </row>
    <row r="3580" spans="1:8">
      <c r="A3580" s="37">
        <v>43510.15625</v>
      </c>
      <c r="B3580" s="35" t="s">
        <v>654</v>
      </c>
      <c r="C3580" s="35" t="s">
        <v>655</v>
      </c>
      <c r="D3580" s="39">
        <v>261.07000732421875</v>
      </c>
      <c r="E3580" s="39">
        <v>239.24729919433594</v>
      </c>
      <c r="F3580" s="41">
        <v>1663550</v>
      </c>
      <c r="G3580" s="35" t="s">
        <v>683</v>
      </c>
      <c r="H3580" s="35" t="s">
        <v>115</v>
      </c>
    </row>
    <row r="3581" spans="1:8">
      <c r="A3581" s="37">
        <v>43511.15625</v>
      </c>
      <c r="B3581" s="35" t="s">
        <v>654</v>
      </c>
      <c r="C3581" s="35" t="s">
        <v>655</v>
      </c>
      <c r="D3581" s="39">
        <v>252.80000305175781</v>
      </c>
      <c r="E3581" s="39">
        <v>231.66854858398438</v>
      </c>
      <c r="F3581" s="41">
        <v>3120945</v>
      </c>
      <c r="G3581" s="35" t="s">
        <v>683</v>
      </c>
      <c r="H3581" s="35" t="s">
        <v>115</v>
      </c>
    </row>
    <row r="3582" spans="1:8">
      <c r="A3582" s="37">
        <v>43514.15625</v>
      </c>
      <c r="B3582" s="35" t="s">
        <v>654</v>
      </c>
      <c r="C3582" s="35" t="s">
        <v>655</v>
      </c>
      <c r="D3582" s="39">
        <v>256.66000366210938</v>
      </c>
      <c r="E3582" s="39">
        <v>235.20599365234375</v>
      </c>
      <c r="F3582" s="41">
        <v>4528445</v>
      </c>
      <c r="G3582" s="35" t="s">
        <v>683</v>
      </c>
      <c r="H3582" s="35" t="s">
        <v>115</v>
      </c>
    </row>
    <row r="3583" spans="1:8">
      <c r="A3583" s="37">
        <v>43515.15625</v>
      </c>
      <c r="B3583" s="35" t="s">
        <v>654</v>
      </c>
      <c r="C3583" s="35" t="s">
        <v>655</v>
      </c>
      <c r="D3583" s="39">
        <v>255.52000427246094</v>
      </c>
      <c r="E3583" s="39">
        <v>234.16119384765625</v>
      </c>
      <c r="F3583" s="41">
        <v>2273015</v>
      </c>
      <c r="G3583" s="35" t="s">
        <v>683</v>
      </c>
      <c r="H3583" s="35" t="s">
        <v>115</v>
      </c>
    </row>
    <row r="3584" spans="1:8">
      <c r="A3584" s="37">
        <v>43516.15625</v>
      </c>
      <c r="B3584" s="35" t="s">
        <v>654</v>
      </c>
      <c r="C3584" s="35" t="s">
        <v>655</v>
      </c>
      <c r="D3584" s="39">
        <v>258.35000610351563</v>
      </c>
      <c r="E3584" s="39">
        <v>236.75466918945313</v>
      </c>
      <c r="F3584" s="41">
        <v>2877970</v>
      </c>
      <c r="G3584" s="35" t="s">
        <v>683</v>
      </c>
      <c r="H3584" s="35" t="s">
        <v>115</v>
      </c>
    </row>
    <row r="3585" spans="1:8">
      <c r="A3585" s="37">
        <v>43517.15625</v>
      </c>
      <c r="B3585" s="35" t="s">
        <v>654</v>
      </c>
      <c r="C3585" s="35" t="s">
        <v>655</v>
      </c>
      <c r="D3585" s="39">
        <v>258.72000122070313</v>
      </c>
      <c r="E3585" s="39">
        <v>237.09370422363281</v>
      </c>
      <c r="F3585" s="41">
        <v>4468550</v>
      </c>
      <c r="G3585" s="35" t="s">
        <v>683</v>
      </c>
      <c r="H3585" s="35" t="s">
        <v>115</v>
      </c>
    </row>
    <row r="3586" spans="1:8">
      <c r="A3586" s="37">
        <v>43518.15625</v>
      </c>
      <c r="B3586" s="35" t="s">
        <v>654</v>
      </c>
      <c r="C3586" s="35" t="s">
        <v>655</v>
      </c>
      <c r="D3586" s="39">
        <v>256.8599853515625</v>
      </c>
      <c r="E3586" s="39">
        <v>235.38926696777344</v>
      </c>
      <c r="F3586" s="41">
        <v>3696910</v>
      </c>
      <c r="G3586" s="35" t="s">
        <v>683</v>
      </c>
      <c r="H3586" s="35" t="s">
        <v>115</v>
      </c>
    </row>
    <row r="3587" spans="1:8">
      <c r="A3587" s="37">
        <v>43521.15625</v>
      </c>
      <c r="B3587" s="35" t="s">
        <v>654</v>
      </c>
      <c r="C3587" s="35" t="s">
        <v>655</v>
      </c>
      <c r="D3587" s="39">
        <v>263.23001098632813</v>
      </c>
      <c r="E3587" s="39">
        <v>241.22669982910156</v>
      </c>
      <c r="F3587" s="41">
        <v>2904695</v>
      </c>
      <c r="G3587" s="35" t="s">
        <v>683</v>
      </c>
      <c r="H3587" s="35" t="s">
        <v>115</v>
      </c>
    </row>
    <row r="3588" spans="1:8">
      <c r="A3588" s="37">
        <v>43522.15625</v>
      </c>
      <c r="B3588" s="35" t="s">
        <v>654</v>
      </c>
      <c r="C3588" s="35" t="s">
        <v>655</v>
      </c>
      <c r="D3588" s="39">
        <v>263.30999755859375</v>
      </c>
      <c r="E3588" s="39">
        <v>241.30001831054688</v>
      </c>
      <c r="F3588" s="41">
        <v>3802975</v>
      </c>
      <c r="G3588" s="35" t="s">
        <v>683</v>
      </c>
      <c r="H3588" s="35" t="s">
        <v>115</v>
      </c>
    </row>
    <row r="3589" spans="1:8">
      <c r="A3589" s="37">
        <v>43523.15625</v>
      </c>
      <c r="B3589" s="35" t="s">
        <v>654</v>
      </c>
      <c r="C3589" s="35" t="s">
        <v>655</v>
      </c>
      <c r="D3589" s="39">
        <v>264.04000854492188</v>
      </c>
      <c r="E3589" s="39">
        <v>241.96903991699219</v>
      </c>
      <c r="F3589" s="41">
        <v>4110285</v>
      </c>
      <c r="G3589" s="35" t="s">
        <v>683</v>
      </c>
      <c r="H3589" s="35" t="s">
        <v>115</v>
      </c>
    </row>
    <row r="3590" spans="1:8">
      <c r="A3590" s="37">
        <v>43524.15625</v>
      </c>
      <c r="B3590" s="35" t="s">
        <v>654</v>
      </c>
      <c r="C3590" s="35" t="s">
        <v>655</v>
      </c>
      <c r="D3590" s="39">
        <v>264.1400146484375</v>
      </c>
      <c r="E3590" s="39">
        <v>242.06072998046875</v>
      </c>
      <c r="F3590" s="41">
        <v>1850075</v>
      </c>
      <c r="G3590" s="35" t="s">
        <v>683</v>
      </c>
      <c r="H3590" s="35" t="s">
        <v>115</v>
      </c>
    </row>
    <row r="3591" spans="1:8">
      <c r="A3591" s="37">
        <v>43525.15625</v>
      </c>
      <c r="B3591" s="35" t="s">
        <v>654</v>
      </c>
      <c r="C3591" s="35" t="s">
        <v>655</v>
      </c>
      <c r="D3591" s="39">
        <v>264.67999267578125</v>
      </c>
      <c r="E3591" s="39">
        <v>242.55560302734375</v>
      </c>
      <c r="F3591" s="41">
        <v>2919675</v>
      </c>
      <c r="G3591" s="35" t="s">
        <v>683</v>
      </c>
      <c r="H3591" s="35" t="s">
        <v>115</v>
      </c>
    </row>
    <row r="3592" spans="1:8">
      <c r="A3592" s="37">
        <v>43529.15625</v>
      </c>
      <c r="B3592" s="35" t="s">
        <v>654</v>
      </c>
      <c r="C3592" s="35" t="s">
        <v>655</v>
      </c>
      <c r="D3592" s="39">
        <v>262.72000122070313</v>
      </c>
      <c r="E3592" s="39">
        <v>240.75938415527344</v>
      </c>
      <c r="F3592" s="41">
        <v>2047230</v>
      </c>
      <c r="G3592" s="35" t="s">
        <v>683</v>
      </c>
      <c r="H3592" s="35" t="s">
        <v>115</v>
      </c>
    </row>
    <row r="3593" spans="1:8">
      <c r="A3593" s="37">
        <v>43530.15625</v>
      </c>
      <c r="B3593" s="35" t="s">
        <v>654</v>
      </c>
      <c r="C3593" s="35" t="s">
        <v>655</v>
      </c>
      <c r="D3593" s="39">
        <v>263.33999633789063</v>
      </c>
      <c r="E3593" s="39">
        <v>241.32752990722656</v>
      </c>
      <c r="F3593" s="41">
        <v>2697985</v>
      </c>
      <c r="G3593" s="35" t="s">
        <v>683</v>
      </c>
      <c r="H3593" s="35" t="s">
        <v>115</v>
      </c>
    </row>
    <row r="3594" spans="1:8">
      <c r="A3594" s="37">
        <v>43531.15625</v>
      </c>
      <c r="B3594" s="35" t="s">
        <v>654</v>
      </c>
      <c r="C3594" s="35" t="s">
        <v>655</v>
      </c>
      <c r="D3594" s="39">
        <v>264.67999267578125</v>
      </c>
      <c r="E3594" s="39">
        <v>242.55560302734375</v>
      </c>
      <c r="F3594" s="41">
        <v>5681215</v>
      </c>
      <c r="G3594" s="35" t="s">
        <v>683</v>
      </c>
      <c r="H3594" s="35" t="s">
        <v>115</v>
      </c>
    </row>
    <row r="3595" spans="1:8">
      <c r="A3595" s="37">
        <v>43532.15625</v>
      </c>
      <c r="B3595" s="35" t="s">
        <v>654</v>
      </c>
      <c r="C3595" s="35" t="s">
        <v>655</v>
      </c>
      <c r="D3595" s="39">
        <v>262.70999145507813</v>
      </c>
      <c r="E3595" s="39">
        <v>240.75021362304688</v>
      </c>
      <c r="F3595" s="41">
        <v>2570260</v>
      </c>
      <c r="G3595" s="35" t="s">
        <v>683</v>
      </c>
      <c r="H3595" s="35" t="s">
        <v>115</v>
      </c>
    </row>
    <row r="3596" spans="1:8">
      <c r="A3596" s="37">
        <v>43535.15625</v>
      </c>
      <c r="B3596" s="35" t="s">
        <v>654</v>
      </c>
      <c r="C3596" s="35" t="s">
        <v>655</v>
      </c>
      <c r="D3596" s="39">
        <v>265.55999755859375</v>
      </c>
      <c r="E3596" s="39">
        <v>243.36201477050781</v>
      </c>
      <c r="F3596" s="41">
        <v>3039440</v>
      </c>
      <c r="G3596" s="35" t="s">
        <v>683</v>
      </c>
      <c r="H3596" s="35" t="s">
        <v>115</v>
      </c>
    </row>
    <row r="3597" spans="1:8">
      <c r="A3597" s="37">
        <v>43536.15625</v>
      </c>
      <c r="B3597" s="35" t="s">
        <v>654</v>
      </c>
      <c r="C3597" s="35" t="s">
        <v>655</v>
      </c>
      <c r="D3597" s="39">
        <v>265.04998779296875</v>
      </c>
      <c r="E3597" s="39">
        <v>242.89460754394531</v>
      </c>
      <c r="F3597" s="41">
        <v>3202760</v>
      </c>
      <c r="G3597" s="35" t="s">
        <v>683</v>
      </c>
      <c r="H3597" s="35" t="s">
        <v>115</v>
      </c>
    </row>
    <row r="3598" spans="1:8">
      <c r="A3598" s="37">
        <v>43537.15625</v>
      </c>
      <c r="B3598" s="35" t="s">
        <v>654</v>
      </c>
      <c r="C3598" s="35" t="s">
        <v>655</v>
      </c>
      <c r="D3598" s="39">
        <v>266.58999633789063</v>
      </c>
      <c r="E3598" s="39">
        <v>244.30581665039063</v>
      </c>
      <c r="F3598" s="41">
        <v>2811535</v>
      </c>
      <c r="G3598" s="35" t="s">
        <v>683</v>
      </c>
      <c r="H3598" s="35" t="s">
        <v>115</v>
      </c>
    </row>
    <row r="3599" spans="1:8">
      <c r="A3599" s="37">
        <v>43538.15625</v>
      </c>
      <c r="B3599" s="35" t="s">
        <v>654</v>
      </c>
      <c r="C3599" s="35" t="s">
        <v>655</v>
      </c>
      <c r="D3599" s="39">
        <v>264.02999877929688</v>
      </c>
      <c r="E3599" s="39">
        <v>241.95985412597656</v>
      </c>
      <c r="F3599" s="41">
        <v>1786605</v>
      </c>
      <c r="G3599" s="35" t="s">
        <v>683</v>
      </c>
      <c r="H3599" s="35" t="s">
        <v>115</v>
      </c>
    </row>
    <row r="3600" spans="1:8">
      <c r="A3600" s="37">
        <v>43539.15625</v>
      </c>
      <c r="B3600" s="35" t="s">
        <v>654</v>
      </c>
      <c r="C3600" s="35" t="s">
        <v>655</v>
      </c>
      <c r="D3600" s="39">
        <v>267.32998657226563</v>
      </c>
      <c r="E3600" s="39">
        <v>244.98402404785156</v>
      </c>
      <c r="F3600" s="41">
        <v>8347315</v>
      </c>
      <c r="G3600" s="35" t="s">
        <v>683</v>
      </c>
      <c r="H3600" s="35" t="s">
        <v>115</v>
      </c>
    </row>
    <row r="3601" spans="1:8">
      <c r="A3601" s="37">
        <v>43542.15625</v>
      </c>
      <c r="B3601" s="35" t="s">
        <v>654</v>
      </c>
      <c r="C3601" s="35" t="s">
        <v>655</v>
      </c>
      <c r="D3601" s="39">
        <v>263.30999755859375</v>
      </c>
      <c r="E3601" s="39">
        <v>241.30001831054688</v>
      </c>
      <c r="F3601" s="41">
        <v>2493895</v>
      </c>
      <c r="G3601" s="35" t="s">
        <v>683</v>
      </c>
      <c r="H3601" s="35" t="s">
        <v>115</v>
      </c>
    </row>
    <row r="3602" spans="1:8">
      <c r="A3602" s="37">
        <v>43543.15625</v>
      </c>
      <c r="B3602" s="35" t="s">
        <v>654</v>
      </c>
      <c r="C3602" s="35" t="s">
        <v>655</v>
      </c>
      <c r="D3602" s="39">
        <v>266.5</v>
      </c>
      <c r="E3602" s="39">
        <v>244.22341918945313</v>
      </c>
      <c r="F3602" s="41">
        <v>2088570</v>
      </c>
      <c r="G3602" s="35" t="s">
        <v>683</v>
      </c>
      <c r="H3602" s="35" t="s">
        <v>115</v>
      </c>
    </row>
    <row r="3603" spans="1:8">
      <c r="A3603" s="37">
        <v>43544.15625</v>
      </c>
      <c r="B3603" s="35" t="s">
        <v>654</v>
      </c>
      <c r="C3603" s="35" t="s">
        <v>655</v>
      </c>
      <c r="D3603" s="39">
        <v>265.60000610351563</v>
      </c>
      <c r="E3603" s="39">
        <v>243.39863586425781</v>
      </c>
      <c r="F3603" s="41">
        <v>7075430</v>
      </c>
      <c r="G3603" s="35" t="s">
        <v>683</v>
      </c>
      <c r="H3603" s="35" t="s">
        <v>115</v>
      </c>
    </row>
    <row r="3604" spans="1:8">
      <c r="A3604" s="37">
        <v>43546.15625</v>
      </c>
      <c r="B3604" s="35" t="s">
        <v>654</v>
      </c>
      <c r="C3604" s="35" t="s">
        <v>655</v>
      </c>
      <c r="D3604" s="39">
        <v>265.3699951171875</v>
      </c>
      <c r="E3604" s="39">
        <v>243.18785095214844</v>
      </c>
      <c r="F3604" s="41">
        <v>2005910</v>
      </c>
      <c r="G3604" s="35" t="s">
        <v>683</v>
      </c>
      <c r="H3604" s="35" t="s">
        <v>115</v>
      </c>
    </row>
    <row r="3605" spans="1:8">
      <c r="A3605" s="37">
        <v>43549.15625</v>
      </c>
      <c r="B3605" s="35" t="s">
        <v>654</v>
      </c>
      <c r="C3605" s="35" t="s">
        <v>655</v>
      </c>
      <c r="D3605" s="39">
        <v>263.510009765625</v>
      </c>
      <c r="E3605" s="39">
        <v>241.48336791992188</v>
      </c>
      <c r="F3605" s="41">
        <v>1988060</v>
      </c>
      <c r="G3605" s="35" t="s">
        <v>683</v>
      </c>
      <c r="H3605" s="35" t="s">
        <v>115</v>
      </c>
    </row>
    <row r="3606" spans="1:8">
      <c r="A3606" s="37">
        <v>43550.15625</v>
      </c>
      <c r="B3606" s="35" t="s">
        <v>654</v>
      </c>
      <c r="C3606" s="35" t="s">
        <v>655</v>
      </c>
      <c r="D3606" s="39">
        <v>261.42999267578125</v>
      </c>
      <c r="E3606" s="39">
        <v>239.57723999023438</v>
      </c>
      <c r="F3606" s="41">
        <v>2510460</v>
      </c>
      <c r="G3606" s="35" t="s">
        <v>683</v>
      </c>
      <c r="H3606" s="35" t="s">
        <v>115</v>
      </c>
    </row>
    <row r="3607" spans="1:8">
      <c r="A3607" s="37">
        <v>43551.15625</v>
      </c>
      <c r="B3607" s="35" t="s">
        <v>654</v>
      </c>
      <c r="C3607" s="35" t="s">
        <v>655</v>
      </c>
      <c r="D3607" s="39">
        <v>263.1300048828125</v>
      </c>
      <c r="E3607" s="39">
        <v>241.13508605957031</v>
      </c>
      <c r="F3607" s="41">
        <v>1646615</v>
      </c>
      <c r="G3607" s="35" t="s">
        <v>683</v>
      </c>
      <c r="H3607" s="35" t="s">
        <v>115</v>
      </c>
    </row>
    <row r="3608" spans="1:8">
      <c r="A3608" s="37">
        <v>43552.15625</v>
      </c>
      <c r="B3608" s="35" t="s">
        <v>654</v>
      </c>
      <c r="C3608" s="35" t="s">
        <v>655</v>
      </c>
      <c r="D3608" s="39">
        <v>266.79000854492188</v>
      </c>
      <c r="E3608" s="39">
        <v>244.48919677734375</v>
      </c>
      <c r="F3608" s="41">
        <v>3756740</v>
      </c>
      <c r="G3608" s="35" t="s">
        <v>683</v>
      </c>
      <c r="H3608" s="35" t="s">
        <v>115</v>
      </c>
    </row>
    <row r="3609" spans="1:8">
      <c r="A3609" s="37">
        <v>43556.15625</v>
      </c>
      <c r="B3609" s="35" t="s">
        <v>654</v>
      </c>
      <c r="C3609" s="35" t="s">
        <v>655</v>
      </c>
      <c r="D3609" s="39">
        <v>266.79000854492188</v>
      </c>
      <c r="E3609" s="39">
        <v>244.48919677734375</v>
      </c>
      <c r="F3609" s="41">
        <v>1498990</v>
      </c>
      <c r="G3609" s="35" t="s">
        <v>684</v>
      </c>
      <c r="H3609" s="35" t="s">
        <v>115</v>
      </c>
    </row>
    <row r="3610" spans="1:8">
      <c r="A3610" s="37">
        <v>43557.15625</v>
      </c>
      <c r="B3610" s="35" t="s">
        <v>654</v>
      </c>
      <c r="C3610" s="35" t="s">
        <v>655</v>
      </c>
      <c r="D3610" s="39">
        <v>270.22000122070313</v>
      </c>
      <c r="E3610" s="39">
        <v>247.63247680664063</v>
      </c>
      <c r="F3610" s="41">
        <v>4502195</v>
      </c>
      <c r="G3610" s="35" t="s">
        <v>684</v>
      </c>
      <c r="H3610" s="35" t="s">
        <v>115</v>
      </c>
    </row>
    <row r="3611" spans="1:8">
      <c r="A3611" s="37">
        <v>43558.15625</v>
      </c>
      <c r="B3611" s="35" t="s">
        <v>654</v>
      </c>
      <c r="C3611" s="35" t="s">
        <v>655</v>
      </c>
      <c r="D3611" s="39">
        <v>267.8699951171875</v>
      </c>
      <c r="E3611" s="39">
        <v>245.47883605957031</v>
      </c>
      <c r="F3611" s="41">
        <v>2774825</v>
      </c>
      <c r="G3611" s="35" t="s">
        <v>684</v>
      </c>
      <c r="H3611" s="35" t="s">
        <v>115</v>
      </c>
    </row>
    <row r="3612" spans="1:8">
      <c r="A3612" s="37">
        <v>43559.15625</v>
      </c>
      <c r="B3612" s="35" t="s">
        <v>654</v>
      </c>
      <c r="C3612" s="35" t="s">
        <v>655</v>
      </c>
      <c r="D3612" s="39">
        <v>265.1300048828125</v>
      </c>
      <c r="E3612" s="39">
        <v>242.96791076660156</v>
      </c>
      <c r="F3612" s="41">
        <v>1383570</v>
      </c>
      <c r="G3612" s="35" t="s">
        <v>684</v>
      </c>
      <c r="H3612" s="35" t="s">
        <v>115</v>
      </c>
    </row>
    <row r="3613" spans="1:8">
      <c r="A3613" s="37">
        <v>43560.15625</v>
      </c>
      <c r="B3613" s="35" t="s">
        <v>654</v>
      </c>
      <c r="C3613" s="35" t="s">
        <v>655</v>
      </c>
      <c r="D3613" s="39">
        <v>269.6099853515625</v>
      </c>
      <c r="E3613" s="39">
        <v>247.07342529296875</v>
      </c>
      <c r="F3613" s="41">
        <v>3721970</v>
      </c>
      <c r="G3613" s="35" t="s">
        <v>684</v>
      </c>
      <c r="H3613" s="35" t="s">
        <v>115</v>
      </c>
    </row>
    <row r="3614" spans="1:8">
      <c r="A3614" s="37">
        <v>43563.15625</v>
      </c>
      <c r="B3614" s="35" t="s">
        <v>654</v>
      </c>
      <c r="C3614" s="35" t="s">
        <v>655</v>
      </c>
      <c r="D3614" s="39">
        <v>260.33999633789063</v>
      </c>
      <c r="E3614" s="39">
        <v>238.57833862304688</v>
      </c>
      <c r="F3614" s="41">
        <v>8862990</v>
      </c>
      <c r="G3614" s="35" t="s">
        <v>684</v>
      </c>
      <c r="H3614" s="35" t="s">
        <v>115</v>
      </c>
    </row>
    <row r="3615" spans="1:8">
      <c r="A3615" s="37">
        <v>43564.15625</v>
      </c>
      <c r="B3615" s="35" t="s">
        <v>654</v>
      </c>
      <c r="C3615" s="35" t="s">
        <v>655</v>
      </c>
      <c r="D3615" s="39">
        <v>259.70999145507813</v>
      </c>
      <c r="E3615" s="39">
        <v>238.00094604492188</v>
      </c>
      <c r="F3615" s="41">
        <v>3050880</v>
      </c>
      <c r="G3615" s="35" t="s">
        <v>684</v>
      </c>
      <c r="H3615" s="35" t="s">
        <v>115</v>
      </c>
    </row>
    <row r="3616" spans="1:8">
      <c r="A3616" s="37">
        <v>43565.15625</v>
      </c>
      <c r="B3616" s="35" t="s">
        <v>654</v>
      </c>
      <c r="C3616" s="35" t="s">
        <v>655</v>
      </c>
      <c r="D3616" s="39">
        <v>259.6099853515625</v>
      </c>
      <c r="E3616" s="39">
        <v>237.90933227539063</v>
      </c>
      <c r="F3616" s="41">
        <v>1987740</v>
      </c>
      <c r="G3616" s="35" t="s">
        <v>684</v>
      </c>
      <c r="H3616" s="35" t="s">
        <v>115</v>
      </c>
    </row>
    <row r="3617" spans="1:8">
      <c r="A3617" s="37">
        <v>43566.15625</v>
      </c>
      <c r="B3617" s="35" t="s">
        <v>654</v>
      </c>
      <c r="C3617" s="35" t="s">
        <v>655</v>
      </c>
      <c r="D3617" s="39">
        <v>259.69000244140625</v>
      </c>
      <c r="E3617" s="39">
        <v>237.98263549804688</v>
      </c>
      <c r="F3617" s="41">
        <v>1285300</v>
      </c>
      <c r="G3617" s="35" t="s">
        <v>684</v>
      </c>
      <c r="H3617" s="35" t="s">
        <v>115</v>
      </c>
    </row>
    <row r="3618" spans="1:8">
      <c r="A3618" s="37">
        <v>43567.15625</v>
      </c>
      <c r="B3618" s="35" t="s">
        <v>654</v>
      </c>
      <c r="C3618" s="35" t="s">
        <v>655</v>
      </c>
      <c r="D3618" s="39">
        <v>259.55999755859375</v>
      </c>
      <c r="E3618" s="39">
        <v>237.863525390625</v>
      </c>
      <c r="F3618" s="41">
        <v>1251275</v>
      </c>
      <c r="G3618" s="35" t="s">
        <v>684</v>
      </c>
      <c r="H3618" s="35" t="s">
        <v>115</v>
      </c>
    </row>
    <row r="3619" spans="1:8">
      <c r="A3619" s="37">
        <v>43570.15625</v>
      </c>
      <c r="B3619" s="35" t="s">
        <v>654</v>
      </c>
      <c r="C3619" s="35" t="s">
        <v>655</v>
      </c>
      <c r="D3619" s="39">
        <v>258.70001220703125</v>
      </c>
      <c r="E3619" s="39">
        <v>237.075439453125</v>
      </c>
      <c r="F3619" s="41">
        <v>1452230</v>
      </c>
      <c r="G3619" s="35" t="s">
        <v>684</v>
      </c>
      <c r="H3619" s="35" t="s">
        <v>115</v>
      </c>
    </row>
    <row r="3620" spans="1:8">
      <c r="A3620" s="37">
        <v>43571.15625</v>
      </c>
      <c r="B3620" s="35" t="s">
        <v>654</v>
      </c>
      <c r="C3620" s="35" t="s">
        <v>655</v>
      </c>
      <c r="D3620" s="39">
        <v>259.41000366210938</v>
      </c>
      <c r="E3620" s="39">
        <v>237.72605895996094</v>
      </c>
      <c r="F3620" s="41">
        <v>1760080</v>
      </c>
      <c r="G3620" s="35" t="s">
        <v>684</v>
      </c>
      <c r="H3620" s="35" t="s">
        <v>115</v>
      </c>
    </row>
    <row r="3621" spans="1:8">
      <c r="A3621" s="37">
        <v>43573.145833333336</v>
      </c>
      <c r="B3621" s="35" t="s">
        <v>654</v>
      </c>
      <c r="C3621" s="35" t="s">
        <v>655</v>
      </c>
      <c r="D3621" s="39">
        <v>262.89999389648438</v>
      </c>
      <c r="E3621" s="39">
        <v>240.92434692382813</v>
      </c>
      <c r="F3621" s="41">
        <v>3609555</v>
      </c>
      <c r="G3621" s="35" t="s">
        <v>684</v>
      </c>
      <c r="H3621" s="35" t="s">
        <v>115</v>
      </c>
    </row>
    <row r="3622" spans="1:8">
      <c r="A3622" s="37">
        <v>43577.15625</v>
      </c>
      <c r="B3622" s="35" t="s">
        <v>654</v>
      </c>
      <c r="C3622" s="35" t="s">
        <v>655</v>
      </c>
      <c r="D3622" s="39">
        <v>263.82000732421875</v>
      </c>
      <c r="E3622" s="39">
        <v>241.76742553710938</v>
      </c>
      <c r="F3622" s="41">
        <v>1784420</v>
      </c>
      <c r="G3622" s="35" t="s">
        <v>684</v>
      </c>
      <c r="H3622" s="35" t="s">
        <v>115</v>
      </c>
    </row>
    <row r="3623" spans="1:8">
      <c r="A3623" s="37">
        <v>43578.15625</v>
      </c>
      <c r="B3623" s="35" t="s">
        <v>654</v>
      </c>
      <c r="C3623" s="35" t="s">
        <v>655</v>
      </c>
      <c r="D3623" s="39">
        <v>260.73001098632813</v>
      </c>
      <c r="E3623" s="39">
        <v>238.93574523925781</v>
      </c>
      <c r="F3623" s="41">
        <v>1017140</v>
      </c>
      <c r="G3623" s="35" t="s">
        <v>684</v>
      </c>
      <c r="H3623" s="35" t="s">
        <v>115</v>
      </c>
    </row>
    <row r="3624" spans="1:8">
      <c r="A3624" s="37">
        <v>43579.15625</v>
      </c>
      <c r="B3624" s="35" t="s">
        <v>654</v>
      </c>
      <c r="C3624" s="35" t="s">
        <v>655</v>
      </c>
      <c r="D3624" s="39">
        <v>261.92999267578125</v>
      </c>
      <c r="E3624" s="39">
        <v>240.03543090820313</v>
      </c>
      <c r="F3624" s="41">
        <v>764825</v>
      </c>
      <c r="G3624" s="35" t="s">
        <v>684</v>
      </c>
      <c r="H3624" s="35" t="s">
        <v>115</v>
      </c>
    </row>
    <row r="3625" spans="1:8">
      <c r="A3625" s="37">
        <v>43580.15625</v>
      </c>
      <c r="B3625" s="35" t="s">
        <v>654</v>
      </c>
      <c r="C3625" s="35" t="s">
        <v>655</v>
      </c>
      <c r="D3625" s="39">
        <v>260.26998901367188</v>
      </c>
      <c r="E3625" s="39">
        <v>238.51417541503906</v>
      </c>
      <c r="F3625" s="41">
        <v>1151520</v>
      </c>
      <c r="G3625" s="35" t="s">
        <v>684</v>
      </c>
      <c r="H3625" s="35" t="s">
        <v>115</v>
      </c>
    </row>
    <row r="3626" spans="1:8">
      <c r="A3626" s="37">
        <v>43581.15625</v>
      </c>
      <c r="B3626" s="35" t="s">
        <v>654</v>
      </c>
      <c r="C3626" s="35" t="s">
        <v>655</v>
      </c>
      <c r="D3626" s="39">
        <v>262.79998779296875</v>
      </c>
      <c r="E3626" s="39">
        <v>240.83270263671875</v>
      </c>
      <c r="F3626" s="41">
        <v>1333745</v>
      </c>
      <c r="G3626" s="35" t="s">
        <v>684</v>
      </c>
      <c r="H3626" s="35" t="s">
        <v>115</v>
      </c>
    </row>
    <row r="3627" spans="1:8">
      <c r="A3627" s="37">
        <v>43585.15625</v>
      </c>
      <c r="B3627" s="35" t="s">
        <v>654</v>
      </c>
      <c r="C3627" s="35" t="s">
        <v>655</v>
      </c>
      <c r="D3627" s="39">
        <v>258.70001220703125</v>
      </c>
      <c r="E3627" s="39">
        <v>237.075439453125</v>
      </c>
      <c r="F3627" s="41">
        <v>1925190</v>
      </c>
      <c r="G3627" s="35" t="s">
        <v>684</v>
      </c>
      <c r="H3627" s="35" t="s">
        <v>115</v>
      </c>
    </row>
    <row r="3628" spans="1:8">
      <c r="A3628" s="37">
        <v>43587.15625</v>
      </c>
      <c r="B3628" s="35" t="s">
        <v>654</v>
      </c>
      <c r="C3628" s="35" t="s">
        <v>655</v>
      </c>
      <c r="D3628" s="39">
        <v>256.51998901367188</v>
      </c>
      <c r="E3628" s="39">
        <v>235.07763671875</v>
      </c>
      <c r="F3628" s="41">
        <v>1763325</v>
      </c>
      <c r="G3628" s="35" t="s">
        <v>684</v>
      </c>
      <c r="H3628" s="35" t="s">
        <v>115</v>
      </c>
    </row>
    <row r="3629" spans="1:8">
      <c r="A3629" s="37">
        <v>43588.15625</v>
      </c>
      <c r="B3629" s="35" t="s">
        <v>654</v>
      </c>
      <c r="C3629" s="35" t="s">
        <v>655</v>
      </c>
      <c r="D3629" s="39">
        <v>253.50999450683594</v>
      </c>
      <c r="E3629" s="39">
        <v>232.31922912597656</v>
      </c>
      <c r="F3629" s="41">
        <v>2706590</v>
      </c>
      <c r="G3629" s="35" t="s">
        <v>684</v>
      </c>
      <c r="H3629" s="35" t="s">
        <v>115</v>
      </c>
    </row>
    <row r="3630" spans="1:8">
      <c r="A3630" s="37">
        <v>43591.15625</v>
      </c>
      <c r="B3630" s="35" t="s">
        <v>654</v>
      </c>
      <c r="C3630" s="35" t="s">
        <v>655</v>
      </c>
      <c r="D3630" s="39">
        <v>251.91000366210938</v>
      </c>
      <c r="E3630" s="39">
        <v>230.85301208496094</v>
      </c>
      <c r="F3630" s="41">
        <v>5164720</v>
      </c>
      <c r="G3630" s="35" t="s">
        <v>684</v>
      </c>
      <c r="H3630" s="35" t="s">
        <v>115</v>
      </c>
    </row>
    <row r="3631" spans="1:8">
      <c r="A3631" s="37">
        <v>43592.145833333336</v>
      </c>
      <c r="B3631" s="35" t="s">
        <v>654</v>
      </c>
      <c r="C3631" s="35" t="s">
        <v>655</v>
      </c>
      <c r="D3631" s="39">
        <v>251.16999816894531</v>
      </c>
      <c r="E3631" s="39">
        <v>230.17481994628906</v>
      </c>
      <c r="F3631" s="41">
        <v>1446750</v>
      </c>
      <c r="G3631" s="35" t="s">
        <v>684</v>
      </c>
      <c r="H3631" s="35" t="s">
        <v>115</v>
      </c>
    </row>
    <row r="3632" spans="1:8">
      <c r="A3632" s="37">
        <v>43593.15625</v>
      </c>
      <c r="B3632" s="35" t="s">
        <v>654</v>
      </c>
      <c r="C3632" s="35" t="s">
        <v>655</v>
      </c>
      <c r="D3632" s="39">
        <v>247.41999816894531</v>
      </c>
      <c r="E3632" s="39">
        <v>226.73832702636719</v>
      </c>
      <c r="F3632" s="41">
        <v>3851895</v>
      </c>
      <c r="G3632" s="35" t="s">
        <v>684</v>
      </c>
      <c r="H3632" s="35" t="s">
        <v>115</v>
      </c>
    </row>
    <row r="3633" spans="1:8">
      <c r="A3633" s="37">
        <v>43594.15625</v>
      </c>
      <c r="B3633" s="35" t="s">
        <v>654</v>
      </c>
      <c r="C3633" s="35" t="s">
        <v>655</v>
      </c>
      <c r="D3633" s="39">
        <v>246.1199951171875</v>
      </c>
      <c r="E3633" s="39">
        <v>225.54696655273438</v>
      </c>
      <c r="F3633" s="41">
        <v>2184160</v>
      </c>
      <c r="G3633" s="35" t="s">
        <v>684</v>
      </c>
      <c r="H3633" s="35" t="s">
        <v>115</v>
      </c>
    </row>
    <row r="3634" spans="1:8">
      <c r="A3634" s="37">
        <v>43595.15625</v>
      </c>
      <c r="B3634" s="35" t="s">
        <v>654</v>
      </c>
      <c r="C3634" s="35" t="s">
        <v>655</v>
      </c>
      <c r="D3634" s="39">
        <v>248.94000244140625</v>
      </c>
      <c r="E3634" s="39">
        <v>228.13124084472656</v>
      </c>
      <c r="F3634" s="41">
        <v>3296455</v>
      </c>
      <c r="G3634" s="35" t="s">
        <v>684</v>
      </c>
      <c r="H3634" s="35" t="s">
        <v>115</v>
      </c>
    </row>
    <row r="3635" spans="1:8">
      <c r="A3635" s="37">
        <v>43598.15625</v>
      </c>
      <c r="B3635" s="35" t="s">
        <v>654</v>
      </c>
      <c r="C3635" s="35" t="s">
        <v>655</v>
      </c>
      <c r="D3635" s="39">
        <v>249.78999328613281</v>
      </c>
      <c r="E3635" s="39">
        <v>228.91017150878906</v>
      </c>
      <c r="F3635" s="41">
        <v>2423460</v>
      </c>
      <c r="G3635" s="35" t="s">
        <v>684</v>
      </c>
      <c r="H3635" s="35" t="s">
        <v>115</v>
      </c>
    </row>
    <row r="3636" spans="1:8">
      <c r="A3636" s="37">
        <v>43599.15625</v>
      </c>
      <c r="B3636" s="35" t="s">
        <v>654</v>
      </c>
      <c r="C3636" s="35" t="s">
        <v>655</v>
      </c>
      <c r="D3636" s="39">
        <v>251.08999633789063</v>
      </c>
      <c r="E3636" s="39">
        <v>230.10154724121094</v>
      </c>
      <c r="F3636" s="41">
        <v>1373580</v>
      </c>
      <c r="G3636" s="35" t="s">
        <v>684</v>
      </c>
      <c r="H3636" s="35" t="s">
        <v>115</v>
      </c>
    </row>
    <row r="3637" spans="1:8">
      <c r="A3637" s="37">
        <v>43600.15625</v>
      </c>
      <c r="B3637" s="35" t="s">
        <v>654</v>
      </c>
      <c r="C3637" s="35" t="s">
        <v>655</v>
      </c>
      <c r="D3637" s="39">
        <v>252</v>
      </c>
      <c r="E3637" s="39">
        <v>230.93545532226563</v>
      </c>
      <c r="F3637" s="41">
        <v>1989775</v>
      </c>
      <c r="G3637" s="35" t="s">
        <v>684</v>
      </c>
      <c r="H3637" s="35" t="s">
        <v>115</v>
      </c>
    </row>
    <row r="3638" spans="1:8">
      <c r="A3638" s="37">
        <v>43601.15625</v>
      </c>
      <c r="B3638" s="35" t="s">
        <v>654</v>
      </c>
      <c r="C3638" s="35" t="s">
        <v>655</v>
      </c>
      <c r="D3638" s="39">
        <v>253.75999450683594</v>
      </c>
      <c r="E3638" s="39">
        <v>232.54835510253906</v>
      </c>
      <c r="F3638" s="41">
        <v>1819460</v>
      </c>
      <c r="G3638" s="35" t="s">
        <v>684</v>
      </c>
      <c r="H3638" s="35" t="s">
        <v>115</v>
      </c>
    </row>
    <row r="3639" spans="1:8">
      <c r="A3639" s="37">
        <v>43602.15625</v>
      </c>
      <c r="B3639" s="35" t="s">
        <v>654</v>
      </c>
      <c r="C3639" s="35" t="s">
        <v>655</v>
      </c>
      <c r="D3639" s="39">
        <v>252.52999877929688</v>
      </c>
      <c r="E3639" s="39">
        <v>231.42117309570313</v>
      </c>
      <c r="F3639" s="41">
        <v>962055</v>
      </c>
      <c r="G3639" s="35" t="s">
        <v>684</v>
      </c>
      <c r="H3639" s="35" t="s">
        <v>115</v>
      </c>
    </row>
    <row r="3640" spans="1:8">
      <c r="A3640" s="37">
        <v>43605.15625</v>
      </c>
      <c r="B3640" s="35" t="s">
        <v>654</v>
      </c>
      <c r="C3640" s="35" t="s">
        <v>655</v>
      </c>
      <c r="D3640" s="39">
        <v>253.72000122070313</v>
      </c>
      <c r="E3640" s="39">
        <v>232.51168823242188</v>
      </c>
      <c r="F3640" s="41">
        <v>795700</v>
      </c>
      <c r="G3640" s="35" t="s">
        <v>684</v>
      </c>
      <c r="H3640" s="35" t="s">
        <v>115</v>
      </c>
    </row>
    <row r="3641" spans="1:8">
      <c r="A3641" s="37">
        <v>43606.15625</v>
      </c>
      <c r="B3641" s="35" t="s">
        <v>654</v>
      </c>
      <c r="C3641" s="35" t="s">
        <v>655</v>
      </c>
      <c r="D3641" s="39">
        <v>258.47000122070313</v>
      </c>
      <c r="E3641" s="39">
        <v>236.86468505859375</v>
      </c>
      <c r="F3641" s="41">
        <v>3387260</v>
      </c>
      <c r="G3641" s="35" t="s">
        <v>684</v>
      </c>
      <c r="H3641" s="35" t="s">
        <v>115</v>
      </c>
    </row>
    <row r="3642" spans="1:8">
      <c r="A3642" s="37">
        <v>43607.15625</v>
      </c>
      <c r="B3642" s="35" t="s">
        <v>654</v>
      </c>
      <c r="C3642" s="35" t="s">
        <v>655</v>
      </c>
      <c r="D3642" s="39">
        <v>256.79998779296875</v>
      </c>
      <c r="E3642" s="39">
        <v>235.33421325683594</v>
      </c>
      <c r="F3642" s="41">
        <v>1741360</v>
      </c>
      <c r="G3642" s="35" t="s">
        <v>684</v>
      </c>
      <c r="H3642" s="35" t="s">
        <v>115</v>
      </c>
    </row>
    <row r="3643" spans="1:8">
      <c r="A3643" s="37">
        <v>43608.15625</v>
      </c>
      <c r="B3643" s="35" t="s">
        <v>654</v>
      </c>
      <c r="C3643" s="35" t="s">
        <v>655</v>
      </c>
      <c r="D3643" s="39">
        <v>256.35000610351563</v>
      </c>
      <c r="E3643" s="39">
        <v>234.921875</v>
      </c>
      <c r="F3643" s="41">
        <v>1254735</v>
      </c>
      <c r="G3643" s="35" t="s">
        <v>684</v>
      </c>
      <c r="H3643" s="35" t="s">
        <v>115</v>
      </c>
    </row>
    <row r="3644" spans="1:8">
      <c r="A3644" s="37">
        <v>43609.15625</v>
      </c>
      <c r="B3644" s="35" t="s">
        <v>654</v>
      </c>
      <c r="C3644" s="35" t="s">
        <v>655</v>
      </c>
      <c r="D3644" s="39">
        <v>253.6199951171875</v>
      </c>
      <c r="E3644" s="39">
        <v>232.42008972167969</v>
      </c>
      <c r="F3644" s="41">
        <v>2714720</v>
      </c>
      <c r="G3644" s="35" t="s">
        <v>684</v>
      </c>
      <c r="H3644" s="35" t="s">
        <v>115</v>
      </c>
    </row>
    <row r="3645" spans="1:8">
      <c r="A3645" s="37">
        <v>43612.15625</v>
      </c>
      <c r="B3645" s="35" t="s">
        <v>654</v>
      </c>
      <c r="C3645" s="35" t="s">
        <v>655</v>
      </c>
      <c r="D3645" s="39">
        <v>255.30000305175781</v>
      </c>
      <c r="E3645" s="39">
        <v>233.95964050292969</v>
      </c>
      <c r="F3645" s="41">
        <v>1561360</v>
      </c>
      <c r="G3645" s="35" t="s">
        <v>684</v>
      </c>
      <c r="H3645" s="35" t="s">
        <v>115</v>
      </c>
    </row>
    <row r="3646" spans="1:8">
      <c r="A3646" s="37">
        <v>43613.15625</v>
      </c>
      <c r="B3646" s="35" t="s">
        <v>654</v>
      </c>
      <c r="C3646" s="35" t="s">
        <v>655</v>
      </c>
      <c r="D3646" s="39">
        <v>253.5</v>
      </c>
      <c r="E3646" s="39">
        <v>232.31008911132813</v>
      </c>
      <c r="F3646" s="41">
        <v>3282775</v>
      </c>
      <c r="G3646" s="35" t="s">
        <v>684</v>
      </c>
      <c r="H3646" s="35" t="s">
        <v>115</v>
      </c>
    </row>
    <row r="3647" spans="1:8">
      <c r="A3647" s="37">
        <v>43614.15625</v>
      </c>
      <c r="B3647" s="35" t="s">
        <v>654</v>
      </c>
      <c r="C3647" s="35" t="s">
        <v>655</v>
      </c>
      <c r="D3647" s="39">
        <v>257.010009765625</v>
      </c>
      <c r="E3647" s="39">
        <v>235.52671813964844</v>
      </c>
      <c r="F3647" s="41">
        <v>5147195</v>
      </c>
      <c r="G3647" s="35" t="s">
        <v>684</v>
      </c>
      <c r="H3647" s="35" t="s">
        <v>115</v>
      </c>
    </row>
    <row r="3648" spans="1:8">
      <c r="A3648" s="37">
        <v>43615.15625</v>
      </c>
      <c r="B3648" s="35" t="s">
        <v>654</v>
      </c>
      <c r="C3648" s="35" t="s">
        <v>655</v>
      </c>
      <c r="D3648" s="39">
        <v>261.6400146484375</v>
      </c>
      <c r="E3648" s="39">
        <v>239.76963806152344</v>
      </c>
      <c r="F3648" s="41">
        <v>4466365</v>
      </c>
      <c r="G3648" s="35" t="s">
        <v>684</v>
      </c>
      <c r="H3648" s="35" t="s">
        <v>115</v>
      </c>
    </row>
    <row r="3649" spans="1:8">
      <c r="A3649" s="37">
        <v>43616.15625</v>
      </c>
      <c r="B3649" s="35" t="s">
        <v>654</v>
      </c>
      <c r="C3649" s="35" t="s">
        <v>655</v>
      </c>
      <c r="D3649" s="39">
        <v>261.33999633789063</v>
      </c>
      <c r="E3649" s="39">
        <v>239.49472045898438</v>
      </c>
      <c r="F3649" s="41">
        <v>1902265</v>
      </c>
      <c r="G3649" s="35" t="s">
        <v>684</v>
      </c>
      <c r="H3649" s="35" t="s">
        <v>115</v>
      </c>
    </row>
    <row r="3650" spans="1:8">
      <c r="A3650" s="37">
        <v>43619.15625</v>
      </c>
      <c r="B3650" s="35" t="s">
        <v>654</v>
      </c>
      <c r="C3650" s="35" t="s">
        <v>655</v>
      </c>
      <c r="D3650" s="39">
        <v>262.30999755859375</v>
      </c>
      <c r="E3650" s="39">
        <v>240.38362121582031</v>
      </c>
      <c r="F3650" s="41">
        <v>975040</v>
      </c>
      <c r="G3650" s="35" t="s">
        <v>684</v>
      </c>
      <c r="H3650" s="35" t="s">
        <v>115</v>
      </c>
    </row>
    <row r="3651" spans="1:8">
      <c r="A3651" s="37">
        <v>43620.15625</v>
      </c>
      <c r="B3651" s="35" t="s">
        <v>654</v>
      </c>
      <c r="C3651" s="35" t="s">
        <v>655</v>
      </c>
      <c r="D3651" s="39">
        <v>261.1400146484375</v>
      </c>
      <c r="E3651" s="39">
        <v>239.3115234375</v>
      </c>
      <c r="F3651" s="41">
        <v>1205835</v>
      </c>
      <c r="G3651" s="35" t="s">
        <v>684</v>
      </c>
      <c r="H3651" s="35" t="s">
        <v>115</v>
      </c>
    </row>
    <row r="3652" spans="1:8">
      <c r="A3652" s="37">
        <v>43622.15625</v>
      </c>
      <c r="B3652" s="35" t="s">
        <v>654</v>
      </c>
      <c r="C3652" s="35" t="s">
        <v>655</v>
      </c>
      <c r="D3652" s="39">
        <v>262.42001342773438</v>
      </c>
      <c r="E3652" s="39">
        <v>240.4844970703125</v>
      </c>
      <c r="F3652" s="41">
        <v>2447680</v>
      </c>
      <c r="G3652" s="35" t="s">
        <v>684</v>
      </c>
      <c r="H3652" s="35" t="s">
        <v>115</v>
      </c>
    </row>
    <row r="3653" spans="1:8">
      <c r="A3653" s="37">
        <v>43623.15625</v>
      </c>
      <c r="B3653" s="35" t="s">
        <v>654</v>
      </c>
      <c r="C3653" s="35" t="s">
        <v>655</v>
      </c>
      <c r="D3653" s="39">
        <v>264.48001098632813</v>
      </c>
      <c r="E3653" s="39">
        <v>242.37229919433594</v>
      </c>
      <c r="F3653" s="41">
        <v>2195410</v>
      </c>
      <c r="G3653" s="35" t="s">
        <v>684</v>
      </c>
      <c r="H3653" s="35" t="s">
        <v>115</v>
      </c>
    </row>
    <row r="3654" spans="1:8">
      <c r="A3654" s="37">
        <v>43626.15625</v>
      </c>
      <c r="B3654" s="35" t="s">
        <v>654</v>
      </c>
      <c r="C3654" s="35" t="s">
        <v>655</v>
      </c>
      <c r="D3654" s="39">
        <v>267.32998657226563</v>
      </c>
      <c r="E3654" s="39">
        <v>244.98402404785156</v>
      </c>
      <c r="F3654" s="41">
        <v>3969945</v>
      </c>
      <c r="G3654" s="35" t="s">
        <v>684</v>
      </c>
      <c r="H3654" s="35" t="s">
        <v>115</v>
      </c>
    </row>
    <row r="3655" spans="1:8">
      <c r="A3655" s="37">
        <v>43627.15625</v>
      </c>
      <c r="B3655" s="35" t="s">
        <v>654</v>
      </c>
      <c r="C3655" s="35" t="s">
        <v>655</v>
      </c>
      <c r="D3655" s="39">
        <v>268.1300048828125</v>
      </c>
      <c r="E3655" s="39">
        <v>245.71720886230469</v>
      </c>
      <c r="F3655" s="41">
        <v>1484470</v>
      </c>
      <c r="G3655" s="35" t="s">
        <v>684</v>
      </c>
      <c r="H3655" s="35" t="s">
        <v>115</v>
      </c>
    </row>
    <row r="3656" spans="1:8">
      <c r="A3656" s="37">
        <v>43628.15625</v>
      </c>
      <c r="B3656" s="35" t="s">
        <v>654</v>
      </c>
      <c r="C3656" s="35" t="s">
        <v>655</v>
      </c>
      <c r="D3656" s="39">
        <v>268.07998657226563</v>
      </c>
      <c r="E3656" s="39">
        <v>245.67132568359375</v>
      </c>
      <c r="F3656" s="41">
        <v>1613995</v>
      </c>
      <c r="G3656" s="35" t="s">
        <v>684</v>
      </c>
      <c r="H3656" s="35" t="s">
        <v>115</v>
      </c>
    </row>
    <row r="3657" spans="1:8">
      <c r="A3657" s="37">
        <v>43629.15625</v>
      </c>
      <c r="B3657" s="35" t="s">
        <v>654</v>
      </c>
      <c r="C3657" s="35" t="s">
        <v>655</v>
      </c>
      <c r="D3657" s="39">
        <v>268.01998901367188</v>
      </c>
      <c r="E3657" s="39">
        <v>245.61636352539063</v>
      </c>
      <c r="F3657" s="41">
        <v>908425</v>
      </c>
      <c r="G3657" s="35" t="s">
        <v>684</v>
      </c>
      <c r="H3657" s="35" t="s">
        <v>115</v>
      </c>
    </row>
    <row r="3658" spans="1:8">
      <c r="A3658" s="37">
        <v>43630.15625</v>
      </c>
      <c r="B3658" s="35" t="s">
        <v>654</v>
      </c>
      <c r="C3658" s="35" t="s">
        <v>655</v>
      </c>
      <c r="D3658" s="39">
        <v>264</v>
      </c>
      <c r="E3658" s="39">
        <v>241.93240356445313</v>
      </c>
      <c r="F3658" s="41">
        <v>2456370</v>
      </c>
      <c r="G3658" s="35" t="s">
        <v>684</v>
      </c>
      <c r="H3658" s="35" t="s">
        <v>115</v>
      </c>
    </row>
    <row r="3659" spans="1:8">
      <c r="A3659" s="37">
        <v>43633.15625</v>
      </c>
      <c r="B3659" s="35" t="s">
        <v>654</v>
      </c>
      <c r="C3659" s="35" t="s">
        <v>655</v>
      </c>
      <c r="D3659" s="39">
        <v>263.64999389648438</v>
      </c>
      <c r="E3659" s="39">
        <v>241.61163330078125</v>
      </c>
      <c r="F3659" s="41">
        <v>405580</v>
      </c>
      <c r="G3659" s="35" t="s">
        <v>684</v>
      </c>
      <c r="H3659" s="35" t="s">
        <v>115</v>
      </c>
    </row>
    <row r="3660" spans="1:8">
      <c r="A3660" s="37">
        <v>43634.15625</v>
      </c>
      <c r="B3660" s="35" t="s">
        <v>654</v>
      </c>
      <c r="C3660" s="35" t="s">
        <v>655</v>
      </c>
      <c r="D3660" s="39">
        <v>264.54000854492188</v>
      </c>
      <c r="E3660" s="39">
        <v>242.42726135253906</v>
      </c>
      <c r="F3660" s="41">
        <v>515870</v>
      </c>
      <c r="G3660" s="35" t="s">
        <v>684</v>
      </c>
      <c r="H3660" s="35" t="s">
        <v>115</v>
      </c>
    </row>
    <row r="3661" spans="1:8">
      <c r="A3661" s="37">
        <v>43635.15625</v>
      </c>
      <c r="B3661" s="35" t="s">
        <v>654</v>
      </c>
      <c r="C3661" s="35" t="s">
        <v>655</v>
      </c>
      <c r="D3661" s="39">
        <v>260.64999389648438</v>
      </c>
      <c r="E3661" s="39">
        <v>238.86239624023438</v>
      </c>
      <c r="F3661" s="41">
        <v>2848495</v>
      </c>
      <c r="G3661" s="35" t="s">
        <v>684</v>
      </c>
      <c r="H3661" s="35" t="s">
        <v>115</v>
      </c>
    </row>
    <row r="3662" spans="1:8">
      <c r="A3662" s="37">
        <v>43636.15625</v>
      </c>
      <c r="B3662" s="35" t="s">
        <v>654</v>
      </c>
      <c r="C3662" s="35" t="s">
        <v>655</v>
      </c>
      <c r="D3662" s="39">
        <v>262.04000854492188</v>
      </c>
      <c r="E3662" s="39">
        <v>240.13626098632813</v>
      </c>
      <c r="F3662" s="41">
        <v>890965</v>
      </c>
      <c r="G3662" s="35" t="s">
        <v>684</v>
      </c>
      <c r="H3662" s="35" t="s">
        <v>115</v>
      </c>
    </row>
    <row r="3663" spans="1:8">
      <c r="A3663" s="37">
        <v>43637.15625</v>
      </c>
      <c r="B3663" s="35" t="s">
        <v>654</v>
      </c>
      <c r="C3663" s="35" t="s">
        <v>655</v>
      </c>
      <c r="D3663" s="39">
        <v>261.57998657226563</v>
      </c>
      <c r="E3663" s="39">
        <v>239.71464538574219</v>
      </c>
      <c r="F3663" s="41">
        <v>2403595</v>
      </c>
      <c r="G3663" s="35" t="s">
        <v>684</v>
      </c>
      <c r="H3663" s="35" t="s">
        <v>115</v>
      </c>
    </row>
    <row r="3664" spans="1:8">
      <c r="A3664" s="37">
        <v>43640.15625</v>
      </c>
      <c r="B3664" s="35" t="s">
        <v>654</v>
      </c>
      <c r="C3664" s="35" t="s">
        <v>655</v>
      </c>
      <c r="D3664" s="39">
        <v>263.95999145507813</v>
      </c>
      <c r="E3664" s="39">
        <v>241.89570617675781</v>
      </c>
      <c r="F3664" s="41">
        <v>1557030</v>
      </c>
      <c r="G3664" s="35" t="s">
        <v>684</v>
      </c>
      <c r="H3664" s="35" t="s">
        <v>115</v>
      </c>
    </row>
    <row r="3665" spans="1:8">
      <c r="A3665" s="37">
        <v>43641.15625</v>
      </c>
      <c r="B3665" s="35" t="s">
        <v>654</v>
      </c>
      <c r="C3665" s="35" t="s">
        <v>655</v>
      </c>
      <c r="D3665" s="39">
        <v>268.1400146484375</v>
      </c>
      <c r="E3665" s="39">
        <v>245.72634887695313</v>
      </c>
      <c r="F3665" s="41">
        <v>2756430</v>
      </c>
      <c r="G3665" s="35" t="s">
        <v>684</v>
      </c>
      <c r="H3665" s="35" t="s">
        <v>115</v>
      </c>
    </row>
    <row r="3666" spans="1:8">
      <c r="A3666" s="37">
        <v>43642.15625</v>
      </c>
      <c r="B3666" s="35" t="s">
        <v>654</v>
      </c>
      <c r="C3666" s="35" t="s">
        <v>655</v>
      </c>
      <c r="D3666" s="39">
        <v>266.45001220703125</v>
      </c>
      <c r="E3666" s="39">
        <v>244.17756652832031</v>
      </c>
      <c r="F3666" s="41">
        <v>1697985</v>
      </c>
      <c r="G3666" s="35" t="s">
        <v>684</v>
      </c>
      <c r="H3666" s="35" t="s">
        <v>115</v>
      </c>
    </row>
    <row r="3667" spans="1:8">
      <c r="A3667" s="37">
        <v>43643.15625</v>
      </c>
      <c r="B3667" s="35" t="s">
        <v>654</v>
      </c>
      <c r="C3667" s="35" t="s">
        <v>655</v>
      </c>
      <c r="D3667" s="39">
        <v>267.17001342773438</v>
      </c>
      <c r="E3667" s="39">
        <v>244.83743286132813</v>
      </c>
      <c r="F3667" s="41">
        <v>1515520</v>
      </c>
      <c r="G3667" s="35" t="s">
        <v>684</v>
      </c>
      <c r="H3667" s="35" t="s">
        <v>115</v>
      </c>
    </row>
    <row r="3668" spans="1:8">
      <c r="A3668" s="37">
        <v>43644.15625</v>
      </c>
      <c r="B3668" s="35" t="s">
        <v>654</v>
      </c>
      <c r="C3668" s="35" t="s">
        <v>655</v>
      </c>
      <c r="D3668" s="39">
        <v>269.01998901367188</v>
      </c>
      <c r="E3668" s="39">
        <v>246.53276062011719</v>
      </c>
      <c r="F3668" s="41">
        <v>3570990</v>
      </c>
      <c r="G3668" s="35" t="s">
        <v>684</v>
      </c>
      <c r="H3668" s="35" t="s">
        <v>115</v>
      </c>
    </row>
    <row r="3669" spans="1:8">
      <c r="A3669" s="37">
        <v>43647.15625</v>
      </c>
      <c r="B3669" s="35" t="s">
        <v>654</v>
      </c>
      <c r="C3669" s="35" t="s">
        <v>655</v>
      </c>
      <c r="D3669" s="39">
        <v>270.1400146484375</v>
      </c>
      <c r="E3669" s="39">
        <v>247.55914306640625</v>
      </c>
      <c r="F3669" s="41">
        <v>1286730</v>
      </c>
      <c r="G3669" s="35" t="s">
        <v>684</v>
      </c>
      <c r="H3669" s="35" t="s">
        <v>115</v>
      </c>
    </row>
    <row r="3670" spans="1:8">
      <c r="A3670" s="37">
        <v>43648.15625</v>
      </c>
      <c r="B3670" s="35" t="s">
        <v>654</v>
      </c>
      <c r="C3670" s="35" t="s">
        <v>655</v>
      </c>
      <c r="D3670" s="39">
        <v>269.17001342773438</v>
      </c>
      <c r="E3670" s="39">
        <v>246.67025756835938</v>
      </c>
      <c r="F3670" s="41">
        <v>1168075</v>
      </c>
      <c r="G3670" s="35" t="s">
        <v>684</v>
      </c>
      <c r="H3670" s="35" t="s">
        <v>115</v>
      </c>
    </row>
    <row r="3671" spans="1:8">
      <c r="A3671" s="37">
        <v>43649.15625</v>
      </c>
      <c r="B3671" s="35" t="s">
        <v>654</v>
      </c>
      <c r="C3671" s="35" t="s">
        <v>655</v>
      </c>
      <c r="D3671" s="39">
        <v>266.73001098632813</v>
      </c>
      <c r="E3671" s="39">
        <v>244.4342041015625</v>
      </c>
      <c r="F3671" s="41">
        <v>835165</v>
      </c>
      <c r="G3671" s="35" t="s">
        <v>684</v>
      </c>
      <c r="H3671" s="35" t="s">
        <v>115</v>
      </c>
    </row>
    <row r="3672" spans="1:8">
      <c r="A3672" s="37">
        <v>43650.15625</v>
      </c>
      <c r="B3672" s="35" t="s">
        <v>654</v>
      </c>
      <c r="C3672" s="35" t="s">
        <v>655</v>
      </c>
      <c r="D3672" s="39">
        <v>267.6300048828125</v>
      </c>
      <c r="E3672" s="39">
        <v>245.25894165039063</v>
      </c>
      <c r="F3672" s="41">
        <v>1582615</v>
      </c>
      <c r="G3672" s="35" t="s">
        <v>684</v>
      </c>
      <c r="H3672" s="35" t="s">
        <v>115</v>
      </c>
    </row>
    <row r="3673" spans="1:8">
      <c r="A3673" s="37">
        <v>43651.15625</v>
      </c>
      <c r="B3673" s="35" t="s">
        <v>654</v>
      </c>
      <c r="C3673" s="35" t="s">
        <v>655</v>
      </c>
      <c r="D3673" s="39">
        <v>264.70001220703125</v>
      </c>
      <c r="E3673" s="39">
        <v>242.5738525390625</v>
      </c>
      <c r="F3673" s="41">
        <v>718165</v>
      </c>
      <c r="G3673" s="35" t="s">
        <v>684</v>
      </c>
      <c r="H3673" s="35" t="s">
        <v>115</v>
      </c>
    </row>
    <row r="3674" spans="1:8">
      <c r="A3674" s="37">
        <v>43654.15625</v>
      </c>
      <c r="B3674" s="35" t="s">
        <v>654</v>
      </c>
      <c r="C3674" s="35" t="s">
        <v>655</v>
      </c>
      <c r="D3674" s="39">
        <v>262.20999145507813</v>
      </c>
      <c r="E3674" s="39">
        <v>240.29202270507813</v>
      </c>
      <c r="F3674" s="41">
        <v>2211375</v>
      </c>
      <c r="G3674" s="35" t="s">
        <v>684</v>
      </c>
      <c r="H3674" s="35" t="s">
        <v>115</v>
      </c>
    </row>
    <row r="3675" spans="1:8">
      <c r="A3675" s="37">
        <v>43655.15625</v>
      </c>
      <c r="B3675" s="35" t="s">
        <v>654</v>
      </c>
      <c r="C3675" s="35" t="s">
        <v>655</v>
      </c>
      <c r="D3675" s="39">
        <v>262.95001220703125</v>
      </c>
      <c r="E3675" s="39">
        <v>240.97016906738281</v>
      </c>
      <c r="F3675" s="41">
        <v>7587930</v>
      </c>
      <c r="G3675" s="35" t="s">
        <v>684</v>
      </c>
      <c r="H3675" s="35" t="s">
        <v>115</v>
      </c>
    </row>
    <row r="3676" spans="1:8">
      <c r="A3676" s="37">
        <v>43656.15625</v>
      </c>
      <c r="B3676" s="35" t="s">
        <v>654</v>
      </c>
      <c r="C3676" s="35" t="s">
        <v>655</v>
      </c>
      <c r="D3676" s="39">
        <v>261.75</v>
      </c>
      <c r="E3676" s="39">
        <v>239.87049865722656</v>
      </c>
      <c r="F3676" s="41">
        <v>4411550</v>
      </c>
      <c r="G3676" s="35" t="s">
        <v>684</v>
      </c>
      <c r="H3676" s="35" t="s">
        <v>115</v>
      </c>
    </row>
    <row r="3677" spans="1:8">
      <c r="A3677" s="37">
        <v>43657.15625</v>
      </c>
      <c r="B3677" s="35" t="s">
        <v>654</v>
      </c>
      <c r="C3677" s="35" t="s">
        <v>655</v>
      </c>
      <c r="D3677" s="39">
        <v>263.45001220703125</v>
      </c>
      <c r="E3677" s="39">
        <v>241.42840576171875</v>
      </c>
      <c r="F3677" s="41">
        <v>5448060</v>
      </c>
      <c r="G3677" s="35" t="s">
        <v>684</v>
      </c>
      <c r="H3677" s="35" t="s">
        <v>115</v>
      </c>
    </row>
    <row r="3678" spans="1:8">
      <c r="A3678" s="37">
        <v>43658.15625</v>
      </c>
      <c r="B3678" s="35" t="s">
        <v>654</v>
      </c>
      <c r="C3678" s="35" t="s">
        <v>655</v>
      </c>
      <c r="D3678" s="39">
        <v>269.489990234375</v>
      </c>
      <c r="E3678" s="39">
        <v>246.96343994140625</v>
      </c>
      <c r="F3678" s="41">
        <v>6595855</v>
      </c>
      <c r="G3678" s="35" t="s">
        <v>684</v>
      </c>
      <c r="H3678" s="35" t="s">
        <v>115</v>
      </c>
    </row>
    <row r="3679" spans="1:8">
      <c r="A3679" s="37">
        <v>43661.15625</v>
      </c>
      <c r="B3679" s="35" t="s">
        <v>654</v>
      </c>
      <c r="C3679" s="35" t="s">
        <v>655</v>
      </c>
      <c r="D3679" s="39">
        <v>269.16000366210938</v>
      </c>
      <c r="E3679" s="39">
        <v>246.66111755371094</v>
      </c>
      <c r="F3679" s="41">
        <v>1897985</v>
      </c>
      <c r="G3679" s="35" t="s">
        <v>684</v>
      </c>
      <c r="H3679" s="35" t="s">
        <v>115</v>
      </c>
    </row>
    <row r="3680" spans="1:8">
      <c r="A3680" s="37">
        <v>43662.15625</v>
      </c>
      <c r="B3680" s="35" t="s">
        <v>654</v>
      </c>
      <c r="C3680" s="35" t="s">
        <v>655</v>
      </c>
      <c r="D3680" s="39">
        <v>269.04000854492188</v>
      </c>
      <c r="E3680" s="39">
        <v>246.55110168457031</v>
      </c>
      <c r="F3680" s="41">
        <v>1247020</v>
      </c>
      <c r="G3680" s="35" t="s">
        <v>684</v>
      </c>
      <c r="H3680" s="35" t="s">
        <v>115</v>
      </c>
    </row>
    <row r="3681" spans="1:8">
      <c r="A3681" s="37">
        <v>43663.15625</v>
      </c>
      <c r="B3681" s="35" t="s">
        <v>654</v>
      </c>
      <c r="C3681" s="35" t="s">
        <v>655</v>
      </c>
      <c r="D3681" s="39">
        <v>269.17999267578125</v>
      </c>
      <c r="E3681" s="39">
        <v>246.67933654785156</v>
      </c>
      <c r="F3681" s="41">
        <v>2364310</v>
      </c>
      <c r="G3681" s="35" t="s">
        <v>684</v>
      </c>
      <c r="H3681" s="35" t="s">
        <v>115</v>
      </c>
    </row>
    <row r="3682" spans="1:8">
      <c r="A3682" s="37">
        <v>43664.15625</v>
      </c>
      <c r="B3682" s="35" t="s">
        <v>654</v>
      </c>
      <c r="C3682" s="35" t="s">
        <v>655</v>
      </c>
      <c r="D3682" s="39">
        <v>268.489990234375</v>
      </c>
      <c r="E3682" s="39">
        <v>246.04705810546875</v>
      </c>
      <c r="F3682" s="41">
        <v>2168000</v>
      </c>
      <c r="G3682" s="35" t="s">
        <v>684</v>
      </c>
      <c r="H3682" s="35" t="s">
        <v>115</v>
      </c>
    </row>
    <row r="3683" spans="1:8">
      <c r="A3683" s="37">
        <v>43665.15625</v>
      </c>
      <c r="B3683" s="35" t="s">
        <v>654</v>
      </c>
      <c r="C3683" s="35" t="s">
        <v>655</v>
      </c>
      <c r="D3683" s="39">
        <v>269.35000610351563</v>
      </c>
      <c r="E3683" s="39">
        <v>246.83517456054688</v>
      </c>
      <c r="F3683" s="41">
        <v>2734660</v>
      </c>
      <c r="G3683" s="35" t="s">
        <v>684</v>
      </c>
      <c r="H3683" s="35" t="s">
        <v>115</v>
      </c>
    </row>
    <row r="3684" spans="1:8">
      <c r="A3684" s="37">
        <v>43668.15625</v>
      </c>
      <c r="B3684" s="35" t="s">
        <v>654</v>
      </c>
      <c r="C3684" s="35" t="s">
        <v>655</v>
      </c>
      <c r="D3684" s="39">
        <v>268.69000244140625</v>
      </c>
      <c r="E3684" s="39">
        <v>246.23039245605469</v>
      </c>
      <c r="F3684" s="41">
        <v>2017795</v>
      </c>
      <c r="G3684" s="35" t="s">
        <v>684</v>
      </c>
      <c r="H3684" s="35" t="s">
        <v>115</v>
      </c>
    </row>
    <row r="3685" spans="1:8">
      <c r="A3685" s="37">
        <v>43669.15625</v>
      </c>
      <c r="B3685" s="35" t="s">
        <v>654</v>
      </c>
      <c r="C3685" s="35" t="s">
        <v>655</v>
      </c>
      <c r="D3685" s="39">
        <v>270.67001342773438</v>
      </c>
      <c r="E3685" s="39">
        <v>248.04484558105469</v>
      </c>
      <c r="F3685" s="41">
        <v>3960160</v>
      </c>
      <c r="G3685" s="35" t="s">
        <v>684</v>
      </c>
      <c r="H3685" s="35" t="s">
        <v>115</v>
      </c>
    </row>
    <row r="3686" spans="1:8">
      <c r="A3686" s="37">
        <v>43670.15625</v>
      </c>
      <c r="B3686" s="35" t="s">
        <v>654</v>
      </c>
      <c r="C3686" s="35" t="s">
        <v>655</v>
      </c>
      <c r="D3686" s="39">
        <v>268.3599853515625</v>
      </c>
      <c r="E3686" s="39">
        <v>245.92793273925781</v>
      </c>
      <c r="F3686" s="41">
        <v>4661390</v>
      </c>
      <c r="G3686" s="35" t="s">
        <v>684</v>
      </c>
      <c r="H3686" s="35" t="s">
        <v>115</v>
      </c>
    </row>
    <row r="3687" spans="1:8">
      <c r="A3687" s="37">
        <v>43671.15625</v>
      </c>
      <c r="B3687" s="35" t="s">
        <v>654</v>
      </c>
      <c r="C3687" s="35" t="s">
        <v>655</v>
      </c>
      <c r="D3687" s="39">
        <v>266.739990234375</v>
      </c>
      <c r="E3687" s="39">
        <v>244.44334411621094</v>
      </c>
      <c r="F3687" s="41">
        <v>3680625</v>
      </c>
      <c r="G3687" s="35" t="s">
        <v>684</v>
      </c>
      <c r="H3687" s="35" t="s">
        <v>115</v>
      </c>
    </row>
    <row r="3688" spans="1:8">
      <c r="A3688" s="37">
        <v>43672.15625</v>
      </c>
      <c r="B3688" s="35" t="s">
        <v>654</v>
      </c>
      <c r="C3688" s="35" t="s">
        <v>655</v>
      </c>
      <c r="D3688" s="39">
        <v>254.77000427246094</v>
      </c>
      <c r="E3688" s="39">
        <v>233.47390747070313</v>
      </c>
      <c r="F3688" s="41">
        <v>5722815</v>
      </c>
      <c r="G3688" s="35" t="s">
        <v>684</v>
      </c>
      <c r="H3688" s="35" t="s">
        <v>115</v>
      </c>
    </row>
    <row r="3689" spans="1:8">
      <c r="A3689" s="37">
        <v>43675.15625</v>
      </c>
      <c r="B3689" s="35" t="s">
        <v>654</v>
      </c>
      <c r="C3689" s="35" t="s">
        <v>655</v>
      </c>
      <c r="D3689" s="39">
        <v>241.24000549316406</v>
      </c>
      <c r="E3689" s="39">
        <v>221.07489013671875</v>
      </c>
      <c r="F3689" s="41">
        <v>3388215</v>
      </c>
      <c r="G3689" s="35" t="s">
        <v>684</v>
      </c>
      <c r="H3689" s="35" t="s">
        <v>115</v>
      </c>
    </row>
    <row r="3690" spans="1:8">
      <c r="A3690" s="37">
        <v>43676.15625</v>
      </c>
      <c r="B3690" s="35" t="s">
        <v>654</v>
      </c>
      <c r="C3690" s="35" t="s">
        <v>655</v>
      </c>
      <c r="D3690" s="39">
        <v>240.50999450683594</v>
      </c>
      <c r="E3690" s="39">
        <v>220.40589904785156</v>
      </c>
      <c r="F3690" s="41">
        <v>3994830</v>
      </c>
      <c r="G3690" s="35" t="s">
        <v>684</v>
      </c>
      <c r="H3690" s="35" t="s">
        <v>115</v>
      </c>
    </row>
    <row r="3691" spans="1:8">
      <c r="A3691" s="37">
        <v>43677.15625</v>
      </c>
      <c r="B3691" s="35" t="s">
        <v>654</v>
      </c>
      <c r="C3691" s="35" t="s">
        <v>655</v>
      </c>
      <c r="D3691" s="39">
        <v>240.71000671386719</v>
      </c>
      <c r="E3691" s="39">
        <v>220.5892333984375</v>
      </c>
      <c r="F3691" s="41">
        <v>2203045</v>
      </c>
      <c r="G3691" s="35" t="s">
        <v>684</v>
      </c>
      <c r="H3691" s="35" t="s">
        <v>115</v>
      </c>
    </row>
    <row r="3692" spans="1:8">
      <c r="A3692" s="37">
        <v>43678.15625</v>
      </c>
      <c r="B3692" s="35" t="s">
        <v>654</v>
      </c>
      <c r="C3692" s="35" t="s">
        <v>655</v>
      </c>
      <c r="D3692" s="39">
        <v>240.53999328613281</v>
      </c>
      <c r="E3692" s="39">
        <v>220.43341064453125</v>
      </c>
      <c r="F3692" s="41">
        <v>1946635</v>
      </c>
      <c r="G3692" s="35" t="s">
        <v>684</v>
      </c>
      <c r="H3692" s="35" t="s">
        <v>115</v>
      </c>
    </row>
    <row r="3693" spans="1:8">
      <c r="A3693" s="37">
        <v>43679.15625</v>
      </c>
      <c r="B3693" s="35" t="s">
        <v>654</v>
      </c>
      <c r="C3693" s="35" t="s">
        <v>655</v>
      </c>
      <c r="D3693" s="39">
        <v>239.74000549316406</v>
      </c>
      <c r="E3693" s="39">
        <v>219.70027160644531</v>
      </c>
      <c r="F3693" s="41">
        <v>1521110</v>
      </c>
      <c r="G3693" s="35" t="s">
        <v>684</v>
      </c>
      <c r="H3693" s="35" t="s">
        <v>115</v>
      </c>
    </row>
    <row r="3694" spans="1:8">
      <c r="A3694" s="37">
        <v>43682.15625</v>
      </c>
      <c r="B3694" s="35" t="s">
        <v>654</v>
      </c>
      <c r="C3694" s="35" t="s">
        <v>655</v>
      </c>
      <c r="D3694" s="39">
        <v>241.07000732421875</v>
      </c>
      <c r="E3694" s="39">
        <v>220.91909790039063</v>
      </c>
      <c r="F3694" s="41">
        <v>1147805</v>
      </c>
      <c r="G3694" s="35" t="s">
        <v>684</v>
      </c>
      <c r="H3694" s="35" t="s">
        <v>115</v>
      </c>
    </row>
    <row r="3695" spans="1:8">
      <c r="A3695" s="37">
        <v>43683.15625</v>
      </c>
      <c r="B3695" s="35" t="s">
        <v>654</v>
      </c>
      <c r="C3695" s="35" t="s">
        <v>655</v>
      </c>
      <c r="D3695" s="39">
        <v>244.14999389648438</v>
      </c>
      <c r="E3695" s="39">
        <v>223.74162292480469</v>
      </c>
      <c r="F3695" s="41">
        <v>738055</v>
      </c>
      <c r="G3695" s="35" t="s">
        <v>684</v>
      </c>
      <c r="H3695" s="35" t="s">
        <v>115</v>
      </c>
    </row>
    <row r="3696" spans="1:8">
      <c r="A3696" s="37">
        <v>43684.15625</v>
      </c>
      <c r="B3696" s="35" t="s">
        <v>654</v>
      </c>
      <c r="C3696" s="35" t="s">
        <v>655</v>
      </c>
      <c r="D3696" s="39">
        <v>247.74000549316406</v>
      </c>
      <c r="E3696" s="39">
        <v>227.03157043457031</v>
      </c>
      <c r="F3696" s="41">
        <v>929785</v>
      </c>
      <c r="G3696" s="35" t="s">
        <v>684</v>
      </c>
      <c r="H3696" s="35" t="s">
        <v>115</v>
      </c>
    </row>
    <row r="3697" spans="1:8">
      <c r="A3697" s="37">
        <v>43685.15625</v>
      </c>
      <c r="B3697" s="35" t="s">
        <v>654</v>
      </c>
      <c r="C3697" s="35" t="s">
        <v>655</v>
      </c>
      <c r="D3697" s="39">
        <v>255.28999328613281</v>
      </c>
      <c r="E3697" s="39">
        <v>233.95042419433594</v>
      </c>
      <c r="F3697" s="41">
        <v>1826670</v>
      </c>
      <c r="G3697" s="35" t="s">
        <v>684</v>
      </c>
      <c r="H3697" s="35" t="s">
        <v>115</v>
      </c>
    </row>
    <row r="3698" spans="1:8">
      <c r="A3698" s="37">
        <v>43686.15625</v>
      </c>
      <c r="B3698" s="35" t="s">
        <v>654</v>
      </c>
      <c r="C3698" s="35" t="s">
        <v>655</v>
      </c>
      <c r="D3698" s="39">
        <v>260.01998901367188</v>
      </c>
      <c r="E3698" s="39">
        <v>238.28506469726563</v>
      </c>
      <c r="F3698" s="41">
        <v>2265760</v>
      </c>
      <c r="G3698" s="35" t="s">
        <v>684</v>
      </c>
      <c r="H3698" s="35" t="s">
        <v>115</v>
      </c>
    </row>
    <row r="3699" spans="1:8">
      <c r="A3699" s="37">
        <v>43690.15625</v>
      </c>
      <c r="B3699" s="35" t="s">
        <v>654</v>
      </c>
      <c r="C3699" s="35" t="s">
        <v>655</v>
      </c>
      <c r="D3699" s="39">
        <v>262.58999633789063</v>
      </c>
      <c r="E3699" s="39">
        <v>240.64024353027344</v>
      </c>
      <c r="F3699" s="41">
        <v>1989780</v>
      </c>
      <c r="G3699" s="35" t="s">
        <v>684</v>
      </c>
      <c r="H3699" s="35" t="s">
        <v>115</v>
      </c>
    </row>
    <row r="3700" spans="1:8">
      <c r="A3700" s="37">
        <v>43691.15625</v>
      </c>
      <c r="B3700" s="35" t="s">
        <v>654</v>
      </c>
      <c r="C3700" s="35" t="s">
        <v>655</v>
      </c>
      <c r="D3700" s="39">
        <v>263.3699951171875</v>
      </c>
      <c r="E3700" s="39">
        <v>241.35505676269531</v>
      </c>
      <c r="F3700" s="41">
        <v>1770450</v>
      </c>
      <c r="G3700" s="35" t="s">
        <v>684</v>
      </c>
      <c r="H3700" s="35" t="s">
        <v>115</v>
      </c>
    </row>
    <row r="3701" spans="1:8">
      <c r="A3701" s="37">
        <v>43693.15625</v>
      </c>
      <c r="B3701" s="35" t="s">
        <v>654</v>
      </c>
      <c r="C3701" s="35" t="s">
        <v>655</v>
      </c>
      <c r="D3701" s="39">
        <v>257.8599853515625</v>
      </c>
      <c r="E3701" s="39">
        <v>236.30558776855469</v>
      </c>
      <c r="F3701" s="41">
        <v>1422960</v>
      </c>
      <c r="G3701" s="35" t="s">
        <v>684</v>
      </c>
      <c r="H3701" s="35" t="s">
        <v>115</v>
      </c>
    </row>
    <row r="3702" spans="1:8">
      <c r="A3702" s="37">
        <v>43696.15625</v>
      </c>
      <c r="B3702" s="35" t="s">
        <v>654</v>
      </c>
      <c r="C3702" s="35" t="s">
        <v>655</v>
      </c>
      <c r="D3702" s="39">
        <v>265.07000732421875</v>
      </c>
      <c r="E3702" s="39">
        <v>242.91297912597656</v>
      </c>
      <c r="F3702" s="41">
        <v>1243330</v>
      </c>
      <c r="G3702" s="35" t="s">
        <v>684</v>
      </c>
      <c r="H3702" s="35" t="s">
        <v>115</v>
      </c>
    </row>
    <row r="3703" spans="1:8">
      <c r="A3703" s="37">
        <v>43697.15625</v>
      </c>
      <c r="B3703" s="35" t="s">
        <v>654</v>
      </c>
      <c r="C3703" s="35" t="s">
        <v>655</v>
      </c>
      <c r="D3703" s="39">
        <v>275.010009765625</v>
      </c>
      <c r="E3703" s="39">
        <v>252.02210998535156</v>
      </c>
      <c r="F3703" s="41">
        <v>3126035</v>
      </c>
      <c r="G3703" s="35" t="s">
        <v>684</v>
      </c>
      <c r="H3703" s="35" t="s">
        <v>115</v>
      </c>
    </row>
    <row r="3704" spans="1:8">
      <c r="A3704" s="37">
        <v>43698.15625</v>
      </c>
      <c r="B3704" s="35" t="s">
        <v>654</v>
      </c>
      <c r="C3704" s="35" t="s">
        <v>655</v>
      </c>
      <c r="D3704" s="39">
        <v>273.08999633789063</v>
      </c>
      <c r="E3704" s="39">
        <v>250.26263427734375</v>
      </c>
      <c r="F3704" s="41">
        <v>1620835</v>
      </c>
      <c r="G3704" s="35" t="s">
        <v>684</v>
      </c>
      <c r="H3704" s="35" t="s">
        <v>115</v>
      </c>
    </row>
    <row r="3705" spans="1:8">
      <c r="A3705" s="37">
        <v>43699.15625</v>
      </c>
      <c r="B3705" s="35" t="s">
        <v>654</v>
      </c>
      <c r="C3705" s="35" t="s">
        <v>655</v>
      </c>
      <c r="D3705" s="39">
        <v>272.1400146484375</v>
      </c>
      <c r="E3705" s="39">
        <v>249.39198303222656</v>
      </c>
      <c r="F3705" s="41">
        <v>884580</v>
      </c>
      <c r="G3705" s="35" t="s">
        <v>684</v>
      </c>
      <c r="H3705" s="35" t="s">
        <v>115</v>
      </c>
    </row>
    <row r="3706" spans="1:8">
      <c r="A3706" s="37">
        <v>43700.15625</v>
      </c>
      <c r="B3706" s="35" t="s">
        <v>654</v>
      </c>
      <c r="C3706" s="35" t="s">
        <v>655</v>
      </c>
      <c r="D3706" s="39">
        <v>275.29000854492188</v>
      </c>
      <c r="E3706" s="39">
        <v>252.27880859375</v>
      </c>
      <c r="F3706" s="41">
        <v>1632380</v>
      </c>
      <c r="G3706" s="35" t="s">
        <v>684</v>
      </c>
      <c r="H3706" s="35" t="s">
        <v>115</v>
      </c>
    </row>
    <row r="3707" spans="1:8">
      <c r="A3707" s="37">
        <v>43703.15625</v>
      </c>
      <c r="B3707" s="35" t="s">
        <v>654</v>
      </c>
      <c r="C3707" s="35" t="s">
        <v>655</v>
      </c>
      <c r="D3707" s="39">
        <v>279.3800048828125</v>
      </c>
      <c r="E3707" s="39">
        <v>256.0267333984375</v>
      </c>
      <c r="F3707" s="41">
        <v>940825</v>
      </c>
      <c r="G3707" s="35" t="s">
        <v>684</v>
      </c>
      <c r="H3707" s="35" t="s">
        <v>115</v>
      </c>
    </row>
    <row r="3708" spans="1:8">
      <c r="A3708" s="37">
        <v>43704.15625</v>
      </c>
      <c r="B3708" s="35" t="s">
        <v>654</v>
      </c>
      <c r="C3708" s="35" t="s">
        <v>655</v>
      </c>
      <c r="D3708" s="39">
        <v>288.33999633789063</v>
      </c>
      <c r="E3708" s="39">
        <v>264.23782348632813</v>
      </c>
      <c r="F3708" s="41">
        <v>1684020</v>
      </c>
      <c r="G3708" s="35" t="s">
        <v>684</v>
      </c>
      <c r="H3708" s="35" t="s">
        <v>115</v>
      </c>
    </row>
    <row r="3709" spans="1:8">
      <c r="A3709" s="37">
        <v>43705.15625</v>
      </c>
      <c r="B3709" s="35" t="s">
        <v>654</v>
      </c>
      <c r="C3709" s="35" t="s">
        <v>655</v>
      </c>
      <c r="D3709" s="39">
        <v>304.67999267578125</v>
      </c>
      <c r="E3709" s="39">
        <v>279.21200561523438</v>
      </c>
      <c r="F3709" s="41">
        <v>4891845</v>
      </c>
      <c r="G3709" s="35" t="s">
        <v>684</v>
      </c>
      <c r="H3709" s="35" t="s">
        <v>115</v>
      </c>
    </row>
    <row r="3710" spans="1:8">
      <c r="A3710" s="37">
        <v>43706.15625</v>
      </c>
      <c r="B3710" s="35" t="s">
        <v>654</v>
      </c>
      <c r="C3710" s="35" t="s">
        <v>655</v>
      </c>
      <c r="D3710" s="39">
        <v>303.83999633789063</v>
      </c>
      <c r="E3710" s="39">
        <v>278.442138671875</v>
      </c>
      <c r="F3710" s="41">
        <v>5023220</v>
      </c>
      <c r="G3710" s="35" t="s">
        <v>684</v>
      </c>
      <c r="H3710" s="35" t="s">
        <v>115</v>
      </c>
    </row>
    <row r="3711" spans="1:8">
      <c r="A3711" s="37">
        <v>43707.15625</v>
      </c>
      <c r="B3711" s="35" t="s">
        <v>654</v>
      </c>
      <c r="C3711" s="35" t="s">
        <v>655</v>
      </c>
      <c r="D3711" s="39">
        <v>299.1099853515625</v>
      </c>
      <c r="E3711" s="39">
        <v>274.10745239257813</v>
      </c>
      <c r="F3711" s="41">
        <v>4260045</v>
      </c>
      <c r="G3711" s="35" t="s">
        <v>684</v>
      </c>
      <c r="H3711" s="35" t="s">
        <v>115</v>
      </c>
    </row>
    <row r="3712" spans="1:8">
      <c r="A3712" s="37">
        <v>43711.15625</v>
      </c>
      <c r="B3712" s="35" t="s">
        <v>654</v>
      </c>
      <c r="C3712" s="35" t="s">
        <v>655</v>
      </c>
      <c r="D3712" s="39">
        <v>293.39999389648438</v>
      </c>
      <c r="E3712" s="39">
        <v>268.87490844726563</v>
      </c>
      <c r="F3712" s="41">
        <v>2144135</v>
      </c>
      <c r="G3712" s="35" t="s">
        <v>684</v>
      </c>
      <c r="H3712" s="35" t="s">
        <v>115</v>
      </c>
    </row>
    <row r="3713" spans="1:8">
      <c r="A3713" s="37">
        <v>43712.15625</v>
      </c>
      <c r="B3713" s="35" t="s">
        <v>654</v>
      </c>
      <c r="C3713" s="35" t="s">
        <v>655</v>
      </c>
      <c r="D3713" s="39">
        <v>292.47000122070313</v>
      </c>
      <c r="E3713" s="39">
        <v>268.0225830078125</v>
      </c>
      <c r="F3713" s="41">
        <v>1106965</v>
      </c>
      <c r="G3713" s="35" t="s">
        <v>684</v>
      </c>
      <c r="H3713" s="35" t="s">
        <v>115</v>
      </c>
    </row>
    <row r="3714" spans="1:8">
      <c r="A3714" s="37">
        <v>43713.15625</v>
      </c>
      <c r="B3714" s="35" t="s">
        <v>654</v>
      </c>
      <c r="C3714" s="35" t="s">
        <v>655</v>
      </c>
      <c r="D3714" s="39">
        <v>291.989990234375</v>
      </c>
      <c r="E3714" s="39">
        <v>267.582763671875</v>
      </c>
      <c r="F3714" s="41">
        <v>1389760</v>
      </c>
      <c r="G3714" s="35" t="s">
        <v>684</v>
      </c>
      <c r="H3714" s="35" t="s">
        <v>115</v>
      </c>
    </row>
    <row r="3715" spans="1:8">
      <c r="A3715" s="37">
        <v>43714.15625</v>
      </c>
      <c r="B3715" s="35" t="s">
        <v>654</v>
      </c>
      <c r="C3715" s="35" t="s">
        <v>655</v>
      </c>
      <c r="D3715" s="39">
        <v>289.69000244140625</v>
      </c>
      <c r="E3715" s="39">
        <v>265.47494506835938</v>
      </c>
      <c r="F3715" s="41">
        <v>1452680</v>
      </c>
      <c r="G3715" s="35" t="s">
        <v>684</v>
      </c>
      <c r="H3715" s="35" t="s">
        <v>115</v>
      </c>
    </row>
    <row r="3716" spans="1:8">
      <c r="A3716" s="37">
        <v>43717.15625</v>
      </c>
      <c r="B3716" s="35" t="s">
        <v>654</v>
      </c>
      <c r="C3716" s="35" t="s">
        <v>655</v>
      </c>
      <c r="D3716" s="39">
        <v>289.04998779296875</v>
      </c>
      <c r="E3716" s="39">
        <v>264.88851928710938</v>
      </c>
      <c r="F3716" s="41">
        <v>1409230</v>
      </c>
      <c r="G3716" s="35" t="s">
        <v>684</v>
      </c>
      <c r="H3716" s="35" t="s">
        <v>115</v>
      </c>
    </row>
    <row r="3717" spans="1:8">
      <c r="A3717" s="37">
        <v>43719.15625</v>
      </c>
      <c r="B3717" s="35" t="s">
        <v>654</v>
      </c>
      <c r="C3717" s="35" t="s">
        <v>655</v>
      </c>
      <c r="D3717" s="39">
        <v>283.83999633789063</v>
      </c>
      <c r="E3717" s="39">
        <v>260.11407470703125</v>
      </c>
      <c r="F3717" s="41">
        <v>1360505</v>
      </c>
      <c r="G3717" s="35" t="s">
        <v>684</v>
      </c>
      <c r="H3717" s="35" t="s">
        <v>115</v>
      </c>
    </row>
    <row r="3718" spans="1:8">
      <c r="A3718" s="37">
        <v>43720.15625</v>
      </c>
      <c r="B3718" s="35" t="s">
        <v>654</v>
      </c>
      <c r="C3718" s="35" t="s">
        <v>655</v>
      </c>
      <c r="D3718" s="39">
        <v>282.08999633789063</v>
      </c>
      <c r="E3718" s="39">
        <v>258.51022338867188</v>
      </c>
      <c r="F3718" s="41">
        <v>1618510</v>
      </c>
      <c r="G3718" s="35" t="s">
        <v>684</v>
      </c>
      <c r="H3718" s="35" t="s">
        <v>115</v>
      </c>
    </row>
    <row r="3719" spans="1:8">
      <c r="A3719" s="37">
        <v>43721.15625</v>
      </c>
      <c r="B3719" s="35" t="s">
        <v>654</v>
      </c>
      <c r="C3719" s="35" t="s">
        <v>655</v>
      </c>
      <c r="D3719" s="39">
        <v>282.239990234375</v>
      </c>
      <c r="E3719" s="39">
        <v>258.64776611328125</v>
      </c>
      <c r="F3719" s="41">
        <v>846155</v>
      </c>
      <c r="G3719" s="35" t="s">
        <v>684</v>
      </c>
      <c r="H3719" s="35" t="s">
        <v>115</v>
      </c>
    </row>
    <row r="3720" spans="1:8">
      <c r="A3720" s="37">
        <v>43724.15625</v>
      </c>
      <c r="B3720" s="35" t="s">
        <v>654</v>
      </c>
      <c r="C3720" s="35" t="s">
        <v>655</v>
      </c>
      <c r="D3720" s="39">
        <v>276.39999389648438</v>
      </c>
      <c r="E3720" s="39">
        <v>253.29582214355469</v>
      </c>
      <c r="F3720" s="41">
        <v>1487160</v>
      </c>
      <c r="G3720" s="35" t="s">
        <v>684</v>
      </c>
      <c r="H3720" s="35" t="s">
        <v>115</v>
      </c>
    </row>
    <row r="3721" spans="1:8">
      <c r="A3721" s="37">
        <v>43725.15625</v>
      </c>
      <c r="B3721" s="35" t="s">
        <v>654</v>
      </c>
      <c r="C3721" s="35" t="s">
        <v>655</v>
      </c>
      <c r="D3721" s="39">
        <v>274.20001220703125</v>
      </c>
      <c r="E3721" s="39">
        <v>251.27978515625</v>
      </c>
      <c r="F3721" s="41">
        <v>995880</v>
      </c>
      <c r="G3721" s="35" t="s">
        <v>684</v>
      </c>
      <c r="H3721" s="35" t="s">
        <v>115</v>
      </c>
    </row>
    <row r="3722" spans="1:8">
      <c r="A3722" s="37">
        <v>43726.15625</v>
      </c>
      <c r="B3722" s="35" t="s">
        <v>654</v>
      </c>
      <c r="C3722" s="35" t="s">
        <v>655</v>
      </c>
      <c r="D3722" s="39">
        <v>272.42999267578125</v>
      </c>
      <c r="E3722" s="39">
        <v>249.65777587890625</v>
      </c>
      <c r="F3722" s="41">
        <v>3285825</v>
      </c>
      <c r="G3722" s="35" t="s">
        <v>684</v>
      </c>
      <c r="H3722" s="35" t="s">
        <v>115</v>
      </c>
    </row>
    <row r="3723" spans="1:8">
      <c r="A3723" s="37">
        <v>43727.15625</v>
      </c>
      <c r="B3723" s="35" t="s">
        <v>654</v>
      </c>
      <c r="C3723" s="35" t="s">
        <v>655</v>
      </c>
      <c r="D3723" s="39">
        <v>273.8900146484375</v>
      </c>
      <c r="E3723" s="39">
        <v>250.99565124511719</v>
      </c>
      <c r="F3723" s="41">
        <v>1588400</v>
      </c>
      <c r="G3723" s="35" t="s">
        <v>684</v>
      </c>
      <c r="H3723" s="35" t="s">
        <v>115</v>
      </c>
    </row>
    <row r="3724" spans="1:8">
      <c r="A3724" s="37">
        <v>43728.15625</v>
      </c>
      <c r="B3724" s="35" t="s">
        <v>654</v>
      </c>
      <c r="C3724" s="35" t="s">
        <v>655</v>
      </c>
      <c r="D3724" s="39">
        <v>280.35000610351563</v>
      </c>
      <c r="E3724" s="39">
        <v>256.91574096679688</v>
      </c>
      <c r="F3724" s="41">
        <v>2529920</v>
      </c>
      <c r="G3724" s="35" t="s">
        <v>684</v>
      </c>
      <c r="H3724" s="35" t="s">
        <v>115</v>
      </c>
    </row>
    <row r="3725" spans="1:8">
      <c r="A3725" s="37">
        <v>43731.15625</v>
      </c>
      <c r="B3725" s="35" t="s">
        <v>654</v>
      </c>
      <c r="C3725" s="35" t="s">
        <v>655</v>
      </c>
      <c r="D3725" s="39">
        <v>282.04998779296875</v>
      </c>
      <c r="E3725" s="39">
        <v>258.47360229492188</v>
      </c>
      <c r="F3725" s="41">
        <v>1720295</v>
      </c>
      <c r="G3725" s="35" t="s">
        <v>684</v>
      </c>
      <c r="H3725" s="35" t="s">
        <v>115</v>
      </c>
    </row>
    <row r="3726" spans="1:8">
      <c r="A3726" s="37">
        <v>43732.15625</v>
      </c>
      <c r="B3726" s="35" t="s">
        <v>654</v>
      </c>
      <c r="C3726" s="35" t="s">
        <v>655</v>
      </c>
      <c r="D3726" s="39">
        <v>285.79998779296875</v>
      </c>
      <c r="E3726" s="39">
        <v>261.91009521484375</v>
      </c>
      <c r="F3726" s="41">
        <v>2864025</v>
      </c>
      <c r="G3726" s="35" t="s">
        <v>684</v>
      </c>
      <c r="H3726" s="35" t="s">
        <v>115</v>
      </c>
    </row>
    <row r="3727" spans="1:8">
      <c r="A3727" s="37">
        <v>43733.15625</v>
      </c>
      <c r="B3727" s="35" t="s">
        <v>654</v>
      </c>
      <c r="C3727" s="35" t="s">
        <v>655</v>
      </c>
      <c r="D3727" s="39">
        <v>281.239990234375</v>
      </c>
      <c r="E3727" s="39">
        <v>257.73135375976563</v>
      </c>
      <c r="F3727" s="41">
        <v>811900</v>
      </c>
      <c r="G3727" s="35" t="s">
        <v>684</v>
      </c>
      <c r="H3727" s="35" t="s">
        <v>115</v>
      </c>
    </row>
    <row r="3728" spans="1:8">
      <c r="A3728" s="37">
        <v>43734.15625</v>
      </c>
      <c r="B3728" s="35" t="s">
        <v>654</v>
      </c>
      <c r="C3728" s="35" t="s">
        <v>655</v>
      </c>
      <c r="D3728" s="39">
        <v>277.8800048828125</v>
      </c>
      <c r="E3728" s="39">
        <v>254.65216064453125</v>
      </c>
      <c r="F3728" s="41">
        <v>1610530</v>
      </c>
      <c r="G3728" s="35" t="s">
        <v>684</v>
      </c>
      <c r="H3728" s="35" t="s">
        <v>115</v>
      </c>
    </row>
    <row r="3729" spans="1:8">
      <c r="A3729" s="37">
        <v>43735.15625</v>
      </c>
      <c r="B3729" s="35" t="s">
        <v>654</v>
      </c>
      <c r="C3729" s="35" t="s">
        <v>655</v>
      </c>
      <c r="D3729" s="39">
        <v>278.80999755859375</v>
      </c>
      <c r="E3729" s="39">
        <v>255.50444030761719</v>
      </c>
      <c r="F3729" s="41">
        <v>1565670</v>
      </c>
      <c r="G3729" s="35" t="s">
        <v>684</v>
      </c>
      <c r="H3729" s="35" t="s">
        <v>115</v>
      </c>
    </row>
    <row r="3730" spans="1:8">
      <c r="A3730" s="37">
        <v>43738.15625</v>
      </c>
      <c r="B3730" s="35" t="s">
        <v>654</v>
      </c>
      <c r="C3730" s="35" t="s">
        <v>655</v>
      </c>
      <c r="D3730" s="39">
        <v>278.98001098632813</v>
      </c>
      <c r="E3730" s="39">
        <v>255.66020202636719</v>
      </c>
      <c r="F3730" s="41">
        <v>1475715</v>
      </c>
      <c r="G3730" s="35" t="s">
        <v>684</v>
      </c>
      <c r="H3730" s="35" t="s">
        <v>115</v>
      </c>
    </row>
    <row r="3731" spans="1:8">
      <c r="A3731" s="37">
        <v>43739.15625</v>
      </c>
      <c r="B3731" s="35" t="s">
        <v>654</v>
      </c>
      <c r="C3731" s="35" t="s">
        <v>655</v>
      </c>
      <c r="D3731" s="39">
        <v>269.92999267578125</v>
      </c>
      <c r="E3731" s="39">
        <v>247.36672973632813</v>
      </c>
      <c r="F3731" s="41">
        <v>1573760</v>
      </c>
      <c r="G3731" s="35" t="s">
        <v>684</v>
      </c>
      <c r="H3731" s="35" t="s">
        <v>115</v>
      </c>
    </row>
    <row r="3732" spans="1:8">
      <c r="A3732" s="37">
        <v>43741.15625</v>
      </c>
      <c r="B3732" s="35" t="s">
        <v>654</v>
      </c>
      <c r="C3732" s="35" t="s">
        <v>655</v>
      </c>
      <c r="D3732" s="39">
        <v>273.60000610351563</v>
      </c>
      <c r="E3732" s="39">
        <v>250.72994995117188</v>
      </c>
      <c r="F3732" s="41">
        <v>1342635</v>
      </c>
      <c r="G3732" s="35" t="s">
        <v>684</v>
      </c>
      <c r="H3732" s="35" t="s">
        <v>115</v>
      </c>
    </row>
    <row r="3733" spans="1:8">
      <c r="A3733" s="37">
        <v>43742.15625</v>
      </c>
      <c r="B3733" s="35" t="s">
        <v>654</v>
      </c>
      <c r="C3733" s="35" t="s">
        <v>655</v>
      </c>
      <c r="D3733" s="39">
        <v>276</v>
      </c>
      <c r="E3733" s="39">
        <v>252.92926025390625</v>
      </c>
      <c r="F3733" s="41">
        <v>1653545</v>
      </c>
      <c r="G3733" s="35" t="s">
        <v>684</v>
      </c>
      <c r="H3733" s="35" t="s">
        <v>115</v>
      </c>
    </row>
    <row r="3734" spans="1:8">
      <c r="A3734" s="37">
        <v>43745.15625</v>
      </c>
      <c r="B3734" s="35" t="s">
        <v>654</v>
      </c>
      <c r="C3734" s="35" t="s">
        <v>655</v>
      </c>
      <c r="D3734" s="39">
        <v>276.92001342773438</v>
      </c>
      <c r="E3734" s="39">
        <v>253.7724609375</v>
      </c>
      <c r="F3734" s="41">
        <v>924520</v>
      </c>
      <c r="G3734" s="35" t="s">
        <v>684</v>
      </c>
      <c r="H3734" s="35" t="s">
        <v>115</v>
      </c>
    </row>
    <row r="3735" spans="1:8">
      <c r="A3735" s="37">
        <v>43747.15625</v>
      </c>
      <c r="B3735" s="35" t="s">
        <v>654</v>
      </c>
      <c r="C3735" s="35" t="s">
        <v>655</v>
      </c>
      <c r="D3735" s="39">
        <v>274.67001342773438</v>
      </c>
      <c r="E3735" s="39">
        <v>251.71046447753906</v>
      </c>
      <c r="F3735" s="41">
        <v>886300</v>
      </c>
      <c r="G3735" s="35" t="s">
        <v>684</v>
      </c>
      <c r="H3735" s="35" t="s">
        <v>115</v>
      </c>
    </row>
    <row r="3736" spans="1:8">
      <c r="A3736" s="37">
        <v>43748.15625</v>
      </c>
      <c r="B3736" s="35" t="s">
        <v>654</v>
      </c>
      <c r="C3736" s="35" t="s">
        <v>655</v>
      </c>
      <c r="D3736" s="39">
        <v>272.22000122070313</v>
      </c>
      <c r="E3736" s="39">
        <v>249.46525573730469</v>
      </c>
      <c r="F3736" s="41">
        <v>763030</v>
      </c>
      <c r="G3736" s="35" t="s">
        <v>684</v>
      </c>
      <c r="H3736" s="35" t="s">
        <v>115</v>
      </c>
    </row>
    <row r="3737" spans="1:8">
      <c r="A3737" s="37">
        <v>43749.15625</v>
      </c>
      <c r="B3737" s="35" t="s">
        <v>654</v>
      </c>
      <c r="C3737" s="35" t="s">
        <v>655</v>
      </c>
      <c r="D3737" s="39">
        <v>282.42001342773438</v>
      </c>
      <c r="E3737" s="39">
        <v>258.812744140625</v>
      </c>
      <c r="F3737" s="41">
        <v>1988800</v>
      </c>
      <c r="G3737" s="35" t="s">
        <v>684</v>
      </c>
      <c r="H3737" s="35" t="s">
        <v>115</v>
      </c>
    </row>
    <row r="3738" spans="1:8">
      <c r="A3738" s="37">
        <v>43752.15625</v>
      </c>
      <c r="B3738" s="35" t="s">
        <v>654</v>
      </c>
      <c r="C3738" s="35" t="s">
        <v>655</v>
      </c>
      <c r="D3738" s="39">
        <v>279.29998779296875</v>
      </c>
      <c r="E3738" s="39">
        <v>255.95344543457031</v>
      </c>
      <c r="F3738" s="41">
        <v>1017795</v>
      </c>
      <c r="G3738" s="35" t="s">
        <v>684</v>
      </c>
      <c r="H3738" s="35" t="s">
        <v>115</v>
      </c>
    </row>
    <row r="3739" spans="1:8">
      <c r="A3739" s="37">
        <v>43753.15625</v>
      </c>
      <c r="B3739" s="35" t="s">
        <v>654</v>
      </c>
      <c r="C3739" s="35" t="s">
        <v>655</v>
      </c>
      <c r="D3739" s="39">
        <v>284.94000244140625</v>
      </c>
      <c r="E3739" s="39">
        <v>261.12200927734375</v>
      </c>
      <c r="F3739" s="41">
        <v>2019925</v>
      </c>
      <c r="G3739" s="35" t="s">
        <v>684</v>
      </c>
      <c r="H3739" s="35" t="s">
        <v>115</v>
      </c>
    </row>
    <row r="3740" spans="1:8">
      <c r="A3740" s="37">
        <v>43754.15625</v>
      </c>
      <c r="B3740" s="35" t="s">
        <v>654</v>
      </c>
      <c r="C3740" s="35" t="s">
        <v>655</v>
      </c>
      <c r="D3740" s="39">
        <v>281.89999389648438</v>
      </c>
      <c r="E3740" s="39">
        <v>258.33612060546875</v>
      </c>
      <c r="F3740" s="41">
        <v>1500090</v>
      </c>
      <c r="G3740" s="35" t="s">
        <v>684</v>
      </c>
      <c r="H3740" s="35" t="s">
        <v>115</v>
      </c>
    </row>
    <row r="3741" spans="1:8">
      <c r="A3741" s="37">
        <v>43755.15625</v>
      </c>
      <c r="B3741" s="35" t="s">
        <v>654</v>
      </c>
      <c r="C3741" s="35" t="s">
        <v>655</v>
      </c>
      <c r="D3741" s="39">
        <v>281.33999633789063</v>
      </c>
      <c r="E3741" s="39">
        <v>257.82293701171875</v>
      </c>
      <c r="F3741" s="41">
        <v>574445</v>
      </c>
      <c r="G3741" s="35" t="s">
        <v>684</v>
      </c>
      <c r="H3741" s="35" t="s">
        <v>115</v>
      </c>
    </row>
    <row r="3742" spans="1:8">
      <c r="A3742" s="37">
        <v>43756.15625</v>
      </c>
      <c r="B3742" s="35" t="s">
        <v>654</v>
      </c>
      <c r="C3742" s="35" t="s">
        <v>655</v>
      </c>
      <c r="D3742" s="39">
        <v>287.30999755859375</v>
      </c>
      <c r="E3742" s="39">
        <v>263.2939453125</v>
      </c>
      <c r="F3742" s="41">
        <v>1387385</v>
      </c>
      <c r="G3742" s="35" t="s">
        <v>684</v>
      </c>
      <c r="H3742" s="35" t="s">
        <v>115</v>
      </c>
    </row>
    <row r="3743" spans="1:8">
      <c r="A3743" s="37">
        <v>43760.15625</v>
      </c>
      <c r="B3743" s="35" t="s">
        <v>654</v>
      </c>
      <c r="C3743" s="35" t="s">
        <v>655</v>
      </c>
      <c r="D3743" s="39">
        <v>290.44000244140625</v>
      </c>
      <c r="E3743" s="39">
        <v>266.16232299804688</v>
      </c>
      <c r="F3743" s="41">
        <v>1495435</v>
      </c>
      <c r="G3743" s="35" t="s">
        <v>684</v>
      </c>
      <c r="H3743" s="35" t="s">
        <v>115</v>
      </c>
    </row>
    <row r="3744" spans="1:8">
      <c r="A3744" s="37">
        <v>43761.15625</v>
      </c>
      <c r="B3744" s="35" t="s">
        <v>654</v>
      </c>
      <c r="C3744" s="35" t="s">
        <v>655</v>
      </c>
      <c r="D3744" s="39">
        <v>293.73001098632813</v>
      </c>
      <c r="E3744" s="39">
        <v>269.17721557617188</v>
      </c>
      <c r="F3744" s="41">
        <v>2261745</v>
      </c>
      <c r="G3744" s="35" t="s">
        <v>684</v>
      </c>
      <c r="H3744" s="35" t="s">
        <v>115</v>
      </c>
    </row>
    <row r="3745" spans="1:8">
      <c r="A3745" s="37">
        <v>43762.15625</v>
      </c>
      <c r="B3745" s="35" t="s">
        <v>654</v>
      </c>
      <c r="C3745" s="35" t="s">
        <v>655</v>
      </c>
      <c r="D3745" s="39">
        <v>298.32000732421875</v>
      </c>
      <c r="E3745" s="39">
        <v>273.3836669921875</v>
      </c>
      <c r="F3745" s="41">
        <v>5276105</v>
      </c>
      <c r="G3745" s="35" t="s">
        <v>684</v>
      </c>
      <c r="H3745" s="35" t="s">
        <v>115</v>
      </c>
    </row>
    <row r="3746" spans="1:8">
      <c r="A3746" s="37">
        <v>43763.145833333336</v>
      </c>
      <c r="B3746" s="35" t="s">
        <v>654</v>
      </c>
      <c r="C3746" s="35" t="s">
        <v>655</v>
      </c>
      <c r="D3746" s="39">
        <v>301.02999877929688</v>
      </c>
      <c r="E3746" s="39">
        <v>275.86712646484375</v>
      </c>
      <c r="F3746" s="41">
        <v>1910450</v>
      </c>
      <c r="G3746" s="35" t="s">
        <v>684</v>
      </c>
      <c r="H3746" s="35" t="s">
        <v>115</v>
      </c>
    </row>
    <row r="3747" spans="1:8">
      <c r="A3747" s="37">
        <v>43765.489583333336</v>
      </c>
      <c r="B3747" s="35" t="s">
        <v>654</v>
      </c>
      <c r="C3747" s="35" t="s">
        <v>655</v>
      </c>
      <c r="D3747" s="39">
        <v>301.22000122070313</v>
      </c>
      <c r="E3747" s="39">
        <v>276.04116821289063</v>
      </c>
      <c r="F3747" s="41">
        <v>148480</v>
      </c>
      <c r="G3747" s="35" t="s">
        <v>684</v>
      </c>
      <c r="H3747" s="35" t="s">
        <v>115</v>
      </c>
    </row>
    <row r="3748" spans="1:8">
      <c r="A3748" s="37">
        <v>43767.15625</v>
      </c>
      <c r="B3748" s="35" t="s">
        <v>654</v>
      </c>
      <c r="C3748" s="35" t="s">
        <v>655</v>
      </c>
      <c r="D3748" s="39">
        <v>303.47000122070313</v>
      </c>
      <c r="E3748" s="39">
        <v>278.10305786132813</v>
      </c>
      <c r="F3748" s="41">
        <v>1344355</v>
      </c>
      <c r="G3748" s="35" t="s">
        <v>684</v>
      </c>
      <c r="H3748" s="35" t="s">
        <v>115</v>
      </c>
    </row>
    <row r="3749" spans="1:8">
      <c r="A3749" s="37">
        <v>43768.15625</v>
      </c>
      <c r="B3749" s="35" t="s">
        <v>654</v>
      </c>
      <c r="C3749" s="35" t="s">
        <v>655</v>
      </c>
      <c r="D3749" s="39">
        <v>315.6300048828125</v>
      </c>
      <c r="E3749" s="39">
        <v>289.24667358398438</v>
      </c>
      <c r="F3749" s="41">
        <v>2686170</v>
      </c>
      <c r="G3749" s="35" t="s">
        <v>684</v>
      </c>
      <c r="H3749" s="35" t="s">
        <v>115</v>
      </c>
    </row>
    <row r="3750" spans="1:8">
      <c r="A3750" s="37">
        <v>43769.15625</v>
      </c>
      <c r="B3750" s="35" t="s">
        <v>654</v>
      </c>
      <c r="C3750" s="35" t="s">
        <v>655</v>
      </c>
      <c r="D3750" s="39">
        <v>309.739990234375</v>
      </c>
      <c r="E3750" s="39">
        <v>283.84896850585938</v>
      </c>
      <c r="F3750" s="41">
        <v>3586920</v>
      </c>
      <c r="G3750" s="35" t="s">
        <v>684</v>
      </c>
      <c r="H3750" s="35" t="s">
        <v>115</v>
      </c>
    </row>
    <row r="3751" spans="1:8">
      <c r="A3751" s="37">
        <v>43770.15625</v>
      </c>
      <c r="B3751" s="35" t="s">
        <v>654</v>
      </c>
      <c r="C3751" s="35" t="s">
        <v>655</v>
      </c>
      <c r="D3751" s="39">
        <v>311.75</v>
      </c>
      <c r="E3751" s="39">
        <v>285.69100952148438</v>
      </c>
      <c r="F3751" s="41">
        <v>1838370</v>
      </c>
      <c r="G3751" s="35" t="s">
        <v>684</v>
      </c>
      <c r="H3751" s="35" t="s">
        <v>115</v>
      </c>
    </row>
    <row r="3752" spans="1:8">
      <c r="A3752" s="37">
        <v>43773.15625</v>
      </c>
      <c r="B3752" s="35" t="s">
        <v>654</v>
      </c>
      <c r="C3752" s="35" t="s">
        <v>655</v>
      </c>
      <c r="D3752" s="39">
        <v>317.35000610351563</v>
      </c>
      <c r="E3752" s="39">
        <v>292.70071411132813</v>
      </c>
      <c r="F3752" s="41">
        <v>1683270</v>
      </c>
      <c r="G3752" s="35" t="s">
        <v>684</v>
      </c>
      <c r="H3752" s="35" t="s">
        <v>115</v>
      </c>
    </row>
    <row r="3753" spans="1:8">
      <c r="A3753" s="37">
        <v>43774.15625</v>
      </c>
      <c r="B3753" s="35" t="s">
        <v>654</v>
      </c>
      <c r="C3753" s="35" t="s">
        <v>655</v>
      </c>
      <c r="D3753" s="39">
        <v>311.8699951171875</v>
      </c>
      <c r="E3753" s="39">
        <v>287.64633178710938</v>
      </c>
      <c r="F3753" s="41">
        <v>549845</v>
      </c>
      <c r="G3753" s="35" t="s">
        <v>684</v>
      </c>
      <c r="H3753" s="35" t="s">
        <v>115</v>
      </c>
    </row>
    <row r="3754" spans="1:8">
      <c r="A3754" s="37">
        <v>43775.15625</v>
      </c>
      <c r="B3754" s="35" t="s">
        <v>654</v>
      </c>
      <c r="C3754" s="35" t="s">
        <v>655</v>
      </c>
      <c r="D3754" s="39">
        <v>313.27999877929688</v>
      </c>
      <c r="E3754" s="39">
        <v>288.94680786132813</v>
      </c>
      <c r="F3754" s="41">
        <v>455960</v>
      </c>
      <c r="G3754" s="35" t="s">
        <v>684</v>
      </c>
      <c r="H3754" s="35" t="s">
        <v>115</v>
      </c>
    </row>
    <row r="3755" spans="1:8">
      <c r="A3755" s="37">
        <v>43776.15625</v>
      </c>
      <c r="B3755" s="35" t="s">
        <v>654</v>
      </c>
      <c r="C3755" s="35" t="s">
        <v>655</v>
      </c>
      <c r="D3755" s="39">
        <v>314.79998779296875</v>
      </c>
      <c r="E3755" s="39">
        <v>290.34878540039063</v>
      </c>
      <c r="F3755" s="41">
        <v>508905</v>
      </c>
      <c r="G3755" s="35" t="s">
        <v>684</v>
      </c>
      <c r="H3755" s="35" t="s">
        <v>115</v>
      </c>
    </row>
    <row r="3756" spans="1:8">
      <c r="A3756" s="37">
        <v>43777.15625</v>
      </c>
      <c r="B3756" s="35" t="s">
        <v>654</v>
      </c>
      <c r="C3756" s="35" t="s">
        <v>655</v>
      </c>
      <c r="D3756" s="39">
        <v>308.07998657226563</v>
      </c>
      <c r="E3756" s="39">
        <v>284.1507568359375</v>
      </c>
      <c r="F3756" s="41">
        <v>617170</v>
      </c>
      <c r="G3756" s="35" t="s">
        <v>684</v>
      </c>
      <c r="H3756" s="35" t="s">
        <v>115</v>
      </c>
    </row>
    <row r="3757" spans="1:8">
      <c r="A3757" s="37">
        <v>43780.15625</v>
      </c>
      <c r="B3757" s="35" t="s">
        <v>654</v>
      </c>
      <c r="C3757" s="35" t="s">
        <v>655</v>
      </c>
      <c r="D3757" s="39">
        <v>314.52999877929688</v>
      </c>
      <c r="E3757" s="39">
        <v>290.09963989257813</v>
      </c>
      <c r="F3757" s="41">
        <v>1155880</v>
      </c>
      <c r="G3757" s="35" t="s">
        <v>684</v>
      </c>
      <c r="H3757" s="35" t="s">
        <v>115</v>
      </c>
    </row>
    <row r="3758" spans="1:8">
      <c r="A3758" s="37">
        <v>43782.15625</v>
      </c>
      <c r="B3758" s="35" t="s">
        <v>654</v>
      </c>
      <c r="C3758" s="35" t="s">
        <v>655</v>
      </c>
      <c r="D3758" s="39">
        <v>296.6400146484375</v>
      </c>
      <c r="E3758" s="39">
        <v>273.59933471679688</v>
      </c>
      <c r="F3758" s="41">
        <v>1749485</v>
      </c>
      <c r="G3758" s="35" t="s">
        <v>684</v>
      </c>
      <c r="H3758" s="35" t="s">
        <v>115</v>
      </c>
    </row>
    <row r="3759" spans="1:8">
      <c r="A3759" s="37">
        <v>43783.15625</v>
      </c>
      <c r="B3759" s="35" t="s">
        <v>654</v>
      </c>
      <c r="C3759" s="35" t="s">
        <v>655</v>
      </c>
      <c r="D3759" s="39">
        <v>300.94000244140625</v>
      </c>
      <c r="E3759" s="39">
        <v>277.56533813476563</v>
      </c>
      <c r="F3759" s="41">
        <v>1480350</v>
      </c>
      <c r="G3759" s="35" t="s">
        <v>684</v>
      </c>
      <c r="H3759" s="35" t="s">
        <v>115</v>
      </c>
    </row>
    <row r="3760" spans="1:8">
      <c r="A3760" s="37">
        <v>43784.15625</v>
      </c>
      <c r="B3760" s="35" t="s">
        <v>654</v>
      </c>
      <c r="C3760" s="35" t="s">
        <v>655</v>
      </c>
      <c r="D3760" s="39">
        <v>298.22000122070313</v>
      </c>
      <c r="E3760" s="39">
        <v>275.05657958984375</v>
      </c>
      <c r="F3760" s="41">
        <v>807570</v>
      </c>
      <c r="G3760" s="35" t="s">
        <v>684</v>
      </c>
      <c r="H3760" s="35" t="s">
        <v>115</v>
      </c>
    </row>
    <row r="3761" spans="1:8">
      <c r="A3761" s="37">
        <v>43787.15625</v>
      </c>
      <c r="B3761" s="35" t="s">
        <v>654</v>
      </c>
      <c r="C3761" s="35" t="s">
        <v>655</v>
      </c>
      <c r="D3761" s="39">
        <v>303.82000732421875</v>
      </c>
      <c r="E3761" s="39">
        <v>280.22161865234375</v>
      </c>
      <c r="F3761" s="41">
        <v>990155</v>
      </c>
      <c r="G3761" s="35" t="s">
        <v>684</v>
      </c>
      <c r="H3761" s="35" t="s">
        <v>115</v>
      </c>
    </row>
    <row r="3762" spans="1:8">
      <c r="A3762" s="37">
        <v>43788.15625</v>
      </c>
      <c r="B3762" s="35" t="s">
        <v>654</v>
      </c>
      <c r="C3762" s="35" t="s">
        <v>655</v>
      </c>
      <c r="D3762" s="39">
        <v>305.79998779296875</v>
      </c>
      <c r="E3762" s="39">
        <v>282.04782104492188</v>
      </c>
      <c r="F3762" s="41">
        <v>582030</v>
      </c>
      <c r="G3762" s="35" t="s">
        <v>684</v>
      </c>
      <c r="H3762" s="35" t="s">
        <v>115</v>
      </c>
    </row>
    <row r="3763" spans="1:8">
      <c r="A3763" s="37">
        <v>43789.15625</v>
      </c>
      <c r="B3763" s="35" t="s">
        <v>654</v>
      </c>
      <c r="C3763" s="35" t="s">
        <v>655</v>
      </c>
      <c r="D3763" s="39">
        <v>301.760009765625</v>
      </c>
      <c r="E3763" s="39">
        <v>278.32162475585938</v>
      </c>
      <c r="F3763" s="41">
        <v>1395295</v>
      </c>
      <c r="G3763" s="35" t="s">
        <v>684</v>
      </c>
      <c r="H3763" s="35" t="s">
        <v>115</v>
      </c>
    </row>
    <row r="3764" spans="1:8">
      <c r="A3764" s="37">
        <v>43790.15625</v>
      </c>
      <c r="B3764" s="35" t="s">
        <v>654</v>
      </c>
      <c r="C3764" s="35" t="s">
        <v>655</v>
      </c>
      <c r="D3764" s="39">
        <v>299.739990234375</v>
      </c>
      <c r="E3764" s="39">
        <v>276.45846557617188</v>
      </c>
      <c r="F3764" s="41">
        <v>412930</v>
      </c>
      <c r="G3764" s="35" t="s">
        <v>684</v>
      </c>
      <c r="H3764" s="35" t="s">
        <v>115</v>
      </c>
    </row>
    <row r="3765" spans="1:8">
      <c r="A3765" s="37">
        <v>43791.15625</v>
      </c>
      <c r="B3765" s="35" t="s">
        <v>654</v>
      </c>
      <c r="C3765" s="35" t="s">
        <v>655</v>
      </c>
      <c r="D3765" s="39">
        <v>296.82998657226563</v>
      </c>
      <c r="E3765" s="39">
        <v>273.77447509765625</v>
      </c>
      <c r="F3765" s="41">
        <v>686870</v>
      </c>
      <c r="G3765" s="35" t="s">
        <v>684</v>
      </c>
      <c r="H3765" s="35" t="s">
        <v>115</v>
      </c>
    </row>
    <row r="3766" spans="1:8">
      <c r="A3766" s="37">
        <v>43794.15625</v>
      </c>
      <c r="B3766" s="35" t="s">
        <v>654</v>
      </c>
      <c r="C3766" s="35" t="s">
        <v>655</v>
      </c>
      <c r="D3766" s="39">
        <v>300.010009765625</v>
      </c>
      <c r="E3766" s="39">
        <v>276.70751953125</v>
      </c>
      <c r="F3766" s="41">
        <v>518485</v>
      </c>
      <c r="G3766" s="35" t="s">
        <v>684</v>
      </c>
      <c r="H3766" s="35" t="s">
        <v>115</v>
      </c>
    </row>
    <row r="3767" spans="1:8">
      <c r="A3767" s="37">
        <v>43795.15625</v>
      </c>
      <c r="B3767" s="35" t="s">
        <v>654</v>
      </c>
      <c r="C3767" s="35" t="s">
        <v>655</v>
      </c>
      <c r="D3767" s="39">
        <v>296.98001098632813</v>
      </c>
      <c r="E3767" s="39">
        <v>273.91290283203125</v>
      </c>
      <c r="F3767" s="41">
        <v>1901635</v>
      </c>
      <c r="G3767" s="35" t="s">
        <v>684</v>
      </c>
      <c r="H3767" s="35" t="s">
        <v>115</v>
      </c>
    </row>
    <row r="3768" spans="1:8">
      <c r="A3768" s="37">
        <v>43796.15625</v>
      </c>
      <c r="B3768" s="35" t="s">
        <v>654</v>
      </c>
      <c r="C3768" s="35" t="s">
        <v>655</v>
      </c>
      <c r="D3768" s="39">
        <v>298.77999877929688</v>
      </c>
      <c r="E3768" s="39">
        <v>275.57290649414063</v>
      </c>
      <c r="F3768" s="41">
        <v>386625</v>
      </c>
      <c r="G3768" s="35" t="s">
        <v>684</v>
      </c>
      <c r="H3768" s="35" t="s">
        <v>115</v>
      </c>
    </row>
    <row r="3769" spans="1:8">
      <c r="A3769" s="37">
        <v>43797.15625</v>
      </c>
      <c r="B3769" s="35" t="s">
        <v>654</v>
      </c>
      <c r="C3769" s="35" t="s">
        <v>655</v>
      </c>
      <c r="D3769" s="39">
        <v>300.98001098632813</v>
      </c>
      <c r="E3769" s="39">
        <v>277.6021728515625</v>
      </c>
      <c r="F3769" s="41">
        <v>832475</v>
      </c>
      <c r="G3769" s="35" t="s">
        <v>684</v>
      </c>
      <c r="H3769" s="35" t="s">
        <v>115</v>
      </c>
    </row>
    <row r="3770" spans="1:8">
      <c r="A3770" s="37">
        <v>43798.15625</v>
      </c>
      <c r="B3770" s="35" t="s">
        <v>654</v>
      </c>
      <c r="C3770" s="35" t="s">
        <v>655</v>
      </c>
      <c r="D3770" s="39">
        <v>298.19000244140625</v>
      </c>
      <c r="E3770" s="39">
        <v>275.02883911132813</v>
      </c>
      <c r="F3770" s="41">
        <v>330465</v>
      </c>
      <c r="G3770" s="35" t="s">
        <v>684</v>
      </c>
      <c r="H3770" s="35" t="s">
        <v>115</v>
      </c>
    </row>
    <row r="3771" spans="1:8">
      <c r="A3771" s="37">
        <v>43801.15625</v>
      </c>
      <c r="B3771" s="35" t="s">
        <v>654</v>
      </c>
      <c r="C3771" s="35" t="s">
        <v>655</v>
      </c>
      <c r="D3771" s="39">
        <v>292.42001342773438</v>
      </c>
      <c r="E3771" s="39">
        <v>269.70703125</v>
      </c>
      <c r="F3771" s="41">
        <v>623310</v>
      </c>
      <c r="G3771" s="35" t="s">
        <v>684</v>
      </c>
      <c r="H3771" s="35" t="s">
        <v>115</v>
      </c>
    </row>
    <row r="3772" spans="1:8">
      <c r="A3772" s="37">
        <v>43802.15625</v>
      </c>
      <c r="B3772" s="35" t="s">
        <v>654</v>
      </c>
      <c r="C3772" s="35" t="s">
        <v>655</v>
      </c>
      <c r="D3772" s="39">
        <v>289.27999877929688</v>
      </c>
      <c r="E3772" s="39">
        <v>266.81094360351563</v>
      </c>
      <c r="F3772" s="41">
        <v>545670</v>
      </c>
      <c r="G3772" s="35" t="s">
        <v>684</v>
      </c>
      <c r="H3772" s="35" t="s">
        <v>115</v>
      </c>
    </row>
    <row r="3773" spans="1:8">
      <c r="A3773" s="37">
        <v>43803.15625</v>
      </c>
      <c r="B3773" s="35" t="s">
        <v>654</v>
      </c>
      <c r="C3773" s="35" t="s">
        <v>655</v>
      </c>
      <c r="D3773" s="39">
        <v>293.489990234375</v>
      </c>
      <c r="E3773" s="39">
        <v>270.69393920898438</v>
      </c>
      <c r="F3773" s="41">
        <v>724365</v>
      </c>
      <c r="G3773" s="35" t="s">
        <v>684</v>
      </c>
      <c r="H3773" s="35" t="s">
        <v>115</v>
      </c>
    </row>
    <row r="3774" spans="1:8">
      <c r="A3774" s="37">
        <v>43804.15625</v>
      </c>
      <c r="B3774" s="35" t="s">
        <v>654</v>
      </c>
      <c r="C3774" s="35" t="s">
        <v>655</v>
      </c>
      <c r="D3774" s="39">
        <v>297.04000854492188</v>
      </c>
      <c r="E3774" s="39">
        <v>273.96820068359375</v>
      </c>
      <c r="F3774" s="41">
        <v>1838795</v>
      </c>
      <c r="G3774" s="35" t="s">
        <v>684</v>
      </c>
      <c r="H3774" s="35" t="s">
        <v>115</v>
      </c>
    </row>
    <row r="3775" spans="1:8">
      <c r="A3775" s="37">
        <v>43805.15625</v>
      </c>
      <c r="B3775" s="35" t="s">
        <v>654</v>
      </c>
      <c r="C3775" s="35" t="s">
        <v>655</v>
      </c>
      <c r="D3775" s="39">
        <v>292.82998657226563</v>
      </c>
      <c r="E3775" s="39">
        <v>270.085205078125</v>
      </c>
      <c r="F3775" s="41">
        <v>384210</v>
      </c>
      <c r="G3775" s="35" t="s">
        <v>684</v>
      </c>
      <c r="H3775" s="35" t="s">
        <v>115</v>
      </c>
    </row>
    <row r="3776" spans="1:8">
      <c r="A3776" s="37">
        <v>43808.15625</v>
      </c>
      <c r="B3776" s="35" t="s">
        <v>654</v>
      </c>
      <c r="C3776" s="35" t="s">
        <v>655</v>
      </c>
      <c r="D3776" s="39">
        <v>295.19000244140625</v>
      </c>
      <c r="E3776" s="39">
        <v>272.26190185546875</v>
      </c>
      <c r="F3776" s="41">
        <v>532490</v>
      </c>
      <c r="G3776" s="35" t="s">
        <v>684</v>
      </c>
      <c r="H3776" s="35" t="s">
        <v>115</v>
      </c>
    </row>
    <row r="3777" spans="1:8">
      <c r="A3777" s="37">
        <v>43809.15625</v>
      </c>
      <c r="B3777" s="35" t="s">
        <v>654</v>
      </c>
      <c r="C3777" s="35" t="s">
        <v>655</v>
      </c>
      <c r="D3777" s="39">
        <v>287.54998779296875</v>
      </c>
      <c r="E3777" s="39">
        <v>265.21524047851563</v>
      </c>
      <c r="F3777" s="41">
        <v>1226670</v>
      </c>
      <c r="G3777" s="35" t="s">
        <v>684</v>
      </c>
      <c r="H3777" s="35" t="s">
        <v>115</v>
      </c>
    </row>
    <row r="3778" spans="1:8">
      <c r="A3778" s="37">
        <v>43810.15625</v>
      </c>
      <c r="B3778" s="35" t="s">
        <v>654</v>
      </c>
      <c r="C3778" s="35" t="s">
        <v>655</v>
      </c>
      <c r="D3778" s="39">
        <v>297.30999755859375</v>
      </c>
      <c r="E3778" s="39">
        <v>274.21725463867188</v>
      </c>
      <c r="F3778" s="41">
        <v>1907690</v>
      </c>
      <c r="G3778" s="35" t="s">
        <v>684</v>
      </c>
      <c r="H3778" s="35" t="s">
        <v>115</v>
      </c>
    </row>
    <row r="3779" spans="1:8">
      <c r="A3779" s="37">
        <v>43811.15625</v>
      </c>
      <c r="B3779" s="35" t="s">
        <v>654</v>
      </c>
      <c r="C3779" s="35" t="s">
        <v>655</v>
      </c>
      <c r="D3779" s="39">
        <v>296.85000610351563</v>
      </c>
      <c r="E3779" s="39">
        <v>273.79302978515625</v>
      </c>
      <c r="F3779" s="41">
        <v>467105</v>
      </c>
      <c r="G3779" s="35" t="s">
        <v>684</v>
      </c>
      <c r="H3779" s="35" t="s">
        <v>115</v>
      </c>
    </row>
    <row r="3780" spans="1:8">
      <c r="A3780" s="37">
        <v>43812.15625</v>
      </c>
      <c r="B3780" s="35" t="s">
        <v>654</v>
      </c>
      <c r="C3780" s="35" t="s">
        <v>655</v>
      </c>
      <c r="D3780" s="39">
        <v>298.1199951171875</v>
      </c>
      <c r="E3780" s="39">
        <v>274.96426391601563</v>
      </c>
      <c r="F3780" s="41">
        <v>838770</v>
      </c>
      <c r="G3780" s="35" t="s">
        <v>684</v>
      </c>
      <c r="H3780" s="35" t="s">
        <v>115</v>
      </c>
    </row>
    <row r="3781" spans="1:8">
      <c r="A3781" s="37">
        <v>43815.15625</v>
      </c>
      <c r="B3781" s="35" t="s">
        <v>654</v>
      </c>
      <c r="C3781" s="35" t="s">
        <v>655</v>
      </c>
      <c r="D3781" s="39">
        <v>294.67999267578125</v>
      </c>
      <c r="E3781" s="39">
        <v>271.79150390625</v>
      </c>
      <c r="F3781" s="41">
        <v>1306080</v>
      </c>
      <c r="G3781" s="35" t="s">
        <v>684</v>
      </c>
      <c r="H3781" s="35" t="s">
        <v>115</v>
      </c>
    </row>
    <row r="3782" spans="1:8">
      <c r="A3782" s="37">
        <v>43816.15625</v>
      </c>
      <c r="B3782" s="35" t="s">
        <v>654</v>
      </c>
      <c r="C3782" s="35" t="s">
        <v>655</v>
      </c>
      <c r="D3782" s="39">
        <v>320.989990234375</v>
      </c>
      <c r="E3782" s="39">
        <v>296.05795288085938</v>
      </c>
      <c r="F3782" s="41">
        <v>20902960</v>
      </c>
      <c r="G3782" s="35" t="s">
        <v>684</v>
      </c>
      <c r="H3782" s="35" t="s">
        <v>115</v>
      </c>
    </row>
    <row r="3783" spans="1:8">
      <c r="A3783" s="37">
        <v>43817.15625</v>
      </c>
      <c r="B3783" s="35" t="s">
        <v>654</v>
      </c>
      <c r="C3783" s="35" t="s">
        <v>655</v>
      </c>
      <c r="D3783" s="39">
        <v>320.51998901367188</v>
      </c>
      <c r="E3783" s="39">
        <v>295.62448120117188</v>
      </c>
      <c r="F3783" s="41">
        <v>10772995</v>
      </c>
      <c r="G3783" s="35" t="s">
        <v>684</v>
      </c>
      <c r="H3783" s="35" t="s">
        <v>115</v>
      </c>
    </row>
    <row r="3784" spans="1:8">
      <c r="A3784" s="37">
        <v>43818.15625</v>
      </c>
      <c r="B3784" s="35" t="s">
        <v>654</v>
      </c>
      <c r="C3784" s="35" t="s">
        <v>655</v>
      </c>
      <c r="D3784" s="39">
        <v>316.07000732421875</v>
      </c>
      <c r="E3784" s="39">
        <v>291.52011108398438</v>
      </c>
      <c r="F3784" s="41">
        <v>2674515</v>
      </c>
      <c r="G3784" s="35" t="s">
        <v>684</v>
      </c>
      <c r="H3784" s="35" t="s">
        <v>115</v>
      </c>
    </row>
    <row r="3785" spans="1:8">
      <c r="A3785" s="37">
        <v>43819.15625</v>
      </c>
      <c r="B3785" s="35" t="s">
        <v>654</v>
      </c>
      <c r="C3785" s="35" t="s">
        <v>655</v>
      </c>
      <c r="D3785" s="39">
        <v>316.55999755859375</v>
      </c>
      <c r="E3785" s="39">
        <v>291.97195434570313</v>
      </c>
      <c r="F3785" s="41">
        <v>2744200</v>
      </c>
      <c r="G3785" s="35" t="s">
        <v>684</v>
      </c>
      <c r="H3785" s="35" t="s">
        <v>115</v>
      </c>
    </row>
    <row r="3786" spans="1:8">
      <c r="A3786" s="37">
        <v>43822.15625</v>
      </c>
      <c r="B3786" s="35" t="s">
        <v>654</v>
      </c>
      <c r="C3786" s="35" t="s">
        <v>655</v>
      </c>
      <c r="D3786" s="39">
        <v>315.70999145507813</v>
      </c>
      <c r="E3786" s="39">
        <v>291.18801879882813</v>
      </c>
      <c r="F3786" s="41">
        <v>2201045</v>
      </c>
      <c r="G3786" s="35" t="s">
        <v>684</v>
      </c>
      <c r="H3786" s="35" t="s">
        <v>115</v>
      </c>
    </row>
    <row r="3787" spans="1:8">
      <c r="A3787" s="37">
        <v>43823.15625</v>
      </c>
      <c r="B3787" s="35" t="s">
        <v>654</v>
      </c>
      <c r="C3787" s="35" t="s">
        <v>655</v>
      </c>
      <c r="D3787" s="39">
        <v>319.57000732421875</v>
      </c>
      <c r="E3787" s="39">
        <v>294.74826049804688</v>
      </c>
      <c r="F3787" s="41">
        <v>14581110</v>
      </c>
      <c r="G3787" s="35" t="s">
        <v>684</v>
      </c>
      <c r="H3787" s="35" t="s">
        <v>115</v>
      </c>
    </row>
    <row r="3788" spans="1:8">
      <c r="A3788" s="37">
        <v>43825.15625</v>
      </c>
      <c r="B3788" s="35" t="s">
        <v>654</v>
      </c>
      <c r="C3788" s="35" t="s">
        <v>655</v>
      </c>
      <c r="D3788" s="39">
        <v>321.83999633789063</v>
      </c>
      <c r="E3788" s="39">
        <v>296.8419189453125</v>
      </c>
      <c r="F3788" s="41">
        <v>4468835</v>
      </c>
      <c r="G3788" s="35" t="s">
        <v>684</v>
      </c>
      <c r="H3788" s="35" t="s">
        <v>115</v>
      </c>
    </row>
    <row r="3789" spans="1:8">
      <c r="A3789" s="37">
        <v>43826.15625</v>
      </c>
      <c r="B3789" s="35" t="s">
        <v>654</v>
      </c>
      <c r="C3789" s="35" t="s">
        <v>655</v>
      </c>
      <c r="D3789" s="39">
        <v>316.6099853515625</v>
      </c>
      <c r="E3789" s="39">
        <v>292.01812744140625</v>
      </c>
      <c r="F3789" s="41">
        <v>2335350</v>
      </c>
      <c r="G3789" s="35" t="s">
        <v>684</v>
      </c>
      <c r="H3789" s="35" t="s">
        <v>115</v>
      </c>
    </row>
    <row r="3790" spans="1:8">
      <c r="A3790" s="37">
        <v>43829.15625</v>
      </c>
      <c r="B3790" s="35" t="s">
        <v>654</v>
      </c>
      <c r="C3790" s="35" t="s">
        <v>655</v>
      </c>
      <c r="D3790" s="39">
        <v>317.27999877929688</v>
      </c>
      <c r="E3790" s="39">
        <v>292.6361083984375</v>
      </c>
      <c r="F3790" s="41">
        <v>1503045</v>
      </c>
      <c r="G3790" s="35" t="s">
        <v>684</v>
      </c>
      <c r="H3790" s="35" t="s">
        <v>115</v>
      </c>
    </row>
    <row r="3791" spans="1:8">
      <c r="A3791" s="37">
        <v>43830.15625</v>
      </c>
      <c r="B3791" s="35" t="s">
        <v>654</v>
      </c>
      <c r="C3791" s="35" t="s">
        <v>655</v>
      </c>
      <c r="D3791" s="39">
        <v>317.97000122070313</v>
      </c>
      <c r="E3791" s="39">
        <v>293.27255249023438</v>
      </c>
      <c r="F3791" s="41">
        <v>1238190</v>
      </c>
      <c r="G3791" s="35" t="s">
        <v>684</v>
      </c>
      <c r="H3791" s="35" t="s">
        <v>115</v>
      </c>
    </row>
    <row r="3792" spans="1:8">
      <c r="A3792" s="37">
        <v>43831.15625</v>
      </c>
      <c r="B3792" s="35" t="s">
        <v>654</v>
      </c>
      <c r="C3792" s="35" t="s">
        <v>655</v>
      </c>
      <c r="D3792" s="39">
        <v>315.6400146484375</v>
      </c>
      <c r="E3792" s="39">
        <v>291.12350463867188</v>
      </c>
      <c r="F3792" s="41">
        <v>770625</v>
      </c>
      <c r="G3792" s="35" t="s">
        <v>684</v>
      </c>
      <c r="H3792" s="35" t="s">
        <v>115</v>
      </c>
    </row>
    <row r="3793" spans="1:8">
      <c r="A3793" s="37">
        <v>43832.15625</v>
      </c>
      <c r="B3793" s="35" t="s">
        <v>654</v>
      </c>
      <c r="C3793" s="35" t="s">
        <v>655</v>
      </c>
      <c r="D3793" s="39">
        <v>315.89999389648438</v>
      </c>
      <c r="E3793" s="39">
        <v>291.36343383789063</v>
      </c>
      <c r="F3793" s="41">
        <v>817855</v>
      </c>
      <c r="G3793" s="35" t="s">
        <v>684</v>
      </c>
      <c r="H3793" s="35" t="s">
        <v>115</v>
      </c>
    </row>
    <row r="3794" spans="1:8">
      <c r="A3794" s="37">
        <v>43833.15625</v>
      </c>
      <c r="B3794" s="35" t="s">
        <v>654</v>
      </c>
      <c r="C3794" s="35" t="s">
        <v>655</v>
      </c>
      <c r="D3794" s="39">
        <v>326.19000244140625</v>
      </c>
      <c r="E3794" s="39">
        <v>300.85406494140625</v>
      </c>
      <c r="F3794" s="41">
        <v>5907070</v>
      </c>
      <c r="G3794" s="35" t="s">
        <v>684</v>
      </c>
      <c r="H3794" s="35" t="s">
        <v>115</v>
      </c>
    </row>
    <row r="3795" spans="1:8">
      <c r="A3795" s="37">
        <v>43836.15625</v>
      </c>
      <c r="B3795" s="35" t="s">
        <v>654</v>
      </c>
      <c r="C3795" s="35" t="s">
        <v>655</v>
      </c>
      <c r="D3795" s="39">
        <v>329.54998779296875</v>
      </c>
      <c r="E3795" s="39">
        <v>303.95303344726563</v>
      </c>
      <c r="F3795" s="41">
        <v>4915305</v>
      </c>
      <c r="G3795" s="35" t="s">
        <v>684</v>
      </c>
      <c r="H3795" s="35" t="s">
        <v>115</v>
      </c>
    </row>
    <row r="3796" spans="1:8">
      <c r="A3796" s="37">
        <v>43837.15625</v>
      </c>
      <c r="B3796" s="35" t="s">
        <v>654</v>
      </c>
      <c r="C3796" s="35" t="s">
        <v>655</v>
      </c>
      <c r="D3796" s="39">
        <v>331.14999389648438</v>
      </c>
      <c r="E3796" s="39">
        <v>305.4288330078125</v>
      </c>
      <c r="F3796" s="41">
        <v>2434765</v>
      </c>
      <c r="G3796" s="35" t="s">
        <v>684</v>
      </c>
      <c r="H3796" s="35" t="s">
        <v>115</v>
      </c>
    </row>
    <row r="3797" spans="1:8">
      <c r="A3797" s="37">
        <v>43838.15625</v>
      </c>
      <c r="B3797" s="35" t="s">
        <v>654</v>
      </c>
      <c r="C3797" s="35" t="s">
        <v>655</v>
      </c>
      <c r="D3797" s="39">
        <v>345.30999755859375</v>
      </c>
      <c r="E3797" s="39">
        <v>318.48892211914063</v>
      </c>
      <c r="F3797" s="41">
        <v>6166875</v>
      </c>
      <c r="G3797" s="35" t="s">
        <v>684</v>
      </c>
      <c r="H3797" s="35" t="s">
        <v>115</v>
      </c>
    </row>
    <row r="3798" spans="1:8">
      <c r="A3798" s="37">
        <v>43839.15625</v>
      </c>
      <c r="B3798" s="35" t="s">
        <v>654</v>
      </c>
      <c r="C3798" s="35" t="s">
        <v>655</v>
      </c>
      <c r="D3798" s="39">
        <v>350.73001098632813</v>
      </c>
      <c r="E3798" s="39">
        <v>323.4879150390625</v>
      </c>
      <c r="F3798" s="41">
        <v>4134840</v>
      </c>
      <c r="G3798" s="35" t="s">
        <v>684</v>
      </c>
      <c r="H3798" s="35" t="s">
        <v>115</v>
      </c>
    </row>
    <row r="3799" spans="1:8">
      <c r="A3799" s="37">
        <v>43840.15625</v>
      </c>
      <c r="B3799" s="35" t="s">
        <v>654</v>
      </c>
      <c r="C3799" s="35" t="s">
        <v>655</v>
      </c>
      <c r="D3799" s="39">
        <v>345.10000610351563</v>
      </c>
      <c r="E3799" s="39">
        <v>318.29519653320313</v>
      </c>
      <c r="F3799" s="41">
        <v>2253675</v>
      </c>
      <c r="G3799" s="35" t="s">
        <v>684</v>
      </c>
      <c r="H3799" s="35" t="s">
        <v>115</v>
      </c>
    </row>
    <row r="3800" spans="1:8">
      <c r="A3800" s="37">
        <v>43843.15625</v>
      </c>
      <c r="B3800" s="35" t="s">
        <v>654</v>
      </c>
      <c r="C3800" s="35" t="s">
        <v>655</v>
      </c>
      <c r="D3800" s="39">
        <v>354.95001220703125</v>
      </c>
      <c r="E3800" s="39">
        <v>327.38021850585938</v>
      </c>
      <c r="F3800" s="41">
        <v>2684100</v>
      </c>
      <c r="G3800" s="35" t="s">
        <v>684</v>
      </c>
      <c r="H3800" s="35" t="s">
        <v>115</v>
      </c>
    </row>
    <row r="3801" spans="1:8">
      <c r="A3801" s="37">
        <v>43844.15625</v>
      </c>
      <c r="B3801" s="35" t="s">
        <v>654</v>
      </c>
      <c r="C3801" s="35" t="s">
        <v>655</v>
      </c>
      <c r="D3801" s="39">
        <v>361.39999389648438</v>
      </c>
      <c r="E3801" s="39">
        <v>333.3292236328125</v>
      </c>
      <c r="F3801" s="41">
        <v>3436720</v>
      </c>
      <c r="G3801" s="35" t="s">
        <v>684</v>
      </c>
      <c r="H3801" s="35" t="s">
        <v>115</v>
      </c>
    </row>
    <row r="3802" spans="1:8">
      <c r="A3802" s="37">
        <v>43845.15625</v>
      </c>
      <c r="B3802" s="35" t="s">
        <v>654</v>
      </c>
      <c r="C3802" s="35" t="s">
        <v>655</v>
      </c>
      <c r="D3802" s="39">
        <v>360.91000366210938</v>
      </c>
      <c r="E3802" s="39">
        <v>332.87725830078125</v>
      </c>
      <c r="F3802" s="41">
        <v>2190925</v>
      </c>
      <c r="G3802" s="35" t="s">
        <v>684</v>
      </c>
      <c r="H3802" s="35" t="s">
        <v>115</v>
      </c>
    </row>
    <row r="3803" spans="1:8">
      <c r="A3803" s="37">
        <v>43846.15625</v>
      </c>
      <c r="B3803" s="35" t="s">
        <v>654</v>
      </c>
      <c r="C3803" s="35" t="s">
        <v>655</v>
      </c>
      <c r="D3803" s="39">
        <v>356.58999633789063</v>
      </c>
      <c r="E3803" s="39">
        <v>328.89288330078125</v>
      </c>
      <c r="F3803" s="41">
        <v>1617450</v>
      </c>
      <c r="G3803" s="35" t="s">
        <v>684</v>
      </c>
      <c r="H3803" s="35" t="s">
        <v>115</v>
      </c>
    </row>
    <row r="3804" spans="1:8">
      <c r="A3804" s="37">
        <v>43847.15625</v>
      </c>
      <c r="B3804" s="35" t="s">
        <v>654</v>
      </c>
      <c r="C3804" s="35" t="s">
        <v>655</v>
      </c>
      <c r="D3804" s="39">
        <v>359.82000732421875</v>
      </c>
      <c r="E3804" s="39">
        <v>331.8719482421875</v>
      </c>
      <c r="F3804" s="41">
        <v>1315085</v>
      </c>
      <c r="G3804" s="35" t="s">
        <v>684</v>
      </c>
      <c r="H3804" s="35" t="s">
        <v>115</v>
      </c>
    </row>
    <row r="3805" spans="1:8">
      <c r="A3805" s="37">
        <v>43850.15625</v>
      </c>
      <c r="B3805" s="35" t="s">
        <v>654</v>
      </c>
      <c r="C3805" s="35" t="s">
        <v>655</v>
      </c>
      <c r="D3805" s="39">
        <v>356.239990234375</v>
      </c>
      <c r="E3805" s="39">
        <v>328.570068359375</v>
      </c>
      <c r="F3805" s="41">
        <v>672565</v>
      </c>
      <c r="G3805" s="35" t="s">
        <v>684</v>
      </c>
      <c r="H3805" s="35" t="s">
        <v>115</v>
      </c>
    </row>
    <row r="3806" spans="1:8">
      <c r="A3806" s="37">
        <v>43851.15625</v>
      </c>
      <c r="B3806" s="35" t="s">
        <v>654</v>
      </c>
      <c r="C3806" s="35" t="s">
        <v>655</v>
      </c>
      <c r="D3806" s="39">
        <v>360.32998657226563</v>
      </c>
      <c r="E3806" s="39">
        <v>332.34234619140625</v>
      </c>
      <c r="F3806" s="41">
        <v>1870465</v>
      </c>
      <c r="G3806" s="35" t="s">
        <v>684</v>
      </c>
      <c r="H3806" s="35" t="s">
        <v>115</v>
      </c>
    </row>
    <row r="3807" spans="1:8">
      <c r="A3807" s="37">
        <v>43852.15625</v>
      </c>
      <c r="B3807" s="35" t="s">
        <v>654</v>
      </c>
      <c r="C3807" s="35" t="s">
        <v>655</v>
      </c>
      <c r="D3807" s="39">
        <v>374.52999877929688</v>
      </c>
      <c r="E3807" s="39">
        <v>345.43939208984375</v>
      </c>
      <c r="F3807" s="41">
        <v>6054460</v>
      </c>
      <c r="G3807" s="35" t="s">
        <v>684</v>
      </c>
      <c r="H3807" s="35" t="s">
        <v>115</v>
      </c>
    </row>
    <row r="3808" spans="1:8">
      <c r="A3808" s="37">
        <v>43853.15625</v>
      </c>
      <c r="B3808" s="35" t="s">
        <v>654</v>
      </c>
      <c r="C3808" s="35" t="s">
        <v>655</v>
      </c>
      <c r="D3808" s="39">
        <v>395.80999755859375</v>
      </c>
      <c r="E3808" s="39">
        <v>365.06658935546875</v>
      </c>
      <c r="F3808" s="41">
        <v>6035705</v>
      </c>
      <c r="G3808" s="35" t="s">
        <v>684</v>
      </c>
      <c r="H3808" s="35" t="s">
        <v>115</v>
      </c>
    </row>
    <row r="3809" spans="1:8">
      <c r="A3809" s="37">
        <v>43854.15625</v>
      </c>
      <c r="B3809" s="35" t="s">
        <v>654</v>
      </c>
      <c r="C3809" s="35" t="s">
        <v>655</v>
      </c>
      <c r="D3809" s="39">
        <v>386.41000366210938</v>
      </c>
      <c r="E3809" s="39">
        <v>356.39666748046875</v>
      </c>
      <c r="F3809" s="41">
        <v>5983255</v>
      </c>
      <c r="G3809" s="35" t="s">
        <v>684</v>
      </c>
      <c r="H3809" s="35" t="s">
        <v>115</v>
      </c>
    </row>
    <row r="3810" spans="1:8">
      <c r="A3810" s="37">
        <v>43857.15625</v>
      </c>
      <c r="B3810" s="35" t="s">
        <v>654</v>
      </c>
      <c r="C3810" s="35" t="s">
        <v>655</v>
      </c>
      <c r="D3810" s="39">
        <v>389.76998901367188</v>
      </c>
      <c r="E3810" s="39">
        <v>359.49563598632813</v>
      </c>
      <c r="F3810" s="41">
        <v>2141675</v>
      </c>
      <c r="G3810" s="35" t="s">
        <v>684</v>
      </c>
      <c r="H3810" s="35" t="s">
        <v>115</v>
      </c>
    </row>
    <row r="3811" spans="1:8">
      <c r="A3811" s="37">
        <v>43858.15625</v>
      </c>
      <c r="B3811" s="35" t="s">
        <v>654</v>
      </c>
      <c r="C3811" s="35" t="s">
        <v>655</v>
      </c>
      <c r="D3811" s="39">
        <v>401.82000732421875</v>
      </c>
      <c r="E3811" s="39">
        <v>370.60968017578125</v>
      </c>
      <c r="F3811" s="41">
        <v>6158280</v>
      </c>
      <c r="G3811" s="35" t="s">
        <v>684</v>
      </c>
      <c r="H3811" s="35" t="s">
        <v>115</v>
      </c>
    </row>
    <row r="3812" spans="1:8">
      <c r="A3812" s="37">
        <v>43859.15625</v>
      </c>
      <c r="B3812" s="35" t="s">
        <v>654</v>
      </c>
      <c r="C3812" s="35" t="s">
        <v>655</v>
      </c>
      <c r="D3812" s="39">
        <v>388.20999145507813</v>
      </c>
      <c r="E3812" s="39">
        <v>358.05679321289063</v>
      </c>
      <c r="F3812" s="41">
        <v>9226005</v>
      </c>
      <c r="G3812" s="35" t="s">
        <v>684</v>
      </c>
      <c r="H3812" s="35" t="s">
        <v>115</v>
      </c>
    </row>
    <row r="3813" spans="1:8">
      <c r="A3813" s="37">
        <v>43860.15625</v>
      </c>
      <c r="B3813" s="35" t="s">
        <v>654</v>
      </c>
      <c r="C3813" s="35" t="s">
        <v>655</v>
      </c>
      <c r="D3813" s="39">
        <v>369.79998779296875</v>
      </c>
      <c r="E3813" s="39">
        <v>341.07681274414063</v>
      </c>
      <c r="F3813" s="41">
        <v>7573390</v>
      </c>
      <c r="G3813" s="35" t="s">
        <v>684</v>
      </c>
      <c r="H3813" s="35" t="s">
        <v>115</v>
      </c>
    </row>
    <row r="3814" spans="1:8">
      <c r="A3814" s="37">
        <v>43861.15625</v>
      </c>
      <c r="B3814" s="35" t="s">
        <v>654</v>
      </c>
      <c r="C3814" s="35" t="s">
        <v>655</v>
      </c>
      <c r="D3814" s="39">
        <v>388.489990234375</v>
      </c>
      <c r="E3814" s="39">
        <v>358.31503295898438</v>
      </c>
      <c r="F3814" s="41">
        <v>5646020</v>
      </c>
      <c r="G3814" s="35" t="s">
        <v>684</v>
      </c>
      <c r="H3814" s="35" t="s">
        <v>115</v>
      </c>
    </row>
    <row r="3815" spans="1:8">
      <c r="A3815" s="37">
        <v>43864.15625</v>
      </c>
      <c r="B3815" s="35" t="s">
        <v>654</v>
      </c>
      <c r="C3815" s="35" t="s">
        <v>655</v>
      </c>
      <c r="D3815" s="39">
        <v>377.07998657226563</v>
      </c>
      <c r="E3815" s="39">
        <v>347.79132080078125</v>
      </c>
      <c r="F3815" s="41">
        <v>1707835</v>
      </c>
      <c r="G3815" s="35" t="s">
        <v>684</v>
      </c>
      <c r="H3815" s="35" t="s">
        <v>115</v>
      </c>
    </row>
    <row r="3816" spans="1:8">
      <c r="A3816" s="37">
        <v>43865.15625</v>
      </c>
      <c r="B3816" s="35" t="s">
        <v>654</v>
      </c>
      <c r="C3816" s="35" t="s">
        <v>655</v>
      </c>
      <c r="D3816" s="39">
        <v>384.51998901367188</v>
      </c>
      <c r="E3816" s="39">
        <v>354.6534423828125</v>
      </c>
      <c r="F3816" s="41">
        <v>2292385</v>
      </c>
      <c r="G3816" s="35" t="s">
        <v>684</v>
      </c>
      <c r="H3816" s="35" t="s">
        <v>115</v>
      </c>
    </row>
    <row r="3817" spans="1:8">
      <c r="A3817" s="37">
        <v>43866.15625</v>
      </c>
      <c r="B3817" s="35" t="s">
        <v>654</v>
      </c>
      <c r="C3817" s="35" t="s">
        <v>655</v>
      </c>
      <c r="D3817" s="39">
        <v>387.08999633789063</v>
      </c>
      <c r="E3817" s="39">
        <v>357.02383422851563</v>
      </c>
      <c r="F3817" s="41">
        <v>1834875</v>
      </c>
      <c r="G3817" s="35" t="s">
        <v>684</v>
      </c>
      <c r="H3817" s="35" t="s">
        <v>115</v>
      </c>
    </row>
    <row r="3818" spans="1:8">
      <c r="A3818" s="37">
        <v>43867.15625</v>
      </c>
      <c r="B3818" s="35" t="s">
        <v>654</v>
      </c>
      <c r="C3818" s="35" t="s">
        <v>655</v>
      </c>
      <c r="D3818" s="39">
        <v>379.89999389648438</v>
      </c>
      <c r="E3818" s="39">
        <v>350.39224243164063</v>
      </c>
      <c r="F3818" s="41">
        <v>1220810</v>
      </c>
      <c r="G3818" s="35" t="s">
        <v>684</v>
      </c>
      <c r="H3818" s="35" t="s">
        <v>115</v>
      </c>
    </row>
    <row r="3819" spans="1:8">
      <c r="A3819" s="37">
        <v>43868.15625</v>
      </c>
      <c r="B3819" s="35" t="s">
        <v>654</v>
      </c>
      <c r="C3819" s="35" t="s">
        <v>655</v>
      </c>
      <c r="D3819" s="39">
        <v>377.14999389648438</v>
      </c>
      <c r="E3819" s="39">
        <v>349.69686889648438</v>
      </c>
      <c r="F3819" s="41">
        <v>1823630</v>
      </c>
      <c r="G3819" s="35" t="s">
        <v>684</v>
      </c>
      <c r="H3819" s="35" t="s">
        <v>115</v>
      </c>
    </row>
    <row r="3820" spans="1:8">
      <c r="A3820" s="37">
        <v>43871.15625</v>
      </c>
      <c r="B3820" s="35" t="s">
        <v>654</v>
      </c>
      <c r="C3820" s="35" t="s">
        <v>655</v>
      </c>
      <c r="D3820" s="39">
        <v>371.58999633789063</v>
      </c>
      <c r="E3820" s="39">
        <v>344.5416259765625</v>
      </c>
      <c r="F3820" s="41">
        <v>1343350</v>
      </c>
      <c r="G3820" s="35" t="s">
        <v>684</v>
      </c>
      <c r="H3820" s="35" t="s">
        <v>115</v>
      </c>
    </row>
    <row r="3821" spans="1:8">
      <c r="A3821" s="37">
        <v>43872.15625</v>
      </c>
      <c r="B3821" s="35" t="s">
        <v>654</v>
      </c>
      <c r="C3821" s="35" t="s">
        <v>655</v>
      </c>
      <c r="D3821" s="39">
        <v>366.07998657226563</v>
      </c>
      <c r="E3821" s="39">
        <v>339.4326171875</v>
      </c>
      <c r="F3821" s="41">
        <v>1169800</v>
      </c>
      <c r="G3821" s="35" t="s">
        <v>684</v>
      </c>
      <c r="H3821" s="35" t="s">
        <v>115</v>
      </c>
    </row>
    <row r="3822" spans="1:8">
      <c r="A3822" s="37">
        <v>43873.15625</v>
      </c>
      <c r="B3822" s="35" t="s">
        <v>654</v>
      </c>
      <c r="C3822" s="35" t="s">
        <v>655</v>
      </c>
      <c r="D3822" s="39">
        <v>366.73001098632813</v>
      </c>
      <c r="E3822" s="39">
        <v>340.03533935546875</v>
      </c>
      <c r="F3822" s="41">
        <v>2451290</v>
      </c>
      <c r="G3822" s="35" t="s">
        <v>684</v>
      </c>
      <c r="H3822" s="35" t="s">
        <v>115</v>
      </c>
    </row>
    <row r="3823" spans="1:8">
      <c r="A3823" s="37">
        <v>43874.15625</v>
      </c>
      <c r="B3823" s="35" t="s">
        <v>654</v>
      </c>
      <c r="C3823" s="35" t="s">
        <v>655</v>
      </c>
      <c r="D3823" s="39">
        <v>364.04000854492188</v>
      </c>
      <c r="E3823" s="39">
        <v>337.54122924804688</v>
      </c>
      <c r="F3823" s="41">
        <v>3103115</v>
      </c>
      <c r="G3823" s="35" t="s">
        <v>684</v>
      </c>
      <c r="H3823" s="35" t="s">
        <v>115</v>
      </c>
    </row>
    <row r="3824" spans="1:8">
      <c r="A3824" s="37">
        <v>43875.15625</v>
      </c>
      <c r="B3824" s="35" t="s">
        <v>654</v>
      </c>
      <c r="C3824" s="35" t="s">
        <v>655</v>
      </c>
      <c r="D3824" s="39">
        <v>367.1300048828125</v>
      </c>
      <c r="E3824" s="39">
        <v>340.40625</v>
      </c>
      <c r="F3824" s="41">
        <v>2267390</v>
      </c>
      <c r="G3824" s="35" t="s">
        <v>684</v>
      </c>
      <c r="H3824" s="35" t="s">
        <v>115</v>
      </c>
    </row>
    <row r="3825" spans="1:8">
      <c r="A3825" s="37">
        <v>43878.15625</v>
      </c>
      <c r="B3825" s="35" t="s">
        <v>654</v>
      </c>
      <c r="C3825" s="35" t="s">
        <v>655</v>
      </c>
      <c r="D3825" s="39">
        <v>364.83999633789063</v>
      </c>
      <c r="E3825" s="39">
        <v>338.28286743164063</v>
      </c>
      <c r="F3825" s="41">
        <v>1044030</v>
      </c>
      <c r="G3825" s="35" t="s">
        <v>684</v>
      </c>
      <c r="H3825" s="35" t="s">
        <v>115</v>
      </c>
    </row>
    <row r="3826" spans="1:8">
      <c r="A3826" s="37">
        <v>43879.15625</v>
      </c>
      <c r="B3826" s="35" t="s">
        <v>654</v>
      </c>
      <c r="C3826" s="35" t="s">
        <v>655</v>
      </c>
      <c r="D3826" s="39">
        <v>369.70999145507813</v>
      </c>
      <c r="E3826" s="39">
        <v>342.79837036132813</v>
      </c>
      <c r="F3826" s="41">
        <v>1392390</v>
      </c>
      <c r="G3826" s="35" t="s">
        <v>684</v>
      </c>
      <c r="H3826" s="35" t="s">
        <v>115</v>
      </c>
    </row>
    <row r="3827" spans="1:8">
      <c r="A3827" s="37">
        <v>43880.15625</v>
      </c>
      <c r="B3827" s="35" t="s">
        <v>654</v>
      </c>
      <c r="C3827" s="35" t="s">
        <v>655</v>
      </c>
      <c r="D3827" s="39">
        <v>376.51998901367188</v>
      </c>
      <c r="E3827" s="39">
        <v>349.11273193359375</v>
      </c>
      <c r="F3827" s="41">
        <v>3333280</v>
      </c>
      <c r="G3827" s="35" t="s">
        <v>684</v>
      </c>
      <c r="H3827" s="35" t="s">
        <v>115</v>
      </c>
    </row>
    <row r="3828" spans="1:8">
      <c r="A3828" s="37">
        <v>43881.15625</v>
      </c>
      <c r="B3828" s="35" t="s">
        <v>654</v>
      </c>
      <c r="C3828" s="35" t="s">
        <v>655</v>
      </c>
      <c r="D3828" s="39">
        <v>370.8800048828125</v>
      </c>
      <c r="E3828" s="39">
        <v>343.88330078125</v>
      </c>
      <c r="F3828" s="41">
        <v>2555415</v>
      </c>
      <c r="G3828" s="35" t="s">
        <v>684</v>
      </c>
      <c r="H3828" s="35" t="s">
        <v>115</v>
      </c>
    </row>
    <row r="3829" spans="1:8">
      <c r="A3829" s="37">
        <v>43885.15625</v>
      </c>
      <c r="B3829" s="35" t="s">
        <v>654</v>
      </c>
      <c r="C3829" s="35" t="s">
        <v>655</v>
      </c>
      <c r="D3829" s="39">
        <v>367.760009765625</v>
      </c>
      <c r="E3829" s="39">
        <v>340.99044799804688</v>
      </c>
      <c r="F3829" s="41">
        <v>1332380</v>
      </c>
      <c r="G3829" s="35" t="s">
        <v>684</v>
      </c>
      <c r="H3829" s="35" t="s">
        <v>115</v>
      </c>
    </row>
    <row r="3830" spans="1:8">
      <c r="A3830" s="37">
        <v>43886.15625</v>
      </c>
      <c r="B3830" s="35" t="s">
        <v>654</v>
      </c>
      <c r="C3830" s="35" t="s">
        <v>655</v>
      </c>
      <c r="D3830" s="39">
        <v>377.8800048828125</v>
      </c>
      <c r="E3830" s="39">
        <v>350.37374877929688</v>
      </c>
      <c r="F3830" s="41">
        <v>3552880</v>
      </c>
      <c r="G3830" s="35" t="s">
        <v>684</v>
      </c>
      <c r="H3830" s="35" t="s">
        <v>115</v>
      </c>
    </row>
    <row r="3831" spans="1:8">
      <c r="A3831" s="37">
        <v>43887.15625</v>
      </c>
      <c r="B3831" s="35" t="s">
        <v>654</v>
      </c>
      <c r="C3831" s="35" t="s">
        <v>655</v>
      </c>
      <c r="D3831" s="39">
        <v>377.97000122070313</v>
      </c>
      <c r="E3831" s="39">
        <v>350.4571533203125</v>
      </c>
      <c r="F3831" s="41">
        <v>2754425</v>
      </c>
      <c r="G3831" s="35" t="s">
        <v>684</v>
      </c>
      <c r="H3831" s="35" t="s">
        <v>115</v>
      </c>
    </row>
    <row r="3832" spans="1:8">
      <c r="A3832" s="37">
        <v>43888.15625</v>
      </c>
      <c r="B3832" s="35" t="s">
        <v>654</v>
      </c>
      <c r="C3832" s="35" t="s">
        <v>655</v>
      </c>
      <c r="D3832" s="39">
        <v>377.16000366210938</v>
      </c>
      <c r="E3832" s="39">
        <v>349.70614624023438</v>
      </c>
      <c r="F3832" s="41">
        <v>1846745</v>
      </c>
      <c r="G3832" s="35" t="s">
        <v>684</v>
      </c>
      <c r="H3832" s="35" t="s">
        <v>115</v>
      </c>
    </row>
    <row r="3833" spans="1:8">
      <c r="A3833" s="37">
        <v>43889.15625</v>
      </c>
      <c r="B3833" s="35" t="s">
        <v>654</v>
      </c>
      <c r="C3833" s="35" t="s">
        <v>655</v>
      </c>
      <c r="D3833" s="39">
        <v>337.95001220703125</v>
      </c>
      <c r="E3833" s="39">
        <v>313.3502197265625</v>
      </c>
      <c r="F3833" s="41">
        <v>3955925</v>
      </c>
      <c r="G3833" s="35" t="s">
        <v>684</v>
      </c>
      <c r="H3833" s="35" t="s">
        <v>115</v>
      </c>
    </row>
    <row r="3834" spans="1:8">
      <c r="A3834" s="37">
        <v>43892.15625</v>
      </c>
      <c r="B3834" s="35" t="s">
        <v>654</v>
      </c>
      <c r="C3834" s="35" t="s">
        <v>655</v>
      </c>
      <c r="D3834" s="39">
        <v>358.1300048828125</v>
      </c>
      <c r="E3834" s="39">
        <v>332.06130981445313</v>
      </c>
      <c r="F3834" s="41">
        <v>7058895</v>
      </c>
      <c r="G3834" s="35" t="s">
        <v>684</v>
      </c>
      <c r="H3834" s="35" t="s">
        <v>115</v>
      </c>
    </row>
    <row r="3835" spans="1:8">
      <c r="A3835" s="37">
        <v>43893.15625</v>
      </c>
      <c r="B3835" s="35" t="s">
        <v>654</v>
      </c>
      <c r="C3835" s="35" t="s">
        <v>655</v>
      </c>
      <c r="D3835" s="39">
        <v>380.33999633789063</v>
      </c>
      <c r="E3835" s="39">
        <v>352.65460205078125</v>
      </c>
      <c r="F3835" s="41">
        <v>7416555</v>
      </c>
      <c r="G3835" s="35" t="s">
        <v>684</v>
      </c>
      <c r="H3835" s="35" t="s">
        <v>115</v>
      </c>
    </row>
    <row r="3836" spans="1:8">
      <c r="A3836" s="37">
        <v>43894.15625</v>
      </c>
      <c r="B3836" s="35" t="s">
        <v>654</v>
      </c>
      <c r="C3836" s="35" t="s">
        <v>655</v>
      </c>
      <c r="D3836" s="39">
        <v>366.1300048828125</v>
      </c>
      <c r="E3836" s="39">
        <v>339.47903442382813</v>
      </c>
      <c r="F3836" s="41">
        <v>4528090</v>
      </c>
      <c r="G3836" s="35" t="s">
        <v>684</v>
      </c>
      <c r="H3836" s="35" t="s">
        <v>115</v>
      </c>
    </row>
    <row r="3837" spans="1:8">
      <c r="A3837" s="37">
        <v>43895.15625</v>
      </c>
      <c r="B3837" s="35" t="s">
        <v>654</v>
      </c>
      <c r="C3837" s="35" t="s">
        <v>655</v>
      </c>
      <c r="D3837" s="39">
        <v>365.52999877929688</v>
      </c>
      <c r="E3837" s="39">
        <v>338.92269897460938</v>
      </c>
      <c r="F3837" s="41">
        <v>2177260</v>
      </c>
      <c r="G3837" s="35" t="s">
        <v>684</v>
      </c>
      <c r="H3837" s="35" t="s">
        <v>115</v>
      </c>
    </row>
    <row r="3838" spans="1:8">
      <c r="A3838" s="37">
        <v>43896.15625</v>
      </c>
      <c r="B3838" s="35" t="s">
        <v>654</v>
      </c>
      <c r="C3838" s="35" t="s">
        <v>655</v>
      </c>
      <c r="D3838" s="39">
        <v>357.6099853515625</v>
      </c>
      <c r="E3838" s="39">
        <v>331.57913208007813</v>
      </c>
      <c r="F3838" s="41">
        <v>2073970</v>
      </c>
      <c r="G3838" s="35" t="s">
        <v>684</v>
      </c>
      <c r="H3838" s="35" t="s">
        <v>115</v>
      </c>
    </row>
    <row r="3839" spans="1:8">
      <c r="A3839" s="37">
        <v>43899.15625</v>
      </c>
      <c r="B3839" s="35" t="s">
        <v>654</v>
      </c>
      <c r="C3839" s="35" t="s">
        <v>655</v>
      </c>
      <c r="D3839" s="39">
        <v>332.17999267578125</v>
      </c>
      <c r="E3839" s="39">
        <v>308.00030517578125</v>
      </c>
      <c r="F3839" s="41">
        <v>2111005</v>
      </c>
      <c r="G3839" s="35" t="s">
        <v>684</v>
      </c>
      <c r="H3839" s="35" t="s">
        <v>115</v>
      </c>
    </row>
    <row r="3840" spans="1:8">
      <c r="A3840" s="37">
        <v>43901.15625</v>
      </c>
      <c r="B3840" s="35" t="s">
        <v>654</v>
      </c>
      <c r="C3840" s="35" t="s">
        <v>655</v>
      </c>
      <c r="D3840" s="39">
        <v>325.17999267578125</v>
      </c>
      <c r="E3840" s="39">
        <v>301.50982666015625</v>
      </c>
      <c r="F3840" s="41">
        <v>2392370</v>
      </c>
      <c r="G3840" s="35" t="s">
        <v>684</v>
      </c>
      <c r="H3840" s="35" t="s">
        <v>115</v>
      </c>
    </row>
    <row r="3841" spans="1:8">
      <c r="A3841" s="37">
        <v>43902.15625</v>
      </c>
      <c r="B3841" s="35" t="s">
        <v>654</v>
      </c>
      <c r="C3841" s="35" t="s">
        <v>655</v>
      </c>
      <c r="D3841" s="39">
        <v>287.92999267578125</v>
      </c>
      <c r="E3841" s="39">
        <v>266.97116088867188</v>
      </c>
      <c r="F3841" s="41">
        <v>2392625</v>
      </c>
      <c r="G3841" s="35" t="s">
        <v>684</v>
      </c>
      <c r="H3841" s="35" t="s">
        <v>115</v>
      </c>
    </row>
    <row r="3842" spans="1:8">
      <c r="A3842" s="37">
        <v>43903.15625</v>
      </c>
      <c r="B3842" s="35" t="s">
        <v>654</v>
      </c>
      <c r="C3842" s="35" t="s">
        <v>655</v>
      </c>
      <c r="D3842" s="39">
        <v>275.739990234375</v>
      </c>
      <c r="E3842" s="39">
        <v>255.66853332519531</v>
      </c>
      <c r="F3842" s="41">
        <v>2001975</v>
      </c>
      <c r="G3842" s="35" t="s">
        <v>684</v>
      </c>
      <c r="H3842" s="35" t="s">
        <v>115</v>
      </c>
    </row>
    <row r="3843" spans="1:8">
      <c r="A3843" s="37">
        <v>43906.15625</v>
      </c>
      <c r="B3843" s="35" t="s">
        <v>654</v>
      </c>
      <c r="C3843" s="35" t="s">
        <v>655</v>
      </c>
      <c r="D3843" s="39">
        <v>247.91000366210938</v>
      </c>
      <c r="E3843" s="39">
        <v>229.86439514160156</v>
      </c>
      <c r="F3843" s="41">
        <v>1389060</v>
      </c>
      <c r="G3843" s="35" t="s">
        <v>684</v>
      </c>
      <c r="H3843" s="35" t="s">
        <v>115</v>
      </c>
    </row>
    <row r="3844" spans="1:8">
      <c r="A3844" s="37">
        <v>43907.15625</v>
      </c>
      <c r="B3844" s="35" t="s">
        <v>654</v>
      </c>
      <c r="C3844" s="35" t="s">
        <v>655</v>
      </c>
      <c r="D3844" s="39">
        <v>236.3800048828125</v>
      </c>
      <c r="E3844" s="39">
        <v>219.17369079589844</v>
      </c>
      <c r="F3844" s="41">
        <v>2327810</v>
      </c>
      <c r="G3844" s="35" t="s">
        <v>684</v>
      </c>
      <c r="H3844" s="35" t="s">
        <v>115</v>
      </c>
    </row>
    <row r="3845" spans="1:8">
      <c r="A3845" s="37">
        <v>43908.15625</v>
      </c>
      <c r="B3845" s="35" t="s">
        <v>654</v>
      </c>
      <c r="C3845" s="35" t="s">
        <v>655</v>
      </c>
      <c r="D3845" s="39">
        <v>223.85000610351563</v>
      </c>
      <c r="E3845" s="39">
        <v>207.55572509765625</v>
      </c>
      <c r="F3845" s="41">
        <v>2160980</v>
      </c>
      <c r="G3845" s="35" t="s">
        <v>684</v>
      </c>
      <c r="H3845" s="35" t="s">
        <v>115</v>
      </c>
    </row>
    <row r="3846" spans="1:8">
      <c r="A3846" s="37">
        <v>43909.15625</v>
      </c>
      <c r="B3846" s="35" t="s">
        <v>654</v>
      </c>
      <c r="C3846" s="35" t="s">
        <v>655</v>
      </c>
      <c r="D3846" s="39">
        <v>207.16999816894531</v>
      </c>
      <c r="E3846" s="39">
        <v>192.08990478515625</v>
      </c>
      <c r="F3846" s="41">
        <v>4316220</v>
      </c>
      <c r="G3846" s="35" t="s">
        <v>684</v>
      </c>
      <c r="H3846" s="35" t="s">
        <v>115</v>
      </c>
    </row>
    <row r="3847" spans="1:8">
      <c r="A3847" s="37">
        <v>43910.15625</v>
      </c>
      <c r="B3847" s="35" t="s">
        <v>654</v>
      </c>
      <c r="C3847" s="35" t="s">
        <v>655</v>
      </c>
      <c r="D3847" s="39">
        <v>228.6300048828125</v>
      </c>
      <c r="E3847" s="39">
        <v>211.98777770996094</v>
      </c>
      <c r="F3847" s="41">
        <v>3234300</v>
      </c>
      <c r="G3847" s="35" t="s">
        <v>684</v>
      </c>
      <c r="H3847" s="35" t="s">
        <v>115</v>
      </c>
    </row>
    <row r="3848" spans="1:8">
      <c r="A3848" s="37">
        <v>43913.15625</v>
      </c>
      <c r="B3848" s="35" t="s">
        <v>654</v>
      </c>
      <c r="C3848" s="35" t="s">
        <v>655</v>
      </c>
      <c r="D3848" s="39">
        <v>172.83999633789063</v>
      </c>
      <c r="E3848" s="39">
        <v>160.25877380371094</v>
      </c>
      <c r="F3848" s="41">
        <v>1241155</v>
      </c>
      <c r="G3848" s="35" t="s">
        <v>684</v>
      </c>
      <c r="H3848" s="35" t="s">
        <v>115</v>
      </c>
    </row>
    <row r="3849" spans="1:8">
      <c r="A3849" s="37">
        <v>43914.15625</v>
      </c>
      <c r="B3849" s="35" t="s">
        <v>654</v>
      </c>
      <c r="C3849" s="35" t="s">
        <v>655</v>
      </c>
      <c r="D3849" s="39">
        <v>203.78999328613281</v>
      </c>
      <c r="E3849" s="39">
        <v>188.95590209960938</v>
      </c>
      <c r="F3849" s="41">
        <v>5318470</v>
      </c>
      <c r="G3849" s="35" t="s">
        <v>684</v>
      </c>
      <c r="H3849" s="35" t="s">
        <v>115</v>
      </c>
    </row>
    <row r="3850" spans="1:8">
      <c r="A3850" s="37">
        <v>43915.15625</v>
      </c>
      <c r="B3850" s="35" t="s">
        <v>654</v>
      </c>
      <c r="C3850" s="35" t="s">
        <v>655</v>
      </c>
      <c r="D3850" s="39">
        <v>248.58999633789063</v>
      </c>
      <c r="E3850" s="39">
        <v>230.494873046875</v>
      </c>
      <c r="F3850" s="41">
        <v>4216870</v>
      </c>
      <c r="G3850" s="35" t="s">
        <v>684</v>
      </c>
      <c r="H3850" s="35" t="s">
        <v>115</v>
      </c>
    </row>
    <row r="3851" spans="1:8">
      <c r="A3851" s="37">
        <v>43916.15625</v>
      </c>
      <c r="B3851" s="35" t="s">
        <v>654</v>
      </c>
      <c r="C3851" s="35" t="s">
        <v>655</v>
      </c>
      <c r="D3851" s="39">
        <v>233.83999633789063</v>
      </c>
      <c r="E3851" s="39">
        <v>216.81852722167969</v>
      </c>
      <c r="F3851" s="41">
        <v>6289545</v>
      </c>
      <c r="G3851" s="35" t="s">
        <v>684</v>
      </c>
      <c r="H3851" s="35" t="s">
        <v>115</v>
      </c>
    </row>
    <row r="3852" spans="1:8">
      <c r="A3852" s="37">
        <v>43917.15625</v>
      </c>
      <c r="B3852" s="35" t="s">
        <v>654</v>
      </c>
      <c r="C3852" s="35" t="s">
        <v>655</v>
      </c>
      <c r="D3852" s="39">
        <v>240.25</v>
      </c>
      <c r="E3852" s="39">
        <v>222.761962890625</v>
      </c>
      <c r="F3852" s="41">
        <v>3319390</v>
      </c>
      <c r="G3852" s="35" t="s">
        <v>684</v>
      </c>
      <c r="H3852" s="35" t="s">
        <v>115</v>
      </c>
    </row>
    <row r="3853" spans="1:8">
      <c r="A3853" s="37">
        <v>43920.15625</v>
      </c>
      <c r="B3853" s="35" t="s">
        <v>654</v>
      </c>
      <c r="C3853" s="35" t="s">
        <v>655</v>
      </c>
      <c r="D3853" s="39">
        <v>226.22999572753906</v>
      </c>
      <c r="E3853" s="39">
        <v>209.76248168945313</v>
      </c>
      <c r="F3853" s="41">
        <v>2666500</v>
      </c>
      <c r="G3853" s="35" t="s">
        <v>684</v>
      </c>
      <c r="H3853" s="35" t="s">
        <v>115</v>
      </c>
    </row>
    <row r="3854" spans="1:8">
      <c r="A3854" s="37">
        <v>43921.15625</v>
      </c>
      <c r="B3854" s="35" t="s">
        <v>654</v>
      </c>
      <c r="C3854" s="35" t="s">
        <v>655</v>
      </c>
      <c r="D3854" s="39">
        <v>229.55000305175781</v>
      </c>
      <c r="E3854" s="39">
        <v>212.84083557128906</v>
      </c>
      <c r="F3854" s="41">
        <v>1654205</v>
      </c>
      <c r="G3854" s="35" t="s">
        <v>684</v>
      </c>
      <c r="H3854" s="35" t="s">
        <v>115</v>
      </c>
    </row>
    <row r="3855" spans="1:8">
      <c r="A3855" s="37">
        <v>43922.15625</v>
      </c>
      <c r="B3855" s="35" t="s">
        <v>654</v>
      </c>
      <c r="C3855" s="35" t="s">
        <v>655</v>
      </c>
      <c r="D3855" s="39">
        <v>232.82000732421875</v>
      </c>
      <c r="E3855" s="39">
        <v>215.87283325195313</v>
      </c>
      <c r="F3855" s="41">
        <v>1689785</v>
      </c>
      <c r="G3855" s="35" t="s">
        <v>685</v>
      </c>
      <c r="H3855" s="35" t="s">
        <v>115</v>
      </c>
    </row>
    <row r="3856" spans="1:8">
      <c r="A3856" s="37">
        <v>43924.15625</v>
      </c>
      <c r="B3856" s="35" t="s">
        <v>654</v>
      </c>
      <c r="C3856" s="35" t="s">
        <v>655</v>
      </c>
      <c r="D3856" s="39">
        <v>207.50999450683594</v>
      </c>
      <c r="E3856" s="39">
        <v>192.40512084960938</v>
      </c>
      <c r="F3856" s="41">
        <v>2564240</v>
      </c>
      <c r="G3856" s="35" t="s">
        <v>685</v>
      </c>
      <c r="H3856" s="35" t="s">
        <v>115</v>
      </c>
    </row>
    <row r="3857" spans="1:8">
      <c r="A3857" s="37">
        <v>43928.15625</v>
      </c>
      <c r="B3857" s="35" t="s">
        <v>654</v>
      </c>
      <c r="C3857" s="35" t="s">
        <v>655</v>
      </c>
      <c r="D3857" s="39">
        <v>220.50999450683594</v>
      </c>
      <c r="E3857" s="39">
        <v>204.45884704589844</v>
      </c>
      <c r="F3857" s="41">
        <v>1644845</v>
      </c>
      <c r="G3857" s="35" t="s">
        <v>685</v>
      </c>
      <c r="H3857" s="35" t="s">
        <v>115</v>
      </c>
    </row>
    <row r="3858" spans="1:8">
      <c r="A3858" s="37">
        <v>43929.15625</v>
      </c>
      <c r="B3858" s="35" t="s">
        <v>654</v>
      </c>
      <c r="C3858" s="35" t="s">
        <v>655</v>
      </c>
      <c r="D3858" s="39">
        <v>220.19999694824219</v>
      </c>
      <c r="E3858" s="39">
        <v>204.17140197753906</v>
      </c>
      <c r="F3858" s="41">
        <v>1749985</v>
      </c>
      <c r="G3858" s="35" t="s">
        <v>685</v>
      </c>
      <c r="H3858" s="35" t="s">
        <v>115</v>
      </c>
    </row>
    <row r="3859" spans="1:8">
      <c r="A3859" s="37">
        <v>43930.15625</v>
      </c>
      <c r="B3859" s="35" t="s">
        <v>654</v>
      </c>
      <c r="C3859" s="35" t="s">
        <v>655</v>
      </c>
      <c r="D3859" s="39">
        <v>222.16999816894531</v>
      </c>
      <c r="E3859" s="39">
        <v>205.99801635742188</v>
      </c>
      <c r="F3859" s="41">
        <v>1298975</v>
      </c>
      <c r="G3859" s="35" t="s">
        <v>685</v>
      </c>
      <c r="H3859" s="35" t="s">
        <v>115</v>
      </c>
    </row>
    <row r="3860" spans="1:8">
      <c r="A3860" s="37">
        <v>43934.15625</v>
      </c>
      <c r="B3860" s="35" t="s">
        <v>654</v>
      </c>
      <c r="C3860" s="35" t="s">
        <v>655</v>
      </c>
      <c r="D3860" s="39">
        <v>215.07000732421875</v>
      </c>
      <c r="E3860" s="39">
        <v>199.41484069824219</v>
      </c>
      <c r="F3860" s="41">
        <v>1052760</v>
      </c>
      <c r="G3860" s="35" t="s">
        <v>685</v>
      </c>
      <c r="H3860" s="35" t="s">
        <v>115</v>
      </c>
    </row>
    <row r="3861" spans="1:8">
      <c r="A3861" s="37">
        <v>43936.15625</v>
      </c>
      <c r="B3861" s="35" t="s">
        <v>654</v>
      </c>
      <c r="C3861" s="35" t="s">
        <v>655</v>
      </c>
      <c r="D3861" s="39">
        <v>218.46000671386719</v>
      </c>
      <c r="E3861" s="39">
        <v>202.55809020996094</v>
      </c>
      <c r="F3861" s="41">
        <v>2531965</v>
      </c>
      <c r="G3861" s="35" t="s">
        <v>685</v>
      </c>
      <c r="H3861" s="35" t="s">
        <v>115</v>
      </c>
    </row>
    <row r="3862" spans="1:8">
      <c r="A3862" s="37">
        <v>43937.15625</v>
      </c>
      <c r="B3862" s="35" t="s">
        <v>654</v>
      </c>
      <c r="C3862" s="35" t="s">
        <v>655</v>
      </c>
      <c r="D3862" s="39">
        <v>215.82000732421875</v>
      </c>
      <c r="E3862" s="39">
        <v>200.1102294921875</v>
      </c>
      <c r="F3862" s="41">
        <v>2263400</v>
      </c>
      <c r="G3862" s="35" t="s">
        <v>685</v>
      </c>
      <c r="H3862" s="35" t="s">
        <v>115</v>
      </c>
    </row>
    <row r="3863" spans="1:8">
      <c r="A3863" s="37">
        <v>43938.15625</v>
      </c>
      <c r="B3863" s="35" t="s">
        <v>654</v>
      </c>
      <c r="C3863" s="35" t="s">
        <v>655</v>
      </c>
      <c r="D3863" s="39">
        <v>222.44000244140625</v>
      </c>
      <c r="E3863" s="39">
        <v>206.24835205078125</v>
      </c>
      <c r="F3863" s="41">
        <v>2379560</v>
      </c>
      <c r="G3863" s="35" t="s">
        <v>685</v>
      </c>
      <c r="H3863" s="35" t="s">
        <v>115</v>
      </c>
    </row>
    <row r="3864" spans="1:8">
      <c r="A3864" s="37">
        <v>43941.15625</v>
      </c>
      <c r="B3864" s="35" t="s">
        <v>654</v>
      </c>
      <c r="C3864" s="35" t="s">
        <v>655</v>
      </c>
      <c r="D3864" s="39">
        <v>217.66999816894531</v>
      </c>
      <c r="E3864" s="39">
        <v>201.82554626464844</v>
      </c>
      <c r="F3864" s="41">
        <v>2628035</v>
      </c>
      <c r="G3864" s="35" t="s">
        <v>685</v>
      </c>
      <c r="H3864" s="35" t="s">
        <v>115</v>
      </c>
    </row>
    <row r="3865" spans="1:8">
      <c r="A3865" s="37">
        <v>43942.15625</v>
      </c>
      <c r="B3865" s="35" t="s">
        <v>654</v>
      </c>
      <c r="C3865" s="35" t="s">
        <v>655</v>
      </c>
      <c r="D3865" s="39">
        <v>208.16999816894531</v>
      </c>
      <c r="E3865" s="39">
        <v>193.01707458496094</v>
      </c>
      <c r="F3865" s="41">
        <v>1749565</v>
      </c>
      <c r="G3865" s="35" t="s">
        <v>685</v>
      </c>
      <c r="H3865" s="35" t="s">
        <v>115</v>
      </c>
    </row>
    <row r="3866" spans="1:8">
      <c r="A3866" s="37">
        <v>43943.15625</v>
      </c>
      <c r="B3866" s="35" t="s">
        <v>654</v>
      </c>
      <c r="C3866" s="35" t="s">
        <v>655</v>
      </c>
      <c r="D3866" s="39">
        <v>216.14999389648438</v>
      </c>
      <c r="E3866" s="39">
        <v>200.41621398925781</v>
      </c>
      <c r="F3866" s="41">
        <v>1891875</v>
      </c>
      <c r="G3866" s="35" t="s">
        <v>685</v>
      </c>
      <c r="H3866" s="35" t="s">
        <v>115</v>
      </c>
    </row>
    <row r="3867" spans="1:8">
      <c r="A3867" s="37">
        <v>43944.15625</v>
      </c>
      <c r="B3867" s="35" t="s">
        <v>654</v>
      </c>
      <c r="C3867" s="35" t="s">
        <v>655</v>
      </c>
      <c r="D3867" s="39">
        <v>235.72999572753906</v>
      </c>
      <c r="E3867" s="39">
        <v>218.57095336914063</v>
      </c>
      <c r="F3867" s="41">
        <v>4324665</v>
      </c>
      <c r="G3867" s="35" t="s">
        <v>685</v>
      </c>
      <c r="H3867" s="35" t="s">
        <v>115</v>
      </c>
    </row>
    <row r="3868" spans="1:8">
      <c r="A3868" s="37">
        <v>43945.15625</v>
      </c>
      <c r="B3868" s="35" t="s">
        <v>654</v>
      </c>
      <c r="C3868" s="35" t="s">
        <v>655</v>
      </c>
      <c r="D3868" s="39">
        <v>223.22000122070313</v>
      </c>
      <c r="E3868" s="39">
        <v>206.97158813476563</v>
      </c>
      <c r="F3868" s="41">
        <v>4725000</v>
      </c>
      <c r="G3868" s="35" t="s">
        <v>685</v>
      </c>
      <c r="H3868" s="35" t="s">
        <v>115</v>
      </c>
    </row>
    <row r="3869" spans="1:8">
      <c r="A3869" s="37">
        <v>43948.15625</v>
      </c>
      <c r="B3869" s="35" t="s">
        <v>654</v>
      </c>
      <c r="C3869" s="35" t="s">
        <v>655</v>
      </c>
      <c r="D3869" s="39">
        <v>224.30000305175781</v>
      </c>
      <c r="E3869" s="39">
        <v>207.97300720214844</v>
      </c>
      <c r="F3869" s="41">
        <v>5204920</v>
      </c>
      <c r="G3869" s="35" t="s">
        <v>685</v>
      </c>
      <c r="H3869" s="35" t="s">
        <v>115</v>
      </c>
    </row>
    <row r="3870" spans="1:8">
      <c r="A3870" s="37">
        <v>43949.15625</v>
      </c>
      <c r="B3870" s="35" t="s">
        <v>654</v>
      </c>
      <c r="C3870" s="35" t="s">
        <v>655</v>
      </c>
      <c r="D3870" s="39">
        <v>235.77999877929688</v>
      </c>
      <c r="E3870" s="39">
        <v>218.61729431152344</v>
      </c>
      <c r="F3870" s="41">
        <v>7206515</v>
      </c>
      <c r="G3870" s="35" t="s">
        <v>685</v>
      </c>
      <c r="H3870" s="35" t="s">
        <v>115</v>
      </c>
    </row>
    <row r="3871" spans="1:8">
      <c r="A3871" s="37">
        <v>43950.15625</v>
      </c>
      <c r="B3871" s="35" t="s">
        <v>654</v>
      </c>
      <c r="C3871" s="35" t="s">
        <v>655</v>
      </c>
      <c r="D3871" s="39">
        <v>236.3699951171875</v>
      </c>
      <c r="E3871" s="39">
        <v>219.16439819335938</v>
      </c>
      <c r="F3871" s="41">
        <v>6984930</v>
      </c>
      <c r="G3871" s="35" t="s">
        <v>685</v>
      </c>
      <c r="H3871" s="35" t="s">
        <v>115</v>
      </c>
    </row>
    <row r="3872" spans="1:8">
      <c r="A3872" s="37">
        <v>43951.15625</v>
      </c>
      <c r="B3872" s="35" t="s">
        <v>654</v>
      </c>
      <c r="C3872" s="35" t="s">
        <v>655</v>
      </c>
      <c r="D3872" s="39">
        <v>240.69000244140625</v>
      </c>
      <c r="E3872" s="39">
        <v>223.16995239257813</v>
      </c>
      <c r="F3872" s="41">
        <v>3288590</v>
      </c>
      <c r="G3872" s="35" t="s">
        <v>685</v>
      </c>
      <c r="H3872" s="35" t="s">
        <v>115</v>
      </c>
    </row>
    <row r="3873" spans="1:8">
      <c r="A3873" s="37">
        <v>43955.15625</v>
      </c>
      <c r="B3873" s="35" t="s">
        <v>654</v>
      </c>
      <c r="C3873" s="35" t="s">
        <v>655</v>
      </c>
      <c r="D3873" s="39">
        <v>236.30000305175781</v>
      </c>
      <c r="E3873" s="39">
        <v>219.0994873046875</v>
      </c>
      <c r="F3873" s="41">
        <v>4502320</v>
      </c>
      <c r="G3873" s="35" t="s">
        <v>685</v>
      </c>
      <c r="H3873" s="35" t="s">
        <v>115</v>
      </c>
    </row>
    <row r="3874" spans="1:8">
      <c r="A3874" s="37">
        <v>43956.15625</v>
      </c>
      <c r="B3874" s="35" t="s">
        <v>654</v>
      </c>
      <c r="C3874" s="35" t="s">
        <v>655</v>
      </c>
      <c r="D3874" s="39">
        <v>237.94999694824219</v>
      </c>
      <c r="E3874" s="39">
        <v>220.62936401367188</v>
      </c>
      <c r="F3874" s="41">
        <v>4006040</v>
      </c>
      <c r="G3874" s="35" t="s">
        <v>685</v>
      </c>
      <c r="H3874" s="35" t="s">
        <v>115</v>
      </c>
    </row>
    <row r="3875" spans="1:8">
      <c r="A3875" s="37">
        <v>43957.15625</v>
      </c>
      <c r="B3875" s="35" t="s">
        <v>654</v>
      </c>
      <c r="C3875" s="35" t="s">
        <v>655</v>
      </c>
      <c r="D3875" s="39">
        <v>283.760009765625</v>
      </c>
      <c r="E3875" s="39">
        <v>263.10482788085938</v>
      </c>
      <c r="F3875" s="41">
        <v>25742205</v>
      </c>
      <c r="G3875" s="35" t="s">
        <v>685</v>
      </c>
      <c r="H3875" s="35" t="s">
        <v>115</v>
      </c>
    </row>
    <row r="3876" spans="1:8">
      <c r="A3876" s="37">
        <v>43958.15625</v>
      </c>
      <c r="B3876" s="35" t="s">
        <v>654</v>
      </c>
      <c r="C3876" s="35" t="s">
        <v>655</v>
      </c>
      <c r="D3876" s="39">
        <v>274.76998901367188</v>
      </c>
      <c r="E3876" s="39">
        <v>254.7691650390625</v>
      </c>
      <c r="F3876" s="41">
        <v>6774095</v>
      </c>
      <c r="G3876" s="35" t="s">
        <v>685</v>
      </c>
      <c r="H3876" s="35" t="s">
        <v>115</v>
      </c>
    </row>
    <row r="3877" spans="1:8">
      <c r="A3877" s="37">
        <v>43959.15625</v>
      </c>
      <c r="B3877" s="35" t="s">
        <v>654</v>
      </c>
      <c r="C3877" s="35" t="s">
        <v>655</v>
      </c>
      <c r="D3877" s="39">
        <v>280.510009765625</v>
      </c>
      <c r="E3877" s="39">
        <v>260.09136962890625</v>
      </c>
      <c r="F3877" s="41">
        <v>6482600</v>
      </c>
      <c r="G3877" s="35" t="s">
        <v>685</v>
      </c>
      <c r="H3877" s="35" t="s">
        <v>115</v>
      </c>
    </row>
    <row r="3878" spans="1:8">
      <c r="A3878" s="37">
        <v>43962.15625</v>
      </c>
      <c r="B3878" s="35" t="s">
        <v>654</v>
      </c>
      <c r="C3878" s="35" t="s">
        <v>655</v>
      </c>
      <c r="D3878" s="39">
        <v>287.32000732421875</v>
      </c>
      <c r="E3878" s="39">
        <v>266.40567016601563</v>
      </c>
      <c r="F3878" s="41">
        <v>4106795</v>
      </c>
      <c r="G3878" s="35" t="s">
        <v>685</v>
      </c>
      <c r="H3878" s="35" t="s">
        <v>115</v>
      </c>
    </row>
    <row r="3879" spans="1:8">
      <c r="A3879" s="37">
        <v>43963.15625</v>
      </c>
      <c r="B3879" s="35" t="s">
        <v>654</v>
      </c>
      <c r="C3879" s="35" t="s">
        <v>655</v>
      </c>
      <c r="D3879" s="39">
        <v>286.20001220703125</v>
      </c>
      <c r="E3879" s="39">
        <v>265.36724853515625</v>
      </c>
      <c r="F3879" s="41">
        <v>3246230</v>
      </c>
      <c r="G3879" s="35" t="s">
        <v>685</v>
      </c>
      <c r="H3879" s="35" t="s">
        <v>115</v>
      </c>
    </row>
    <row r="3880" spans="1:8">
      <c r="A3880" s="37">
        <v>43964.15625</v>
      </c>
      <c r="B3880" s="35" t="s">
        <v>654</v>
      </c>
      <c r="C3880" s="35" t="s">
        <v>655</v>
      </c>
      <c r="D3880" s="39">
        <v>283.85000610351563</v>
      </c>
      <c r="E3880" s="39">
        <v>263.18820190429688</v>
      </c>
      <c r="F3880" s="41">
        <v>1978665</v>
      </c>
      <c r="G3880" s="35" t="s">
        <v>685</v>
      </c>
      <c r="H3880" s="35" t="s">
        <v>115</v>
      </c>
    </row>
    <row r="3881" spans="1:8">
      <c r="A3881" s="37">
        <v>43965.15625</v>
      </c>
      <c r="B3881" s="35" t="s">
        <v>654</v>
      </c>
      <c r="C3881" s="35" t="s">
        <v>655</v>
      </c>
      <c r="D3881" s="39">
        <v>269.07998657226563</v>
      </c>
      <c r="E3881" s="39">
        <v>251.44218444824219</v>
      </c>
      <c r="F3881" s="41">
        <v>2179545</v>
      </c>
      <c r="G3881" s="35" t="s">
        <v>685</v>
      </c>
      <c r="H3881" s="35" t="s">
        <v>115</v>
      </c>
    </row>
    <row r="3882" spans="1:8">
      <c r="A3882" s="37">
        <v>43966.15625</v>
      </c>
      <c r="B3882" s="35" t="s">
        <v>654</v>
      </c>
      <c r="C3882" s="35" t="s">
        <v>655</v>
      </c>
      <c r="D3882" s="39">
        <v>271.73001098632813</v>
      </c>
      <c r="E3882" s="39">
        <v>253.91850280761719</v>
      </c>
      <c r="F3882" s="41">
        <v>1808555</v>
      </c>
      <c r="G3882" s="35" t="s">
        <v>685</v>
      </c>
      <c r="H3882" s="35" t="s">
        <v>115</v>
      </c>
    </row>
    <row r="3883" spans="1:8">
      <c r="A3883" s="37">
        <v>43969.15625</v>
      </c>
      <c r="B3883" s="35" t="s">
        <v>654</v>
      </c>
      <c r="C3883" s="35" t="s">
        <v>655</v>
      </c>
      <c r="D3883" s="39">
        <v>268.8699951171875</v>
      </c>
      <c r="E3883" s="39">
        <v>251.24598693847656</v>
      </c>
      <c r="F3883" s="41">
        <v>3730500</v>
      </c>
      <c r="G3883" s="35" t="s">
        <v>685</v>
      </c>
      <c r="H3883" s="35" t="s">
        <v>115</v>
      </c>
    </row>
    <row r="3884" spans="1:8">
      <c r="A3884" s="37">
        <v>43970.15625</v>
      </c>
      <c r="B3884" s="35" t="s">
        <v>654</v>
      </c>
      <c r="C3884" s="35" t="s">
        <v>655</v>
      </c>
      <c r="D3884" s="39">
        <v>274.760009765625</v>
      </c>
      <c r="E3884" s="39">
        <v>256.74984741210938</v>
      </c>
      <c r="F3884" s="41">
        <v>3500065</v>
      </c>
      <c r="G3884" s="35" t="s">
        <v>685</v>
      </c>
      <c r="H3884" s="35" t="s">
        <v>115</v>
      </c>
    </row>
    <row r="3885" spans="1:8">
      <c r="A3885" s="37">
        <v>43971.15625</v>
      </c>
      <c r="B3885" s="35" t="s">
        <v>654</v>
      </c>
      <c r="C3885" s="35" t="s">
        <v>655</v>
      </c>
      <c r="D3885" s="39">
        <v>283.02999877929688</v>
      </c>
      <c r="E3885" s="39">
        <v>264.477783203125</v>
      </c>
      <c r="F3885" s="41">
        <v>2283500</v>
      </c>
      <c r="G3885" s="35" t="s">
        <v>685</v>
      </c>
      <c r="H3885" s="35" t="s">
        <v>115</v>
      </c>
    </row>
    <row r="3886" spans="1:8">
      <c r="A3886" s="37">
        <v>43972.15625</v>
      </c>
      <c r="B3886" s="35" t="s">
        <v>654</v>
      </c>
      <c r="C3886" s="35" t="s">
        <v>655</v>
      </c>
      <c r="D3886" s="39">
        <v>288.45001220703125</v>
      </c>
      <c r="E3886" s="39">
        <v>269.54257202148438</v>
      </c>
      <c r="F3886" s="41">
        <v>2196155</v>
      </c>
      <c r="G3886" s="35" t="s">
        <v>685</v>
      </c>
      <c r="H3886" s="35" t="s">
        <v>115</v>
      </c>
    </row>
    <row r="3887" spans="1:8">
      <c r="A3887" s="37">
        <v>43973.15625</v>
      </c>
      <c r="B3887" s="35" t="s">
        <v>654</v>
      </c>
      <c r="C3887" s="35" t="s">
        <v>655</v>
      </c>
      <c r="D3887" s="39">
        <v>301.41000366210938</v>
      </c>
      <c r="E3887" s="39">
        <v>281.65301513671875</v>
      </c>
      <c r="F3887" s="41">
        <v>12470960</v>
      </c>
      <c r="G3887" s="35" t="s">
        <v>685</v>
      </c>
      <c r="H3887" s="35" t="s">
        <v>115</v>
      </c>
    </row>
    <row r="3888" spans="1:8">
      <c r="A3888" s="37">
        <v>43977.15625</v>
      </c>
      <c r="B3888" s="35" t="s">
        <v>654</v>
      </c>
      <c r="C3888" s="35" t="s">
        <v>655</v>
      </c>
      <c r="D3888" s="39">
        <v>297.10000610351563</v>
      </c>
      <c r="E3888" s="39">
        <v>277.62554931640625</v>
      </c>
      <c r="F3888" s="41">
        <v>2992990</v>
      </c>
      <c r="G3888" s="35" t="s">
        <v>685</v>
      </c>
      <c r="H3888" s="35" t="s">
        <v>115</v>
      </c>
    </row>
    <row r="3889" spans="1:8">
      <c r="A3889" s="37">
        <v>43978.15625</v>
      </c>
      <c r="B3889" s="35" t="s">
        <v>654</v>
      </c>
      <c r="C3889" s="35" t="s">
        <v>655</v>
      </c>
      <c r="D3889" s="39">
        <v>298.76998901367188</v>
      </c>
      <c r="E3889" s="39">
        <v>279.18609619140625</v>
      </c>
      <c r="F3889" s="41">
        <v>3253550</v>
      </c>
      <c r="G3889" s="35" t="s">
        <v>685</v>
      </c>
      <c r="H3889" s="35" t="s">
        <v>115</v>
      </c>
    </row>
    <row r="3890" spans="1:8">
      <c r="A3890" s="37">
        <v>43979.15625</v>
      </c>
      <c r="B3890" s="35" t="s">
        <v>654</v>
      </c>
      <c r="C3890" s="35" t="s">
        <v>655</v>
      </c>
      <c r="D3890" s="39">
        <v>294.57998657226563</v>
      </c>
      <c r="E3890" s="39">
        <v>275.27072143554688</v>
      </c>
      <c r="F3890" s="41">
        <v>2360680</v>
      </c>
      <c r="G3890" s="35" t="s">
        <v>685</v>
      </c>
      <c r="H3890" s="35" t="s">
        <v>115</v>
      </c>
    </row>
    <row r="3891" spans="1:8">
      <c r="A3891" s="37">
        <v>43980.15625</v>
      </c>
      <c r="B3891" s="35" t="s">
        <v>654</v>
      </c>
      <c r="C3891" s="35" t="s">
        <v>655</v>
      </c>
      <c r="D3891" s="39">
        <v>290.33999633789063</v>
      </c>
      <c r="E3891" s="39">
        <v>271.30865478515625</v>
      </c>
      <c r="F3891" s="41">
        <v>2735905</v>
      </c>
      <c r="G3891" s="35" t="s">
        <v>685</v>
      </c>
      <c r="H3891" s="35" t="s">
        <v>115</v>
      </c>
    </row>
    <row r="3892" spans="1:8">
      <c r="A3892" s="37">
        <v>43983.15625</v>
      </c>
      <c r="B3892" s="35" t="s">
        <v>654</v>
      </c>
      <c r="C3892" s="35" t="s">
        <v>655</v>
      </c>
      <c r="D3892" s="39">
        <v>290.19000244140625</v>
      </c>
      <c r="E3892" s="39">
        <v>271.16845703125</v>
      </c>
      <c r="F3892" s="41">
        <v>3134985</v>
      </c>
      <c r="G3892" s="35" t="s">
        <v>685</v>
      </c>
      <c r="H3892" s="35" t="s">
        <v>115</v>
      </c>
    </row>
    <row r="3893" spans="1:8">
      <c r="A3893" s="37">
        <v>43984.15625</v>
      </c>
      <c r="B3893" s="35" t="s">
        <v>654</v>
      </c>
      <c r="C3893" s="35" t="s">
        <v>655</v>
      </c>
      <c r="D3893" s="39">
        <v>291.51998901367188</v>
      </c>
      <c r="E3893" s="39">
        <v>272.41128540039063</v>
      </c>
      <c r="F3893" s="41">
        <v>2288515</v>
      </c>
      <c r="G3893" s="35" t="s">
        <v>685</v>
      </c>
      <c r="H3893" s="35" t="s">
        <v>115</v>
      </c>
    </row>
    <row r="3894" spans="1:8">
      <c r="A3894" s="37">
        <v>43985.15625</v>
      </c>
      <c r="B3894" s="35" t="s">
        <v>654</v>
      </c>
      <c r="C3894" s="35" t="s">
        <v>655</v>
      </c>
      <c r="D3894" s="39">
        <v>288.82998657226563</v>
      </c>
      <c r="E3894" s="39">
        <v>269.89767456054688</v>
      </c>
      <c r="F3894" s="41">
        <v>3137975</v>
      </c>
      <c r="G3894" s="35" t="s">
        <v>685</v>
      </c>
      <c r="H3894" s="35" t="s">
        <v>115</v>
      </c>
    </row>
    <row r="3895" spans="1:8">
      <c r="A3895" s="37">
        <v>43986.15625</v>
      </c>
      <c r="B3895" s="35" t="s">
        <v>654</v>
      </c>
      <c r="C3895" s="35" t="s">
        <v>655</v>
      </c>
      <c r="D3895" s="39">
        <v>289.05999755859375</v>
      </c>
      <c r="E3895" s="39">
        <v>270.112548828125</v>
      </c>
      <c r="F3895" s="41">
        <v>1844660</v>
      </c>
      <c r="G3895" s="35" t="s">
        <v>685</v>
      </c>
      <c r="H3895" s="35" t="s">
        <v>115</v>
      </c>
    </row>
    <row r="3896" spans="1:8">
      <c r="A3896" s="37">
        <v>43987.15625</v>
      </c>
      <c r="B3896" s="35" t="s">
        <v>654</v>
      </c>
      <c r="C3896" s="35" t="s">
        <v>655</v>
      </c>
      <c r="D3896" s="39">
        <v>293.6300048828125</v>
      </c>
      <c r="E3896" s="39">
        <v>274.38296508789063</v>
      </c>
      <c r="F3896" s="41">
        <v>5769180</v>
      </c>
      <c r="G3896" s="35" t="s">
        <v>685</v>
      </c>
      <c r="H3896" s="35" t="s">
        <v>115</v>
      </c>
    </row>
    <row r="3897" spans="1:8">
      <c r="A3897" s="37">
        <v>43990.15625</v>
      </c>
      <c r="B3897" s="35" t="s">
        <v>654</v>
      </c>
      <c r="C3897" s="35" t="s">
        <v>655</v>
      </c>
      <c r="D3897" s="39">
        <v>290.07998657226563</v>
      </c>
      <c r="E3897" s="39">
        <v>271.06564331054688</v>
      </c>
      <c r="F3897" s="41">
        <v>1566795</v>
      </c>
      <c r="G3897" s="35" t="s">
        <v>685</v>
      </c>
      <c r="H3897" s="35" t="s">
        <v>115</v>
      </c>
    </row>
    <row r="3898" spans="1:8">
      <c r="A3898" s="37">
        <v>43991.15625</v>
      </c>
      <c r="B3898" s="35" t="s">
        <v>654</v>
      </c>
      <c r="C3898" s="35" t="s">
        <v>655</v>
      </c>
      <c r="D3898" s="39">
        <v>282.8599853515625</v>
      </c>
      <c r="E3898" s="39">
        <v>264.3189697265625</v>
      </c>
      <c r="F3898" s="41">
        <v>3228350</v>
      </c>
      <c r="G3898" s="35" t="s">
        <v>685</v>
      </c>
      <c r="H3898" s="35" t="s">
        <v>115</v>
      </c>
    </row>
    <row r="3899" spans="1:8">
      <c r="A3899" s="37">
        <v>43992.15625</v>
      </c>
      <c r="B3899" s="35" t="s">
        <v>654</v>
      </c>
      <c r="C3899" s="35" t="s">
        <v>655</v>
      </c>
      <c r="D3899" s="39">
        <v>280.91000366210938</v>
      </c>
      <c r="E3899" s="39">
        <v>262.49679565429688</v>
      </c>
      <c r="F3899" s="41">
        <v>1879100</v>
      </c>
      <c r="G3899" s="35" t="s">
        <v>685</v>
      </c>
      <c r="H3899" s="35" t="s">
        <v>115</v>
      </c>
    </row>
    <row r="3900" spans="1:8">
      <c r="A3900" s="37">
        <v>43993.15625</v>
      </c>
      <c r="B3900" s="35" t="s">
        <v>654</v>
      </c>
      <c r="C3900" s="35" t="s">
        <v>655</v>
      </c>
      <c r="D3900" s="39">
        <v>273.260009765625</v>
      </c>
      <c r="E3900" s="39">
        <v>255.34828186035156</v>
      </c>
      <c r="F3900" s="41">
        <v>1503720</v>
      </c>
      <c r="G3900" s="35" t="s">
        <v>685</v>
      </c>
      <c r="H3900" s="35" t="s">
        <v>115</v>
      </c>
    </row>
    <row r="3901" spans="1:8">
      <c r="A3901" s="37">
        <v>43994.15625</v>
      </c>
      <c r="B3901" s="35" t="s">
        <v>654</v>
      </c>
      <c r="C3901" s="35" t="s">
        <v>655</v>
      </c>
      <c r="D3901" s="39">
        <v>268.6300048828125</v>
      </c>
      <c r="E3901" s="39">
        <v>251.021728515625</v>
      </c>
      <c r="F3901" s="41">
        <v>1512490</v>
      </c>
      <c r="G3901" s="35" t="s">
        <v>685</v>
      </c>
      <c r="H3901" s="35" t="s">
        <v>115</v>
      </c>
    </row>
    <row r="3902" spans="1:8">
      <c r="A3902" s="37">
        <v>43997.15625</v>
      </c>
      <c r="B3902" s="35" t="s">
        <v>654</v>
      </c>
      <c r="C3902" s="35" t="s">
        <v>655</v>
      </c>
      <c r="D3902" s="39">
        <v>266.58999633789063</v>
      </c>
      <c r="E3902" s="39">
        <v>249.11541748046875</v>
      </c>
      <c r="F3902" s="41">
        <v>1602615</v>
      </c>
      <c r="G3902" s="35" t="s">
        <v>685</v>
      </c>
      <c r="H3902" s="35" t="s">
        <v>115</v>
      </c>
    </row>
    <row r="3903" spans="1:8">
      <c r="A3903" s="37">
        <v>43998.15625</v>
      </c>
      <c r="B3903" s="35" t="s">
        <v>654</v>
      </c>
      <c r="C3903" s="35" t="s">
        <v>655</v>
      </c>
      <c r="D3903" s="39">
        <v>269.44000244140625</v>
      </c>
      <c r="E3903" s="39">
        <v>251.778564453125</v>
      </c>
      <c r="F3903" s="41">
        <v>1273835</v>
      </c>
      <c r="G3903" s="35" t="s">
        <v>685</v>
      </c>
      <c r="H3903" s="35" t="s">
        <v>115</v>
      </c>
    </row>
    <row r="3904" spans="1:8">
      <c r="A3904" s="37">
        <v>43999.15625</v>
      </c>
      <c r="B3904" s="35" t="s">
        <v>654</v>
      </c>
      <c r="C3904" s="35" t="s">
        <v>655</v>
      </c>
      <c r="D3904" s="39">
        <v>267.6099853515625</v>
      </c>
      <c r="E3904" s="39">
        <v>250.06858825683594</v>
      </c>
      <c r="F3904" s="41">
        <v>1223200</v>
      </c>
      <c r="G3904" s="35" t="s">
        <v>685</v>
      </c>
      <c r="H3904" s="35" t="s">
        <v>115</v>
      </c>
    </row>
    <row r="3905" spans="1:8">
      <c r="A3905" s="37">
        <v>44000.15625</v>
      </c>
      <c r="B3905" s="35" t="s">
        <v>654</v>
      </c>
      <c r="C3905" s="35" t="s">
        <v>655</v>
      </c>
      <c r="D3905" s="39">
        <v>274.010009765625</v>
      </c>
      <c r="E3905" s="39">
        <v>256.04904174804688</v>
      </c>
      <c r="F3905" s="41">
        <v>2545285</v>
      </c>
      <c r="G3905" s="35" t="s">
        <v>685</v>
      </c>
      <c r="H3905" s="35" t="s">
        <v>115</v>
      </c>
    </row>
    <row r="3906" spans="1:8">
      <c r="A3906" s="37">
        <v>44001.15625</v>
      </c>
      <c r="B3906" s="35" t="s">
        <v>654</v>
      </c>
      <c r="C3906" s="35" t="s">
        <v>655</v>
      </c>
      <c r="D3906" s="39">
        <v>266.14999389648438</v>
      </c>
      <c r="E3906" s="39">
        <v>248.70425415039063</v>
      </c>
      <c r="F3906" s="41">
        <v>3779790</v>
      </c>
      <c r="G3906" s="35" t="s">
        <v>685</v>
      </c>
      <c r="H3906" s="35" t="s">
        <v>115</v>
      </c>
    </row>
    <row r="3907" spans="1:8">
      <c r="A3907" s="37">
        <v>44004.15625</v>
      </c>
      <c r="B3907" s="35" t="s">
        <v>654</v>
      </c>
      <c r="C3907" s="35" t="s">
        <v>655</v>
      </c>
      <c r="D3907" s="39">
        <v>267.30999755859375</v>
      </c>
      <c r="E3907" s="39">
        <v>249.78823852539063</v>
      </c>
      <c r="F3907" s="41">
        <v>1767250</v>
      </c>
      <c r="G3907" s="35" t="s">
        <v>685</v>
      </c>
      <c r="H3907" s="35" t="s">
        <v>115</v>
      </c>
    </row>
    <row r="3908" spans="1:8">
      <c r="A3908" s="37">
        <v>44005.15625</v>
      </c>
      <c r="B3908" s="35" t="s">
        <v>654</v>
      </c>
      <c r="C3908" s="35" t="s">
        <v>655</v>
      </c>
      <c r="D3908" s="39">
        <v>273.8599853515625</v>
      </c>
      <c r="E3908" s="39">
        <v>255.908935546875</v>
      </c>
      <c r="F3908" s="41">
        <v>2242645</v>
      </c>
      <c r="G3908" s="35" t="s">
        <v>685</v>
      </c>
      <c r="H3908" s="35" t="s">
        <v>115</v>
      </c>
    </row>
    <row r="3909" spans="1:8">
      <c r="A3909" s="37">
        <v>44006.15625</v>
      </c>
      <c r="B3909" s="35" t="s">
        <v>654</v>
      </c>
      <c r="C3909" s="35" t="s">
        <v>655</v>
      </c>
      <c r="D3909" s="39">
        <v>277.57998657226563</v>
      </c>
      <c r="E3909" s="39">
        <v>259.38497924804688</v>
      </c>
      <c r="F3909" s="41">
        <v>4510940</v>
      </c>
      <c r="G3909" s="35" t="s">
        <v>685</v>
      </c>
      <c r="H3909" s="35" t="s">
        <v>115</v>
      </c>
    </row>
    <row r="3910" spans="1:8">
      <c r="A3910" s="37">
        <v>44007.15625</v>
      </c>
      <c r="B3910" s="35" t="s">
        <v>654</v>
      </c>
      <c r="C3910" s="35" t="s">
        <v>655</v>
      </c>
      <c r="D3910" s="39">
        <v>275.70999145507813</v>
      </c>
      <c r="E3910" s="39">
        <v>257.63754272460938</v>
      </c>
      <c r="F3910" s="41">
        <v>3415645</v>
      </c>
      <c r="G3910" s="35" t="s">
        <v>685</v>
      </c>
      <c r="H3910" s="35" t="s">
        <v>115</v>
      </c>
    </row>
    <row r="3911" spans="1:8">
      <c r="A3911" s="37">
        <v>44008.15625</v>
      </c>
      <c r="B3911" s="35" t="s">
        <v>654</v>
      </c>
      <c r="C3911" s="35" t="s">
        <v>655</v>
      </c>
      <c r="D3911" s="39">
        <v>292.33999633789063</v>
      </c>
      <c r="E3911" s="39">
        <v>273.17742919921875</v>
      </c>
      <c r="F3911" s="41">
        <v>11570720</v>
      </c>
      <c r="G3911" s="35" t="s">
        <v>685</v>
      </c>
      <c r="H3911" s="35" t="s">
        <v>115</v>
      </c>
    </row>
    <row r="3912" spans="1:8">
      <c r="A3912" s="37">
        <v>44011.15625</v>
      </c>
      <c r="B3912" s="35" t="s">
        <v>654</v>
      </c>
      <c r="C3912" s="35" t="s">
        <v>655</v>
      </c>
      <c r="D3912" s="39">
        <v>283.54000854492188</v>
      </c>
      <c r="E3912" s="39">
        <v>264.95437622070313</v>
      </c>
      <c r="F3912" s="41">
        <v>3124935</v>
      </c>
      <c r="G3912" s="35" t="s">
        <v>685</v>
      </c>
      <c r="H3912" s="35" t="s">
        <v>115</v>
      </c>
    </row>
    <row r="3913" spans="1:8">
      <c r="A3913" s="37">
        <v>44012.15625</v>
      </c>
      <c r="B3913" s="35" t="s">
        <v>654</v>
      </c>
      <c r="C3913" s="35" t="s">
        <v>655</v>
      </c>
      <c r="D3913" s="39">
        <v>281.83999633789063</v>
      </c>
      <c r="E3913" s="39">
        <v>263.36581420898438</v>
      </c>
      <c r="F3913" s="41">
        <v>1458145</v>
      </c>
      <c r="G3913" s="35" t="s">
        <v>685</v>
      </c>
      <c r="H3913" s="35" t="s">
        <v>115</v>
      </c>
    </row>
    <row r="3914" spans="1:8">
      <c r="A3914" s="37">
        <v>44013.15625</v>
      </c>
      <c r="B3914" s="35" t="s">
        <v>654</v>
      </c>
      <c r="C3914" s="35" t="s">
        <v>655</v>
      </c>
      <c r="D3914" s="39">
        <v>276.989990234375</v>
      </c>
      <c r="E3914" s="39">
        <v>258.83367919921875</v>
      </c>
      <c r="F3914" s="41">
        <v>1247525</v>
      </c>
      <c r="G3914" s="35" t="s">
        <v>685</v>
      </c>
      <c r="H3914" s="35" t="s">
        <v>115</v>
      </c>
    </row>
    <row r="3915" spans="1:8">
      <c r="A3915" s="37">
        <v>44014.15625</v>
      </c>
      <c r="B3915" s="35" t="s">
        <v>654</v>
      </c>
      <c r="C3915" s="35" t="s">
        <v>655</v>
      </c>
      <c r="D3915" s="39">
        <v>282.58999633789063</v>
      </c>
      <c r="E3915" s="39">
        <v>264.06668090820313</v>
      </c>
      <c r="F3915" s="41">
        <v>2776495</v>
      </c>
      <c r="G3915" s="35" t="s">
        <v>685</v>
      </c>
      <c r="H3915" s="35" t="s">
        <v>115</v>
      </c>
    </row>
    <row r="3916" spans="1:8">
      <c r="A3916" s="37">
        <v>44015.15625</v>
      </c>
      <c r="B3916" s="35" t="s">
        <v>654</v>
      </c>
      <c r="C3916" s="35" t="s">
        <v>655</v>
      </c>
      <c r="D3916" s="39">
        <v>284.07000732421875</v>
      </c>
      <c r="E3916" s="39">
        <v>265.44964599609375</v>
      </c>
      <c r="F3916" s="41">
        <v>1595680</v>
      </c>
      <c r="G3916" s="35" t="s">
        <v>685</v>
      </c>
      <c r="H3916" s="35" t="s">
        <v>115</v>
      </c>
    </row>
    <row r="3917" spans="1:8">
      <c r="A3917" s="37">
        <v>44018.15625</v>
      </c>
      <c r="B3917" s="35" t="s">
        <v>654</v>
      </c>
      <c r="C3917" s="35" t="s">
        <v>655</v>
      </c>
      <c r="D3917" s="39">
        <v>287.25</v>
      </c>
      <c r="E3917" s="39">
        <v>268.42120361328125</v>
      </c>
      <c r="F3917" s="41">
        <v>1644685</v>
      </c>
      <c r="G3917" s="35" t="s">
        <v>685</v>
      </c>
      <c r="H3917" s="35" t="s">
        <v>115</v>
      </c>
    </row>
    <row r="3918" spans="1:8">
      <c r="A3918" s="37">
        <v>44019.15625</v>
      </c>
      <c r="B3918" s="35" t="s">
        <v>654</v>
      </c>
      <c r="C3918" s="35" t="s">
        <v>655</v>
      </c>
      <c r="D3918" s="39">
        <v>302.54998779296875</v>
      </c>
      <c r="E3918" s="39">
        <v>282.71829223632813</v>
      </c>
      <c r="F3918" s="41">
        <v>13272105</v>
      </c>
      <c r="G3918" s="35" t="s">
        <v>685</v>
      </c>
      <c r="H3918" s="35" t="s">
        <v>115</v>
      </c>
    </row>
    <row r="3919" spans="1:8">
      <c r="A3919" s="37">
        <v>44020.15625</v>
      </c>
      <c r="B3919" s="35" t="s">
        <v>654</v>
      </c>
      <c r="C3919" s="35" t="s">
        <v>655</v>
      </c>
      <c r="D3919" s="39">
        <v>307.760009765625</v>
      </c>
      <c r="E3919" s="39">
        <v>287.5867919921875</v>
      </c>
      <c r="F3919" s="41">
        <v>3745865</v>
      </c>
      <c r="G3919" s="35" t="s">
        <v>685</v>
      </c>
      <c r="H3919" s="35" t="s">
        <v>115</v>
      </c>
    </row>
    <row r="3920" spans="1:8">
      <c r="A3920" s="37">
        <v>44021.15625</v>
      </c>
      <c r="B3920" s="35" t="s">
        <v>654</v>
      </c>
      <c r="C3920" s="35" t="s">
        <v>655</v>
      </c>
      <c r="D3920" s="39">
        <v>313.5</v>
      </c>
      <c r="E3920" s="39">
        <v>292.95050048828125</v>
      </c>
      <c r="F3920" s="41">
        <v>6643180</v>
      </c>
      <c r="G3920" s="35" t="s">
        <v>685</v>
      </c>
      <c r="H3920" s="35" t="s">
        <v>115</v>
      </c>
    </row>
    <row r="3921" spans="1:8">
      <c r="A3921" s="37">
        <v>44022.15625</v>
      </c>
      <c r="B3921" s="35" t="s">
        <v>654</v>
      </c>
      <c r="C3921" s="35" t="s">
        <v>655</v>
      </c>
      <c r="D3921" s="39">
        <v>318.57998657226563</v>
      </c>
      <c r="E3921" s="39">
        <v>297.69754028320313</v>
      </c>
      <c r="F3921" s="41">
        <v>2665835</v>
      </c>
      <c r="G3921" s="35" t="s">
        <v>685</v>
      </c>
      <c r="H3921" s="35" t="s">
        <v>115</v>
      </c>
    </row>
    <row r="3922" spans="1:8">
      <c r="A3922" s="37">
        <v>44025.15625</v>
      </c>
      <c r="B3922" s="35" t="s">
        <v>654</v>
      </c>
      <c r="C3922" s="35" t="s">
        <v>655</v>
      </c>
      <c r="D3922" s="39">
        <v>317.39999389648438</v>
      </c>
      <c r="E3922" s="39">
        <v>296.59487915039063</v>
      </c>
      <c r="F3922" s="41">
        <v>3191950</v>
      </c>
      <c r="G3922" s="35" t="s">
        <v>685</v>
      </c>
      <c r="H3922" s="35" t="s">
        <v>115</v>
      </c>
    </row>
    <row r="3923" spans="1:8">
      <c r="A3923" s="37">
        <v>44026.15625</v>
      </c>
      <c r="B3923" s="35" t="s">
        <v>654</v>
      </c>
      <c r="C3923" s="35" t="s">
        <v>655</v>
      </c>
      <c r="D3923" s="39">
        <v>308.3900146484375</v>
      </c>
      <c r="E3923" s="39">
        <v>288.17547607421875</v>
      </c>
      <c r="F3923" s="41">
        <v>2213930</v>
      </c>
      <c r="G3923" s="35" t="s">
        <v>685</v>
      </c>
      <c r="H3923" s="35" t="s">
        <v>115</v>
      </c>
    </row>
    <row r="3924" spans="1:8">
      <c r="A3924" s="37">
        <v>44027.15625</v>
      </c>
      <c r="B3924" s="35" t="s">
        <v>654</v>
      </c>
      <c r="C3924" s="35" t="s">
        <v>655</v>
      </c>
      <c r="D3924" s="39">
        <v>337.64999389648438</v>
      </c>
      <c r="E3924" s="39">
        <v>315.517578125</v>
      </c>
      <c r="F3924" s="41">
        <v>10438665</v>
      </c>
      <c r="G3924" s="35" t="s">
        <v>685</v>
      </c>
      <c r="H3924" s="35" t="s">
        <v>115</v>
      </c>
    </row>
    <row r="3925" spans="1:8">
      <c r="A3925" s="37">
        <v>44028.15625</v>
      </c>
      <c r="B3925" s="35" t="s">
        <v>654</v>
      </c>
      <c r="C3925" s="35" t="s">
        <v>655</v>
      </c>
      <c r="D3925" s="39">
        <v>330.54998779296875</v>
      </c>
      <c r="E3925" s="39">
        <v>308.88296508789063</v>
      </c>
      <c r="F3925" s="41">
        <v>8190970</v>
      </c>
      <c r="G3925" s="35" t="s">
        <v>685</v>
      </c>
      <c r="H3925" s="35" t="s">
        <v>115</v>
      </c>
    </row>
    <row r="3926" spans="1:8">
      <c r="A3926" s="37">
        <v>44029.15625</v>
      </c>
      <c r="B3926" s="35" t="s">
        <v>654</v>
      </c>
      <c r="C3926" s="35" t="s">
        <v>655</v>
      </c>
      <c r="D3926" s="39">
        <v>335.739990234375</v>
      </c>
      <c r="E3926" s="39">
        <v>313.73275756835938</v>
      </c>
      <c r="F3926" s="41">
        <v>3056320</v>
      </c>
      <c r="G3926" s="35" t="s">
        <v>685</v>
      </c>
      <c r="H3926" s="35" t="s">
        <v>115</v>
      </c>
    </row>
    <row r="3927" spans="1:8">
      <c r="A3927" s="37">
        <v>44032.15625</v>
      </c>
      <c r="B3927" s="35" t="s">
        <v>654</v>
      </c>
      <c r="C3927" s="35" t="s">
        <v>655</v>
      </c>
      <c r="D3927" s="39">
        <v>338.45999145507813</v>
      </c>
      <c r="E3927" s="39">
        <v>316.27444458007813</v>
      </c>
      <c r="F3927" s="41">
        <v>1426825</v>
      </c>
      <c r="G3927" s="35" t="s">
        <v>685</v>
      </c>
      <c r="H3927" s="35" t="s">
        <v>115</v>
      </c>
    </row>
    <row r="3928" spans="1:8">
      <c r="A3928" s="37">
        <v>44033.15625</v>
      </c>
      <c r="B3928" s="35" t="s">
        <v>654</v>
      </c>
      <c r="C3928" s="35" t="s">
        <v>655</v>
      </c>
      <c r="D3928" s="39">
        <v>333.64999389648438</v>
      </c>
      <c r="E3928" s="39">
        <v>311.77975463867188</v>
      </c>
      <c r="F3928" s="41">
        <v>1691725</v>
      </c>
      <c r="G3928" s="35" t="s">
        <v>685</v>
      </c>
      <c r="H3928" s="35" t="s">
        <v>115</v>
      </c>
    </row>
    <row r="3929" spans="1:8">
      <c r="A3929" s="37">
        <v>44034.15625</v>
      </c>
      <c r="B3929" s="35" t="s">
        <v>654</v>
      </c>
      <c r="C3929" s="35" t="s">
        <v>655</v>
      </c>
      <c r="D3929" s="39">
        <v>329.45999145507813</v>
      </c>
      <c r="E3929" s="39">
        <v>307.86434936523438</v>
      </c>
      <c r="F3929" s="41">
        <v>1128030</v>
      </c>
      <c r="G3929" s="35" t="s">
        <v>685</v>
      </c>
      <c r="H3929" s="35" t="s">
        <v>115</v>
      </c>
    </row>
    <row r="3930" spans="1:8">
      <c r="A3930" s="37">
        <v>44035.15625</v>
      </c>
      <c r="B3930" s="35" t="s">
        <v>654</v>
      </c>
      <c r="C3930" s="35" t="s">
        <v>655</v>
      </c>
      <c r="D3930" s="39">
        <v>327.07000732421875</v>
      </c>
      <c r="E3930" s="39">
        <v>305.631103515625</v>
      </c>
      <c r="F3930" s="41">
        <v>1318445</v>
      </c>
      <c r="G3930" s="35" t="s">
        <v>685</v>
      </c>
      <c r="H3930" s="35" t="s">
        <v>115</v>
      </c>
    </row>
    <row r="3931" spans="1:8">
      <c r="A3931" s="37">
        <v>44036.15625</v>
      </c>
      <c r="B3931" s="35" t="s">
        <v>654</v>
      </c>
      <c r="C3931" s="35" t="s">
        <v>655</v>
      </c>
      <c r="D3931" s="39">
        <v>340.01998901367188</v>
      </c>
      <c r="E3931" s="39">
        <v>317.732177734375</v>
      </c>
      <c r="F3931" s="41">
        <v>5956620</v>
      </c>
      <c r="G3931" s="35" t="s">
        <v>685</v>
      </c>
      <c r="H3931" s="35" t="s">
        <v>115</v>
      </c>
    </row>
    <row r="3932" spans="1:8">
      <c r="A3932" s="37">
        <v>44039.15625</v>
      </c>
      <c r="B3932" s="35" t="s">
        <v>654</v>
      </c>
      <c r="C3932" s="35" t="s">
        <v>655</v>
      </c>
      <c r="D3932" s="39">
        <v>353.91000366210938</v>
      </c>
      <c r="E3932" s="39">
        <v>330.71170043945313</v>
      </c>
      <c r="F3932" s="41">
        <v>9171300</v>
      </c>
      <c r="G3932" s="35" t="s">
        <v>685</v>
      </c>
      <c r="H3932" s="35" t="s">
        <v>115</v>
      </c>
    </row>
    <row r="3933" spans="1:8">
      <c r="A3933" s="37">
        <v>44040.15625</v>
      </c>
      <c r="B3933" s="35" t="s">
        <v>654</v>
      </c>
      <c r="C3933" s="35" t="s">
        <v>655</v>
      </c>
      <c r="D3933" s="39">
        <v>353.48001098632813</v>
      </c>
      <c r="E3933" s="39">
        <v>330.30996704101563</v>
      </c>
      <c r="F3933" s="41">
        <v>5385390</v>
      </c>
      <c r="G3933" s="35" t="s">
        <v>685</v>
      </c>
      <c r="H3933" s="35" t="s">
        <v>115</v>
      </c>
    </row>
    <row r="3934" spans="1:8">
      <c r="A3934" s="37">
        <v>44041.15625</v>
      </c>
      <c r="B3934" s="35" t="s">
        <v>654</v>
      </c>
      <c r="C3934" s="35" t="s">
        <v>655</v>
      </c>
      <c r="D3934" s="39">
        <v>372.57000732421875</v>
      </c>
      <c r="E3934" s="39">
        <v>348.14859008789063</v>
      </c>
      <c r="F3934" s="41">
        <v>14898510</v>
      </c>
      <c r="G3934" s="35" t="s">
        <v>685</v>
      </c>
      <c r="H3934" s="35" t="s">
        <v>115</v>
      </c>
    </row>
    <row r="3935" spans="1:8">
      <c r="A3935" s="37">
        <v>44042.15625</v>
      </c>
      <c r="B3935" s="35" t="s">
        <v>654</v>
      </c>
      <c r="C3935" s="35" t="s">
        <v>655</v>
      </c>
      <c r="D3935" s="39">
        <v>387.30999755859375</v>
      </c>
      <c r="E3935" s="39">
        <v>361.92233276367188</v>
      </c>
      <c r="F3935" s="41">
        <v>6832005</v>
      </c>
      <c r="G3935" s="35" t="s">
        <v>685</v>
      </c>
      <c r="H3935" s="35" t="s">
        <v>115</v>
      </c>
    </row>
    <row r="3936" spans="1:8">
      <c r="A3936" s="37">
        <v>44043.15625</v>
      </c>
      <c r="B3936" s="35" t="s">
        <v>654</v>
      </c>
      <c r="C3936" s="35" t="s">
        <v>655</v>
      </c>
      <c r="D3936" s="39">
        <v>385.239990234375</v>
      </c>
      <c r="E3936" s="39">
        <v>359.98800659179688</v>
      </c>
      <c r="F3936" s="41">
        <v>6104525</v>
      </c>
      <c r="G3936" s="35" t="s">
        <v>685</v>
      </c>
      <c r="H3936" s="35" t="s">
        <v>115</v>
      </c>
    </row>
    <row r="3937" spans="1:8">
      <c r="A3937" s="37">
        <v>44046.15625</v>
      </c>
      <c r="B3937" s="35" t="s">
        <v>686</v>
      </c>
      <c r="C3937" s="35" t="s">
        <v>655</v>
      </c>
      <c r="D3937" s="39">
        <v>385.73001098632813</v>
      </c>
      <c r="E3937" s="39">
        <v>360.44595336914063</v>
      </c>
      <c r="F3937" s="41">
        <v>2276660</v>
      </c>
      <c r="G3937" s="35" t="s">
        <v>685</v>
      </c>
      <c r="H3937" s="35" t="s">
        <v>115</v>
      </c>
    </row>
    <row r="3938" spans="1:8">
      <c r="A3938" s="37">
        <v>44047.15625</v>
      </c>
      <c r="B3938" s="35" t="s">
        <v>686</v>
      </c>
      <c r="C3938" s="35" t="s">
        <v>655</v>
      </c>
      <c r="D3938" s="39">
        <v>388.8900146484375</v>
      </c>
      <c r="E3938" s="39">
        <v>363.39883422851563</v>
      </c>
      <c r="F3938" s="41">
        <v>1980130</v>
      </c>
      <c r="G3938" s="35" t="s">
        <v>685</v>
      </c>
      <c r="H3938" s="35" t="s">
        <v>115</v>
      </c>
    </row>
    <row r="3939" spans="1:8">
      <c r="A3939" s="37">
        <v>44048.15625</v>
      </c>
      <c r="B3939" s="35" t="s">
        <v>686</v>
      </c>
      <c r="C3939" s="35" t="s">
        <v>655</v>
      </c>
      <c r="D3939" s="39">
        <v>383.72000122070313</v>
      </c>
      <c r="E3939" s="39">
        <v>358.5677490234375</v>
      </c>
      <c r="F3939" s="41">
        <v>2539370</v>
      </c>
      <c r="G3939" s="35" t="s">
        <v>685</v>
      </c>
      <c r="H3939" s="35" t="s">
        <v>115</v>
      </c>
    </row>
    <row r="3940" spans="1:8">
      <c r="A3940" s="37">
        <v>44049.15625</v>
      </c>
      <c r="B3940" s="35" t="s">
        <v>686</v>
      </c>
      <c r="C3940" s="35" t="s">
        <v>655</v>
      </c>
      <c r="D3940" s="39">
        <v>404.739990234375</v>
      </c>
      <c r="E3940" s="39">
        <v>378.2098388671875</v>
      </c>
      <c r="F3940" s="41">
        <v>10528635</v>
      </c>
      <c r="G3940" s="35" t="s">
        <v>685</v>
      </c>
      <c r="H3940" s="35" t="s">
        <v>115</v>
      </c>
    </row>
    <row r="3941" spans="1:8">
      <c r="A3941" s="37">
        <v>44050.15625</v>
      </c>
      <c r="B3941" s="35" t="s">
        <v>686</v>
      </c>
      <c r="C3941" s="35" t="s">
        <v>655</v>
      </c>
      <c r="D3941" s="39">
        <v>397.76998901367188</v>
      </c>
      <c r="E3941" s="39">
        <v>371.69680786132813</v>
      </c>
      <c r="F3941" s="41">
        <v>4024090</v>
      </c>
      <c r="G3941" s="35" t="s">
        <v>685</v>
      </c>
      <c r="H3941" s="35" t="s">
        <v>115</v>
      </c>
    </row>
    <row r="3942" spans="1:8">
      <c r="A3942" s="37">
        <v>44053.15625</v>
      </c>
      <c r="B3942" s="35" t="s">
        <v>686</v>
      </c>
      <c r="C3942" s="35" t="s">
        <v>655</v>
      </c>
      <c r="D3942" s="39">
        <v>397.82998657226563</v>
      </c>
      <c r="E3942" s="39">
        <v>371.75277709960938</v>
      </c>
      <c r="F3942" s="41">
        <v>1391275</v>
      </c>
      <c r="G3942" s="35" t="s">
        <v>685</v>
      </c>
      <c r="H3942" s="35" t="s">
        <v>115</v>
      </c>
    </row>
    <row r="3943" spans="1:8">
      <c r="A3943" s="37">
        <v>44054.15625</v>
      </c>
      <c r="B3943" s="35" t="s">
        <v>686</v>
      </c>
      <c r="C3943" s="35" t="s">
        <v>655</v>
      </c>
      <c r="D3943" s="39">
        <v>395.55999755859375</v>
      </c>
      <c r="E3943" s="39">
        <v>369.63162231445313</v>
      </c>
      <c r="F3943" s="41">
        <v>6392575</v>
      </c>
      <c r="G3943" s="35" t="s">
        <v>685</v>
      </c>
      <c r="H3943" s="35" t="s">
        <v>115</v>
      </c>
    </row>
    <row r="3944" spans="1:8">
      <c r="A3944" s="37">
        <v>44055.15625</v>
      </c>
      <c r="B3944" s="35" t="s">
        <v>686</v>
      </c>
      <c r="C3944" s="35" t="s">
        <v>655</v>
      </c>
      <c r="D3944" s="39">
        <v>400.3900146484375</v>
      </c>
      <c r="E3944" s="39">
        <v>374.14511108398438</v>
      </c>
      <c r="F3944" s="41">
        <v>3009615</v>
      </c>
      <c r="G3944" s="35" t="s">
        <v>685</v>
      </c>
      <c r="H3944" s="35" t="s">
        <v>115</v>
      </c>
    </row>
    <row r="3945" spans="1:8">
      <c r="A3945" s="37">
        <v>44056.15625</v>
      </c>
      <c r="B3945" s="35" t="s">
        <v>686</v>
      </c>
      <c r="C3945" s="35" t="s">
        <v>655</v>
      </c>
      <c r="D3945" s="39">
        <v>397.67001342773438</v>
      </c>
      <c r="E3945" s="39">
        <v>371.60333251953125</v>
      </c>
      <c r="F3945" s="41">
        <v>2392675</v>
      </c>
      <c r="G3945" s="35" t="s">
        <v>685</v>
      </c>
      <c r="H3945" s="35" t="s">
        <v>115</v>
      </c>
    </row>
    <row r="3946" spans="1:8">
      <c r="A3946" s="37">
        <v>44057.15625</v>
      </c>
      <c r="B3946" s="35" t="s">
        <v>686</v>
      </c>
      <c r="C3946" s="35" t="s">
        <v>655</v>
      </c>
      <c r="D3946" s="39">
        <v>395.22000122070313</v>
      </c>
      <c r="E3946" s="39">
        <v>369.31393432617188</v>
      </c>
      <c r="F3946" s="41">
        <v>1692455</v>
      </c>
      <c r="G3946" s="35" t="s">
        <v>685</v>
      </c>
      <c r="H3946" s="35" t="s">
        <v>115</v>
      </c>
    </row>
    <row r="3947" spans="1:8">
      <c r="A3947" s="37">
        <v>44060.15625</v>
      </c>
      <c r="B3947" s="35" t="s">
        <v>686</v>
      </c>
      <c r="C3947" s="35" t="s">
        <v>655</v>
      </c>
      <c r="D3947" s="39">
        <v>399.08999633789063</v>
      </c>
      <c r="E3947" s="39">
        <v>372.93026733398438</v>
      </c>
      <c r="F3947" s="41">
        <v>3992130</v>
      </c>
      <c r="G3947" s="35" t="s">
        <v>685</v>
      </c>
      <c r="H3947" s="35" t="s">
        <v>115</v>
      </c>
    </row>
    <row r="3948" spans="1:8">
      <c r="A3948" s="37">
        <v>44061.15625</v>
      </c>
      <c r="B3948" s="35" t="s">
        <v>686</v>
      </c>
      <c r="C3948" s="35" t="s">
        <v>655</v>
      </c>
      <c r="D3948" s="39">
        <v>402.29998779296875</v>
      </c>
      <c r="E3948" s="39">
        <v>375.9298095703125</v>
      </c>
      <c r="F3948" s="41">
        <v>1623720</v>
      </c>
      <c r="G3948" s="35" t="s">
        <v>685</v>
      </c>
      <c r="H3948" s="35" t="s">
        <v>115</v>
      </c>
    </row>
    <row r="3949" spans="1:8">
      <c r="A3949" s="37">
        <v>44062.15625</v>
      </c>
      <c r="B3949" s="35" t="s">
        <v>686</v>
      </c>
      <c r="C3949" s="35" t="s">
        <v>655</v>
      </c>
      <c r="D3949" s="39">
        <v>403.489990234375</v>
      </c>
      <c r="E3949" s="39">
        <v>377.04177856445313</v>
      </c>
      <c r="F3949" s="41">
        <v>2019690</v>
      </c>
      <c r="G3949" s="35" t="s">
        <v>685</v>
      </c>
      <c r="H3949" s="35" t="s">
        <v>115</v>
      </c>
    </row>
    <row r="3950" spans="1:8">
      <c r="A3950" s="37">
        <v>44063.15625</v>
      </c>
      <c r="B3950" s="35" t="s">
        <v>686</v>
      </c>
      <c r="C3950" s="35" t="s">
        <v>655</v>
      </c>
      <c r="D3950" s="39">
        <v>400.5</v>
      </c>
      <c r="E3950" s="39">
        <v>374.24774169921875</v>
      </c>
      <c r="F3950" s="41">
        <v>511515</v>
      </c>
      <c r="G3950" s="35" t="s">
        <v>685</v>
      </c>
      <c r="H3950" s="35" t="s">
        <v>115</v>
      </c>
    </row>
    <row r="3951" spans="1:8">
      <c r="A3951" s="37">
        <v>44064.15625</v>
      </c>
      <c r="B3951" s="35" t="s">
        <v>686</v>
      </c>
      <c r="C3951" s="35" t="s">
        <v>655</v>
      </c>
      <c r="D3951" s="39">
        <v>396.92001342773438</v>
      </c>
      <c r="E3951" s="39">
        <v>370.90255737304688</v>
      </c>
      <c r="F3951" s="41">
        <v>632990</v>
      </c>
      <c r="G3951" s="35" t="s">
        <v>685</v>
      </c>
      <c r="H3951" s="35" t="s">
        <v>115</v>
      </c>
    </row>
    <row r="3952" spans="1:8">
      <c r="A3952" s="37">
        <v>44067.15625</v>
      </c>
      <c r="B3952" s="35" t="s">
        <v>686</v>
      </c>
      <c r="C3952" s="35" t="s">
        <v>655</v>
      </c>
      <c r="D3952" s="39">
        <v>391.08999633789063</v>
      </c>
      <c r="E3952" s="39">
        <v>365.45465087890625</v>
      </c>
      <c r="F3952" s="41">
        <v>702690</v>
      </c>
      <c r="G3952" s="35" t="s">
        <v>685</v>
      </c>
      <c r="H3952" s="35" t="s">
        <v>115</v>
      </c>
    </row>
    <row r="3953" spans="1:8">
      <c r="A3953" s="37">
        <v>44068.15625</v>
      </c>
      <c r="B3953" s="35" t="s">
        <v>686</v>
      </c>
      <c r="C3953" s="35" t="s">
        <v>655</v>
      </c>
      <c r="D3953" s="39">
        <v>388.70999145507813</v>
      </c>
      <c r="E3953" s="39">
        <v>363.23065185546875</v>
      </c>
      <c r="F3953" s="41">
        <v>567460</v>
      </c>
      <c r="G3953" s="35" t="s">
        <v>685</v>
      </c>
      <c r="H3953" s="35" t="s">
        <v>115</v>
      </c>
    </row>
    <row r="3954" spans="1:8">
      <c r="A3954" s="37">
        <v>44069.15625</v>
      </c>
      <c r="B3954" s="35" t="s">
        <v>686</v>
      </c>
      <c r="C3954" s="35" t="s">
        <v>655</v>
      </c>
      <c r="D3954" s="39">
        <v>390.01998901367188</v>
      </c>
      <c r="E3954" s="39">
        <v>364.45477294921875</v>
      </c>
      <c r="F3954" s="41">
        <v>512565</v>
      </c>
      <c r="G3954" s="35" t="s">
        <v>685</v>
      </c>
      <c r="H3954" s="35" t="s">
        <v>115</v>
      </c>
    </row>
    <row r="3955" spans="1:8">
      <c r="A3955" s="37">
        <v>44070.15625</v>
      </c>
      <c r="B3955" s="35" t="s">
        <v>686</v>
      </c>
      <c r="C3955" s="35" t="s">
        <v>655</v>
      </c>
      <c r="D3955" s="39">
        <v>388.02999877929688</v>
      </c>
      <c r="E3955" s="39">
        <v>362.59518432617188</v>
      </c>
      <c r="F3955" s="41">
        <v>749420</v>
      </c>
      <c r="G3955" s="35" t="s">
        <v>685</v>
      </c>
      <c r="H3955" s="35" t="s">
        <v>115</v>
      </c>
    </row>
    <row r="3956" spans="1:8">
      <c r="A3956" s="37">
        <v>44071.15625</v>
      </c>
      <c r="B3956" s="35" t="s">
        <v>686</v>
      </c>
      <c r="C3956" s="35" t="s">
        <v>655</v>
      </c>
      <c r="D3956" s="39">
        <v>400.29000854492188</v>
      </c>
      <c r="E3956" s="39">
        <v>374.05157470703125</v>
      </c>
      <c r="F3956" s="41">
        <v>780740</v>
      </c>
      <c r="G3956" s="35" t="s">
        <v>685</v>
      </c>
      <c r="H3956" s="35" t="s">
        <v>115</v>
      </c>
    </row>
    <row r="3957" spans="1:8">
      <c r="A3957" s="37">
        <v>44074.15625</v>
      </c>
      <c r="B3957" s="35" t="s">
        <v>686</v>
      </c>
      <c r="C3957" s="35" t="s">
        <v>655</v>
      </c>
      <c r="D3957" s="39">
        <v>384.79998779296875</v>
      </c>
      <c r="E3957" s="39">
        <v>359.57696533203125</v>
      </c>
      <c r="F3957" s="41">
        <v>953320</v>
      </c>
      <c r="G3957" s="35" t="s">
        <v>685</v>
      </c>
      <c r="H3957" s="35" t="s">
        <v>115</v>
      </c>
    </row>
    <row r="3958" spans="1:8">
      <c r="A3958" s="37">
        <v>44075.15625</v>
      </c>
      <c r="B3958" s="35" t="s">
        <v>686</v>
      </c>
      <c r="C3958" s="35" t="s">
        <v>687</v>
      </c>
      <c r="D3958" s="39">
        <v>378.20001220703125</v>
      </c>
      <c r="E3958" s="39">
        <v>353.40957641601563</v>
      </c>
      <c r="F3958" s="41">
        <v>566885</v>
      </c>
      <c r="G3958" s="35" t="s">
        <v>685</v>
      </c>
      <c r="H3958" s="35" t="s">
        <v>115</v>
      </c>
    </row>
    <row r="3959" spans="1:8">
      <c r="A3959" s="37">
        <v>44076.15625</v>
      </c>
      <c r="B3959" s="35" t="s">
        <v>686</v>
      </c>
      <c r="C3959" s="35" t="s">
        <v>687</v>
      </c>
      <c r="D3959" s="39">
        <v>389.19000244140625</v>
      </c>
      <c r="E3959" s="39">
        <v>363.67913818359375</v>
      </c>
      <c r="F3959" s="41">
        <v>415810</v>
      </c>
      <c r="G3959" s="35" t="s">
        <v>685</v>
      </c>
      <c r="H3959" s="35" t="s">
        <v>115</v>
      </c>
    </row>
    <row r="3960" spans="1:8">
      <c r="A3960" s="37">
        <v>44077.15625</v>
      </c>
      <c r="B3960" s="35" t="s">
        <v>686</v>
      </c>
      <c r="C3960" s="35" t="s">
        <v>687</v>
      </c>
      <c r="D3960" s="39">
        <v>392.08999633789063</v>
      </c>
      <c r="E3960" s="39">
        <v>366.38906860351563</v>
      </c>
      <c r="F3960" s="41">
        <v>766285</v>
      </c>
      <c r="G3960" s="35" t="s">
        <v>685</v>
      </c>
      <c r="H3960" s="35" t="s">
        <v>115</v>
      </c>
    </row>
    <row r="3961" spans="1:8">
      <c r="A3961" s="37">
        <v>44078.15625</v>
      </c>
      <c r="B3961" s="35" t="s">
        <v>686</v>
      </c>
      <c r="C3961" s="35" t="s">
        <v>687</v>
      </c>
      <c r="D3961" s="39">
        <v>383.82000732421875</v>
      </c>
      <c r="E3961" s="39">
        <v>358.66116333007813</v>
      </c>
      <c r="F3961" s="41">
        <v>419885</v>
      </c>
      <c r="G3961" s="35" t="s">
        <v>685</v>
      </c>
      <c r="H3961" s="35" t="s">
        <v>115</v>
      </c>
    </row>
    <row r="3962" spans="1:8">
      <c r="A3962" s="37">
        <v>44081.15625</v>
      </c>
      <c r="B3962" s="35" t="s">
        <v>686</v>
      </c>
      <c r="C3962" s="35" t="s">
        <v>687</v>
      </c>
      <c r="D3962" s="39">
        <v>384.5</v>
      </c>
      <c r="E3962" s="39">
        <v>359.29660034179688</v>
      </c>
      <c r="F3962" s="41">
        <v>398190</v>
      </c>
      <c r="G3962" s="35" t="s">
        <v>685</v>
      </c>
      <c r="H3962" s="35" t="s">
        <v>115</v>
      </c>
    </row>
    <row r="3963" spans="1:8">
      <c r="A3963" s="37">
        <v>44082.15625</v>
      </c>
      <c r="B3963" s="35" t="s">
        <v>686</v>
      </c>
      <c r="C3963" s="35" t="s">
        <v>687</v>
      </c>
      <c r="D3963" s="39">
        <v>388.82998657226563</v>
      </c>
      <c r="E3963" s="39">
        <v>363.3427734375</v>
      </c>
      <c r="F3963" s="41">
        <v>1126985</v>
      </c>
      <c r="G3963" s="35" t="s">
        <v>685</v>
      </c>
      <c r="H3963" s="35" t="s">
        <v>115</v>
      </c>
    </row>
    <row r="3964" spans="1:8">
      <c r="A3964" s="37">
        <v>44083.15625</v>
      </c>
      <c r="B3964" s="35" t="s">
        <v>686</v>
      </c>
      <c r="C3964" s="35" t="s">
        <v>687</v>
      </c>
      <c r="D3964" s="39">
        <v>381.95001220703125</v>
      </c>
      <c r="E3964" s="39">
        <v>356.91378784179688</v>
      </c>
      <c r="F3964" s="41">
        <v>473450</v>
      </c>
      <c r="G3964" s="35" t="s">
        <v>685</v>
      </c>
      <c r="H3964" s="35" t="s">
        <v>115</v>
      </c>
    </row>
    <row r="3965" spans="1:8">
      <c r="A3965" s="37">
        <v>44084.15625</v>
      </c>
      <c r="B3965" s="35" t="s">
        <v>686</v>
      </c>
      <c r="C3965" s="35" t="s">
        <v>687</v>
      </c>
      <c r="D3965" s="39">
        <v>382.35000610351563</v>
      </c>
      <c r="E3965" s="39">
        <v>357.28756713867188</v>
      </c>
      <c r="F3965" s="41">
        <v>430450</v>
      </c>
      <c r="G3965" s="35" t="s">
        <v>685</v>
      </c>
      <c r="H3965" s="35" t="s">
        <v>115</v>
      </c>
    </row>
    <row r="3966" spans="1:8">
      <c r="A3966" s="37">
        <v>44085.15625</v>
      </c>
      <c r="B3966" s="35" t="s">
        <v>686</v>
      </c>
      <c r="C3966" s="35" t="s">
        <v>687</v>
      </c>
      <c r="D3966" s="39">
        <v>418.1199951171875</v>
      </c>
      <c r="E3966" s="39">
        <v>390.712890625</v>
      </c>
      <c r="F3966" s="41">
        <v>8864450</v>
      </c>
      <c r="G3966" s="35" t="s">
        <v>685</v>
      </c>
      <c r="H3966" s="35" t="s">
        <v>115</v>
      </c>
    </row>
    <row r="3967" spans="1:8">
      <c r="A3967" s="37">
        <v>44088.15625</v>
      </c>
      <c r="B3967" s="35" t="s">
        <v>686</v>
      </c>
      <c r="C3967" s="35" t="s">
        <v>687</v>
      </c>
      <c r="D3967" s="39">
        <v>430.94000244140625</v>
      </c>
      <c r="E3967" s="39">
        <v>402.69253540039063</v>
      </c>
      <c r="F3967" s="41">
        <v>5455910</v>
      </c>
      <c r="G3967" s="35" t="s">
        <v>685</v>
      </c>
      <c r="H3967" s="35" t="s">
        <v>115</v>
      </c>
    </row>
    <row r="3968" spans="1:8">
      <c r="A3968" s="37">
        <v>44089.15625</v>
      </c>
      <c r="B3968" s="35" t="s">
        <v>686</v>
      </c>
      <c r="C3968" s="35" t="s">
        <v>687</v>
      </c>
      <c r="D3968" s="39">
        <v>428.97000122070313</v>
      </c>
      <c r="E3968" s="39">
        <v>400.85171508789063</v>
      </c>
      <c r="F3968" s="41">
        <v>1771505</v>
      </c>
      <c r="G3968" s="35" t="s">
        <v>685</v>
      </c>
      <c r="H3968" s="35" t="s">
        <v>115</v>
      </c>
    </row>
    <row r="3969" spans="1:8">
      <c r="A3969" s="37">
        <v>44090.15625</v>
      </c>
      <c r="B3969" s="35" t="s">
        <v>686</v>
      </c>
      <c r="C3969" s="35" t="s">
        <v>687</v>
      </c>
      <c r="D3969" s="39">
        <v>436.30999755859375</v>
      </c>
      <c r="E3969" s="39">
        <v>407.7105712890625</v>
      </c>
      <c r="F3969" s="41">
        <v>1272895</v>
      </c>
      <c r="G3969" s="35" t="s">
        <v>685</v>
      </c>
      <c r="H3969" s="35" t="s">
        <v>115</v>
      </c>
    </row>
    <row r="3970" spans="1:8">
      <c r="A3970" s="37">
        <v>44091.15625</v>
      </c>
      <c r="B3970" s="35" t="s">
        <v>686</v>
      </c>
      <c r="C3970" s="35" t="s">
        <v>687</v>
      </c>
      <c r="D3970" s="39">
        <v>451.54000854492188</v>
      </c>
      <c r="E3970" s="39">
        <v>421.94223022460938</v>
      </c>
      <c r="F3970" s="41">
        <v>3455330</v>
      </c>
      <c r="G3970" s="35" t="s">
        <v>685</v>
      </c>
      <c r="H3970" s="35" t="s">
        <v>115</v>
      </c>
    </row>
    <row r="3971" spans="1:8">
      <c r="A3971" s="37">
        <v>44092.15625</v>
      </c>
      <c r="B3971" s="35" t="s">
        <v>686</v>
      </c>
      <c r="C3971" s="35" t="s">
        <v>687</v>
      </c>
      <c r="D3971" s="39">
        <v>438.739990234375</v>
      </c>
      <c r="E3971" s="39">
        <v>409.981201171875</v>
      </c>
      <c r="F3971" s="41">
        <v>1468915</v>
      </c>
      <c r="G3971" s="35" t="s">
        <v>685</v>
      </c>
      <c r="H3971" s="35" t="s">
        <v>115</v>
      </c>
    </row>
    <row r="3972" spans="1:8">
      <c r="A3972" s="37">
        <v>44095.15625</v>
      </c>
      <c r="B3972" s="35" t="s">
        <v>686</v>
      </c>
      <c r="C3972" s="35" t="s">
        <v>687</v>
      </c>
      <c r="D3972" s="39">
        <v>420.54998779296875</v>
      </c>
      <c r="E3972" s="39">
        <v>392.98355102539063</v>
      </c>
      <c r="F3972" s="41">
        <v>3716985</v>
      </c>
      <c r="G3972" s="35" t="s">
        <v>685</v>
      </c>
      <c r="H3972" s="35" t="s">
        <v>115</v>
      </c>
    </row>
    <row r="3973" spans="1:8">
      <c r="A3973" s="37">
        <v>44096.15625</v>
      </c>
      <c r="B3973" s="35" t="s">
        <v>686</v>
      </c>
      <c r="C3973" s="35" t="s">
        <v>687</v>
      </c>
      <c r="D3973" s="39">
        <v>432.260009765625</v>
      </c>
      <c r="E3973" s="39">
        <v>403.926025390625</v>
      </c>
      <c r="F3973" s="41">
        <v>2537965</v>
      </c>
      <c r="G3973" s="35" t="s">
        <v>685</v>
      </c>
      <c r="H3973" s="35" t="s">
        <v>115</v>
      </c>
    </row>
    <row r="3974" spans="1:8">
      <c r="A3974" s="37">
        <v>44097.15625</v>
      </c>
      <c r="B3974" s="35" t="s">
        <v>686</v>
      </c>
      <c r="C3974" s="35" t="s">
        <v>687</v>
      </c>
      <c r="D3974" s="39">
        <v>444.67999267578125</v>
      </c>
      <c r="E3974" s="39">
        <v>415.53189086914063</v>
      </c>
      <c r="F3974" s="41">
        <v>2904800</v>
      </c>
      <c r="G3974" s="35" t="s">
        <v>685</v>
      </c>
      <c r="H3974" s="35" t="s">
        <v>115</v>
      </c>
    </row>
    <row r="3975" spans="1:8">
      <c r="A3975" s="37">
        <v>44098.15625</v>
      </c>
      <c r="B3975" s="35" t="s">
        <v>686</v>
      </c>
      <c r="C3975" s="35" t="s">
        <v>687</v>
      </c>
      <c r="D3975" s="39">
        <v>422.8900146484375</v>
      </c>
      <c r="E3975" s="39">
        <v>395.17019653320313</v>
      </c>
      <c r="F3975" s="41">
        <v>1486560</v>
      </c>
      <c r="G3975" s="35" t="s">
        <v>685</v>
      </c>
      <c r="H3975" s="35" t="s">
        <v>115</v>
      </c>
    </row>
    <row r="3976" spans="1:8">
      <c r="A3976" s="37">
        <v>44099.15625</v>
      </c>
      <c r="B3976" s="35" t="s">
        <v>686</v>
      </c>
      <c r="C3976" s="35" t="s">
        <v>687</v>
      </c>
      <c r="D3976" s="39">
        <v>460.8699951171875</v>
      </c>
      <c r="E3976" s="39">
        <v>430.6607666015625</v>
      </c>
      <c r="F3976" s="41">
        <v>5850170</v>
      </c>
      <c r="G3976" s="35" t="s">
        <v>685</v>
      </c>
      <c r="H3976" s="35" t="s">
        <v>115</v>
      </c>
    </row>
    <row r="3977" spans="1:8">
      <c r="A3977" s="37">
        <v>44102.15625</v>
      </c>
      <c r="B3977" s="35" t="s">
        <v>686</v>
      </c>
      <c r="C3977" s="35" t="s">
        <v>687</v>
      </c>
      <c r="D3977" s="39">
        <v>476.79998779296875</v>
      </c>
      <c r="E3977" s="39">
        <v>445.54644775390625</v>
      </c>
      <c r="F3977" s="41">
        <v>3125450</v>
      </c>
      <c r="G3977" s="35" t="s">
        <v>685</v>
      </c>
      <c r="H3977" s="35" t="s">
        <v>115</v>
      </c>
    </row>
    <row r="3978" spans="1:8">
      <c r="A3978" s="37">
        <v>44103.15625</v>
      </c>
      <c r="B3978" s="35" t="s">
        <v>686</v>
      </c>
      <c r="C3978" s="35" t="s">
        <v>687</v>
      </c>
      <c r="D3978" s="39">
        <v>466.17001342773438</v>
      </c>
      <c r="E3978" s="39">
        <v>435.61325073242188</v>
      </c>
      <c r="F3978" s="41">
        <v>2140500</v>
      </c>
      <c r="G3978" s="35" t="s">
        <v>685</v>
      </c>
      <c r="H3978" s="35" t="s">
        <v>115</v>
      </c>
    </row>
    <row r="3979" spans="1:8">
      <c r="A3979" s="37">
        <v>44104.15625</v>
      </c>
      <c r="B3979" s="35" t="s">
        <v>686</v>
      </c>
      <c r="C3979" s="35" t="s">
        <v>687</v>
      </c>
      <c r="D3979" s="39">
        <v>464.44000244140625</v>
      </c>
      <c r="E3979" s="39">
        <v>433.99664306640625</v>
      </c>
      <c r="F3979" s="41">
        <v>1656815</v>
      </c>
      <c r="G3979" s="35" t="s">
        <v>685</v>
      </c>
      <c r="H3979" s="35" t="s">
        <v>115</v>
      </c>
    </row>
    <row r="3980" spans="1:8">
      <c r="A3980" s="37">
        <v>44105.15625</v>
      </c>
      <c r="B3980" s="35" t="s">
        <v>686</v>
      </c>
      <c r="C3980" s="35" t="s">
        <v>687</v>
      </c>
      <c r="D3980" s="39">
        <v>467.16000366210938</v>
      </c>
      <c r="E3980" s="39">
        <v>436.53836059570313</v>
      </c>
      <c r="F3980" s="41">
        <v>1528640</v>
      </c>
      <c r="G3980" s="35" t="s">
        <v>685</v>
      </c>
      <c r="H3980" s="35" t="s">
        <v>115</v>
      </c>
    </row>
    <row r="3981" spans="1:8">
      <c r="A3981" s="37">
        <v>44109.15625</v>
      </c>
      <c r="B3981" s="35" t="s">
        <v>686</v>
      </c>
      <c r="C3981" s="35" t="s">
        <v>687</v>
      </c>
      <c r="D3981" s="39">
        <v>469.01998901367188</v>
      </c>
      <c r="E3981" s="39">
        <v>438.27642822265625</v>
      </c>
      <c r="F3981" s="41">
        <v>2791590</v>
      </c>
      <c r="G3981" s="35" t="s">
        <v>685</v>
      </c>
      <c r="H3981" s="35" t="s">
        <v>115</v>
      </c>
    </row>
    <row r="3982" spans="1:8">
      <c r="A3982" s="37">
        <v>44110.15625</v>
      </c>
      <c r="B3982" s="35" t="s">
        <v>686</v>
      </c>
      <c r="C3982" s="35" t="s">
        <v>687</v>
      </c>
      <c r="D3982" s="39">
        <v>480.72000122070313</v>
      </c>
      <c r="E3982" s="39">
        <v>449.20947265625</v>
      </c>
      <c r="F3982" s="41">
        <v>2055495</v>
      </c>
      <c r="G3982" s="35" t="s">
        <v>685</v>
      </c>
      <c r="H3982" s="35" t="s">
        <v>115</v>
      </c>
    </row>
    <row r="3983" spans="1:8">
      <c r="A3983" s="37">
        <v>44111.15625</v>
      </c>
      <c r="B3983" s="35" t="s">
        <v>686</v>
      </c>
      <c r="C3983" s="35" t="s">
        <v>687</v>
      </c>
      <c r="D3983" s="39">
        <v>479.07998657226563</v>
      </c>
      <c r="E3983" s="39">
        <v>447.67697143554688</v>
      </c>
      <c r="F3983" s="41">
        <v>1223120</v>
      </c>
      <c r="G3983" s="35" t="s">
        <v>685</v>
      </c>
      <c r="H3983" s="35" t="s">
        <v>115</v>
      </c>
    </row>
    <row r="3984" spans="1:8">
      <c r="A3984" s="37">
        <v>44112.15625</v>
      </c>
      <c r="B3984" s="35" t="s">
        <v>686</v>
      </c>
      <c r="C3984" s="35" t="s">
        <v>687</v>
      </c>
      <c r="D3984" s="39">
        <v>493.47000122070313</v>
      </c>
      <c r="E3984" s="39">
        <v>461.123779296875</v>
      </c>
      <c r="F3984" s="41">
        <v>5085030</v>
      </c>
      <c r="G3984" s="35" t="s">
        <v>685</v>
      </c>
      <c r="H3984" s="35" t="s">
        <v>115</v>
      </c>
    </row>
    <row r="3985" spans="1:8">
      <c r="A3985" s="37">
        <v>44113.15625</v>
      </c>
      <c r="B3985" s="35" t="s">
        <v>686</v>
      </c>
      <c r="C3985" s="35" t="s">
        <v>687</v>
      </c>
      <c r="D3985" s="39">
        <v>493.29000854492188</v>
      </c>
      <c r="E3985" s="39">
        <v>460.95559692382813</v>
      </c>
      <c r="F3985" s="41">
        <v>1644845</v>
      </c>
      <c r="G3985" s="35" t="s">
        <v>685</v>
      </c>
      <c r="H3985" s="35" t="s">
        <v>115</v>
      </c>
    </row>
    <row r="3986" spans="1:8">
      <c r="A3986" s="37">
        <v>44116.15625</v>
      </c>
      <c r="B3986" s="35" t="s">
        <v>686</v>
      </c>
      <c r="C3986" s="35" t="s">
        <v>687</v>
      </c>
      <c r="D3986" s="39">
        <v>533.52001953125</v>
      </c>
      <c r="E3986" s="39">
        <v>498.54864501953125</v>
      </c>
      <c r="F3986" s="41">
        <v>8706705</v>
      </c>
      <c r="G3986" s="35" t="s">
        <v>685</v>
      </c>
      <c r="H3986" s="35" t="s">
        <v>115</v>
      </c>
    </row>
    <row r="3987" spans="1:8">
      <c r="A3987" s="37">
        <v>44117.15625</v>
      </c>
      <c r="B3987" s="35" t="s">
        <v>686</v>
      </c>
      <c r="C3987" s="35" t="s">
        <v>687</v>
      </c>
      <c r="D3987" s="39">
        <v>559.5</v>
      </c>
      <c r="E3987" s="39">
        <v>522.82562255859375</v>
      </c>
      <c r="F3987" s="41">
        <v>8500000</v>
      </c>
      <c r="G3987" s="35" t="s">
        <v>685</v>
      </c>
      <c r="H3987" s="35" t="s">
        <v>115</v>
      </c>
    </row>
    <row r="3988" spans="1:8">
      <c r="A3988" s="37">
        <v>44118.15625</v>
      </c>
      <c r="B3988" s="35" t="s">
        <v>686</v>
      </c>
      <c r="C3988" s="35" t="s">
        <v>687</v>
      </c>
      <c r="D3988" s="39">
        <v>521.34002685546875</v>
      </c>
      <c r="E3988" s="39">
        <v>487.1669921875</v>
      </c>
      <c r="F3988" s="41">
        <v>6783260</v>
      </c>
      <c r="G3988" s="35" t="s">
        <v>685</v>
      </c>
      <c r="H3988" s="35" t="s">
        <v>115</v>
      </c>
    </row>
    <row r="3989" spans="1:8">
      <c r="A3989" s="37">
        <v>44119.15625</v>
      </c>
      <c r="B3989" s="35" t="s">
        <v>686</v>
      </c>
      <c r="C3989" s="35" t="s">
        <v>687</v>
      </c>
      <c r="D3989" s="39">
        <v>501.73001098632813</v>
      </c>
      <c r="E3989" s="39">
        <v>468.84237670898438</v>
      </c>
      <c r="F3989" s="41">
        <v>5275480</v>
      </c>
      <c r="G3989" s="35" t="s">
        <v>685</v>
      </c>
      <c r="H3989" s="35" t="s">
        <v>115</v>
      </c>
    </row>
    <row r="3990" spans="1:8">
      <c r="A3990" s="37">
        <v>44120.15625</v>
      </c>
      <c r="B3990" s="35" t="s">
        <v>686</v>
      </c>
      <c r="C3990" s="35" t="s">
        <v>687</v>
      </c>
      <c r="D3990" s="39">
        <v>515.44000244140625</v>
      </c>
      <c r="E3990" s="39">
        <v>481.65362548828125</v>
      </c>
      <c r="F3990" s="41">
        <v>5333280</v>
      </c>
      <c r="G3990" s="35" t="s">
        <v>685</v>
      </c>
      <c r="H3990" s="35" t="s">
        <v>115</v>
      </c>
    </row>
    <row r="3991" spans="1:8">
      <c r="A3991" s="37">
        <v>44123.15625</v>
      </c>
      <c r="B3991" s="35" t="s">
        <v>686</v>
      </c>
      <c r="C3991" s="35" t="s">
        <v>687</v>
      </c>
      <c r="D3991" s="39">
        <v>508.69000244140625</v>
      </c>
      <c r="E3991" s="39">
        <v>475.34613037109375</v>
      </c>
      <c r="F3991" s="41">
        <v>3455985</v>
      </c>
      <c r="G3991" s="35" t="s">
        <v>685</v>
      </c>
      <c r="H3991" s="35" t="s">
        <v>115</v>
      </c>
    </row>
    <row r="3992" spans="1:8">
      <c r="A3992" s="37">
        <v>44124.15625</v>
      </c>
      <c r="B3992" s="35" t="s">
        <v>686</v>
      </c>
      <c r="C3992" s="35" t="s">
        <v>687</v>
      </c>
      <c r="D3992" s="39">
        <v>515.20001220703125</v>
      </c>
      <c r="E3992" s="39">
        <v>481.4293212890625</v>
      </c>
      <c r="F3992" s="41">
        <v>4053645</v>
      </c>
      <c r="G3992" s="35" t="s">
        <v>685</v>
      </c>
      <c r="H3992" s="35" t="s">
        <v>115</v>
      </c>
    </row>
    <row r="3993" spans="1:8">
      <c r="A3993" s="37">
        <v>44125.15625</v>
      </c>
      <c r="B3993" s="35" t="s">
        <v>686</v>
      </c>
      <c r="C3993" s="35" t="s">
        <v>687</v>
      </c>
      <c r="D3993" s="39">
        <v>502.32000732421875</v>
      </c>
      <c r="E3993" s="39">
        <v>469.39361572265625</v>
      </c>
      <c r="F3993" s="41">
        <v>3200440</v>
      </c>
      <c r="G3993" s="35" t="s">
        <v>685</v>
      </c>
      <c r="H3993" s="35" t="s">
        <v>115</v>
      </c>
    </row>
    <row r="3994" spans="1:8">
      <c r="A3994" s="37">
        <v>44126.15625</v>
      </c>
      <c r="B3994" s="35" t="s">
        <v>686</v>
      </c>
      <c r="C3994" s="35" t="s">
        <v>687</v>
      </c>
      <c r="D3994" s="39">
        <v>491.32998657226563</v>
      </c>
      <c r="E3994" s="39">
        <v>459.1240234375</v>
      </c>
      <c r="F3994" s="41">
        <v>3756885</v>
      </c>
      <c r="G3994" s="35" t="s">
        <v>685</v>
      </c>
      <c r="H3994" s="35" t="s">
        <v>115</v>
      </c>
    </row>
    <row r="3995" spans="1:8">
      <c r="A3995" s="37">
        <v>44127.15625</v>
      </c>
      <c r="B3995" s="35" t="s">
        <v>686</v>
      </c>
      <c r="C3995" s="35" t="s">
        <v>687</v>
      </c>
      <c r="D3995" s="39">
        <v>476.01998901367188</v>
      </c>
      <c r="E3995" s="39">
        <v>444.81759643554688</v>
      </c>
      <c r="F3995" s="41">
        <v>8337545</v>
      </c>
      <c r="G3995" s="35" t="s">
        <v>685</v>
      </c>
      <c r="H3995" s="35" t="s">
        <v>115</v>
      </c>
    </row>
    <row r="3996" spans="1:8">
      <c r="A3996" s="37">
        <v>44130.15625</v>
      </c>
      <c r="B3996" s="35" t="s">
        <v>686</v>
      </c>
      <c r="C3996" s="35" t="s">
        <v>687</v>
      </c>
      <c r="D3996" s="39">
        <v>442.42999267578125</v>
      </c>
      <c r="E3996" s="39">
        <v>413.42929077148438</v>
      </c>
      <c r="F3996" s="41">
        <v>30923085</v>
      </c>
      <c r="G3996" s="35" t="s">
        <v>685</v>
      </c>
      <c r="H3996" s="35" t="s">
        <v>115</v>
      </c>
    </row>
    <row r="3997" spans="1:8">
      <c r="A3997" s="37">
        <v>44131.15625</v>
      </c>
      <c r="B3997" s="35" t="s">
        <v>686</v>
      </c>
      <c r="C3997" s="35" t="s">
        <v>687</v>
      </c>
      <c r="D3997" s="39">
        <v>445.739990234375</v>
      </c>
      <c r="E3997" s="39">
        <v>416.52239990234375</v>
      </c>
      <c r="F3997" s="41">
        <v>5020670</v>
      </c>
      <c r="G3997" s="35" t="s">
        <v>685</v>
      </c>
      <c r="H3997" s="35" t="s">
        <v>115</v>
      </c>
    </row>
    <row r="3998" spans="1:8">
      <c r="A3998" s="37">
        <v>44132.15625</v>
      </c>
      <c r="B3998" s="35" t="s">
        <v>686</v>
      </c>
      <c r="C3998" s="35" t="s">
        <v>687</v>
      </c>
      <c r="D3998" s="39">
        <v>448.45999145507813</v>
      </c>
      <c r="E3998" s="39">
        <v>419.0640869140625</v>
      </c>
      <c r="F3998" s="41">
        <v>2771375</v>
      </c>
      <c r="G3998" s="35" t="s">
        <v>685</v>
      </c>
      <c r="H3998" s="35" t="s">
        <v>115</v>
      </c>
    </row>
    <row r="3999" spans="1:8">
      <c r="A3999" s="37">
        <v>44133.15625</v>
      </c>
      <c r="B3999" s="35" t="s">
        <v>686</v>
      </c>
      <c r="C3999" s="35" t="s">
        <v>687</v>
      </c>
      <c r="D3999" s="39">
        <v>440.1400146484375</v>
      </c>
      <c r="E3999" s="39">
        <v>411.28948974609375</v>
      </c>
      <c r="F3999" s="41">
        <v>3179050</v>
      </c>
      <c r="G3999" s="35" t="s">
        <v>685</v>
      </c>
      <c r="H3999" s="35" t="s">
        <v>115</v>
      </c>
    </row>
    <row r="4000" spans="1:8">
      <c r="A4000" s="37">
        <v>44134.15625</v>
      </c>
      <c r="B4000" s="35" t="s">
        <v>686</v>
      </c>
      <c r="C4000" s="35" t="s">
        <v>687</v>
      </c>
      <c r="D4000" s="39">
        <v>441.1300048828125</v>
      </c>
      <c r="E4000" s="39">
        <v>412.21450805664063</v>
      </c>
      <c r="F4000" s="41">
        <v>4001285</v>
      </c>
      <c r="G4000" s="35" t="s">
        <v>685</v>
      </c>
      <c r="H4000" s="35" t="s">
        <v>115</v>
      </c>
    </row>
    <row r="4001" spans="1:8">
      <c r="A4001" s="37">
        <v>44137.15625</v>
      </c>
      <c r="B4001" s="35" t="s">
        <v>686</v>
      </c>
      <c r="C4001" s="35" t="s">
        <v>687</v>
      </c>
      <c r="D4001" s="39">
        <v>423.57998657226563</v>
      </c>
      <c r="E4001" s="39">
        <v>395.81491088867188</v>
      </c>
      <c r="F4001" s="41">
        <v>2146650</v>
      </c>
      <c r="G4001" s="35" t="s">
        <v>685</v>
      </c>
      <c r="H4001" s="35" t="s">
        <v>115</v>
      </c>
    </row>
    <row r="4002" spans="1:8">
      <c r="A4002" s="37">
        <v>44138.15625</v>
      </c>
      <c r="B4002" s="35" t="s">
        <v>686</v>
      </c>
      <c r="C4002" s="35" t="s">
        <v>687</v>
      </c>
      <c r="D4002" s="39">
        <v>425.91000366210938</v>
      </c>
      <c r="E4002" s="39">
        <v>397.99221801757813</v>
      </c>
      <c r="F4002" s="41">
        <v>3442865</v>
      </c>
      <c r="G4002" s="35" t="s">
        <v>685</v>
      </c>
      <c r="H4002" s="35" t="s">
        <v>115</v>
      </c>
    </row>
    <row r="4003" spans="1:8">
      <c r="A4003" s="37">
        <v>44139.15625</v>
      </c>
      <c r="B4003" s="35" t="s">
        <v>686</v>
      </c>
      <c r="C4003" s="35" t="s">
        <v>687</v>
      </c>
      <c r="D4003" s="39">
        <v>436.75</v>
      </c>
      <c r="E4003" s="39">
        <v>408.12167358398438</v>
      </c>
      <c r="F4003" s="41">
        <v>4162875</v>
      </c>
      <c r="G4003" s="35" t="s">
        <v>685</v>
      </c>
      <c r="H4003" s="35" t="s">
        <v>115</v>
      </c>
    </row>
    <row r="4004" spans="1:8">
      <c r="A4004" s="37">
        <v>44140.15625</v>
      </c>
      <c r="B4004" s="35" t="s">
        <v>686</v>
      </c>
      <c r="C4004" s="35" t="s">
        <v>687</v>
      </c>
      <c r="D4004" s="39">
        <v>439.54998779296875</v>
      </c>
      <c r="E4004" s="39">
        <v>410.73806762695313</v>
      </c>
      <c r="F4004" s="41">
        <v>1786535</v>
      </c>
      <c r="G4004" s="35" t="s">
        <v>685</v>
      </c>
      <c r="H4004" s="35" t="s">
        <v>115</v>
      </c>
    </row>
    <row r="4005" spans="1:8">
      <c r="A4005" s="37">
        <v>44141.15625</v>
      </c>
      <c r="B4005" s="35" t="s">
        <v>686</v>
      </c>
      <c r="C4005" s="35" t="s">
        <v>687</v>
      </c>
      <c r="D4005" s="39">
        <v>443.6099853515625</v>
      </c>
      <c r="E4005" s="39">
        <v>414.53201293945313</v>
      </c>
      <c r="F4005" s="41">
        <v>1959760</v>
      </c>
      <c r="G4005" s="35" t="s">
        <v>685</v>
      </c>
      <c r="H4005" s="35" t="s">
        <v>115</v>
      </c>
    </row>
    <row r="4006" spans="1:8">
      <c r="A4006" s="37">
        <v>44144.15625</v>
      </c>
      <c r="B4006" s="35" t="s">
        <v>686</v>
      </c>
      <c r="C4006" s="35" t="s">
        <v>687</v>
      </c>
      <c r="D4006" s="39">
        <v>466.02999877929688</v>
      </c>
      <c r="E4006" s="39">
        <v>435.48245239257813</v>
      </c>
      <c r="F4006" s="41">
        <v>5132060</v>
      </c>
      <c r="G4006" s="35" t="s">
        <v>685</v>
      </c>
      <c r="H4006" s="35" t="s">
        <v>115</v>
      </c>
    </row>
    <row r="4007" spans="1:8">
      <c r="A4007" s="37">
        <v>44145.15625</v>
      </c>
      <c r="B4007" s="35" t="s">
        <v>686</v>
      </c>
      <c r="C4007" s="35" t="s">
        <v>687</v>
      </c>
      <c r="D4007" s="39">
        <v>444.77999877929688</v>
      </c>
      <c r="E4007" s="39">
        <v>415.6253662109375</v>
      </c>
      <c r="F4007" s="41">
        <v>3793030</v>
      </c>
      <c r="G4007" s="35" t="s">
        <v>685</v>
      </c>
      <c r="H4007" s="35" t="s">
        <v>115</v>
      </c>
    </row>
    <row r="4008" spans="1:8">
      <c r="A4008" s="37">
        <v>44146.15625</v>
      </c>
      <c r="B4008" s="35" t="s">
        <v>686</v>
      </c>
      <c r="C4008" s="35" t="s">
        <v>687</v>
      </c>
      <c r="D4008" s="39">
        <v>457.94000244140625</v>
      </c>
      <c r="E4008" s="39">
        <v>427.92276000976563</v>
      </c>
      <c r="F4008" s="41">
        <v>2852350</v>
      </c>
      <c r="G4008" s="35" t="s">
        <v>685</v>
      </c>
      <c r="H4008" s="35" t="s">
        <v>115</v>
      </c>
    </row>
    <row r="4009" spans="1:8">
      <c r="A4009" s="37">
        <v>44147.15625</v>
      </c>
      <c r="B4009" s="35" t="s">
        <v>686</v>
      </c>
      <c r="C4009" s="35" t="s">
        <v>687</v>
      </c>
      <c r="D4009" s="39">
        <v>467.04998779296875</v>
      </c>
      <c r="E4009" s="39">
        <v>436.43551635742188</v>
      </c>
      <c r="F4009" s="41">
        <v>3533055</v>
      </c>
      <c r="G4009" s="35" t="s">
        <v>685</v>
      </c>
      <c r="H4009" s="35" t="s">
        <v>115</v>
      </c>
    </row>
    <row r="4010" spans="1:8">
      <c r="A4010" s="37">
        <v>44148.15625</v>
      </c>
      <c r="B4010" s="35" t="s">
        <v>686</v>
      </c>
      <c r="C4010" s="35" t="s">
        <v>687</v>
      </c>
      <c r="D4010" s="39">
        <v>460.8599853515625</v>
      </c>
      <c r="E4010" s="39">
        <v>430.65127563476563</v>
      </c>
      <c r="F4010" s="41">
        <v>1934355</v>
      </c>
      <c r="G4010" s="35" t="s">
        <v>685</v>
      </c>
      <c r="H4010" s="35" t="s">
        <v>115</v>
      </c>
    </row>
    <row r="4011" spans="1:8">
      <c r="A4011" s="37">
        <v>44149.489583333336</v>
      </c>
      <c r="B4011" s="35" t="s">
        <v>686</v>
      </c>
      <c r="C4011" s="35" t="s">
        <v>687</v>
      </c>
      <c r="D4011" s="39">
        <v>463.79000854492188</v>
      </c>
      <c r="E4011" s="39">
        <v>433.38925170898438</v>
      </c>
      <c r="F4011" s="41">
        <v>226260</v>
      </c>
      <c r="G4011" s="35" t="s">
        <v>685</v>
      </c>
      <c r="H4011" s="35" t="s">
        <v>115</v>
      </c>
    </row>
    <row r="4012" spans="1:8">
      <c r="A4012" s="37">
        <v>44152.15625</v>
      </c>
      <c r="B4012" s="35" t="s">
        <v>686</v>
      </c>
      <c r="C4012" s="35" t="s">
        <v>687</v>
      </c>
      <c r="D4012" s="39">
        <v>460.77999877929688</v>
      </c>
      <c r="E4012" s="39">
        <v>430.57650756835938</v>
      </c>
      <c r="F4012" s="41">
        <v>1368420</v>
      </c>
      <c r="G4012" s="35" t="s">
        <v>685</v>
      </c>
      <c r="H4012" s="35" t="s">
        <v>115</v>
      </c>
    </row>
    <row r="4013" spans="1:8">
      <c r="A4013" s="37">
        <v>44153.15625</v>
      </c>
      <c r="B4013" s="35" t="s">
        <v>686</v>
      </c>
      <c r="C4013" s="35" t="s">
        <v>687</v>
      </c>
      <c r="D4013" s="39">
        <v>463.6099853515625</v>
      </c>
      <c r="E4013" s="39">
        <v>433.22103881835938</v>
      </c>
      <c r="F4013" s="41">
        <v>1439195</v>
      </c>
      <c r="G4013" s="35" t="s">
        <v>685</v>
      </c>
      <c r="H4013" s="35" t="s">
        <v>115</v>
      </c>
    </row>
    <row r="4014" spans="1:8">
      <c r="A4014" s="37">
        <v>44154.15625</v>
      </c>
      <c r="B4014" s="35" t="s">
        <v>686</v>
      </c>
      <c r="C4014" s="35" t="s">
        <v>687</v>
      </c>
      <c r="D4014" s="39">
        <v>466.27999877929688</v>
      </c>
      <c r="E4014" s="39">
        <v>435.71600341796875</v>
      </c>
      <c r="F4014" s="41">
        <v>3509025</v>
      </c>
      <c r="G4014" s="35" t="s">
        <v>685</v>
      </c>
      <c r="H4014" s="35" t="s">
        <v>115</v>
      </c>
    </row>
    <row r="4015" spans="1:8">
      <c r="A4015" s="37">
        <v>44155.15625</v>
      </c>
      <c r="B4015" s="35" t="s">
        <v>686</v>
      </c>
      <c r="C4015" s="35" t="s">
        <v>687</v>
      </c>
      <c r="D4015" s="39">
        <v>471</v>
      </c>
      <c r="E4015" s="39">
        <v>440.12664794921875</v>
      </c>
      <c r="F4015" s="41">
        <v>3582630</v>
      </c>
      <c r="G4015" s="35" t="s">
        <v>685</v>
      </c>
      <c r="H4015" s="35" t="s">
        <v>115</v>
      </c>
    </row>
    <row r="4016" spans="1:8">
      <c r="A4016" s="37">
        <v>44158.15625</v>
      </c>
      <c r="B4016" s="35" t="s">
        <v>686</v>
      </c>
      <c r="C4016" s="35" t="s">
        <v>687</v>
      </c>
      <c r="D4016" s="39">
        <v>484.92999267578125</v>
      </c>
      <c r="E4016" s="39">
        <v>453.14358520507813</v>
      </c>
      <c r="F4016" s="41">
        <v>3021960</v>
      </c>
      <c r="G4016" s="35" t="s">
        <v>685</v>
      </c>
      <c r="H4016" s="35" t="s">
        <v>115</v>
      </c>
    </row>
    <row r="4017" spans="1:8">
      <c r="A4017" s="37">
        <v>44159.15625</v>
      </c>
      <c r="B4017" s="35" t="s">
        <v>686</v>
      </c>
      <c r="C4017" s="35" t="s">
        <v>687</v>
      </c>
      <c r="D4017" s="39">
        <v>490.6099853515625</v>
      </c>
      <c r="E4017" s="39">
        <v>458.45114135742188</v>
      </c>
      <c r="F4017" s="41">
        <v>2798690</v>
      </c>
      <c r="G4017" s="35" t="s">
        <v>685</v>
      </c>
      <c r="H4017" s="35" t="s">
        <v>115</v>
      </c>
    </row>
    <row r="4018" spans="1:8">
      <c r="A4018" s="37">
        <v>44160.15625</v>
      </c>
      <c r="B4018" s="35" t="s">
        <v>686</v>
      </c>
      <c r="C4018" s="35" t="s">
        <v>687</v>
      </c>
      <c r="D4018" s="39">
        <v>484.8900146484375</v>
      </c>
      <c r="E4018" s="39">
        <v>453.10626220703125</v>
      </c>
      <c r="F4018" s="41">
        <v>2064560</v>
      </c>
      <c r="G4018" s="35" t="s">
        <v>685</v>
      </c>
      <c r="H4018" s="35" t="s">
        <v>115</v>
      </c>
    </row>
    <row r="4019" spans="1:8">
      <c r="A4019" s="37">
        <v>44161.15625</v>
      </c>
      <c r="B4019" s="35" t="s">
        <v>686</v>
      </c>
      <c r="C4019" s="35" t="s">
        <v>687</v>
      </c>
      <c r="D4019" s="39">
        <v>490.260009765625</v>
      </c>
      <c r="E4019" s="39">
        <v>458.12423706054688</v>
      </c>
      <c r="F4019" s="41">
        <v>2395350</v>
      </c>
      <c r="G4019" s="35" t="s">
        <v>685</v>
      </c>
      <c r="H4019" s="35" t="s">
        <v>115</v>
      </c>
    </row>
    <row r="4020" spans="1:8">
      <c r="A4020" s="37">
        <v>44162.15625</v>
      </c>
      <c r="B4020" s="35" t="s">
        <v>686</v>
      </c>
      <c r="C4020" s="35" t="s">
        <v>687</v>
      </c>
      <c r="D4020" s="39">
        <v>480.1300048828125</v>
      </c>
      <c r="E4020" s="39">
        <v>448.65817260742188</v>
      </c>
      <c r="F4020" s="41">
        <v>1434000</v>
      </c>
      <c r="G4020" s="35" t="s">
        <v>685</v>
      </c>
      <c r="H4020" s="35" t="s">
        <v>115</v>
      </c>
    </row>
    <row r="4021" spans="1:8">
      <c r="A4021" s="37">
        <v>44166.15625</v>
      </c>
      <c r="B4021" s="35" t="s">
        <v>686</v>
      </c>
      <c r="C4021" s="35" t="s">
        <v>687</v>
      </c>
      <c r="D4021" s="39">
        <v>491.07998657226563</v>
      </c>
      <c r="E4021" s="39">
        <v>458.89041137695313</v>
      </c>
      <c r="F4021" s="41">
        <v>1576070</v>
      </c>
      <c r="G4021" s="35" t="s">
        <v>685</v>
      </c>
      <c r="H4021" s="35" t="s">
        <v>115</v>
      </c>
    </row>
    <row r="4022" spans="1:8">
      <c r="A4022" s="37">
        <v>44167.15625</v>
      </c>
      <c r="B4022" s="35" t="s">
        <v>686</v>
      </c>
      <c r="C4022" s="35" t="s">
        <v>687</v>
      </c>
      <c r="D4022" s="39">
        <v>488.64999389648438</v>
      </c>
      <c r="E4022" s="39">
        <v>456.6197509765625</v>
      </c>
      <c r="F4022" s="41">
        <v>1755105</v>
      </c>
      <c r="G4022" s="35" t="s">
        <v>685</v>
      </c>
      <c r="H4022" s="35" t="s">
        <v>115</v>
      </c>
    </row>
    <row r="4023" spans="1:8">
      <c r="A4023" s="37">
        <v>44168.15625</v>
      </c>
      <c r="B4023" s="35" t="s">
        <v>686</v>
      </c>
      <c r="C4023" s="35" t="s">
        <v>687</v>
      </c>
      <c r="D4023" s="39">
        <v>496.92001342773438</v>
      </c>
      <c r="E4023" s="39">
        <v>464.34762573242188</v>
      </c>
      <c r="F4023" s="41">
        <v>3774420</v>
      </c>
      <c r="G4023" s="35" t="s">
        <v>685</v>
      </c>
      <c r="H4023" s="35" t="s">
        <v>115</v>
      </c>
    </row>
    <row r="4024" spans="1:8">
      <c r="A4024" s="37">
        <v>44169.15625</v>
      </c>
      <c r="B4024" s="35" t="s">
        <v>686</v>
      </c>
      <c r="C4024" s="35" t="s">
        <v>687</v>
      </c>
      <c r="D4024" s="39">
        <v>489.6300048828125</v>
      </c>
      <c r="E4024" s="39">
        <v>457.53555297851563</v>
      </c>
      <c r="F4024" s="41">
        <v>991350</v>
      </c>
      <c r="G4024" s="35" t="s">
        <v>685</v>
      </c>
      <c r="H4024" s="35" t="s">
        <v>115</v>
      </c>
    </row>
    <row r="4025" spans="1:8">
      <c r="A4025" s="37">
        <v>44172.15625</v>
      </c>
      <c r="B4025" s="35" t="s">
        <v>686</v>
      </c>
      <c r="C4025" s="35" t="s">
        <v>687</v>
      </c>
      <c r="D4025" s="39">
        <v>491.1400146484375</v>
      </c>
      <c r="E4025" s="39">
        <v>458.946533203125</v>
      </c>
      <c r="F4025" s="41">
        <v>1579125</v>
      </c>
      <c r="G4025" s="35" t="s">
        <v>685</v>
      </c>
      <c r="H4025" s="35" t="s">
        <v>115</v>
      </c>
    </row>
    <row r="4026" spans="1:8">
      <c r="A4026" s="37">
        <v>44173.15625</v>
      </c>
      <c r="B4026" s="35" t="s">
        <v>686</v>
      </c>
      <c r="C4026" s="35" t="s">
        <v>687</v>
      </c>
      <c r="D4026" s="39">
        <v>495.489990234375</v>
      </c>
      <c r="E4026" s="39">
        <v>463.0113525390625</v>
      </c>
      <c r="F4026" s="41">
        <v>1973255</v>
      </c>
      <c r="G4026" s="35" t="s">
        <v>685</v>
      </c>
      <c r="H4026" s="35" t="s">
        <v>115</v>
      </c>
    </row>
    <row r="4027" spans="1:8">
      <c r="A4027" s="37">
        <v>44174.15625</v>
      </c>
      <c r="B4027" s="35" t="s">
        <v>686</v>
      </c>
      <c r="C4027" s="35" t="s">
        <v>687</v>
      </c>
      <c r="D4027" s="39">
        <v>501.51998901367188</v>
      </c>
      <c r="E4027" s="39">
        <v>468.6461181640625</v>
      </c>
      <c r="F4027" s="41">
        <v>3730920</v>
      </c>
      <c r="G4027" s="35" t="s">
        <v>685</v>
      </c>
      <c r="H4027" s="35" t="s">
        <v>115</v>
      </c>
    </row>
    <row r="4028" spans="1:8">
      <c r="A4028" s="37">
        <v>44175.15625</v>
      </c>
      <c r="B4028" s="35" t="s">
        <v>686</v>
      </c>
      <c r="C4028" s="35" t="s">
        <v>687</v>
      </c>
      <c r="D4028" s="39">
        <v>496.29000854492188</v>
      </c>
      <c r="E4028" s="39">
        <v>463.75885009765625</v>
      </c>
      <c r="F4028" s="41">
        <v>1153550</v>
      </c>
      <c r="G4028" s="35" t="s">
        <v>685</v>
      </c>
      <c r="H4028" s="35" t="s">
        <v>115</v>
      </c>
    </row>
    <row r="4029" spans="1:8">
      <c r="A4029" s="37">
        <v>44176.15625</v>
      </c>
      <c r="B4029" s="35" t="s">
        <v>686</v>
      </c>
      <c r="C4029" s="35" t="s">
        <v>687</v>
      </c>
      <c r="D4029" s="39">
        <v>499.60000610351563</v>
      </c>
      <c r="E4029" s="39">
        <v>466.85195922851563</v>
      </c>
      <c r="F4029" s="41">
        <v>1321840</v>
      </c>
      <c r="G4029" s="35" t="s">
        <v>685</v>
      </c>
      <c r="H4029" s="35" t="s">
        <v>115</v>
      </c>
    </row>
    <row r="4030" spans="1:8">
      <c r="A4030" s="37">
        <v>44179.15625</v>
      </c>
      <c r="B4030" s="35" t="s">
        <v>686</v>
      </c>
      <c r="C4030" s="35" t="s">
        <v>687</v>
      </c>
      <c r="D4030" s="39">
        <v>500.6300048828125</v>
      </c>
      <c r="E4030" s="39">
        <v>467.81448364257813</v>
      </c>
      <c r="F4030" s="41">
        <v>678460</v>
      </c>
      <c r="G4030" s="35" t="s">
        <v>685</v>
      </c>
      <c r="H4030" s="35" t="s">
        <v>115</v>
      </c>
    </row>
    <row r="4031" spans="1:8">
      <c r="A4031" s="37">
        <v>44180.15625</v>
      </c>
      <c r="B4031" s="35" t="s">
        <v>686</v>
      </c>
      <c r="C4031" s="35" t="s">
        <v>687</v>
      </c>
      <c r="D4031" s="39">
        <v>508.1099853515625</v>
      </c>
      <c r="E4031" s="39">
        <v>474.8040771484375</v>
      </c>
      <c r="F4031" s="41">
        <v>1761135</v>
      </c>
      <c r="G4031" s="35" t="s">
        <v>685</v>
      </c>
      <c r="H4031" s="35" t="s">
        <v>115</v>
      </c>
    </row>
    <row r="4032" spans="1:8">
      <c r="A4032" s="37">
        <v>44181.15625</v>
      </c>
      <c r="B4032" s="35" t="s">
        <v>686</v>
      </c>
      <c r="C4032" s="35" t="s">
        <v>687</v>
      </c>
      <c r="D4032" s="39">
        <v>506.82000732421875</v>
      </c>
      <c r="E4032" s="39">
        <v>473.5987548828125</v>
      </c>
      <c r="F4032" s="41">
        <v>1182940</v>
      </c>
      <c r="G4032" s="35" t="s">
        <v>685</v>
      </c>
      <c r="H4032" s="35" t="s">
        <v>115</v>
      </c>
    </row>
    <row r="4033" spans="1:8">
      <c r="A4033" s="37">
        <v>44182.15625</v>
      </c>
      <c r="B4033" s="35" t="s">
        <v>686</v>
      </c>
      <c r="C4033" s="35" t="s">
        <v>687</v>
      </c>
      <c r="D4033" s="39">
        <v>502.1099853515625</v>
      </c>
      <c r="E4033" s="39">
        <v>469.19747924804688</v>
      </c>
      <c r="F4033" s="41">
        <v>709385</v>
      </c>
      <c r="G4033" s="35" t="s">
        <v>685</v>
      </c>
      <c r="H4033" s="35" t="s">
        <v>115</v>
      </c>
    </row>
    <row r="4034" spans="1:8">
      <c r="A4034" s="37">
        <v>44183.15625</v>
      </c>
      <c r="B4034" s="35" t="s">
        <v>686</v>
      </c>
      <c r="C4034" s="35" t="s">
        <v>687</v>
      </c>
      <c r="D4034" s="39">
        <v>511.3599853515625</v>
      </c>
      <c r="E4034" s="39">
        <v>477.84109497070313</v>
      </c>
      <c r="F4034" s="41">
        <v>4872420</v>
      </c>
      <c r="G4034" s="35" t="s">
        <v>685</v>
      </c>
      <c r="H4034" s="35" t="s">
        <v>115</v>
      </c>
    </row>
    <row r="4035" spans="1:8">
      <c r="A4035" s="37">
        <v>44186.15625</v>
      </c>
      <c r="B4035" s="35" t="s">
        <v>686</v>
      </c>
      <c r="C4035" s="35" t="s">
        <v>687</v>
      </c>
      <c r="D4035" s="39">
        <v>478</v>
      </c>
      <c r="E4035" s="39">
        <v>446.66781616210938</v>
      </c>
      <c r="F4035" s="41">
        <v>3281990</v>
      </c>
      <c r="G4035" s="35" t="s">
        <v>685</v>
      </c>
      <c r="H4035" s="35" t="s">
        <v>115</v>
      </c>
    </row>
    <row r="4036" spans="1:8">
      <c r="A4036" s="37">
        <v>44187.15625</v>
      </c>
      <c r="B4036" s="35" t="s">
        <v>686</v>
      </c>
      <c r="C4036" s="35" t="s">
        <v>687</v>
      </c>
      <c r="D4036" s="39">
        <v>512.6500244140625</v>
      </c>
      <c r="E4036" s="39">
        <v>479.046630859375</v>
      </c>
      <c r="F4036" s="41">
        <v>3931425</v>
      </c>
      <c r="G4036" s="35" t="s">
        <v>685</v>
      </c>
      <c r="H4036" s="35" t="s">
        <v>115</v>
      </c>
    </row>
    <row r="4037" spans="1:8">
      <c r="A4037" s="37">
        <v>44188.15625</v>
      </c>
      <c r="B4037" s="35" t="s">
        <v>686</v>
      </c>
      <c r="C4037" s="35" t="s">
        <v>687</v>
      </c>
      <c r="D4037" s="39">
        <v>526.44000244140625</v>
      </c>
      <c r="E4037" s="39">
        <v>491.9326171875</v>
      </c>
      <c r="F4037" s="41">
        <v>3893420</v>
      </c>
      <c r="G4037" s="35" t="s">
        <v>685</v>
      </c>
      <c r="H4037" s="35" t="s">
        <v>115</v>
      </c>
    </row>
    <row r="4038" spans="1:8">
      <c r="A4038" s="37">
        <v>44189.15625</v>
      </c>
      <c r="B4038" s="35" t="s">
        <v>686</v>
      </c>
      <c r="C4038" s="35" t="s">
        <v>687</v>
      </c>
      <c r="D4038" s="39">
        <v>530.510009765625</v>
      </c>
      <c r="E4038" s="39">
        <v>495.73580932617188</v>
      </c>
      <c r="F4038" s="41">
        <v>3010900</v>
      </c>
      <c r="G4038" s="35" t="s">
        <v>685</v>
      </c>
      <c r="H4038" s="35" t="s">
        <v>115</v>
      </c>
    </row>
    <row r="4039" spans="1:8">
      <c r="A4039" s="37">
        <v>44193.15625</v>
      </c>
      <c r="B4039" s="35" t="s">
        <v>686</v>
      </c>
      <c r="C4039" s="35" t="s">
        <v>687</v>
      </c>
      <c r="D4039" s="39">
        <v>538.17999267578125</v>
      </c>
      <c r="E4039" s="39">
        <v>502.90316772460938</v>
      </c>
      <c r="F4039" s="41">
        <v>2174530</v>
      </c>
      <c r="G4039" s="35" t="s">
        <v>685</v>
      </c>
      <c r="H4039" s="35" t="s">
        <v>115</v>
      </c>
    </row>
    <row r="4040" spans="1:8">
      <c r="A4040" s="37">
        <v>44194.15625</v>
      </c>
      <c r="B4040" s="35" t="s">
        <v>686</v>
      </c>
      <c r="C4040" s="35" t="s">
        <v>687</v>
      </c>
      <c r="D4040" s="39">
        <v>536.0999755859375</v>
      </c>
      <c r="E4040" s="39">
        <v>500.9593505859375</v>
      </c>
      <c r="F4040" s="41">
        <v>1667085</v>
      </c>
      <c r="G4040" s="35" t="s">
        <v>685</v>
      </c>
      <c r="H4040" s="35" t="s">
        <v>115</v>
      </c>
    </row>
    <row r="4041" spans="1:8">
      <c r="A4041" s="37">
        <v>44195.15625</v>
      </c>
      <c r="B4041" s="35" t="s">
        <v>686</v>
      </c>
      <c r="C4041" s="35" t="s">
        <v>687</v>
      </c>
      <c r="D4041" s="39">
        <v>538.91998291015625</v>
      </c>
      <c r="E4041" s="39">
        <v>503.5946044921875</v>
      </c>
      <c r="F4041" s="41">
        <v>1200675</v>
      </c>
      <c r="G4041" s="35" t="s">
        <v>685</v>
      </c>
      <c r="H4041" s="35" t="s">
        <v>115</v>
      </c>
    </row>
    <row r="4042" spans="1:8">
      <c r="A4042" s="37">
        <v>44196.15625</v>
      </c>
      <c r="B4042" s="35" t="s">
        <v>686</v>
      </c>
      <c r="C4042" s="35" t="s">
        <v>687</v>
      </c>
      <c r="D4042" s="39">
        <v>541.030029296875</v>
      </c>
      <c r="E4042" s="39">
        <v>505.56631469726563</v>
      </c>
      <c r="F4042" s="41">
        <v>877145</v>
      </c>
      <c r="G4042" s="35" t="s">
        <v>685</v>
      </c>
      <c r="H4042" s="35" t="s">
        <v>115</v>
      </c>
    </row>
    <row r="4043" spans="1:8">
      <c r="A4043" s="37">
        <v>44197.15625</v>
      </c>
      <c r="B4043" s="35" t="s">
        <v>686</v>
      </c>
      <c r="C4043" s="35" t="s">
        <v>687</v>
      </c>
      <c r="D4043" s="39">
        <v>544.45001220703125</v>
      </c>
      <c r="E4043" s="39">
        <v>508.76223754882813</v>
      </c>
      <c r="F4043" s="41">
        <v>1083785</v>
      </c>
      <c r="G4043" s="35" t="s">
        <v>685</v>
      </c>
      <c r="H4043" s="35" t="s">
        <v>115</v>
      </c>
    </row>
    <row r="4044" spans="1:8">
      <c r="A4044" s="37">
        <v>44200.15625</v>
      </c>
      <c r="B4044" s="35" t="s">
        <v>686</v>
      </c>
      <c r="C4044" s="35" t="s">
        <v>687</v>
      </c>
      <c r="D4044" s="39">
        <v>567.71002197265625</v>
      </c>
      <c r="E4044" s="39">
        <v>530.49755859375</v>
      </c>
      <c r="F4044" s="41">
        <v>2616110</v>
      </c>
      <c r="G4044" s="35" t="s">
        <v>685</v>
      </c>
      <c r="H4044" s="35" t="s">
        <v>115</v>
      </c>
    </row>
    <row r="4045" spans="1:8">
      <c r="A4045" s="37">
        <v>44201.15625</v>
      </c>
      <c r="B4045" s="35" t="s">
        <v>686</v>
      </c>
      <c r="C4045" s="35" t="s">
        <v>687</v>
      </c>
      <c r="D4045" s="39">
        <v>576.510009765625</v>
      </c>
      <c r="E4045" s="39">
        <v>538.72052001953125</v>
      </c>
      <c r="F4045" s="41">
        <v>3163585</v>
      </c>
      <c r="G4045" s="35" t="s">
        <v>685</v>
      </c>
      <c r="H4045" s="35" t="s">
        <v>115</v>
      </c>
    </row>
    <row r="4046" spans="1:8">
      <c r="A4046" s="37">
        <v>44202.15625</v>
      </c>
      <c r="B4046" s="35" t="s">
        <v>686</v>
      </c>
      <c r="C4046" s="35" t="s">
        <v>687</v>
      </c>
      <c r="D4046" s="39">
        <v>560.30999755859375</v>
      </c>
      <c r="E4046" s="39">
        <v>523.58258056640625</v>
      </c>
      <c r="F4046" s="41">
        <v>2184965</v>
      </c>
      <c r="G4046" s="35" t="s">
        <v>685</v>
      </c>
      <c r="H4046" s="35" t="s">
        <v>115</v>
      </c>
    </row>
    <row r="4047" spans="1:8">
      <c r="A4047" s="37">
        <v>44203.15625</v>
      </c>
      <c r="B4047" s="35" t="s">
        <v>686</v>
      </c>
      <c r="C4047" s="35" t="s">
        <v>687</v>
      </c>
      <c r="D4047" s="39">
        <v>548.15997314453125</v>
      </c>
      <c r="E4047" s="39">
        <v>512.22900390625</v>
      </c>
      <c r="F4047" s="41">
        <v>1769530</v>
      </c>
      <c r="G4047" s="35" t="s">
        <v>685</v>
      </c>
      <c r="H4047" s="35" t="s">
        <v>115</v>
      </c>
    </row>
    <row r="4048" spans="1:8">
      <c r="A4048" s="37">
        <v>44204.15625</v>
      </c>
      <c r="B4048" s="35" t="s">
        <v>686</v>
      </c>
      <c r="C4048" s="35" t="s">
        <v>687</v>
      </c>
      <c r="D4048" s="39">
        <v>560.84002685546875</v>
      </c>
      <c r="E4048" s="39">
        <v>524.07794189453125</v>
      </c>
      <c r="F4048" s="41">
        <v>2492750</v>
      </c>
      <c r="G4048" s="35" t="s">
        <v>685</v>
      </c>
      <c r="H4048" s="35" t="s">
        <v>115</v>
      </c>
    </row>
    <row r="4049" spans="1:8">
      <c r="A4049" s="37">
        <v>44207.15625</v>
      </c>
      <c r="B4049" s="35" t="s">
        <v>686</v>
      </c>
      <c r="C4049" s="35" t="s">
        <v>687</v>
      </c>
      <c r="D4049" s="39">
        <v>563.40997314453125</v>
      </c>
      <c r="E4049" s="39">
        <v>526.47918701171875</v>
      </c>
      <c r="F4049" s="41">
        <v>2476365</v>
      </c>
      <c r="G4049" s="35" t="s">
        <v>685</v>
      </c>
      <c r="H4049" s="35" t="s">
        <v>115</v>
      </c>
    </row>
    <row r="4050" spans="1:8">
      <c r="A4050" s="37">
        <v>44208.15625</v>
      </c>
      <c r="B4050" s="35" t="s">
        <v>686</v>
      </c>
      <c r="C4050" s="35" t="s">
        <v>687</v>
      </c>
      <c r="D4050" s="39">
        <v>554.469970703125</v>
      </c>
      <c r="E4050" s="39">
        <v>518.12530517578125</v>
      </c>
      <c r="F4050" s="41">
        <v>1113280</v>
      </c>
      <c r="G4050" s="35" t="s">
        <v>685</v>
      </c>
      <c r="H4050" s="35" t="s">
        <v>115</v>
      </c>
    </row>
    <row r="4051" spans="1:8">
      <c r="A4051" s="37">
        <v>44209.15625</v>
      </c>
      <c r="B4051" s="35" t="s">
        <v>686</v>
      </c>
      <c r="C4051" s="35" t="s">
        <v>687</v>
      </c>
      <c r="D4051" s="39">
        <v>546.03997802734375</v>
      </c>
      <c r="E4051" s="39">
        <v>510.24789428710938</v>
      </c>
      <c r="F4051" s="41">
        <v>1721815</v>
      </c>
      <c r="G4051" s="35" t="s">
        <v>685</v>
      </c>
      <c r="H4051" s="35" t="s">
        <v>115</v>
      </c>
    </row>
    <row r="4052" spans="1:8">
      <c r="A4052" s="37">
        <v>44210.15625</v>
      </c>
      <c r="B4052" s="35" t="s">
        <v>686</v>
      </c>
      <c r="C4052" s="35" t="s">
        <v>687</v>
      </c>
      <c r="D4052" s="39">
        <v>546.79998779296875</v>
      </c>
      <c r="E4052" s="39">
        <v>510.95803833007813</v>
      </c>
      <c r="F4052" s="41">
        <v>1852410</v>
      </c>
      <c r="G4052" s="35" t="s">
        <v>685</v>
      </c>
      <c r="H4052" s="35" t="s">
        <v>115</v>
      </c>
    </row>
    <row r="4053" spans="1:8">
      <c r="A4053" s="37">
        <v>44211.15625</v>
      </c>
      <c r="B4053" s="35" t="s">
        <v>686</v>
      </c>
      <c r="C4053" s="35" t="s">
        <v>687</v>
      </c>
      <c r="D4053" s="39">
        <v>527.55999755859375</v>
      </c>
      <c r="E4053" s="39">
        <v>492.97918701171875</v>
      </c>
      <c r="F4053" s="41">
        <v>1879525</v>
      </c>
      <c r="G4053" s="35" t="s">
        <v>685</v>
      </c>
      <c r="H4053" s="35" t="s">
        <v>115</v>
      </c>
    </row>
    <row r="4054" spans="1:8">
      <c r="A4054" s="37">
        <v>44214.15625</v>
      </c>
      <c r="B4054" s="35" t="s">
        <v>686</v>
      </c>
      <c r="C4054" s="35" t="s">
        <v>687</v>
      </c>
      <c r="D4054" s="39">
        <v>501.97000122070313</v>
      </c>
      <c r="E4054" s="39">
        <v>469.06661987304688</v>
      </c>
      <c r="F4054" s="41">
        <v>2049960</v>
      </c>
      <c r="G4054" s="35" t="s">
        <v>685</v>
      </c>
      <c r="H4054" s="35" t="s">
        <v>115</v>
      </c>
    </row>
    <row r="4055" spans="1:8">
      <c r="A4055" s="37">
        <v>44215.15625</v>
      </c>
      <c r="B4055" s="35" t="s">
        <v>686</v>
      </c>
      <c r="C4055" s="35" t="s">
        <v>687</v>
      </c>
      <c r="D4055" s="39">
        <v>503.39999389648438</v>
      </c>
      <c r="E4055" s="39">
        <v>470.40280151367188</v>
      </c>
      <c r="F4055" s="41">
        <v>2128000</v>
      </c>
      <c r="G4055" s="35" t="s">
        <v>685</v>
      </c>
      <c r="H4055" s="35" t="s">
        <v>115</v>
      </c>
    </row>
    <row r="4056" spans="1:8">
      <c r="A4056" s="37">
        <v>44216.15625</v>
      </c>
      <c r="B4056" s="35" t="s">
        <v>686</v>
      </c>
      <c r="C4056" s="35" t="s">
        <v>687</v>
      </c>
      <c r="D4056" s="39">
        <v>524.030029296875</v>
      </c>
      <c r="E4056" s="39">
        <v>489.6805419921875</v>
      </c>
      <c r="F4056" s="41">
        <v>2870790</v>
      </c>
      <c r="G4056" s="35" t="s">
        <v>685</v>
      </c>
      <c r="H4056" s="35" t="s">
        <v>115</v>
      </c>
    </row>
    <row r="4057" spans="1:8">
      <c r="A4057" s="37">
        <v>44217.15625</v>
      </c>
      <c r="B4057" s="35" t="s">
        <v>686</v>
      </c>
      <c r="C4057" s="35" t="s">
        <v>687</v>
      </c>
      <c r="D4057" s="39">
        <v>510.92999267578125</v>
      </c>
      <c r="E4057" s="39">
        <v>477.43930053710938</v>
      </c>
      <c r="F4057" s="41">
        <v>1896310</v>
      </c>
      <c r="G4057" s="35" t="s">
        <v>685</v>
      </c>
      <c r="H4057" s="35" t="s">
        <v>115</v>
      </c>
    </row>
    <row r="4058" spans="1:8">
      <c r="A4058" s="37">
        <v>44218.15625</v>
      </c>
      <c r="B4058" s="35" t="s">
        <v>686</v>
      </c>
      <c r="C4058" s="35" t="s">
        <v>687</v>
      </c>
      <c r="D4058" s="39">
        <v>498.20001220703125</v>
      </c>
      <c r="E4058" s="39">
        <v>465.54373168945313</v>
      </c>
      <c r="F4058" s="41">
        <v>1623355</v>
      </c>
      <c r="G4058" s="35" t="s">
        <v>685</v>
      </c>
      <c r="H4058" s="35" t="s">
        <v>115</v>
      </c>
    </row>
    <row r="4059" spans="1:8">
      <c r="A4059" s="37">
        <v>44221.15625</v>
      </c>
      <c r="B4059" s="35" t="s">
        <v>686</v>
      </c>
      <c r="C4059" s="35" t="s">
        <v>687</v>
      </c>
      <c r="D4059" s="39">
        <v>479.52999877929688</v>
      </c>
      <c r="E4059" s="39">
        <v>448.0975341796875</v>
      </c>
      <c r="F4059" s="41">
        <v>1701740</v>
      </c>
      <c r="G4059" s="35" t="s">
        <v>685</v>
      </c>
      <c r="H4059" s="35" t="s">
        <v>115</v>
      </c>
    </row>
    <row r="4060" spans="1:8">
      <c r="A4060" s="37">
        <v>44223.15625</v>
      </c>
      <c r="B4060" s="35" t="s">
        <v>686</v>
      </c>
      <c r="C4060" s="35" t="s">
        <v>687</v>
      </c>
      <c r="D4060" s="39">
        <v>489.6099853515625</v>
      </c>
      <c r="E4060" s="39">
        <v>457.51675415039063</v>
      </c>
      <c r="F4060" s="41">
        <v>2400100</v>
      </c>
      <c r="G4060" s="35" t="s">
        <v>685</v>
      </c>
      <c r="H4060" s="35" t="s">
        <v>115</v>
      </c>
    </row>
    <row r="4061" spans="1:8">
      <c r="A4061" s="37">
        <v>44224.15625</v>
      </c>
      <c r="B4061" s="35" t="s">
        <v>686</v>
      </c>
      <c r="C4061" s="35" t="s">
        <v>687</v>
      </c>
      <c r="D4061" s="39">
        <v>484.01998901367188</v>
      </c>
      <c r="E4061" s="39">
        <v>452.29318237304688</v>
      </c>
      <c r="F4061" s="41">
        <v>1465465</v>
      </c>
      <c r="G4061" s="35" t="s">
        <v>685</v>
      </c>
      <c r="H4061" s="35" t="s">
        <v>115</v>
      </c>
    </row>
    <row r="4062" spans="1:8">
      <c r="A4062" s="37">
        <v>44225.15625</v>
      </c>
      <c r="B4062" s="35" t="s">
        <v>686</v>
      </c>
      <c r="C4062" s="35" t="s">
        <v>687</v>
      </c>
      <c r="D4062" s="39">
        <v>478.55999755859375</v>
      </c>
      <c r="E4062" s="39">
        <v>447.191162109375</v>
      </c>
      <c r="F4062" s="41">
        <v>3280875</v>
      </c>
      <c r="G4062" s="35" t="s">
        <v>685</v>
      </c>
      <c r="H4062" s="35" t="s">
        <v>115</v>
      </c>
    </row>
    <row r="4063" spans="1:8">
      <c r="A4063" s="37">
        <v>44228.15625</v>
      </c>
      <c r="B4063" s="35" t="s">
        <v>686</v>
      </c>
      <c r="C4063" s="35" t="s">
        <v>687</v>
      </c>
      <c r="D4063" s="39">
        <v>484.760009765625</v>
      </c>
      <c r="E4063" s="39">
        <v>452.98468017578125</v>
      </c>
      <c r="F4063" s="41">
        <v>1204130</v>
      </c>
      <c r="G4063" s="35" t="s">
        <v>685</v>
      </c>
      <c r="H4063" s="35" t="s">
        <v>115</v>
      </c>
    </row>
    <row r="4064" spans="1:8">
      <c r="A4064" s="37">
        <v>44229.15625</v>
      </c>
      <c r="B4064" s="35" t="s">
        <v>686</v>
      </c>
      <c r="C4064" s="35" t="s">
        <v>687</v>
      </c>
      <c r="D4064" s="39">
        <v>490.6099853515625</v>
      </c>
      <c r="E4064" s="39">
        <v>458.45114135742188</v>
      </c>
      <c r="F4064" s="41">
        <v>2258420</v>
      </c>
      <c r="G4064" s="35" t="s">
        <v>685</v>
      </c>
      <c r="H4064" s="35" t="s">
        <v>115</v>
      </c>
    </row>
    <row r="4065" spans="1:8">
      <c r="A4065" s="37">
        <v>44230.15625</v>
      </c>
      <c r="B4065" s="35" t="s">
        <v>686</v>
      </c>
      <c r="C4065" s="35" t="s">
        <v>687</v>
      </c>
      <c r="D4065" s="39">
        <v>504.64999389648438</v>
      </c>
      <c r="E4065" s="39">
        <v>471.5709228515625</v>
      </c>
      <c r="F4065" s="41">
        <v>2286195</v>
      </c>
      <c r="G4065" s="35" t="s">
        <v>685</v>
      </c>
      <c r="H4065" s="35" t="s">
        <v>115</v>
      </c>
    </row>
    <row r="4066" spans="1:8">
      <c r="A4066" s="37">
        <v>44231.15625</v>
      </c>
      <c r="B4066" s="35" t="s">
        <v>686</v>
      </c>
      <c r="C4066" s="35" t="s">
        <v>687</v>
      </c>
      <c r="D4066" s="39">
        <v>509.66000366210938</v>
      </c>
      <c r="E4066" s="39">
        <v>476.2525634765625</v>
      </c>
      <c r="F4066" s="41">
        <v>1436705</v>
      </c>
      <c r="G4066" s="35" t="s">
        <v>685</v>
      </c>
      <c r="H4066" s="35" t="s">
        <v>115</v>
      </c>
    </row>
    <row r="4067" spans="1:8">
      <c r="A4067" s="37">
        <v>44232.15625</v>
      </c>
      <c r="B4067" s="35" t="s">
        <v>686</v>
      </c>
      <c r="C4067" s="35" t="s">
        <v>687</v>
      </c>
      <c r="D4067" s="39">
        <v>499.72000122070313</v>
      </c>
      <c r="E4067" s="39">
        <v>466.96417236328125</v>
      </c>
      <c r="F4067" s="41">
        <v>2875395</v>
      </c>
      <c r="G4067" s="35" t="s">
        <v>685</v>
      </c>
      <c r="H4067" s="35" t="s">
        <v>115</v>
      </c>
    </row>
    <row r="4068" spans="1:8">
      <c r="A4068" s="37">
        <v>44235.15625</v>
      </c>
      <c r="B4068" s="35" t="s">
        <v>686</v>
      </c>
      <c r="C4068" s="35" t="s">
        <v>687</v>
      </c>
      <c r="D4068" s="39">
        <v>520.92999267578125</v>
      </c>
      <c r="E4068" s="39">
        <v>486.78384399414063</v>
      </c>
      <c r="F4068" s="41">
        <v>2435845</v>
      </c>
      <c r="G4068" s="35" t="s">
        <v>685</v>
      </c>
      <c r="H4068" s="35" t="s">
        <v>115</v>
      </c>
    </row>
    <row r="4069" spans="1:8">
      <c r="A4069" s="37">
        <v>44236.15625</v>
      </c>
      <c r="B4069" s="35" t="s">
        <v>686</v>
      </c>
      <c r="C4069" s="35" t="s">
        <v>687</v>
      </c>
      <c r="D4069" s="39">
        <v>508.73001098632813</v>
      </c>
      <c r="E4069" s="39">
        <v>475.38351440429688</v>
      </c>
      <c r="F4069" s="41">
        <v>1775915</v>
      </c>
      <c r="G4069" s="35" t="s">
        <v>685</v>
      </c>
      <c r="H4069" s="35" t="s">
        <v>115</v>
      </c>
    </row>
    <row r="4070" spans="1:8">
      <c r="A4070" s="37">
        <v>44237.15625</v>
      </c>
      <c r="B4070" s="35" t="s">
        <v>686</v>
      </c>
      <c r="C4070" s="35" t="s">
        <v>687</v>
      </c>
      <c r="D4070" s="39">
        <v>521.1300048828125</v>
      </c>
      <c r="E4070" s="39">
        <v>486.97076416015625</v>
      </c>
      <c r="F4070" s="41">
        <v>1704220</v>
      </c>
      <c r="G4070" s="35" t="s">
        <v>685</v>
      </c>
      <c r="H4070" s="35" t="s">
        <v>115</v>
      </c>
    </row>
    <row r="4071" spans="1:8">
      <c r="A4071" s="37">
        <v>44238.15625</v>
      </c>
      <c r="B4071" s="35" t="s">
        <v>686</v>
      </c>
      <c r="C4071" s="35" t="s">
        <v>687</v>
      </c>
      <c r="D4071" s="39">
        <v>528.1199951171875</v>
      </c>
      <c r="E4071" s="39">
        <v>493.50250244140625</v>
      </c>
      <c r="F4071" s="41">
        <v>1126695</v>
      </c>
      <c r="G4071" s="35" t="s">
        <v>685</v>
      </c>
      <c r="H4071" s="35" t="s">
        <v>115</v>
      </c>
    </row>
    <row r="4072" spans="1:8">
      <c r="A4072" s="37">
        <v>44239.15625</v>
      </c>
      <c r="B4072" s="35" t="s">
        <v>686</v>
      </c>
      <c r="C4072" s="35" t="s">
        <v>687</v>
      </c>
      <c r="D4072" s="39">
        <v>522.3599853515625</v>
      </c>
      <c r="E4072" s="39">
        <v>488.12005615234375</v>
      </c>
      <c r="F4072" s="41">
        <v>1906755</v>
      </c>
      <c r="G4072" s="35" t="s">
        <v>685</v>
      </c>
      <c r="H4072" s="35" t="s">
        <v>115</v>
      </c>
    </row>
    <row r="4073" spans="1:8">
      <c r="A4073" s="37">
        <v>44242.15625</v>
      </c>
      <c r="B4073" s="35" t="s">
        <v>686</v>
      </c>
      <c r="C4073" s="35" t="s">
        <v>687</v>
      </c>
      <c r="D4073" s="39">
        <v>519.02001953125</v>
      </c>
      <c r="E4073" s="39">
        <v>484.99908447265625</v>
      </c>
      <c r="F4073" s="41">
        <v>578030</v>
      </c>
      <c r="G4073" s="35" t="s">
        <v>685</v>
      </c>
      <c r="H4073" s="35" t="s">
        <v>115</v>
      </c>
    </row>
    <row r="4074" spans="1:8">
      <c r="A4074" s="37">
        <v>44243.15625</v>
      </c>
      <c r="B4074" s="35" t="s">
        <v>686</v>
      </c>
      <c r="C4074" s="35" t="s">
        <v>687</v>
      </c>
      <c r="D4074" s="39">
        <v>524.40997314453125</v>
      </c>
      <c r="E4074" s="39">
        <v>490.03561401367188</v>
      </c>
      <c r="F4074" s="41">
        <v>1707070</v>
      </c>
      <c r="G4074" s="35" t="s">
        <v>685</v>
      </c>
      <c r="H4074" s="35" t="s">
        <v>115</v>
      </c>
    </row>
    <row r="4075" spans="1:8">
      <c r="A4075" s="37">
        <v>44244.15625</v>
      </c>
      <c r="B4075" s="35" t="s">
        <v>686</v>
      </c>
      <c r="C4075" s="35" t="s">
        <v>687</v>
      </c>
      <c r="D4075" s="39">
        <v>517.3599853515625</v>
      </c>
      <c r="E4075" s="39">
        <v>483.44778442382813</v>
      </c>
      <c r="F4075" s="41">
        <v>1018020</v>
      </c>
      <c r="G4075" s="35" t="s">
        <v>685</v>
      </c>
      <c r="H4075" s="35" t="s">
        <v>115</v>
      </c>
    </row>
    <row r="4076" spans="1:8">
      <c r="A4076" s="37">
        <v>44245.15625</v>
      </c>
      <c r="B4076" s="35" t="s">
        <v>686</v>
      </c>
      <c r="C4076" s="35" t="s">
        <v>687</v>
      </c>
      <c r="D4076" s="39">
        <v>523.15997314453125</v>
      </c>
      <c r="E4076" s="39">
        <v>488.8675537109375</v>
      </c>
      <c r="F4076" s="41">
        <v>1696540</v>
      </c>
      <c r="G4076" s="35" t="s">
        <v>685</v>
      </c>
      <c r="H4076" s="35" t="s">
        <v>115</v>
      </c>
    </row>
    <row r="4077" spans="1:8">
      <c r="A4077" s="37">
        <v>44246.15625</v>
      </c>
      <c r="B4077" s="35" t="s">
        <v>686</v>
      </c>
      <c r="C4077" s="35" t="s">
        <v>687</v>
      </c>
      <c r="D4077" s="39">
        <v>514.04998779296875</v>
      </c>
      <c r="E4077" s="39">
        <v>480.35482788085938</v>
      </c>
      <c r="F4077" s="41">
        <v>1046295</v>
      </c>
      <c r="G4077" s="35" t="s">
        <v>685</v>
      </c>
      <c r="H4077" s="35" t="s">
        <v>115</v>
      </c>
    </row>
    <row r="4078" spans="1:8">
      <c r="A4078" s="37">
        <v>44249.15625</v>
      </c>
      <c r="B4078" s="35" t="s">
        <v>686</v>
      </c>
      <c r="C4078" s="35" t="s">
        <v>687</v>
      </c>
      <c r="D4078" s="39">
        <v>494.20001220703125</v>
      </c>
      <c r="E4078" s="39">
        <v>461.80593872070313</v>
      </c>
      <c r="F4078" s="41">
        <v>757980</v>
      </c>
      <c r="G4078" s="35" t="s">
        <v>685</v>
      </c>
      <c r="H4078" s="35" t="s">
        <v>115</v>
      </c>
    </row>
    <row r="4079" spans="1:8">
      <c r="A4079" s="37">
        <v>44250.15625</v>
      </c>
      <c r="B4079" s="35" t="s">
        <v>686</v>
      </c>
      <c r="C4079" s="35" t="s">
        <v>687</v>
      </c>
      <c r="D4079" s="39">
        <v>493.07000732421875</v>
      </c>
      <c r="E4079" s="39">
        <v>460.75</v>
      </c>
      <c r="F4079" s="41">
        <v>899060</v>
      </c>
      <c r="G4079" s="35" t="s">
        <v>685</v>
      </c>
      <c r="H4079" s="35" t="s">
        <v>115</v>
      </c>
    </row>
    <row r="4080" spans="1:8">
      <c r="A4080" s="37">
        <v>44251.15625</v>
      </c>
      <c r="B4080" s="35" t="s">
        <v>686</v>
      </c>
      <c r="C4080" s="35" t="s">
        <v>687</v>
      </c>
      <c r="D4080" s="39">
        <v>499.69000244140625</v>
      </c>
      <c r="E4080" s="39">
        <v>466.93612670898438</v>
      </c>
      <c r="F4080" s="41">
        <v>715040</v>
      </c>
      <c r="G4080" s="35" t="s">
        <v>685</v>
      </c>
      <c r="H4080" s="35" t="s">
        <v>115</v>
      </c>
    </row>
    <row r="4081" spans="1:8">
      <c r="A4081" s="37">
        <v>44252.15625</v>
      </c>
      <c r="B4081" s="35" t="s">
        <v>686</v>
      </c>
      <c r="C4081" s="35" t="s">
        <v>687</v>
      </c>
      <c r="D4081" s="39">
        <v>503.3800048828125</v>
      </c>
      <c r="E4081" s="39">
        <v>470.38427734375</v>
      </c>
      <c r="F4081" s="41">
        <v>662055</v>
      </c>
      <c r="G4081" s="35" t="s">
        <v>685</v>
      </c>
      <c r="H4081" s="35" t="s">
        <v>115</v>
      </c>
    </row>
    <row r="4082" spans="1:8">
      <c r="A4082" s="37">
        <v>44253.15625</v>
      </c>
      <c r="B4082" s="35" t="s">
        <v>686</v>
      </c>
      <c r="C4082" s="35" t="s">
        <v>687</v>
      </c>
      <c r="D4082" s="39">
        <v>508.41000366210938</v>
      </c>
      <c r="E4082" s="39">
        <v>475.08444213867188</v>
      </c>
      <c r="F4082" s="41">
        <v>1244740</v>
      </c>
      <c r="G4082" s="35" t="s">
        <v>685</v>
      </c>
      <c r="H4082" s="35" t="s">
        <v>115</v>
      </c>
    </row>
    <row r="4083" spans="1:8">
      <c r="A4083" s="37">
        <v>44256.15625</v>
      </c>
      <c r="B4083" s="35" t="s">
        <v>686</v>
      </c>
      <c r="C4083" s="35" t="s">
        <v>687</v>
      </c>
      <c r="D4083" s="39">
        <v>500.83999633789063</v>
      </c>
      <c r="E4083" s="39">
        <v>468.01068115234375</v>
      </c>
      <c r="F4083" s="41">
        <v>614290</v>
      </c>
      <c r="G4083" s="35" t="s">
        <v>685</v>
      </c>
      <c r="H4083" s="35" t="s">
        <v>115</v>
      </c>
    </row>
    <row r="4084" spans="1:8">
      <c r="A4084" s="37">
        <v>44257.15625</v>
      </c>
      <c r="B4084" s="35" t="s">
        <v>686</v>
      </c>
      <c r="C4084" s="35" t="s">
        <v>687</v>
      </c>
      <c r="D4084" s="39">
        <v>520.260009765625</v>
      </c>
      <c r="E4084" s="39">
        <v>486.15771484375</v>
      </c>
      <c r="F4084" s="41">
        <v>1431575</v>
      </c>
      <c r="G4084" s="35" t="s">
        <v>685</v>
      </c>
      <c r="H4084" s="35" t="s">
        <v>115</v>
      </c>
    </row>
    <row r="4085" spans="1:8">
      <c r="A4085" s="37">
        <v>44258.15625</v>
      </c>
      <c r="B4085" s="35" t="s">
        <v>686</v>
      </c>
      <c r="C4085" s="35" t="s">
        <v>687</v>
      </c>
      <c r="D4085" s="39">
        <v>534.90997314453125</v>
      </c>
      <c r="E4085" s="39">
        <v>499.847412109375</v>
      </c>
      <c r="F4085" s="41">
        <v>1630830</v>
      </c>
      <c r="G4085" s="35" t="s">
        <v>685</v>
      </c>
      <c r="H4085" s="35" t="s">
        <v>115</v>
      </c>
    </row>
    <row r="4086" spans="1:8">
      <c r="A4086" s="37">
        <v>44259.15625</v>
      </c>
      <c r="B4086" s="35" t="s">
        <v>686</v>
      </c>
      <c r="C4086" s="35" t="s">
        <v>687</v>
      </c>
      <c r="D4086" s="39">
        <v>527.1099853515625</v>
      </c>
      <c r="E4086" s="39">
        <v>492.55877685546875</v>
      </c>
      <c r="F4086" s="41">
        <v>829915</v>
      </c>
      <c r="G4086" s="35" t="s">
        <v>685</v>
      </c>
      <c r="H4086" s="35" t="s">
        <v>115</v>
      </c>
    </row>
    <row r="4087" spans="1:8">
      <c r="A4087" s="37">
        <v>44260.15625</v>
      </c>
      <c r="B4087" s="35" t="s">
        <v>686</v>
      </c>
      <c r="C4087" s="35" t="s">
        <v>687</v>
      </c>
      <c r="D4087" s="39">
        <v>517.1300048828125</v>
      </c>
      <c r="E4087" s="39">
        <v>483.23297119140625</v>
      </c>
      <c r="F4087" s="41">
        <v>735210</v>
      </c>
      <c r="G4087" s="35" t="s">
        <v>685</v>
      </c>
      <c r="H4087" s="35" t="s">
        <v>115</v>
      </c>
    </row>
    <row r="4088" spans="1:8">
      <c r="A4088" s="37">
        <v>44263.15625</v>
      </c>
      <c r="B4088" s="35" t="s">
        <v>686</v>
      </c>
      <c r="C4088" s="35" t="s">
        <v>687</v>
      </c>
      <c r="D4088" s="39">
        <v>512.6300048828125</v>
      </c>
      <c r="E4088" s="39">
        <v>479.02786254882813</v>
      </c>
      <c r="F4088" s="41">
        <v>683940</v>
      </c>
      <c r="G4088" s="35" t="s">
        <v>685</v>
      </c>
      <c r="H4088" s="35" t="s">
        <v>115</v>
      </c>
    </row>
    <row r="4089" spans="1:8">
      <c r="A4089" s="37">
        <v>44264.15625</v>
      </c>
      <c r="B4089" s="35" t="s">
        <v>686</v>
      </c>
      <c r="C4089" s="35" t="s">
        <v>687</v>
      </c>
      <c r="D4089" s="39">
        <v>516.55999755859375</v>
      </c>
      <c r="E4089" s="39">
        <v>482.70022583007813</v>
      </c>
      <c r="F4089" s="41">
        <v>942310</v>
      </c>
      <c r="G4089" s="35" t="s">
        <v>685</v>
      </c>
      <c r="H4089" s="35" t="s">
        <v>115</v>
      </c>
    </row>
    <row r="4090" spans="1:8">
      <c r="A4090" s="37">
        <v>44265.15625</v>
      </c>
      <c r="B4090" s="35" t="s">
        <v>686</v>
      </c>
      <c r="C4090" s="35" t="s">
        <v>687</v>
      </c>
      <c r="D4090" s="39">
        <v>546.79998779296875</v>
      </c>
      <c r="E4090" s="39">
        <v>510.95803833007813</v>
      </c>
      <c r="F4090" s="41">
        <v>5966690</v>
      </c>
      <c r="G4090" s="35" t="s">
        <v>685</v>
      </c>
      <c r="H4090" s="35" t="s">
        <v>115</v>
      </c>
    </row>
    <row r="4091" spans="1:8">
      <c r="A4091" s="37">
        <v>44267.15625</v>
      </c>
      <c r="B4091" s="35" t="s">
        <v>686</v>
      </c>
      <c r="C4091" s="35" t="s">
        <v>687</v>
      </c>
      <c r="D4091" s="39">
        <v>544.41998291015625</v>
      </c>
      <c r="E4091" s="39">
        <v>508.73406982421875</v>
      </c>
      <c r="F4091" s="41">
        <v>2381690</v>
      </c>
      <c r="G4091" s="35" t="s">
        <v>685</v>
      </c>
      <c r="H4091" s="35" t="s">
        <v>115</v>
      </c>
    </row>
    <row r="4092" spans="1:8">
      <c r="A4092" s="37">
        <v>44270.15625</v>
      </c>
      <c r="B4092" s="35" t="s">
        <v>686</v>
      </c>
      <c r="C4092" s="35" t="s">
        <v>687</v>
      </c>
      <c r="D4092" s="39">
        <v>565.08001708984375</v>
      </c>
      <c r="E4092" s="39">
        <v>528.03997802734375</v>
      </c>
      <c r="F4092" s="41">
        <v>3787275</v>
      </c>
      <c r="G4092" s="35" t="s">
        <v>685</v>
      </c>
      <c r="H4092" s="35" t="s">
        <v>115</v>
      </c>
    </row>
    <row r="4093" spans="1:8">
      <c r="A4093" s="37">
        <v>44271.15625</v>
      </c>
      <c r="B4093" s="35" t="s">
        <v>686</v>
      </c>
      <c r="C4093" s="35" t="s">
        <v>687</v>
      </c>
      <c r="D4093" s="39">
        <v>598.71002197265625</v>
      </c>
      <c r="E4093" s="39">
        <v>559.46539306640625</v>
      </c>
      <c r="F4093" s="41">
        <v>6542895</v>
      </c>
      <c r="G4093" s="35" t="s">
        <v>685</v>
      </c>
      <c r="H4093" s="35" t="s">
        <v>115</v>
      </c>
    </row>
    <row r="4094" spans="1:8">
      <c r="A4094" s="37">
        <v>44272.15625</v>
      </c>
      <c r="B4094" s="35" t="s">
        <v>686</v>
      </c>
      <c r="C4094" s="35" t="s">
        <v>687</v>
      </c>
      <c r="D4094" s="39">
        <v>589.90997314453125</v>
      </c>
      <c r="E4094" s="39">
        <v>551.2423095703125</v>
      </c>
      <c r="F4094" s="41">
        <v>3920230</v>
      </c>
      <c r="G4094" s="35" t="s">
        <v>685</v>
      </c>
      <c r="H4094" s="35" t="s">
        <v>115</v>
      </c>
    </row>
    <row r="4095" spans="1:8">
      <c r="A4095" s="37">
        <v>44273.15625</v>
      </c>
      <c r="B4095" s="35" t="s">
        <v>686</v>
      </c>
      <c r="C4095" s="35" t="s">
        <v>687</v>
      </c>
      <c r="D4095" s="39">
        <v>574.8800048828125</v>
      </c>
      <c r="E4095" s="39">
        <v>537.19744873046875</v>
      </c>
      <c r="F4095" s="41">
        <v>2340265</v>
      </c>
      <c r="G4095" s="35" t="s">
        <v>685</v>
      </c>
      <c r="H4095" s="35" t="s">
        <v>115</v>
      </c>
    </row>
    <row r="4096" spans="1:8">
      <c r="A4096" s="37">
        <v>44274.15625</v>
      </c>
      <c r="B4096" s="35" t="s">
        <v>686</v>
      </c>
      <c r="C4096" s="35" t="s">
        <v>687</v>
      </c>
      <c r="D4096" s="39">
        <v>593.3499755859375</v>
      </c>
      <c r="E4096" s="39">
        <v>554.45684814453125</v>
      </c>
      <c r="F4096" s="41">
        <v>2407655</v>
      </c>
      <c r="G4096" s="35" t="s">
        <v>685</v>
      </c>
      <c r="H4096" s="35" t="s">
        <v>115</v>
      </c>
    </row>
    <row r="4097" spans="1:8">
      <c r="A4097" s="37">
        <v>44277.15625</v>
      </c>
      <c r="B4097" s="35" t="s">
        <v>686</v>
      </c>
      <c r="C4097" s="35" t="s">
        <v>687</v>
      </c>
      <c r="D4097" s="39">
        <v>584.239990234375</v>
      </c>
      <c r="E4097" s="39">
        <v>545.94384765625</v>
      </c>
      <c r="F4097" s="41">
        <v>1628885</v>
      </c>
      <c r="G4097" s="35" t="s">
        <v>685</v>
      </c>
      <c r="H4097" s="35" t="s">
        <v>115</v>
      </c>
    </row>
    <row r="4098" spans="1:8">
      <c r="A4098" s="37">
        <v>44278.15625</v>
      </c>
      <c r="B4098" s="35" t="s">
        <v>686</v>
      </c>
      <c r="C4098" s="35" t="s">
        <v>687</v>
      </c>
      <c r="D4098" s="39">
        <v>573.30999755859375</v>
      </c>
      <c r="E4098" s="39">
        <v>535.73028564453125</v>
      </c>
      <c r="F4098" s="41">
        <v>1194565</v>
      </c>
      <c r="G4098" s="35" t="s">
        <v>685</v>
      </c>
      <c r="H4098" s="35" t="s">
        <v>115</v>
      </c>
    </row>
    <row r="4099" spans="1:8">
      <c r="A4099" s="37">
        <v>44279.15625</v>
      </c>
      <c r="B4099" s="35" t="s">
        <v>686</v>
      </c>
      <c r="C4099" s="35" t="s">
        <v>687</v>
      </c>
      <c r="D4099" s="39">
        <v>565.1300048828125</v>
      </c>
      <c r="E4099" s="39">
        <v>528.08648681640625</v>
      </c>
      <c r="F4099" s="41">
        <v>1442485</v>
      </c>
      <c r="G4099" s="35" t="s">
        <v>685</v>
      </c>
      <c r="H4099" s="35" t="s">
        <v>115</v>
      </c>
    </row>
    <row r="4100" spans="1:8">
      <c r="A4100" s="37">
        <v>44280.15625</v>
      </c>
      <c r="B4100" s="35" t="s">
        <v>686</v>
      </c>
      <c r="C4100" s="35" t="s">
        <v>687</v>
      </c>
      <c r="D4100" s="39">
        <v>550.280029296875</v>
      </c>
      <c r="E4100" s="39">
        <v>514.20989990234375</v>
      </c>
      <c r="F4100" s="41">
        <v>1491445</v>
      </c>
      <c r="G4100" s="35" t="s">
        <v>685</v>
      </c>
      <c r="H4100" s="35" t="s">
        <v>115</v>
      </c>
    </row>
    <row r="4101" spans="1:8">
      <c r="A4101" s="37">
        <v>44281.15625</v>
      </c>
      <c r="B4101" s="35" t="s">
        <v>686</v>
      </c>
      <c r="C4101" s="35" t="s">
        <v>687</v>
      </c>
      <c r="D4101" s="39">
        <v>559.21002197265625</v>
      </c>
      <c r="E4101" s="39">
        <v>522.5546875</v>
      </c>
      <c r="F4101" s="41">
        <v>1248555</v>
      </c>
      <c r="G4101" s="35" t="s">
        <v>685</v>
      </c>
      <c r="H4101" s="35" t="s">
        <v>115</v>
      </c>
    </row>
    <row r="4102" spans="1:8">
      <c r="A4102" s="37">
        <v>44285.15625</v>
      </c>
      <c r="B4102" s="35" t="s">
        <v>686</v>
      </c>
      <c r="C4102" s="35" t="s">
        <v>687</v>
      </c>
      <c r="D4102" s="39">
        <v>592.02001953125</v>
      </c>
      <c r="E4102" s="39">
        <v>553.2139892578125</v>
      </c>
      <c r="F4102" s="41">
        <v>3531770</v>
      </c>
      <c r="G4102" s="35" t="s">
        <v>685</v>
      </c>
      <c r="H4102" s="35" t="s">
        <v>115</v>
      </c>
    </row>
    <row r="4103" spans="1:8">
      <c r="A4103" s="37">
        <v>44286.15625</v>
      </c>
      <c r="B4103" s="35" t="s">
        <v>686</v>
      </c>
      <c r="C4103" s="35" t="s">
        <v>687</v>
      </c>
      <c r="D4103" s="39">
        <v>585.3900146484375</v>
      </c>
      <c r="E4103" s="39">
        <v>547.0185546875</v>
      </c>
      <c r="F4103" s="41">
        <v>1687395</v>
      </c>
      <c r="G4103" s="35" t="s">
        <v>685</v>
      </c>
      <c r="H4103" s="35" t="s">
        <v>115</v>
      </c>
    </row>
    <row r="4104" spans="1:8">
      <c r="A4104" s="37">
        <v>44287.15625</v>
      </c>
      <c r="B4104" s="35" t="s">
        <v>686</v>
      </c>
      <c r="C4104" s="35" t="s">
        <v>687</v>
      </c>
      <c r="D4104" s="39">
        <v>586.69000244140625</v>
      </c>
      <c r="E4104" s="39">
        <v>548.2333984375</v>
      </c>
      <c r="F4104" s="41">
        <v>4160505</v>
      </c>
      <c r="G4104" s="35" t="s">
        <v>688</v>
      </c>
      <c r="H4104" s="35" t="s">
        <v>115</v>
      </c>
    </row>
    <row r="4105" spans="1:8">
      <c r="A4105" s="37">
        <v>44291.15625</v>
      </c>
      <c r="B4105" s="35" t="s">
        <v>686</v>
      </c>
      <c r="C4105" s="35" t="s">
        <v>687</v>
      </c>
      <c r="D4105" s="39">
        <v>607.32000732421875</v>
      </c>
      <c r="E4105" s="39">
        <v>567.510986328125</v>
      </c>
      <c r="F4105" s="41">
        <v>3834265</v>
      </c>
      <c r="G4105" s="35" t="s">
        <v>688</v>
      </c>
      <c r="H4105" s="35" t="s">
        <v>115</v>
      </c>
    </row>
    <row r="4106" spans="1:8">
      <c r="A4106" s="37">
        <v>44292.15625</v>
      </c>
      <c r="B4106" s="35" t="s">
        <v>686</v>
      </c>
      <c r="C4106" s="35" t="s">
        <v>687</v>
      </c>
      <c r="D4106" s="39">
        <v>599.78997802734375</v>
      </c>
      <c r="E4106" s="39">
        <v>560.47479248046875</v>
      </c>
      <c r="F4106" s="41">
        <v>2558045</v>
      </c>
      <c r="G4106" s="35" t="s">
        <v>688</v>
      </c>
      <c r="H4106" s="35" t="s">
        <v>115</v>
      </c>
    </row>
    <row r="4107" spans="1:8">
      <c r="A4107" s="37">
        <v>44293.15625</v>
      </c>
      <c r="B4107" s="35" t="s">
        <v>686</v>
      </c>
      <c r="C4107" s="35" t="s">
        <v>687</v>
      </c>
      <c r="D4107" s="39">
        <v>621.530029296875</v>
      </c>
      <c r="E4107" s="39">
        <v>580.78961181640625</v>
      </c>
      <c r="F4107" s="41">
        <v>4994500</v>
      </c>
      <c r="G4107" s="35" t="s">
        <v>688</v>
      </c>
      <c r="H4107" s="35" t="s">
        <v>115</v>
      </c>
    </row>
    <row r="4108" spans="1:8">
      <c r="A4108" s="37">
        <v>44294.15625</v>
      </c>
      <c r="B4108" s="35" t="s">
        <v>686</v>
      </c>
      <c r="C4108" s="35" t="s">
        <v>687</v>
      </c>
      <c r="D4108" s="39">
        <v>615.78997802734375</v>
      </c>
      <c r="E4108" s="39">
        <v>575.42578125</v>
      </c>
      <c r="F4108" s="41">
        <v>3190455</v>
      </c>
      <c r="G4108" s="35" t="s">
        <v>688</v>
      </c>
      <c r="H4108" s="35" t="s">
        <v>115</v>
      </c>
    </row>
    <row r="4109" spans="1:8">
      <c r="A4109" s="37">
        <v>44295.15625</v>
      </c>
      <c r="B4109" s="35" t="s">
        <v>686</v>
      </c>
      <c r="C4109" s="35" t="s">
        <v>687</v>
      </c>
      <c r="D4109" s="39">
        <v>633.57000732421875</v>
      </c>
      <c r="E4109" s="39">
        <v>592.0404052734375</v>
      </c>
      <c r="F4109" s="41">
        <v>2838575</v>
      </c>
      <c r="G4109" s="35" t="s">
        <v>688</v>
      </c>
      <c r="H4109" s="35" t="s">
        <v>115</v>
      </c>
    </row>
    <row r="4110" spans="1:8">
      <c r="A4110" s="37">
        <v>44298.15625</v>
      </c>
      <c r="B4110" s="35" t="s">
        <v>686</v>
      </c>
      <c r="C4110" s="35" t="s">
        <v>687</v>
      </c>
      <c r="D4110" s="39">
        <v>623.65997314453125</v>
      </c>
      <c r="E4110" s="39">
        <v>582.77984619140625</v>
      </c>
      <c r="F4110" s="41">
        <v>3431220</v>
      </c>
      <c r="G4110" s="35" t="s">
        <v>688</v>
      </c>
      <c r="H4110" s="35" t="s">
        <v>115</v>
      </c>
    </row>
    <row r="4111" spans="1:8">
      <c r="A4111" s="37">
        <v>44299.15625</v>
      </c>
      <c r="B4111" s="35" t="s">
        <v>686</v>
      </c>
      <c r="C4111" s="35" t="s">
        <v>687</v>
      </c>
      <c r="D4111" s="39">
        <v>578.0999755859375</v>
      </c>
      <c r="E4111" s="39">
        <v>540.20635986328125</v>
      </c>
      <c r="F4111" s="41">
        <v>5961640</v>
      </c>
      <c r="G4111" s="35" t="s">
        <v>688</v>
      </c>
      <c r="H4111" s="35" t="s">
        <v>115</v>
      </c>
    </row>
    <row r="4112" spans="1:8">
      <c r="A4112" s="37">
        <v>44301.15625</v>
      </c>
      <c r="B4112" s="35" t="s">
        <v>686</v>
      </c>
      <c r="C4112" s="35" t="s">
        <v>687</v>
      </c>
      <c r="D4112" s="39">
        <v>609.010009765625</v>
      </c>
      <c r="E4112" s="39">
        <v>569.09033203125</v>
      </c>
      <c r="F4112" s="41">
        <v>5986190</v>
      </c>
      <c r="G4112" s="35" t="s">
        <v>688</v>
      </c>
      <c r="H4112" s="35" t="s">
        <v>115</v>
      </c>
    </row>
    <row r="4113" spans="1:8">
      <c r="A4113" s="37">
        <v>44302.15625</v>
      </c>
      <c r="B4113" s="35" t="s">
        <v>686</v>
      </c>
      <c r="C4113" s="35" t="s">
        <v>687</v>
      </c>
      <c r="D4113" s="39">
        <v>634.3900146484375</v>
      </c>
      <c r="E4113" s="39">
        <v>592.8067626953125</v>
      </c>
      <c r="F4113" s="41">
        <v>5592730</v>
      </c>
      <c r="G4113" s="35" t="s">
        <v>688</v>
      </c>
      <c r="H4113" s="35" t="s">
        <v>115</v>
      </c>
    </row>
    <row r="4114" spans="1:8">
      <c r="A4114" s="37">
        <v>44305.15625</v>
      </c>
      <c r="B4114" s="35" t="s">
        <v>686</v>
      </c>
      <c r="C4114" s="35" t="s">
        <v>687</v>
      </c>
      <c r="D4114" s="39">
        <v>622.33001708984375</v>
      </c>
      <c r="E4114" s="39">
        <v>581.5372314453125</v>
      </c>
      <c r="F4114" s="41">
        <v>2620075</v>
      </c>
      <c r="G4114" s="35" t="s">
        <v>688</v>
      </c>
      <c r="H4114" s="35" t="s">
        <v>115</v>
      </c>
    </row>
    <row r="4115" spans="1:8">
      <c r="A4115" s="37">
        <v>44306.15625</v>
      </c>
      <c r="B4115" s="35" t="s">
        <v>686</v>
      </c>
      <c r="C4115" s="35" t="s">
        <v>687</v>
      </c>
      <c r="D4115" s="39">
        <v>602</v>
      </c>
      <c r="E4115" s="39">
        <v>562.53973388671875</v>
      </c>
      <c r="F4115" s="41">
        <v>2472790</v>
      </c>
      <c r="G4115" s="35" t="s">
        <v>688</v>
      </c>
      <c r="H4115" s="35" t="s">
        <v>115</v>
      </c>
    </row>
    <row r="4116" spans="1:8">
      <c r="A4116" s="37">
        <v>44308.15625</v>
      </c>
      <c r="B4116" s="35" t="s">
        <v>686</v>
      </c>
      <c r="C4116" s="35" t="s">
        <v>687</v>
      </c>
      <c r="D4116" s="39">
        <v>575.78997802734375</v>
      </c>
      <c r="E4116" s="39">
        <v>538.0478515625</v>
      </c>
      <c r="F4116" s="41">
        <v>2658120</v>
      </c>
      <c r="G4116" s="35" t="s">
        <v>688</v>
      </c>
      <c r="H4116" s="35" t="s">
        <v>115</v>
      </c>
    </row>
    <row r="4117" spans="1:8">
      <c r="A4117" s="37">
        <v>44309.15625</v>
      </c>
      <c r="B4117" s="35" t="s">
        <v>686</v>
      </c>
      <c r="C4117" s="35" t="s">
        <v>687</v>
      </c>
      <c r="D4117" s="39">
        <v>570.20001220703125</v>
      </c>
      <c r="E4117" s="39">
        <v>532.82427978515625</v>
      </c>
      <c r="F4117" s="41">
        <v>3275110</v>
      </c>
      <c r="G4117" s="35" t="s">
        <v>688</v>
      </c>
      <c r="H4117" s="35" t="s">
        <v>115</v>
      </c>
    </row>
    <row r="4118" spans="1:8">
      <c r="A4118" s="37">
        <v>44312.15625</v>
      </c>
      <c r="B4118" s="35" t="s">
        <v>686</v>
      </c>
      <c r="C4118" s="35" t="s">
        <v>687</v>
      </c>
      <c r="D4118" s="39">
        <v>561.6199951171875</v>
      </c>
      <c r="E4118" s="39">
        <v>524.80657958984375</v>
      </c>
      <c r="F4118" s="41">
        <v>1908955</v>
      </c>
      <c r="G4118" s="35" t="s">
        <v>688</v>
      </c>
      <c r="H4118" s="35" t="s">
        <v>115</v>
      </c>
    </row>
    <row r="4119" spans="1:8">
      <c r="A4119" s="37">
        <v>44313.15625</v>
      </c>
      <c r="B4119" s="35" t="s">
        <v>686</v>
      </c>
      <c r="C4119" s="35" t="s">
        <v>687</v>
      </c>
      <c r="D4119" s="39">
        <v>567.6199951171875</v>
      </c>
      <c r="E4119" s="39">
        <v>530.413330078125</v>
      </c>
      <c r="F4119" s="41">
        <v>2209945</v>
      </c>
      <c r="G4119" s="35" t="s">
        <v>688</v>
      </c>
      <c r="H4119" s="35" t="s">
        <v>115</v>
      </c>
    </row>
    <row r="4120" spans="1:8">
      <c r="A4120" s="37">
        <v>44314.15625</v>
      </c>
      <c r="B4120" s="35" t="s">
        <v>686</v>
      </c>
      <c r="C4120" s="35" t="s">
        <v>687</v>
      </c>
      <c r="D4120" s="39">
        <v>573.6400146484375</v>
      </c>
      <c r="E4120" s="39">
        <v>536.038818359375</v>
      </c>
      <c r="F4120" s="41">
        <v>1493045</v>
      </c>
      <c r="G4120" s="35" t="s">
        <v>688</v>
      </c>
      <c r="H4120" s="35" t="s">
        <v>115</v>
      </c>
    </row>
    <row r="4121" spans="1:8">
      <c r="A4121" s="37">
        <v>44315.15625</v>
      </c>
      <c r="B4121" s="35" t="s">
        <v>686</v>
      </c>
      <c r="C4121" s="35" t="s">
        <v>687</v>
      </c>
      <c r="D4121" s="39">
        <v>568.94000244140625</v>
      </c>
      <c r="E4121" s="39">
        <v>531.64678955078125</v>
      </c>
      <c r="F4121" s="41">
        <v>1982985</v>
      </c>
      <c r="G4121" s="35" t="s">
        <v>688</v>
      </c>
      <c r="H4121" s="35" t="s">
        <v>115</v>
      </c>
    </row>
    <row r="4122" spans="1:8">
      <c r="A4122" s="37">
        <v>44316.15625</v>
      </c>
      <c r="B4122" s="35" t="s">
        <v>686</v>
      </c>
      <c r="C4122" s="35" t="s">
        <v>687</v>
      </c>
      <c r="D4122" s="39">
        <v>573.80999755859375</v>
      </c>
      <c r="E4122" s="39">
        <v>536.197509765625</v>
      </c>
      <c r="F4122" s="41">
        <v>2367985</v>
      </c>
      <c r="G4122" s="35" t="s">
        <v>688</v>
      </c>
      <c r="H4122" s="35" t="s">
        <v>115</v>
      </c>
    </row>
    <row r="4123" spans="1:8">
      <c r="A4123" s="37">
        <v>44319.15625</v>
      </c>
      <c r="B4123" s="35" t="s">
        <v>686</v>
      </c>
      <c r="C4123" s="35" t="s">
        <v>687</v>
      </c>
      <c r="D4123" s="39">
        <v>580.54998779296875</v>
      </c>
      <c r="E4123" s="39">
        <v>542.495849609375</v>
      </c>
      <c r="F4123" s="41">
        <v>1336610</v>
      </c>
      <c r="G4123" s="35" t="s">
        <v>688</v>
      </c>
      <c r="H4123" s="35" t="s">
        <v>115</v>
      </c>
    </row>
    <row r="4124" spans="1:8">
      <c r="A4124" s="37">
        <v>44320.15625</v>
      </c>
      <c r="B4124" s="35" t="s">
        <v>686</v>
      </c>
      <c r="C4124" s="35" t="s">
        <v>687</v>
      </c>
      <c r="D4124" s="39">
        <v>570.05999755859375</v>
      </c>
      <c r="E4124" s="39">
        <v>532.6934814453125</v>
      </c>
      <c r="F4124" s="41">
        <v>1458600</v>
      </c>
      <c r="G4124" s="35" t="s">
        <v>688</v>
      </c>
      <c r="H4124" s="35" t="s">
        <v>115</v>
      </c>
    </row>
    <row r="4125" spans="1:8">
      <c r="A4125" s="37">
        <v>44321.15625</v>
      </c>
      <c r="B4125" s="35" t="s">
        <v>686</v>
      </c>
      <c r="C4125" s="35" t="s">
        <v>687</v>
      </c>
      <c r="D4125" s="39">
        <v>578.54998779296875</v>
      </c>
      <c r="E4125" s="39">
        <v>540.62689208984375</v>
      </c>
      <c r="F4125" s="41">
        <v>1282900</v>
      </c>
      <c r="G4125" s="35" t="s">
        <v>688</v>
      </c>
      <c r="H4125" s="35" t="s">
        <v>115</v>
      </c>
    </row>
    <row r="4126" spans="1:8">
      <c r="A4126" s="37">
        <v>44322.15625</v>
      </c>
      <c r="B4126" s="35" t="s">
        <v>686</v>
      </c>
      <c r="C4126" s="35" t="s">
        <v>687</v>
      </c>
      <c r="D4126" s="39">
        <v>679.22998046875</v>
      </c>
      <c r="E4126" s="39">
        <v>634.70745849609375</v>
      </c>
      <c r="F4126" s="41">
        <v>32049845</v>
      </c>
      <c r="G4126" s="35" t="s">
        <v>688</v>
      </c>
      <c r="H4126" s="35" t="s">
        <v>115</v>
      </c>
    </row>
    <row r="4127" spans="1:8">
      <c r="A4127" s="37">
        <v>44323.15625</v>
      </c>
      <c r="B4127" s="35" t="s">
        <v>686</v>
      </c>
      <c r="C4127" s="35" t="s">
        <v>687</v>
      </c>
      <c r="D4127" s="39">
        <v>676.1500244140625</v>
      </c>
      <c r="E4127" s="39">
        <v>631.8294677734375</v>
      </c>
      <c r="F4127" s="41">
        <v>16913630</v>
      </c>
      <c r="G4127" s="35" t="s">
        <v>688</v>
      </c>
      <c r="H4127" s="35" t="s">
        <v>115</v>
      </c>
    </row>
    <row r="4128" spans="1:8">
      <c r="A4128" s="37">
        <v>44326.15625</v>
      </c>
      <c r="B4128" s="35" t="s">
        <v>686</v>
      </c>
      <c r="C4128" s="35" t="s">
        <v>687</v>
      </c>
      <c r="D4128" s="39">
        <v>644.41998291015625</v>
      </c>
      <c r="E4128" s="39">
        <v>602.17919921875</v>
      </c>
      <c r="F4128" s="41">
        <v>12028800</v>
      </c>
      <c r="G4128" s="35" t="s">
        <v>688</v>
      </c>
      <c r="H4128" s="35" t="s">
        <v>115</v>
      </c>
    </row>
    <row r="4129" spans="1:8">
      <c r="A4129" s="37">
        <v>44327.15625</v>
      </c>
      <c r="B4129" s="35" t="s">
        <v>686</v>
      </c>
      <c r="C4129" s="35" t="s">
        <v>687</v>
      </c>
      <c r="D4129" s="39">
        <v>683.67999267578125</v>
      </c>
      <c r="E4129" s="39">
        <v>638.86578369140625</v>
      </c>
      <c r="F4129" s="41">
        <v>11320615</v>
      </c>
      <c r="G4129" s="35" t="s">
        <v>688</v>
      </c>
      <c r="H4129" s="35" t="s">
        <v>115</v>
      </c>
    </row>
    <row r="4130" spans="1:8">
      <c r="A4130" s="37">
        <v>44328.15625</v>
      </c>
      <c r="B4130" s="35" t="s">
        <v>686</v>
      </c>
      <c r="C4130" s="35" t="s">
        <v>687</v>
      </c>
      <c r="D4130" s="39">
        <v>678.41998291015625</v>
      </c>
      <c r="E4130" s="39">
        <v>633.95050048828125</v>
      </c>
      <c r="F4130" s="41">
        <v>4072760</v>
      </c>
      <c r="G4130" s="35" t="s">
        <v>688</v>
      </c>
      <c r="H4130" s="35" t="s">
        <v>115</v>
      </c>
    </row>
    <row r="4131" spans="1:8">
      <c r="A4131" s="37">
        <v>44330.15625</v>
      </c>
      <c r="B4131" s="35" t="s">
        <v>686</v>
      </c>
      <c r="C4131" s="35" t="s">
        <v>687</v>
      </c>
      <c r="D4131" s="39">
        <v>669.90997314453125</v>
      </c>
      <c r="E4131" s="39">
        <v>625.99835205078125</v>
      </c>
      <c r="F4131" s="41">
        <v>1972490</v>
      </c>
      <c r="G4131" s="35" t="s">
        <v>688</v>
      </c>
      <c r="H4131" s="35" t="s">
        <v>115</v>
      </c>
    </row>
    <row r="4132" spans="1:8">
      <c r="A4132" s="37">
        <v>44333.15625</v>
      </c>
      <c r="B4132" s="35" t="s">
        <v>686</v>
      </c>
      <c r="C4132" s="35" t="s">
        <v>687</v>
      </c>
      <c r="D4132" s="39">
        <v>673.489990234375</v>
      </c>
      <c r="E4132" s="39">
        <v>629.3436279296875</v>
      </c>
      <c r="F4132" s="41">
        <v>3522760</v>
      </c>
      <c r="G4132" s="35" t="s">
        <v>688</v>
      </c>
      <c r="H4132" s="35" t="s">
        <v>115</v>
      </c>
    </row>
    <row r="4133" spans="1:8">
      <c r="A4133" s="37">
        <v>44334.15625</v>
      </c>
      <c r="B4133" s="35" t="s">
        <v>686</v>
      </c>
      <c r="C4133" s="35" t="s">
        <v>687</v>
      </c>
      <c r="D4133" s="39">
        <v>686.03997802734375</v>
      </c>
      <c r="E4133" s="39">
        <v>643.5556640625</v>
      </c>
      <c r="F4133" s="41">
        <v>4411370</v>
      </c>
      <c r="G4133" s="35" t="s">
        <v>688</v>
      </c>
      <c r="H4133" s="35" t="s">
        <v>115</v>
      </c>
    </row>
    <row r="4134" spans="1:8">
      <c r="A4134" s="37">
        <v>44335.15625</v>
      </c>
      <c r="B4134" s="35" t="s">
        <v>686</v>
      </c>
      <c r="C4134" s="35" t="s">
        <v>687</v>
      </c>
      <c r="D4134" s="39">
        <v>655.54998779296875</v>
      </c>
      <c r="E4134" s="39">
        <v>614.95367431640625</v>
      </c>
      <c r="F4134" s="41">
        <v>17401305</v>
      </c>
      <c r="G4134" s="35" t="s">
        <v>688</v>
      </c>
      <c r="H4134" s="35" t="s">
        <v>115</v>
      </c>
    </row>
    <row r="4135" spans="1:8">
      <c r="A4135" s="37">
        <v>44336.15625</v>
      </c>
      <c r="B4135" s="35" t="s">
        <v>686</v>
      </c>
      <c r="C4135" s="35" t="s">
        <v>687</v>
      </c>
      <c r="D4135" s="39">
        <v>664.6400146484375</v>
      </c>
      <c r="E4135" s="39">
        <v>623.48101806640625</v>
      </c>
      <c r="F4135" s="41">
        <v>6574495</v>
      </c>
      <c r="G4135" s="35" t="s">
        <v>688</v>
      </c>
      <c r="H4135" s="35" t="s">
        <v>115</v>
      </c>
    </row>
    <row r="4136" spans="1:8">
      <c r="A4136" s="37">
        <v>44337.15625</v>
      </c>
      <c r="B4136" s="35" t="s">
        <v>686</v>
      </c>
      <c r="C4136" s="35" t="s">
        <v>687</v>
      </c>
      <c r="D4136" s="39">
        <v>666.03997802734375</v>
      </c>
      <c r="E4136" s="39">
        <v>624.7940673828125</v>
      </c>
      <c r="F4136" s="41">
        <v>4336615</v>
      </c>
      <c r="G4136" s="35" t="s">
        <v>688</v>
      </c>
      <c r="H4136" s="35" t="s">
        <v>115</v>
      </c>
    </row>
    <row r="4137" spans="1:8">
      <c r="A4137" s="37">
        <v>44340.15625</v>
      </c>
      <c r="B4137" s="35" t="s">
        <v>686</v>
      </c>
      <c r="C4137" s="35" t="s">
        <v>687</v>
      </c>
      <c r="D4137" s="39">
        <v>658.08001708984375</v>
      </c>
      <c r="E4137" s="39">
        <v>617.32696533203125</v>
      </c>
      <c r="F4137" s="41">
        <v>3199500</v>
      </c>
      <c r="G4137" s="35" t="s">
        <v>688</v>
      </c>
      <c r="H4137" s="35" t="s">
        <v>115</v>
      </c>
    </row>
    <row r="4138" spans="1:8">
      <c r="A4138" s="37">
        <v>44341.15625</v>
      </c>
      <c r="B4138" s="35" t="s">
        <v>686</v>
      </c>
      <c r="C4138" s="35" t="s">
        <v>687</v>
      </c>
      <c r="D4138" s="39">
        <v>668.3599853515625</v>
      </c>
      <c r="E4138" s="39">
        <v>626.97039794921875</v>
      </c>
      <c r="F4138" s="41">
        <v>2608445</v>
      </c>
      <c r="G4138" s="35" t="s">
        <v>688</v>
      </c>
      <c r="H4138" s="35" t="s">
        <v>115</v>
      </c>
    </row>
    <row r="4139" spans="1:8">
      <c r="A4139" s="37">
        <v>44342.15625</v>
      </c>
      <c r="B4139" s="35" t="s">
        <v>686</v>
      </c>
      <c r="C4139" s="35" t="s">
        <v>687</v>
      </c>
      <c r="D4139" s="39">
        <v>696.92999267578125</v>
      </c>
      <c r="E4139" s="39">
        <v>653.77117919921875</v>
      </c>
      <c r="F4139" s="41">
        <v>6790850</v>
      </c>
      <c r="G4139" s="35" t="s">
        <v>688</v>
      </c>
      <c r="H4139" s="35" t="s">
        <v>115</v>
      </c>
    </row>
    <row r="4140" spans="1:8">
      <c r="A4140" s="37">
        <v>44343.15625</v>
      </c>
      <c r="B4140" s="35" t="s">
        <v>686</v>
      </c>
      <c r="C4140" s="35" t="s">
        <v>687</v>
      </c>
      <c r="D4140" s="39">
        <v>699.17999267578125</v>
      </c>
      <c r="E4140" s="39">
        <v>655.8817138671875</v>
      </c>
      <c r="F4140" s="41">
        <v>6336315</v>
      </c>
      <c r="G4140" s="35" t="s">
        <v>688</v>
      </c>
      <c r="H4140" s="35" t="s">
        <v>115</v>
      </c>
    </row>
    <row r="4141" spans="1:8">
      <c r="A4141" s="37">
        <v>44344.15625</v>
      </c>
      <c r="B4141" s="35" t="s">
        <v>686</v>
      </c>
      <c r="C4141" s="35" t="s">
        <v>687</v>
      </c>
      <c r="D4141" s="39">
        <v>708.6099853515625</v>
      </c>
      <c r="E4141" s="39">
        <v>664.72760009765625</v>
      </c>
      <c r="F4141" s="41">
        <v>3249890</v>
      </c>
      <c r="G4141" s="35" t="s">
        <v>688</v>
      </c>
      <c r="H4141" s="35" t="s">
        <v>115</v>
      </c>
    </row>
    <row r="4142" spans="1:8">
      <c r="A4142" s="37">
        <v>44347.15625</v>
      </c>
      <c r="B4142" s="35" t="s">
        <v>686</v>
      </c>
      <c r="C4142" s="35" t="s">
        <v>687</v>
      </c>
      <c r="D4142" s="39">
        <v>705.8800048828125</v>
      </c>
      <c r="E4142" s="39">
        <v>662.16693115234375</v>
      </c>
      <c r="F4142" s="41">
        <v>2091285</v>
      </c>
      <c r="G4142" s="35" t="s">
        <v>688</v>
      </c>
      <c r="H4142" s="35" t="s">
        <v>115</v>
      </c>
    </row>
    <row r="4143" spans="1:8">
      <c r="A4143" s="37">
        <v>44348.15625</v>
      </c>
      <c r="B4143" s="35" t="s">
        <v>686</v>
      </c>
      <c r="C4143" s="35" t="s">
        <v>687</v>
      </c>
      <c r="D4143" s="39">
        <v>717.719970703125</v>
      </c>
      <c r="E4143" s="39">
        <v>673.2735595703125</v>
      </c>
      <c r="F4143" s="41">
        <v>2143215</v>
      </c>
      <c r="G4143" s="35" t="s">
        <v>688</v>
      </c>
      <c r="H4143" s="35" t="s">
        <v>115</v>
      </c>
    </row>
    <row r="4144" spans="1:8">
      <c r="A4144" s="37">
        <v>44349.15625</v>
      </c>
      <c r="B4144" s="35" t="s">
        <v>686</v>
      </c>
      <c r="C4144" s="35" t="s">
        <v>687</v>
      </c>
      <c r="D4144" s="39">
        <v>715.1300048828125</v>
      </c>
      <c r="E4144" s="39">
        <v>670.84417724609375</v>
      </c>
      <c r="F4144" s="41">
        <v>1854275</v>
      </c>
      <c r="G4144" s="35" t="s">
        <v>688</v>
      </c>
      <c r="H4144" s="35" t="s">
        <v>115</v>
      </c>
    </row>
    <row r="4145" spans="1:8">
      <c r="A4145" s="37">
        <v>44350.15625</v>
      </c>
      <c r="B4145" s="35" t="s">
        <v>686</v>
      </c>
      <c r="C4145" s="35" t="s">
        <v>687</v>
      </c>
      <c r="D4145" s="39">
        <v>728.8900146484375</v>
      </c>
      <c r="E4145" s="39">
        <v>683.75201416015625</v>
      </c>
      <c r="F4145" s="41">
        <v>2592260</v>
      </c>
      <c r="G4145" s="35" t="s">
        <v>688</v>
      </c>
      <c r="H4145" s="35" t="s">
        <v>115</v>
      </c>
    </row>
    <row r="4146" spans="1:8">
      <c r="A4146" s="37">
        <v>44351.15625</v>
      </c>
      <c r="B4146" s="35" t="s">
        <v>686</v>
      </c>
      <c r="C4146" s="35" t="s">
        <v>687</v>
      </c>
      <c r="D4146" s="39">
        <v>738.82000732421875</v>
      </c>
      <c r="E4146" s="39">
        <v>693.06707763671875</v>
      </c>
      <c r="F4146" s="41">
        <v>3317350</v>
      </c>
      <c r="G4146" s="35" t="s">
        <v>688</v>
      </c>
      <c r="H4146" s="35" t="s">
        <v>115</v>
      </c>
    </row>
    <row r="4147" spans="1:8">
      <c r="A4147" s="37">
        <v>44354.15625</v>
      </c>
      <c r="B4147" s="35" t="s">
        <v>686</v>
      </c>
      <c r="C4147" s="35" t="s">
        <v>687</v>
      </c>
      <c r="D4147" s="39">
        <v>742.67999267578125</v>
      </c>
      <c r="E4147" s="39">
        <v>696.68804931640625</v>
      </c>
      <c r="F4147" s="41">
        <v>1682710</v>
      </c>
      <c r="G4147" s="35" t="s">
        <v>688</v>
      </c>
      <c r="H4147" s="35" t="s">
        <v>115</v>
      </c>
    </row>
    <row r="4148" spans="1:8">
      <c r="A4148" s="37">
        <v>44355.15625</v>
      </c>
      <c r="B4148" s="35" t="s">
        <v>686</v>
      </c>
      <c r="C4148" s="35" t="s">
        <v>687</v>
      </c>
      <c r="D4148" s="39">
        <v>764.82000732421875</v>
      </c>
      <c r="E4148" s="39">
        <v>717.45697021484375</v>
      </c>
      <c r="F4148" s="41">
        <v>4793045</v>
      </c>
      <c r="G4148" s="35" t="s">
        <v>688</v>
      </c>
      <c r="H4148" s="35" t="s">
        <v>115</v>
      </c>
    </row>
    <row r="4149" spans="1:8">
      <c r="A4149" s="37">
        <v>44356.15625</v>
      </c>
      <c r="B4149" s="35" t="s">
        <v>686</v>
      </c>
      <c r="C4149" s="35" t="s">
        <v>687</v>
      </c>
      <c r="D4149" s="39">
        <v>769.71002197265625</v>
      </c>
      <c r="E4149" s="39">
        <v>722.04412841796875</v>
      </c>
      <c r="F4149" s="41">
        <v>5519795</v>
      </c>
      <c r="G4149" s="35" t="s">
        <v>688</v>
      </c>
      <c r="H4149" s="35" t="s">
        <v>115</v>
      </c>
    </row>
    <row r="4150" spans="1:8">
      <c r="A4150" s="37">
        <v>44357.15625</v>
      </c>
      <c r="B4150" s="35" t="s">
        <v>686</v>
      </c>
      <c r="C4150" s="35" t="s">
        <v>687</v>
      </c>
      <c r="D4150" s="39">
        <v>779.3800048828125</v>
      </c>
      <c r="E4150" s="39">
        <v>731.115234375</v>
      </c>
      <c r="F4150" s="41">
        <v>1970480</v>
      </c>
      <c r="G4150" s="35" t="s">
        <v>688</v>
      </c>
      <c r="H4150" s="35" t="s">
        <v>115</v>
      </c>
    </row>
    <row r="4151" spans="1:8">
      <c r="A4151" s="37">
        <v>44358.15625</v>
      </c>
      <c r="B4151" s="35" t="s">
        <v>686</v>
      </c>
      <c r="C4151" s="35" t="s">
        <v>687</v>
      </c>
      <c r="D4151" s="39">
        <v>795.78997802734375</v>
      </c>
      <c r="E4151" s="39">
        <v>746.509033203125</v>
      </c>
      <c r="F4151" s="41">
        <v>3007350</v>
      </c>
      <c r="G4151" s="35" t="s">
        <v>688</v>
      </c>
      <c r="H4151" s="35" t="s">
        <v>115</v>
      </c>
    </row>
    <row r="4152" spans="1:8">
      <c r="A4152" s="37">
        <v>44361.15625</v>
      </c>
      <c r="B4152" s="35" t="s">
        <v>686</v>
      </c>
      <c r="C4152" s="35" t="s">
        <v>687</v>
      </c>
      <c r="D4152" s="39">
        <v>781.69000244140625</v>
      </c>
      <c r="E4152" s="39">
        <v>733.28216552734375</v>
      </c>
      <c r="F4152" s="41">
        <v>2233795</v>
      </c>
      <c r="G4152" s="35" t="s">
        <v>688</v>
      </c>
      <c r="H4152" s="35" t="s">
        <v>115</v>
      </c>
    </row>
    <row r="4153" spans="1:8">
      <c r="A4153" s="37">
        <v>44362.15625</v>
      </c>
      <c r="B4153" s="35" t="s">
        <v>686</v>
      </c>
      <c r="C4153" s="35" t="s">
        <v>687</v>
      </c>
      <c r="D4153" s="39">
        <v>788.969970703125</v>
      </c>
      <c r="E4153" s="39">
        <v>740.111328125</v>
      </c>
      <c r="F4153" s="41">
        <v>1401320</v>
      </c>
      <c r="G4153" s="35" t="s">
        <v>688</v>
      </c>
      <c r="H4153" s="35" t="s">
        <v>115</v>
      </c>
    </row>
    <row r="4154" spans="1:8">
      <c r="A4154" s="37">
        <v>44363.15625</v>
      </c>
      <c r="B4154" s="35" t="s">
        <v>686</v>
      </c>
      <c r="C4154" s="35" t="s">
        <v>687</v>
      </c>
      <c r="D4154" s="39">
        <v>795.5</v>
      </c>
      <c r="E4154" s="39">
        <v>746.2369384765625</v>
      </c>
      <c r="F4154" s="41">
        <v>2259420</v>
      </c>
      <c r="G4154" s="35" t="s">
        <v>688</v>
      </c>
      <c r="H4154" s="35" t="s">
        <v>115</v>
      </c>
    </row>
    <row r="4155" spans="1:8">
      <c r="A4155" s="37">
        <v>44364.15625</v>
      </c>
      <c r="B4155" s="35" t="s">
        <v>686</v>
      </c>
      <c r="C4155" s="35" t="s">
        <v>687</v>
      </c>
      <c r="D4155" s="39">
        <v>795.719970703125</v>
      </c>
      <c r="E4155" s="39">
        <v>746.4432373046875</v>
      </c>
      <c r="F4155" s="41">
        <v>1149330</v>
      </c>
      <c r="G4155" s="35" t="s">
        <v>688</v>
      </c>
      <c r="H4155" s="35" t="s">
        <v>115</v>
      </c>
    </row>
    <row r="4156" spans="1:8">
      <c r="A4156" s="37">
        <v>44365.15625</v>
      </c>
      <c r="B4156" s="35" t="s">
        <v>686</v>
      </c>
      <c r="C4156" s="35" t="s">
        <v>687</v>
      </c>
      <c r="D4156" s="39">
        <v>794.21002197265625</v>
      </c>
      <c r="E4156" s="39">
        <v>745.02685546875</v>
      </c>
      <c r="F4156" s="41">
        <v>2062375</v>
      </c>
      <c r="G4156" s="35" t="s">
        <v>688</v>
      </c>
      <c r="H4156" s="35" t="s">
        <v>115</v>
      </c>
    </row>
    <row r="4157" spans="1:8">
      <c r="A4157" s="37">
        <v>44368.15625</v>
      </c>
      <c r="B4157" s="35" t="s">
        <v>686</v>
      </c>
      <c r="C4157" s="35" t="s">
        <v>687</v>
      </c>
      <c r="D4157" s="39">
        <v>801.72998046875</v>
      </c>
      <c r="E4157" s="39">
        <v>752.0811767578125</v>
      </c>
      <c r="F4157" s="41">
        <v>1495135</v>
      </c>
      <c r="G4157" s="35" t="s">
        <v>688</v>
      </c>
      <c r="H4157" s="35" t="s">
        <v>115</v>
      </c>
    </row>
    <row r="4158" spans="1:8">
      <c r="A4158" s="37">
        <v>44369.15625</v>
      </c>
      <c r="B4158" s="35" t="s">
        <v>686</v>
      </c>
      <c r="C4158" s="35" t="s">
        <v>687</v>
      </c>
      <c r="D4158" s="39">
        <v>795.72998046875</v>
      </c>
      <c r="E4158" s="39">
        <v>746.45281982421875</v>
      </c>
      <c r="F4158" s="41">
        <v>1396125</v>
      </c>
      <c r="G4158" s="35" t="s">
        <v>688</v>
      </c>
      <c r="H4158" s="35" t="s">
        <v>115</v>
      </c>
    </row>
    <row r="4159" spans="1:8">
      <c r="A4159" s="37">
        <v>44370.15625</v>
      </c>
      <c r="B4159" s="35" t="s">
        <v>686</v>
      </c>
      <c r="C4159" s="35" t="s">
        <v>687</v>
      </c>
      <c r="D4159" s="39">
        <v>787.16998291015625</v>
      </c>
      <c r="E4159" s="39">
        <v>738.4227294921875</v>
      </c>
      <c r="F4159" s="41">
        <v>1485805</v>
      </c>
      <c r="G4159" s="35" t="s">
        <v>688</v>
      </c>
      <c r="H4159" s="35" t="s">
        <v>115</v>
      </c>
    </row>
    <row r="4160" spans="1:8">
      <c r="A4160" s="37">
        <v>44371.15625</v>
      </c>
      <c r="B4160" s="35" t="s">
        <v>686</v>
      </c>
      <c r="C4160" s="35" t="s">
        <v>687</v>
      </c>
      <c r="D4160" s="39">
        <v>814.57000732421875</v>
      </c>
      <c r="E4160" s="39">
        <v>764.12615966796875</v>
      </c>
      <c r="F4160" s="41">
        <v>2285585</v>
      </c>
      <c r="G4160" s="35" t="s">
        <v>688</v>
      </c>
      <c r="H4160" s="35" t="s">
        <v>115</v>
      </c>
    </row>
    <row r="4161" spans="1:8">
      <c r="A4161" s="37">
        <v>44372.15625</v>
      </c>
      <c r="B4161" s="35" t="s">
        <v>686</v>
      </c>
      <c r="C4161" s="35" t="s">
        <v>687</v>
      </c>
      <c r="D4161" s="39">
        <v>819.53997802734375</v>
      </c>
      <c r="E4161" s="39">
        <v>768.78839111328125</v>
      </c>
      <c r="F4161" s="41">
        <v>2743020</v>
      </c>
      <c r="G4161" s="35" t="s">
        <v>688</v>
      </c>
      <c r="H4161" s="35" t="s">
        <v>115</v>
      </c>
    </row>
    <row r="4162" spans="1:8">
      <c r="A4162" s="37">
        <v>44375.15625</v>
      </c>
      <c r="B4162" s="35" t="s">
        <v>686</v>
      </c>
      <c r="C4162" s="35" t="s">
        <v>687</v>
      </c>
      <c r="D4162" s="39">
        <v>824.489990234375</v>
      </c>
      <c r="E4162" s="39">
        <v>773.4317626953125</v>
      </c>
      <c r="F4162" s="41">
        <v>1007805</v>
      </c>
      <c r="G4162" s="35" t="s">
        <v>688</v>
      </c>
      <c r="H4162" s="35" t="s">
        <v>115</v>
      </c>
    </row>
    <row r="4163" spans="1:8">
      <c r="A4163" s="37">
        <v>44376.15625</v>
      </c>
      <c r="B4163" s="35" t="s">
        <v>686</v>
      </c>
      <c r="C4163" s="35" t="s">
        <v>687</v>
      </c>
      <c r="D4163" s="39">
        <v>812.260009765625</v>
      </c>
      <c r="E4163" s="39">
        <v>761.9591064453125</v>
      </c>
      <c r="F4163" s="41">
        <v>1447140</v>
      </c>
      <c r="G4163" s="35" t="s">
        <v>688</v>
      </c>
      <c r="H4163" s="35" t="s">
        <v>115</v>
      </c>
    </row>
    <row r="4164" spans="1:8">
      <c r="A4164" s="37">
        <v>44377.15625</v>
      </c>
      <c r="B4164" s="35" t="s">
        <v>686</v>
      </c>
      <c r="C4164" s="35" t="s">
        <v>687</v>
      </c>
      <c r="D4164" s="39">
        <v>831.46002197265625</v>
      </c>
      <c r="E4164" s="39">
        <v>779.97015380859375</v>
      </c>
      <c r="F4164" s="41">
        <v>1950235</v>
      </c>
      <c r="G4164" s="35" t="s">
        <v>688</v>
      </c>
      <c r="H4164" s="35" t="s">
        <v>115</v>
      </c>
    </row>
    <row r="4165" spans="1:8">
      <c r="A4165" s="37">
        <v>44378.15625</v>
      </c>
      <c r="B4165" s="35" t="s">
        <v>686</v>
      </c>
      <c r="C4165" s="35" t="s">
        <v>687</v>
      </c>
      <c r="D4165" s="39">
        <v>838.719970703125</v>
      </c>
      <c r="E4165" s="39">
        <v>786.78057861328125</v>
      </c>
      <c r="F4165" s="41">
        <v>1421355</v>
      </c>
      <c r="G4165" s="35" t="s">
        <v>688</v>
      </c>
      <c r="H4165" s="35" t="s">
        <v>115</v>
      </c>
    </row>
    <row r="4166" spans="1:8">
      <c r="A4166" s="37">
        <v>44379.15625</v>
      </c>
      <c r="B4166" s="35" t="s">
        <v>686</v>
      </c>
      <c r="C4166" s="35" t="s">
        <v>687</v>
      </c>
      <c r="D4166" s="39">
        <v>839.3900146484375</v>
      </c>
      <c r="E4166" s="39">
        <v>787.40899658203125</v>
      </c>
      <c r="F4166" s="41">
        <v>3569205</v>
      </c>
      <c r="G4166" s="35" t="s">
        <v>688</v>
      </c>
      <c r="H4166" s="35" t="s">
        <v>115</v>
      </c>
    </row>
    <row r="4167" spans="1:8">
      <c r="A4167" s="37">
        <v>44382.15625</v>
      </c>
      <c r="B4167" s="35" t="s">
        <v>686</v>
      </c>
      <c r="C4167" s="35" t="s">
        <v>687</v>
      </c>
      <c r="D4167" s="39">
        <v>843.84002685546875</v>
      </c>
      <c r="E4167" s="39">
        <v>791.58349609375</v>
      </c>
      <c r="F4167" s="41">
        <v>2072410</v>
      </c>
      <c r="G4167" s="35" t="s">
        <v>688</v>
      </c>
      <c r="H4167" s="35" t="s">
        <v>115</v>
      </c>
    </row>
    <row r="4168" spans="1:8">
      <c r="A4168" s="37">
        <v>44383.15625</v>
      </c>
      <c r="B4168" s="35" t="s">
        <v>686</v>
      </c>
      <c r="C4168" s="35" t="s">
        <v>687</v>
      </c>
      <c r="D4168" s="39">
        <v>838.6300048828125</v>
      </c>
      <c r="E4168" s="39">
        <v>786.696044921875</v>
      </c>
      <c r="F4168" s="41">
        <v>2265260</v>
      </c>
      <c r="G4168" s="35" t="s">
        <v>688</v>
      </c>
      <c r="H4168" s="35" t="s">
        <v>115</v>
      </c>
    </row>
    <row r="4169" spans="1:8">
      <c r="A4169" s="37">
        <v>44384.15625</v>
      </c>
      <c r="B4169" s="35" t="s">
        <v>686</v>
      </c>
      <c r="C4169" s="35" t="s">
        <v>687</v>
      </c>
      <c r="D4169" s="39">
        <v>849.010009765625</v>
      </c>
      <c r="E4169" s="39">
        <v>796.4332275390625</v>
      </c>
      <c r="F4169" s="41">
        <v>1824535</v>
      </c>
      <c r="G4169" s="35" t="s">
        <v>688</v>
      </c>
      <c r="H4169" s="35" t="s">
        <v>115</v>
      </c>
    </row>
    <row r="4170" spans="1:8">
      <c r="A4170" s="37">
        <v>44385.15625</v>
      </c>
      <c r="B4170" s="35" t="s">
        <v>686</v>
      </c>
      <c r="C4170" s="35" t="s">
        <v>687</v>
      </c>
      <c r="D4170" s="39">
        <v>892.91998291015625</v>
      </c>
      <c r="E4170" s="39">
        <v>837.62408447265625</v>
      </c>
      <c r="F4170" s="41">
        <v>4310350</v>
      </c>
      <c r="G4170" s="35" t="s">
        <v>688</v>
      </c>
      <c r="H4170" s="35" t="s">
        <v>115</v>
      </c>
    </row>
    <row r="4171" spans="1:8">
      <c r="A4171" s="37">
        <v>44386.15625</v>
      </c>
      <c r="B4171" s="35" t="s">
        <v>686</v>
      </c>
      <c r="C4171" s="35" t="s">
        <v>687</v>
      </c>
      <c r="D4171" s="39">
        <v>871.30999755859375</v>
      </c>
      <c r="E4171" s="39">
        <v>817.35235595703125</v>
      </c>
      <c r="F4171" s="41">
        <v>3895510</v>
      </c>
      <c r="G4171" s="35" t="s">
        <v>688</v>
      </c>
      <c r="H4171" s="35" t="s">
        <v>115</v>
      </c>
    </row>
    <row r="4172" spans="1:8">
      <c r="A4172" s="37">
        <v>44389.15625</v>
      </c>
      <c r="B4172" s="35" t="s">
        <v>686</v>
      </c>
      <c r="C4172" s="35" t="s">
        <v>687</v>
      </c>
      <c r="D4172" s="39">
        <v>877.6500244140625</v>
      </c>
      <c r="E4172" s="39">
        <v>823.29974365234375</v>
      </c>
      <c r="F4172" s="41">
        <v>1992500</v>
      </c>
      <c r="G4172" s="35" t="s">
        <v>688</v>
      </c>
      <c r="H4172" s="35" t="s">
        <v>115</v>
      </c>
    </row>
    <row r="4173" spans="1:8">
      <c r="A4173" s="37">
        <v>44390.15625</v>
      </c>
      <c r="B4173" s="35" t="s">
        <v>686</v>
      </c>
      <c r="C4173" s="35" t="s">
        <v>687</v>
      </c>
      <c r="D4173" s="39">
        <v>864.07000732421875</v>
      </c>
      <c r="E4173" s="39">
        <v>810.5606689453125</v>
      </c>
      <c r="F4173" s="41">
        <v>1043785</v>
      </c>
      <c r="G4173" s="35" t="s">
        <v>688</v>
      </c>
      <c r="H4173" s="35" t="s">
        <v>115</v>
      </c>
    </row>
    <row r="4174" spans="1:8">
      <c r="A4174" s="37">
        <v>44391.15625</v>
      </c>
      <c r="B4174" s="35" t="s">
        <v>686</v>
      </c>
      <c r="C4174" s="35" t="s">
        <v>687</v>
      </c>
      <c r="D4174" s="39">
        <v>906.94000244140625</v>
      </c>
      <c r="E4174" s="39">
        <v>850.77587890625</v>
      </c>
      <c r="F4174" s="41">
        <v>4652070</v>
      </c>
      <c r="G4174" s="35" t="s">
        <v>688</v>
      </c>
      <c r="H4174" s="35" t="s">
        <v>115</v>
      </c>
    </row>
    <row r="4175" spans="1:8">
      <c r="A4175" s="37">
        <v>44392.15625</v>
      </c>
      <c r="B4175" s="35" t="s">
        <v>686</v>
      </c>
      <c r="C4175" s="35" t="s">
        <v>687</v>
      </c>
      <c r="D4175" s="39">
        <v>917.91998291015625</v>
      </c>
      <c r="E4175" s="39">
        <v>861.07586669921875</v>
      </c>
      <c r="F4175" s="41">
        <v>2638060</v>
      </c>
      <c r="G4175" s="35" t="s">
        <v>688</v>
      </c>
      <c r="H4175" s="35" t="s">
        <v>115</v>
      </c>
    </row>
    <row r="4176" spans="1:8">
      <c r="A4176" s="37">
        <v>44393.15625</v>
      </c>
      <c r="B4176" s="35" t="s">
        <v>686</v>
      </c>
      <c r="C4176" s="35" t="s">
        <v>687</v>
      </c>
      <c r="D4176" s="39">
        <v>909.54998779296875</v>
      </c>
      <c r="E4176" s="39">
        <v>853.2242431640625</v>
      </c>
      <c r="F4176" s="41">
        <v>1420715</v>
      </c>
      <c r="G4176" s="35" t="s">
        <v>688</v>
      </c>
      <c r="H4176" s="35" t="s">
        <v>115</v>
      </c>
    </row>
    <row r="4177" spans="1:8">
      <c r="A4177" s="37">
        <v>44396.15625</v>
      </c>
      <c r="B4177" s="35" t="s">
        <v>686</v>
      </c>
      <c r="C4177" s="35" t="s">
        <v>687</v>
      </c>
      <c r="D4177" s="39">
        <v>908.8900146484375</v>
      </c>
      <c r="E4177" s="39">
        <v>852.6051025390625</v>
      </c>
      <c r="F4177" s="41">
        <v>1742540</v>
      </c>
      <c r="G4177" s="35" t="s">
        <v>688</v>
      </c>
      <c r="H4177" s="35" t="s">
        <v>115</v>
      </c>
    </row>
    <row r="4178" spans="1:8">
      <c r="A4178" s="37">
        <v>44397.15625</v>
      </c>
      <c r="B4178" s="35" t="s">
        <v>686</v>
      </c>
      <c r="C4178" s="35" t="s">
        <v>687</v>
      </c>
      <c r="D4178" s="39">
        <v>908.260009765625</v>
      </c>
      <c r="E4178" s="39">
        <v>852.01397705078125</v>
      </c>
      <c r="F4178" s="41">
        <v>1550420</v>
      </c>
      <c r="G4178" s="35" t="s">
        <v>688</v>
      </c>
      <c r="H4178" s="35" t="s">
        <v>115</v>
      </c>
    </row>
    <row r="4179" spans="1:8">
      <c r="A4179" s="37">
        <v>44399.15625</v>
      </c>
      <c r="B4179" s="35" t="s">
        <v>686</v>
      </c>
      <c r="C4179" s="35" t="s">
        <v>687</v>
      </c>
      <c r="D4179" s="39">
        <v>932.6400146484375</v>
      </c>
      <c r="E4179" s="39">
        <v>874.88427734375</v>
      </c>
      <c r="F4179" s="41">
        <v>1583780</v>
      </c>
      <c r="G4179" s="35" t="s">
        <v>688</v>
      </c>
      <c r="H4179" s="35" t="s">
        <v>115</v>
      </c>
    </row>
    <row r="4180" spans="1:8">
      <c r="A4180" s="37">
        <v>44400.15625</v>
      </c>
      <c r="B4180" s="35" t="s">
        <v>686</v>
      </c>
      <c r="C4180" s="35" t="s">
        <v>687</v>
      </c>
      <c r="D4180" s="39">
        <v>937.69000244140625</v>
      </c>
      <c r="E4180" s="39">
        <v>879.62158203125</v>
      </c>
      <c r="F4180" s="41">
        <v>1853780</v>
      </c>
      <c r="G4180" s="35" t="s">
        <v>688</v>
      </c>
      <c r="H4180" s="35" t="s">
        <v>115</v>
      </c>
    </row>
    <row r="4181" spans="1:8">
      <c r="A4181" s="37">
        <v>44403.15625</v>
      </c>
      <c r="B4181" s="35" t="s">
        <v>686</v>
      </c>
      <c r="C4181" s="35" t="s">
        <v>687</v>
      </c>
      <c r="D4181" s="39">
        <v>943.510009765625</v>
      </c>
      <c r="E4181" s="39">
        <v>885.0811767578125</v>
      </c>
      <c r="F4181" s="41">
        <v>1286585</v>
      </c>
      <c r="G4181" s="35" t="s">
        <v>688</v>
      </c>
      <c r="H4181" s="35" t="s">
        <v>115</v>
      </c>
    </row>
    <row r="4182" spans="1:8">
      <c r="A4182" s="37">
        <v>44404.15625</v>
      </c>
      <c r="B4182" s="35" t="s">
        <v>686</v>
      </c>
      <c r="C4182" s="35" t="s">
        <v>687</v>
      </c>
      <c r="D4182" s="39">
        <v>944.67999267578125</v>
      </c>
      <c r="E4182" s="39">
        <v>886.1788330078125</v>
      </c>
      <c r="F4182" s="41">
        <v>918070</v>
      </c>
      <c r="G4182" s="35" t="s">
        <v>688</v>
      </c>
      <c r="H4182" s="35" t="s">
        <v>115</v>
      </c>
    </row>
    <row r="4183" spans="1:8">
      <c r="A4183" s="37">
        <v>44405.15625</v>
      </c>
      <c r="B4183" s="35" t="s">
        <v>686</v>
      </c>
      <c r="C4183" s="35" t="s">
        <v>687</v>
      </c>
      <c r="D4183" s="39">
        <v>948.59002685546875</v>
      </c>
      <c r="E4183" s="39">
        <v>889.84661865234375</v>
      </c>
      <c r="F4183" s="41">
        <v>4906650</v>
      </c>
      <c r="G4183" s="35" t="s">
        <v>688</v>
      </c>
      <c r="H4183" s="35" t="s">
        <v>115</v>
      </c>
    </row>
    <row r="4184" spans="1:8">
      <c r="A4184" s="37">
        <v>44406.15625</v>
      </c>
      <c r="B4184" s="35" t="s">
        <v>686</v>
      </c>
      <c r="C4184" s="35" t="s">
        <v>687</v>
      </c>
      <c r="D4184" s="39">
        <v>1034.31005859375</v>
      </c>
      <c r="E4184" s="39">
        <v>970.2581787109375</v>
      </c>
      <c r="F4184" s="41">
        <v>7787995</v>
      </c>
      <c r="G4184" s="35" t="s">
        <v>688</v>
      </c>
      <c r="H4184" s="35" t="s">
        <v>115</v>
      </c>
    </row>
    <row r="4185" spans="1:8">
      <c r="A4185" s="37">
        <v>44407.15625</v>
      </c>
      <c r="B4185" s="35" t="s">
        <v>686</v>
      </c>
      <c r="C4185" s="35" t="s">
        <v>687</v>
      </c>
      <c r="D4185" s="39">
        <v>1016.780029296875</v>
      </c>
      <c r="E4185" s="39">
        <v>953.8138427734375</v>
      </c>
      <c r="F4185" s="41">
        <v>2522105</v>
      </c>
      <c r="G4185" s="35" t="s">
        <v>688</v>
      </c>
      <c r="H4185" s="35" t="s">
        <v>115</v>
      </c>
    </row>
    <row r="4186" spans="1:8">
      <c r="A4186" s="37">
        <v>44410.15625</v>
      </c>
      <c r="B4186" s="35" t="s">
        <v>686</v>
      </c>
      <c r="C4186" s="35" t="s">
        <v>687</v>
      </c>
      <c r="D4186" s="39">
        <v>1028.4200439453125</v>
      </c>
      <c r="E4186" s="39">
        <v>964.7330322265625</v>
      </c>
      <c r="F4186" s="41">
        <v>1035340</v>
      </c>
      <c r="G4186" s="35" t="s">
        <v>688</v>
      </c>
      <c r="H4186" s="35" t="s">
        <v>115</v>
      </c>
    </row>
    <row r="4187" spans="1:8">
      <c r="A4187" s="37">
        <v>44411.15625</v>
      </c>
      <c r="B4187" s="35" t="s">
        <v>686</v>
      </c>
      <c r="C4187" s="35" t="s">
        <v>687</v>
      </c>
      <c r="D4187" s="39">
        <v>992.91998291015625</v>
      </c>
      <c r="E4187" s="39">
        <v>931.431396484375</v>
      </c>
      <c r="F4187" s="41">
        <v>2490985</v>
      </c>
      <c r="G4187" s="35" t="s">
        <v>688</v>
      </c>
      <c r="H4187" s="35" t="s">
        <v>115</v>
      </c>
    </row>
    <row r="4188" spans="1:8">
      <c r="A4188" s="37">
        <v>44412.15625</v>
      </c>
      <c r="B4188" s="35" t="s">
        <v>686</v>
      </c>
      <c r="C4188" s="35" t="s">
        <v>687</v>
      </c>
      <c r="D4188" s="39">
        <v>944.760009765625</v>
      </c>
      <c r="E4188" s="39">
        <v>886.253662109375</v>
      </c>
      <c r="F4188" s="41">
        <v>37258785</v>
      </c>
      <c r="G4188" s="35" t="s">
        <v>688</v>
      </c>
      <c r="H4188" s="35" t="s">
        <v>115</v>
      </c>
    </row>
    <row r="4189" spans="1:8">
      <c r="A4189" s="37">
        <v>44413.15625</v>
      </c>
      <c r="B4189" s="35" t="s">
        <v>686</v>
      </c>
      <c r="C4189" s="35" t="s">
        <v>687</v>
      </c>
      <c r="D4189" s="39">
        <v>953.70001220703125</v>
      </c>
      <c r="E4189" s="39">
        <v>894.64031982421875</v>
      </c>
      <c r="F4189" s="41">
        <v>4009530</v>
      </c>
      <c r="G4189" s="35" t="s">
        <v>688</v>
      </c>
      <c r="H4189" s="35" t="s">
        <v>115</v>
      </c>
    </row>
    <row r="4190" spans="1:8">
      <c r="A4190" s="37">
        <v>44414.15625</v>
      </c>
      <c r="B4190" s="35" t="s">
        <v>686</v>
      </c>
      <c r="C4190" s="35" t="s">
        <v>687</v>
      </c>
      <c r="D4190" s="39">
        <v>957.92999267578125</v>
      </c>
      <c r="E4190" s="39">
        <v>898.6080322265625</v>
      </c>
      <c r="F4190" s="41">
        <v>2015510</v>
      </c>
      <c r="G4190" s="35" t="s">
        <v>688</v>
      </c>
      <c r="H4190" s="35" t="s">
        <v>115</v>
      </c>
    </row>
    <row r="4191" spans="1:8">
      <c r="A4191" s="37">
        <v>44417.15625</v>
      </c>
      <c r="B4191" s="35" t="s">
        <v>686</v>
      </c>
      <c r="C4191" s="35" t="s">
        <v>687</v>
      </c>
      <c r="D4191" s="39">
        <v>959.91998291015625</v>
      </c>
      <c r="E4191" s="39">
        <v>902.9256591796875</v>
      </c>
      <c r="F4191" s="41">
        <v>1501605</v>
      </c>
      <c r="G4191" s="35" t="s">
        <v>688</v>
      </c>
      <c r="H4191" s="35" t="s">
        <v>115</v>
      </c>
    </row>
    <row r="4192" spans="1:8">
      <c r="A4192" s="37">
        <v>44418.15625</v>
      </c>
      <c r="B4192" s="35" t="s">
        <v>686</v>
      </c>
      <c r="C4192" s="35" t="s">
        <v>687</v>
      </c>
      <c r="D4192" s="39">
        <v>962.27001953125</v>
      </c>
      <c r="E4192" s="39">
        <v>905.135986328125</v>
      </c>
      <c r="F4192" s="41">
        <v>2392260</v>
      </c>
      <c r="G4192" s="35" t="s">
        <v>688</v>
      </c>
      <c r="H4192" s="35" t="s">
        <v>115</v>
      </c>
    </row>
    <row r="4193" spans="1:8">
      <c r="A4193" s="37">
        <v>44419.15625</v>
      </c>
      <c r="B4193" s="35" t="s">
        <v>686</v>
      </c>
      <c r="C4193" s="35" t="s">
        <v>687</v>
      </c>
      <c r="D4193" s="39">
        <v>938.15997314453125</v>
      </c>
      <c r="E4193" s="39">
        <v>882.45758056640625</v>
      </c>
      <c r="F4193" s="41">
        <v>2174405</v>
      </c>
      <c r="G4193" s="35" t="s">
        <v>688</v>
      </c>
      <c r="H4193" s="35" t="s">
        <v>115</v>
      </c>
    </row>
    <row r="4194" spans="1:8">
      <c r="A4194" s="37">
        <v>44420.15625</v>
      </c>
      <c r="B4194" s="35" t="s">
        <v>686</v>
      </c>
      <c r="C4194" s="35" t="s">
        <v>687</v>
      </c>
      <c r="D4194" s="39">
        <v>969.41998291015625</v>
      </c>
      <c r="E4194" s="39">
        <v>911.86151123046875</v>
      </c>
      <c r="F4194" s="41">
        <v>1881125</v>
      </c>
      <c r="G4194" s="35" t="s">
        <v>688</v>
      </c>
      <c r="H4194" s="35" t="s">
        <v>115</v>
      </c>
    </row>
    <row r="4195" spans="1:8">
      <c r="A4195" s="37">
        <v>44421.15625</v>
      </c>
      <c r="B4195" s="35" t="s">
        <v>686</v>
      </c>
      <c r="C4195" s="35" t="s">
        <v>687</v>
      </c>
      <c r="D4195" s="39">
        <v>962.28997802734375</v>
      </c>
      <c r="E4195" s="39">
        <v>905.155029296875</v>
      </c>
      <c r="F4195" s="41">
        <v>1677905</v>
      </c>
      <c r="G4195" s="35" t="s">
        <v>688</v>
      </c>
      <c r="H4195" s="35" t="s">
        <v>115</v>
      </c>
    </row>
    <row r="4196" spans="1:8">
      <c r="A4196" s="37">
        <v>44424.15625</v>
      </c>
      <c r="B4196" s="35" t="s">
        <v>686</v>
      </c>
      <c r="C4196" s="35" t="s">
        <v>687</v>
      </c>
      <c r="D4196" s="39">
        <v>956.989990234375</v>
      </c>
      <c r="E4196" s="39">
        <v>900.16949462890625</v>
      </c>
      <c r="F4196" s="41">
        <v>1270485</v>
      </c>
      <c r="G4196" s="35" t="s">
        <v>688</v>
      </c>
      <c r="H4196" s="35" t="s">
        <v>115</v>
      </c>
    </row>
    <row r="4197" spans="1:8">
      <c r="A4197" s="37">
        <v>44425.15625</v>
      </c>
      <c r="B4197" s="35" t="s">
        <v>686</v>
      </c>
      <c r="C4197" s="35" t="s">
        <v>687</v>
      </c>
      <c r="D4197" s="39">
        <v>973.84002685546875</v>
      </c>
      <c r="E4197" s="39">
        <v>916.0191650390625</v>
      </c>
      <c r="F4197" s="41">
        <v>2769455</v>
      </c>
      <c r="G4197" s="35" t="s">
        <v>688</v>
      </c>
      <c r="H4197" s="35" t="s">
        <v>115</v>
      </c>
    </row>
    <row r="4198" spans="1:8">
      <c r="A4198" s="37">
        <v>44426.15625</v>
      </c>
      <c r="B4198" s="35" t="s">
        <v>686</v>
      </c>
      <c r="C4198" s="35" t="s">
        <v>687</v>
      </c>
      <c r="D4198" s="39">
        <v>995.16998291015625</v>
      </c>
      <c r="E4198" s="39">
        <v>936.0826416015625</v>
      </c>
      <c r="F4198" s="41">
        <v>3793265</v>
      </c>
      <c r="G4198" s="35" t="s">
        <v>688</v>
      </c>
      <c r="H4198" s="35" t="s">
        <v>115</v>
      </c>
    </row>
    <row r="4199" spans="1:8">
      <c r="A4199" s="37">
        <v>44428.15625</v>
      </c>
      <c r="B4199" s="35" t="s">
        <v>686</v>
      </c>
      <c r="C4199" s="35" t="s">
        <v>687</v>
      </c>
      <c r="D4199" s="39">
        <v>981.34002685546875</v>
      </c>
      <c r="E4199" s="39">
        <v>923.0738525390625</v>
      </c>
      <c r="F4199" s="41">
        <v>2222885</v>
      </c>
      <c r="G4199" s="35" t="s">
        <v>688</v>
      </c>
      <c r="H4199" s="35" t="s">
        <v>115</v>
      </c>
    </row>
    <row r="4200" spans="1:8">
      <c r="A4200" s="37">
        <v>44431.15625</v>
      </c>
      <c r="B4200" s="35" t="s">
        <v>686</v>
      </c>
      <c r="C4200" s="35" t="s">
        <v>687</v>
      </c>
      <c r="D4200" s="39">
        <v>997.57000732421875</v>
      </c>
      <c r="E4200" s="39">
        <v>938.34027099609375</v>
      </c>
      <c r="F4200" s="41">
        <v>2331820</v>
      </c>
      <c r="G4200" s="35" t="s">
        <v>688</v>
      </c>
      <c r="H4200" s="35" t="s">
        <v>115</v>
      </c>
    </row>
    <row r="4201" spans="1:8">
      <c r="A4201" s="37">
        <v>44432.15625</v>
      </c>
      <c r="B4201" s="35" t="s">
        <v>686</v>
      </c>
      <c r="C4201" s="35" t="s">
        <v>687</v>
      </c>
      <c r="D4201" s="39">
        <v>988.53997802734375</v>
      </c>
      <c r="E4201" s="39">
        <v>929.84637451171875</v>
      </c>
      <c r="F4201" s="41">
        <v>1570470</v>
      </c>
      <c r="G4201" s="35" t="s">
        <v>688</v>
      </c>
      <c r="H4201" s="35" t="s">
        <v>115</v>
      </c>
    </row>
    <row r="4202" spans="1:8">
      <c r="A4202" s="37">
        <v>44433.15625</v>
      </c>
      <c r="B4202" s="35" t="s">
        <v>686</v>
      </c>
      <c r="C4202" s="35" t="s">
        <v>687</v>
      </c>
      <c r="D4202" s="39">
        <v>999.79998779296875</v>
      </c>
      <c r="E4202" s="39">
        <v>940.4378662109375</v>
      </c>
      <c r="F4202" s="41">
        <v>7104395</v>
      </c>
      <c r="G4202" s="35" t="s">
        <v>688</v>
      </c>
      <c r="H4202" s="35" t="s">
        <v>115</v>
      </c>
    </row>
    <row r="4203" spans="1:8">
      <c r="A4203" s="37">
        <v>44434.15625</v>
      </c>
      <c r="B4203" s="35" t="s">
        <v>686</v>
      </c>
      <c r="C4203" s="35" t="s">
        <v>687</v>
      </c>
      <c r="D4203" s="39">
        <v>993.75</v>
      </c>
      <c r="E4203" s="39">
        <v>934.7470703125</v>
      </c>
      <c r="F4203" s="41">
        <v>2551440</v>
      </c>
      <c r="G4203" s="35" t="s">
        <v>688</v>
      </c>
      <c r="H4203" s="35" t="s">
        <v>115</v>
      </c>
    </row>
    <row r="4204" spans="1:8">
      <c r="A4204" s="37">
        <v>44435.15625</v>
      </c>
      <c r="B4204" s="35" t="s">
        <v>686</v>
      </c>
      <c r="C4204" s="35" t="s">
        <v>687</v>
      </c>
      <c r="D4204" s="39">
        <v>1015.4000244140625</v>
      </c>
      <c r="E4204" s="39">
        <v>955.11163330078125</v>
      </c>
      <c r="F4204" s="41">
        <v>2406600</v>
      </c>
      <c r="G4204" s="35" t="s">
        <v>688</v>
      </c>
      <c r="H4204" s="35" t="s">
        <v>115</v>
      </c>
    </row>
    <row r="4205" spans="1:8">
      <c r="A4205" s="37">
        <v>44438.15625</v>
      </c>
      <c r="B4205" s="35" t="s">
        <v>686</v>
      </c>
      <c r="C4205" s="35" t="s">
        <v>687</v>
      </c>
      <c r="D4205" s="39">
        <v>1024.2900390625</v>
      </c>
      <c r="E4205" s="39">
        <v>963.4736328125</v>
      </c>
      <c r="F4205" s="41">
        <v>1264855</v>
      </c>
      <c r="G4205" s="35" t="s">
        <v>688</v>
      </c>
      <c r="H4205" s="35" t="s">
        <v>115</v>
      </c>
    </row>
    <row r="4206" spans="1:8">
      <c r="A4206" s="37">
        <v>44439.15625</v>
      </c>
      <c r="B4206" s="35" t="s">
        <v>686</v>
      </c>
      <c r="C4206" s="35" t="s">
        <v>687</v>
      </c>
      <c r="D4206" s="39">
        <v>1041.75</v>
      </c>
      <c r="E4206" s="39">
        <v>979.89703369140625</v>
      </c>
      <c r="F4206" s="41">
        <v>3253910</v>
      </c>
      <c r="G4206" s="35" t="s">
        <v>688</v>
      </c>
      <c r="H4206" s="35" t="s">
        <v>115</v>
      </c>
    </row>
    <row r="4207" spans="1:8">
      <c r="A4207" s="37">
        <v>44440.15625</v>
      </c>
      <c r="B4207" s="35" t="s">
        <v>686</v>
      </c>
      <c r="C4207" s="35" t="s">
        <v>687</v>
      </c>
      <c r="D4207" s="39">
        <v>1033.510009765625</v>
      </c>
      <c r="E4207" s="39">
        <v>972.14630126953125</v>
      </c>
      <c r="F4207" s="41">
        <v>996990</v>
      </c>
      <c r="G4207" s="35" t="s">
        <v>688</v>
      </c>
      <c r="H4207" s="35" t="s">
        <v>115</v>
      </c>
    </row>
    <row r="4208" spans="1:8">
      <c r="A4208" s="37">
        <v>44441.15625</v>
      </c>
      <c r="B4208" s="35" t="s">
        <v>686</v>
      </c>
      <c r="C4208" s="35" t="s">
        <v>687</v>
      </c>
      <c r="D4208" s="39">
        <v>1031.5899658203125</v>
      </c>
      <c r="E4208" s="39">
        <v>970.34033203125</v>
      </c>
      <c r="F4208" s="41">
        <v>1906175</v>
      </c>
      <c r="G4208" s="35" t="s">
        <v>688</v>
      </c>
      <c r="H4208" s="35" t="s">
        <v>115</v>
      </c>
    </row>
    <row r="4209" spans="1:8">
      <c r="A4209" s="37">
        <v>44442.15625</v>
      </c>
      <c r="B4209" s="35" t="s">
        <v>686</v>
      </c>
      <c r="C4209" s="35" t="s">
        <v>687</v>
      </c>
      <c r="D4209" s="39">
        <v>1048.6500244140625</v>
      </c>
      <c r="E4209" s="39">
        <v>986.38739013671875</v>
      </c>
      <c r="F4209" s="41">
        <v>3104845</v>
      </c>
      <c r="G4209" s="35" t="s">
        <v>688</v>
      </c>
      <c r="H4209" s="35" t="s">
        <v>115</v>
      </c>
    </row>
    <row r="4210" spans="1:8">
      <c r="A4210" s="37">
        <v>44445.15625</v>
      </c>
      <c r="B4210" s="35" t="s">
        <v>686</v>
      </c>
      <c r="C4210" s="35" t="s">
        <v>687</v>
      </c>
      <c r="D4210" s="39">
        <v>1056.199951171875</v>
      </c>
      <c r="E4210" s="39">
        <v>993.4892578125</v>
      </c>
      <c r="F4210" s="41">
        <v>1562865</v>
      </c>
      <c r="G4210" s="35" t="s">
        <v>688</v>
      </c>
      <c r="H4210" s="35" t="s">
        <v>115</v>
      </c>
    </row>
    <row r="4211" spans="1:8">
      <c r="A4211" s="37">
        <v>44446.15625</v>
      </c>
      <c r="B4211" s="35" t="s">
        <v>686</v>
      </c>
      <c r="C4211" s="35" t="s">
        <v>687</v>
      </c>
      <c r="D4211" s="39">
        <v>1035.9100341796875</v>
      </c>
      <c r="E4211" s="39">
        <v>974.40386962890625</v>
      </c>
      <c r="F4211" s="41">
        <v>1136640</v>
      </c>
      <c r="G4211" s="35" t="s">
        <v>688</v>
      </c>
      <c r="H4211" s="35" t="s">
        <v>115</v>
      </c>
    </row>
    <row r="4212" spans="1:8">
      <c r="A4212" s="37">
        <v>44447.15625</v>
      </c>
      <c r="B4212" s="35" t="s">
        <v>686</v>
      </c>
      <c r="C4212" s="35" t="s">
        <v>687</v>
      </c>
      <c r="D4212" s="39">
        <v>1027.219970703125</v>
      </c>
      <c r="E4212" s="39">
        <v>966.229736328125</v>
      </c>
      <c r="F4212" s="41">
        <v>1530295</v>
      </c>
      <c r="G4212" s="35" t="s">
        <v>688</v>
      </c>
      <c r="H4212" s="35" t="s">
        <v>115</v>
      </c>
    </row>
    <row r="4213" spans="1:8">
      <c r="A4213" s="37">
        <v>44448.15625</v>
      </c>
      <c r="B4213" s="35" t="s">
        <v>686</v>
      </c>
      <c r="C4213" s="35" t="s">
        <v>687</v>
      </c>
      <c r="D4213" s="39">
        <v>1022.989990234375</v>
      </c>
      <c r="E4213" s="39">
        <v>962.25079345703125</v>
      </c>
      <c r="F4213" s="41">
        <v>1121805</v>
      </c>
      <c r="G4213" s="35" t="s">
        <v>688</v>
      </c>
      <c r="H4213" s="35" t="s">
        <v>115</v>
      </c>
    </row>
    <row r="4214" spans="1:8">
      <c r="A4214" s="37">
        <v>44452.15625</v>
      </c>
      <c r="B4214" s="35" t="s">
        <v>686</v>
      </c>
      <c r="C4214" s="35" t="s">
        <v>687</v>
      </c>
      <c r="D4214" s="39">
        <v>1035.5699462890625</v>
      </c>
      <c r="E4214" s="39">
        <v>974.08392333984375</v>
      </c>
      <c r="F4214" s="41">
        <v>1939460</v>
      </c>
      <c r="G4214" s="35" t="s">
        <v>688</v>
      </c>
      <c r="H4214" s="35" t="s">
        <v>115</v>
      </c>
    </row>
    <row r="4215" spans="1:8">
      <c r="A4215" s="37">
        <v>44453.15625</v>
      </c>
      <c r="B4215" s="35" t="s">
        <v>686</v>
      </c>
      <c r="C4215" s="35" t="s">
        <v>687</v>
      </c>
      <c r="D4215" s="39">
        <v>1059.1099853515625</v>
      </c>
      <c r="E4215" s="39">
        <v>996.22650146484375</v>
      </c>
      <c r="F4215" s="41">
        <v>1981835</v>
      </c>
      <c r="G4215" s="35" t="s">
        <v>688</v>
      </c>
      <c r="H4215" s="35" t="s">
        <v>115</v>
      </c>
    </row>
    <row r="4216" spans="1:8">
      <c r="A4216" s="37">
        <v>44454.15625</v>
      </c>
      <c r="B4216" s="35" t="s">
        <v>686</v>
      </c>
      <c r="C4216" s="35" t="s">
        <v>687</v>
      </c>
      <c r="D4216" s="39">
        <v>1073.8599853515625</v>
      </c>
      <c r="E4216" s="39">
        <v>1010.1006469726563</v>
      </c>
      <c r="F4216" s="41">
        <v>2226230</v>
      </c>
      <c r="G4216" s="35" t="s">
        <v>688</v>
      </c>
      <c r="H4216" s="35" t="s">
        <v>115</v>
      </c>
    </row>
    <row r="4217" spans="1:8">
      <c r="A4217" s="37">
        <v>44455.15625</v>
      </c>
      <c r="B4217" s="35" t="s">
        <v>686</v>
      </c>
      <c r="C4217" s="35" t="s">
        <v>687</v>
      </c>
      <c r="D4217" s="39">
        <v>1093.0899658203125</v>
      </c>
      <c r="E4217" s="39">
        <v>1028.188720703125</v>
      </c>
      <c r="F4217" s="41">
        <v>3290835</v>
      </c>
      <c r="G4217" s="35" t="s">
        <v>688</v>
      </c>
      <c r="H4217" s="35" t="s">
        <v>115</v>
      </c>
    </row>
    <row r="4218" spans="1:8">
      <c r="A4218" s="37">
        <v>44456.15625</v>
      </c>
      <c r="B4218" s="35" t="s">
        <v>686</v>
      </c>
      <c r="C4218" s="35" t="s">
        <v>687</v>
      </c>
      <c r="D4218" s="39">
        <v>1088.93994140625</v>
      </c>
      <c r="E4218" s="39">
        <v>1024.2850341796875</v>
      </c>
      <c r="F4218" s="41">
        <v>1501845</v>
      </c>
      <c r="G4218" s="35" t="s">
        <v>688</v>
      </c>
      <c r="H4218" s="35" t="s">
        <v>115</v>
      </c>
    </row>
    <row r="4219" spans="1:8">
      <c r="A4219" s="37">
        <v>44459.15625</v>
      </c>
      <c r="B4219" s="35" t="s">
        <v>686</v>
      </c>
      <c r="C4219" s="35" t="s">
        <v>687</v>
      </c>
      <c r="D4219" s="39">
        <v>1070.1300048828125</v>
      </c>
      <c r="E4219" s="39">
        <v>1006.5921630859375</v>
      </c>
      <c r="F4219" s="41">
        <v>1565750</v>
      </c>
      <c r="G4219" s="35" t="s">
        <v>688</v>
      </c>
      <c r="H4219" s="35" t="s">
        <v>115</v>
      </c>
    </row>
    <row r="4220" spans="1:8">
      <c r="A4220" s="37">
        <v>44460.15625</v>
      </c>
      <c r="B4220" s="35" t="s">
        <v>686</v>
      </c>
      <c r="C4220" s="35" t="s">
        <v>687</v>
      </c>
      <c r="D4220" s="39">
        <v>1106.300048828125</v>
      </c>
      <c r="E4220" s="39">
        <v>1040.6142578125</v>
      </c>
      <c r="F4220" s="41">
        <v>1978205</v>
      </c>
      <c r="G4220" s="35" t="s">
        <v>688</v>
      </c>
      <c r="H4220" s="35" t="s">
        <v>115</v>
      </c>
    </row>
    <row r="4221" spans="1:8">
      <c r="A4221" s="37">
        <v>44461.15625</v>
      </c>
      <c r="B4221" s="35" t="s">
        <v>686</v>
      </c>
      <c r="C4221" s="35" t="s">
        <v>687</v>
      </c>
      <c r="D4221" s="39">
        <v>1112.0699462890625</v>
      </c>
      <c r="E4221" s="39">
        <v>1046.041748046875</v>
      </c>
      <c r="F4221" s="41">
        <v>1742350</v>
      </c>
      <c r="G4221" s="35" t="s">
        <v>688</v>
      </c>
      <c r="H4221" s="35" t="s">
        <v>115</v>
      </c>
    </row>
    <row r="4222" spans="1:8">
      <c r="A4222" s="37">
        <v>44462.15625</v>
      </c>
      <c r="B4222" s="35" t="s">
        <v>686</v>
      </c>
      <c r="C4222" s="35" t="s">
        <v>687</v>
      </c>
      <c r="D4222" s="39">
        <v>1130.550048828125</v>
      </c>
      <c r="E4222" s="39">
        <v>1063.4249267578125</v>
      </c>
      <c r="F4222" s="41">
        <v>1101165</v>
      </c>
      <c r="G4222" s="35" t="s">
        <v>688</v>
      </c>
      <c r="H4222" s="35" t="s">
        <v>115</v>
      </c>
    </row>
    <row r="4223" spans="1:8">
      <c r="A4223" s="37">
        <v>44463.15625</v>
      </c>
      <c r="B4223" s="35" t="s">
        <v>686</v>
      </c>
      <c r="C4223" s="35" t="s">
        <v>687</v>
      </c>
      <c r="D4223" s="39">
        <v>1129.800048828125</v>
      </c>
      <c r="E4223" s="39">
        <v>1062.7191162109375</v>
      </c>
      <c r="F4223" s="41">
        <v>2340985</v>
      </c>
      <c r="G4223" s="35" t="s">
        <v>688</v>
      </c>
      <c r="H4223" s="35" t="s">
        <v>115</v>
      </c>
    </row>
    <row r="4224" spans="1:8">
      <c r="A4224" s="37">
        <v>44466.15625</v>
      </c>
      <c r="B4224" s="35" t="s">
        <v>686</v>
      </c>
      <c r="C4224" s="35" t="s">
        <v>687</v>
      </c>
      <c r="D4224" s="39">
        <v>1083.02001953125</v>
      </c>
      <c r="E4224" s="39">
        <v>1018.7167358398438</v>
      </c>
      <c r="F4224" s="41">
        <v>3112105</v>
      </c>
      <c r="G4224" s="35" t="s">
        <v>688</v>
      </c>
      <c r="H4224" s="35" t="s">
        <v>115</v>
      </c>
    </row>
    <row r="4225" spans="1:8">
      <c r="A4225" s="37">
        <v>44467.15625</v>
      </c>
      <c r="B4225" s="35" t="s">
        <v>686</v>
      </c>
      <c r="C4225" s="35" t="s">
        <v>687</v>
      </c>
      <c r="D4225" s="39">
        <v>1042.9599609375</v>
      </c>
      <c r="E4225" s="39">
        <v>981.0350341796875</v>
      </c>
      <c r="F4225" s="41">
        <v>2611770</v>
      </c>
      <c r="G4225" s="35" t="s">
        <v>688</v>
      </c>
      <c r="H4225" s="35" t="s">
        <v>115</v>
      </c>
    </row>
    <row r="4226" spans="1:8">
      <c r="A4226" s="37">
        <v>44468.15625</v>
      </c>
      <c r="B4226" s="35" t="s">
        <v>686</v>
      </c>
      <c r="C4226" s="35" t="s">
        <v>687</v>
      </c>
      <c r="D4226" s="39">
        <v>1052.1400146484375</v>
      </c>
      <c r="E4226" s="39">
        <v>989.67022705078125</v>
      </c>
      <c r="F4226" s="41">
        <v>2904110</v>
      </c>
      <c r="G4226" s="35" t="s">
        <v>688</v>
      </c>
      <c r="H4226" s="35" t="s">
        <v>115</v>
      </c>
    </row>
    <row r="4227" spans="1:8">
      <c r="A4227" s="37">
        <v>44469.15625</v>
      </c>
      <c r="B4227" s="35" t="s">
        <v>686</v>
      </c>
      <c r="C4227" s="35" t="s">
        <v>687</v>
      </c>
      <c r="D4227" s="39">
        <v>1048.260009765625</v>
      </c>
      <c r="E4227" s="39">
        <v>986.02056884765625</v>
      </c>
      <c r="F4227" s="41">
        <v>1779880</v>
      </c>
      <c r="G4227" s="35" t="s">
        <v>688</v>
      </c>
      <c r="H4227" s="35" t="s">
        <v>115</v>
      </c>
    </row>
    <row r="4228" spans="1:8">
      <c r="A4228" s="37">
        <v>44470.15625</v>
      </c>
      <c r="B4228" s="35" t="s">
        <v>686</v>
      </c>
      <c r="C4228" s="35" t="s">
        <v>687</v>
      </c>
      <c r="D4228" s="39">
        <v>1055.9000244140625</v>
      </c>
      <c r="E4228" s="39">
        <v>993.20697021484375</v>
      </c>
      <c r="F4228" s="41">
        <v>1321155</v>
      </c>
      <c r="G4228" s="35" t="s">
        <v>688</v>
      </c>
      <c r="H4228" s="35" t="s">
        <v>115</v>
      </c>
    </row>
    <row r="4229" spans="1:8">
      <c r="A4229" s="37">
        <v>44473.15625</v>
      </c>
      <c r="B4229" s="35" t="s">
        <v>686</v>
      </c>
      <c r="C4229" s="35" t="s">
        <v>687</v>
      </c>
      <c r="D4229" s="39">
        <v>1067.5899658203125</v>
      </c>
      <c r="E4229" s="39">
        <v>1004.2028198242188</v>
      </c>
      <c r="F4229" s="41">
        <v>945250</v>
      </c>
      <c r="G4229" s="35" t="s">
        <v>688</v>
      </c>
      <c r="H4229" s="35" t="s">
        <v>115</v>
      </c>
    </row>
    <row r="4230" spans="1:8">
      <c r="A4230" s="37">
        <v>44474.15625</v>
      </c>
      <c r="B4230" s="35" t="s">
        <v>686</v>
      </c>
      <c r="C4230" s="35" t="s">
        <v>687</v>
      </c>
      <c r="D4230" s="39">
        <v>1076.47998046875</v>
      </c>
      <c r="E4230" s="39">
        <v>1012.5650634765625</v>
      </c>
      <c r="F4230" s="41">
        <v>1284895</v>
      </c>
      <c r="G4230" s="35" t="s">
        <v>688</v>
      </c>
      <c r="H4230" s="35" t="s">
        <v>115</v>
      </c>
    </row>
    <row r="4231" spans="1:8">
      <c r="A4231" s="37">
        <v>44475.15625</v>
      </c>
      <c r="B4231" s="35" t="s">
        <v>686</v>
      </c>
      <c r="C4231" s="35" t="s">
        <v>687</v>
      </c>
      <c r="D4231" s="39">
        <v>1060.3599853515625</v>
      </c>
      <c r="E4231" s="39">
        <v>997.4022216796875</v>
      </c>
      <c r="F4231" s="41">
        <v>1533735</v>
      </c>
      <c r="G4231" s="35" t="s">
        <v>688</v>
      </c>
      <c r="H4231" s="35" t="s">
        <v>115</v>
      </c>
    </row>
    <row r="4232" spans="1:8">
      <c r="A4232" s="37">
        <v>44476.15625</v>
      </c>
      <c r="B4232" s="35" t="s">
        <v>686</v>
      </c>
      <c r="C4232" s="35" t="s">
        <v>687</v>
      </c>
      <c r="D4232" s="39">
        <v>1089.7900390625</v>
      </c>
      <c r="E4232" s="39">
        <v>1025.0845947265625</v>
      </c>
      <c r="F4232" s="41">
        <v>1164840</v>
      </c>
      <c r="G4232" s="35" t="s">
        <v>688</v>
      </c>
      <c r="H4232" s="35" t="s">
        <v>115</v>
      </c>
    </row>
    <row r="4233" spans="1:8">
      <c r="A4233" s="37">
        <v>44477.15625</v>
      </c>
      <c r="B4233" s="35" t="s">
        <v>686</v>
      </c>
      <c r="C4233" s="35" t="s">
        <v>687</v>
      </c>
      <c r="D4233" s="39">
        <v>1129.1700439453125</v>
      </c>
      <c r="E4233" s="39">
        <v>1062.1265869140625</v>
      </c>
      <c r="F4233" s="41">
        <v>2844105</v>
      </c>
      <c r="G4233" s="35" t="s">
        <v>688</v>
      </c>
      <c r="H4233" s="35" t="s">
        <v>115</v>
      </c>
    </row>
    <row r="4234" spans="1:8">
      <c r="A4234" s="37">
        <v>44480.15625</v>
      </c>
      <c r="B4234" s="35" t="s">
        <v>686</v>
      </c>
      <c r="C4234" s="35" t="s">
        <v>687</v>
      </c>
      <c r="D4234" s="39">
        <v>1072.4100341796875</v>
      </c>
      <c r="E4234" s="39">
        <v>1008.7366333007813</v>
      </c>
      <c r="F4234" s="41">
        <v>2501120</v>
      </c>
      <c r="G4234" s="35" t="s">
        <v>688</v>
      </c>
      <c r="H4234" s="35" t="s">
        <v>115</v>
      </c>
    </row>
    <row r="4235" spans="1:8">
      <c r="A4235" s="37">
        <v>44481.15625</v>
      </c>
      <c r="B4235" s="35" t="s">
        <v>686</v>
      </c>
      <c r="C4235" s="35" t="s">
        <v>687</v>
      </c>
      <c r="D4235" s="39">
        <v>1055.8800048828125</v>
      </c>
      <c r="E4235" s="39">
        <v>993.18804931640625</v>
      </c>
      <c r="F4235" s="41">
        <v>1896525</v>
      </c>
      <c r="G4235" s="35" t="s">
        <v>688</v>
      </c>
      <c r="H4235" s="35" t="s">
        <v>115</v>
      </c>
    </row>
    <row r="4236" spans="1:8">
      <c r="A4236" s="37">
        <v>44482.15625</v>
      </c>
      <c r="B4236" s="35" t="s">
        <v>686</v>
      </c>
      <c r="C4236" s="35" t="s">
        <v>687</v>
      </c>
      <c r="D4236" s="39">
        <v>1067.56005859375</v>
      </c>
      <c r="E4236" s="39">
        <v>1004.1746215820313</v>
      </c>
      <c r="F4236" s="41">
        <v>902630</v>
      </c>
      <c r="G4236" s="35" t="s">
        <v>688</v>
      </c>
      <c r="H4236" s="35" t="s">
        <v>115</v>
      </c>
    </row>
    <row r="4237" spans="1:8">
      <c r="A4237" s="37">
        <v>44483.15625</v>
      </c>
      <c r="B4237" s="35" t="s">
        <v>686</v>
      </c>
      <c r="C4237" s="35" t="s">
        <v>687</v>
      </c>
      <c r="D4237" s="39">
        <v>1120.8199462890625</v>
      </c>
      <c r="E4237" s="39">
        <v>1054.272216796875</v>
      </c>
      <c r="F4237" s="41">
        <v>4070165</v>
      </c>
      <c r="G4237" s="35" t="s">
        <v>688</v>
      </c>
      <c r="H4237" s="35" t="s">
        <v>115</v>
      </c>
    </row>
    <row r="4238" spans="1:8">
      <c r="A4238" s="37">
        <v>44487.15625</v>
      </c>
      <c r="B4238" s="35" t="s">
        <v>686</v>
      </c>
      <c r="C4238" s="35" t="s">
        <v>687</v>
      </c>
      <c r="D4238" s="39">
        <v>1120.969970703125</v>
      </c>
      <c r="E4238" s="39">
        <v>1054.4132080078125</v>
      </c>
      <c r="F4238" s="41">
        <v>1563700</v>
      </c>
      <c r="G4238" s="35" t="s">
        <v>688</v>
      </c>
      <c r="H4238" s="35" t="s">
        <v>115</v>
      </c>
    </row>
    <row r="4239" spans="1:8">
      <c r="A4239" s="37">
        <v>44488.15625</v>
      </c>
      <c r="B4239" s="35" t="s">
        <v>686</v>
      </c>
      <c r="C4239" s="35" t="s">
        <v>687</v>
      </c>
      <c r="D4239" s="39">
        <v>1172.280029296875</v>
      </c>
      <c r="E4239" s="39">
        <v>1102.6768798828125</v>
      </c>
      <c r="F4239" s="41">
        <v>4652055</v>
      </c>
      <c r="G4239" s="35" t="s">
        <v>688</v>
      </c>
      <c r="H4239" s="35" t="s">
        <v>115</v>
      </c>
    </row>
    <row r="4240" spans="1:8">
      <c r="A4240" s="37">
        <v>44489.15625</v>
      </c>
      <c r="B4240" s="35" t="s">
        <v>686</v>
      </c>
      <c r="C4240" s="35" t="s">
        <v>687</v>
      </c>
      <c r="D4240" s="39">
        <v>1164.0799560546875</v>
      </c>
      <c r="E4240" s="39">
        <v>1094.9638671875</v>
      </c>
      <c r="F4240" s="41">
        <v>2753345</v>
      </c>
      <c r="G4240" s="35" t="s">
        <v>688</v>
      </c>
      <c r="H4240" s="35" t="s">
        <v>115</v>
      </c>
    </row>
    <row r="4241" spans="1:8">
      <c r="A4241" s="37">
        <v>44490.15625</v>
      </c>
      <c r="B4241" s="35" t="s">
        <v>686</v>
      </c>
      <c r="C4241" s="35" t="s">
        <v>687</v>
      </c>
      <c r="D4241" s="39">
        <v>1089.68994140625</v>
      </c>
      <c r="E4241" s="39">
        <v>1024.9906005859375</v>
      </c>
      <c r="F4241" s="41">
        <v>2833255</v>
      </c>
      <c r="G4241" s="35" t="s">
        <v>688</v>
      </c>
      <c r="H4241" s="35" t="s">
        <v>115</v>
      </c>
    </row>
    <row r="4242" spans="1:8">
      <c r="A4242" s="37">
        <v>44491.15625</v>
      </c>
      <c r="B4242" s="35" t="s">
        <v>686</v>
      </c>
      <c r="C4242" s="35" t="s">
        <v>687</v>
      </c>
      <c r="D4242" s="39">
        <v>1079.5</v>
      </c>
      <c r="E4242" s="39">
        <v>1015.4058227539063</v>
      </c>
      <c r="F4242" s="41">
        <v>2088835</v>
      </c>
      <c r="G4242" s="35" t="s">
        <v>688</v>
      </c>
      <c r="H4242" s="35" t="s">
        <v>115</v>
      </c>
    </row>
    <row r="4243" spans="1:8">
      <c r="A4243" s="37">
        <v>44494.15625</v>
      </c>
      <c r="B4243" s="35" t="s">
        <v>686</v>
      </c>
      <c r="C4243" s="35" t="s">
        <v>687</v>
      </c>
      <c r="D4243" s="39">
        <v>1013.8599853515625</v>
      </c>
      <c r="E4243" s="39">
        <v>953.6629638671875</v>
      </c>
      <c r="F4243" s="41">
        <v>5763730</v>
      </c>
      <c r="G4243" s="35" t="s">
        <v>688</v>
      </c>
      <c r="H4243" s="35" t="s">
        <v>115</v>
      </c>
    </row>
    <row r="4244" spans="1:8">
      <c r="A4244" s="37">
        <v>44495.15625</v>
      </c>
      <c r="B4244" s="35" t="s">
        <v>686</v>
      </c>
      <c r="C4244" s="35" t="s">
        <v>687</v>
      </c>
      <c r="D4244" s="39">
        <v>1017.6099853515625</v>
      </c>
      <c r="E4244" s="39">
        <v>957.1903076171875</v>
      </c>
      <c r="F4244" s="41">
        <v>2449410</v>
      </c>
      <c r="G4244" s="35" t="s">
        <v>688</v>
      </c>
      <c r="H4244" s="35" t="s">
        <v>115</v>
      </c>
    </row>
    <row r="4245" spans="1:8">
      <c r="A4245" s="37">
        <v>44496.15625</v>
      </c>
      <c r="B4245" s="35" t="s">
        <v>686</v>
      </c>
      <c r="C4245" s="35" t="s">
        <v>687</v>
      </c>
      <c r="D4245" s="39">
        <v>1008.5700073242188</v>
      </c>
      <c r="E4245" s="39">
        <v>948.68707275390625</v>
      </c>
      <c r="F4245" s="41">
        <v>2132460</v>
      </c>
      <c r="G4245" s="35" t="s">
        <v>688</v>
      </c>
      <c r="H4245" s="35" t="s">
        <v>115</v>
      </c>
    </row>
    <row r="4246" spans="1:8">
      <c r="A4246" s="37">
        <v>44497.15625</v>
      </c>
      <c r="B4246" s="35" t="s">
        <v>686</v>
      </c>
      <c r="C4246" s="35" t="s">
        <v>687</v>
      </c>
      <c r="D4246" s="39">
        <v>1006.6500244140625</v>
      </c>
      <c r="E4246" s="39">
        <v>946.881103515625</v>
      </c>
      <c r="F4246" s="41">
        <v>2224895</v>
      </c>
      <c r="G4246" s="35" t="s">
        <v>688</v>
      </c>
      <c r="H4246" s="35" t="s">
        <v>115</v>
      </c>
    </row>
    <row r="4247" spans="1:8">
      <c r="A4247" s="37">
        <v>44498.15625</v>
      </c>
      <c r="B4247" s="35" t="s">
        <v>686</v>
      </c>
      <c r="C4247" s="35" t="s">
        <v>687</v>
      </c>
      <c r="D4247" s="39">
        <v>974.09002685546875</v>
      </c>
      <c r="E4247" s="39">
        <v>916.25421142578125</v>
      </c>
      <c r="F4247" s="41">
        <v>2252140</v>
      </c>
      <c r="G4247" s="35" t="s">
        <v>688</v>
      </c>
      <c r="H4247" s="35" t="s">
        <v>115</v>
      </c>
    </row>
    <row r="4248" spans="1:8">
      <c r="A4248" s="37">
        <v>44501.15625</v>
      </c>
      <c r="B4248" s="35" t="s">
        <v>686</v>
      </c>
      <c r="C4248" s="35" t="s">
        <v>687</v>
      </c>
      <c r="D4248" s="39">
        <v>1015.489990234375</v>
      </c>
      <c r="E4248" s="39">
        <v>955.19622802734375</v>
      </c>
      <c r="F4248" s="41">
        <v>2396685</v>
      </c>
      <c r="G4248" s="35" t="s">
        <v>688</v>
      </c>
      <c r="H4248" s="35" t="s">
        <v>115</v>
      </c>
    </row>
    <row r="4249" spans="1:8">
      <c r="A4249" s="37">
        <v>44502.15625</v>
      </c>
      <c r="B4249" s="35" t="s">
        <v>686</v>
      </c>
      <c r="C4249" s="35" t="s">
        <v>687</v>
      </c>
      <c r="D4249" s="39">
        <v>1008.7000122070313</v>
      </c>
      <c r="E4249" s="39">
        <v>948.80950927734375</v>
      </c>
      <c r="F4249" s="41">
        <v>1375160</v>
      </c>
      <c r="G4249" s="35" t="s">
        <v>688</v>
      </c>
      <c r="H4249" s="35" t="s">
        <v>115</v>
      </c>
    </row>
    <row r="4250" spans="1:8">
      <c r="A4250" s="37">
        <v>44503.15625</v>
      </c>
      <c r="B4250" s="35" t="s">
        <v>686</v>
      </c>
      <c r="C4250" s="35" t="s">
        <v>687</v>
      </c>
      <c r="D4250" s="39">
        <v>1012.97998046875</v>
      </c>
      <c r="E4250" s="39">
        <v>955.297607421875</v>
      </c>
      <c r="F4250" s="41">
        <v>971555</v>
      </c>
      <c r="G4250" s="35" t="s">
        <v>688</v>
      </c>
      <c r="H4250" s="35" t="s">
        <v>115</v>
      </c>
    </row>
    <row r="4251" spans="1:8">
      <c r="A4251" s="37">
        <v>44504.53125</v>
      </c>
      <c r="B4251" s="35" t="s">
        <v>686</v>
      </c>
      <c r="C4251" s="35" t="s">
        <v>687</v>
      </c>
      <c r="D4251" s="39">
        <v>1016.280029296875</v>
      </c>
      <c r="E4251" s="39">
        <v>958.40966796875</v>
      </c>
      <c r="F4251" s="41">
        <v>108085</v>
      </c>
      <c r="G4251" s="35" t="s">
        <v>688</v>
      </c>
      <c r="H4251" s="35" t="s">
        <v>115</v>
      </c>
    </row>
    <row r="4252" spans="1:8">
      <c r="A4252" s="37">
        <v>44508.15625</v>
      </c>
      <c r="B4252" s="35" t="s">
        <v>686</v>
      </c>
      <c r="C4252" s="35" t="s">
        <v>687</v>
      </c>
      <c r="D4252" s="39">
        <v>1050.3299560546875</v>
      </c>
      <c r="E4252" s="39">
        <v>990.5208740234375</v>
      </c>
      <c r="F4252" s="41">
        <v>2033905</v>
      </c>
      <c r="G4252" s="35" t="s">
        <v>688</v>
      </c>
      <c r="H4252" s="35" t="s">
        <v>115</v>
      </c>
    </row>
    <row r="4253" spans="1:8">
      <c r="A4253" s="37">
        <v>44509.15625</v>
      </c>
      <c r="B4253" s="35" t="s">
        <v>686</v>
      </c>
      <c r="C4253" s="35" t="s">
        <v>687</v>
      </c>
      <c r="D4253" s="39">
        <v>1076.3900146484375</v>
      </c>
      <c r="E4253" s="39">
        <v>1015.0966796875</v>
      </c>
      <c r="F4253" s="41">
        <v>1887080</v>
      </c>
      <c r="G4253" s="35" t="s">
        <v>688</v>
      </c>
      <c r="H4253" s="35" t="s">
        <v>115</v>
      </c>
    </row>
    <row r="4254" spans="1:8">
      <c r="A4254" s="37">
        <v>44510.15625</v>
      </c>
      <c r="B4254" s="35" t="s">
        <v>686</v>
      </c>
      <c r="C4254" s="35" t="s">
        <v>687</v>
      </c>
      <c r="D4254" s="39">
        <v>1070.8299560546875</v>
      </c>
      <c r="E4254" s="39">
        <v>1009.8532104492188</v>
      </c>
      <c r="F4254" s="41">
        <v>1175190</v>
      </c>
      <c r="G4254" s="35" t="s">
        <v>688</v>
      </c>
      <c r="H4254" s="35" t="s">
        <v>115</v>
      </c>
    </row>
    <row r="4255" spans="1:8">
      <c r="A4255" s="37">
        <v>44511.15625</v>
      </c>
      <c r="B4255" s="35" t="s">
        <v>686</v>
      </c>
      <c r="C4255" s="35" t="s">
        <v>687</v>
      </c>
      <c r="D4255" s="39">
        <v>1075.239990234375</v>
      </c>
      <c r="E4255" s="39">
        <v>1014.012451171875</v>
      </c>
      <c r="F4255" s="41">
        <v>1032505</v>
      </c>
      <c r="G4255" s="35" t="s">
        <v>688</v>
      </c>
      <c r="H4255" s="35" t="s">
        <v>115</v>
      </c>
    </row>
    <row r="4256" spans="1:8">
      <c r="A4256" s="37">
        <v>44512.15625</v>
      </c>
      <c r="B4256" s="35" t="s">
        <v>686</v>
      </c>
      <c r="C4256" s="35" t="s">
        <v>687</v>
      </c>
      <c r="D4256" s="39">
        <v>1083.5999755859375</v>
      </c>
      <c r="E4256" s="39">
        <v>1021.8958740234375</v>
      </c>
      <c r="F4256" s="41">
        <v>1222580</v>
      </c>
      <c r="G4256" s="35" t="s">
        <v>688</v>
      </c>
      <c r="H4256" s="35" t="s">
        <v>115</v>
      </c>
    </row>
    <row r="4257" spans="1:8">
      <c r="A4257" s="37">
        <v>44515.15625</v>
      </c>
      <c r="B4257" s="35" t="s">
        <v>686</v>
      </c>
      <c r="C4257" s="35" t="s">
        <v>687</v>
      </c>
      <c r="D4257" s="39">
        <v>1099.239990234375</v>
      </c>
      <c r="E4257" s="39">
        <v>1036.6456298828125</v>
      </c>
      <c r="F4257" s="41">
        <v>1249510</v>
      </c>
      <c r="G4257" s="35" t="s">
        <v>688</v>
      </c>
      <c r="H4257" s="35" t="s">
        <v>115</v>
      </c>
    </row>
    <row r="4258" spans="1:8">
      <c r="A4258" s="37">
        <v>44516.15625</v>
      </c>
      <c r="B4258" s="35" t="s">
        <v>686</v>
      </c>
      <c r="C4258" s="35" t="s">
        <v>687</v>
      </c>
      <c r="D4258" s="39">
        <v>1144.3499755859375</v>
      </c>
      <c r="E4258" s="39">
        <v>1079.1868896484375</v>
      </c>
      <c r="F4258" s="41">
        <v>8258485</v>
      </c>
      <c r="G4258" s="35" t="s">
        <v>688</v>
      </c>
      <c r="H4258" s="35" t="s">
        <v>115</v>
      </c>
    </row>
    <row r="4259" spans="1:8">
      <c r="A4259" s="37">
        <v>44517.15625</v>
      </c>
      <c r="B4259" s="35" t="s">
        <v>686</v>
      </c>
      <c r="C4259" s="35" t="s">
        <v>687</v>
      </c>
      <c r="D4259" s="39">
        <v>1167.8699951171875</v>
      </c>
      <c r="E4259" s="39">
        <v>1101.36767578125</v>
      </c>
      <c r="F4259" s="41">
        <v>3446585</v>
      </c>
      <c r="G4259" s="35" t="s">
        <v>688</v>
      </c>
      <c r="H4259" s="35" t="s">
        <v>115</v>
      </c>
    </row>
    <row r="4260" spans="1:8">
      <c r="A4260" s="37">
        <v>44518.15625</v>
      </c>
      <c r="B4260" s="35" t="s">
        <v>686</v>
      </c>
      <c r="C4260" s="35" t="s">
        <v>687</v>
      </c>
      <c r="D4260" s="39">
        <v>1114.4200439453125</v>
      </c>
      <c r="E4260" s="39">
        <v>1050.961181640625</v>
      </c>
      <c r="F4260" s="41">
        <v>2993690</v>
      </c>
      <c r="G4260" s="35" t="s">
        <v>688</v>
      </c>
      <c r="H4260" s="35" t="s">
        <v>115</v>
      </c>
    </row>
    <row r="4261" spans="1:8">
      <c r="A4261" s="37">
        <v>44522.15625</v>
      </c>
      <c r="B4261" s="35" t="s">
        <v>686</v>
      </c>
      <c r="C4261" s="35" t="s">
        <v>687</v>
      </c>
      <c r="D4261" s="39">
        <v>1085.6500244140625</v>
      </c>
      <c r="E4261" s="39">
        <v>1023.8297119140625</v>
      </c>
      <c r="F4261" s="41">
        <v>1304240</v>
      </c>
      <c r="G4261" s="35" t="s">
        <v>688</v>
      </c>
      <c r="H4261" s="35" t="s">
        <v>115</v>
      </c>
    </row>
    <row r="4262" spans="1:8">
      <c r="A4262" s="37">
        <v>44523.15625</v>
      </c>
      <c r="B4262" s="35" t="s">
        <v>686</v>
      </c>
      <c r="C4262" s="35" t="s">
        <v>687</v>
      </c>
      <c r="D4262" s="39">
        <v>1091.1800537109375</v>
      </c>
      <c r="E4262" s="39">
        <v>1029.044921875</v>
      </c>
      <c r="F4262" s="41">
        <v>1465375</v>
      </c>
      <c r="G4262" s="35" t="s">
        <v>688</v>
      </c>
      <c r="H4262" s="35" t="s">
        <v>115</v>
      </c>
    </row>
    <row r="4263" spans="1:8">
      <c r="A4263" s="37">
        <v>44524.15625</v>
      </c>
      <c r="B4263" s="35" t="s">
        <v>686</v>
      </c>
      <c r="C4263" s="35" t="s">
        <v>687</v>
      </c>
      <c r="D4263" s="39">
        <v>1075.5400390625</v>
      </c>
      <c r="E4263" s="39">
        <v>1014.2954711914063</v>
      </c>
      <c r="F4263" s="41">
        <v>1605925</v>
      </c>
      <c r="G4263" s="35" t="s">
        <v>688</v>
      </c>
      <c r="H4263" s="35" t="s">
        <v>115</v>
      </c>
    </row>
    <row r="4264" spans="1:8">
      <c r="A4264" s="37">
        <v>44525.15625</v>
      </c>
      <c r="B4264" s="35" t="s">
        <v>686</v>
      </c>
      <c r="C4264" s="35" t="s">
        <v>687</v>
      </c>
      <c r="D4264" s="39">
        <v>1100.56005859375</v>
      </c>
      <c r="E4264" s="39">
        <v>1037.890380859375</v>
      </c>
      <c r="F4264" s="41">
        <v>1041030</v>
      </c>
      <c r="G4264" s="35" t="s">
        <v>688</v>
      </c>
      <c r="H4264" s="35" t="s">
        <v>115</v>
      </c>
    </row>
    <row r="4265" spans="1:8">
      <c r="A4265" s="37">
        <v>44526.15625</v>
      </c>
      <c r="B4265" s="35" t="s">
        <v>686</v>
      </c>
      <c r="C4265" s="35" t="s">
        <v>687</v>
      </c>
      <c r="D4265" s="39">
        <v>1053.530029296875</v>
      </c>
      <c r="E4265" s="39">
        <v>993.5386962890625</v>
      </c>
      <c r="F4265" s="41">
        <v>2199500</v>
      </c>
      <c r="G4265" s="35" t="s">
        <v>688</v>
      </c>
      <c r="H4265" s="35" t="s">
        <v>115</v>
      </c>
    </row>
    <row r="4266" spans="1:8">
      <c r="A4266" s="37">
        <v>44529.15625</v>
      </c>
      <c r="B4266" s="35" t="s">
        <v>686</v>
      </c>
      <c r="C4266" s="35" t="s">
        <v>687</v>
      </c>
      <c r="D4266" s="39">
        <v>1058.550048828125</v>
      </c>
      <c r="E4266" s="39">
        <v>998.2728271484375</v>
      </c>
      <c r="F4266" s="41">
        <v>1246875</v>
      </c>
      <c r="G4266" s="35" t="s">
        <v>688</v>
      </c>
      <c r="H4266" s="35" t="s">
        <v>115</v>
      </c>
    </row>
    <row r="4267" spans="1:8">
      <c r="A4267" s="37">
        <v>44530.15625</v>
      </c>
      <c r="B4267" s="35" t="s">
        <v>686</v>
      </c>
      <c r="C4267" s="35" t="s">
        <v>687</v>
      </c>
      <c r="D4267" s="39">
        <v>1086.3199462890625</v>
      </c>
      <c r="E4267" s="39">
        <v>1024.46142578125</v>
      </c>
      <c r="F4267" s="41">
        <v>1866165</v>
      </c>
      <c r="G4267" s="35" t="s">
        <v>688</v>
      </c>
      <c r="H4267" s="35" t="s">
        <v>115</v>
      </c>
    </row>
    <row r="4268" spans="1:8">
      <c r="A4268" s="37">
        <v>44531.15625</v>
      </c>
      <c r="B4268" s="35" t="s">
        <v>686</v>
      </c>
      <c r="C4268" s="35" t="s">
        <v>687</v>
      </c>
      <c r="D4268" s="39">
        <v>1075.719970703125</v>
      </c>
      <c r="E4268" s="39">
        <v>1014.4647216796875</v>
      </c>
      <c r="F4268" s="41">
        <v>1737125</v>
      </c>
      <c r="G4268" s="35" t="s">
        <v>688</v>
      </c>
      <c r="H4268" s="35" t="s">
        <v>115</v>
      </c>
    </row>
    <row r="4269" spans="1:8">
      <c r="A4269" s="37">
        <v>44532.15625</v>
      </c>
      <c r="B4269" s="35" t="s">
        <v>686</v>
      </c>
      <c r="C4269" s="35" t="s">
        <v>687</v>
      </c>
      <c r="D4269" s="39">
        <v>1082.8299560546875</v>
      </c>
      <c r="E4269" s="39">
        <v>1021.1698608398438</v>
      </c>
      <c r="F4269" s="41">
        <v>2277090</v>
      </c>
      <c r="G4269" s="35" t="s">
        <v>688</v>
      </c>
      <c r="H4269" s="35" t="s">
        <v>115</v>
      </c>
    </row>
    <row r="4270" spans="1:8">
      <c r="A4270" s="37">
        <v>44533.15625</v>
      </c>
      <c r="B4270" s="35" t="s">
        <v>686</v>
      </c>
      <c r="C4270" s="35" t="s">
        <v>687</v>
      </c>
      <c r="D4270" s="39">
        <v>1070.030029296875</v>
      </c>
      <c r="E4270" s="39">
        <v>1009.0991821289063</v>
      </c>
      <c r="F4270" s="41">
        <v>1046860</v>
      </c>
      <c r="G4270" s="35" t="s">
        <v>688</v>
      </c>
      <c r="H4270" s="35" t="s">
        <v>115</v>
      </c>
    </row>
    <row r="4271" spans="1:8">
      <c r="A4271" s="37">
        <v>44536.15625</v>
      </c>
      <c r="B4271" s="35" t="s">
        <v>686</v>
      </c>
      <c r="C4271" s="35" t="s">
        <v>687</v>
      </c>
      <c r="D4271" s="39">
        <v>1025.050048828125</v>
      </c>
      <c r="E4271" s="39">
        <v>966.680419921875</v>
      </c>
      <c r="F4271" s="41">
        <v>1249415</v>
      </c>
      <c r="G4271" s="35" t="s">
        <v>688</v>
      </c>
      <c r="H4271" s="35" t="s">
        <v>115</v>
      </c>
    </row>
    <row r="4272" spans="1:8">
      <c r="A4272" s="37">
        <v>44537.15625</v>
      </c>
      <c r="B4272" s="35" t="s">
        <v>686</v>
      </c>
      <c r="C4272" s="35" t="s">
        <v>687</v>
      </c>
      <c r="D4272" s="39">
        <v>1041.699951171875</v>
      </c>
      <c r="E4272" s="39">
        <v>982.382080078125</v>
      </c>
      <c r="F4272" s="41">
        <v>2446190</v>
      </c>
      <c r="G4272" s="35" t="s">
        <v>688</v>
      </c>
      <c r="H4272" s="35" t="s">
        <v>115</v>
      </c>
    </row>
    <row r="4273" spans="1:8">
      <c r="A4273" s="37">
        <v>44538.15625</v>
      </c>
      <c r="B4273" s="35" t="s">
        <v>686</v>
      </c>
      <c r="C4273" s="35" t="s">
        <v>687</v>
      </c>
      <c r="D4273" s="39">
        <v>1050.489990234375</v>
      </c>
      <c r="E4273" s="39">
        <v>990.671630859375</v>
      </c>
      <c r="F4273" s="41">
        <v>1223510</v>
      </c>
      <c r="G4273" s="35" t="s">
        <v>688</v>
      </c>
      <c r="H4273" s="35" t="s">
        <v>115</v>
      </c>
    </row>
    <row r="4274" spans="1:8">
      <c r="A4274" s="37">
        <v>44539.15625</v>
      </c>
      <c r="B4274" s="35" t="s">
        <v>686</v>
      </c>
      <c r="C4274" s="35" t="s">
        <v>687</v>
      </c>
      <c r="D4274" s="39">
        <v>1054.050048828125</v>
      </c>
      <c r="E4274" s="39">
        <v>994.02886962890625</v>
      </c>
      <c r="F4274" s="41">
        <v>645250</v>
      </c>
      <c r="G4274" s="35" t="s">
        <v>688</v>
      </c>
      <c r="H4274" s="35" t="s">
        <v>115</v>
      </c>
    </row>
    <row r="4275" spans="1:8">
      <c r="A4275" s="37">
        <v>44540.15625</v>
      </c>
      <c r="B4275" s="35" t="s">
        <v>686</v>
      </c>
      <c r="C4275" s="35" t="s">
        <v>687</v>
      </c>
      <c r="D4275" s="39">
        <v>1063.0699462890625</v>
      </c>
      <c r="E4275" s="39">
        <v>1002.5353393554688</v>
      </c>
      <c r="F4275" s="41">
        <v>865795</v>
      </c>
      <c r="G4275" s="35" t="s">
        <v>688</v>
      </c>
      <c r="H4275" s="35" t="s">
        <v>115</v>
      </c>
    </row>
    <row r="4276" spans="1:8">
      <c r="A4276" s="37">
        <v>44543.15625</v>
      </c>
      <c r="B4276" s="35" t="s">
        <v>686</v>
      </c>
      <c r="C4276" s="35" t="s">
        <v>687</v>
      </c>
      <c r="D4276" s="39">
        <v>1095.2900390625</v>
      </c>
      <c r="E4276" s="39">
        <v>1032.9208984375</v>
      </c>
      <c r="F4276" s="41">
        <v>2007730</v>
      </c>
      <c r="G4276" s="35" t="s">
        <v>688</v>
      </c>
      <c r="H4276" s="35" t="s">
        <v>115</v>
      </c>
    </row>
    <row r="4277" spans="1:8">
      <c r="A4277" s="37">
        <v>44544.15625</v>
      </c>
      <c r="B4277" s="35" t="s">
        <v>686</v>
      </c>
      <c r="C4277" s="35" t="s">
        <v>687</v>
      </c>
      <c r="D4277" s="39">
        <v>1087.8900146484375</v>
      </c>
      <c r="E4277" s="39">
        <v>1025.9420166015625</v>
      </c>
      <c r="F4277" s="41">
        <v>1169075</v>
      </c>
      <c r="G4277" s="35" t="s">
        <v>688</v>
      </c>
      <c r="H4277" s="35" t="s">
        <v>115</v>
      </c>
    </row>
    <row r="4278" spans="1:8">
      <c r="A4278" s="37">
        <v>44545.15625</v>
      </c>
      <c r="B4278" s="35" t="s">
        <v>686</v>
      </c>
      <c r="C4278" s="35" t="s">
        <v>687</v>
      </c>
      <c r="D4278" s="39">
        <v>1062.56005859375</v>
      </c>
      <c r="E4278" s="39">
        <v>1002.054443359375</v>
      </c>
      <c r="F4278" s="41">
        <v>1091080</v>
      </c>
      <c r="G4278" s="35" t="s">
        <v>688</v>
      </c>
      <c r="H4278" s="35" t="s">
        <v>115</v>
      </c>
    </row>
    <row r="4279" spans="1:8">
      <c r="A4279" s="37">
        <v>44546.15625</v>
      </c>
      <c r="B4279" s="35" t="s">
        <v>686</v>
      </c>
      <c r="C4279" s="35" t="s">
        <v>687</v>
      </c>
      <c r="D4279" s="39">
        <v>1071.0699462890625</v>
      </c>
      <c r="E4279" s="39">
        <v>1010.0800170898438</v>
      </c>
      <c r="F4279" s="41">
        <v>1484725</v>
      </c>
      <c r="G4279" s="35" t="s">
        <v>688</v>
      </c>
      <c r="H4279" s="35" t="s">
        <v>115</v>
      </c>
    </row>
    <row r="4280" spans="1:8">
      <c r="A4280" s="37">
        <v>44547.15625</v>
      </c>
      <c r="B4280" s="35" t="s">
        <v>686</v>
      </c>
      <c r="C4280" s="35" t="s">
        <v>687</v>
      </c>
      <c r="D4280" s="39">
        <v>1078.5899658203125</v>
      </c>
      <c r="E4280" s="39">
        <v>1017.1715698242188</v>
      </c>
      <c r="F4280" s="41">
        <v>1803535</v>
      </c>
      <c r="G4280" s="35" t="s">
        <v>688</v>
      </c>
      <c r="H4280" s="35" t="s">
        <v>115</v>
      </c>
    </row>
    <row r="4281" spans="1:8">
      <c r="A4281" s="37">
        <v>44550.15625</v>
      </c>
      <c r="B4281" s="35" t="s">
        <v>686</v>
      </c>
      <c r="C4281" s="35" t="s">
        <v>687</v>
      </c>
      <c r="D4281" s="39">
        <v>1036.3900146484375</v>
      </c>
      <c r="E4281" s="39">
        <v>977.37457275390625</v>
      </c>
      <c r="F4281" s="41">
        <v>1610350</v>
      </c>
      <c r="G4281" s="35" t="s">
        <v>688</v>
      </c>
      <c r="H4281" s="35" t="s">
        <v>115</v>
      </c>
    </row>
    <row r="4282" spans="1:8">
      <c r="A4282" s="37">
        <v>44551.15625</v>
      </c>
      <c r="B4282" s="35" t="s">
        <v>686</v>
      </c>
      <c r="C4282" s="35" t="s">
        <v>687</v>
      </c>
      <c r="D4282" s="39">
        <v>1079.3800048828125</v>
      </c>
      <c r="E4282" s="39">
        <v>1017.9164428710938</v>
      </c>
      <c r="F4282" s="41">
        <v>1650015</v>
      </c>
      <c r="G4282" s="35" t="s">
        <v>688</v>
      </c>
      <c r="H4282" s="35" t="s">
        <v>115</v>
      </c>
    </row>
    <row r="4283" spans="1:8">
      <c r="A4283" s="37">
        <v>44552.15625</v>
      </c>
      <c r="B4283" s="35" t="s">
        <v>686</v>
      </c>
      <c r="C4283" s="35" t="s">
        <v>687</v>
      </c>
      <c r="D4283" s="39">
        <v>1094.8399658203125</v>
      </c>
      <c r="E4283" s="39">
        <v>1032.496337890625</v>
      </c>
      <c r="F4283" s="41">
        <v>1717310</v>
      </c>
      <c r="G4283" s="35" t="s">
        <v>688</v>
      </c>
      <c r="H4283" s="35" t="s">
        <v>115</v>
      </c>
    </row>
    <row r="4284" spans="1:8">
      <c r="A4284" s="37">
        <v>44553.15625</v>
      </c>
      <c r="B4284" s="35" t="s">
        <v>686</v>
      </c>
      <c r="C4284" s="35" t="s">
        <v>687</v>
      </c>
      <c r="D4284" s="39">
        <v>1091.0999755859375</v>
      </c>
      <c r="E4284" s="39">
        <v>1028.96923828125</v>
      </c>
      <c r="F4284" s="41">
        <v>1022140</v>
      </c>
      <c r="G4284" s="35" t="s">
        <v>688</v>
      </c>
      <c r="H4284" s="35" t="s">
        <v>115</v>
      </c>
    </row>
    <row r="4285" spans="1:8">
      <c r="A4285" s="37">
        <v>44554.15625</v>
      </c>
      <c r="B4285" s="35" t="s">
        <v>686</v>
      </c>
      <c r="C4285" s="35" t="s">
        <v>687</v>
      </c>
      <c r="D4285" s="39">
        <v>1129.1199951171875</v>
      </c>
      <c r="E4285" s="39">
        <v>1064.823974609375</v>
      </c>
      <c r="F4285" s="41">
        <v>2589040</v>
      </c>
      <c r="G4285" s="35" t="s">
        <v>688</v>
      </c>
      <c r="H4285" s="35" t="s">
        <v>115</v>
      </c>
    </row>
    <row r="4286" spans="1:8">
      <c r="A4286" s="37">
        <v>44557.15625</v>
      </c>
      <c r="B4286" s="35" t="s">
        <v>686</v>
      </c>
      <c r="C4286" s="35" t="s">
        <v>687</v>
      </c>
      <c r="D4286" s="39">
        <v>1123.6300048828125</v>
      </c>
      <c r="E4286" s="39">
        <v>1059.646728515625</v>
      </c>
      <c r="F4286" s="41">
        <v>1473275</v>
      </c>
      <c r="G4286" s="35" t="s">
        <v>688</v>
      </c>
      <c r="H4286" s="35" t="s">
        <v>115</v>
      </c>
    </row>
    <row r="4287" spans="1:8">
      <c r="A4287" s="37">
        <v>44558.15625</v>
      </c>
      <c r="B4287" s="35" t="s">
        <v>686</v>
      </c>
      <c r="C4287" s="35" t="s">
        <v>687</v>
      </c>
      <c r="D4287" s="39">
        <v>1131.1400146484375</v>
      </c>
      <c r="E4287" s="39">
        <v>1066.729248046875</v>
      </c>
      <c r="F4287" s="41">
        <v>1356135</v>
      </c>
      <c r="G4287" s="35" t="s">
        <v>688</v>
      </c>
      <c r="H4287" s="35" t="s">
        <v>115</v>
      </c>
    </row>
    <row r="4288" spans="1:8">
      <c r="A4288" s="37">
        <v>44559.15625</v>
      </c>
      <c r="B4288" s="35" t="s">
        <v>686</v>
      </c>
      <c r="C4288" s="35" t="s">
        <v>687</v>
      </c>
      <c r="D4288" s="39">
        <v>1129.8199462890625</v>
      </c>
      <c r="E4288" s="39">
        <v>1065.4842529296875</v>
      </c>
      <c r="F4288" s="41">
        <v>803805</v>
      </c>
      <c r="G4288" s="35" t="s">
        <v>688</v>
      </c>
      <c r="H4288" s="35" t="s">
        <v>115</v>
      </c>
    </row>
    <row r="4289" spans="1:8">
      <c r="A4289" s="37">
        <v>44560.15625</v>
      </c>
      <c r="B4289" s="35" t="s">
        <v>686</v>
      </c>
      <c r="C4289" s="35" t="s">
        <v>687</v>
      </c>
      <c r="D4289" s="39">
        <v>1172.1300048828125</v>
      </c>
      <c r="E4289" s="39">
        <v>1105.3851318359375</v>
      </c>
      <c r="F4289" s="41">
        <v>2721840</v>
      </c>
      <c r="G4289" s="35" t="s">
        <v>688</v>
      </c>
      <c r="H4289" s="35" t="s">
        <v>115</v>
      </c>
    </row>
    <row r="4290" spans="1:8">
      <c r="A4290" s="37">
        <v>44561.15625</v>
      </c>
      <c r="B4290" s="35" t="s">
        <v>686</v>
      </c>
      <c r="C4290" s="35" t="s">
        <v>687</v>
      </c>
      <c r="D4290" s="39">
        <v>1178.0699462890625</v>
      </c>
      <c r="E4290" s="39">
        <v>1110.9869384765625</v>
      </c>
      <c r="F4290" s="41">
        <v>1382600</v>
      </c>
      <c r="G4290" s="35" t="s">
        <v>688</v>
      </c>
      <c r="H4290" s="35" t="s">
        <v>115</v>
      </c>
    </row>
    <row r="4291" spans="1:8">
      <c r="A4291" s="37">
        <v>44564.15625</v>
      </c>
      <c r="B4291" s="35" t="s">
        <v>686</v>
      </c>
      <c r="C4291" s="35" t="s">
        <v>687</v>
      </c>
      <c r="D4291" s="39">
        <v>1194.6300048828125</v>
      </c>
      <c r="E4291" s="39">
        <v>1126.6041259765625</v>
      </c>
      <c r="F4291" s="41">
        <v>1565055</v>
      </c>
      <c r="G4291" s="35" t="s">
        <v>688</v>
      </c>
      <c r="H4291" s="35" t="s">
        <v>115</v>
      </c>
    </row>
    <row r="4292" spans="1:8">
      <c r="A4292" s="37">
        <v>44565.15625</v>
      </c>
      <c r="B4292" s="35" t="s">
        <v>686</v>
      </c>
      <c r="C4292" s="35" t="s">
        <v>687</v>
      </c>
      <c r="D4292" s="39">
        <v>1221.0799560546875</v>
      </c>
      <c r="E4292" s="39">
        <v>1151.5474853515625</v>
      </c>
      <c r="F4292" s="41">
        <v>3346085</v>
      </c>
      <c r="G4292" s="35" t="s">
        <v>688</v>
      </c>
      <c r="H4292" s="35" t="s">
        <v>115</v>
      </c>
    </row>
    <row r="4293" spans="1:8">
      <c r="A4293" s="37">
        <v>44566.15625</v>
      </c>
      <c r="B4293" s="35" t="s">
        <v>686</v>
      </c>
      <c r="C4293" s="35" t="s">
        <v>687</v>
      </c>
      <c r="D4293" s="39">
        <v>1187.9000244140625</v>
      </c>
      <c r="E4293" s="39">
        <v>1120.2572021484375</v>
      </c>
      <c r="F4293" s="41">
        <v>3480935</v>
      </c>
      <c r="G4293" s="35" t="s">
        <v>688</v>
      </c>
      <c r="H4293" s="35" t="s">
        <v>115</v>
      </c>
    </row>
    <row r="4294" spans="1:8">
      <c r="A4294" s="37">
        <v>44567.15625</v>
      </c>
      <c r="B4294" s="35" t="s">
        <v>686</v>
      </c>
      <c r="C4294" s="35" t="s">
        <v>687</v>
      </c>
      <c r="D4294" s="39">
        <v>1186.22998046875</v>
      </c>
      <c r="E4294" s="39">
        <v>1118.6822509765625</v>
      </c>
      <c r="F4294" s="41">
        <v>1719990</v>
      </c>
      <c r="G4294" s="35" t="s">
        <v>688</v>
      </c>
      <c r="H4294" s="35" t="s">
        <v>115</v>
      </c>
    </row>
    <row r="4295" spans="1:8">
      <c r="A4295" s="37">
        <v>44568.15625</v>
      </c>
      <c r="B4295" s="35" t="s">
        <v>686</v>
      </c>
      <c r="C4295" s="35" t="s">
        <v>687</v>
      </c>
      <c r="D4295" s="39">
        <v>1151.239990234375</v>
      </c>
      <c r="E4295" s="39">
        <v>1085.6842041015625</v>
      </c>
      <c r="F4295" s="41">
        <v>1259050</v>
      </c>
      <c r="G4295" s="35" t="s">
        <v>688</v>
      </c>
      <c r="H4295" s="35" t="s">
        <v>115</v>
      </c>
    </row>
    <row r="4296" spans="1:8">
      <c r="A4296" s="37">
        <v>44571.15625</v>
      </c>
      <c r="B4296" s="35" t="s">
        <v>686</v>
      </c>
      <c r="C4296" s="35" t="s">
        <v>687</v>
      </c>
      <c r="D4296" s="39">
        <v>1116.1099853515625</v>
      </c>
      <c r="E4296" s="39">
        <v>1052.55517578125</v>
      </c>
      <c r="F4296" s="41">
        <v>1901720</v>
      </c>
      <c r="G4296" s="35" t="s">
        <v>688</v>
      </c>
      <c r="H4296" s="35" t="s">
        <v>115</v>
      </c>
    </row>
    <row r="4297" spans="1:8">
      <c r="A4297" s="37">
        <v>44572.15625</v>
      </c>
      <c r="B4297" s="35" t="s">
        <v>686</v>
      </c>
      <c r="C4297" s="35" t="s">
        <v>687</v>
      </c>
      <c r="D4297" s="39">
        <v>1153.4300537109375</v>
      </c>
      <c r="E4297" s="39">
        <v>1087.75</v>
      </c>
      <c r="F4297" s="41">
        <v>3841550</v>
      </c>
      <c r="G4297" s="35" t="s">
        <v>688</v>
      </c>
      <c r="H4297" s="35" t="s">
        <v>115</v>
      </c>
    </row>
    <row r="4298" spans="1:8">
      <c r="A4298" s="37">
        <v>44573.15625</v>
      </c>
      <c r="B4298" s="35" t="s">
        <v>686</v>
      </c>
      <c r="C4298" s="35" t="s">
        <v>687</v>
      </c>
      <c r="D4298" s="39">
        <v>1157.6700439453125</v>
      </c>
      <c r="E4298" s="39">
        <v>1091.74853515625</v>
      </c>
      <c r="F4298" s="41">
        <v>1230480</v>
      </c>
      <c r="G4298" s="35" t="s">
        <v>688</v>
      </c>
      <c r="H4298" s="35" t="s">
        <v>115</v>
      </c>
    </row>
    <row r="4299" spans="1:8">
      <c r="A4299" s="37">
        <v>44574.15625</v>
      </c>
      <c r="B4299" s="35" t="s">
        <v>686</v>
      </c>
      <c r="C4299" s="35" t="s">
        <v>687</v>
      </c>
      <c r="D4299" s="39">
        <v>1145.3299560546875</v>
      </c>
      <c r="E4299" s="39">
        <v>1080.1112060546875</v>
      </c>
      <c r="F4299" s="41">
        <v>1046130</v>
      </c>
      <c r="G4299" s="35" t="s">
        <v>688</v>
      </c>
      <c r="H4299" s="35" t="s">
        <v>115</v>
      </c>
    </row>
    <row r="4300" spans="1:8">
      <c r="A4300" s="37">
        <v>44575.15625</v>
      </c>
      <c r="B4300" s="35" t="s">
        <v>686</v>
      </c>
      <c r="C4300" s="35" t="s">
        <v>687</v>
      </c>
      <c r="D4300" s="39">
        <v>1137.7099609375</v>
      </c>
      <c r="E4300" s="39">
        <v>1072.925048828125</v>
      </c>
      <c r="F4300" s="41">
        <v>916430</v>
      </c>
      <c r="G4300" s="35" t="s">
        <v>688</v>
      </c>
      <c r="H4300" s="35" t="s">
        <v>115</v>
      </c>
    </row>
    <row r="4301" spans="1:8">
      <c r="A4301" s="37">
        <v>44578.15625</v>
      </c>
      <c r="B4301" s="35" t="s">
        <v>686</v>
      </c>
      <c r="C4301" s="35" t="s">
        <v>687</v>
      </c>
      <c r="D4301" s="39">
        <v>1125.5999755859375</v>
      </c>
      <c r="E4301" s="39">
        <v>1061.504638671875</v>
      </c>
      <c r="F4301" s="41">
        <v>853150</v>
      </c>
      <c r="G4301" s="35" t="s">
        <v>688</v>
      </c>
      <c r="H4301" s="35" t="s">
        <v>115</v>
      </c>
    </row>
    <row r="4302" spans="1:8">
      <c r="A4302" s="37">
        <v>44579.15625</v>
      </c>
      <c r="B4302" s="35" t="s">
        <v>686</v>
      </c>
      <c r="C4302" s="35" t="s">
        <v>687</v>
      </c>
      <c r="D4302" s="39">
        <v>1082.0400390625</v>
      </c>
      <c r="E4302" s="39">
        <v>1020.4251708984375</v>
      </c>
      <c r="F4302" s="41">
        <v>1393010</v>
      </c>
      <c r="G4302" s="35" t="s">
        <v>688</v>
      </c>
      <c r="H4302" s="35" t="s">
        <v>115</v>
      </c>
    </row>
    <row r="4303" spans="1:8">
      <c r="A4303" s="37">
        <v>44580.15625</v>
      </c>
      <c r="B4303" s="35" t="s">
        <v>686</v>
      </c>
      <c r="C4303" s="35" t="s">
        <v>687</v>
      </c>
      <c r="D4303" s="39">
        <v>1081.6500244140625</v>
      </c>
      <c r="E4303" s="39">
        <v>1020.0571899414063</v>
      </c>
      <c r="F4303" s="41">
        <v>1693990</v>
      </c>
      <c r="G4303" s="35" t="s">
        <v>688</v>
      </c>
      <c r="H4303" s="35" t="s">
        <v>115</v>
      </c>
    </row>
    <row r="4304" spans="1:8">
      <c r="A4304" s="37">
        <v>44581.15625</v>
      </c>
      <c r="B4304" s="35" t="s">
        <v>686</v>
      </c>
      <c r="C4304" s="35" t="s">
        <v>687</v>
      </c>
      <c r="D4304" s="39">
        <v>1062.1700439453125</v>
      </c>
      <c r="E4304" s="39">
        <v>1001.6865234375</v>
      </c>
      <c r="F4304" s="41">
        <v>1461985</v>
      </c>
      <c r="G4304" s="35" t="s">
        <v>688</v>
      </c>
      <c r="H4304" s="35" t="s">
        <v>115</v>
      </c>
    </row>
    <row r="4305" spans="1:8">
      <c r="A4305" s="37">
        <v>44582.15625</v>
      </c>
      <c r="B4305" s="35" t="s">
        <v>686</v>
      </c>
      <c r="C4305" s="35" t="s">
        <v>687</v>
      </c>
      <c r="D4305" s="39">
        <v>1040.0699462890625</v>
      </c>
      <c r="E4305" s="39">
        <v>980.84490966796875</v>
      </c>
      <c r="F4305" s="41">
        <v>1248565</v>
      </c>
      <c r="G4305" s="35" t="s">
        <v>688</v>
      </c>
      <c r="H4305" s="35" t="s">
        <v>115</v>
      </c>
    </row>
    <row r="4306" spans="1:8">
      <c r="A4306" s="37">
        <v>44585.15625</v>
      </c>
      <c r="B4306" s="35" t="s">
        <v>686</v>
      </c>
      <c r="C4306" s="35" t="s">
        <v>687</v>
      </c>
      <c r="D4306" s="39">
        <v>964.989990234375</v>
      </c>
      <c r="E4306" s="39">
        <v>910.0404052734375</v>
      </c>
      <c r="F4306" s="41">
        <v>1940435</v>
      </c>
      <c r="G4306" s="35" t="s">
        <v>688</v>
      </c>
      <c r="H4306" s="35" t="s">
        <v>115</v>
      </c>
    </row>
    <row r="4307" spans="1:8">
      <c r="A4307" s="37">
        <v>44586.15625</v>
      </c>
      <c r="B4307" s="35" t="s">
        <v>686</v>
      </c>
      <c r="C4307" s="35" t="s">
        <v>687</v>
      </c>
      <c r="D4307" s="39">
        <v>956.33001708984375</v>
      </c>
      <c r="E4307" s="39">
        <v>901.87353515625</v>
      </c>
      <c r="F4307" s="41">
        <v>1319185</v>
      </c>
      <c r="G4307" s="35" t="s">
        <v>688</v>
      </c>
      <c r="H4307" s="35" t="s">
        <v>115</v>
      </c>
    </row>
    <row r="4308" spans="1:8">
      <c r="A4308" s="37">
        <v>44588.15625</v>
      </c>
      <c r="B4308" s="35" t="s">
        <v>686</v>
      </c>
      <c r="C4308" s="35" t="s">
        <v>687</v>
      </c>
      <c r="D4308" s="39">
        <v>880.15997314453125</v>
      </c>
      <c r="E4308" s="39">
        <v>830.040771484375</v>
      </c>
      <c r="F4308" s="41">
        <v>2717755</v>
      </c>
      <c r="G4308" s="35" t="s">
        <v>688</v>
      </c>
      <c r="H4308" s="35" t="s">
        <v>115</v>
      </c>
    </row>
    <row r="4309" spans="1:8">
      <c r="A4309" s="37">
        <v>44589.15625</v>
      </c>
      <c r="B4309" s="35" t="s">
        <v>686</v>
      </c>
      <c r="C4309" s="35" t="s">
        <v>687</v>
      </c>
      <c r="D4309" s="39">
        <v>942.6500244140625</v>
      </c>
      <c r="E4309" s="39">
        <v>888.9725341796875</v>
      </c>
      <c r="F4309" s="41">
        <v>6720665</v>
      </c>
      <c r="G4309" s="35" t="s">
        <v>688</v>
      </c>
      <c r="H4309" s="35" t="s">
        <v>115</v>
      </c>
    </row>
    <row r="4310" spans="1:8">
      <c r="A4310" s="37">
        <v>44592.15625</v>
      </c>
      <c r="B4310" s="35" t="s">
        <v>686</v>
      </c>
      <c r="C4310" s="35" t="s">
        <v>687</v>
      </c>
      <c r="D4310" s="39">
        <v>962.70001220703125</v>
      </c>
      <c r="E4310" s="39">
        <v>907.88079833984375</v>
      </c>
      <c r="F4310" s="41">
        <v>2333095</v>
      </c>
      <c r="G4310" s="35" t="s">
        <v>688</v>
      </c>
      <c r="H4310" s="35" t="s">
        <v>115</v>
      </c>
    </row>
    <row r="4311" spans="1:8">
      <c r="A4311" s="37">
        <v>44593.15625</v>
      </c>
      <c r="B4311" s="35" t="s">
        <v>686</v>
      </c>
      <c r="C4311" s="35" t="s">
        <v>687</v>
      </c>
      <c r="D4311" s="39">
        <v>958.17999267578125</v>
      </c>
      <c r="E4311" s="39">
        <v>903.61798095703125</v>
      </c>
      <c r="F4311" s="41">
        <v>2125050</v>
      </c>
      <c r="G4311" s="35" t="s">
        <v>688</v>
      </c>
      <c r="H4311" s="35" t="s">
        <v>115</v>
      </c>
    </row>
    <row r="4312" spans="1:8">
      <c r="A4312" s="37">
        <v>44594.15625</v>
      </c>
      <c r="B4312" s="35" t="s">
        <v>686</v>
      </c>
      <c r="C4312" s="35" t="s">
        <v>687</v>
      </c>
      <c r="D4312" s="39">
        <v>964.55999755859375</v>
      </c>
      <c r="E4312" s="39">
        <v>909.63482666015625</v>
      </c>
      <c r="F4312" s="41">
        <v>2065345</v>
      </c>
      <c r="G4312" s="35" t="s">
        <v>688</v>
      </c>
      <c r="H4312" s="35" t="s">
        <v>115</v>
      </c>
    </row>
    <row r="4313" spans="1:8">
      <c r="A4313" s="37">
        <v>44595.15625</v>
      </c>
      <c r="B4313" s="35" t="s">
        <v>686</v>
      </c>
      <c r="C4313" s="35" t="s">
        <v>687</v>
      </c>
      <c r="D4313" s="39">
        <v>935.70001220703125</v>
      </c>
      <c r="E4313" s="39">
        <v>882.418212890625</v>
      </c>
      <c r="F4313" s="41">
        <v>1737845</v>
      </c>
      <c r="G4313" s="35" t="s">
        <v>688</v>
      </c>
      <c r="H4313" s="35" t="s">
        <v>115</v>
      </c>
    </row>
    <row r="4314" spans="1:8">
      <c r="A4314" s="37">
        <v>44596.15625</v>
      </c>
      <c r="B4314" s="35" t="s">
        <v>686</v>
      </c>
      <c r="C4314" s="35" t="s">
        <v>687</v>
      </c>
      <c r="D4314" s="39">
        <v>939.02001953125</v>
      </c>
      <c r="E4314" s="39">
        <v>885.54913330078125</v>
      </c>
      <c r="F4314" s="41">
        <v>2057605</v>
      </c>
      <c r="G4314" s="35" t="s">
        <v>688</v>
      </c>
      <c r="H4314" s="35" t="s">
        <v>115</v>
      </c>
    </row>
    <row r="4315" spans="1:8">
      <c r="A4315" s="37">
        <v>44599.15625</v>
      </c>
      <c r="B4315" s="35" t="s">
        <v>686</v>
      </c>
      <c r="C4315" s="35" t="s">
        <v>687</v>
      </c>
      <c r="D4315" s="39">
        <v>931.77001953125</v>
      </c>
      <c r="E4315" s="39">
        <v>881.15167236328125</v>
      </c>
      <c r="F4315" s="41">
        <v>1635785</v>
      </c>
      <c r="G4315" s="35" t="s">
        <v>688</v>
      </c>
      <c r="H4315" s="35" t="s">
        <v>115</v>
      </c>
    </row>
    <row r="4316" spans="1:8">
      <c r="A4316" s="37">
        <v>44600.15625</v>
      </c>
      <c r="B4316" s="35" t="s">
        <v>686</v>
      </c>
      <c r="C4316" s="35" t="s">
        <v>687</v>
      </c>
      <c r="D4316" s="39">
        <v>916.280029296875</v>
      </c>
      <c r="E4316" s="39">
        <v>866.50323486328125</v>
      </c>
      <c r="F4316" s="41">
        <v>1383345</v>
      </c>
      <c r="G4316" s="35" t="s">
        <v>688</v>
      </c>
      <c r="H4316" s="35" t="s">
        <v>115</v>
      </c>
    </row>
    <row r="4317" spans="1:8">
      <c r="A4317" s="37">
        <v>44601.15625</v>
      </c>
      <c r="B4317" s="35" t="s">
        <v>686</v>
      </c>
      <c r="C4317" s="35" t="s">
        <v>687</v>
      </c>
      <c r="D4317" s="39">
        <v>952.760009765625</v>
      </c>
      <c r="E4317" s="39">
        <v>901.00146484375</v>
      </c>
      <c r="F4317" s="41">
        <v>1611105</v>
      </c>
      <c r="G4317" s="35" t="s">
        <v>688</v>
      </c>
      <c r="H4317" s="35" t="s">
        <v>115</v>
      </c>
    </row>
    <row r="4318" spans="1:8">
      <c r="A4318" s="37">
        <v>44602.15625</v>
      </c>
      <c r="B4318" s="35" t="s">
        <v>686</v>
      </c>
      <c r="C4318" s="35" t="s">
        <v>687</v>
      </c>
      <c r="D4318" s="39">
        <v>945.90997314453125</v>
      </c>
      <c r="E4318" s="39">
        <v>894.5235595703125</v>
      </c>
      <c r="F4318" s="41">
        <v>941430</v>
      </c>
      <c r="G4318" s="35" t="s">
        <v>688</v>
      </c>
      <c r="H4318" s="35" t="s">
        <v>115</v>
      </c>
    </row>
    <row r="4319" spans="1:8">
      <c r="A4319" s="37">
        <v>44603.15625</v>
      </c>
      <c r="B4319" s="35" t="s">
        <v>686</v>
      </c>
      <c r="C4319" s="35" t="s">
        <v>687</v>
      </c>
      <c r="D4319" s="39">
        <v>908.32000732421875</v>
      </c>
      <c r="E4319" s="39">
        <v>858.9757080078125</v>
      </c>
      <c r="F4319" s="41">
        <v>1775005</v>
      </c>
      <c r="G4319" s="35" t="s">
        <v>688</v>
      </c>
      <c r="H4319" s="35" t="s">
        <v>115</v>
      </c>
    </row>
    <row r="4320" spans="1:8">
      <c r="A4320" s="37">
        <v>44606.15625</v>
      </c>
      <c r="B4320" s="35" t="s">
        <v>686</v>
      </c>
      <c r="C4320" s="35" t="s">
        <v>687</v>
      </c>
      <c r="D4320" s="39">
        <v>871.04998779296875</v>
      </c>
      <c r="E4320" s="39">
        <v>823.73040771484375</v>
      </c>
      <c r="F4320" s="41">
        <v>1288900</v>
      </c>
      <c r="G4320" s="35" t="s">
        <v>688</v>
      </c>
      <c r="H4320" s="35" t="s">
        <v>115</v>
      </c>
    </row>
    <row r="4321" spans="1:8">
      <c r="A4321" s="37">
        <v>44607.15625</v>
      </c>
      <c r="B4321" s="35" t="s">
        <v>686</v>
      </c>
      <c r="C4321" s="35" t="s">
        <v>687</v>
      </c>
      <c r="D4321" s="39">
        <v>900.8800048828125</v>
      </c>
      <c r="E4321" s="39">
        <v>851.93975830078125</v>
      </c>
      <c r="F4321" s="41">
        <v>1755420</v>
      </c>
      <c r="G4321" s="35" t="s">
        <v>688</v>
      </c>
      <c r="H4321" s="35" t="s">
        <v>115</v>
      </c>
    </row>
    <row r="4322" spans="1:8">
      <c r="A4322" s="37">
        <v>44608.15625</v>
      </c>
      <c r="B4322" s="35" t="s">
        <v>686</v>
      </c>
      <c r="C4322" s="35" t="s">
        <v>687</v>
      </c>
      <c r="D4322" s="39">
        <v>892.3800048828125</v>
      </c>
      <c r="E4322" s="39">
        <v>843.90155029296875</v>
      </c>
      <c r="F4322" s="41">
        <v>1318130</v>
      </c>
      <c r="G4322" s="35" t="s">
        <v>688</v>
      </c>
      <c r="H4322" s="35" t="s">
        <v>115</v>
      </c>
    </row>
    <row r="4323" spans="1:8">
      <c r="A4323" s="37">
        <v>44609.15625</v>
      </c>
      <c r="B4323" s="35" t="s">
        <v>686</v>
      </c>
      <c r="C4323" s="35" t="s">
        <v>687</v>
      </c>
      <c r="D4323" s="39">
        <v>877.719970703125</v>
      </c>
      <c r="E4323" s="39">
        <v>830.037841796875</v>
      </c>
      <c r="F4323" s="41">
        <v>1118710</v>
      </c>
      <c r="G4323" s="35" t="s">
        <v>688</v>
      </c>
      <c r="H4323" s="35" t="s">
        <v>115</v>
      </c>
    </row>
    <row r="4324" spans="1:8">
      <c r="A4324" s="37">
        <v>44610.15625</v>
      </c>
      <c r="B4324" s="35" t="s">
        <v>686</v>
      </c>
      <c r="C4324" s="35" t="s">
        <v>687</v>
      </c>
      <c r="D4324" s="39">
        <v>864.09002685546875</v>
      </c>
      <c r="E4324" s="39">
        <v>817.14825439453125</v>
      </c>
      <c r="F4324" s="41">
        <v>1086800</v>
      </c>
      <c r="G4324" s="35" t="s">
        <v>688</v>
      </c>
      <c r="H4324" s="35" t="s">
        <v>115</v>
      </c>
    </row>
    <row r="4325" spans="1:8">
      <c r="A4325" s="37">
        <v>44613.15625</v>
      </c>
      <c r="B4325" s="35" t="s">
        <v>686</v>
      </c>
      <c r="C4325" s="35" t="s">
        <v>687</v>
      </c>
      <c r="D4325" s="39">
        <v>882.58001708984375</v>
      </c>
      <c r="E4325" s="39">
        <v>834.6339111328125</v>
      </c>
      <c r="F4325" s="41">
        <v>2397775</v>
      </c>
      <c r="G4325" s="35" t="s">
        <v>688</v>
      </c>
      <c r="H4325" s="35" t="s">
        <v>115</v>
      </c>
    </row>
    <row r="4326" spans="1:8">
      <c r="A4326" s="37">
        <v>44614.15625</v>
      </c>
      <c r="B4326" s="35" t="s">
        <v>686</v>
      </c>
      <c r="C4326" s="35" t="s">
        <v>687</v>
      </c>
      <c r="D4326" s="39">
        <v>883.6199951171875</v>
      </c>
      <c r="E4326" s="39">
        <v>835.61749267578125</v>
      </c>
      <c r="F4326" s="41">
        <v>1416055</v>
      </c>
      <c r="G4326" s="35" t="s">
        <v>688</v>
      </c>
      <c r="H4326" s="35" t="s">
        <v>115</v>
      </c>
    </row>
    <row r="4327" spans="1:8">
      <c r="A4327" s="37">
        <v>44615.15625</v>
      </c>
      <c r="B4327" s="35" t="s">
        <v>686</v>
      </c>
      <c r="C4327" s="35" t="s">
        <v>687</v>
      </c>
      <c r="D4327" s="39">
        <v>887.33001708984375</v>
      </c>
      <c r="E4327" s="39">
        <v>839.1259765625</v>
      </c>
      <c r="F4327" s="41">
        <v>733475</v>
      </c>
      <c r="G4327" s="35" t="s">
        <v>688</v>
      </c>
      <c r="H4327" s="35" t="s">
        <v>115</v>
      </c>
    </row>
    <row r="4328" spans="1:8">
      <c r="A4328" s="37">
        <v>44616.15625</v>
      </c>
      <c r="B4328" s="35" t="s">
        <v>686</v>
      </c>
      <c r="C4328" s="35" t="s">
        <v>687</v>
      </c>
      <c r="D4328" s="39">
        <v>845.21002197265625</v>
      </c>
      <c r="E4328" s="39">
        <v>799.2940673828125</v>
      </c>
      <c r="F4328" s="41">
        <v>1792400</v>
      </c>
      <c r="G4328" s="35" t="s">
        <v>688</v>
      </c>
      <c r="H4328" s="35" t="s">
        <v>115</v>
      </c>
    </row>
    <row r="4329" spans="1:8">
      <c r="A4329" s="37">
        <v>44617.15625</v>
      </c>
      <c r="B4329" s="35" t="s">
        <v>686</v>
      </c>
      <c r="C4329" s="35" t="s">
        <v>687</v>
      </c>
      <c r="D4329" s="39">
        <v>900.3800048828125</v>
      </c>
      <c r="E4329" s="39">
        <v>851.467041015625</v>
      </c>
      <c r="F4329" s="41">
        <v>1664145</v>
      </c>
      <c r="G4329" s="35" t="s">
        <v>688</v>
      </c>
      <c r="H4329" s="35" t="s">
        <v>115</v>
      </c>
    </row>
    <row r="4330" spans="1:8">
      <c r="A4330" s="37">
        <v>44620.15625</v>
      </c>
      <c r="B4330" s="35" t="s">
        <v>686</v>
      </c>
      <c r="C4330" s="35" t="s">
        <v>687</v>
      </c>
      <c r="D4330" s="39">
        <v>907.0999755859375</v>
      </c>
      <c r="E4330" s="39">
        <v>857.822021484375</v>
      </c>
      <c r="F4330" s="41">
        <v>1471030</v>
      </c>
      <c r="G4330" s="35" t="s">
        <v>688</v>
      </c>
      <c r="H4330" s="35" t="s">
        <v>115</v>
      </c>
    </row>
    <row r="4331" spans="1:8">
      <c r="A4331" s="37">
        <v>44622.15625</v>
      </c>
      <c r="B4331" s="35" t="s">
        <v>686</v>
      </c>
      <c r="C4331" s="35" t="s">
        <v>687</v>
      </c>
      <c r="D4331" s="39">
        <v>898.489990234375</v>
      </c>
      <c r="E4331" s="39">
        <v>849.67962646484375</v>
      </c>
      <c r="F4331" s="41">
        <v>1149115</v>
      </c>
      <c r="G4331" s="35" t="s">
        <v>688</v>
      </c>
      <c r="H4331" s="35" t="s">
        <v>115</v>
      </c>
    </row>
    <row r="4332" spans="1:8">
      <c r="A4332" s="37">
        <v>44623.15625</v>
      </c>
      <c r="B4332" s="35" t="s">
        <v>686</v>
      </c>
      <c r="C4332" s="35" t="s">
        <v>687</v>
      </c>
      <c r="D4332" s="39">
        <v>935.67999267578125</v>
      </c>
      <c r="E4332" s="39">
        <v>884.849365234375</v>
      </c>
      <c r="F4332" s="41">
        <v>3152420</v>
      </c>
      <c r="G4332" s="35" t="s">
        <v>688</v>
      </c>
      <c r="H4332" s="35" t="s">
        <v>115</v>
      </c>
    </row>
    <row r="4333" spans="1:8">
      <c r="A4333" s="37">
        <v>44624.15625</v>
      </c>
      <c r="B4333" s="35" t="s">
        <v>686</v>
      </c>
      <c r="C4333" s="35" t="s">
        <v>687</v>
      </c>
      <c r="D4333" s="39">
        <v>932.489990234375</v>
      </c>
      <c r="E4333" s="39">
        <v>881.83258056640625</v>
      </c>
      <c r="F4333" s="41">
        <v>1631635</v>
      </c>
      <c r="G4333" s="35" t="s">
        <v>688</v>
      </c>
      <c r="H4333" s="35" t="s">
        <v>115</v>
      </c>
    </row>
    <row r="4334" spans="1:8">
      <c r="A4334" s="37">
        <v>44627.15625</v>
      </c>
      <c r="B4334" s="35" t="s">
        <v>686</v>
      </c>
      <c r="C4334" s="35" t="s">
        <v>687</v>
      </c>
      <c r="D4334" s="39">
        <v>944.47998046875</v>
      </c>
      <c r="E4334" s="39">
        <v>893.171142578125</v>
      </c>
      <c r="F4334" s="41">
        <v>2467275</v>
      </c>
      <c r="G4334" s="35" t="s">
        <v>688</v>
      </c>
      <c r="H4334" s="35" t="s">
        <v>115</v>
      </c>
    </row>
    <row r="4335" spans="1:8">
      <c r="A4335" s="37">
        <v>44628.15625</v>
      </c>
      <c r="B4335" s="35" t="s">
        <v>686</v>
      </c>
      <c r="C4335" s="35" t="s">
        <v>687</v>
      </c>
      <c r="D4335" s="39">
        <v>962.57000732421875</v>
      </c>
      <c r="E4335" s="39">
        <v>910.2784423828125</v>
      </c>
      <c r="F4335" s="41">
        <v>2302850</v>
      </c>
      <c r="G4335" s="35" t="s">
        <v>688</v>
      </c>
      <c r="H4335" s="35" t="s">
        <v>115</v>
      </c>
    </row>
    <row r="4336" spans="1:8">
      <c r="A4336" s="37">
        <v>44629.15625</v>
      </c>
      <c r="B4336" s="35" t="s">
        <v>686</v>
      </c>
      <c r="C4336" s="35" t="s">
        <v>687</v>
      </c>
      <c r="D4336" s="39">
        <v>911.219970703125</v>
      </c>
      <c r="E4336" s="39">
        <v>861.71807861328125</v>
      </c>
      <c r="F4336" s="41">
        <v>4306000</v>
      </c>
      <c r="G4336" s="35" t="s">
        <v>688</v>
      </c>
      <c r="H4336" s="35" t="s">
        <v>115</v>
      </c>
    </row>
    <row r="4337" spans="1:8">
      <c r="A4337" s="37">
        <v>44630.15625</v>
      </c>
      <c r="B4337" s="35" t="s">
        <v>686</v>
      </c>
      <c r="C4337" s="35" t="s">
        <v>687</v>
      </c>
      <c r="D4337" s="39">
        <v>852</v>
      </c>
      <c r="E4337" s="39">
        <v>805.71514892578125</v>
      </c>
      <c r="F4337" s="41">
        <v>18311435</v>
      </c>
      <c r="G4337" s="35" t="s">
        <v>688</v>
      </c>
      <c r="H4337" s="35" t="s">
        <v>115</v>
      </c>
    </row>
    <row r="4338" spans="1:8">
      <c r="A4338" s="37">
        <v>44631.15625</v>
      </c>
      <c r="B4338" s="35" t="s">
        <v>686</v>
      </c>
      <c r="C4338" s="35" t="s">
        <v>687</v>
      </c>
      <c r="D4338" s="39">
        <v>859.65997314453125</v>
      </c>
      <c r="E4338" s="39">
        <v>812.95916748046875</v>
      </c>
      <c r="F4338" s="41">
        <v>3857190</v>
      </c>
      <c r="G4338" s="35" t="s">
        <v>688</v>
      </c>
      <c r="H4338" s="35" t="s">
        <v>115</v>
      </c>
    </row>
    <row r="4339" spans="1:8">
      <c r="A4339" s="37">
        <v>44634.15625</v>
      </c>
      <c r="B4339" s="35" t="s">
        <v>686</v>
      </c>
      <c r="C4339" s="35" t="s">
        <v>687</v>
      </c>
      <c r="D4339" s="39">
        <v>875.03997802734375</v>
      </c>
      <c r="E4339" s="39">
        <v>827.50347900390625</v>
      </c>
      <c r="F4339" s="41">
        <v>3609870</v>
      </c>
      <c r="G4339" s="35" t="s">
        <v>688</v>
      </c>
      <c r="H4339" s="35" t="s">
        <v>115</v>
      </c>
    </row>
    <row r="4340" spans="1:8">
      <c r="A4340" s="37">
        <v>44635.15625</v>
      </c>
      <c r="B4340" s="35" t="s">
        <v>686</v>
      </c>
      <c r="C4340" s="35" t="s">
        <v>687</v>
      </c>
      <c r="D4340" s="39">
        <v>830.32000732421875</v>
      </c>
      <c r="E4340" s="39">
        <v>785.21295166015625</v>
      </c>
      <c r="F4340" s="41">
        <v>4969165</v>
      </c>
      <c r="G4340" s="35" t="s">
        <v>688</v>
      </c>
      <c r="H4340" s="35" t="s">
        <v>115</v>
      </c>
    </row>
    <row r="4341" spans="1:8">
      <c r="A4341" s="37">
        <v>44636.15625</v>
      </c>
      <c r="B4341" s="35" t="s">
        <v>686</v>
      </c>
      <c r="C4341" s="35" t="s">
        <v>687</v>
      </c>
      <c r="D4341" s="39">
        <v>870.09002685546875</v>
      </c>
      <c r="E4341" s="39">
        <v>822.82257080078125</v>
      </c>
      <c r="F4341" s="41">
        <v>4301735</v>
      </c>
      <c r="G4341" s="35" t="s">
        <v>688</v>
      </c>
      <c r="H4341" s="35" t="s">
        <v>115</v>
      </c>
    </row>
    <row r="4342" spans="1:8">
      <c r="A4342" s="37">
        <v>44637.15625</v>
      </c>
      <c r="B4342" s="35" t="s">
        <v>686</v>
      </c>
      <c r="C4342" s="35" t="s">
        <v>687</v>
      </c>
      <c r="D4342" s="39">
        <v>882.21002197265625</v>
      </c>
      <c r="E4342" s="39">
        <v>834.28399658203125</v>
      </c>
      <c r="F4342" s="41">
        <v>4807090</v>
      </c>
      <c r="G4342" s="35" t="s">
        <v>688</v>
      </c>
      <c r="H4342" s="35" t="s">
        <v>115</v>
      </c>
    </row>
    <row r="4343" spans="1:8">
      <c r="A4343" s="37">
        <v>44641.15625</v>
      </c>
      <c r="B4343" s="35" t="s">
        <v>686</v>
      </c>
      <c r="C4343" s="35" t="s">
        <v>687</v>
      </c>
      <c r="D4343" s="39">
        <v>886.780029296875</v>
      </c>
      <c r="E4343" s="39">
        <v>838.60577392578125</v>
      </c>
      <c r="F4343" s="41">
        <v>1428255</v>
      </c>
      <c r="G4343" s="35" t="s">
        <v>688</v>
      </c>
      <c r="H4343" s="35" t="s">
        <v>115</v>
      </c>
    </row>
    <row r="4344" spans="1:8">
      <c r="A4344" s="37">
        <v>44642.15625</v>
      </c>
      <c r="B4344" s="35" t="s">
        <v>686</v>
      </c>
      <c r="C4344" s="35" t="s">
        <v>687</v>
      </c>
      <c r="D4344" s="39">
        <v>891.53997802734375</v>
      </c>
      <c r="E4344" s="39">
        <v>843.1072998046875</v>
      </c>
      <c r="F4344" s="41">
        <v>1089810</v>
      </c>
      <c r="G4344" s="35" t="s">
        <v>688</v>
      </c>
      <c r="H4344" s="35" t="s">
        <v>115</v>
      </c>
    </row>
    <row r="4345" spans="1:8">
      <c r="A4345" s="37">
        <v>44643.15625</v>
      </c>
      <c r="B4345" s="35" t="s">
        <v>686</v>
      </c>
      <c r="C4345" s="35" t="s">
        <v>687</v>
      </c>
      <c r="D4345" s="39">
        <v>887.09002685546875</v>
      </c>
      <c r="E4345" s="39">
        <v>838.89898681640625</v>
      </c>
      <c r="F4345" s="41">
        <v>827815</v>
      </c>
      <c r="G4345" s="35" t="s">
        <v>688</v>
      </c>
      <c r="H4345" s="35" t="s">
        <v>115</v>
      </c>
    </row>
    <row r="4346" spans="1:8">
      <c r="A4346" s="37">
        <v>44644.15625</v>
      </c>
      <c r="B4346" s="35" t="s">
        <v>686</v>
      </c>
      <c r="C4346" s="35" t="s">
        <v>687</v>
      </c>
      <c r="D4346" s="39">
        <v>895.78997802734375</v>
      </c>
      <c r="E4346" s="39">
        <v>847.1263427734375</v>
      </c>
      <c r="F4346" s="41">
        <v>1579895</v>
      </c>
      <c r="G4346" s="35" t="s">
        <v>688</v>
      </c>
      <c r="H4346" s="35" t="s">
        <v>115</v>
      </c>
    </row>
    <row r="4347" spans="1:8">
      <c r="A4347" s="37">
        <v>44645.15625</v>
      </c>
      <c r="B4347" s="35" t="s">
        <v>686</v>
      </c>
      <c r="C4347" s="35" t="s">
        <v>687</v>
      </c>
      <c r="D4347" s="39">
        <v>884.6099853515625</v>
      </c>
      <c r="E4347" s="39">
        <v>836.5537109375</v>
      </c>
      <c r="F4347" s="41">
        <v>1536150</v>
      </c>
      <c r="G4347" s="35" t="s">
        <v>688</v>
      </c>
      <c r="H4347" s="35" t="s">
        <v>115</v>
      </c>
    </row>
    <row r="4348" spans="1:8">
      <c r="A4348" s="37">
        <v>44648.15625</v>
      </c>
      <c r="B4348" s="35" t="s">
        <v>686</v>
      </c>
      <c r="C4348" s="35" t="s">
        <v>687</v>
      </c>
      <c r="D4348" s="39">
        <v>867.530029296875</v>
      </c>
      <c r="E4348" s="39">
        <v>820.40167236328125</v>
      </c>
      <c r="F4348" s="41">
        <v>1154430</v>
      </c>
      <c r="G4348" s="35" t="s">
        <v>688</v>
      </c>
      <c r="H4348" s="35" t="s">
        <v>115</v>
      </c>
    </row>
    <row r="4349" spans="1:8">
      <c r="A4349" s="37">
        <v>44649.15625</v>
      </c>
      <c r="B4349" s="35" t="s">
        <v>686</v>
      </c>
      <c r="C4349" s="35" t="s">
        <v>687</v>
      </c>
      <c r="D4349" s="39">
        <v>881.59002685546875</v>
      </c>
      <c r="E4349" s="39">
        <v>833.69769287109375</v>
      </c>
      <c r="F4349" s="41">
        <v>990615</v>
      </c>
      <c r="G4349" s="35" t="s">
        <v>688</v>
      </c>
      <c r="H4349" s="35" t="s">
        <v>115</v>
      </c>
    </row>
    <row r="4350" spans="1:8">
      <c r="A4350" s="37">
        <v>44650.15625</v>
      </c>
      <c r="B4350" s="35" t="s">
        <v>686</v>
      </c>
      <c r="C4350" s="35" t="s">
        <v>687</v>
      </c>
      <c r="D4350" s="39">
        <v>904.3900146484375</v>
      </c>
      <c r="E4350" s="39">
        <v>855.25921630859375</v>
      </c>
      <c r="F4350" s="41">
        <v>1637480</v>
      </c>
      <c r="G4350" s="35" t="s">
        <v>688</v>
      </c>
      <c r="H4350" s="35" t="s">
        <v>115</v>
      </c>
    </row>
    <row r="4351" spans="1:8">
      <c r="A4351" s="37">
        <v>44651.15625</v>
      </c>
      <c r="B4351" s="35" t="s">
        <v>686</v>
      </c>
      <c r="C4351" s="35" t="s">
        <v>687</v>
      </c>
      <c r="D4351" s="39">
        <v>891.5</v>
      </c>
      <c r="E4351" s="39">
        <v>843.069580078125</v>
      </c>
      <c r="F4351" s="41">
        <v>1230430</v>
      </c>
      <c r="G4351" s="35" t="s">
        <v>688</v>
      </c>
      <c r="H4351" s="35" t="s">
        <v>115</v>
      </c>
    </row>
    <row r="4352" spans="1:8">
      <c r="A4352" s="37">
        <v>44652.15625</v>
      </c>
      <c r="B4352" s="35" t="s">
        <v>686</v>
      </c>
      <c r="C4352" s="35" t="s">
        <v>687</v>
      </c>
      <c r="D4352" s="39">
        <v>882.969970703125</v>
      </c>
      <c r="E4352" s="39">
        <v>835.002685546875</v>
      </c>
      <c r="F4352" s="41">
        <v>1650485</v>
      </c>
      <c r="G4352" s="35" t="s">
        <v>689</v>
      </c>
      <c r="H4352" s="35" t="s">
        <v>115</v>
      </c>
    </row>
    <row r="4353" spans="1:8">
      <c r="A4353" s="37">
        <v>44655.15625</v>
      </c>
      <c r="B4353" s="35" t="s">
        <v>686</v>
      </c>
      <c r="C4353" s="35" t="s">
        <v>687</v>
      </c>
      <c r="D4353" s="39">
        <v>902.32000732421875</v>
      </c>
      <c r="E4353" s="39">
        <v>853.30169677734375</v>
      </c>
      <c r="F4353" s="41">
        <v>1596040</v>
      </c>
      <c r="G4353" s="35" t="s">
        <v>689</v>
      </c>
      <c r="H4353" s="35" t="s">
        <v>115</v>
      </c>
    </row>
    <row r="4354" spans="1:8">
      <c r="A4354" s="37">
        <v>44656.15625</v>
      </c>
      <c r="B4354" s="35" t="s">
        <v>686</v>
      </c>
      <c r="C4354" s="35" t="s">
        <v>687</v>
      </c>
      <c r="D4354" s="39">
        <v>911.52001953125</v>
      </c>
      <c r="E4354" s="39">
        <v>862.00189208984375</v>
      </c>
      <c r="F4354" s="41">
        <v>1795365</v>
      </c>
      <c r="G4354" s="35" t="s">
        <v>689</v>
      </c>
      <c r="H4354" s="35" t="s">
        <v>115</v>
      </c>
    </row>
    <row r="4355" spans="1:8">
      <c r="A4355" s="37">
        <v>44657.15625</v>
      </c>
      <c r="B4355" s="35" t="s">
        <v>686</v>
      </c>
      <c r="C4355" s="35" t="s">
        <v>687</v>
      </c>
      <c r="D4355" s="39">
        <v>892.8499755859375</v>
      </c>
      <c r="E4355" s="39">
        <v>844.3460693359375</v>
      </c>
      <c r="F4355" s="41">
        <v>1222695</v>
      </c>
      <c r="G4355" s="35" t="s">
        <v>689</v>
      </c>
      <c r="H4355" s="35" t="s">
        <v>115</v>
      </c>
    </row>
    <row r="4356" spans="1:8">
      <c r="A4356" s="37">
        <v>44658.15625</v>
      </c>
      <c r="B4356" s="35" t="s">
        <v>686</v>
      </c>
      <c r="C4356" s="35" t="s">
        <v>687</v>
      </c>
      <c r="D4356" s="39">
        <v>877.83001708984375</v>
      </c>
      <c r="E4356" s="39">
        <v>830.14202880859375</v>
      </c>
      <c r="F4356" s="41">
        <v>1790400</v>
      </c>
      <c r="G4356" s="35" t="s">
        <v>689</v>
      </c>
      <c r="H4356" s="35" t="s">
        <v>115</v>
      </c>
    </row>
    <row r="4357" spans="1:8">
      <c r="A4357" s="37">
        <v>44659.15625</v>
      </c>
      <c r="B4357" s="35" t="s">
        <v>686</v>
      </c>
      <c r="C4357" s="35" t="s">
        <v>687</v>
      </c>
      <c r="D4357" s="39">
        <v>874.6300048828125</v>
      </c>
      <c r="E4357" s="39">
        <v>827.11590576171875</v>
      </c>
      <c r="F4357" s="41">
        <v>931325</v>
      </c>
      <c r="G4357" s="35" t="s">
        <v>689</v>
      </c>
      <c r="H4357" s="35" t="s">
        <v>115</v>
      </c>
    </row>
    <row r="4358" spans="1:8">
      <c r="A4358" s="37">
        <v>44662.15625</v>
      </c>
      <c r="B4358" s="35" t="s">
        <v>686</v>
      </c>
      <c r="C4358" s="35" t="s">
        <v>687</v>
      </c>
      <c r="D4358" s="39">
        <v>862.46002197265625</v>
      </c>
      <c r="E4358" s="39">
        <v>815.60699462890625</v>
      </c>
      <c r="F4358" s="41">
        <v>1277825</v>
      </c>
      <c r="G4358" s="35" t="s">
        <v>689</v>
      </c>
      <c r="H4358" s="35" t="s">
        <v>115</v>
      </c>
    </row>
    <row r="4359" spans="1:8">
      <c r="A4359" s="37">
        <v>44663.15625</v>
      </c>
      <c r="B4359" s="35" t="s">
        <v>686</v>
      </c>
      <c r="C4359" s="35" t="s">
        <v>687</v>
      </c>
      <c r="D4359" s="39">
        <v>829.41998291015625</v>
      </c>
      <c r="E4359" s="39">
        <v>784.36181640625</v>
      </c>
      <c r="F4359" s="41">
        <v>2028475</v>
      </c>
      <c r="G4359" s="35" t="s">
        <v>689</v>
      </c>
      <c r="H4359" s="35" t="s">
        <v>115</v>
      </c>
    </row>
    <row r="4360" spans="1:8">
      <c r="A4360" s="37">
        <v>44664.15625</v>
      </c>
      <c r="B4360" s="35" t="s">
        <v>686</v>
      </c>
      <c r="C4360" s="35" t="s">
        <v>687</v>
      </c>
      <c r="D4360" s="39">
        <v>832.15997314453125</v>
      </c>
      <c r="E4360" s="39">
        <v>786.95306396484375</v>
      </c>
      <c r="F4360" s="41">
        <v>1152325</v>
      </c>
      <c r="G4360" s="35" t="s">
        <v>689</v>
      </c>
      <c r="H4360" s="35" t="s">
        <v>115</v>
      </c>
    </row>
    <row r="4361" spans="1:8">
      <c r="A4361" s="37">
        <v>44669.15625</v>
      </c>
      <c r="B4361" s="35" t="s">
        <v>686</v>
      </c>
      <c r="C4361" s="35" t="s">
        <v>687</v>
      </c>
      <c r="D4361" s="39">
        <v>814.3499755859375</v>
      </c>
      <c r="E4361" s="39">
        <v>770.11041259765625</v>
      </c>
      <c r="F4361" s="41">
        <v>2060760</v>
      </c>
      <c r="G4361" s="35" t="s">
        <v>689</v>
      </c>
      <c r="H4361" s="35" t="s">
        <v>115</v>
      </c>
    </row>
    <row r="4362" spans="1:8">
      <c r="A4362" s="37">
        <v>44670.15625</v>
      </c>
      <c r="B4362" s="35" t="s">
        <v>686</v>
      </c>
      <c r="C4362" s="35" t="s">
        <v>687</v>
      </c>
      <c r="D4362" s="39">
        <v>805.46002197265625</v>
      </c>
      <c r="E4362" s="39">
        <v>761.70355224609375</v>
      </c>
      <c r="F4362" s="41">
        <v>1646955</v>
      </c>
      <c r="G4362" s="35" t="s">
        <v>689</v>
      </c>
      <c r="H4362" s="35" t="s">
        <v>115</v>
      </c>
    </row>
    <row r="4363" spans="1:8">
      <c r="A4363" s="37">
        <v>44671.15625</v>
      </c>
      <c r="B4363" s="35" t="s">
        <v>686</v>
      </c>
      <c r="C4363" s="35" t="s">
        <v>687</v>
      </c>
      <c r="D4363" s="39">
        <v>796.34002685546875</v>
      </c>
      <c r="E4363" s="39">
        <v>753.07891845703125</v>
      </c>
      <c r="F4363" s="41">
        <v>1795945</v>
      </c>
      <c r="G4363" s="35" t="s">
        <v>689</v>
      </c>
      <c r="H4363" s="35" t="s">
        <v>115</v>
      </c>
    </row>
    <row r="4364" spans="1:8">
      <c r="A4364" s="37">
        <v>44672.15625</v>
      </c>
      <c r="B4364" s="35" t="s">
        <v>686</v>
      </c>
      <c r="C4364" s="35" t="s">
        <v>687</v>
      </c>
      <c r="D4364" s="39">
        <v>818.6099853515625</v>
      </c>
      <c r="E4364" s="39">
        <v>774.13922119140625</v>
      </c>
      <c r="F4364" s="41">
        <v>1459790</v>
      </c>
      <c r="G4364" s="35" t="s">
        <v>689</v>
      </c>
      <c r="H4364" s="35" t="s">
        <v>115</v>
      </c>
    </row>
    <row r="4365" spans="1:8">
      <c r="A4365" s="37">
        <v>44673.15625</v>
      </c>
      <c r="B4365" s="35" t="s">
        <v>686</v>
      </c>
      <c r="C4365" s="35" t="s">
        <v>687</v>
      </c>
      <c r="D4365" s="39">
        <v>825.8499755859375</v>
      </c>
      <c r="E4365" s="39">
        <v>780.98583984375</v>
      </c>
      <c r="F4365" s="41">
        <v>1394285</v>
      </c>
      <c r="G4365" s="35" t="s">
        <v>689</v>
      </c>
      <c r="H4365" s="35" t="s">
        <v>115</v>
      </c>
    </row>
    <row r="4366" spans="1:8">
      <c r="A4366" s="37">
        <v>44676.15625</v>
      </c>
      <c r="B4366" s="35" t="s">
        <v>686</v>
      </c>
      <c r="C4366" s="35" t="s">
        <v>687</v>
      </c>
      <c r="D4366" s="39">
        <v>800.28997802734375</v>
      </c>
      <c r="E4366" s="39">
        <v>756.814453125</v>
      </c>
      <c r="F4366" s="41">
        <v>1078155</v>
      </c>
      <c r="G4366" s="35" t="s">
        <v>689</v>
      </c>
      <c r="H4366" s="35" t="s">
        <v>115</v>
      </c>
    </row>
    <row r="4367" spans="1:8">
      <c r="A4367" s="37">
        <v>44677.15625</v>
      </c>
      <c r="B4367" s="35" t="s">
        <v>686</v>
      </c>
      <c r="C4367" s="35" t="s">
        <v>687</v>
      </c>
      <c r="D4367" s="39">
        <v>808.57000732421875</v>
      </c>
      <c r="E4367" s="39">
        <v>764.64453125</v>
      </c>
      <c r="F4367" s="41">
        <v>554235</v>
      </c>
      <c r="G4367" s="35" t="s">
        <v>689</v>
      </c>
      <c r="H4367" s="35" t="s">
        <v>115</v>
      </c>
    </row>
    <row r="4368" spans="1:8">
      <c r="A4368" s="37">
        <v>44678.15625</v>
      </c>
      <c r="B4368" s="35" t="s">
        <v>686</v>
      </c>
      <c r="C4368" s="35" t="s">
        <v>687</v>
      </c>
      <c r="D4368" s="39">
        <v>806.59002685546875</v>
      </c>
      <c r="E4368" s="39">
        <v>762.77215576171875</v>
      </c>
      <c r="F4368" s="41">
        <v>782125</v>
      </c>
      <c r="G4368" s="35" t="s">
        <v>689</v>
      </c>
      <c r="H4368" s="35" t="s">
        <v>115</v>
      </c>
    </row>
    <row r="4369" spans="1:8">
      <c r="A4369" s="37">
        <v>44679.15625</v>
      </c>
      <c r="B4369" s="35" t="s">
        <v>686</v>
      </c>
      <c r="C4369" s="35" t="s">
        <v>687</v>
      </c>
      <c r="D4369" s="39">
        <v>820.22998046875</v>
      </c>
      <c r="E4369" s="39">
        <v>775.671142578125</v>
      </c>
      <c r="F4369" s="41">
        <v>936520</v>
      </c>
      <c r="G4369" s="35" t="s">
        <v>689</v>
      </c>
      <c r="H4369" s="35" t="s">
        <v>115</v>
      </c>
    </row>
    <row r="4370" spans="1:8">
      <c r="A4370" s="37">
        <v>44680.15625</v>
      </c>
      <c r="B4370" s="35" t="s">
        <v>686</v>
      </c>
      <c r="C4370" s="35" t="s">
        <v>687</v>
      </c>
      <c r="D4370" s="39">
        <v>840.03997802734375</v>
      </c>
      <c r="E4370" s="39">
        <v>794.405029296875</v>
      </c>
      <c r="F4370" s="41">
        <v>1644240</v>
      </c>
      <c r="G4370" s="35" t="s">
        <v>689</v>
      </c>
      <c r="H4370" s="35" t="s">
        <v>115</v>
      </c>
    </row>
    <row r="4371" spans="1:8">
      <c r="A4371" s="37">
        <v>44683.15625</v>
      </c>
      <c r="B4371" s="35" t="s">
        <v>686</v>
      </c>
      <c r="C4371" s="35" t="s">
        <v>687</v>
      </c>
      <c r="D4371" s="39">
        <v>823.30999755859375</v>
      </c>
      <c r="E4371" s="39">
        <v>778.583740234375</v>
      </c>
      <c r="F4371" s="41">
        <v>650650</v>
      </c>
      <c r="G4371" s="35" t="s">
        <v>689</v>
      </c>
      <c r="H4371" s="35" t="s">
        <v>115</v>
      </c>
    </row>
    <row r="4372" spans="1:8">
      <c r="A4372" s="37">
        <v>44685.15625</v>
      </c>
      <c r="B4372" s="35" t="s">
        <v>686</v>
      </c>
      <c r="C4372" s="35" t="s">
        <v>687</v>
      </c>
      <c r="D4372" s="39">
        <v>811.69000244140625</v>
      </c>
      <c r="E4372" s="39">
        <v>767.5950927734375</v>
      </c>
      <c r="F4372" s="41">
        <v>692650</v>
      </c>
      <c r="G4372" s="35" t="s">
        <v>689</v>
      </c>
      <c r="H4372" s="35" t="s">
        <v>115</v>
      </c>
    </row>
    <row r="4373" spans="1:8">
      <c r="A4373" s="37">
        <v>44686.15625</v>
      </c>
      <c r="B4373" s="35" t="s">
        <v>686</v>
      </c>
      <c r="C4373" s="35" t="s">
        <v>687</v>
      </c>
      <c r="D4373" s="39">
        <v>834.32000732421875</v>
      </c>
      <c r="E4373" s="39">
        <v>788.99566650390625</v>
      </c>
      <c r="F4373" s="41">
        <v>1261345</v>
      </c>
      <c r="G4373" s="35" t="s">
        <v>689</v>
      </c>
      <c r="H4373" s="35" t="s">
        <v>115</v>
      </c>
    </row>
    <row r="4374" spans="1:8">
      <c r="A4374" s="37">
        <v>44687.15625</v>
      </c>
      <c r="B4374" s="35" t="s">
        <v>686</v>
      </c>
      <c r="C4374" s="35" t="s">
        <v>687</v>
      </c>
      <c r="D4374" s="39">
        <v>781.08001708984375</v>
      </c>
      <c r="E4374" s="39">
        <v>738.64788818359375</v>
      </c>
      <c r="F4374" s="41">
        <v>9471025</v>
      </c>
      <c r="G4374" s="35" t="s">
        <v>689</v>
      </c>
      <c r="H4374" s="35" t="s">
        <v>115</v>
      </c>
    </row>
    <row r="4375" spans="1:8">
      <c r="A4375" s="37">
        <v>44690.15625</v>
      </c>
      <c r="B4375" s="35" t="s">
        <v>686</v>
      </c>
      <c r="C4375" s="35" t="s">
        <v>687</v>
      </c>
      <c r="D4375" s="39">
        <v>771.510009765625</v>
      </c>
      <c r="E4375" s="39">
        <v>729.597900390625</v>
      </c>
      <c r="F4375" s="41">
        <v>2411595</v>
      </c>
      <c r="G4375" s="35" t="s">
        <v>689</v>
      </c>
      <c r="H4375" s="35" t="s">
        <v>115</v>
      </c>
    </row>
    <row r="4376" spans="1:8">
      <c r="A4376" s="37">
        <v>44691.15625</v>
      </c>
      <c r="B4376" s="35" t="s">
        <v>686</v>
      </c>
      <c r="C4376" s="35" t="s">
        <v>687</v>
      </c>
      <c r="D4376" s="39">
        <v>729.8599853515625</v>
      </c>
      <c r="E4376" s="39">
        <v>690.2103271484375</v>
      </c>
      <c r="F4376" s="41">
        <v>1709820</v>
      </c>
      <c r="G4376" s="35" t="s">
        <v>689</v>
      </c>
      <c r="H4376" s="35" t="s">
        <v>115</v>
      </c>
    </row>
    <row r="4377" spans="1:8">
      <c r="A4377" s="37">
        <v>44692.15625</v>
      </c>
      <c r="B4377" s="35" t="s">
        <v>686</v>
      </c>
      <c r="C4377" s="35" t="s">
        <v>687</v>
      </c>
      <c r="D4377" s="39">
        <v>744.32000732421875</v>
      </c>
      <c r="E4377" s="39">
        <v>703.88494873046875</v>
      </c>
      <c r="F4377" s="41">
        <v>1718220</v>
      </c>
      <c r="G4377" s="35" t="s">
        <v>689</v>
      </c>
      <c r="H4377" s="35" t="s">
        <v>115</v>
      </c>
    </row>
    <row r="4378" spans="1:8">
      <c r="A4378" s="37">
        <v>44693.15625</v>
      </c>
      <c r="B4378" s="35" t="s">
        <v>686</v>
      </c>
      <c r="C4378" s="35" t="s">
        <v>687</v>
      </c>
      <c r="D4378" s="39">
        <v>730.780029296875</v>
      </c>
      <c r="E4378" s="39">
        <v>691.08050537109375</v>
      </c>
      <c r="F4378" s="41">
        <v>2573040</v>
      </c>
      <c r="G4378" s="35" t="s">
        <v>689</v>
      </c>
      <c r="H4378" s="35" t="s">
        <v>115</v>
      </c>
    </row>
    <row r="4379" spans="1:8">
      <c r="A4379" s="37">
        <v>44694.15625</v>
      </c>
      <c r="B4379" s="35" t="s">
        <v>686</v>
      </c>
      <c r="C4379" s="35" t="s">
        <v>687</v>
      </c>
      <c r="D4379" s="39">
        <v>748.6500244140625</v>
      </c>
      <c r="E4379" s="39">
        <v>707.9796142578125</v>
      </c>
      <c r="F4379" s="41">
        <v>2299395</v>
      </c>
      <c r="G4379" s="35" t="s">
        <v>689</v>
      </c>
      <c r="H4379" s="35" t="s">
        <v>115</v>
      </c>
    </row>
    <row r="4380" spans="1:8">
      <c r="A4380" s="37">
        <v>44697.15625</v>
      </c>
      <c r="B4380" s="35" t="s">
        <v>686</v>
      </c>
      <c r="C4380" s="35" t="s">
        <v>687</v>
      </c>
      <c r="D4380" s="39">
        <v>759.1400146484375</v>
      </c>
      <c r="E4380" s="39">
        <v>717.89990234375</v>
      </c>
      <c r="F4380" s="41">
        <v>1659875</v>
      </c>
      <c r="G4380" s="35" t="s">
        <v>689</v>
      </c>
      <c r="H4380" s="35" t="s">
        <v>115</v>
      </c>
    </row>
    <row r="4381" spans="1:8">
      <c r="A4381" s="37">
        <v>44698.15625</v>
      </c>
      <c r="B4381" s="35" t="s">
        <v>686</v>
      </c>
      <c r="C4381" s="35" t="s">
        <v>687</v>
      </c>
      <c r="D4381" s="39">
        <v>788.1300048828125</v>
      </c>
      <c r="E4381" s="39">
        <v>745.31500244140625</v>
      </c>
      <c r="F4381" s="41">
        <v>1171455</v>
      </c>
      <c r="G4381" s="35" t="s">
        <v>689</v>
      </c>
      <c r="H4381" s="35" t="s">
        <v>115</v>
      </c>
    </row>
    <row r="4382" spans="1:8">
      <c r="A4382" s="37">
        <v>44699.15625</v>
      </c>
      <c r="B4382" s="35" t="s">
        <v>686</v>
      </c>
      <c r="C4382" s="35" t="s">
        <v>687</v>
      </c>
      <c r="D4382" s="39">
        <v>790.07000732421875</v>
      </c>
      <c r="E4382" s="39">
        <v>747.149658203125</v>
      </c>
      <c r="F4382" s="41">
        <v>1431600</v>
      </c>
      <c r="G4382" s="35" t="s">
        <v>689</v>
      </c>
      <c r="H4382" s="35" t="s">
        <v>115</v>
      </c>
    </row>
    <row r="4383" spans="1:8">
      <c r="A4383" s="37">
        <v>44700.15625</v>
      </c>
      <c r="B4383" s="35" t="s">
        <v>686</v>
      </c>
      <c r="C4383" s="35" t="s">
        <v>687</v>
      </c>
      <c r="D4383" s="39">
        <v>732.96002197265625</v>
      </c>
      <c r="E4383" s="39">
        <v>693.14215087890625</v>
      </c>
      <c r="F4383" s="41">
        <v>2393815</v>
      </c>
      <c r="G4383" s="35" t="s">
        <v>689</v>
      </c>
      <c r="H4383" s="35" t="s">
        <v>115</v>
      </c>
    </row>
    <row r="4384" spans="1:8">
      <c r="A4384" s="37">
        <v>44701.15625</v>
      </c>
      <c r="B4384" s="35" t="s">
        <v>686</v>
      </c>
      <c r="C4384" s="35" t="s">
        <v>687</v>
      </c>
      <c r="D4384" s="39">
        <v>757.3900146484375</v>
      </c>
      <c r="E4384" s="39">
        <v>716.24493408203125</v>
      </c>
      <c r="F4384" s="41">
        <v>1152750</v>
      </c>
      <c r="G4384" s="35" t="s">
        <v>689</v>
      </c>
      <c r="H4384" s="35" t="s">
        <v>115</v>
      </c>
    </row>
    <row r="4385" spans="1:8">
      <c r="A4385" s="37">
        <v>44704.15625</v>
      </c>
      <c r="B4385" s="35" t="s">
        <v>686</v>
      </c>
      <c r="C4385" s="35" t="s">
        <v>687</v>
      </c>
      <c r="D4385" s="39">
        <v>770.6400146484375</v>
      </c>
      <c r="E4385" s="39">
        <v>731.28546142578125</v>
      </c>
      <c r="F4385" s="41">
        <v>989935</v>
      </c>
      <c r="G4385" s="35" t="s">
        <v>689</v>
      </c>
      <c r="H4385" s="35" t="s">
        <v>115</v>
      </c>
    </row>
    <row r="4386" spans="1:8">
      <c r="A4386" s="37">
        <v>44705.15625</v>
      </c>
      <c r="B4386" s="35" t="s">
        <v>686</v>
      </c>
      <c r="C4386" s="35" t="s">
        <v>687</v>
      </c>
      <c r="D4386" s="39">
        <v>742.80999755859375</v>
      </c>
      <c r="E4386" s="39">
        <v>704.87664794921875</v>
      </c>
      <c r="F4386" s="41">
        <v>917500</v>
      </c>
      <c r="G4386" s="35" t="s">
        <v>689</v>
      </c>
      <c r="H4386" s="35" t="s">
        <v>115</v>
      </c>
    </row>
    <row r="4387" spans="1:8">
      <c r="A4387" s="37">
        <v>44706.15625</v>
      </c>
      <c r="B4387" s="35" t="s">
        <v>686</v>
      </c>
      <c r="C4387" s="35" t="s">
        <v>687</v>
      </c>
      <c r="D4387" s="39">
        <v>690.78997802734375</v>
      </c>
      <c r="E4387" s="39">
        <v>655.51312255859375</v>
      </c>
      <c r="F4387" s="41">
        <v>1965075</v>
      </c>
      <c r="G4387" s="35" t="s">
        <v>689</v>
      </c>
      <c r="H4387" s="35" t="s">
        <v>115</v>
      </c>
    </row>
    <row r="4388" spans="1:8">
      <c r="A4388" s="37">
        <v>44707.15625</v>
      </c>
      <c r="B4388" s="35" t="s">
        <v>686</v>
      </c>
      <c r="C4388" s="35" t="s">
        <v>687</v>
      </c>
      <c r="D4388" s="39">
        <v>695.57000732421875</v>
      </c>
      <c r="E4388" s="39">
        <v>660.04901123046875</v>
      </c>
      <c r="F4388" s="41">
        <v>2096885</v>
      </c>
      <c r="G4388" s="35" t="s">
        <v>689</v>
      </c>
      <c r="H4388" s="35" t="s">
        <v>115</v>
      </c>
    </row>
    <row r="4389" spans="1:8">
      <c r="A4389" s="37">
        <v>44708.15625</v>
      </c>
      <c r="B4389" s="35" t="s">
        <v>686</v>
      </c>
      <c r="C4389" s="35" t="s">
        <v>687</v>
      </c>
      <c r="D4389" s="39">
        <v>734.28997802734375</v>
      </c>
      <c r="E4389" s="39">
        <v>696.79180908203125</v>
      </c>
      <c r="F4389" s="41">
        <v>2415750</v>
      </c>
      <c r="G4389" s="35" t="s">
        <v>689</v>
      </c>
      <c r="H4389" s="35" t="s">
        <v>115</v>
      </c>
    </row>
    <row r="4390" spans="1:8">
      <c r="A4390" s="37">
        <v>44711.15625</v>
      </c>
      <c r="B4390" s="35" t="s">
        <v>686</v>
      </c>
      <c r="C4390" s="35" t="s">
        <v>687</v>
      </c>
      <c r="D4390" s="39">
        <v>779.65997314453125</v>
      </c>
      <c r="E4390" s="39">
        <v>739.84478759765625</v>
      </c>
      <c r="F4390" s="41">
        <v>2353215</v>
      </c>
      <c r="G4390" s="35" t="s">
        <v>689</v>
      </c>
      <c r="H4390" s="35" t="s">
        <v>115</v>
      </c>
    </row>
    <row r="4391" spans="1:8">
      <c r="A4391" s="37">
        <v>44712.15625</v>
      </c>
      <c r="B4391" s="35" t="s">
        <v>686</v>
      </c>
      <c r="C4391" s="35" t="s">
        <v>687</v>
      </c>
      <c r="D4391" s="39">
        <v>782.29998779296875</v>
      </c>
      <c r="E4391" s="39">
        <v>742.34991455078125</v>
      </c>
      <c r="F4391" s="41">
        <v>2278985</v>
      </c>
      <c r="G4391" s="35" t="s">
        <v>689</v>
      </c>
      <c r="H4391" s="35" t="s">
        <v>115</v>
      </c>
    </row>
    <row r="4392" spans="1:8">
      <c r="A4392" s="37">
        <v>44713.15625</v>
      </c>
      <c r="B4392" s="35" t="s">
        <v>686</v>
      </c>
      <c r="C4392" s="35" t="s">
        <v>687</v>
      </c>
      <c r="D4392" s="39">
        <v>758.69000244140625</v>
      </c>
      <c r="E4392" s="39">
        <v>719.94598388671875</v>
      </c>
      <c r="F4392" s="41">
        <v>1627080</v>
      </c>
      <c r="G4392" s="35" t="s">
        <v>689</v>
      </c>
      <c r="H4392" s="35" t="s">
        <v>115</v>
      </c>
    </row>
    <row r="4393" spans="1:8">
      <c r="A4393" s="37">
        <v>44714.15625</v>
      </c>
      <c r="B4393" s="35" t="s">
        <v>686</v>
      </c>
      <c r="C4393" s="35" t="s">
        <v>687</v>
      </c>
      <c r="D4393" s="39">
        <v>768.030029296875</v>
      </c>
      <c r="E4393" s="39">
        <v>728.80877685546875</v>
      </c>
      <c r="F4393" s="41">
        <v>1255295</v>
      </c>
      <c r="G4393" s="35" t="s">
        <v>689</v>
      </c>
      <c r="H4393" s="35" t="s">
        <v>115</v>
      </c>
    </row>
    <row r="4394" spans="1:8">
      <c r="A4394" s="37">
        <v>44715.15625</v>
      </c>
      <c r="B4394" s="35" t="s">
        <v>686</v>
      </c>
      <c r="C4394" s="35" t="s">
        <v>687</v>
      </c>
      <c r="D4394" s="39">
        <v>752.02001953125</v>
      </c>
      <c r="E4394" s="39">
        <v>713.616455078125</v>
      </c>
      <c r="F4394" s="41">
        <v>3123375</v>
      </c>
      <c r="G4394" s="35" t="s">
        <v>689</v>
      </c>
      <c r="H4394" s="35" t="s">
        <v>115</v>
      </c>
    </row>
    <row r="4395" spans="1:8">
      <c r="A4395" s="37">
        <v>44718.15625</v>
      </c>
      <c r="B4395" s="35" t="s">
        <v>686</v>
      </c>
      <c r="C4395" s="35" t="s">
        <v>687</v>
      </c>
      <c r="D4395" s="39">
        <v>721.3699951171875</v>
      </c>
      <c r="E4395" s="39">
        <v>684.53143310546875</v>
      </c>
      <c r="F4395" s="41">
        <v>2978330</v>
      </c>
      <c r="G4395" s="35" t="s">
        <v>689</v>
      </c>
      <c r="H4395" s="35" t="s">
        <v>115</v>
      </c>
    </row>
    <row r="4396" spans="1:8">
      <c r="A4396" s="37">
        <v>44719.15625</v>
      </c>
      <c r="B4396" s="35" t="s">
        <v>686</v>
      </c>
      <c r="C4396" s="35" t="s">
        <v>687</v>
      </c>
      <c r="D4396" s="39">
        <v>710.07000732421875</v>
      </c>
      <c r="E4396" s="39">
        <v>673.8087158203125</v>
      </c>
      <c r="F4396" s="41">
        <v>1440245</v>
      </c>
      <c r="G4396" s="35" t="s">
        <v>689</v>
      </c>
      <c r="H4396" s="35" t="s">
        <v>115</v>
      </c>
    </row>
    <row r="4397" spans="1:8">
      <c r="A4397" s="37">
        <v>44720.15625</v>
      </c>
      <c r="B4397" s="35" t="s">
        <v>686</v>
      </c>
      <c r="C4397" s="35" t="s">
        <v>687</v>
      </c>
      <c r="D4397" s="39">
        <v>699.70001220703125</v>
      </c>
      <c r="E4397" s="39">
        <v>663.96820068359375</v>
      </c>
      <c r="F4397" s="41">
        <v>2041880</v>
      </c>
      <c r="G4397" s="35" t="s">
        <v>689</v>
      </c>
      <c r="H4397" s="35" t="s">
        <v>115</v>
      </c>
    </row>
    <row r="4398" spans="1:8">
      <c r="A4398" s="37">
        <v>44721.15625</v>
      </c>
      <c r="B4398" s="35" t="s">
        <v>686</v>
      </c>
      <c r="C4398" s="35" t="s">
        <v>687</v>
      </c>
      <c r="D4398" s="39">
        <v>710.03997802734375</v>
      </c>
      <c r="E4398" s="39">
        <v>673.78021240234375</v>
      </c>
      <c r="F4398" s="41">
        <v>1524445</v>
      </c>
      <c r="G4398" s="35" t="s">
        <v>689</v>
      </c>
      <c r="H4398" s="35" t="s">
        <v>115</v>
      </c>
    </row>
    <row r="4399" spans="1:8">
      <c r="A4399" s="37">
        <v>44722.15625</v>
      </c>
      <c r="B4399" s="35" t="s">
        <v>686</v>
      </c>
      <c r="C4399" s="35" t="s">
        <v>687</v>
      </c>
      <c r="D4399" s="39">
        <v>696.6400146484375</v>
      </c>
      <c r="E4399" s="39">
        <v>661.064453125</v>
      </c>
      <c r="F4399" s="41">
        <v>1726700</v>
      </c>
      <c r="G4399" s="35" t="s">
        <v>689</v>
      </c>
      <c r="H4399" s="35" t="s">
        <v>115</v>
      </c>
    </row>
    <row r="4400" spans="1:8">
      <c r="A4400" s="37">
        <v>44725.15625</v>
      </c>
      <c r="B4400" s="35" t="s">
        <v>686</v>
      </c>
      <c r="C4400" s="35" t="s">
        <v>687</v>
      </c>
      <c r="D4400" s="39">
        <v>662.29998779296875</v>
      </c>
      <c r="E4400" s="39">
        <v>628.47821044921875</v>
      </c>
      <c r="F4400" s="41">
        <v>1822030</v>
      </c>
      <c r="G4400" s="35" t="s">
        <v>689</v>
      </c>
      <c r="H4400" s="35" t="s">
        <v>115</v>
      </c>
    </row>
    <row r="4401" spans="1:8">
      <c r="A4401" s="37">
        <v>44726.15625</v>
      </c>
      <c r="B4401" s="35" t="s">
        <v>686</v>
      </c>
      <c r="C4401" s="35" t="s">
        <v>687</v>
      </c>
      <c r="D4401" s="39">
        <v>646.760009765625</v>
      </c>
      <c r="E4401" s="39">
        <v>613.7318115234375</v>
      </c>
      <c r="F4401" s="41">
        <v>2032605</v>
      </c>
      <c r="G4401" s="35" t="s">
        <v>689</v>
      </c>
      <c r="H4401" s="35" t="s">
        <v>115</v>
      </c>
    </row>
    <row r="4402" spans="1:8">
      <c r="A4402" s="37">
        <v>44727.15625</v>
      </c>
      <c r="B4402" s="35" t="s">
        <v>686</v>
      </c>
      <c r="C4402" s="35" t="s">
        <v>687</v>
      </c>
      <c r="D4402" s="39">
        <v>655.489990234375</v>
      </c>
      <c r="E4402" s="39">
        <v>622.0159912109375</v>
      </c>
      <c r="F4402" s="41">
        <v>1519350</v>
      </c>
      <c r="G4402" s="35" t="s">
        <v>689</v>
      </c>
      <c r="H4402" s="35" t="s">
        <v>115</v>
      </c>
    </row>
    <row r="4403" spans="1:8">
      <c r="A4403" s="37">
        <v>44728.15625</v>
      </c>
      <c r="B4403" s="35" t="s">
        <v>686</v>
      </c>
      <c r="C4403" s="35" t="s">
        <v>687</v>
      </c>
      <c r="D4403" s="39">
        <v>659.19000244140625</v>
      </c>
      <c r="E4403" s="39">
        <v>625.5269775390625</v>
      </c>
      <c r="F4403" s="41">
        <v>2376050</v>
      </c>
      <c r="G4403" s="35" t="s">
        <v>689</v>
      </c>
      <c r="H4403" s="35" t="s">
        <v>115</v>
      </c>
    </row>
    <row r="4404" spans="1:8">
      <c r="A4404" s="37">
        <v>44729.15625</v>
      </c>
      <c r="B4404" s="35" t="s">
        <v>686</v>
      </c>
      <c r="C4404" s="35" t="s">
        <v>687</v>
      </c>
      <c r="D4404" s="39">
        <v>675.15997314453125</v>
      </c>
      <c r="E4404" s="39">
        <v>640.68145751953125</v>
      </c>
      <c r="F4404" s="41">
        <v>6981435</v>
      </c>
      <c r="G4404" s="35" t="s">
        <v>689</v>
      </c>
      <c r="H4404" s="35" t="s">
        <v>115</v>
      </c>
    </row>
    <row r="4405" spans="1:8">
      <c r="A4405" s="37">
        <v>44732.15625</v>
      </c>
      <c r="B4405" s="35" t="s">
        <v>686</v>
      </c>
      <c r="C4405" s="35" t="s">
        <v>687</v>
      </c>
      <c r="D4405" s="39">
        <v>673.94000244140625</v>
      </c>
      <c r="E4405" s="39">
        <v>639.523681640625</v>
      </c>
      <c r="F4405" s="41">
        <v>2165955</v>
      </c>
      <c r="G4405" s="35" t="s">
        <v>689</v>
      </c>
      <c r="H4405" s="35" t="s">
        <v>115</v>
      </c>
    </row>
    <row r="4406" spans="1:8">
      <c r="A4406" s="37">
        <v>44733.15625</v>
      </c>
      <c r="B4406" s="35" t="s">
        <v>686</v>
      </c>
      <c r="C4406" s="35" t="s">
        <v>687</v>
      </c>
      <c r="D4406" s="39">
        <v>718.8499755859375</v>
      </c>
      <c r="E4406" s="39">
        <v>682.14019775390625</v>
      </c>
      <c r="F4406" s="41">
        <v>2943285</v>
      </c>
      <c r="G4406" s="35" t="s">
        <v>689</v>
      </c>
      <c r="H4406" s="35" t="s">
        <v>115</v>
      </c>
    </row>
    <row r="4407" spans="1:8">
      <c r="A4407" s="37">
        <v>44734.15625</v>
      </c>
      <c r="B4407" s="35" t="s">
        <v>686</v>
      </c>
      <c r="C4407" s="35" t="s">
        <v>687</v>
      </c>
      <c r="D4407" s="39">
        <v>700.6099853515625</v>
      </c>
      <c r="E4407" s="39">
        <v>664.8316650390625</v>
      </c>
      <c r="F4407" s="41">
        <v>1915020</v>
      </c>
      <c r="G4407" s="35" t="s">
        <v>689</v>
      </c>
      <c r="H4407" s="35" t="s">
        <v>115</v>
      </c>
    </row>
    <row r="4408" spans="1:8">
      <c r="A4408" s="37">
        <v>44735.15625</v>
      </c>
      <c r="B4408" s="35" t="s">
        <v>686</v>
      </c>
      <c r="C4408" s="35" t="s">
        <v>687</v>
      </c>
      <c r="D4408" s="39">
        <v>735.77001953125</v>
      </c>
      <c r="E4408" s="39">
        <v>698.1962890625</v>
      </c>
      <c r="F4408" s="41">
        <v>1571635</v>
      </c>
      <c r="G4408" s="35" t="s">
        <v>689</v>
      </c>
      <c r="H4408" s="35" t="s">
        <v>115</v>
      </c>
    </row>
    <row r="4409" spans="1:8">
      <c r="A4409" s="37">
        <v>44736.15625</v>
      </c>
      <c r="B4409" s="35" t="s">
        <v>686</v>
      </c>
      <c r="C4409" s="35" t="s">
        <v>687</v>
      </c>
      <c r="D4409" s="39">
        <v>729.469970703125</v>
      </c>
      <c r="E4409" s="39">
        <v>692.21783447265625</v>
      </c>
      <c r="F4409" s="41">
        <v>1863505</v>
      </c>
      <c r="G4409" s="35" t="s">
        <v>689</v>
      </c>
      <c r="H4409" s="35" t="s">
        <v>115</v>
      </c>
    </row>
    <row r="4410" spans="1:8">
      <c r="A4410" s="37">
        <v>44739.15625</v>
      </c>
      <c r="B4410" s="35" t="s">
        <v>686</v>
      </c>
      <c r="C4410" s="35" t="s">
        <v>687</v>
      </c>
      <c r="D4410" s="39">
        <v>758.219970703125</v>
      </c>
      <c r="E4410" s="39">
        <v>719.49981689453125</v>
      </c>
      <c r="F4410" s="41">
        <v>2246030</v>
      </c>
      <c r="G4410" s="35" t="s">
        <v>689</v>
      </c>
      <c r="H4410" s="35" t="s">
        <v>115</v>
      </c>
    </row>
    <row r="4411" spans="1:8">
      <c r="A4411" s="37">
        <v>44740.15625</v>
      </c>
      <c r="B4411" s="35" t="s">
        <v>686</v>
      </c>
      <c r="C4411" s="35" t="s">
        <v>687</v>
      </c>
      <c r="D4411" s="39">
        <v>747.03997802734375</v>
      </c>
      <c r="E4411" s="39">
        <v>708.890625</v>
      </c>
      <c r="F4411" s="41">
        <v>1547735</v>
      </c>
      <c r="G4411" s="35" t="s">
        <v>689</v>
      </c>
      <c r="H4411" s="35" t="s">
        <v>115</v>
      </c>
    </row>
    <row r="4412" spans="1:8">
      <c r="A4412" s="37">
        <v>44741.15625</v>
      </c>
      <c r="B4412" s="35" t="s">
        <v>686</v>
      </c>
      <c r="C4412" s="35" t="s">
        <v>687</v>
      </c>
      <c r="D4412" s="39">
        <v>732.45001220703125</v>
      </c>
      <c r="E4412" s="39">
        <v>695.04583740234375</v>
      </c>
      <c r="F4412" s="41">
        <v>1994865</v>
      </c>
      <c r="G4412" s="35" t="s">
        <v>689</v>
      </c>
      <c r="H4412" s="35" t="s">
        <v>115</v>
      </c>
    </row>
    <row r="4413" spans="1:8">
      <c r="A4413" s="37">
        <v>44742.15625</v>
      </c>
      <c r="B4413" s="35" t="s">
        <v>686</v>
      </c>
      <c r="C4413" s="35" t="s">
        <v>687</v>
      </c>
      <c r="D4413" s="39">
        <v>707.8599853515625</v>
      </c>
      <c r="E4413" s="39">
        <v>671.71148681640625</v>
      </c>
      <c r="F4413" s="41">
        <v>1367215</v>
      </c>
      <c r="G4413" s="35" t="s">
        <v>689</v>
      </c>
      <c r="H4413" s="35" t="s">
        <v>115</v>
      </c>
    </row>
    <row r="4414" spans="1:8">
      <c r="A4414" s="37">
        <v>44743.15625</v>
      </c>
      <c r="B4414" s="35" t="s">
        <v>686</v>
      </c>
      <c r="C4414" s="35" t="s">
        <v>687</v>
      </c>
      <c r="D4414" s="39">
        <v>697.6099853515625</v>
      </c>
      <c r="E4414" s="39">
        <v>661.985107421875</v>
      </c>
      <c r="F4414" s="41">
        <v>2681085</v>
      </c>
      <c r="G4414" s="35" t="s">
        <v>689</v>
      </c>
      <c r="H4414" s="35" t="s">
        <v>115</v>
      </c>
    </row>
    <row r="4415" spans="1:8">
      <c r="A4415" s="37">
        <v>44746.15625</v>
      </c>
      <c r="B4415" s="35" t="s">
        <v>686</v>
      </c>
      <c r="C4415" s="35" t="s">
        <v>687</v>
      </c>
      <c r="D4415" s="39">
        <v>701.16998291015625</v>
      </c>
      <c r="E4415" s="39">
        <v>665.3631591796875</v>
      </c>
      <c r="F4415" s="41">
        <v>997635</v>
      </c>
      <c r="G4415" s="35" t="s">
        <v>689</v>
      </c>
      <c r="H4415" s="35" t="s">
        <v>115</v>
      </c>
    </row>
    <row r="4416" spans="1:8">
      <c r="A4416" s="37">
        <v>44747.15625</v>
      </c>
      <c r="B4416" s="35" t="s">
        <v>686</v>
      </c>
      <c r="C4416" s="35" t="s">
        <v>687</v>
      </c>
      <c r="D4416" s="39">
        <v>708.510009765625</v>
      </c>
      <c r="E4416" s="39">
        <v>672.32830810546875</v>
      </c>
      <c r="F4416" s="41">
        <v>1671945</v>
      </c>
      <c r="G4416" s="35" t="s">
        <v>689</v>
      </c>
      <c r="H4416" s="35" t="s">
        <v>115</v>
      </c>
    </row>
    <row r="4417" spans="1:8">
      <c r="A4417" s="37">
        <v>44748.15625</v>
      </c>
      <c r="B4417" s="35" t="s">
        <v>686</v>
      </c>
      <c r="C4417" s="35" t="s">
        <v>687</v>
      </c>
      <c r="D4417" s="39">
        <v>721.6400146484375</v>
      </c>
      <c r="E4417" s="39">
        <v>684.787841796875</v>
      </c>
      <c r="F4417" s="41">
        <v>1255740</v>
      </c>
      <c r="G4417" s="35" t="s">
        <v>689</v>
      </c>
      <c r="H4417" s="35" t="s">
        <v>115</v>
      </c>
    </row>
    <row r="4418" spans="1:8">
      <c r="A4418" s="37">
        <v>44749.15625</v>
      </c>
      <c r="B4418" s="35" t="s">
        <v>686</v>
      </c>
      <c r="C4418" s="35" t="s">
        <v>687</v>
      </c>
      <c r="D4418" s="39">
        <v>721.8900146484375</v>
      </c>
      <c r="E4418" s="39">
        <v>685.025146484375</v>
      </c>
      <c r="F4418" s="41">
        <v>2292405</v>
      </c>
      <c r="G4418" s="35" t="s">
        <v>689</v>
      </c>
      <c r="H4418" s="35" t="s">
        <v>115</v>
      </c>
    </row>
    <row r="4419" spans="1:8">
      <c r="A4419" s="37">
        <v>44750.15625</v>
      </c>
      <c r="B4419" s="35" t="s">
        <v>686</v>
      </c>
      <c r="C4419" s="35" t="s">
        <v>687</v>
      </c>
      <c r="D4419" s="39">
        <v>721.33001708984375</v>
      </c>
      <c r="E4419" s="39">
        <v>684.4937744140625</v>
      </c>
      <c r="F4419" s="41">
        <v>1902540</v>
      </c>
      <c r="G4419" s="35" t="s">
        <v>689</v>
      </c>
      <c r="H4419" s="35" t="s">
        <v>115</v>
      </c>
    </row>
    <row r="4420" spans="1:8">
      <c r="A4420" s="37">
        <v>44753.15625</v>
      </c>
      <c r="B4420" s="35" t="s">
        <v>686</v>
      </c>
      <c r="C4420" s="35" t="s">
        <v>687</v>
      </c>
      <c r="D4420" s="39">
        <v>700.57000732421875</v>
      </c>
      <c r="E4420" s="39">
        <v>664.79388427734375</v>
      </c>
      <c r="F4420" s="41">
        <v>1794550</v>
      </c>
      <c r="G4420" s="35" t="s">
        <v>689</v>
      </c>
      <c r="H4420" s="35" t="s">
        <v>115</v>
      </c>
    </row>
    <row r="4421" spans="1:8">
      <c r="A4421" s="37">
        <v>44754.15625</v>
      </c>
      <c r="B4421" s="35" t="s">
        <v>686</v>
      </c>
      <c r="C4421" s="35" t="s">
        <v>687</v>
      </c>
      <c r="D4421" s="39">
        <v>703.6400146484375</v>
      </c>
      <c r="E4421" s="39">
        <v>667.70703125</v>
      </c>
      <c r="F4421" s="41">
        <v>1022425</v>
      </c>
      <c r="G4421" s="35" t="s">
        <v>689</v>
      </c>
      <c r="H4421" s="35" t="s">
        <v>115</v>
      </c>
    </row>
    <row r="4422" spans="1:8">
      <c r="A4422" s="37">
        <v>44755.15625</v>
      </c>
      <c r="B4422" s="35" t="s">
        <v>686</v>
      </c>
      <c r="C4422" s="35" t="s">
        <v>687</v>
      </c>
      <c r="D4422" s="39">
        <v>701.05999755859375</v>
      </c>
      <c r="E4422" s="39">
        <v>665.25872802734375</v>
      </c>
      <c r="F4422" s="41">
        <v>1592075</v>
      </c>
      <c r="G4422" s="35" t="s">
        <v>689</v>
      </c>
      <c r="H4422" s="35" t="s">
        <v>115</v>
      </c>
    </row>
    <row r="4423" spans="1:8">
      <c r="A4423" s="37">
        <v>44756.15625</v>
      </c>
      <c r="B4423" s="35" t="s">
        <v>686</v>
      </c>
      <c r="C4423" s="35" t="s">
        <v>687</v>
      </c>
      <c r="D4423" s="39">
        <v>683.45001220703125</v>
      </c>
      <c r="E4423" s="39">
        <v>648.5479736328125</v>
      </c>
      <c r="F4423" s="41">
        <v>2490795</v>
      </c>
      <c r="G4423" s="35" t="s">
        <v>689</v>
      </c>
      <c r="H4423" s="35" t="s">
        <v>115</v>
      </c>
    </row>
    <row r="4424" spans="1:8">
      <c r="A4424" s="37">
        <v>44757.15625</v>
      </c>
      <c r="B4424" s="35" t="s">
        <v>686</v>
      </c>
      <c r="C4424" s="35" t="s">
        <v>687</v>
      </c>
      <c r="D4424" s="39">
        <v>675.72998046875</v>
      </c>
      <c r="E4424" s="39">
        <v>641.22235107421875</v>
      </c>
      <c r="F4424" s="41">
        <v>2274990</v>
      </c>
      <c r="G4424" s="35" t="s">
        <v>689</v>
      </c>
      <c r="H4424" s="35" t="s">
        <v>115</v>
      </c>
    </row>
    <row r="4425" spans="1:8">
      <c r="A4425" s="37">
        <v>44760.15625</v>
      </c>
      <c r="B4425" s="35" t="s">
        <v>686</v>
      </c>
      <c r="C4425" s="35" t="s">
        <v>687</v>
      </c>
      <c r="D4425" s="39">
        <v>688.33001708984375</v>
      </c>
      <c r="E4425" s="39">
        <v>653.17877197265625</v>
      </c>
      <c r="F4425" s="41">
        <v>1928330</v>
      </c>
      <c r="G4425" s="35" t="s">
        <v>689</v>
      </c>
      <c r="H4425" s="35" t="s">
        <v>115</v>
      </c>
    </row>
    <row r="4426" spans="1:8">
      <c r="A4426" s="37">
        <v>44761.15625</v>
      </c>
      <c r="B4426" s="35" t="s">
        <v>686</v>
      </c>
      <c r="C4426" s="35" t="s">
        <v>687</v>
      </c>
      <c r="D4426" s="39">
        <v>682.32000732421875</v>
      </c>
      <c r="E4426" s="39">
        <v>647.47576904296875</v>
      </c>
      <c r="F4426" s="41">
        <v>2425015</v>
      </c>
      <c r="G4426" s="35" t="s">
        <v>689</v>
      </c>
      <c r="H4426" s="35" t="s">
        <v>115</v>
      </c>
    </row>
    <row r="4427" spans="1:8">
      <c r="A4427" s="37">
        <v>44762.15625</v>
      </c>
      <c r="B4427" s="35" t="s">
        <v>686</v>
      </c>
      <c r="C4427" s="35" t="s">
        <v>687</v>
      </c>
      <c r="D4427" s="39">
        <v>707.17999267578125</v>
      </c>
      <c r="E4427" s="39">
        <v>671.06622314453125</v>
      </c>
      <c r="F4427" s="41">
        <v>2407070</v>
      </c>
      <c r="G4427" s="35" t="s">
        <v>689</v>
      </c>
      <c r="H4427" s="35" t="s">
        <v>115</v>
      </c>
    </row>
    <row r="4428" spans="1:8">
      <c r="A4428" s="37">
        <v>44763.15625</v>
      </c>
      <c r="B4428" s="35" t="s">
        <v>686</v>
      </c>
      <c r="C4428" s="35" t="s">
        <v>687</v>
      </c>
      <c r="D4428" s="39">
        <v>724.1500244140625</v>
      </c>
      <c r="E4428" s="39">
        <v>687.16961669921875</v>
      </c>
      <c r="F4428" s="41">
        <v>3903380</v>
      </c>
      <c r="G4428" s="35" t="s">
        <v>689</v>
      </c>
      <c r="H4428" s="35" t="s">
        <v>115</v>
      </c>
    </row>
    <row r="4429" spans="1:8">
      <c r="A4429" s="37">
        <v>44764.15625</v>
      </c>
      <c r="B4429" s="35" t="s">
        <v>686</v>
      </c>
      <c r="C4429" s="35" t="s">
        <v>687</v>
      </c>
      <c r="D4429" s="39">
        <v>745.28997802734375</v>
      </c>
      <c r="E4429" s="39">
        <v>707.22998046875</v>
      </c>
      <c r="F4429" s="41">
        <v>6784000</v>
      </c>
      <c r="G4429" s="35" t="s">
        <v>689</v>
      </c>
      <c r="H4429" s="35" t="s">
        <v>115</v>
      </c>
    </row>
    <row r="4430" spans="1:8">
      <c r="A4430" s="37">
        <v>44767.15625</v>
      </c>
      <c r="B4430" s="35" t="s">
        <v>686</v>
      </c>
      <c r="C4430" s="35" t="s">
        <v>687</v>
      </c>
      <c r="D4430" s="39">
        <v>757.9000244140625</v>
      </c>
      <c r="E4430" s="39">
        <v>719.196044921875</v>
      </c>
      <c r="F4430" s="41">
        <v>3109580</v>
      </c>
      <c r="G4430" s="35" t="s">
        <v>689</v>
      </c>
      <c r="H4430" s="35" t="s">
        <v>115</v>
      </c>
    </row>
    <row r="4431" spans="1:8">
      <c r="A4431" s="37">
        <v>44768.15625</v>
      </c>
      <c r="B4431" s="35" t="s">
        <v>686</v>
      </c>
      <c r="C4431" s="35" t="s">
        <v>687</v>
      </c>
      <c r="D4431" s="39">
        <v>740.489990234375</v>
      </c>
      <c r="E4431" s="39">
        <v>702.67529296875</v>
      </c>
      <c r="F4431" s="41">
        <v>2521590</v>
      </c>
      <c r="G4431" s="35" t="s">
        <v>689</v>
      </c>
      <c r="H4431" s="35" t="s">
        <v>115</v>
      </c>
    </row>
    <row r="4432" spans="1:8">
      <c r="A4432" s="37">
        <v>44769.15625</v>
      </c>
      <c r="B4432" s="35" t="s">
        <v>686</v>
      </c>
      <c r="C4432" s="35" t="s">
        <v>687</v>
      </c>
      <c r="D4432" s="39">
        <v>757.489990234375</v>
      </c>
      <c r="E4432" s="39">
        <v>718.80712890625</v>
      </c>
      <c r="F4432" s="41">
        <v>1893570</v>
      </c>
      <c r="G4432" s="35" t="s">
        <v>689</v>
      </c>
      <c r="H4432" s="35" t="s">
        <v>115</v>
      </c>
    </row>
    <row r="4433" spans="1:8">
      <c r="A4433" s="37">
        <v>44770.15625</v>
      </c>
      <c r="B4433" s="35" t="s">
        <v>686</v>
      </c>
      <c r="C4433" s="35" t="s">
        <v>687</v>
      </c>
      <c r="D4433" s="39">
        <v>769.21002197265625</v>
      </c>
      <c r="E4433" s="39">
        <v>729.9285888671875</v>
      </c>
      <c r="F4433" s="41">
        <v>3251015</v>
      </c>
      <c r="G4433" s="35" t="s">
        <v>689</v>
      </c>
      <c r="H4433" s="35" t="s">
        <v>115</v>
      </c>
    </row>
    <row r="4434" spans="1:8">
      <c r="A4434" s="37">
        <v>44771.15625</v>
      </c>
      <c r="B4434" s="35" t="s">
        <v>686</v>
      </c>
      <c r="C4434" s="35" t="s">
        <v>687</v>
      </c>
      <c r="D4434" s="39">
        <v>790.8599853515625</v>
      </c>
      <c r="E4434" s="39">
        <v>750.47296142578125</v>
      </c>
      <c r="F4434" s="41">
        <v>2288000</v>
      </c>
      <c r="G4434" s="35" t="s">
        <v>689</v>
      </c>
      <c r="H4434" s="35" t="s">
        <v>115</v>
      </c>
    </row>
    <row r="4435" spans="1:8">
      <c r="A4435" s="37">
        <v>44774.15625</v>
      </c>
      <c r="B4435" s="35" t="s">
        <v>686</v>
      </c>
      <c r="C4435" s="35" t="s">
        <v>687</v>
      </c>
      <c r="D4435" s="39">
        <v>788.80999755859375</v>
      </c>
      <c r="E4435" s="39">
        <v>748.52752685546875</v>
      </c>
      <c r="F4435" s="41">
        <v>1282525</v>
      </c>
      <c r="G4435" s="35" t="s">
        <v>689</v>
      </c>
      <c r="H4435" s="35" t="s">
        <v>115</v>
      </c>
    </row>
    <row r="4436" spans="1:8">
      <c r="A4436" s="37">
        <v>44775.15625</v>
      </c>
      <c r="B4436" s="35" t="s">
        <v>686</v>
      </c>
      <c r="C4436" s="35" t="s">
        <v>687</v>
      </c>
      <c r="D4436" s="39">
        <v>763.989990234375</v>
      </c>
      <c r="E4436" s="39">
        <v>724.9749755859375</v>
      </c>
      <c r="F4436" s="41">
        <v>1735430</v>
      </c>
      <c r="G4436" s="35" t="s">
        <v>689</v>
      </c>
      <c r="H4436" s="35" t="s">
        <v>115</v>
      </c>
    </row>
    <row r="4437" spans="1:8">
      <c r="A4437" s="37">
        <v>44776.15625</v>
      </c>
      <c r="B4437" s="35" t="s">
        <v>686</v>
      </c>
      <c r="C4437" s="35" t="s">
        <v>687</v>
      </c>
      <c r="D4437" s="39">
        <v>773.8599853515625</v>
      </c>
      <c r="E4437" s="39">
        <v>736.8486328125</v>
      </c>
      <c r="F4437" s="41">
        <v>1710915</v>
      </c>
      <c r="G4437" s="35" t="s">
        <v>689</v>
      </c>
      <c r="H4437" s="35" t="s">
        <v>115</v>
      </c>
    </row>
    <row r="4438" spans="1:8">
      <c r="A4438" s="37">
        <v>44777.15625</v>
      </c>
      <c r="B4438" s="35" t="s">
        <v>686</v>
      </c>
      <c r="C4438" s="35" t="s">
        <v>687</v>
      </c>
      <c r="D4438" s="39">
        <v>780.219970703125</v>
      </c>
      <c r="E4438" s="39">
        <v>742.90447998046875</v>
      </c>
      <c r="F4438" s="41">
        <v>1474645</v>
      </c>
      <c r="G4438" s="35" t="s">
        <v>689</v>
      </c>
      <c r="H4438" s="35" t="s">
        <v>115</v>
      </c>
    </row>
    <row r="4439" spans="1:8">
      <c r="A4439" s="37">
        <v>44778.15625</v>
      </c>
      <c r="B4439" s="35" t="s">
        <v>686</v>
      </c>
      <c r="C4439" s="35" t="s">
        <v>687</v>
      </c>
      <c r="D4439" s="39">
        <v>786.9000244140625</v>
      </c>
      <c r="E4439" s="39">
        <v>749.2650146484375</v>
      </c>
      <c r="F4439" s="41">
        <v>1176665</v>
      </c>
      <c r="G4439" s="35" t="s">
        <v>689</v>
      </c>
      <c r="H4439" s="35" t="s">
        <v>115</v>
      </c>
    </row>
    <row r="4440" spans="1:8">
      <c r="A4440" s="37">
        <v>44781.15625</v>
      </c>
      <c r="B4440" s="35" t="s">
        <v>686</v>
      </c>
      <c r="C4440" s="35" t="s">
        <v>687</v>
      </c>
      <c r="D4440" s="39">
        <v>777.20001220703125</v>
      </c>
      <c r="E4440" s="39">
        <v>740.0289306640625</v>
      </c>
      <c r="F4440" s="41">
        <v>752610</v>
      </c>
      <c r="G4440" s="35" t="s">
        <v>689</v>
      </c>
      <c r="H4440" s="35" t="s">
        <v>115</v>
      </c>
    </row>
    <row r="4441" spans="1:8">
      <c r="A4441" s="37">
        <v>44783.15625</v>
      </c>
      <c r="B4441" s="35" t="s">
        <v>686</v>
      </c>
      <c r="C4441" s="35" t="s">
        <v>687</v>
      </c>
      <c r="D4441" s="39">
        <v>764.530029296875</v>
      </c>
      <c r="E4441" s="39">
        <v>727.96490478515625</v>
      </c>
      <c r="F4441" s="41">
        <v>910245</v>
      </c>
      <c r="G4441" s="35" t="s">
        <v>689</v>
      </c>
      <c r="H4441" s="35" t="s">
        <v>115</v>
      </c>
    </row>
    <row r="4442" spans="1:8">
      <c r="A4442" s="37">
        <v>44784.15625</v>
      </c>
      <c r="B4442" s="35" t="s">
        <v>686</v>
      </c>
      <c r="C4442" s="35" t="s">
        <v>687</v>
      </c>
      <c r="D4442" s="39">
        <v>771.41998291015625</v>
      </c>
      <c r="E4442" s="39">
        <v>734.525390625</v>
      </c>
      <c r="F4442" s="41">
        <v>1827410</v>
      </c>
      <c r="G4442" s="35" t="s">
        <v>689</v>
      </c>
      <c r="H4442" s="35" t="s">
        <v>115</v>
      </c>
    </row>
    <row r="4443" spans="1:8">
      <c r="A4443" s="37">
        <v>44785.15625</v>
      </c>
      <c r="B4443" s="35" t="s">
        <v>686</v>
      </c>
      <c r="C4443" s="35" t="s">
        <v>687</v>
      </c>
      <c r="D4443" s="39">
        <v>758.5</v>
      </c>
      <c r="E4443" s="39">
        <v>722.223388671875</v>
      </c>
      <c r="F4443" s="41">
        <v>830770</v>
      </c>
      <c r="G4443" s="35" t="s">
        <v>689</v>
      </c>
      <c r="H4443" s="35" t="s">
        <v>115</v>
      </c>
    </row>
    <row r="4444" spans="1:8">
      <c r="A4444" s="37">
        <v>44789.15625</v>
      </c>
      <c r="B4444" s="35" t="s">
        <v>686</v>
      </c>
      <c r="C4444" s="35" t="s">
        <v>687</v>
      </c>
      <c r="D4444" s="39">
        <v>765.32000732421875</v>
      </c>
      <c r="E4444" s="39">
        <v>728.71710205078125</v>
      </c>
      <c r="F4444" s="41">
        <v>734365</v>
      </c>
      <c r="G4444" s="35" t="s">
        <v>689</v>
      </c>
      <c r="H4444" s="35" t="s">
        <v>115</v>
      </c>
    </row>
    <row r="4445" spans="1:8">
      <c r="A4445" s="37">
        <v>44790.15625</v>
      </c>
      <c r="B4445" s="35" t="s">
        <v>686</v>
      </c>
      <c r="C4445" s="35" t="s">
        <v>687</v>
      </c>
      <c r="D4445" s="39">
        <v>778.94000244140625</v>
      </c>
      <c r="E4445" s="39">
        <v>741.6856689453125</v>
      </c>
      <c r="F4445" s="41">
        <v>1873720</v>
      </c>
      <c r="G4445" s="35" t="s">
        <v>689</v>
      </c>
      <c r="H4445" s="35" t="s">
        <v>115</v>
      </c>
    </row>
    <row r="4446" spans="1:8">
      <c r="A4446" s="37">
        <v>44791.15625</v>
      </c>
      <c r="B4446" s="35" t="s">
        <v>686</v>
      </c>
      <c r="C4446" s="35" t="s">
        <v>687</v>
      </c>
      <c r="D4446" s="39">
        <v>780.1199951171875</v>
      </c>
      <c r="E4446" s="39">
        <v>742.8092041015625</v>
      </c>
      <c r="F4446" s="41">
        <v>1163975</v>
      </c>
      <c r="G4446" s="35" t="s">
        <v>689</v>
      </c>
      <c r="H4446" s="35" t="s">
        <v>115</v>
      </c>
    </row>
    <row r="4447" spans="1:8">
      <c r="A4447" s="37">
        <v>44792.15625</v>
      </c>
      <c r="B4447" s="35" t="s">
        <v>686</v>
      </c>
      <c r="C4447" s="35" t="s">
        <v>687</v>
      </c>
      <c r="D4447" s="39">
        <v>784.739990234375</v>
      </c>
      <c r="E4447" s="39">
        <v>747.2083740234375</v>
      </c>
      <c r="F4447" s="41">
        <v>4856375</v>
      </c>
      <c r="G4447" s="35" t="s">
        <v>689</v>
      </c>
      <c r="H4447" s="35" t="s">
        <v>115</v>
      </c>
    </row>
    <row r="4448" spans="1:8">
      <c r="A4448" s="37">
        <v>44795.15625</v>
      </c>
      <c r="B4448" s="35" t="s">
        <v>686</v>
      </c>
      <c r="C4448" s="35" t="s">
        <v>687</v>
      </c>
      <c r="D4448" s="39">
        <v>752.58001708984375</v>
      </c>
      <c r="E4448" s="39">
        <v>716.58660888671875</v>
      </c>
      <c r="F4448" s="41">
        <v>1989105</v>
      </c>
      <c r="G4448" s="35" t="s">
        <v>689</v>
      </c>
      <c r="H4448" s="35" t="s">
        <v>115</v>
      </c>
    </row>
    <row r="4449" spans="1:8">
      <c r="A4449" s="37">
        <v>44796.15625</v>
      </c>
      <c r="B4449" s="35" t="s">
        <v>686</v>
      </c>
      <c r="C4449" s="35" t="s">
        <v>687</v>
      </c>
      <c r="D4449" s="39">
        <v>740.010009765625</v>
      </c>
      <c r="E4449" s="39">
        <v>704.61773681640625</v>
      </c>
      <c r="F4449" s="41">
        <v>1792810</v>
      </c>
      <c r="G4449" s="35" t="s">
        <v>689</v>
      </c>
      <c r="H4449" s="35" t="s">
        <v>115</v>
      </c>
    </row>
    <row r="4450" spans="1:8">
      <c r="A4450" s="37">
        <v>44797.15625</v>
      </c>
      <c r="B4450" s="35" t="s">
        <v>686</v>
      </c>
      <c r="C4450" s="35" t="s">
        <v>687</v>
      </c>
      <c r="D4450" s="39">
        <v>739.6099853515625</v>
      </c>
      <c r="E4450" s="39">
        <v>704.23675537109375</v>
      </c>
      <c r="F4450" s="41">
        <v>928190</v>
      </c>
      <c r="G4450" s="35" t="s">
        <v>689</v>
      </c>
      <c r="H4450" s="35" t="s">
        <v>115</v>
      </c>
    </row>
    <row r="4451" spans="1:8">
      <c r="A4451" s="37">
        <v>44798.15625</v>
      </c>
      <c r="B4451" s="35" t="s">
        <v>686</v>
      </c>
      <c r="C4451" s="35" t="s">
        <v>687</v>
      </c>
      <c r="D4451" s="39">
        <v>736.84002685546875</v>
      </c>
      <c r="E4451" s="39">
        <v>701.59918212890625</v>
      </c>
      <c r="F4451" s="41">
        <v>1057555</v>
      </c>
      <c r="G4451" s="35" t="s">
        <v>689</v>
      </c>
      <c r="H4451" s="35" t="s">
        <v>115</v>
      </c>
    </row>
    <row r="4452" spans="1:8">
      <c r="A4452" s="37">
        <v>44799.15625</v>
      </c>
      <c r="B4452" s="35" t="s">
        <v>686</v>
      </c>
      <c r="C4452" s="35" t="s">
        <v>687</v>
      </c>
      <c r="D4452" s="39">
        <v>732.3699951171875</v>
      </c>
      <c r="E4452" s="39">
        <v>697.3431396484375</v>
      </c>
      <c r="F4452" s="41">
        <v>875930</v>
      </c>
      <c r="G4452" s="35" t="s">
        <v>689</v>
      </c>
      <c r="H4452" s="35" t="s">
        <v>115</v>
      </c>
    </row>
    <row r="4453" spans="1:8">
      <c r="A4453" s="37">
        <v>44802.15625</v>
      </c>
      <c r="B4453" s="35" t="s">
        <v>686</v>
      </c>
      <c r="C4453" s="35" t="s">
        <v>687</v>
      </c>
      <c r="D4453" s="39">
        <v>702.32000732421875</v>
      </c>
      <c r="E4453" s="39">
        <v>668.73028564453125</v>
      </c>
      <c r="F4453" s="41">
        <v>1673060</v>
      </c>
      <c r="G4453" s="35" t="s">
        <v>689</v>
      </c>
      <c r="H4453" s="35" t="s">
        <v>115</v>
      </c>
    </row>
    <row r="4454" spans="1:8">
      <c r="A4454" s="37">
        <v>44803.15625</v>
      </c>
      <c r="B4454" s="35" t="s">
        <v>686</v>
      </c>
      <c r="C4454" s="35" t="s">
        <v>687</v>
      </c>
      <c r="D4454" s="39">
        <v>712.07000732421875</v>
      </c>
      <c r="E4454" s="39">
        <v>678.01385498046875</v>
      </c>
      <c r="F4454" s="41">
        <v>1310340</v>
      </c>
      <c r="G4454" s="35" t="s">
        <v>689</v>
      </c>
      <c r="H4454" s="35" t="s">
        <v>115</v>
      </c>
    </row>
    <row r="4455" spans="1:8">
      <c r="A4455" s="37">
        <v>44805.15625</v>
      </c>
      <c r="B4455" s="35" t="s">
        <v>686</v>
      </c>
      <c r="C4455" s="35" t="s">
        <v>687</v>
      </c>
      <c r="D4455" s="39">
        <v>700.19000244140625</v>
      </c>
      <c r="E4455" s="39">
        <v>666.7021484375</v>
      </c>
      <c r="F4455" s="41">
        <v>935480</v>
      </c>
      <c r="G4455" s="35" t="s">
        <v>689</v>
      </c>
      <c r="H4455" s="35" t="s">
        <v>115</v>
      </c>
    </row>
    <row r="4456" spans="1:8">
      <c r="A4456" s="37">
        <v>44806.15625</v>
      </c>
      <c r="B4456" s="35" t="s">
        <v>686</v>
      </c>
      <c r="C4456" s="35" t="s">
        <v>687</v>
      </c>
      <c r="D4456" s="39">
        <v>693.52001953125</v>
      </c>
      <c r="E4456" s="39">
        <v>660.35107421875</v>
      </c>
      <c r="F4456" s="41">
        <v>830030</v>
      </c>
      <c r="G4456" s="35" t="s">
        <v>689</v>
      </c>
      <c r="H4456" s="35" t="s">
        <v>115</v>
      </c>
    </row>
    <row r="4457" spans="1:8">
      <c r="A4457" s="37">
        <v>44809.15625</v>
      </c>
      <c r="B4457" s="35" t="s">
        <v>686</v>
      </c>
      <c r="C4457" s="35" t="s">
        <v>687</v>
      </c>
      <c r="D4457" s="39">
        <v>695.030029296875</v>
      </c>
      <c r="E4457" s="39">
        <v>661.78887939453125</v>
      </c>
      <c r="F4457" s="41">
        <v>675495</v>
      </c>
      <c r="G4457" s="35" t="s">
        <v>689</v>
      </c>
      <c r="H4457" s="35" t="s">
        <v>115</v>
      </c>
    </row>
    <row r="4458" spans="1:8">
      <c r="A4458" s="37">
        <v>44810.15625</v>
      </c>
      <c r="B4458" s="35" t="s">
        <v>686</v>
      </c>
      <c r="C4458" s="35" t="s">
        <v>687</v>
      </c>
      <c r="D4458" s="39">
        <v>693.30999755859375</v>
      </c>
      <c r="E4458" s="39">
        <v>660.151123046875</v>
      </c>
      <c r="F4458" s="41">
        <v>920815</v>
      </c>
      <c r="G4458" s="35" t="s">
        <v>689</v>
      </c>
      <c r="H4458" s="35" t="s">
        <v>115</v>
      </c>
    </row>
    <row r="4459" spans="1:8">
      <c r="A4459" s="37">
        <v>44811.15625</v>
      </c>
      <c r="B4459" s="35" t="s">
        <v>686</v>
      </c>
      <c r="C4459" s="35" t="s">
        <v>687</v>
      </c>
      <c r="D4459" s="39">
        <v>700.8499755859375</v>
      </c>
      <c r="E4459" s="39">
        <v>667.33050537109375</v>
      </c>
      <c r="F4459" s="41">
        <v>1146440</v>
      </c>
      <c r="G4459" s="35" t="s">
        <v>689</v>
      </c>
      <c r="H4459" s="35" t="s">
        <v>115</v>
      </c>
    </row>
    <row r="4460" spans="1:8">
      <c r="A4460" s="37">
        <v>44812.15625</v>
      </c>
      <c r="B4460" s="35" t="s">
        <v>686</v>
      </c>
      <c r="C4460" s="35" t="s">
        <v>687</v>
      </c>
      <c r="D4460" s="39">
        <v>700.780029296875</v>
      </c>
      <c r="E4460" s="39">
        <v>667.26385498046875</v>
      </c>
      <c r="F4460" s="41">
        <v>1258255</v>
      </c>
      <c r="G4460" s="35" t="s">
        <v>689</v>
      </c>
      <c r="H4460" s="35" t="s">
        <v>115</v>
      </c>
    </row>
    <row r="4461" spans="1:8">
      <c r="A4461" s="37">
        <v>44813.15625</v>
      </c>
      <c r="B4461" s="35" t="s">
        <v>686</v>
      </c>
      <c r="C4461" s="35" t="s">
        <v>687</v>
      </c>
      <c r="D4461" s="39">
        <v>713.59002685546875</v>
      </c>
      <c r="E4461" s="39">
        <v>679.461181640625</v>
      </c>
      <c r="F4461" s="41">
        <v>1584990</v>
      </c>
      <c r="G4461" s="35" t="s">
        <v>689</v>
      </c>
      <c r="H4461" s="35" t="s">
        <v>115</v>
      </c>
    </row>
    <row r="4462" spans="1:8">
      <c r="A4462" s="37">
        <v>44816.15625</v>
      </c>
      <c r="B4462" s="35" t="s">
        <v>686</v>
      </c>
      <c r="C4462" s="35" t="s">
        <v>687</v>
      </c>
      <c r="D4462" s="39">
        <v>723.59002685546875</v>
      </c>
      <c r="E4462" s="39">
        <v>688.98309326171875</v>
      </c>
      <c r="F4462" s="41">
        <v>1409885</v>
      </c>
      <c r="G4462" s="35" t="s">
        <v>689</v>
      </c>
      <c r="H4462" s="35" t="s">
        <v>115</v>
      </c>
    </row>
    <row r="4463" spans="1:8">
      <c r="A4463" s="37">
        <v>44817.15625</v>
      </c>
      <c r="B4463" s="35" t="s">
        <v>686</v>
      </c>
      <c r="C4463" s="35" t="s">
        <v>687</v>
      </c>
      <c r="D4463" s="39">
        <v>721.34002685546875</v>
      </c>
      <c r="E4463" s="39">
        <v>686.84051513671875</v>
      </c>
      <c r="F4463" s="41">
        <v>609120</v>
      </c>
      <c r="G4463" s="35" t="s">
        <v>689</v>
      </c>
      <c r="H4463" s="35" t="s">
        <v>115</v>
      </c>
    </row>
    <row r="4464" spans="1:8">
      <c r="A4464" s="37">
        <v>44818.15625</v>
      </c>
      <c r="B4464" s="35" t="s">
        <v>686</v>
      </c>
      <c r="C4464" s="35" t="s">
        <v>687</v>
      </c>
      <c r="D4464" s="39">
        <v>694.20001220703125</v>
      </c>
      <c r="E4464" s="39">
        <v>660.99853515625</v>
      </c>
      <c r="F4464" s="41">
        <v>2195345</v>
      </c>
      <c r="G4464" s="35" t="s">
        <v>689</v>
      </c>
      <c r="H4464" s="35" t="s">
        <v>115</v>
      </c>
    </row>
    <row r="4465" spans="1:8">
      <c r="A4465" s="37">
        <v>44819.15625</v>
      </c>
      <c r="B4465" s="35" t="s">
        <v>686</v>
      </c>
      <c r="C4465" s="35" t="s">
        <v>687</v>
      </c>
      <c r="D4465" s="39">
        <v>683.77001953125</v>
      </c>
      <c r="E4465" s="39">
        <v>651.0673828125</v>
      </c>
      <c r="F4465" s="41">
        <v>1029400</v>
      </c>
      <c r="G4465" s="35" t="s">
        <v>689</v>
      </c>
      <c r="H4465" s="35" t="s">
        <v>115</v>
      </c>
    </row>
    <row r="4466" spans="1:8">
      <c r="A4466" s="37">
        <v>44820.15625</v>
      </c>
      <c r="B4466" s="35" t="s">
        <v>686</v>
      </c>
      <c r="C4466" s="35" t="s">
        <v>687</v>
      </c>
      <c r="D4466" s="39">
        <v>656.260009765625</v>
      </c>
      <c r="E4466" s="39">
        <v>624.87310791015625</v>
      </c>
      <c r="F4466" s="41">
        <v>1722225</v>
      </c>
      <c r="G4466" s="35" t="s">
        <v>689</v>
      </c>
      <c r="H4466" s="35" t="s">
        <v>115</v>
      </c>
    </row>
    <row r="4467" spans="1:8">
      <c r="A4467" s="37">
        <v>44823.15625</v>
      </c>
      <c r="B4467" s="35" t="s">
        <v>686</v>
      </c>
      <c r="C4467" s="35" t="s">
        <v>687</v>
      </c>
      <c r="D4467" s="39">
        <v>647.19000244140625</v>
      </c>
      <c r="E4467" s="39">
        <v>616.2369384765625</v>
      </c>
      <c r="F4467" s="41">
        <v>1126050</v>
      </c>
      <c r="G4467" s="35" t="s">
        <v>689</v>
      </c>
      <c r="H4467" s="35" t="s">
        <v>115</v>
      </c>
    </row>
    <row r="4468" spans="1:8">
      <c r="A4468" s="37">
        <v>44824.15625</v>
      </c>
      <c r="B4468" s="35" t="s">
        <v>686</v>
      </c>
      <c r="C4468" s="35" t="s">
        <v>687</v>
      </c>
      <c r="D4468" s="39">
        <v>667.66998291015625</v>
      </c>
      <c r="E4468" s="39">
        <v>635.7373046875</v>
      </c>
      <c r="F4468" s="41">
        <v>2984515</v>
      </c>
      <c r="G4468" s="35" t="s">
        <v>689</v>
      </c>
      <c r="H4468" s="35" t="s">
        <v>115</v>
      </c>
    </row>
    <row r="4469" spans="1:8">
      <c r="A4469" s="37">
        <v>44825.15625</v>
      </c>
      <c r="B4469" s="35" t="s">
        <v>686</v>
      </c>
      <c r="C4469" s="35" t="s">
        <v>687</v>
      </c>
      <c r="D4469" s="39">
        <v>664.97998046875</v>
      </c>
      <c r="E4469" s="39">
        <v>633.17608642578125</v>
      </c>
      <c r="F4469" s="41">
        <v>1023720</v>
      </c>
      <c r="G4469" s="35" t="s">
        <v>689</v>
      </c>
      <c r="H4469" s="35" t="s">
        <v>115</v>
      </c>
    </row>
    <row r="4470" spans="1:8">
      <c r="A4470" s="37">
        <v>44826.15625</v>
      </c>
      <c r="B4470" s="35" t="s">
        <v>686</v>
      </c>
      <c r="C4470" s="35" t="s">
        <v>687</v>
      </c>
      <c r="D4470" s="39">
        <v>679.5</v>
      </c>
      <c r="E4470" s="39">
        <v>647.0015869140625</v>
      </c>
      <c r="F4470" s="41">
        <v>1731965</v>
      </c>
      <c r="G4470" s="35" t="s">
        <v>689</v>
      </c>
      <c r="H4470" s="35" t="s">
        <v>115</v>
      </c>
    </row>
    <row r="4471" spans="1:8">
      <c r="A4471" s="37">
        <v>44827.15625</v>
      </c>
      <c r="B4471" s="35" t="s">
        <v>686</v>
      </c>
      <c r="C4471" s="35" t="s">
        <v>687</v>
      </c>
      <c r="D4471" s="39">
        <v>667.30999755859375</v>
      </c>
      <c r="E4471" s="39">
        <v>635.39453125</v>
      </c>
      <c r="F4471" s="41">
        <v>1237680</v>
      </c>
      <c r="G4471" s="35" t="s">
        <v>689</v>
      </c>
      <c r="H4471" s="35" t="s">
        <v>115</v>
      </c>
    </row>
    <row r="4472" spans="1:8">
      <c r="A4472" s="37">
        <v>44830.15625</v>
      </c>
      <c r="B4472" s="35" t="s">
        <v>686</v>
      </c>
      <c r="C4472" s="35" t="s">
        <v>687</v>
      </c>
      <c r="D4472" s="39">
        <v>676.8499755859375</v>
      </c>
      <c r="E4472" s="39">
        <v>644.47821044921875</v>
      </c>
      <c r="F4472" s="41">
        <v>2269315</v>
      </c>
      <c r="G4472" s="35" t="s">
        <v>689</v>
      </c>
      <c r="H4472" s="35" t="s">
        <v>115</v>
      </c>
    </row>
    <row r="4473" spans="1:8">
      <c r="A4473" s="37">
        <v>44831.15625</v>
      </c>
      <c r="B4473" s="35" t="s">
        <v>686</v>
      </c>
      <c r="C4473" s="35" t="s">
        <v>687</v>
      </c>
      <c r="D4473" s="39">
        <v>692.45001220703125</v>
      </c>
      <c r="E4473" s="39">
        <v>659.3321533203125</v>
      </c>
      <c r="F4473" s="41">
        <v>1699300</v>
      </c>
      <c r="G4473" s="35" t="s">
        <v>689</v>
      </c>
      <c r="H4473" s="35" t="s">
        <v>115</v>
      </c>
    </row>
    <row r="4474" spans="1:8">
      <c r="A4474" s="37">
        <v>44832.15625</v>
      </c>
      <c r="B4474" s="35" t="s">
        <v>686</v>
      </c>
      <c r="C4474" s="35" t="s">
        <v>687</v>
      </c>
      <c r="D4474" s="39">
        <v>690.08001708984375</v>
      </c>
      <c r="E4474" s="39">
        <v>657.07574462890625</v>
      </c>
      <c r="F4474" s="41">
        <v>1556480</v>
      </c>
      <c r="G4474" s="35" t="s">
        <v>689</v>
      </c>
      <c r="H4474" s="35" t="s">
        <v>115</v>
      </c>
    </row>
    <row r="4475" spans="1:8">
      <c r="A4475" s="37">
        <v>44833.15625</v>
      </c>
      <c r="B4475" s="35" t="s">
        <v>686</v>
      </c>
      <c r="C4475" s="35" t="s">
        <v>687</v>
      </c>
      <c r="D4475" s="39">
        <v>672.77001953125</v>
      </c>
      <c r="E4475" s="39">
        <v>640.59356689453125</v>
      </c>
      <c r="F4475" s="41">
        <v>1424795</v>
      </c>
      <c r="G4475" s="35" t="s">
        <v>689</v>
      </c>
      <c r="H4475" s="35" t="s">
        <v>115</v>
      </c>
    </row>
    <row r="4476" spans="1:8">
      <c r="A4476" s="37">
        <v>44834.15625</v>
      </c>
      <c r="B4476" s="35" t="s">
        <v>686</v>
      </c>
      <c r="C4476" s="35" t="s">
        <v>687</v>
      </c>
      <c r="D4476" s="39">
        <v>672.3900146484375</v>
      </c>
      <c r="E4476" s="39">
        <v>640.23162841796875</v>
      </c>
      <c r="F4476" s="41">
        <v>1192575</v>
      </c>
      <c r="G4476" s="35" t="s">
        <v>689</v>
      </c>
      <c r="H4476" s="35" t="s">
        <v>115</v>
      </c>
    </row>
    <row r="4477" spans="1:8">
      <c r="A4477" s="37">
        <v>44837.15625</v>
      </c>
      <c r="B4477" s="35" t="s">
        <v>686</v>
      </c>
      <c r="C4477" s="35" t="s">
        <v>687</v>
      </c>
      <c r="D4477" s="39">
        <v>665.77001953125</v>
      </c>
      <c r="E4477" s="39">
        <v>633.92828369140625</v>
      </c>
      <c r="F4477" s="41">
        <v>1574495</v>
      </c>
      <c r="G4477" s="35" t="s">
        <v>689</v>
      </c>
      <c r="H4477" s="35" t="s">
        <v>115</v>
      </c>
    </row>
    <row r="4478" spans="1:8">
      <c r="A4478" s="37">
        <v>44838.15625</v>
      </c>
      <c r="B4478" s="35" t="s">
        <v>686</v>
      </c>
      <c r="C4478" s="35" t="s">
        <v>687</v>
      </c>
      <c r="D4478" s="39">
        <v>695.9000244140625</v>
      </c>
      <c r="E4478" s="39">
        <v>662.61737060546875</v>
      </c>
      <c r="F4478" s="41">
        <v>1746595</v>
      </c>
      <c r="G4478" s="35" t="s">
        <v>689</v>
      </c>
      <c r="H4478" s="35" t="s">
        <v>115</v>
      </c>
    </row>
    <row r="4479" spans="1:8">
      <c r="A4479" s="37">
        <v>44840.15625</v>
      </c>
      <c r="B4479" s="35" t="s">
        <v>686</v>
      </c>
      <c r="C4479" s="35" t="s">
        <v>687</v>
      </c>
      <c r="D4479" s="39">
        <v>724.42999267578125</v>
      </c>
      <c r="E4479" s="39">
        <v>689.78277587890625</v>
      </c>
      <c r="F4479" s="41">
        <v>1730045</v>
      </c>
      <c r="G4479" s="35" t="s">
        <v>689</v>
      </c>
      <c r="H4479" s="35" t="s">
        <v>115</v>
      </c>
    </row>
    <row r="4480" spans="1:8">
      <c r="A4480" s="37">
        <v>44841.15625</v>
      </c>
      <c r="B4480" s="35" t="s">
        <v>686</v>
      </c>
      <c r="C4480" s="35" t="s">
        <v>687</v>
      </c>
      <c r="D4480" s="39">
        <v>720.5</v>
      </c>
      <c r="E4480" s="39">
        <v>686.04071044921875</v>
      </c>
      <c r="F4480" s="41">
        <v>850870</v>
      </c>
      <c r="G4480" s="35" t="s">
        <v>689</v>
      </c>
      <c r="H4480" s="35" t="s">
        <v>115</v>
      </c>
    </row>
    <row r="4481" spans="1:8">
      <c r="A4481" s="37">
        <v>44844.15625</v>
      </c>
      <c r="B4481" s="35" t="s">
        <v>686</v>
      </c>
      <c r="C4481" s="35" t="s">
        <v>687</v>
      </c>
      <c r="D4481" s="39">
        <v>727.6099853515625</v>
      </c>
      <c r="E4481" s="39">
        <v>692.8106689453125</v>
      </c>
      <c r="F4481" s="41">
        <v>1007915</v>
      </c>
      <c r="G4481" s="35" t="s">
        <v>689</v>
      </c>
      <c r="H4481" s="35" t="s">
        <v>115</v>
      </c>
    </row>
    <row r="4482" spans="1:8">
      <c r="A4482" s="37">
        <v>44845.15625</v>
      </c>
      <c r="B4482" s="35" t="s">
        <v>686</v>
      </c>
      <c r="C4482" s="35" t="s">
        <v>687</v>
      </c>
      <c r="D4482" s="39">
        <v>718.55999755859375</v>
      </c>
      <c r="E4482" s="39">
        <v>684.1934814453125</v>
      </c>
      <c r="F4482" s="41">
        <v>2008380</v>
      </c>
      <c r="G4482" s="35" t="s">
        <v>689</v>
      </c>
      <c r="H4482" s="35" t="s">
        <v>115</v>
      </c>
    </row>
    <row r="4483" spans="1:8">
      <c r="A4483" s="37">
        <v>44846.15625</v>
      </c>
      <c r="B4483" s="35" t="s">
        <v>686</v>
      </c>
      <c r="C4483" s="35" t="s">
        <v>687</v>
      </c>
      <c r="D4483" s="39">
        <v>723.94000244140625</v>
      </c>
      <c r="E4483" s="39">
        <v>689.31622314453125</v>
      </c>
      <c r="F4483" s="41">
        <v>924920</v>
      </c>
      <c r="G4483" s="35" t="s">
        <v>689</v>
      </c>
      <c r="H4483" s="35" t="s">
        <v>115</v>
      </c>
    </row>
    <row r="4484" spans="1:8">
      <c r="A4484" s="37">
        <v>44847.15625</v>
      </c>
      <c r="B4484" s="35" t="s">
        <v>686</v>
      </c>
      <c r="C4484" s="35" t="s">
        <v>687</v>
      </c>
      <c r="D4484" s="39">
        <v>726.780029296875</v>
      </c>
      <c r="E4484" s="39">
        <v>692.02044677734375</v>
      </c>
      <c r="F4484" s="41">
        <v>684880</v>
      </c>
      <c r="G4484" s="35" t="s">
        <v>689</v>
      </c>
      <c r="H4484" s="35" t="s">
        <v>115</v>
      </c>
    </row>
    <row r="4485" spans="1:8">
      <c r="A4485" s="37">
        <v>44848.15625</v>
      </c>
      <c r="B4485" s="35" t="s">
        <v>686</v>
      </c>
      <c r="C4485" s="35" t="s">
        <v>687</v>
      </c>
      <c r="D4485" s="39">
        <v>748.4000244140625</v>
      </c>
      <c r="E4485" s="39">
        <v>712.6064453125</v>
      </c>
      <c r="F4485" s="41">
        <v>2444480</v>
      </c>
      <c r="G4485" s="35" t="s">
        <v>689</v>
      </c>
      <c r="H4485" s="35" t="s">
        <v>115</v>
      </c>
    </row>
    <row r="4486" spans="1:8">
      <c r="A4486" s="37">
        <v>44851.15625</v>
      </c>
      <c r="B4486" s="35" t="s">
        <v>686</v>
      </c>
      <c r="C4486" s="35" t="s">
        <v>687</v>
      </c>
      <c r="D4486" s="39">
        <v>752.6199951171875</v>
      </c>
      <c r="E4486" s="39">
        <v>716.62457275390625</v>
      </c>
      <c r="F4486" s="41">
        <v>1139470</v>
      </c>
      <c r="G4486" s="35" t="s">
        <v>689</v>
      </c>
      <c r="H4486" s="35" t="s">
        <v>115</v>
      </c>
    </row>
    <row r="4487" spans="1:8">
      <c r="A4487" s="37">
        <v>44852.15625</v>
      </c>
      <c r="B4487" s="35" t="s">
        <v>686</v>
      </c>
      <c r="C4487" s="35" t="s">
        <v>687</v>
      </c>
      <c r="D4487" s="39">
        <v>767.3499755859375</v>
      </c>
      <c r="E4487" s="39">
        <v>730.64996337890625</v>
      </c>
      <c r="F4487" s="41">
        <v>1504425</v>
      </c>
      <c r="G4487" s="35" t="s">
        <v>689</v>
      </c>
      <c r="H4487" s="35" t="s">
        <v>115</v>
      </c>
    </row>
    <row r="4488" spans="1:8">
      <c r="A4488" s="37">
        <v>44853.15625</v>
      </c>
      <c r="B4488" s="35" t="s">
        <v>686</v>
      </c>
      <c r="C4488" s="35" t="s">
        <v>687</v>
      </c>
      <c r="D4488" s="39">
        <v>762.469970703125</v>
      </c>
      <c r="E4488" s="39">
        <v>726.00341796875</v>
      </c>
      <c r="F4488" s="41">
        <v>642230</v>
      </c>
      <c r="G4488" s="35" t="s">
        <v>689</v>
      </c>
      <c r="H4488" s="35" t="s">
        <v>115</v>
      </c>
    </row>
    <row r="4489" spans="1:8">
      <c r="A4489" s="37">
        <v>44854.15625</v>
      </c>
      <c r="B4489" s="35" t="s">
        <v>686</v>
      </c>
      <c r="C4489" s="35" t="s">
        <v>687</v>
      </c>
      <c r="D4489" s="39">
        <v>771.65997314453125</v>
      </c>
      <c r="E4489" s="39">
        <v>734.75390625</v>
      </c>
      <c r="F4489" s="41">
        <v>1610975</v>
      </c>
      <c r="G4489" s="35" t="s">
        <v>689</v>
      </c>
      <c r="H4489" s="35" t="s">
        <v>115</v>
      </c>
    </row>
    <row r="4490" spans="1:8">
      <c r="A4490" s="37">
        <v>44855.15625</v>
      </c>
      <c r="B4490" s="35" t="s">
        <v>686</v>
      </c>
      <c r="C4490" s="35" t="s">
        <v>687</v>
      </c>
      <c r="D4490" s="39">
        <v>772.41998291015625</v>
      </c>
      <c r="E4490" s="39">
        <v>735.4775390625</v>
      </c>
      <c r="F4490" s="41">
        <v>2876945</v>
      </c>
      <c r="G4490" s="35" t="s">
        <v>689</v>
      </c>
      <c r="H4490" s="35" t="s">
        <v>115</v>
      </c>
    </row>
    <row r="4491" spans="1:8">
      <c r="A4491" s="37">
        <v>44858.53125</v>
      </c>
      <c r="B4491" s="35" t="s">
        <v>686</v>
      </c>
      <c r="C4491" s="35" t="s">
        <v>687</v>
      </c>
      <c r="D4491" s="39">
        <v>775.46002197265625</v>
      </c>
      <c r="E4491" s="39">
        <v>738.37213134765625</v>
      </c>
      <c r="F4491" s="41">
        <v>119175</v>
      </c>
      <c r="G4491" s="35" t="s">
        <v>689</v>
      </c>
      <c r="H4491" s="35" t="s">
        <v>115</v>
      </c>
    </row>
    <row r="4492" spans="1:8">
      <c r="A4492" s="37">
        <v>44859.15625</v>
      </c>
      <c r="B4492" s="35" t="s">
        <v>686</v>
      </c>
      <c r="C4492" s="35" t="s">
        <v>687</v>
      </c>
      <c r="D4492" s="39">
        <v>779.05999755859375</v>
      </c>
      <c r="E4492" s="39">
        <v>741.79986572265625</v>
      </c>
      <c r="F4492" s="41">
        <v>900545</v>
      </c>
      <c r="G4492" s="35" t="s">
        <v>689</v>
      </c>
      <c r="H4492" s="35" t="s">
        <v>115</v>
      </c>
    </row>
    <row r="4493" spans="1:8">
      <c r="A4493" s="37">
        <v>44861.15625</v>
      </c>
      <c r="B4493" s="35" t="s">
        <v>686</v>
      </c>
      <c r="C4493" s="35" t="s">
        <v>687</v>
      </c>
      <c r="D4493" s="39">
        <v>777.6400146484375</v>
      </c>
      <c r="E4493" s="39">
        <v>740.4478759765625</v>
      </c>
      <c r="F4493" s="41">
        <v>711910</v>
      </c>
      <c r="G4493" s="35" t="s">
        <v>689</v>
      </c>
      <c r="H4493" s="35" t="s">
        <v>115</v>
      </c>
    </row>
    <row r="4494" spans="1:8">
      <c r="A4494" s="37">
        <v>44862.15625</v>
      </c>
      <c r="B4494" s="35" t="s">
        <v>686</v>
      </c>
      <c r="C4494" s="35" t="s">
        <v>687</v>
      </c>
      <c r="D4494" s="39">
        <v>747.29998779296875</v>
      </c>
      <c r="E4494" s="39">
        <v>711.55908203125</v>
      </c>
      <c r="F4494" s="41">
        <v>1048310</v>
      </c>
      <c r="G4494" s="35" t="s">
        <v>689</v>
      </c>
      <c r="H4494" s="35" t="s">
        <v>115</v>
      </c>
    </row>
    <row r="4495" spans="1:8">
      <c r="A4495" s="37">
        <v>44865.15625</v>
      </c>
      <c r="B4495" s="35" t="s">
        <v>686</v>
      </c>
      <c r="C4495" s="35" t="s">
        <v>687</v>
      </c>
      <c r="D4495" s="39">
        <v>761.91998291015625</v>
      </c>
      <c r="E4495" s="39">
        <v>725.47979736328125</v>
      </c>
      <c r="F4495" s="41">
        <v>766820</v>
      </c>
      <c r="G4495" s="35" t="s">
        <v>689</v>
      </c>
      <c r="H4495" s="35" t="s">
        <v>115</v>
      </c>
    </row>
    <row r="4496" spans="1:8">
      <c r="A4496" s="37">
        <v>44866.15625</v>
      </c>
      <c r="B4496" s="35" t="s">
        <v>686</v>
      </c>
      <c r="C4496" s="35" t="s">
        <v>687</v>
      </c>
      <c r="D4496" s="39">
        <v>768.95001220703125</v>
      </c>
      <c r="E4496" s="39">
        <v>732.173583984375</v>
      </c>
      <c r="F4496" s="41">
        <v>793765</v>
      </c>
      <c r="G4496" s="35" t="s">
        <v>689</v>
      </c>
      <c r="H4496" s="35" t="s">
        <v>115</v>
      </c>
    </row>
    <row r="4497" spans="1:8">
      <c r="A4497" s="37">
        <v>44867.15625</v>
      </c>
      <c r="B4497" s="35" t="s">
        <v>686</v>
      </c>
      <c r="C4497" s="35" t="s">
        <v>687</v>
      </c>
      <c r="D4497" s="39">
        <v>767.53997802734375</v>
      </c>
      <c r="E4497" s="39">
        <v>730.83099365234375</v>
      </c>
      <c r="F4497" s="41">
        <v>648820</v>
      </c>
      <c r="G4497" s="35" t="s">
        <v>689</v>
      </c>
      <c r="H4497" s="35" t="s">
        <v>115</v>
      </c>
    </row>
    <row r="4498" spans="1:8">
      <c r="A4498" s="37">
        <v>44868.15625</v>
      </c>
      <c r="B4498" s="35" t="s">
        <v>686</v>
      </c>
      <c r="C4498" s="35" t="s">
        <v>687</v>
      </c>
      <c r="D4498" s="39">
        <v>758.8800048828125</v>
      </c>
      <c r="E4498" s="39">
        <v>725.04107666015625</v>
      </c>
      <c r="F4498" s="41">
        <v>484385</v>
      </c>
      <c r="G4498" s="35" t="s">
        <v>689</v>
      </c>
      <c r="H4498" s="35" t="s">
        <v>115</v>
      </c>
    </row>
    <row r="4499" spans="1:8">
      <c r="A4499" s="37">
        <v>44869.15625</v>
      </c>
      <c r="B4499" s="35" t="s">
        <v>686</v>
      </c>
      <c r="C4499" s="35" t="s">
        <v>687</v>
      </c>
      <c r="D4499" s="39">
        <v>747.6199951171875</v>
      </c>
      <c r="E4499" s="39">
        <v>714.28338623046875</v>
      </c>
      <c r="F4499" s="41">
        <v>492730</v>
      </c>
      <c r="G4499" s="35" t="s">
        <v>689</v>
      </c>
      <c r="H4499" s="35" t="s">
        <v>115</v>
      </c>
    </row>
    <row r="4500" spans="1:8">
      <c r="A4500" s="37">
        <v>44872.15625</v>
      </c>
      <c r="B4500" s="35" t="s">
        <v>686</v>
      </c>
      <c r="C4500" s="35" t="s">
        <v>687</v>
      </c>
      <c r="D4500" s="39">
        <v>742.72998046875</v>
      </c>
      <c r="E4500" s="39">
        <v>709.61126708984375</v>
      </c>
      <c r="F4500" s="41">
        <v>536615</v>
      </c>
      <c r="G4500" s="35" t="s">
        <v>689</v>
      </c>
      <c r="H4500" s="35" t="s">
        <v>115</v>
      </c>
    </row>
    <row r="4501" spans="1:8">
      <c r="A4501" s="37">
        <v>44874.15625</v>
      </c>
      <c r="B4501" s="35" t="s">
        <v>686</v>
      </c>
      <c r="C4501" s="35" t="s">
        <v>687</v>
      </c>
      <c r="D4501" s="39">
        <v>736.15997314453125</v>
      </c>
      <c r="E4501" s="39">
        <v>703.334228515625</v>
      </c>
      <c r="F4501" s="41">
        <v>455035</v>
      </c>
      <c r="G4501" s="35" t="s">
        <v>689</v>
      </c>
      <c r="H4501" s="35" t="s">
        <v>115</v>
      </c>
    </row>
    <row r="4502" spans="1:8">
      <c r="A4502" s="37">
        <v>44875.15625</v>
      </c>
      <c r="B4502" s="35" t="s">
        <v>686</v>
      </c>
      <c r="C4502" s="35" t="s">
        <v>687</v>
      </c>
      <c r="D4502" s="39">
        <v>735.219970703125</v>
      </c>
      <c r="E4502" s="39">
        <v>702.43621826171875</v>
      </c>
      <c r="F4502" s="41">
        <v>488590</v>
      </c>
      <c r="G4502" s="35" t="s">
        <v>689</v>
      </c>
      <c r="H4502" s="35" t="s">
        <v>115</v>
      </c>
    </row>
    <row r="4503" spans="1:8">
      <c r="A4503" s="37">
        <v>44876.15625</v>
      </c>
      <c r="B4503" s="35" t="s">
        <v>686</v>
      </c>
      <c r="C4503" s="35" t="s">
        <v>687</v>
      </c>
      <c r="D4503" s="39">
        <v>779.530029296875</v>
      </c>
      <c r="E4503" s="39">
        <v>744.7703857421875</v>
      </c>
      <c r="F4503" s="41">
        <v>2910880</v>
      </c>
      <c r="G4503" s="35" t="s">
        <v>689</v>
      </c>
      <c r="H4503" s="35" t="s">
        <v>115</v>
      </c>
    </row>
    <row r="4504" spans="1:8">
      <c r="A4504" s="37">
        <v>44879.15625</v>
      </c>
      <c r="B4504" s="35" t="s">
        <v>686</v>
      </c>
      <c r="C4504" s="35" t="s">
        <v>687</v>
      </c>
      <c r="D4504" s="39">
        <v>803.66998291015625</v>
      </c>
      <c r="E4504" s="39">
        <v>767.8338623046875</v>
      </c>
      <c r="F4504" s="41">
        <v>2215680</v>
      </c>
      <c r="G4504" s="35" t="s">
        <v>689</v>
      </c>
      <c r="H4504" s="35" t="s">
        <v>115</v>
      </c>
    </row>
    <row r="4505" spans="1:8">
      <c r="A4505" s="37">
        <v>44880.15625</v>
      </c>
      <c r="B4505" s="35" t="s">
        <v>686</v>
      </c>
      <c r="C4505" s="35" t="s">
        <v>687</v>
      </c>
      <c r="D4505" s="39">
        <v>794.46002197265625</v>
      </c>
      <c r="E4505" s="39">
        <v>759.03472900390625</v>
      </c>
      <c r="F4505" s="41">
        <v>1235920</v>
      </c>
      <c r="G4505" s="35" t="s">
        <v>689</v>
      </c>
      <c r="H4505" s="35" t="s">
        <v>115</v>
      </c>
    </row>
    <row r="4506" spans="1:8">
      <c r="A4506" s="37">
        <v>44881.15625</v>
      </c>
      <c r="B4506" s="35" t="s">
        <v>686</v>
      </c>
      <c r="C4506" s="35" t="s">
        <v>687</v>
      </c>
      <c r="D4506" s="39">
        <v>788.8900146484375</v>
      </c>
      <c r="E4506" s="39">
        <v>753.71295166015625</v>
      </c>
      <c r="F4506" s="41">
        <v>996740</v>
      </c>
      <c r="G4506" s="35" t="s">
        <v>689</v>
      </c>
      <c r="H4506" s="35" t="s">
        <v>115</v>
      </c>
    </row>
    <row r="4507" spans="1:8">
      <c r="A4507" s="37">
        <v>44882.15625</v>
      </c>
      <c r="B4507" s="35" t="s">
        <v>686</v>
      </c>
      <c r="C4507" s="35" t="s">
        <v>687</v>
      </c>
      <c r="D4507" s="39">
        <v>773.15997314453125</v>
      </c>
      <c r="E4507" s="39">
        <v>738.68450927734375</v>
      </c>
      <c r="F4507" s="41">
        <v>844280</v>
      </c>
      <c r="G4507" s="35" t="s">
        <v>689</v>
      </c>
      <c r="H4507" s="35" t="s">
        <v>115</v>
      </c>
    </row>
    <row r="4508" spans="1:8">
      <c r="A4508" s="37">
        <v>44883.15625</v>
      </c>
      <c r="B4508" s="35" t="s">
        <v>686</v>
      </c>
      <c r="C4508" s="35" t="s">
        <v>687</v>
      </c>
      <c r="D4508" s="39">
        <v>761.75</v>
      </c>
      <c r="E4508" s="39">
        <v>727.78326416015625</v>
      </c>
      <c r="F4508" s="41">
        <v>1187770</v>
      </c>
      <c r="G4508" s="35" t="s">
        <v>689</v>
      </c>
      <c r="H4508" s="35" t="s">
        <v>115</v>
      </c>
    </row>
    <row r="4509" spans="1:8">
      <c r="A4509" s="37">
        <v>44886.15625</v>
      </c>
      <c r="B4509" s="35" t="s">
        <v>686</v>
      </c>
      <c r="C4509" s="35" t="s">
        <v>687</v>
      </c>
      <c r="D4509" s="39">
        <v>752.1500244140625</v>
      </c>
      <c r="E4509" s="39">
        <v>718.6112060546875</v>
      </c>
      <c r="F4509" s="41">
        <v>861665</v>
      </c>
      <c r="G4509" s="35" t="s">
        <v>689</v>
      </c>
      <c r="H4509" s="35" t="s">
        <v>115</v>
      </c>
    </row>
    <row r="4510" spans="1:8">
      <c r="A4510" s="37">
        <v>44887.15625</v>
      </c>
      <c r="B4510" s="35" t="s">
        <v>686</v>
      </c>
      <c r="C4510" s="35" t="s">
        <v>687</v>
      </c>
      <c r="D4510" s="39">
        <v>761.57000732421875</v>
      </c>
      <c r="E4510" s="39">
        <v>727.61114501953125</v>
      </c>
      <c r="F4510" s="41">
        <v>569835</v>
      </c>
      <c r="G4510" s="35" t="s">
        <v>689</v>
      </c>
      <c r="H4510" s="35" t="s">
        <v>115</v>
      </c>
    </row>
    <row r="4511" spans="1:8">
      <c r="A4511" s="37">
        <v>44888.15625</v>
      </c>
      <c r="B4511" s="35" t="s">
        <v>686</v>
      </c>
      <c r="C4511" s="35" t="s">
        <v>687</v>
      </c>
      <c r="D4511" s="39">
        <v>774.8699951171875</v>
      </c>
      <c r="E4511" s="39">
        <v>740.31817626953125</v>
      </c>
      <c r="F4511" s="41">
        <v>1111300</v>
      </c>
      <c r="G4511" s="35" t="s">
        <v>689</v>
      </c>
      <c r="H4511" s="35" t="s">
        <v>115</v>
      </c>
    </row>
    <row r="4512" spans="1:8">
      <c r="A4512" s="37">
        <v>44889.15625</v>
      </c>
      <c r="B4512" s="35" t="s">
        <v>686</v>
      </c>
      <c r="C4512" s="35" t="s">
        <v>687</v>
      </c>
      <c r="D4512" s="39">
        <v>789.58001708984375</v>
      </c>
      <c r="E4512" s="39">
        <v>754.37225341796875</v>
      </c>
      <c r="F4512" s="41">
        <v>985620</v>
      </c>
      <c r="G4512" s="35" t="s">
        <v>689</v>
      </c>
      <c r="H4512" s="35" t="s">
        <v>115</v>
      </c>
    </row>
    <row r="4513" spans="1:8">
      <c r="A4513" s="37">
        <v>44890.15625</v>
      </c>
      <c r="B4513" s="35" t="s">
        <v>686</v>
      </c>
      <c r="C4513" s="35" t="s">
        <v>687</v>
      </c>
      <c r="D4513" s="39">
        <v>788.96002197265625</v>
      </c>
      <c r="E4513" s="39">
        <v>753.77996826171875</v>
      </c>
      <c r="F4513" s="41">
        <v>791835</v>
      </c>
      <c r="G4513" s="35" t="s">
        <v>689</v>
      </c>
      <c r="H4513" s="35" t="s">
        <v>115</v>
      </c>
    </row>
    <row r="4514" spans="1:8">
      <c r="A4514" s="37">
        <v>44893.15625</v>
      </c>
      <c r="B4514" s="35" t="s">
        <v>686</v>
      </c>
      <c r="C4514" s="35" t="s">
        <v>687</v>
      </c>
      <c r="D4514" s="39">
        <v>795.8800048828125</v>
      </c>
      <c r="E4514" s="39">
        <v>760.391357421875</v>
      </c>
      <c r="F4514" s="41">
        <v>740215</v>
      </c>
      <c r="G4514" s="35" t="s">
        <v>689</v>
      </c>
      <c r="H4514" s="35" t="s">
        <v>115</v>
      </c>
    </row>
    <row r="4515" spans="1:8">
      <c r="A4515" s="37">
        <v>44894.15625</v>
      </c>
      <c r="B4515" s="35" t="s">
        <v>686</v>
      </c>
      <c r="C4515" s="35" t="s">
        <v>687</v>
      </c>
      <c r="D4515" s="39">
        <v>795.54998779296875</v>
      </c>
      <c r="E4515" s="39">
        <v>760.07598876953125</v>
      </c>
      <c r="F4515" s="41">
        <v>965080</v>
      </c>
      <c r="G4515" s="35" t="s">
        <v>689</v>
      </c>
      <c r="H4515" s="35" t="s">
        <v>115</v>
      </c>
    </row>
    <row r="4516" spans="1:8">
      <c r="A4516" s="37">
        <v>44895.15625</v>
      </c>
      <c r="B4516" s="35" t="s">
        <v>686</v>
      </c>
      <c r="C4516" s="35" t="s">
        <v>687</v>
      </c>
      <c r="D4516" s="39">
        <v>807.260009765625</v>
      </c>
      <c r="E4516" s="39">
        <v>771.263916015625</v>
      </c>
      <c r="F4516" s="41">
        <v>1635765</v>
      </c>
      <c r="G4516" s="35" t="s">
        <v>689</v>
      </c>
      <c r="H4516" s="35" t="s">
        <v>115</v>
      </c>
    </row>
    <row r="4517" spans="1:8">
      <c r="A4517" s="37">
        <v>44896.15625</v>
      </c>
      <c r="B4517" s="35" t="s">
        <v>686</v>
      </c>
      <c r="C4517" s="35" t="s">
        <v>687</v>
      </c>
      <c r="D4517" s="39">
        <v>823.3699951171875</v>
      </c>
      <c r="E4517" s="39">
        <v>786.655517578125</v>
      </c>
      <c r="F4517" s="41">
        <v>3463435</v>
      </c>
      <c r="G4517" s="35" t="s">
        <v>689</v>
      </c>
      <c r="H4517" s="35" t="s">
        <v>115</v>
      </c>
    </row>
    <row r="4518" spans="1:8">
      <c r="A4518" s="37">
        <v>44897.15625</v>
      </c>
      <c r="B4518" s="35" t="s">
        <v>686</v>
      </c>
      <c r="C4518" s="35" t="s">
        <v>687</v>
      </c>
      <c r="D4518" s="39">
        <v>847.5</v>
      </c>
      <c r="E4518" s="39">
        <v>809.70947265625</v>
      </c>
      <c r="F4518" s="41">
        <v>2603030</v>
      </c>
      <c r="G4518" s="35" t="s">
        <v>689</v>
      </c>
      <c r="H4518" s="35" t="s">
        <v>115</v>
      </c>
    </row>
    <row r="4519" spans="1:8">
      <c r="A4519" s="37">
        <v>44900.15625</v>
      </c>
      <c r="B4519" s="35" t="s">
        <v>686</v>
      </c>
      <c r="C4519" s="35" t="s">
        <v>687</v>
      </c>
      <c r="D4519" s="39">
        <v>838.3599853515625</v>
      </c>
      <c r="E4519" s="39">
        <v>800.9771728515625</v>
      </c>
      <c r="F4519" s="41">
        <v>1242145</v>
      </c>
      <c r="G4519" s="35" t="s">
        <v>689</v>
      </c>
      <c r="H4519" s="35" t="s">
        <v>115</v>
      </c>
    </row>
    <row r="4520" spans="1:8">
      <c r="A4520" s="37">
        <v>44901.15625</v>
      </c>
      <c r="B4520" s="35" t="s">
        <v>686</v>
      </c>
      <c r="C4520" s="35" t="s">
        <v>687</v>
      </c>
      <c r="D4520" s="39">
        <v>815.97998046875</v>
      </c>
      <c r="E4520" s="39">
        <v>779.59503173828125</v>
      </c>
      <c r="F4520" s="41">
        <v>1262610</v>
      </c>
      <c r="G4520" s="35" t="s">
        <v>689</v>
      </c>
      <c r="H4520" s="35" t="s">
        <v>115</v>
      </c>
    </row>
    <row r="4521" spans="1:8">
      <c r="A4521" s="37">
        <v>44902.15625</v>
      </c>
      <c r="B4521" s="35" t="s">
        <v>686</v>
      </c>
      <c r="C4521" s="35" t="s">
        <v>687</v>
      </c>
      <c r="D4521" s="39">
        <v>804.78997802734375</v>
      </c>
      <c r="E4521" s="39">
        <v>768.90399169921875</v>
      </c>
      <c r="F4521" s="41">
        <v>1001340</v>
      </c>
      <c r="G4521" s="35" t="s">
        <v>689</v>
      </c>
      <c r="H4521" s="35" t="s">
        <v>115</v>
      </c>
    </row>
    <row r="4522" spans="1:8">
      <c r="A4522" s="37">
        <v>44903.15625</v>
      </c>
      <c r="B4522" s="35" t="s">
        <v>686</v>
      </c>
      <c r="C4522" s="35" t="s">
        <v>687</v>
      </c>
      <c r="D4522" s="39">
        <v>797.15997314453125</v>
      </c>
      <c r="E4522" s="39">
        <v>761.61431884765625</v>
      </c>
      <c r="F4522" s="41">
        <v>1107090</v>
      </c>
      <c r="G4522" s="35" t="s">
        <v>689</v>
      </c>
      <c r="H4522" s="35" t="s">
        <v>115</v>
      </c>
    </row>
    <row r="4523" spans="1:8">
      <c r="A4523" s="37">
        <v>44904.15625</v>
      </c>
      <c r="B4523" s="35" t="s">
        <v>686</v>
      </c>
      <c r="C4523" s="35" t="s">
        <v>687</v>
      </c>
      <c r="D4523" s="39">
        <v>775.44000244140625</v>
      </c>
      <c r="E4523" s="39">
        <v>740.86273193359375</v>
      </c>
      <c r="F4523" s="41">
        <v>2081660</v>
      </c>
      <c r="G4523" s="35" t="s">
        <v>689</v>
      </c>
      <c r="H4523" s="35" t="s">
        <v>115</v>
      </c>
    </row>
    <row r="4524" spans="1:8">
      <c r="A4524" s="37">
        <v>44907.15625</v>
      </c>
      <c r="B4524" s="35" t="s">
        <v>686</v>
      </c>
      <c r="C4524" s="35" t="s">
        <v>687</v>
      </c>
      <c r="D4524" s="39">
        <v>781.25</v>
      </c>
      <c r="E4524" s="39">
        <v>746.41357421875</v>
      </c>
      <c r="F4524" s="41">
        <v>1069540</v>
      </c>
      <c r="G4524" s="35" t="s">
        <v>689</v>
      </c>
      <c r="H4524" s="35" t="s">
        <v>115</v>
      </c>
    </row>
    <row r="4525" spans="1:8">
      <c r="A4525" s="37">
        <v>44908.15625</v>
      </c>
      <c r="B4525" s="35" t="s">
        <v>686</v>
      </c>
      <c r="C4525" s="35" t="s">
        <v>687</v>
      </c>
      <c r="D4525" s="39">
        <v>783.719970703125</v>
      </c>
      <c r="E4525" s="39">
        <v>748.7735595703125</v>
      </c>
      <c r="F4525" s="41">
        <v>1090775</v>
      </c>
      <c r="G4525" s="35" t="s">
        <v>689</v>
      </c>
      <c r="H4525" s="35" t="s">
        <v>115</v>
      </c>
    </row>
    <row r="4526" spans="1:8">
      <c r="A4526" s="37">
        <v>44909.15625</v>
      </c>
      <c r="B4526" s="35" t="s">
        <v>686</v>
      </c>
      <c r="C4526" s="35" t="s">
        <v>687</v>
      </c>
      <c r="D4526" s="39">
        <v>797.05999755859375</v>
      </c>
      <c r="E4526" s="39">
        <v>761.51861572265625</v>
      </c>
      <c r="F4526" s="41">
        <v>2393040</v>
      </c>
      <c r="G4526" s="35" t="s">
        <v>689</v>
      </c>
      <c r="H4526" s="35" t="s">
        <v>115</v>
      </c>
    </row>
    <row r="4527" spans="1:8">
      <c r="A4527" s="37">
        <v>44910.15625</v>
      </c>
      <c r="B4527" s="35" t="s">
        <v>686</v>
      </c>
      <c r="C4527" s="35" t="s">
        <v>687</v>
      </c>
      <c r="D4527" s="39">
        <v>775.04998779296875</v>
      </c>
      <c r="E4527" s="39">
        <v>740.49017333984375</v>
      </c>
      <c r="F4527" s="41">
        <v>995670</v>
      </c>
      <c r="G4527" s="35" t="s">
        <v>689</v>
      </c>
      <c r="H4527" s="35" t="s">
        <v>115</v>
      </c>
    </row>
    <row r="4528" spans="1:8">
      <c r="A4528" s="37">
        <v>44911.15625</v>
      </c>
      <c r="B4528" s="35" t="s">
        <v>686</v>
      </c>
      <c r="C4528" s="35" t="s">
        <v>687</v>
      </c>
      <c r="D4528" s="39">
        <v>790.52001953125</v>
      </c>
      <c r="E4528" s="39">
        <v>755.2703857421875</v>
      </c>
      <c r="F4528" s="41">
        <v>2253695</v>
      </c>
      <c r="G4528" s="35" t="s">
        <v>689</v>
      </c>
      <c r="H4528" s="35" t="s">
        <v>115</v>
      </c>
    </row>
    <row r="4529" spans="1:8">
      <c r="A4529" s="37">
        <v>44914.15625</v>
      </c>
      <c r="B4529" s="35" t="s">
        <v>686</v>
      </c>
      <c r="C4529" s="35" t="s">
        <v>687</v>
      </c>
      <c r="D4529" s="39">
        <v>779.1300048828125</v>
      </c>
      <c r="E4529" s="39">
        <v>744.38812255859375</v>
      </c>
      <c r="F4529" s="41">
        <v>969275</v>
      </c>
      <c r="G4529" s="35" t="s">
        <v>689</v>
      </c>
      <c r="H4529" s="35" t="s">
        <v>115</v>
      </c>
    </row>
    <row r="4530" spans="1:8">
      <c r="A4530" s="37">
        <v>44915.15625</v>
      </c>
      <c r="B4530" s="35" t="s">
        <v>686</v>
      </c>
      <c r="C4530" s="35" t="s">
        <v>687</v>
      </c>
      <c r="D4530" s="39">
        <v>779.19000244140625</v>
      </c>
      <c r="E4530" s="39">
        <v>744.44549560546875</v>
      </c>
      <c r="F4530" s="41">
        <v>971140</v>
      </c>
      <c r="G4530" s="35" t="s">
        <v>689</v>
      </c>
      <c r="H4530" s="35" t="s">
        <v>115</v>
      </c>
    </row>
    <row r="4531" spans="1:8">
      <c r="A4531" s="37">
        <v>44916.15625</v>
      </c>
      <c r="B4531" s="35" t="s">
        <v>686</v>
      </c>
      <c r="C4531" s="35" t="s">
        <v>687</v>
      </c>
      <c r="D4531" s="39">
        <v>784.08001708984375</v>
      </c>
      <c r="E4531" s="39">
        <v>749.11749267578125</v>
      </c>
      <c r="F4531" s="41">
        <v>1500595</v>
      </c>
      <c r="G4531" s="35" t="s">
        <v>689</v>
      </c>
      <c r="H4531" s="35" t="s">
        <v>115</v>
      </c>
    </row>
    <row r="4532" spans="1:8">
      <c r="A4532" s="37">
        <v>44917.15625</v>
      </c>
      <c r="B4532" s="35" t="s">
        <v>686</v>
      </c>
      <c r="C4532" s="35" t="s">
        <v>687</v>
      </c>
      <c r="D4532" s="39">
        <v>777.1199951171875</v>
      </c>
      <c r="E4532" s="39">
        <v>742.4677734375</v>
      </c>
      <c r="F4532" s="41">
        <v>1297950</v>
      </c>
      <c r="G4532" s="35" t="s">
        <v>689</v>
      </c>
      <c r="H4532" s="35" t="s">
        <v>115</v>
      </c>
    </row>
    <row r="4533" spans="1:8">
      <c r="A4533" s="37">
        <v>44918.15625</v>
      </c>
      <c r="B4533" s="35" t="s">
        <v>686</v>
      </c>
      <c r="C4533" s="35" t="s">
        <v>687</v>
      </c>
      <c r="D4533" s="39">
        <v>747.09002685546875</v>
      </c>
      <c r="E4533" s="39">
        <v>713.77685546875</v>
      </c>
      <c r="F4533" s="41">
        <v>1310045</v>
      </c>
      <c r="G4533" s="35" t="s">
        <v>689</v>
      </c>
      <c r="H4533" s="35" t="s">
        <v>115</v>
      </c>
    </row>
    <row r="4534" spans="1:8">
      <c r="A4534" s="37">
        <v>44921.15625</v>
      </c>
      <c r="B4534" s="35" t="s">
        <v>686</v>
      </c>
      <c r="C4534" s="35" t="s">
        <v>687</v>
      </c>
      <c r="D4534" s="39">
        <v>754.1300048828125</v>
      </c>
      <c r="E4534" s="39">
        <v>720.5030517578125</v>
      </c>
      <c r="F4534" s="41">
        <v>506765</v>
      </c>
      <c r="G4534" s="35" t="s">
        <v>689</v>
      </c>
      <c r="H4534" s="35" t="s">
        <v>115</v>
      </c>
    </row>
    <row r="4535" spans="1:8">
      <c r="A4535" s="37">
        <v>44922.15625</v>
      </c>
      <c r="B4535" s="35" t="s">
        <v>686</v>
      </c>
      <c r="C4535" s="35" t="s">
        <v>687</v>
      </c>
      <c r="D4535" s="39">
        <v>774.8699951171875</v>
      </c>
      <c r="E4535" s="39">
        <v>740.31817626953125</v>
      </c>
      <c r="F4535" s="41">
        <v>977185</v>
      </c>
      <c r="G4535" s="35" t="s">
        <v>689</v>
      </c>
      <c r="H4535" s="35" t="s">
        <v>115</v>
      </c>
    </row>
    <row r="4536" spans="1:8">
      <c r="A4536" s="37">
        <v>44923.15625</v>
      </c>
      <c r="B4536" s="35" t="s">
        <v>686</v>
      </c>
      <c r="C4536" s="35" t="s">
        <v>687</v>
      </c>
      <c r="D4536" s="39">
        <v>782.9000244140625</v>
      </c>
      <c r="E4536" s="39">
        <v>747.99005126953125</v>
      </c>
      <c r="F4536" s="41">
        <v>951735</v>
      </c>
      <c r="G4536" s="35" t="s">
        <v>689</v>
      </c>
      <c r="H4536" s="35" t="s">
        <v>115</v>
      </c>
    </row>
    <row r="4537" spans="1:8">
      <c r="A4537" s="37">
        <v>44924.15625</v>
      </c>
      <c r="B4537" s="35" t="s">
        <v>686</v>
      </c>
      <c r="C4537" s="35" t="s">
        <v>687</v>
      </c>
      <c r="D4537" s="39">
        <v>783.07000732421875</v>
      </c>
      <c r="E4537" s="39">
        <v>748.1524658203125</v>
      </c>
      <c r="F4537" s="41">
        <v>1608930</v>
      </c>
      <c r="G4537" s="35" t="s">
        <v>689</v>
      </c>
      <c r="H4537" s="35" t="s">
        <v>115</v>
      </c>
    </row>
    <row r="4538" spans="1:8">
      <c r="A4538" s="37">
        <v>44925.15625</v>
      </c>
      <c r="B4538" s="35" t="s">
        <v>686</v>
      </c>
      <c r="C4538" s="35" t="s">
        <v>687</v>
      </c>
      <c r="D4538" s="39">
        <v>776.82000732421875</v>
      </c>
      <c r="E4538" s="39">
        <v>742.18133544921875</v>
      </c>
      <c r="F4538" s="41">
        <v>2692020</v>
      </c>
      <c r="G4538" s="35" t="s">
        <v>689</v>
      </c>
      <c r="H4538" s="35" t="s">
        <v>115</v>
      </c>
    </row>
    <row r="4539" spans="1:8">
      <c r="A4539" s="37">
        <v>44928.15625</v>
      </c>
      <c r="B4539" s="35" t="s">
        <v>686</v>
      </c>
      <c r="C4539" s="35" t="s">
        <v>687</v>
      </c>
      <c r="D4539" s="39">
        <v>790.239990234375</v>
      </c>
      <c r="E4539" s="39">
        <v>755.00286865234375</v>
      </c>
      <c r="F4539" s="41">
        <v>1710480</v>
      </c>
      <c r="G4539" s="35" t="s">
        <v>689</v>
      </c>
      <c r="H4539" s="35" t="s">
        <v>115</v>
      </c>
    </row>
    <row r="4540" spans="1:8">
      <c r="A4540" s="37">
        <v>44929.15625</v>
      </c>
      <c r="B4540" s="35" t="s">
        <v>686</v>
      </c>
      <c r="C4540" s="35" t="s">
        <v>687</v>
      </c>
      <c r="D4540" s="39">
        <v>803.90997314453125</v>
      </c>
      <c r="E4540" s="39">
        <v>768.063232421875</v>
      </c>
      <c r="F4540" s="41">
        <v>1597525</v>
      </c>
      <c r="G4540" s="35" t="s">
        <v>689</v>
      </c>
      <c r="H4540" s="35" t="s">
        <v>115</v>
      </c>
    </row>
    <row r="4541" spans="1:8">
      <c r="A4541" s="37">
        <v>44930.15625</v>
      </c>
      <c r="B4541" s="35" t="s">
        <v>686</v>
      </c>
      <c r="C4541" s="35" t="s">
        <v>687</v>
      </c>
      <c r="D4541" s="39">
        <v>789.8499755859375</v>
      </c>
      <c r="E4541" s="39">
        <v>754.63018798828125</v>
      </c>
      <c r="F4541" s="41">
        <v>652480</v>
      </c>
      <c r="G4541" s="35" t="s">
        <v>689</v>
      </c>
      <c r="H4541" s="35" t="s">
        <v>115</v>
      </c>
    </row>
    <row r="4542" spans="1:8">
      <c r="A4542" s="37">
        <v>44931.15625</v>
      </c>
      <c r="B4542" s="35" t="s">
        <v>686</v>
      </c>
      <c r="C4542" s="35" t="s">
        <v>687</v>
      </c>
      <c r="D4542" s="39">
        <v>785.8900146484375</v>
      </c>
      <c r="E4542" s="39">
        <v>750.8468017578125</v>
      </c>
      <c r="F4542" s="41">
        <v>478035</v>
      </c>
      <c r="G4542" s="35" t="s">
        <v>689</v>
      </c>
      <c r="H4542" s="35" t="s">
        <v>115</v>
      </c>
    </row>
    <row r="4543" spans="1:8">
      <c r="A4543" s="37">
        <v>44932.15625</v>
      </c>
      <c r="B4543" s="35" t="s">
        <v>686</v>
      </c>
      <c r="C4543" s="35" t="s">
        <v>687</v>
      </c>
      <c r="D4543" s="39">
        <v>780.20001220703125</v>
      </c>
      <c r="E4543" s="39">
        <v>745.41058349609375</v>
      </c>
      <c r="F4543" s="41">
        <v>818915</v>
      </c>
      <c r="G4543" s="35" t="s">
        <v>689</v>
      </c>
      <c r="H4543" s="35" t="s">
        <v>115</v>
      </c>
    </row>
    <row r="4544" spans="1:8">
      <c r="A4544" s="37">
        <v>44935.15625</v>
      </c>
      <c r="B4544" s="35" t="s">
        <v>686</v>
      </c>
      <c r="C4544" s="35" t="s">
        <v>687</v>
      </c>
      <c r="D4544" s="39">
        <v>803.469970703125</v>
      </c>
      <c r="E4544" s="39">
        <v>767.6429443359375</v>
      </c>
      <c r="F4544" s="41">
        <v>1023335</v>
      </c>
      <c r="G4544" s="35" t="s">
        <v>689</v>
      </c>
      <c r="H4544" s="35" t="s">
        <v>115</v>
      </c>
    </row>
    <row r="4545" spans="1:8">
      <c r="A4545" s="37">
        <v>44936.15625</v>
      </c>
      <c r="B4545" s="35" t="s">
        <v>686</v>
      </c>
      <c r="C4545" s="35" t="s">
        <v>687</v>
      </c>
      <c r="D4545" s="39">
        <v>794.8800048828125</v>
      </c>
      <c r="E4545" s="39">
        <v>759.4359130859375</v>
      </c>
      <c r="F4545" s="41">
        <v>936885</v>
      </c>
      <c r="G4545" s="35" t="s">
        <v>689</v>
      </c>
      <c r="H4545" s="35" t="s">
        <v>115</v>
      </c>
    </row>
    <row r="4546" spans="1:8">
      <c r="A4546" s="37">
        <v>44937.15625</v>
      </c>
      <c r="B4546" s="35" t="s">
        <v>686</v>
      </c>
      <c r="C4546" s="35" t="s">
        <v>687</v>
      </c>
      <c r="D4546" s="39">
        <v>787.219970703125</v>
      </c>
      <c r="E4546" s="39">
        <v>752.1175537109375</v>
      </c>
      <c r="F4546" s="41">
        <v>1999240</v>
      </c>
      <c r="G4546" s="35" t="s">
        <v>689</v>
      </c>
      <c r="H4546" s="35" t="s">
        <v>115</v>
      </c>
    </row>
    <row r="4547" spans="1:8">
      <c r="A4547" s="37">
        <v>44938.15625</v>
      </c>
      <c r="B4547" s="35" t="s">
        <v>686</v>
      </c>
      <c r="C4547" s="35" t="s">
        <v>687</v>
      </c>
      <c r="D4547" s="39">
        <v>780.84002685546875</v>
      </c>
      <c r="E4547" s="39">
        <v>746.02203369140625</v>
      </c>
      <c r="F4547" s="41">
        <v>1040360</v>
      </c>
      <c r="G4547" s="35" t="s">
        <v>689</v>
      </c>
      <c r="H4547" s="35" t="s">
        <v>115</v>
      </c>
    </row>
    <row r="4548" spans="1:8">
      <c r="A4548" s="37">
        <v>44939.15625</v>
      </c>
      <c r="B4548" s="35" t="s">
        <v>686</v>
      </c>
      <c r="C4548" s="35" t="s">
        <v>687</v>
      </c>
      <c r="D4548" s="39">
        <v>776.8900146484375</v>
      </c>
      <c r="E4548" s="39">
        <v>742.24810791015625</v>
      </c>
      <c r="F4548" s="41">
        <v>1759165</v>
      </c>
      <c r="G4548" s="35" t="s">
        <v>689</v>
      </c>
      <c r="H4548" s="35" t="s">
        <v>115</v>
      </c>
    </row>
    <row r="4549" spans="1:8">
      <c r="A4549" s="37">
        <v>44942.15625</v>
      </c>
      <c r="B4549" s="35" t="s">
        <v>686</v>
      </c>
      <c r="C4549" s="35" t="s">
        <v>687</v>
      </c>
      <c r="D4549" s="39">
        <v>779.70001220703125</v>
      </c>
      <c r="E4549" s="39">
        <v>744.932861328125</v>
      </c>
      <c r="F4549" s="41">
        <v>1262625</v>
      </c>
      <c r="G4549" s="35" t="s">
        <v>689</v>
      </c>
      <c r="H4549" s="35" t="s">
        <v>115</v>
      </c>
    </row>
    <row r="4550" spans="1:8">
      <c r="A4550" s="37">
        <v>44943.15625</v>
      </c>
      <c r="B4550" s="35" t="s">
        <v>686</v>
      </c>
      <c r="C4550" s="35" t="s">
        <v>687</v>
      </c>
      <c r="D4550" s="39">
        <v>783.5999755859375</v>
      </c>
      <c r="E4550" s="39">
        <v>748.6588134765625</v>
      </c>
      <c r="F4550" s="41">
        <v>697925</v>
      </c>
      <c r="G4550" s="35" t="s">
        <v>689</v>
      </c>
      <c r="H4550" s="35" t="s">
        <v>115</v>
      </c>
    </row>
    <row r="4551" spans="1:8">
      <c r="A4551" s="37">
        <v>44944.15625</v>
      </c>
      <c r="B4551" s="35" t="s">
        <v>686</v>
      </c>
      <c r="C4551" s="35" t="s">
        <v>687</v>
      </c>
      <c r="D4551" s="39">
        <v>785.15997314453125</v>
      </c>
      <c r="E4551" s="39">
        <v>750.1492919921875</v>
      </c>
      <c r="F4551" s="41">
        <v>407225</v>
      </c>
      <c r="G4551" s="35" t="s">
        <v>689</v>
      </c>
      <c r="H4551" s="35" t="s">
        <v>115</v>
      </c>
    </row>
    <row r="4552" spans="1:8">
      <c r="A4552" s="37">
        <v>44945.15625</v>
      </c>
      <c r="B4552" s="35" t="s">
        <v>686</v>
      </c>
      <c r="C4552" s="35" t="s">
        <v>687</v>
      </c>
      <c r="D4552" s="39">
        <v>793.30999755859375</v>
      </c>
      <c r="E4552" s="39">
        <v>757.9359130859375</v>
      </c>
      <c r="F4552" s="41">
        <v>993520</v>
      </c>
      <c r="G4552" s="35" t="s">
        <v>689</v>
      </c>
      <c r="H4552" s="35" t="s">
        <v>115</v>
      </c>
    </row>
    <row r="4553" spans="1:8">
      <c r="A4553" s="37">
        <v>44946.15625</v>
      </c>
      <c r="B4553" s="35" t="s">
        <v>686</v>
      </c>
      <c r="C4553" s="35" t="s">
        <v>687</v>
      </c>
      <c r="D4553" s="39">
        <v>820.4000244140625</v>
      </c>
      <c r="E4553" s="39">
        <v>783.81793212890625</v>
      </c>
      <c r="F4553" s="41">
        <v>9934110</v>
      </c>
      <c r="G4553" s="35" t="s">
        <v>689</v>
      </c>
      <c r="H4553" s="35" t="s">
        <v>115</v>
      </c>
    </row>
    <row r="4554" spans="1:8">
      <c r="A4554" s="37">
        <v>44949.15625</v>
      </c>
      <c r="B4554" s="35" t="s">
        <v>686</v>
      </c>
      <c r="C4554" s="35" t="s">
        <v>687</v>
      </c>
      <c r="D4554" s="39">
        <v>871.780029296875</v>
      </c>
      <c r="E4554" s="39">
        <v>832.90704345703125</v>
      </c>
      <c r="F4554" s="41">
        <v>7309560</v>
      </c>
      <c r="G4554" s="35" t="s">
        <v>689</v>
      </c>
      <c r="H4554" s="35" t="s">
        <v>115</v>
      </c>
    </row>
    <row r="4555" spans="1:8">
      <c r="A4555" s="37">
        <v>44950.15625</v>
      </c>
      <c r="B4555" s="35" t="s">
        <v>686</v>
      </c>
      <c r="C4555" s="35" t="s">
        <v>687</v>
      </c>
      <c r="D4555" s="39">
        <v>864.79998779296875</v>
      </c>
      <c r="E4555" s="39">
        <v>826.238037109375</v>
      </c>
      <c r="F4555" s="41">
        <v>5847690</v>
      </c>
      <c r="G4555" s="35" t="s">
        <v>689</v>
      </c>
      <c r="H4555" s="35" t="s">
        <v>115</v>
      </c>
    </row>
    <row r="4556" spans="1:8">
      <c r="A4556" s="37">
        <v>44951.15625</v>
      </c>
      <c r="B4556" s="35" t="s">
        <v>686</v>
      </c>
      <c r="C4556" s="35" t="s">
        <v>687</v>
      </c>
      <c r="D4556" s="39">
        <v>854.53997802734375</v>
      </c>
      <c r="E4556" s="39">
        <v>816.43560791015625</v>
      </c>
      <c r="F4556" s="41">
        <v>2606415</v>
      </c>
      <c r="G4556" s="35" t="s">
        <v>689</v>
      </c>
      <c r="H4556" s="35" t="s">
        <v>115</v>
      </c>
    </row>
    <row r="4557" spans="1:8">
      <c r="A4557" s="37">
        <v>44953.15625</v>
      </c>
      <c r="B4557" s="35" t="s">
        <v>686</v>
      </c>
      <c r="C4557" s="35" t="s">
        <v>687</v>
      </c>
      <c r="D4557" s="39">
        <v>858.82000732421875</v>
      </c>
      <c r="E4557" s="39">
        <v>820.5247802734375</v>
      </c>
      <c r="F4557" s="41">
        <v>3724065</v>
      </c>
      <c r="G4557" s="35" t="s">
        <v>689</v>
      </c>
      <c r="H4557" s="35" t="s">
        <v>115</v>
      </c>
    </row>
    <row r="4558" spans="1:8">
      <c r="A4558" s="37">
        <v>44956.15625</v>
      </c>
      <c r="B4558" s="35" t="s">
        <v>686</v>
      </c>
      <c r="C4558" s="35" t="s">
        <v>687</v>
      </c>
      <c r="D4558" s="39">
        <v>883.72998046875</v>
      </c>
      <c r="E4558" s="39">
        <v>844.32403564453125</v>
      </c>
      <c r="F4558" s="41">
        <v>2892290</v>
      </c>
      <c r="G4558" s="35" t="s">
        <v>689</v>
      </c>
      <c r="H4558" s="35" t="s">
        <v>115</v>
      </c>
    </row>
    <row r="4559" spans="1:8">
      <c r="A4559" s="37">
        <v>44957.15625</v>
      </c>
      <c r="B4559" s="35" t="s">
        <v>686</v>
      </c>
      <c r="C4559" s="35" t="s">
        <v>687</v>
      </c>
      <c r="D4559" s="39">
        <v>875.780029296875</v>
      </c>
      <c r="E4559" s="39">
        <v>836.72857666015625</v>
      </c>
      <c r="F4559" s="41">
        <v>1729260</v>
      </c>
      <c r="G4559" s="35" t="s">
        <v>689</v>
      </c>
      <c r="H4559" s="35" t="s">
        <v>115</v>
      </c>
    </row>
    <row r="4560" spans="1:8">
      <c r="A4560" s="37">
        <v>44958.15625</v>
      </c>
      <c r="B4560" s="35" t="s">
        <v>686</v>
      </c>
      <c r="C4560" s="35" t="s">
        <v>687</v>
      </c>
      <c r="D4560" s="39">
        <v>870.54998779296875</v>
      </c>
      <c r="E4560" s="39">
        <v>831.731689453125</v>
      </c>
      <c r="F4560" s="41">
        <v>812250</v>
      </c>
      <c r="G4560" s="35" t="s">
        <v>689</v>
      </c>
      <c r="H4560" s="35" t="s">
        <v>115</v>
      </c>
    </row>
    <row r="4561" spans="1:8">
      <c r="A4561" s="37">
        <v>44959.15625</v>
      </c>
      <c r="B4561" s="35" t="s">
        <v>686</v>
      </c>
      <c r="C4561" s="35" t="s">
        <v>687</v>
      </c>
      <c r="D4561" s="39">
        <v>886.780029296875</v>
      </c>
      <c r="E4561" s="39">
        <v>847.238037109375</v>
      </c>
      <c r="F4561" s="41">
        <v>3172095</v>
      </c>
      <c r="G4561" s="35" t="s">
        <v>689</v>
      </c>
      <c r="H4561" s="35" t="s">
        <v>115</v>
      </c>
    </row>
    <row r="4562" spans="1:8">
      <c r="A4562" s="37">
        <v>44960.15625</v>
      </c>
      <c r="B4562" s="35" t="s">
        <v>686</v>
      </c>
      <c r="C4562" s="35" t="s">
        <v>687</v>
      </c>
      <c r="D4562" s="39">
        <v>861.719970703125</v>
      </c>
      <c r="E4562" s="39">
        <v>826.838623046875</v>
      </c>
      <c r="F4562" s="41">
        <v>2244295</v>
      </c>
      <c r="G4562" s="35" t="s">
        <v>689</v>
      </c>
      <c r="H4562" s="35" t="s">
        <v>115</v>
      </c>
    </row>
    <row r="4563" spans="1:8">
      <c r="A4563" s="37">
        <v>44963.15625</v>
      </c>
      <c r="B4563" s="35" t="s">
        <v>686</v>
      </c>
      <c r="C4563" s="35" t="s">
        <v>687</v>
      </c>
      <c r="D4563" s="39">
        <v>863.55999755859375</v>
      </c>
      <c r="E4563" s="39">
        <v>828.60418701171875</v>
      </c>
      <c r="F4563" s="41">
        <v>876845</v>
      </c>
      <c r="G4563" s="35" t="s">
        <v>689</v>
      </c>
      <c r="H4563" s="35" t="s">
        <v>115</v>
      </c>
    </row>
    <row r="4564" spans="1:8">
      <c r="A4564" s="37">
        <v>44964.15625</v>
      </c>
      <c r="B4564" s="35" t="s">
        <v>686</v>
      </c>
      <c r="C4564" s="35" t="s">
        <v>687</v>
      </c>
      <c r="D4564" s="39">
        <v>860.52001953125</v>
      </c>
      <c r="E4564" s="39">
        <v>825.68719482421875</v>
      </c>
      <c r="F4564" s="41">
        <v>743805</v>
      </c>
      <c r="G4564" s="35" t="s">
        <v>689</v>
      </c>
      <c r="H4564" s="35" t="s">
        <v>115</v>
      </c>
    </row>
    <row r="4565" spans="1:8">
      <c r="A4565" s="37">
        <v>44965.15625</v>
      </c>
      <c r="B4565" s="35" t="s">
        <v>686</v>
      </c>
      <c r="C4565" s="35" t="s">
        <v>687</v>
      </c>
      <c r="D4565" s="39">
        <v>865.8900146484375</v>
      </c>
      <c r="E4565" s="39">
        <v>830.83984375</v>
      </c>
      <c r="F4565" s="41">
        <v>3700720</v>
      </c>
      <c r="G4565" s="35" t="s">
        <v>689</v>
      </c>
      <c r="H4565" s="35" t="s">
        <v>115</v>
      </c>
    </row>
    <row r="4566" spans="1:8">
      <c r="A4566" s="37">
        <v>44966.15625</v>
      </c>
      <c r="B4566" s="35" t="s">
        <v>686</v>
      </c>
      <c r="C4566" s="35" t="s">
        <v>687</v>
      </c>
      <c r="D4566" s="39">
        <v>868.0999755859375</v>
      </c>
      <c r="E4566" s="39">
        <v>832.9603271484375</v>
      </c>
      <c r="F4566" s="41">
        <v>1645050</v>
      </c>
      <c r="G4566" s="35" t="s">
        <v>689</v>
      </c>
      <c r="H4566" s="35" t="s">
        <v>115</v>
      </c>
    </row>
    <row r="4567" spans="1:8">
      <c r="A4567" s="37">
        <v>44967.15625</v>
      </c>
      <c r="B4567" s="35" t="s">
        <v>686</v>
      </c>
      <c r="C4567" s="35" t="s">
        <v>687</v>
      </c>
      <c r="D4567" s="39">
        <v>866.8599853515625</v>
      </c>
      <c r="E4567" s="39">
        <v>831.77056884765625</v>
      </c>
      <c r="F4567" s="41">
        <v>1126240</v>
      </c>
      <c r="G4567" s="35" t="s">
        <v>689</v>
      </c>
      <c r="H4567" s="35" t="s">
        <v>115</v>
      </c>
    </row>
    <row r="4568" spans="1:8">
      <c r="A4568" s="37">
        <v>44970.15625</v>
      </c>
      <c r="B4568" s="35" t="s">
        <v>686</v>
      </c>
      <c r="C4568" s="35" t="s">
        <v>687</v>
      </c>
      <c r="D4568" s="39">
        <v>806.45001220703125</v>
      </c>
      <c r="E4568" s="39">
        <v>773.80596923828125</v>
      </c>
      <c r="F4568" s="41">
        <v>41334880</v>
      </c>
      <c r="G4568" s="35" t="s">
        <v>689</v>
      </c>
      <c r="H4568" s="35" t="s">
        <v>115</v>
      </c>
    </row>
    <row r="4569" spans="1:8">
      <c r="A4569" s="37">
        <v>44971.15625</v>
      </c>
      <c r="B4569" s="35" t="s">
        <v>686</v>
      </c>
      <c r="C4569" s="35" t="s">
        <v>687</v>
      </c>
      <c r="D4569" s="39">
        <v>815.97998046875</v>
      </c>
      <c r="E4569" s="39">
        <v>782.9500732421875</v>
      </c>
      <c r="F4569" s="41">
        <v>2318580</v>
      </c>
      <c r="G4569" s="35" t="s">
        <v>689</v>
      </c>
      <c r="H4569" s="35" t="s">
        <v>115</v>
      </c>
    </row>
    <row r="4570" spans="1:8">
      <c r="A4570" s="37">
        <v>44972.15625</v>
      </c>
      <c r="B4570" s="35" t="s">
        <v>686</v>
      </c>
      <c r="C4570" s="35" t="s">
        <v>687</v>
      </c>
      <c r="D4570" s="39">
        <v>823</v>
      </c>
      <c r="E4570" s="39">
        <v>789.68597412109375</v>
      </c>
      <c r="F4570" s="41">
        <v>1872570</v>
      </c>
      <c r="G4570" s="35" t="s">
        <v>689</v>
      </c>
      <c r="H4570" s="35" t="s">
        <v>115</v>
      </c>
    </row>
    <row r="4571" spans="1:8">
      <c r="A4571" s="37">
        <v>44973.15625</v>
      </c>
      <c r="B4571" s="35" t="s">
        <v>686</v>
      </c>
      <c r="C4571" s="35" t="s">
        <v>687</v>
      </c>
      <c r="D4571" s="39">
        <v>845.8599853515625</v>
      </c>
      <c r="E4571" s="39">
        <v>811.62066650390625</v>
      </c>
      <c r="F4571" s="41">
        <v>4202805</v>
      </c>
      <c r="G4571" s="35" t="s">
        <v>689</v>
      </c>
      <c r="H4571" s="35" t="s">
        <v>115</v>
      </c>
    </row>
    <row r="4572" spans="1:8">
      <c r="A4572" s="37">
        <v>44974.15625</v>
      </c>
      <c r="B4572" s="35" t="s">
        <v>686</v>
      </c>
      <c r="C4572" s="35" t="s">
        <v>687</v>
      </c>
      <c r="D4572" s="39">
        <v>840.82000732421875</v>
      </c>
      <c r="E4572" s="39">
        <v>806.78460693359375</v>
      </c>
      <c r="F4572" s="41">
        <v>1761170</v>
      </c>
      <c r="G4572" s="35" t="s">
        <v>689</v>
      </c>
      <c r="H4572" s="35" t="s">
        <v>115</v>
      </c>
    </row>
    <row r="4573" spans="1:8">
      <c r="A4573" s="37">
        <v>44977.15625</v>
      </c>
      <c r="B4573" s="35" t="s">
        <v>686</v>
      </c>
      <c r="C4573" s="35" t="s">
        <v>687</v>
      </c>
      <c r="D4573" s="39">
        <v>867.09002685546875</v>
      </c>
      <c r="E4573" s="39">
        <v>831.9913330078125</v>
      </c>
      <c r="F4573" s="41">
        <v>2913870</v>
      </c>
      <c r="G4573" s="35" t="s">
        <v>689</v>
      </c>
      <c r="H4573" s="35" t="s">
        <v>115</v>
      </c>
    </row>
    <row r="4574" spans="1:8">
      <c r="A4574" s="37">
        <v>44978.15625</v>
      </c>
      <c r="B4574" s="35" t="s">
        <v>686</v>
      </c>
      <c r="C4574" s="35" t="s">
        <v>687</v>
      </c>
      <c r="D4574" s="39">
        <v>867.989990234375</v>
      </c>
      <c r="E4574" s="39">
        <v>832.854736328125</v>
      </c>
      <c r="F4574" s="41">
        <v>1853670</v>
      </c>
      <c r="G4574" s="35" t="s">
        <v>689</v>
      </c>
      <c r="H4574" s="35" t="s">
        <v>115</v>
      </c>
    </row>
    <row r="4575" spans="1:8">
      <c r="A4575" s="37">
        <v>44979.15625</v>
      </c>
      <c r="B4575" s="35" t="s">
        <v>686</v>
      </c>
      <c r="C4575" s="35" t="s">
        <v>687</v>
      </c>
      <c r="D4575" s="39">
        <v>868.510009765625</v>
      </c>
      <c r="E4575" s="39">
        <v>833.35382080078125</v>
      </c>
      <c r="F4575" s="41">
        <v>1492050</v>
      </c>
      <c r="G4575" s="35" t="s">
        <v>689</v>
      </c>
      <c r="H4575" s="35" t="s">
        <v>115</v>
      </c>
    </row>
    <row r="4576" spans="1:8">
      <c r="A4576" s="37">
        <v>44980.15625</v>
      </c>
      <c r="B4576" s="35" t="s">
        <v>686</v>
      </c>
      <c r="C4576" s="35" t="s">
        <v>687</v>
      </c>
      <c r="D4576" s="39">
        <v>884.17999267578125</v>
      </c>
      <c r="E4576" s="39">
        <v>848.38946533203125</v>
      </c>
      <c r="F4576" s="41">
        <v>2298380</v>
      </c>
      <c r="G4576" s="35" t="s">
        <v>689</v>
      </c>
      <c r="H4576" s="35" t="s">
        <v>115</v>
      </c>
    </row>
    <row r="4577" spans="1:8">
      <c r="A4577" s="37">
        <v>44981.15625</v>
      </c>
      <c r="B4577" s="35" t="s">
        <v>686</v>
      </c>
      <c r="C4577" s="35" t="s">
        <v>687</v>
      </c>
      <c r="D4577" s="39">
        <v>875.5</v>
      </c>
      <c r="E4577" s="39">
        <v>840.060791015625</v>
      </c>
      <c r="F4577" s="41">
        <v>1640725</v>
      </c>
      <c r="G4577" s="35" t="s">
        <v>689</v>
      </c>
      <c r="H4577" s="35" t="s">
        <v>115</v>
      </c>
    </row>
    <row r="4578" spans="1:8">
      <c r="A4578" s="37">
        <v>44984.15625</v>
      </c>
      <c r="B4578" s="35" t="s">
        <v>686</v>
      </c>
      <c r="C4578" s="35" t="s">
        <v>687</v>
      </c>
      <c r="D4578" s="39">
        <v>854.78997802734375</v>
      </c>
      <c r="E4578" s="39">
        <v>820.18927001953125</v>
      </c>
      <c r="F4578" s="41">
        <v>2323110</v>
      </c>
      <c r="G4578" s="35" t="s">
        <v>689</v>
      </c>
      <c r="H4578" s="35" t="s">
        <v>115</v>
      </c>
    </row>
    <row r="4579" spans="1:8">
      <c r="A4579" s="37">
        <v>44985.15625</v>
      </c>
      <c r="B4579" s="35" t="s">
        <v>686</v>
      </c>
      <c r="C4579" s="35" t="s">
        <v>687</v>
      </c>
      <c r="D4579" s="39">
        <v>859.72998046875</v>
      </c>
      <c r="E4579" s="39">
        <v>824.92913818359375</v>
      </c>
      <c r="F4579" s="41">
        <v>1241920</v>
      </c>
      <c r="G4579" s="35" t="s">
        <v>689</v>
      </c>
      <c r="H4579" s="35" t="s">
        <v>115</v>
      </c>
    </row>
    <row r="4580" spans="1:8">
      <c r="A4580" s="37">
        <v>44986.15625</v>
      </c>
      <c r="B4580" s="35" t="s">
        <v>686</v>
      </c>
      <c r="C4580" s="35" t="s">
        <v>687</v>
      </c>
      <c r="D4580" s="39">
        <v>860.07000732421875</v>
      </c>
      <c r="E4580" s="39">
        <v>825.25543212890625</v>
      </c>
      <c r="F4580" s="41">
        <v>1543245</v>
      </c>
      <c r="G4580" s="35" t="s">
        <v>689</v>
      </c>
      <c r="H4580" s="35" t="s">
        <v>115</v>
      </c>
    </row>
    <row r="4581" spans="1:8">
      <c r="A4581" s="37">
        <v>44987.15625</v>
      </c>
      <c r="B4581" s="35" t="s">
        <v>686</v>
      </c>
      <c r="C4581" s="35" t="s">
        <v>687</v>
      </c>
      <c r="D4581" s="39">
        <v>849.94000244140625</v>
      </c>
      <c r="E4581" s="39">
        <v>815.5355224609375</v>
      </c>
      <c r="F4581" s="41">
        <v>947930</v>
      </c>
      <c r="G4581" s="35" t="s">
        <v>689</v>
      </c>
      <c r="H4581" s="35" t="s">
        <v>115</v>
      </c>
    </row>
    <row r="4582" spans="1:8">
      <c r="A4582" s="37">
        <v>44988.15625</v>
      </c>
      <c r="B4582" s="35" t="s">
        <v>686</v>
      </c>
      <c r="C4582" s="35" t="s">
        <v>687</v>
      </c>
      <c r="D4582" s="39">
        <v>851.67999267578125</v>
      </c>
      <c r="E4582" s="39">
        <v>817.205078125</v>
      </c>
      <c r="F4582" s="41">
        <v>1616065</v>
      </c>
      <c r="G4582" s="35" t="s">
        <v>689</v>
      </c>
      <c r="H4582" s="35" t="s">
        <v>115</v>
      </c>
    </row>
    <row r="4583" spans="1:8">
      <c r="A4583" s="37">
        <v>44991.15625</v>
      </c>
      <c r="B4583" s="35" t="s">
        <v>686</v>
      </c>
      <c r="C4583" s="35" t="s">
        <v>687</v>
      </c>
      <c r="D4583" s="39">
        <v>865.66998291015625</v>
      </c>
      <c r="E4583" s="39">
        <v>830.62872314453125</v>
      </c>
      <c r="F4583" s="41">
        <v>1089700</v>
      </c>
      <c r="G4583" s="35" t="s">
        <v>689</v>
      </c>
      <c r="H4583" s="35" t="s">
        <v>115</v>
      </c>
    </row>
    <row r="4584" spans="1:8">
      <c r="A4584" s="37">
        <v>44993.15625</v>
      </c>
      <c r="B4584" s="35" t="s">
        <v>686</v>
      </c>
      <c r="C4584" s="35" t="s">
        <v>687</v>
      </c>
      <c r="D4584" s="39">
        <v>855.91998291015625</v>
      </c>
      <c r="E4584" s="39">
        <v>821.27349853515625</v>
      </c>
      <c r="F4584" s="41">
        <v>957805</v>
      </c>
      <c r="G4584" s="35" t="s">
        <v>689</v>
      </c>
      <c r="H4584" s="35" t="s">
        <v>115</v>
      </c>
    </row>
    <row r="4585" spans="1:8">
      <c r="A4585" s="37">
        <v>44994.15625</v>
      </c>
      <c r="B4585" s="35" t="s">
        <v>686</v>
      </c>
      <c r="C4585" s="35" t="s">
        <v>687</v>
      </c>
      <c r="D4585" s="39">
        <v>851.07000732421875</v>
      </c>
      <c r="E4585" s="39">
        <v>816.61968994140625</v>
      </c>
      <c r="F4585" s="41">
        <v>678620</v>
      </c>
      <c r="G4585" s="35" t="s">
        <v>689</v>
      </c>
      <c r="H4585" s="35" t="s">
        <v>115</v>
      </c>
    </row>
    <row r="4586" spans="1:8">
      <c r="A4586" s="37">
        <v>44995.15625</v>
      </c>
      <c r="B4586" s="35" t="s">
        <v>686</v>
      </c>
      <c r="C4586" s="35" t="s">
        <v>687</v>
      </c>
      <c r="D4586" s="39">
        <v>827.27001953125</v>
      </c>
      <c r="E4586" s="39">
        <v>793.78314208984375</v>
      </c>
      <c r="F4586" s="41">
        <v>1783110</v>
      </c>
      <c r="G4586" s="35" t="s">
        <v>689</v>
      </c>
      <c r="H4586" s="35" t="s">
        <v>115</v>
      </c>
    </row>
    <row r="4587" spans="1:8">
      <c r="A4587" s="37">
        <v>44998.15625</v>
      </c>
      <c r="B4587" s="35" t="s">
        <v>686</v>
      </c>
      <c r="C4587" s="35" t="s">
        <v>687</v>
      </c>
      <c r="D4587" s="39">
        <v>816.92999267578125</v>
      </c>
      <c r="E4587" s="39">
        <v>783.8616943359375</v>
      </c>
      <c r="F4587" s="41">
        <v>1384600</v>
      </c>
      <c r="G4587" s="35" t="s">
        <v>689</v>
      </c>
      <c r="H4587" s="35" t="s">
        <v>115</v>
      </c>
    </row>
    <row r="4588" spans="1:8">
      <c r="A4588" s="37">
        <v>44999.15625</v>
      </c>
      <c r="B4588" s="35" t="s">
        <v>686</v>
      </c>
      <c r="C4588" s="35" t="s">
        <v>687</v>
      </c>
      <c r="D4588" s="39">
        <v>784.33001708984375</v>
      </c>
      <c r="E4588" s="39">
        <v>752.5814208984375</v>
      </c>
      <c r="F4588" s="41">
        <v>4411195</v>
      </c>
      <c r="G4588" s="35" t="s">
        <v>689</v>
      </c>
      <c r="H4588" s="35" t="s">
        <v>115</v>
      </c>
    </row>
    <row r="4589" spans="1:8">
      <c r="A4589" s="37">
        <v>45000.15625</v>
      </c>
      <c r="B4589" s="35" t="s">
        <v>686</v>
      </c>
      <c r="C4589" s="35" t="s">
        <v>687</v>
      </c>
      <c r="D4589" s="39">
        <v>790</v>
      </c>
      <c r="E4589" s="39">
        <v>758.02178955078125</v>
      </c>
      <c r="F4589" s="41">
        <v>2359070</v>
      </c>
      <c r="G4589" s="35" t="s">
        <v>689</v>
      </c>
      <c r="H4589" s="35" t="s">
        <v>115</v>
      </c>
    </row>
    <row r="4590" spans="1:8">
      <c r="A4590" s="37">
        <v>45001.15625</v>
      </c>
      <c r="B4590" s="35" t="s">
        <v>686</v>
      </c>
      <c r="C4590" s="35" t="s">
        <v>687</v>
      </c>
      <c r="D4590" s="39">
        <v>770.40997314453125</v>
      </c>
      <c r="E4590" s="39">
        <v>739.224609375</v>
      </c>
      <c r="F4590" s="41">
        <v>1726900</v>
      </c>
      <c r="G4590" s="35" t="s">
        <v>689</v>
      </c>
      <c r="H4590" s="35" t="s">
        <v>115</v>
      </c>
    </row>
    <row r="4591" spans="1:8">
      <c r="A4591" s="37">
        <v>45002.15625</v>
      </c>
      <c r="B4591" s="35" t="s">
        <v>686</v>
      </c>
      <c r="C4591" s="35" t="s">
        <v>687</v>
      </c>
      <c r="D4591" s="39">
        <v>780.20001220703125</v>
      </c>
      <c r="E4591" s="39">
        <v>748.6185302734375</v>
      </c>
      <c r="F4591" s="41">
        <v>1258810</v>
      </c>
      <c r="G4591" s="35" t="s">
        <v>689</v>
      </c>
      <c r="H4591" s="35" t="s">
        <v>115</v>
      </c>
    </row>
    <row r="4592" spans="1:8">
      <c r="A4592" s="37">
        <v>45005.15625</v>
      </c>
      <c r="B4592" s="35" t="s">
        <v>686</v>
      </c>
      <c r="C4592" s="35" t="s">
        <v>687</v>
      </c>
      <c r="D4592" s="39">
        <v>754.92999267578125</v>
      </c>
      <c r="E4592" s="39">
        <v>724.371337890625</v>
      </c>
      <c r="F4592" s="41">
        <v>1325135</v>
      </c>
      <c r="G4592" s="35" t="s">
        <v>689</v>
      </c>
      <c r="H4592" s="35" t="s">
        <v>115</v>
      </c>
    </row>
    <row r="4593" spans="1:8">
      <c r="A4593" s="37">
        <v>45006.15625</v>
      </c>
      <c r="B4593" s="35" t="s">
        <v>686</v>
      </c>
      <c r="C4593" s="35" t="s">
        <v>687</v>
      </c>
      <c r="D4593" s="39">
        <v>742.52001953125</v>
      </c>
      <c r="E4593" s="39">
        <v>712.4637451171875</v>
      </c>
      <c r="F4593" s="41">
        <v>1235525</v>
      </c>
      <c r="G4593" s="35" t="s">
        <v>689</v>
      </c>
      <c r="H4593" s="35" t="s">
        <v>115</v>
      </c>
    </row>
    <row r="4594" spans="1:8">
      <c r="A4594" s="37">
        <v>45007.15625</v>
      </c>
      <c r="B4594" s="35" t="s">
        <v>686</v>
      </c>
      <c r="C4594" s="35" t="s">
        <v>687</v>
      </c>
      <c r="D4594" s="39">
        <v>747.72998046875</v>
      </c>
      <c r="E4594" s="39">
        <v>717.4627685546875</v>
      </c>
      <c r="F4594" s="41">
        <v>960825</v>
      </c>
      <c r="G4594" s="35" t="s">
        <v>689</v>
      </c>
      <c r="H4594" s="35" t="s">
        <v>115</v>
      </c>
    </row>
    <row r="4595" spans="1:8">
      <c r="A4595" s="37">
        <v>45008.15625</v>
      </c>
      <c r="B4595" s="35" t="s">
        <v>686</v>
      </c>
      <c r="C4595" s="35" t="s">
        <v>687</v>
      </c>
      <c r="D4595" s="39">
        <v>749.719970703125</v>
      </c>
      <c r="E4595" s="39">
        <v>719.37225341796875</v>
      </c>
      <c r="F4595" s="41">
        <v>1190175</v>
      </c>
      <c r="G4595" s="35" t="s">
        <v>689</v>
      </c>
      <c r="H4595" s="35" t="s">
        <v>115</v>
      </c>
    </row>
    <row r="4596" spans="1:8">
      <c r="A4596" s="37">
        <v>45009.15625</v>
      </c>
      <c r="B4596" s="35" t="s">
        <v>686</v>
      </c>
      <c r="C4596" s="35" t="s">
        <v>687</v>
      </c>
      <c r="D4596" s="39">
        <v>740.0999755859375</v>
      </c>
      <c r="E4596" s="39">
        <v>710.14154052734375</v>
      </c>
      <c r="F4596" s="41">
        <v>1351835</v>
      </c>
      <c r="G4596" s="35" t="s">
        <v>689</v>
      </c>
      <c r="H4596" s="35" t="s">
        <v>115</v>
      </c>
    </row>
    <row r="4597" spans="1:8">
      <c r="A4597" s="37">
        <v>45012.15625</v>
      </c>
      <c r="B4597" s="35" t="s">
        <v>686</v>
      </c>
      <c r="C4597" s="35" t="s">
        <v>687</v>
      </c>
      <c r="D4597" s="39">
        <v>727.1500244140625</v>
      </c>
      <c r="E4597" s="39">
        <v>697.71588134765625</v>
      </c>
      <c r="F4597" s="41">
        <v>1364705</v>
      </c>
      <c r="G4597" s="35" t="s">
        <v>689</v>
      </c>
      <c r="H4597" s="35" t="s">
        <v>115</v>
      </c>
    </row>
    <row r="4598" spans="1:8">
      <c r="A4598" s="37">
        <v>45013.15625</v>
      </c>
      <c r="B4598" s="35" t="s">
        <v>686</v>
      </c>
      <c r="C4598" s="35" t="s">
        <v>687</v>
      </c>
      <c r="D4598" s="39">
        <v>719.6099853515625</v>
      </c>
      <c r="E4598" s="39">
        <v>690.48101806640625</v>
      </c>
      <c r="F4598" s="41">
        <v>1110185</v>
      </c>
      <c r="G4598" s="35" t="s">
        <v>689</v>
      </c>
      <c r="H4598" s="35" t="s">
        <v>115</v>
      </c>
    </row>
    <row r="4599" spans="1:8">
      <c r="A4599" s="37">
        <v>45014.15625</v>
      </c>
      <c r="B4599" s="35" t="s">
        <v>686</v>
      </c>
      <c r="C4599" s="35" t="s">
        <v>687</v>
      </c>
      <c r="D4599" s="39">
        <v>732.07000732421875</v>
      </c>
      <c r="E4599" s="39">
        <v>702.43670654296875</v>
      </c>
      <c r="F4599" s="41">
        <v>1744095</v>
      </c>
      <c r="G4599" s="35" t="s">
        <v>689</v>
      </c>
      <c r="H4599" s="35" t="s">
        <v>115</v>
      </c>
    </row>
    <row r="4600" spans="1:8">
      <c r="A4600" s="37">
        <v>45016.15625</v>
      </c>
      <c r="B4600" s="35" t="s">
        <v>686</v>
      </c>
      <c r="C4600" s="35" t="s">
        <v>687</v>
      </c>
      <c r="D4600" s="39">
        <v>762.82000732421875</v>
      </c>
      <c r="E4600" s="39">
        <v>731.94195556640625</v>
      </c>
      <c r="F4600" s="41">
        <v>1382440</v>
      </c>
      <c r="G4600" s="35" t="s">
        <v>689</v>
      </c>
      <c r="H4600" s="35" t="s">
        <v>115</v>
      </c>
    </row>
    <row r="4601" spans="1:8">
      <c r="A4601" s="37">
        <v>45019.15625</v>
      </c>
      <c r="B4601" s="35" t="s">
        <v>686</v>
      </c>
      <c r="C4601" s="35" t="s">
        <v>687</v>
      </c>
      <c r="D4601" s="39">
        <v>770.27001953125</v>
      </c>
      <c r="E4601" s="39">
        <v>739.0904541015625</v>
      </c>
      <c r="F4601" s="41">
        <v>846070</v>
      </c>
      <c r="G4601" s="35" t="s">
        <v>690</v>
      </c>
      <c r="H4601" s="35" t="s">
        <v>115</v>
      </c>
    </row>
    <row r="4602" spans="1:8">
      <c r="A4602" s="37">
        <v>45021.15625</v>
      </c>
      <c r="B4602" s="35" t="s">
        <v>686</v>
      </c>
      <c r="C4602" s="35" t="s">
        <v>687</v>
      </c>
      <c r="D4602" s="39">
        <v>815.84002685546875</v>
      </c>
      <c r="E4602" s="39">
        <v>782.81585693359375</v>
      </c>
      <c r="F4602" s="41">
        <v>4230245</v>
      </c>
      <c r="G4602" s="35" t="s">
        <v>690</v>
      </c>
      <c r="H4602" s="35" t="s">
        <v>115</v>
      </c>
    </row>
    <row r="4603" spans="1:8">
      <c r="A4603" s="37">
        <v>45022.15625</v>
      </c>
      <c r="B4603" s="35" t="s">
        <v>686</v>
      </c>
      <c r="C4603" s="35" t="s">
        <v>687</v>
      </c>
      <c r="D4603" s="39">
        <v>800.02001953125</v>
      </c>
      <c r="E4603" s="39">
        <v>767.63616943359375</v>
      </c>
      <c r="F4603" s="41">
        <v>1498720</v>
      </c>
      <c r="G4603" s="35" t="s">
        <v>690</v>
      </c>
      <c r="H4603" s="35" t="s">
        <v>115</v>
      </c>
    </row>
    <row r="4604" spans="1:8">
      <c r="A4604" s="37">
        <v>45026.15625</v>
      </c>
      <c r="B4604" s="35" t="s">
        <v>686</v>
      </c>
      <c r="C4604" s="35" t="s">
        <v>687</v>
      </c>
      <c r="D4604" s="39">
        <v>812.260009765625</v>
      </c>
      <c r="E4604" s="39">
        <v>779.38067626953125</v>
      </c>
      <c r="F4604" s="41">
        <v>971570</v>
      </c>
      <c r="G4604" s="35" t="s">
        <v>690</v>
      </c>
      <c r="H4604" s="35" t="s">
        <v>115</v>
      </c>
    </row>
    <row r="4605" spans="1:8">
      <c r="A4605" s="37">
        <v>45027.15625</v>
      </c>
      <c r="B4605" s="35" t="s">
        <v>686</v>
      </c>
      <c r="C4605" s="35" t="s">
        <v>687</v>
      </c>
      <c r="D4605" s="39">
        <v>800.969970703125</v>
      </c>
      <c r="E4605" s="39">
        <v>768.5477294921875</v>
      </c>
      <c r="F4605" s="41">
        <v>959375</v>
      </c>
      <c r="G4605" s="35" t="s">
        <v>690</v>
      </c>
      <c r="H4605" s="35" t="s">
        <v>115</v>
      </c>
    </row>
    <row r="4606" spans="1:8">
      <c r="A4606" s="37">
        <v>45028.15625</v>
      </c>
      <c r="B4606" s="35" t="s">
        <v>686</v>
      </c>
      <c r="C4606" s="35" t="s">
        <v>687</v>
      </c>
      <c r="D4606" s="39">
        <v>813.03997802734375</v>
      </c>
      <c r="E4606" s="39">
        <v>780.12908935546875</v>
      </c>
      <c r="F4606" s="41">
        <v>821890</v>
      </c>
      <c r="G4606" s="35" t="s">
        <v>690</v>
      </c>
      <c r="H4606" s="35" t="s">
        <v>115</v>
      </c>
    </row>
    <row r="4607" spans="1:8">
      <c r="A4607" s="37">
        <v>45029.15625</v>
      </c>
      <c r="B4607" s="35" t="s">
        <v>686</v>
      </c>
      <c r="C4607" s="35" t="s">
        <v>687</v>
      </c>
      <c r="D4607" s="39">
        <v>805.739990234375</v>
      </c>
      <c r="E4607" s="39">
        <v>773.12451171875</v>
      </c>
      <c r="F4607" s="41">
        <v>2178410</v>
      </c>
      <c r="G4607" s="35" t="s">
        <v>690</v>
      </c>
      <c r="H4607" s="35" t="s">
        <v>115</v>
      </c>
    </row>
    <row r="4608" spans="1:8">
      <c r="A4608" s="37">
        <v>45033.15625</v>
      </c>
      <c r="B4608" s="35" t="s">
        <v>686</v>
      </c>
      <c r="C4608" s="35" t="s">
        <v>687</v>
      </c>
      <c r="D4608" s="39">
        <v>778.3800048828125</v>
      </c>
      <c r="E4608" s="39">
        <v>746.87213134765625</v>
      </c>
      <c r="F4608" s="41">
        <v>3673645</v>
      </c>
      <c r="G4608" s="35" t="s">
        <v>690</v>
      </c>
      <c r="H4608" s="35" t="s">
        <v>115</v>
      </c>
    </row>
    <row r="4609" spans="1:8">
      <c r="A4609" s="37">
        <v>45034.15625</v>
      </c>
      <c r="B4609" s="35" t="s">
        <v>686</v>
      </c>
      <c r="C4609" s="35" t="s">
        <v>687</v>
      </c>
      <c r="D4609" s="39">
        <v>805.6400146484375</v>
      </c>
      <c r="E4609" s="39">
        <v>773.0286865234375</v>
      </c>
      <c r="F4609" s="41">
        <v>2834085</v>
      </c>
      <c r="G4609" s="35" t="s">
        <v>690</v>
      </c>
      <c r="H4609" s="35" t="s">
        <v>115</v>
      </c>
    </row>
    <row r="4610" spans="1:8">
      <c r="A4610" s="37">
        <v>45035.15625</v>
      </c>
      <c r="B4610" s="35" t="s">
        <v>686</v>
      </c>
      <c r="C4610" s="35" t="s">
        <v>687</v>
      </c>
      <c r="D4610" s="39">
        <v>780.3900146484375</v>
      </c>
      <c r="E4610" s="39">
        <v>748.8006591796875</v>
      </c>
      <c r="F4610" s="41">
        <v>1909035</v>
      </c>
      <c r="G4610" s="35" t="s">
        <v>690</v>
      </c>
      <c r="H4610" s="35" t="s">
        <v>115</v>
      </c>
    </row>
    <row r="4611" spans="1:8">
      <c r="A4611" s="37">
        <v>45036.15625</v>
      </c>
      <c r="B4611" s="35" t="s">
        <v>686</v>
      </c>
      <c r="C4611" s="35" t="s">
        <v>687</v>
      </c>
      <c r="D4611" s="39">
        <v>762.69000244140625</v>
      </c>
      <c r="E4611" s="39">
        <v>731.8172607421875</v>
      </c>
      <c r="F4611" s="41">
        <v>4489060</v>
      </c>
      <c r="G4611" s="35" t="s">
        <v>690</v>
      </c>
      <c r="H4611" s="35" t="s">
        <v>115</v>
      </c>
    </row>
    <row r="4612" spans="1:8">
      <c r="A4612" s="37">
        <v>45037.15625</v>
      </c>
      <c r="B4612" s="35" t="s">
        <v>686</v>
      </c>
      <c r="C4612" s="35" t="s">
        <v>687</v>
      </c>
      <c r="D4612" s="39">
        <v>766.1500244140625</v>
      </c>
      <c r="E4612" s="39">
        <v>735.1370849609375</v>
      </c>
      <c r="F4612" s="41">
        <v>2054405</v>
      </c>
      <c r="G4612" s="35" t="s">
        <v>690</v>
      </c>
      <c r="H4612" s="35" t="s">
        <v>115</v>
      </c>
    </row>
    <row r="4613" spans="1:8">
      <c r="A4613" s="37">
        <v>45040.15625</v>
      </c>
      <c r="B4613" s="35" t="s">
        <v>686</v>
      </c>
      <c r="C4613" s="35" t="s">
        <v>687</v>
      </c>
      <c r="D4613" s="39">
        <v>778.32000732421875</v>
      </c>
      <c r="E4613" s="39">
        <v>746.81463623046875</v>
      </c>
      <c r="F4613" s="41">
        <v>1440115</v>
      </c>
      <c r="G4613" s="35" t="s">
        <v>690</v>
      </c>
      <c r="H4613" s="35" t="s">
        <v>115</v>
      </c>
    </row>
    <row r="4614" spans="1:8">
      <c r="A4614" s="37">
        <v>45041.15625</v>
      </c>
      <c r="B4614" s="35" t="s">
        <v>686</v>
      </c>
      <c r="C4614" s="35" t="s">
        <v>687</v>
      </c>
      <c r="D4614" s="39">
        <v>785.989990234375</v>
      </c>
      <c r="E4614" s="39">
        <v>754.17401123046875</v>
      </c>
      <c r="F4614" s="41">
        <v>1938500</v>
      </c>
      <c r="G4614" s="35" t="s">
        <v>690</v>
      </c>
      <c r="H4614" s="35" t="s">
        <v>115</v>
      </c>
    </row>
    <row r="4615" spans="1:8">
      <c r="A4615" s="37">
        <v>45042.15625</v>
      </c>
      <c r="B4615" s="35" t="s">
        <v>686</v>
      </c>
      <c r="C4615" s="35" t="s">
        <v>687</v>
      </c>
      <c r="D4615" s="39">
        <v>788.739990234375</v>
      </c>
      <c r="E4615" s="39">
        <v>756.8128662109375</v>
      </c>
      <c r="F4615" s="41">
        <v>2078380</v>
      </c>
      <c r="G4615" s="35" t="s">
        <v>690</v>
      </c>
      <c r="H4615" s="35" t="s">
        <v>115</v>
      </c>
    </row>
    <row r="4616" spans="1:8">
      <c r="A4616" s="37">
        <v>45043.15625</v>
      </c>
      <c r="B4616" s="35" t="s">
        <v>686</v>
      </c>
      <c r="C4616" s="35" t="s">
        <v>687</v>
      </c>
      <c r="D4616" s="39">
        <v>810.260009765625</v>
      </c>
      <c r="E4616" s="39">
        <v>777.461669921875</v>
      </c>
      <c r="F4616" s="41">
        <v>3500850</v>
      </c>
      <c r="G4616" s="35" t="s">
        <v>690</v>
      </c>
      <c r="H4616" s="35" t="s">
        <v>115</v>
      </c>
    </row>
    <row r="4617" spans="1:8">
      <c r="A4617" s="37">
        <v>45044.15625</v>
      </c>
      <c r="B4617" s="35" t="s">
        <v>686</v>
      </c>
      <c r="C4617" s="35" t="s">
        <v>687</v>
      </c>
      <c r="D4617" s="39">
        <v>836.9000244140625</v>
      </c>
      <c r="E4617" s="39">
        <v>803.02337646484375</v>
      </c>
      <c r="F4617" s="41">
        <v>3246775</v>
      </c>
      <c r="G4617" s="35" t="s">
        <v>690</v>
      </c>
      <c r="H4617" s="35" t="s">
        <v>115</v>
      </c>
    </row>
    <row r="4618" spans="1:8">
      <c r="A4618" s="37">
        <v>45048.15625</v>
      </c>
      <c r="B4618" s="35" t="s">
        <v>686</v>
      </c>
      <c r="C4618" s="35" t="s">
        <v>687</v>
      </c>
      <c r="D4618" s="39">
        <v>826.1300048828125</v>
      </c>
      <c r="E4618" s="39">
        <v>792.68927001953125</v>
      </c>
      <c r="F4618" s="41">
        <v>5793040</v>
      </c>
      <c r="G4618" s="35" t="s">
        <v>690</v>
      </c>
      <c r="H4618" s="35" t="s">
        <v>115</v>
      </c>
    </row>
    <row r="4619" spans="1:8">
      <c r="A4619" s="37">
        <v>45049.15625</v>
      </c>
      <c r="B4619" s="35" t="s">
        <v>686</v>
      </c>
      <c r="C4619" s="35" t="s">
        <v>687</v>
      </c>
      <c r="D4619" s="39">
        <v>819.8499755859375</v>
      </c>
      <c r="E4619" s="39">
        <v>786.6634521484375</v>
      </c>
      <c r="F4619" s="41">
        <v>2210350</v>
      </c>
      <c r="G4619" s="35" t="s">
        <v>690</v>
      </c>
      <c r="H4619" s="35" t="s">
        <v>115</v>
      </c>
    </row>
    <row r="4620" spans="1:8">
      <c r="A4620" s="37">
        <v>45050.15625</v>
      </c>
      <c r="B4620" s="35" t="s">
        <v>686</v>
      </c>
      <c r="C4620" s="35" t="s">
        <v>687</v>
      </c>
      <c r="D4620" s="39">
        <v>820.989990234375</v>
      </c>
      <c r="E4620" s="39">
        <v>787.7574462890625</v>
      </c>
      <c r="F4620" s="41">
        <v>1581815</v>
      </c>
      <c r="G4620" s="35" t="s">
        <v>690</v>
      </c>
      <c r="H4620" s="35" t="s">
        <v>115</v>
      </c>
    </row>
    <row r="4621" spans="1:8">
      <c r="A4621" s="37">
        <v>45051.15625</v>
      </c>
      <c r="B4621" s="35" t="s">
        <v>686</v>
      </c>
      <c r="C4621" s="35" t="s">
        <v>687</v>
      </c>
      <c r="D4621" s="39">
        <v>823.52001953125</v>
      </c>
      <c r="E4621" s="39">
        <v>790.18499755859375</v>
      </c>
      <c r="F4621" s="41">
        <v>989870</v>
      </c>
      <c r="G4621" s="35" t="s">
        <v>690</v>
      </c>
      <c r="H4621" s="35" t="s">
        <v>115</v>
      </c>
    </row>
    <row r="4622" spans="1:8">
      <c r="A4622" s="37">
        <v>45054.15625</v>
      </c>
      <c r="B4622" s="35" t="s">
        <v>686</v>
      </c>
      <c r="C4622" s="35" t="s">
        <v>687</v>
      </c>
      <c r="D4622" s="39">
        <v>823.25</v>
      </c>
      <c r="E4622" s="39">
        <v>789.9259033203125</v>
      </c>
      <c r="F4622" s="41">
        <v>899105</v>
      </c>
      <c r="G4622" s="35" t="s">
        <v>690</v>
      </c>
      <c r="H4622" s="35" t="s">
        <v>115</v>
      </c>
    </row>
    <row r="4623" spans="1:8">
      <c r="A4623" s="37">
        <v>45055.15625</v>
      </c>
      <c r="B4623" s="35" t="s">
        <v>686</v>
      </c>
      <c r="C4623" s="35" t="s">
        <v>687</v>
      </c>
      <c r="D4623" s="39">
        <v>825.010009765625</v>
      </c>
      <c r="E4623" s="39">
        <v>791.6146240234375</v>
      </c>
      <c r="F4623" s="41">
        <v>1772995</v>
      </c>
      <c r="G4623" s="35" t="s">
        <v>690</v>
      </c>
      <c r="H4623" s="35" t="s">
        <v>115</v>
      </c>
    </row>
    <row r="4624" spans="1:8">
      <c r="A4624" s="37">
        <v>45056.15625</v>
      </c>
      <c r="B4624" s="35" t="s">
        <v>686</v>
      </c>
      <c r="C4624" s="35" t="s">
        <v>687</v>
      </c>
      <c r="D4624" s="39">
        <v>825.08001708984375</v>
      </c>
      <c r="E4624" s="39">
        <v>795.34521484375</v>
      </c>
      <c r="F4624" s="41">
        <v>579195</v>
      </c>
      <c r="G4624" s="35" t="s">
        <v>690</v>
      </c>
      <c r="H4624" s="35" t="s">
        <v>115</v>
      </c>
    </row>
    <row r="4625" spans="1:8">
      <c r="A4625" s="37">
        <v>45057.15625</v>
      </c>
      <c r="B4625" s="35" t="s">
        <v>686</v>
      </c>
      <c r="C4625" s="35" t="s">
        <v>687</v>
      </c>
      <c r="D4625" s="39">
        <v>824.96002197265625</v>
      </c>
      <c r="E4625" s="39">
        <v>795.22955322265625</v>
      </c>
      <c r="F4625" s="41">
        <v>1645675</v>
      </c>
      <c r="G4625" s="35" t="s">
        <v>690</v>
      </c>
      <c r="H4625" s="35" t="s">
        <v>115</v>
      </c>
    </row>
    <row r="4626" spans="1:8">
      <c r="A4626" s="37">
        <v>45058.15625</v>
      </c>
      <c r="B4626" s="35" t="s">
        <v>686</v>
      </c>
      <c r="C4626" s="35" t="s">
        <v>687</v>
      </c>
      <c r="D4626" s="39">
        <v>817.1300048828125</v>
      </c>
      <c r="E4626" s="39">
        <v>787.681640625</v>
      </c>
      <c r="F4626" s="41">
        <v>1058915</v>
      </c>
      <c r="G4626" s="35" t="s">
        <v>690</v>
      </c>
      <c r="H4626" s="35" t="s">
        <v>115</v>
      </c>
    </row>
    <row r="4627" spans="1:8">
      <c r="A4627" s="37">
        <v>45061.15625</v>
      </c>
      <c r="B4627" s="35" t="s">
        <v>686</v>
      </c>
      <c r="C4627" s="35" t="s">
        <v>687</v>
      </c>
      <c r="D4627" s="39">
        <v>826.260009765625</v>
      </c>
      <c r="E4627" s="39">
        <v>796.4825439453125</v>
      </c>
      <c r="F4627" s="41">
        <v>582330</v>
      </c>
      <c r="G4627" s="35" t="s">
        <v>690</v>
      </c>
      <c r="H4627" s="35" t="s">
        <v>115</v>
      </c>
    </row>
    <row r="4628" spans="1:8">
      <c r="A4628" s="37">
        <v>45062.15625</v>
      </c>
      <c r="B4628" s="35" t="s">
        <v>686</v>
      </c>
      <c r="C4628" s="35" t="s">
        <v>687</v>
      </c>
      <c r="D4628" s="39">
        <v>840.79998779296875</v>
      </c>
      <c r="E4628" s="39">
        <v>810.49853515625</v>
      </c>
      <c r="F4628" s="41">
        <v>2487140</v>
      </c>
      <c r="G4628" s="35" t="s">
        <v>690</v>
      </c>
      <c r="H4628" s="35" t="s">
        <v>115</v>
      </c>
    </row>
    <row r="4629" spans="1:8">
      <c r="A4629" s="37">
        <v>45063.15625</v>
      </c>
      <c r="B4629" s="35" t="s">
        <v>686</v>
      </c>
      <c r="C4629" s="35" t="s">
        <v>687</v>
      </c>
      <c r="D4629" s="39">
        <v>842.79998779296875</v>
      </c>
      <c r="E4629" s="39">
        <v>812.426513671875</v>
      </c>
      <c r="F4629" s="41">
        <v>1666095</v>
      </c>
      <c r="G4629" s="35" t="s">
        <v>690</v>
      </c>
      <c r="H4629" s="35" t="s">
        <v>115</v>
      </c>
    </row>
    <row r="4630" spans="1:8">
      <c r="A4630" s="37">
        <v>45064.15625</v>
      </c>
      <c r="B4630" s="35" t="s">
        <v>686</v>
      </c>
      <c r="C4630" s="35" t="s">
        <v>687</v>
      </c>
      <c r="D4630" s="39">
        <v>841.22998046875</v>
      </c>
      <c r="E4630" s="39">
        <v>810.91302490234375</v>
      </c>
      <c r="F4630" s="41">
        <v>1021380</v>
      </c>
      <c r="G4630" s="35" t="s">
        <v>690</v>
      </c>
      <c r="H4630" s="35" t="s">
        <v>115</v>
      </c>
    </row>
    <row r="4631" spans="1:8">
      <c r="A4631" s="37">
        <v>45065.15625</v>
      </c>
      <c r="B4631" s="35" t="s">
        <v>686</v>
      </c>
      <c r="C4631" s="35" t="s">
        <v>687</v>
      </c>
      <c r="D4631" s="39">
        <v>855.6300048828125</v>
      </c>
      <c r="E4631" s="39">
        <v>824.79425048828125</v>
      </c>
      <c r="F4631" s="41">
        <v>1719045</v>
      </c>
      <c r="G4631" s="35" t="s">
        <v>690</v>
      </c>
      <c r="H4631" s="35" t="s">
        <v>115</v>
      </c>
    </row>
    <row r="4632" spans="1:8">
      <c r="A4632" s="37">
        <v>45068.15625</v>
      </c>
      <c r="B4632" s="35" t="s">
        <v>686</v>
      </c>
      <c r="C4632" s="35" t="s">
        <v>687</v>
      </c>
      <c r="D4632" s="39">
        <v>874.19000244140625</v>
      </c>
      <c r="E4632" s="39">
        <v>842.68524169921875</v>
      </c>
      <c r="F4632" s="41">
        <v>1793365</v>
      </c>
      <c r="G4632" s="35" t="s">
        <v>690</v>
      </c>
      <c r="H4632" s="35" t="s">
        <v>115</v>
      </c>
    </row>
    <row r="4633" spans="1:8">
      <c r="A4633" s="37">
        <v>45069.15625</v>
      </c>
      <c r="B4633" s="35" t="s">
        <v>686</v>
      </c>
      <c r="C4633" s="35" t="s">
        <v>687</v>
      </c>
      <c r="D4633" s="39">
        <v>860.9000244140625</v>
      </c>
      <c r="E4633" s="39">
        <v>829.87432861328125</v>
      </c>
      <c r="F4633" s="41">
        <v>1380455</v>
      </c>
      <c r="G4633" s="35" t="s">
        <v>690</v>
      </c>
      <c r="H4633" s="35" t="s">
        <v>115</v>
      </c>
    </row>
    <row r="4634" spans="1:8">
      <c r="A4634" s="37">
        <v>45070.15625</v>
      </c>
      <c r="B4634" s="35" t="s">
        <v>686</v>
      </c>
      <c r="C4634" s="35" t="s">
        <v>687</v>
      </c>
      <c r="D4634" s="39">
        <v>851.08001708984375</v>
      </c>
      <c r="E4634" s="39">
        <v>820.40814208984375</v>
      </c>
      <c r="F4634" s="41">
        <v>792835</v>
      </c>
      <c r="G4634" s="35" t="s">
        <v>690</v>
      </c>
      <c r="H4634" s="35" t="s">
        <v>115</v>
      </c>
    </row>
    <row r="4635" spans="1:8">
      <c r="A4635" s="37">
        <v>45071.15625</v>
      </c>
      <c r="B4635" s="35" t="s">
        <v>686</v>
      </c>
      <c r="C4635" s="35" t="s">
        <v>687</v>
      </c>
      <c r="D4635" s="39">
        <v>859.45001220703125</v>
      </c>
      <c r="E4635" s="39">
        <v>828.47650146484375</v>
      </c>
      <c r="F4635" s="41">
        <v>1401875</v>
      </c>
      <c r="G4635" s="35" t="s">
        <v>690</v>
      </c>
      <c r="H4635" s="35" t="s">
        <v>115</v>
      </c>
    </row>
    <row r="4636" spans="1:8">
      <c r="A4636" s="37">
        <v>45072.15625</v>
      </c>
      <c r="B4636" s="35" t="s">
        <v>686</v>
      </c>
      <c r="C4636" s="35" t="s">
        <v>687</v>
      </c>
      <c r="D4636" s="39">
        <v>891.989990234375</v>
      </c>
      <c r="E4636" s="39">
        <v>859.84368896484375</v>
      </c>
      <c r="F4636" s="41">
        <v>3170645</v>
      </c>
      <c r="G4636" s="35" t="s">
        <v>690</v>
      </c>
      <c r="H4636" s="35" t="s">
        <v>115</v>
      </c>
    </row>
    <row r="4637" spans="1:8">
      <c r="A4637" s="37">
        <v>45075.15625</v>
      </c>
      <c r="B4637" s="35" t="s">
        <v>686</v>
      </c>
      <c r="C4637" s="35" t="s">
        <v>687</v>
      </c>
      <c r="D4637" s="39">
        <v>884.030029296875</v>
      </c>
      <c r="E4637" s="39">
        <v>852.17071533203125</v>
      </c>
      <c r="F4637" s="41">
        <v>1073600</v>
      </c>
      <c r="G4637" s="35" t="s">
        <v>690</v>
      </c>
      <c r="H4637" s="35" t="s">
        <v>115</v>
      </c>
    </row>
    <row r="4638" spans="1:8">
      <c r="A4638" s="37">
        <v>45076.15625</v>
      </c>
      <c r="B4638" s="35" t="s">
        <v>686</v>
      </c>
      <c r="C4638" s="35" t="s">
        <v>687</v>
      </c>
      <c r="D4638" s="39">
        <v>880.030029296875</v>
      </c>
      <c r="E4638" s="39">
        <v>848.31488037109375</v>
      </c>
      <c r="F4638" s="41">
        <v>1353600</v>
      </c>
      <c r="G4638" s="35" t="s">
        <v>690</v>
      </c>
      <c r="H4638" s="35" t="s">
        <v>115</v>
      </c>
    </row>
    <row r="4639" spans="1:8">
      <c r="A4639" s="37">
        <v>45077.15625</v>
      </c>
      <c r="B4639" s="35" t="s">
        <v>686</v>
      </c>
      <c r="C4639" s="35" t="s">
        <v>687</v>
      </c>
      <c r="D4639" s="39">
        <v>911.02001953125</v>
      </c>
      <c r="E4639" s="39">
        <v>878.1878662109375</v>
      </c>
      <c r="F4639" s="41">
        <v>3534745</v>
      </c>
      <c r="G4639" s="35" t="s">
        <v>690</v>
      </c>
      <c r="H4639" s="35" t="s">
        <v>115</v>
      </c>
    </row>
    <row r="4640" spans="1:8">
      <c r="A4640" s="37">
        <v>45078.15625</v>
      </c>
      <c r="B4640" s="35" t="s">
        <v>686</v>
      </c>
      <c r="C4640" s="35" t="s">
        <v>687</v>
      </c>
      <c r="D4640" s="39">
        <v>912.42999267578125</v>
      </c>
      <c r="E4640" s="39">
        <v>879.547119140625</v>
      </c>
      <c r="F4640" s="41">
        <v>1101505</v>
      </c>
      <c r="G4640" s="35" t="s">
        <v>690</v>
      </c>
      <c r="H4640" s="35" t="s">
        <v>115</v>
      </c>
    </row>
    <row r="4641" spans="1:8">
      <c r="A4641" s="37">
        <v>45079.15625</v>
      </c>
      <c r="B4641" s="35" t="s">
        <v>686</v>
      </c>
      <c r="C4641" s="35" t="s">
        <v>687</v>
      </c>
      <c r="D4641" s="39">
        <v>918.15997314453125</v>
      </c>
      <c r="E4641" s="39">
        <v>885.07061767578125</v>
      </c>
      <c r="F4641" s="41">
        <v>1514490</v>
      </c>
      <c r="G4641" s="35" t="s">
        <v>690</v>
      </c>
      <c r="H4641" s="35" t="s">
        <v>115</v>
      </c>
    </row>
    <row r="4642" spans="1:8">
      <c r="A4642" s="37">
        <v>45082.15625</v>
      </c>
      <c r="B4642" s="35" t="s">
        <v>686</v>
      </c>
      <c r="C4642" s="35" t="s">
        <v>687</v>
      </c>
      <c r="D4642" s="39">
        <v>918.489990234375</v>
      </c>
      <c r="E4642" s="39">
        <v>885.38873291015625</v>
      </c>
      <c r="F4642" s="41">
        <v>732410</v>
      </c>
      <c r="G4642" s="35" t="s">
        <v>690</v>
      </c>
      <c r="H4642" s="35" t="s">
        <v>115</v>
      </c>
    </row>
    <row r="4643" spans="1:8">
      <c r="A4643" s="37">
        <v>45083.15625</v>
      </c>
      <c r="B4643" s="35" t="s">
        <v>686</v>
      </c>
      <c r="C4643" s="35" t="s">
        <v>687</v>
      </c>
      <c r="D4643" s="39">
        <v>883.0999755859375</v>
      </c>
      <c r="E4643" s="39">
        <v>851.274169921875</v>
      </c>
      <c r="F4643" s="41">
        <v>1864985</v>
      </c>
      <c r="G4643" s="35" t="s">
        <v>690</v>
      </c>
      <c r="H4643" s="35" t="s">
        <v>115</v>
      </c>
    </row>
    <row r="4644" spans="1:8">
      <c r="A4644" s="37">
        <v>45084.15625</v>
      </c>
      <c r="B4644" s="35" t="s">
        <v>686</v>
      </c>
      <c r="C4644" s="35" t="s">
        <v>687</v>
      </c>
      <c r="D4644" s="39">
        <v>890.40997314453125</v>
      </c>
      <c r="E4644" s="39">
        <v>858.32061767578125</v>
      </c>
      <c r="F4644" s="41">
        <v>639970</v>
      </c>
      <c r="G4644" s="35" t="s">
        <v>690</v>
      </c>
      <c r="H4644" s="35" t="s">
        <v>115</v>
      </c>
    </row>
    <row r="4645" spans="1:8">
      <c r="A4645" s="37">
        <v>45085.15625</v>
      </c>
      <c r="B4645" s="35" t="s">
        <v>686</v>
      </c>
      <c r="C4645" s="35" t="s">
        <v>687</v>
      </c>
      <c r="D4645" s="39">
        <v>877.1099853515625</v>
      </c>
      <c r="E4645" s="39">
        <v>845.50006103515625</v>
      </c>
      <c r="F4645" s="41">
        <v>644365</v>
      </c>
      <c r="G4645" s="35" t="s">
        <v>690</v>
      </c>
      <c r="H4645" s="35" t="s">
        <v>115</v>
      </c>
    </row>
    <row r="4646" spans="1:8">
      <c r="A4646" s="37">
        <v>45086.15625</v>
      </c>
      <c r="B4646" s="35" t="s">
        <v>686</v>
      </c>
      <c r="C4646" s="35" t="s">
        <v>687</v>
      </c>
      <c r="D4646" s="39">
        <v>881.5999755859375</v>
      </c>
      <c r="E4646" s="39">
        <v>849.8282470703125</v>
      </c>
      <c r="F4646" s="41">
        <v>1047745</v>
      </c>
      <c r="G4646" s="35" t="s">
        <v>690</v>
      </c>
      <c r="H4646" s="35" t="s">
        <v>115</v>
      </c>
    </row>
    <row r="4647" spans="1:8">
      <c r="A4647" s="37">
        <v>45089.15625</v>
      </c>
      <c r="B4647" s="35" t="s">
        <v>686</v>
      </c>
      <c r="C4647" s="35" t="s">
        <v>687</v>
      </c>
      <c r="D4647" s="39">
        <v>901.260009765625</v>
      </c>
      <c r="E4647" s="39">
        <v>868.77972412109375</v>
      </c>
      <c r="F4647" s="41">
        <v>2424035</v>
      </c>
      <c r="G4647" s="35" t="s">
        <v>690</v>
      </c>
      <c r="H4647" s="35" t="s">
        <v>115</v>
      </c>
    </row>
    <row r="4648" spans="1:8">
      <c r="A4648" s="37">
        <v>45090.15625</v>
      </c>
      <c r="B4648" s="35" t="s">
        <v>686</v>
      </c>
      <c r="C4648" s="35" t="s">
        <v>687</v>
      </c>
      <c r="D4648" s="39">
        <v>913.58001708984375</v>
      </c>
      <c r="E4648" s="39">
        <v>880.65570068359375</v>
      </c>
      <c r="F4648" s="41">
        <v>1314065</v>
      </c>
      <c r="G4648" s="35" t="s">
        <v>690</v>
      </c>
      <c r="H4648" s="35" t="s">
        <v>115</v>
      </c>
    </row>
    <row r="4649" spans="1:8">
      <c r="A4649" s="37">
        <v>45091.15625</v>
      </c>
      <c r="B4649" s="35" t="s">
        <v>686</v>
      </c>
      <c r="C4649" s="35" t="s">
        <v>687</v>
      </c>
      <c r="D4649" s="39">
        <v>923.91998291015625</v>
      </c>
      <c r="E4649" s="39">
        <v>890.62310791015625</v>
      </c>
      <c r="F4649" s="41">
        <v>1993650</v>
      </c>
      <c r="G4649" s="35" t="s">
        <v>690</v>
      </c>
      <c r="H4649" s="35" t="s">
        <v>115</v>
      </c>
    </row>
    <row r="4650" spans="1:8">
      <c r="A4650" s="37">
        <v>45092.15625</v>
      </c>
      <c r="B4650" s="35" t="s">
        <v>686</v>
      </c>
      <c r="C4650" s="35" t="s">
        <v>687</v>
      </c>
      <c r="D4650" s="39">
        <v>916.59002685546875</v>
      </c>
      <c r="E4650" s="39">
        <v>883.55718994140625</v>
      </c>
      <c r="F4650" s="41">
        <v>794525</v>
      </c>
      <c r="G4650" s="35" t="s">
        <v>690</v>
      </c>
      <c r="H4650" s="35" t="s">
        <v>115</v>
      </c>
    </row>
    <row r="4651" spans="1:8">
      <c r="A4651" s="37">
        <v>45093.15625</v>
      </c>
      <c r="B4651" s="35" t="s">
        <v>686</v>
      </c>
      <c r="C4651" s="35" t="s">
        <v>687</v>
      </c>
      <c r="D4651" s="39">
        <v>918.8499755859375</v>
      </c>
      <c r="E4651" s="39">
        <v>885.73583984375</v>
      </c>
      <c r="F4651" s="41">
        <v>1071920</v>
      </c>
      <c r="G4651" s="35" t="s">
        <v>690</v>
      </c>
      <c r="H4651" s="35" t="s">
        <v>115</v>
      </c>
    </row>
    <row r="4652" spans="1:8">
      <c r="A4652" s="37">
        <v>45096.15625</v>
      </c>
      <c r="B4652" s="35" t="s">
        <v>686</v>
      </c>
      <c r="C4652" s="35" t="s">
        <v>687</v>
      </c>
      <c r="D4652" s="39">
        <v>912.58001708984375</v>
      </c>
      <c r="E4652" s="39">
        <v>879.69183349609375</v>
      </c>
      <c r="F4652" s="41">
        <v>682035</v>
      </c>
      <c r="G4652" s="35" t="s">
        <v>690</v>
      </c>
      <c r="H4652" s="35" t="s">
        <v>115</v>
      </c>
    </row>
    <row r="4653" spans="1:8">
      <c r="A4653" s="37">
        <v>45097.15625</v>
      </c>
      <c r="B4653" s="35" t="s">
        <v>686</v>
      </c>
      <c r="C4653" s="35" t="s">
        <v>687</v>
      </c>
      <c r="D4653" s="39">
        <v>911.8499755859375</v>
      </c>
      <c r="E4653" s="39">
        <v>878.988037109375</v>
      </c>
      <c r="F4653" s="41">
        <v>1285430</v>
      </c>
      <c r="G4653" s="35" t="s">
        <v>690</v>
      </c>
      <c r="H4653" s="35" t="s">
        <v>115</v>
      </c>
    </row>
    <row r="4654" spans="1:8">
      <c r="A4654" s="37">
        <v>45098.15625</v>
      </c>
      <c r="B4654" s="35" t="s">
        <v>686</v>
      </c>
      <c r="C4654" s="35" t="s">
        <v>687</v>
      </c>
      <c r="D4654" s="39">
        <v>920.969970703125</v>
      </c>
      <c r="E4654" s="39">
        <v>887.779296875</v>
      </c>
      <c r="F4654" s="41">
        <v>1520735</v>
      </c>
      <c r="G4654" s="35" t="s">
        <v>690</v>
      </c>
      <c r="H4654" s="35" t="s">
        <v>115</v>
      </c>
    </row>
    <row r="4655" spans="1:8">
      <c r="A4655" s="37">
        <v>45099.15625</v>
      </c>
      <c r="B4655" s="35" t="s">
        <v>686</v>
      </c>
      <c r="C4655" s="35" t="s">
        <v>687</v>
      </c>
      <c r="D4655" s="39">
        <v>906.94000244140625</v>
      </c>
      <c r="E4655" s="39">
        <v>874.25506591796875</v>
      </c>
      <c r="F4655" s="41">
        <v>1398220</v>
      </c>
      <c r="G4655" s="35" t="s">
        <v>690</v>
      </c>
      <c r="H4655" s="35" t="s">
        <v>115</v>
      </c>
    </row>
    <row r="4656" spans="1:8">
      <c r="A4656" s="37">
        <v>45100.15625</v>
      </c>
      <c r="B4656" s="35" t="s">
        <v>686</v>
      </c>
      <c r="C4656" s="35" t="s">
        <v>687</v>
      </c>
      <c r="D4656" s="39">
        <v>899.8900146484375</v>
      </c>
      <c r="E4656" s="39">
        <v>867.459228515625</v>
      </c>
      <c r="F4656" s="41">
        <v>867090</v>
      </c>
      <c r="G4656" s="35" t="s">
        <v>690</v>
      </c>
      <c r="H4656" s="35" t="s">
        <v>115</v>
      </c>
    </row>
    <row r="4657" spans="1:8">
      <c r="A4657" s="37">
        <v>45103.15625</v>
      </c>
      <c r="B4657" s="35" t="s">
        <v>686</v>
      </c>
      <c r="C4657" s="35" t="s">
        <v>687</v>
      </c>
      <c r="D4657" s="39">
        <v>921.34002685546875</v>
      </c>
      <c r="E4657" s="39">
        <v>888.135986328125</v>
      </c>
      <c r="F4657" s="41">
        <v>1263525</v>
      </c>
      <c r="G4657" s="35" t="s">
        <v>690</v>
      </c>
      <c r="H4657" s="35" t="s">
        <v>115</v>
      </c>
    </row>
    <row r="4658" spans="1:8">
      <c r="A4658" s="37">
        <v>45104.15625</v>
      </c>
      <c r="B4658" s="35" t="s">
        <v>686</v>
      </c>
      <c r="C4658" s="35" t="s">
        <v>687</v>
      </c>
      <c r="D4658" s="39">
        <v>939.09002685546875</v>
      </c>
      <c r="E4658" s="39">
        <v>905.246337890625</v>
      </c>
      <c r="F4658" s="41">
        <v>1765795</v>
      </c>
      <c r="G4658" s="35" t="s">
        <v>690</v>
      </c>
      <c r="H4658" s="35" t="s">
        <v>115</v>
      </c>
    </row>
    <row r="4659" spans="1:8">
      <c r="A4659" s="37">
        <v>45105.15625</v>
      </c>
      <c r="B4659" s="35" t="s">
        <v>686</v>
      </c>
      <c r="C4659" s="35" t="s">
        <v>687</v>
      </c>
      <c r="D4659" s="39">
        <v>933.780029296875</v>
      </c>
      <c r="E4659" s="39">
        <v>900.12774658203125</v>
      </c>
      <c r="F4659" s="41">
        <v>1326715</v>
      </c>
      <c r="G4659" s="35" t="s">
        <v>690</v>
      </c>
      <c r="H4659" s="35" t="s">
        <v>115</v>
      </c>
    </row>
    <row r="4660" spans="1:8">
      <c r="A4660" s="37">
        <v>45107.15625</v>
      </c>
      <c r="B4660" s="35" t="s">
        <v>686</v>
      </c>
      <c r="C4660" s="35" t="s">
        <v>687</v>
      </c>
      <c r="D4660" s="39">
        <v>942.260009765625</v>
      </c>
      <c r="E4660" s="39">
        <v>908.30224609375</v>
      </c>
      <c r="F4660" s="41">
        <v>1096360</v>
      </c>
      <c r="G4660" s="35" t="s">
        <v>690</v>
      </c>
      <c r="H4660" s="35" t="s">
        <v>115</v>
      </c>
    </row>
    <row r="4661" spans="1:8">
      <c r="A4661" s="37">
        <v>45110.15625</v>
      </c>
      <c r="B4661" s="35" t="s">
        <v>686</v>
      </c>
      <c r="C4661" s="35" t="s">
        <v>687</v>
      </c>
      <c r="D4661" s="39">
        <v>936.8699951171875</v>
      </c>
      <c r="E4661" s="39">
        <v>903.1063232421875</v>
      </c>
      <c r="F4661" s="41">
        <v>715765</v>
      </c>
      <c r="G4661" s="35" t="s">
        <v>690</v>
      </c>
      <c r="H4661" s="35" t="s">
        <v>115</v>
      </c>
    </row>
    <row r="4662" spans="1:8">
      <c r="A4662" s="37">
        <v>45111.15625</v>
      </c>
      <c r="B4662" s="35" t="s">
        <v>686</v>
      </c>
      <c r="C4662" s="35" t="s">
        <v>687</v>
      </c>
      <c r="D4662" s="39">
        <v>941.719970703125</v>
      </c>
      <c r="E4662" s="39">
        <v>907.78155517578125</v>
      </c>
      <c r="F4662" s="41">
        <v>723920</v>
      </c>
      <c r="G4662" s="35" t="s">
        <v>690</v>
      </c>
      <c r="H4662" s="35" t="s">
        <v>115</v>
      </c>
    </row>
    <row r="4663" spans="1:8">
      <c r="A4663" s="37">
        <v>45112.15625</v>
      </c>
      <c r="B4663" s="35" t="s">
        <v>686</v>
      </c>
      <c r="C4663" s="35" t="s">
        <v>687</v>
      </c>
      <c r="D4663" s="39">
        <v>945.09002685546875</v>
      </c>
      <c r="E4663" s="39">
        <v>911.0301513671875</v>
      </c>
      <c r="F4663" s="41">
        <v>672110</v>
      </c>
      <c r="G4663" s="35" t="s">
        <v>690</v>
      </c>
      <c r="H4663" s="35" t="s">
        <v>115</v>
      </c>
    </row>
    <row r="4664" spans="1:8">
      <c r="A4664" s="37">
        <v>45113.15625</v>
      </c>
      <c r="B4664" s="35" t="s">
        <v>686</v>
      </c>
      <c r="C4664" s="35" t="s">
        <v>687</v>
      </c>
      <c r="D4664" s="39">
        <v>949.05999755859375</v>
      </c>
      <c r="E4664" s="39">
        <v>914.85693359375</v>
      </c>
      <c r="F4664" s="41">
        <v>420235</v>
      </c>
      <c r="G4664" s="35" t="s">
        <v>690</v>
      </c>
      <c r="H4664" s="35" t="s">
        <v>115</v>
      </c>
    </row>
    <row r="4665" spans="1:8">
      <c r="A4665" s="37">
        <v>45114.15625</v>
      </c>
      <c r="B4665" s="35" t="s">
        <v>686</v>
      </c>
      <c r="C4665" s="35" t="s">
        <v>687</v>
      </c>
      <c r="D4665" s="39">
        <v>938.33001708984375</v>
      </c>
      <c r="E4665" s="39">
        <v>904.5137939453125</v>
      </c>
      <c r="F4665" s="41">
        <v>1537140</v>
      </c>
      <c r="G4665" s="35" t="s">
        <v>690</v>
      </c>
      <c r="H4665" s="35" t="s">
        <v>115</v>
      </c>
    </row>
    <row r="4666" spans="1:8">
      <c r="A4666" s="37">
        <v>45117.15625</v>
      </c>
      <c r="B4666" s="35" t="s">
        <v>686</v>
      </c>
      <c r="C4666" s="35" t="s">
        <v>687</v>
      </c>
      <c r="D4666" s="39">
        <v>922.260009765625</v>
      </c>
      <c r="E4666" s="39">
        <v>889.02288818359375</v>
      </c>
      <c r="F4666" s="41">
        <v>696700</v>
      </c>
      <c r="G4666" s="35" t="s">
        <v>690</v>
      </c>
      <c r="H4666" s="35" t="s">
        <v>115</v>
      </c>
    </row>
    <row r="4667" spans="1:8">
      <c r="A4667" s="37">
        <v>45118.15625</v>
      </c>
      <c r="B4667" s="35" t="s">
        <v>686</v>
      </c>
      <c r="C4667" s="35" t="s">
        <v>687</v>
      </c>
      <c r="D4667" s="39">
        <v>939.3900146484375</v>
      </c>
      <c r="E4667" s="39">
        <v>905.5355224609375</v>
      </c>
      <c r="F4667" s="41">
        <v>1621200</v>
      </c>
      <c r="G4667" s="35" t="s">
        <v>690</v>
      </c>
      <c r="H4667" s="35" t="s">
        <v>115</v>
      </c>
    </row>
    <row r="4668" spans="1:8">
      <c r="A4668" s="37">
        <v>45119.15625</v>
      </c>
      <c r="B4668" s="35" t="s">
        <v>686</v>
      </c>
      <c r="C4668" s="35" t="s">
        <v>687</v>
      </c>
      <c r="D4668" s="39">
        <v>929.96002197265625</v>
      </c>
      <c r="E4668" s="39">
        <v>896.44549560546875</v>
      </c>
      <c r="F4668" s="41">
        <v>1448910</v>
      </c>
      <c r="G4668" s="35" t="s">
        <v>690</v>
      </c>
      <c r="H4668" s="35" t="s">
        <v>115</v>
      </c>
    </row>
    <row r="4669" spans="1:8">
      <c r="A4669" s="37">
        <v>45120.15625</v>
      </c>
      <c r="B4669" s="35" t="s">
        <v>686</v>
      </c>
      <c r="C4669" s="35" t="s">
        <v>687</v>
      </c>
      <c r="D4669" s="39">
        <v>951.0999755859375</v>
      </c>
      <c r="E4669" s="39">
        <v>916.82354736328125</v>
      </c>
      <c r="F4669" s="41">
        <v>2190395</v>
      </c>
      <c r="G4669" s="35" t="s">
        <v>690</v>
      </c>
      <c r="H4669" s="35" t="s">
        <v>115</v>
      </c>
    </row>
    <row r="4670" spans="1:8">
      <c r="A4670" s="37">
        <v>45121.15625</v>
      </c>
      <c r="B4670" s="35" t="s">
        <v>686</v>
      </c>
      <c r="C4670" s="35" t="s">
        <v>687</v>
      </c>
      <c r="D4670" s="39">
        <v>985.15997314453125</v>
      </c>
      <c r="E4670" s="39">
        <v>949.65606689453125</v>
      </c>
      <c r="F4670" s="41">
        <v>3269600</v>
      </c>
      <c r="G4670" s="35" t="s">
        <v>690</v>
      </c>
      <c r="H4670" s="35" t="s">
        <v>115</v>
      </c>
    </row>
    <row r="4671" spans="1:8">
      <c r="A4671" s="37">
        <v>45124.15625</v>
      </c>
      <c r="B4671" s="35" t="s">
        <v>686</v>
      </c>
      <c r="C4671" s="35" t="s">
        <v>687</v>
      </c>
      <c r="D4671" s="39">
        <v>991.6300048828125</v>
      </c>
      <c r="E4671" s="39">
        <v>955.89288330078125</v>
      </c>
      <c r="F4671" s="41">
        <v>2515455</v>
      </c>
      <c r="G4671" s="35" t="s">
        <v>690</v>
      </c>
      <c r="H4671" s="35" t="s">
        <v>115</v>
      </c>
    </row>
    <row r="4672" spans="1:8">
      <c r="A4672" s="37">
        <v>45125.15625</v>
      </c>
      <c r="B4672" s="35" t="s">
        <v>686</v>
      </c>
      <c r="C4672" s="35" t="s">
        <v>687</v>
      </c>
      <c r="D4672" s="39">
        <v>993.16998291015625</v>
      </c>
      <c r="E4672" s="39">
        <v>957.37738037109375</v>
      </c>
      <c r="F4672" s="41">
        <v>2262775</v>
      </c>
      <c r="G4672" s="35" t="s">
        <v>690</v>
      </c>
      <c r="H4672" s="35" t="s">
        <v>115</v>
      </c>
    </row>
    <row r="4673" spans="1:8">
      <c r="A4673" s="37">
        <v>45126.15625</v>
      </c>
      <c r="B4673" s="35" t="s">
        <v>686</v>
      </c>
      <c r="C4673" s="35" t="s">
        <v>687</v>
      </c>
      <c r="D4673" s="39">
        <v>975.19000244140625</v>
      </c>
      <c r="E4673" s="39">
        <v>940.04522705078125</v>
      </c>
      <c r="F4673" s="41">
        <v>1911945</v>
      </c>
      <c r="G4673" s="35" t="s">
        <v>690</v>
      </c>
      <c r="H4673" s="35" t="s">
        <v>115</v>
      </c>
    </row>
    <row r="4674" spans="1:8">
      <c r="A4674" s="37">
        <v>45127.15625</v>
      </c>
      <c r="B4674" s="35" t="s">
        <v>686</v>
      </c>
      <c r="C4674" s="35" t="s">
        <v>687</v>
      </c>
      <c r="D4674" s="39">
        <v>963.8900146484375</v>
      </c>
      <c r="E4674" s="39">
        <v>929.152587890625</v>
      </c>
      <c r="F4674" s="41">
        <v>1504110</v>
      </c>
      <c r="G4674" s="35" t="s">
        <v>690</v>
      </c>
      <c r="H4674" s="35" t="s">
        <v>115</v>
      </c>
    </row>
    <row r="4675" spans="1:8">
      <c r="A4675" s="37">
        <v>45128.15625</v>
      </c>
      <c r="B4675" s="35" t="s">
        <v>686</v>
      </c>
      <c r="C4675" s="35" t="s">
        <v>687</v>
      </c>
      <c r="D4675" s="39">
        <v>928.05999755859375</v>
      </c>
      <c r="E4675" s="39">
        <v>894.6138916015625</v>
      </c>
      <c r="F4675" s="41">
        <v>5653675</v>
      </c>
      <c r="G4675" s="35" t="s">
        <v>690</v>
      </c>
      <c r="H4675" s="35" t="s">
        <v>115</v>
      </c>
    </row>
    <row r="4676" spans="1:8">
      <c r="A4676" s="37">
        <v>45131.15625</v>
      </c>
      <c r="B4676" s="35" t="s">
        <v>686</v>
      </c>
      <c r="C4676" s="35" t="s">
        <v>687</v>
      </c>
      <c r="D4676" s="39">
        <v>945.1400146484375</v>
      </c>
      <c r="E4676" s="39">
        <v>911.078369140625</v>
      </c>
      <c r="F4676" s="41">
        <v>1690000</v>
      </c>
      <c r="G4676" s="35" t="s">
        <v>690</v>
      </c>
      <c r="H4676" s="35" t="s">
        <v>115</v>
      </c>
    </row>
    <row r="4677" spans="1:8">
      <c r="A4677" s="37">
        <v>45132.15625</v>
      </c>
      <c r="B4677" s="35" t="s">
        <v>686</v>
      </c>
      <c r="C4677" s="35" t="s">
        <v>687</v>
      </c>
      <c r="D4677" s="39">
        <v>937.54998779296875</v>
      </c>
      <c r="E4677" s="39">
        <v>903.76190185546875</v>
      </c>
      <c r="F4677" s="41">
        <v>875690</v>
      </c>
      <c r="G4677" s="35" t="s">
        <v>690</v>
      </c>
      <c r="H4677" s="35" t="s">
        <v>115</v>
      </c>
    </row>
    <row r="4678" spans="1:8">
      <c r="A4678" s="37">
        <v>45133.15625</v>
      </c>
      <c r="B4678" s="35" t="s">
        <v>686</v>
      </c>
      <c r="C4678" s="35" t="s">
        <v>687</v>
      </c>
      <c r="D4678" s="39">
        <v>943.22998046875</v>
      </c>
      <c r="E4678" s="39">
        <v>909.23712158203125</v>
      </c>
      <c r="F4678" s="41">
        <v>804430</v>
      </c>
      <c r="G4678" s="35" t="s">
        <v>690</v>
      </c>
      <c r="H4678" s="35" t="s">
        <v>115</v>
      </c>
    </row>
    <row r="4679" spans="1:8">
      <c r="A4679" s="37">
        <v>45134.15625</v>
      </c>
      <c r="B4679" s="35" t="s">
        <v>686</v>
      </c>
      <c r="C4679" s="35" t="s">
        <v>687</v>
      </c>
      <c r="D4679" s="39">
        <v>938.53997802734375</v>
      </c>
      <c r="E4679" s="39">
        <v>904.71612548828125</v>
      </c>
      <c r="F4679" s="41">
        <v>797975</v>
      </c>
      <c r="G4679" s="35" t="s">
        <v>690</v>
      </c>
      <c r="H4679" s="35" t="s">
        <v>115</v>
      </c>
    </row>
    <row r="4680" spans="1:8">
      <c r="A4680" s="37">
        <v>45135.15625</v>
      </c>
      <c r="B4680" s="35" t="s">
        <v>686</v>
      </c>
      <c r="C4680" s="35" t="s">
        <v>687</v>
      </c>
      <c r="D4680" s="39">
        <v>934.46002197265625</v>
      </c>
      <c r="E4680" s="39">
        <v>900.78326416015625</v>
      </c>
      <c r="F4680" s="41">
        <v>571700</v>
      </c>
      <c r="G4680" s="35" t="s">
        <v>690</v>
      </c>
      <c r="H4680" s="35" t="s">
        <v>115</v>
      </c>
    </row>
    <row r="4681" spans="1:8">
      <c r="A4681" s="37">
        <v>45138.15625</v>
      </c>
      <c r="B4681" s="35" t="s">
        <v>686</v>
      </c>
      <c r="C4681" s="35" t="s">
        <v>687</v>
      </c>
      <c r="D4681" s="39">
        <v>940.739990234375</v>
      </c>
      <c r="E4681" s="39">
        <v>906.83697509765625</v>
      </c>
      <c r="F4681" s="41">
        <v>821685</v>
      </c>
      <c r="G4681" s="35" t="s">
        <v>690</v>
      </c>
      <c r="H4681" s="35" t="s">
        <v>115</v>
      </c>
    </row>
    <row r="4682" spans="1:8">
      <c r="A4682" s="37">
        <v>45139.15625</v>
      </c>
      <c r="B4682" s="35" t="s">
        <v>686</v>
      </c>
      <c r="C4682" s="35" t="s">
        <v>687</v>
      </c>
      <c r="D4682" s="39">
        <v>969.09002685546875</v>
      </c>
      <c r="E4682" s="39">
        <v>934.16522216796875</v>
      </c>
      <c r="F4682" s="41">
        <v>1764270</v>
      </c>
      <c r="G4682" s="35" t="s">
        <v>690</v>
      </c>
      <c r="H4682" s="35" t="s">
        <v>115</v>
      </c>
    </row>
    <row r="4683" spans="1:8">
      <c r="A4683" s="37">
        <v>45140.15625</v>
      </c>
      <c r="B4683" s="35" t="s">
        <v>686</v>
      </c>
      <c r="C4683" s="35" t="s">
        <v>687</v>
      </c>
      <c r="D4683" s="39">
        <v>951.41998291015625</v>
      </c>
      <c r="E4683" s="39">
        <v>917.13201904296875</v>
      </c>
      <c r="F4683" s="41">
        <v>732525</v>
      </c>
      <c r="G4683" s="35" t="s">
        <v>690</v>
      </c>
      <c r="H4683" s="35" t="s">
        <v>115</v>
      </c>
    </row>
    <row r="4684" spans="1:8">
      <c r="A4684" s="37">
        <v>45141.15625</v>
      </c>
      <c r="B4684" s="35" t="s">
        <v>686</v>
      </c>
      <c r="C4684" s="35" t="s">
        <v>687</v>
      </c>
      <c r="D4684" s="39">
        <v>953.04998779296875</v>
      </c>
      <c r="E4684" s="39">
        <v>922.38726806640625</v>
      </c>
      <c r="F4684" s="41">
        <v>1303210</v>
      </c>
      <c r="G4684" s="35" t="s">
        <v>690</v>
      </c>
      <c r="H4684" s="35" t="s">
        <v>115</v>
      </c>
    </row>
    <row r="4685" spans="1:8">
      <c r="A4685" s="37">
        <v>45142.15625</v>
      </c>
      <c r="B4685" s="35" t="s">
        <v>686</v>
      </c>
      <c r="C4685" s="35" t="s">
        <v>687</v>
      </c>
      <c r="D4685" s="39">
        <v>977.6300048828125</v>
      </c>
      <c r="E4685" s="39">
        <v>946.1763916015625</v>
      </c>
      <c r="F4685" s="41">
        <v>1231175</v>
      </c>
      <c r="G4685" s="35" t="s">
        <v>690</v>
      </c>
      <c r="H4685" s="35" t="s">
        <v>115</v>
      </c>
    </row>
    <row r="4686" spans="1:8">
      <c r="A4686" s="37">
        <v>45145.15625</v>
      </c>
      <c r="B4686" s="35" t="s">
        <v>686</v>
      </c>
      <c r="C4686" s="35" t="s">
        <v>687</v>
      </c>
      <c r="D4686" s="39">
        <v>988.530029296875</v>
      </c>
      <c r="E4686" s="39">
        <v>956.725830078125</v>
      </c>
      <c r="F4686" s="41">
        <v>918490</v>
      </c>
      <c r="G4686" s="35" t="s">
        <v>690</v>
      </c>
      <c r="H4686" s="35" t="s">
        <v>115</v>
      </c>
    </row>
    <row r="4687" spans="1:8">
      <c r="A4687" s="37">
        <v>45146.15625</v>
      </c>
      <c r="B4687" s="35" t="s">
        <v>686</v>
      </c>
      <c r="C4687" s="35" t="s">
        <v>687</v>
      </c>
      <c r="D4687" s="39">
        <v>996.17999267578125</v>
      </c>
      <c r="E4687" s="39">
        <v>964.12957763671875</v>
      </c>
      <c r="F4687" s="41">
        <v>1169040</v>
      </c>
      <c r="G4687" s="35" t="s">
        <v>690</v>
      </c>
      <c r="H4687" s="35" t="s">
        <v>115</v>
      </c>
    </row>
    <row r="4688" spans="1:8">
      <c r="A4688" s="37">
        <v>45147.15625</v>
      </c>
      <c r="B4688" s="35" t="s">
        <v>686</v>
      </c>
      <c r="C4688" s="35" t="s">
        <v>687</v>
      </c>
      <c r="D4688" s="39">
        <v>1013.5900268554688</v>
      </c>
      <c r="E4688" s="39">
        <v>980.97955322265625</v>
      </c>
      <c r="F4688" s="41">
        <v>1719320</v>
      </c>
      <c r="G4688" s="35" t="s">
        <v>690</v>
      </c>
      <c r="H4688" s="35" t="s">
        <v>115</v>
      </c>
    </row>
    <row r="4689" spans="1:8">
      <c r="A4689" s="37">
        <v>45148.15625</v>
      </c>
      <c r="B4689" s="35" t="s">
        <v>686</v>
      </c>
      <c r="C4689" s="35" t="s">
        <v>687</v>
      </c>
      <c r="D4689" s="39">
        <v>1029.3800048828125</v>
      </c>
      <c r="E4689" s="39">
        <v>996.2615966796875</v>
      </c>
      <c r="F4689" s="41">
        <v>3125480</v>
      </c>
      <c r="G4689" s="35" t="s">
        <v>690</v>
      </c>
      <c r="H4689" s="35" t="s">
        <v>115</v>
      </c>
    </row>
    <row r="4690" spans="1:8">
      <c r="A4690" s="37">
        <v>45149.15625</v>
      </c>
      <c r="B4690" s="35" t="s">
        <v>686</v>
      </c>
      <c r="C4690" s="35" t="s">
        <v>687</v>
      </c>
      <c r="D4690" s="39">
        <v>1053.5799560546875</v>
      </c>
      <c r="E4690" s="39">
        <v>1019.682861328125</v>
      </c>
      <c r="F4690" s="41">
        <v>3023815</v>
      </c>
      <c r="G4690" s="35" t="s">
        <v>690</v>
      </c>
      <c r="H4690" s="35" t="s">
        <v>115</v>
      </c>
    </row>
    <row r="4691" spans="1:8">
      <c r="A4691" s="37">
        <v>45152.15625</v>
      </c>
      <c r="B4691" s="35" t="s">
        <v>686</v>
      </c>
      <c r="C4691" s="35" t="s">
        <v>687</v>
      </c>
      <c r="D4691" s="39">
        <v>1055.4100341796875</v>
      </c>
      <c r="E4691" s="39">
        <v>1021.4541015625</v>
      </c>
      <c r="F4691" s="41">
        <v>2600010</v>
      </c>
      <c r="G4691" s="35" t="s">
        <v>690</v>
      </c>
      <c r="H4691" s="35" t="s">
        <v>115</v>
      </c>
    </row>
    <row r="4692" spans="1:8">
      <c r="A4692" s="37">
        <v>45154.15625</v>
      </c>
      <c r="B4692" s="35" t="s">
        <v>686</v>
      </c>
      <c r="C4692" s="35" t="s">
        <v>687</v>
      </c>
      <c r="D4692" s="39">
        <v>1015.1900024414063</v>
      </c>
      <c r="E4692" s="39">
        <v>982.5279541015625</v>
      </c>
      <c r="F4692" s="41">
        <v>3491965</v>
      </c>
      <c r="G4692" s="35" t="s">
        <v>690</v>
      </c>
      <c r="H4692" s="35" t="s">
        <v>115</v>
      </c>
    </row>
    <row r="4693" spans="1:8">
      <c r="A4693" s="37">
        <v>45155.15625</v>
      </c>
      <c r="B4693" s="35" t="s">
        <v>686</v>
      </c>
      <c r="C4693" s="35" t="s">
        <v>687</v>
      </c>
      <c r="D4693" s="39">
        <v>1001.0399780273438</v>
      </c>
      <c r="E4693" s="39">
        <v>968.8333740234375</v>
      </c>
      <c r="F4693" s="41">
        <v>3566720</v>
      </c>
      <c r="G4693" s="35" t="s">
        <v>690</v>
      </c>
      <c r="H4693" s="35" t="s">
        <v>115</v>
      </c>
    </row>
    <row r="4694" spans="1:8">
      <c r="A4694" s="37">
        <v>45156.15625</v>
      </c>
      <c r="B4694" s="35" t="s">
        <v>686</v>
      </c>
      <c r="C4694" s="35" t="s">
        <v>687</v>
      </c>
      <c r="D4694" s="39">
        <v>984.030029296875</v>
      </c>
      <c r="E4694" s="39">
        <v>952.37060546875</v>
      </c>
      <c r="F4694" s="41">
        <v>2266285</v>
      </c>
      <c r="G4694" s="35" t="s">
        <v>690</v>
      </c>
      <c r="H4694" s="35" t="s">
        <v>115</v>
      </c>
    </row>
    <row r="4695" spans="1:8">
      <c r="A4695" s="37">
        <v>45159.15625</v>
      </c>
      <c r="B4695" s="35" t="s">
        <v>686</v>
      </c>
      <c r="C4695" s="35" t="s">
        <v>687</v>
      </c>
      <c r="D4695" s="39">
        <v>999.29998779296875</v>
      </c>
      <c r="E4695" s="39">
        <v>967.149169921875</v>
      </c>
      <c r="F4695" s="41">
        <v>1188555</v>
      </c>
      <c r="G4695" s="35" t="s">
        <v>690</v>
      </c>
      <c r="H4695" s="35" t="s">
        <v>115</v>
      </c>
    </row>
    <row r="4696" spans="1:8">
      <c r="A4696" s="37">
        <v>45160.15625</v>
      </c>
      <c r="B4696" s="35" t="s">
        <v>686</v>
      </c>
      <c r="C4696" s="35" t="s">
        <v>687</v>
      </c>
      <c r="D4696" s="39">
        <v>992.20001220703125</v>
      </c>
      <c r="E4696" s="39">
        <v>960.27783203125</v>
      </c>
      <c r="F4696" s="41">
        <v>858910</v>
      </c>
      <c r="G4696" s="35" t="s">
        <v>690</v>
      </c>
      <c r="H4696" s="35" t="s">
        <v>115</v>
      </c>
    </row>
    <row r="4697" spans="1:8">
      <c r="A4697" s="37">
        <v>45161.15625</v>
      </c>
      <c r="B4697" s="35" t="s">
        <v>686</v>
      </c>
      <c r="C4697" s="35" t="s">
        <v>687</v>
      </c>
      <c r="D4697" s="39">
        <v>982.6199951171875</v>
      </c>
      <c r="E4697" s="39">
        <v>951.00592041015625</v>
      </c>
      <c r="F4697" s="41">
        <v>2192815</v>
      </c>
      <c r="G4697" s="35" t="s">
        <v>690</v>
      </c>
      <c r="H4697" s="35" t="s">
        <v>115</v>
      </c>
    </row>
    <row r="4698" spans="1:8">
      <c r="A4698" s="37">
        <v>45162.15625</v>
      </c>
      <c r="B4698" s="35" t="s">
        <v>686</v>
      </c>
      <c r="C4698" s="35" t="s">
        <v>687</v>
      </c>
      <c r="D4698" s="39">
        <v>1078.1700439453125</v>
      </c>
      <c r="E4698" s="39">
        <v>1043.4818115234375</v>
      </c>
      <c r="F4698" s="41">
        <v>110682455</v>
      </c>
      <c r="G4698" s="35" t="s">
        <v>690</v>
      </c>
      <c r="H4698" s="35" t="s">
        <v>115</v>
      </c>
    </row>
    <row r="4699" spans="1:8">
      <c r="A4699" s="37">
        <v>45163.15625</v>
      </c>
      <c r="B4699" s="35" t="s">
        <v>686</v>
      </c>
      <c r="C4699" s="35" t="s">
        <v>687</v>
      </c>
      <c r="D4699" s="39">
        <v>1051.239990234375</v>
      </c>
      <c r="E4699" s="39">
        <v>1017.418212890625</v>
      </c>
      <c r="F4699" s="41">
        <v>9174495</v>
      </c>
      <c r="G4699" s="35" t="s">
        <v>690</v>
      </c>
      <c r="H4699" s="35" t="s">
        <v>115</v>
      </c>
    </row>
    <row r="4700" spans="1:8">
      <c r="A4700" s="37">
        <v>45166.15625</v>
      </c>
      <c r="B4700" s="35" t="s">
        <v>686</v>
      </c>
      <c r="C4700" s="35" t="s">
        <v>687</v>
      </c>
      <c r="D4700" s="39">
        <v>1034.3800048828125</v>
      </c>
      <c r="E4700" s="39">
        <v>1001.1005859375</v>
      </c>
      <c r="F4700" s="41">
        <v>2580495</v>
      </c>
      <c r="G4700" s="35" t="s">
        <v>690</v>
      </c>
      <c r="H4700" s="35" t="s">
        <v>115</v>
      </c>
    </row>
    <row r="4701" spans="1:8">
      <c r="A4701" s="37">
        <v>45167.15625</v>
      </c>
      <c r="B4701" s="35" t="s">
        <v>686</v>
      </c>
      <c r="C4701" s="35" t="s">
        <v>687</v>
      </c>
      <c r="D4701" s="39">
        <v>1045.1199951171875</v>
      </c>
      <c r="E4701" s="39">
        <v>1011.4949340820313</v>
      </c>
      <c r="F4701" s="41">
        <v>5092830</v>
      </c>
      <c r="G4701" s="35" t="s">
        <v>690</v>
      </c>
      <c r="H4701" s="35" t="s">
        <v>115</v>
      </c>
    </row>
    <row r="4702" spans="1:8">
      <c r="A4702" s="37">
        <v>45168.15625</v>
      </c>
      <c r="B4702" s="35" t="s">
        <v>686</v>
      </c>
      <c r="C4702" s="35" t="s">
        <v>687</v>
      </c>
      <c r="D4702" s="39">
        <v>1059.6500244140625</v>
      </c>
      <c r="E4702" s="39">
        <v>1025.5574951171875</v>
      </c>
      <c r="F4702" s="41">
        <v>3536980</v>
      </c>
      <c r="G4702" s="35" t="s">
        <v>690</v>
      </c>
      <c r="H4702" s="35" t="s">
        <v>115</v>
      </c>
    </row>
    <row r="4703" spans="1:8">
      <c r="A4703" s="37">
        <v>45169.15625</v>
      </c>
      <c r="B4703" s="35" t="s">
        <v>686</v>
      </c>
      <c r="C4703" s="35" t="s">
        <v>687</v>
      </c>
      <c r="D4703" s="39">
        <v>1093.2900390625</v>
      </c>
      <c r="E4703" s="39">
        <v>1058.1153564453125</v>
      </c>
      <c r="F4703" s="41">
        <v>5969630</v>
      </c>
      <c r="G4703" s="35" t="s">
        <v>690</v>
      </c>
      <c r="H4703" s="35" t="s">
        <v>115</v>
      </c>
    </row>
    <row r="4704" spans="1:8">
      <c r="A4704" s="37">
        <v>45170.15625</v>
      </c>
      <c r="B4704" s="35" t="s">
        <v>686</v>
      </c>
      <c r="C4704" s="35" t="s">
        <v>687</v>
      </c>
      <c r="D4704" s="39">
        <v>1090.3800048828125</v>
      </c>
      <c r="E4704" s="39">
        <v>1055.2989501953125</v>
      </c>
      <c r="F4704" s="41">
        <v>1820690</v>
      </c>
      <c r="G4704" s="35" t="s">
        <v>690</v>
      </c>
      <c r="H4704" s="35" t="s">
        <v>115</v>
      </c>
    </row>
    <row r="4705" spans="1:8">
      <c r="A4705" s="37">
        <v>45173.15625</v>
      </c>
      <c r="B4705" s="35" t="s">
        <v>686</v>
      </c>
      <c r="C4705" s="35" t="s">
        <v>687</v>
      </c>
      <c r="D4705" s="39">
        <v>1097.800048828125</v>
      </c>
      <c r="E4705" s="39">
        <v>1062.4803466796875</v>
      </c>
      <c r="F4705" s="41">
        <v>2785555</v>
      </c>
      <c r="G4705" s="35" t="s">
        <v>690</v>
      </c>
      <c r="H4705" s="35" t="s">
        <v>115</v>
      </c>
    </row>
    <row r="4706" spans="1:8">
      <c r="A4706" s="37">
        <v>45174.15625</v>
      </c>
      <c r="B4706" s="35" t="s">
        <v>686</v>
      </c>
      <c r="C4706" s="35" t="s">
        <v>687</v>
      </c>
      <c r="D4706" s="39">
        <v>1122.300048828125</v>
      </c>
      <c r="E4706" s="39">
        <v>1086.1920166015625</v>
      </c>
      <c r="F4706" s="41">
        <v>3126200</v>
      </c>
      <c r="G4706" s="35" t="s">
        <v>690</v>
      </c>
      <c r="H4706" s="35" t="s">
        <v>115</v>
      </c>
    </row>
    <row r="4707" spans="1:8">
      <c r="A4707" s="37">
        <v>45175.15625</v>
      </c>
      <c r="B4707" s="35" t="s">
        <v>686</v>
      </c>
      <c r="C4707" s="35" t="s">
        <v>687</v>
      </c>
      <c r="D4707" s="39">
        <v>1125.1199951171875</v>
      </c>
      <c r="E4707" s="39">
        <v>1088.9215087890625</v>
      </c>
      <c r="F4707" s="41">
        <v>5622585</v>
      </c>
      <c r="G4707" s="35" t="s">
        <v>690</v>
      </c>
      <c r="H4707" s="35" t="s">
        <v>115</v>
      </c>
    </row>
    <row r="4708" spans="1:8">
      <c r="A4708" s="37">
        <v>45176.15625</v>
      </c>
      <c r="B4708" s="35" t="s">
        <v>686</v>
      </c>
      <c r="C4708" s="35" t="s">
        <v>687</v>
      </c>
      <c r="D4708" s="39">
        <v>1122.0699462890625</v>
      </c>
      <c r="E4708" s="39">
        <v>1085.969482421875</v>
      </c>
      <c r="F4708" s="41">
        <v>1970325</v>
      </c>
      <c r="G4708" s="35" t="s">
        <v>690</v>
      </c>
      <c r="H4708" s="35" t="s">
        <v>115</v>
      </c>
    </row>
    <row r="4709" spans="1:8">
      <c r="A4709" s="37">
        <v>45177.15625</v>
      </c>
      <c r="B4709" s="35" t="s">
        <v>686</v>
      </c>
      <c r="C4709" s="35" t="s">
        <v>687</v>
      </c>
      <c r="D4709" s="39">
        <v>1110.1199951171875</v>
      </c>
      <c r="E4709" s="39">
        <v>1074.4036865234375</v>
      </c>
      <c r="F4709" s="41">
        <v>1404345</v>
      </c>
      <c r="G4709" s="35" t="s">
        <v>690</v>
      </c>
      <c r="H4709" s="35" t="s">
        <v>115</v>
      </c>
    </row>
    <row r="4710" spans="1:8">
      <c r="A4710" s="37">
        <v>45180.15625</v>
      </c>
      <c r="B4710" s="35" t="s">
        <v>686</v>
      </c>
      <c r="C4710" s="35" t="s">
        <v>687</v>
      </c>
      <c r="D4710" s="39">
        <v>1103.1400146484375</v>
      </c>
      <c r="E4710" s="39">
        <v>1067.6485595703125</v>
      </c>
      <c r="F4710" s="41">
        <v>1571345</v>
      </c>
      <c r="G4710" s="35" t="s">
        <v>690</v>
      </c>
      <c r="H4710" s="35" t="s">
        <v>115</v>
      </c>
    </row>
    <row r="4711" spans="1:8">
      <c r="A4711" s="37">
        <v>45181.15625</v>
      </c>
      <c r="B4711" s="35" t="s">
        <v>686</v>
      </c>
      <c r="C4711" s="35" t="s">
        <v>687</v>
      </c>
      <c r="D4711" s="39">
        <v>1091.9000244140625</v>
      </c>
      <c r="E4711" s="39">
        <v>1056.7698974609375</v>
      </c>
      <c r="F4711" s="41">
        <v>1228175</v>
      </c>
      <c r="G4711" s="35" t="s">
        <v>690</v>
      </c>
      <c r="H4711" s="35" t="s">
        <v>115</v>
      </c>
    </row>
    <row r="4712" spans="1:8">
      <c r="A4712" s="37">
        <v>45182.15625</v>
      </c>
      <c r="B4712" s="35" t="s">
        <v>686</v>
      </c>
      <c r="C4712" s="35" t="s">
        <v>687</v>
      </c>
      <c r="D4712" s="39">
        <v>1087.4300537109375</v>
      </c>
      <c r="E4712" s="39">
        <v>1052.4439697265625</v>
      </c>
      <c r="F4712" s="41">
        <v>1467350</v>
      </c>
      <c r="G4712" s="35" t="s">
        <v>690</v>
      </c>
      <c r="H4712" s="35" t="s">
        <v>115</v>
      </c>
    </row>
    <row r="4713" spans="1:8">
      <c r="A4713" s="37">
        <v>45183.15625</v>
      </c>
      <c r="B4713" s="35" t="s">
        <v>686</v>
      </c>
      <c r="C4713" s="35" t="s">
        <v>687</v>
      </c>
      <c r="D4713" s="39">
        <v>1091.3299560546875</v>
      </c>
      <c r="E4713" s="39">
        <v>1056.2183837890625</v>
      </c>
      <c r="F4713" s="41">
        <v>1010745</v>
      </c>
      <c r="G4713" s="35" t="s">
        <v>690</v>
      </c>
      <c r="H4713" s="35" t="s">
        <v>115</v>
      </c>
    </row>
    <row r="4714" spans="1:8">
      <c r="A4714" s="37">
        <v>45184.15625</v>
      </c>
      <c r="B4714" s="35" t="s">
        <v>686</v>
      </c>
      <c r="C4714" s="35" t="s">
        <v>687</v>
      </c>
      <c r="D4714" s="39">
        <v>1123.780029296875</v>
      </c>
      <c r="E4714" s="39">
        <v>1087.6243896484375</v>
      </c>
      <c r="F4714" s="41">
        <v>2311365</v>
      </c>
      <c r="G4714" s="35" t="s">
        <v>690</v>
      </c>
      <c r="H4714" s="35" t="s">
        <v>115</v>
      </c>
    </row>
    <row r="4715" spans="1:8">
      <c r="A4715" s="37">
        <v>45187.15625</v>
      </c>
      <c r="B4715" s="35" t="s">
        <v>686</v>
      </c>
      <c r="C4715" s="35" t="s">
        <v>687</v>
      </c>
      <c r="D4715" s="39">
        <v>1108.97998046875</v>
      </c>
      <c r="E4715" s="39">
        <v>1073.300537109375</v>
      </c>
      <c r="F4715" s="41">
        <v>1405155</v>
      </c>
      <c r="G4715" s="35" t="s">
        <v>690</v>
      </c>
      <c r="H4715" s="35" t="s">
        <v>115</v>
      </c>
    </row>
    <row r="4716" spans="1:8">
      <c r="A4716" s="37">
        <v>45189.15625</v>
      </c>
      <c r="B4716" s="35" t="s">
        <v>686</v>
      </c>
      <c r="C4716" s="35" t="s">
        <v>687</v>
      </c>
      <c r="D4716" s="39">
        <v>1083.5999755859375</v>
      </c>
      <c r="E4716" s="39">
        <v>1048.7369384765625</v>
      </c>
      <c r="F4716" s="41">
        <v>1330315</v>
      </c>
      <c r="G4716" s="35" t="s">
        <v>690</v>
      </c>
      <c r="H4716" s="35" t="s">
        <v>115</v>
      </c>
    </row>
    <row r="4717" spans="1:8">
      <c r="A4717" s="37">
        <v>45190.15625</v>
      </c>
      <c r="B4717" s="35" t="s">
        <v>686</v>
      </c>
      <c r="C4717" s="35" t="s">
        <v>687</v>
      </c>
      <c r="D4717" s="39">
        <v>1067.260009765625</v>
      </c>
      <c r="E4717" s="39">
        <v>1032.9229736328125</v>
      </c>
      <c r="F4717" s="41">
        <v>1889400</v>
      </c>
      <c r="G4717" s="35" t="s">
        <v>690</v>
      </c>
      <c r="H4717" s="35" t="s">
        <v>115</v>
      </c>
    </row>
    <row r="4718" spans="1:8">
      <c r="A4718" s="37">
        <v>45191.15625</v>
      </c>
      <c r="B4718" s="35" t="s">
        <v>686</v>
      </c>
      <c r="C4718" s="35" t="s">
        <v>687</v>
      </c>
      <c r="D4718" s="39">
        <v>1058.68994140625</v>
      </c>
      <c r="E4718" s="39">
        <v>1024.62841796875</v>
      </c>
      <c r="F4718" s="41">
        <v>1484625</v>
      </c>
      <c r="G4718" s="35" t="s">
        <v>690</v>
      </c>
      <c r="H4718" s="35" t="s">
        <v>115</v>
      </c>
    </row>
    <row r="4719" spans="1:8">
      <c r="A4719" s="37">
        <v>45194.15625</v>
      </c>
      <c r="B4719" s="35" t="s">
        <v>686</v>
      </c>
      <c r="C4719" s="35" t="s">
        <v>687</v>
      </c>
      <c r="D4719" s="39">
        <v>1057.1800537109375</v>
      </c>
      <c r="E4719" s="39">
        <v>1023.1672973632813</v>
      </c>
      <c r="F4719" s="41">
        <v>951070</v>
      </c>
      <c r="G4719" s="35" t="s">
        <v>690</v>
      </c>
      <c r="H4719" s="35" t="s">
        <v>115</v>
      </c>
    </row>
    <row r="4720" spans="1:8">
      <c r="A4720" s="37">
        <v>45195.15625</v>
      </c>
      <c r="B4720" s="35" t="s">
        <v>686</v>
      </c>
      <c r="C4720" s="35" t="s">
        <v>687</v>
      </c>
      <c r="D4720" s="39">
        <v>1038.6400146484375</v>
      </c>
      <c r="E4720" s="39">
        <v>1005.2236938476563</v>
      </c>
      <c r="F4720" s="41">
        <v>1477730</v>
      </c>
      <c r="G4720" s="35" t="s">
        <v>690</v>
      </c>
      <c r="H4720" s="35" t="s">
        <v>115</v>
      </c>
    </row>
    <row r="4721" spans="1:8">
      <c r="A4721" s="37">
        <v>45196.15625</v>
      </c>
      <c r="B4721" s="35" t="s">
        <v>686</v>
      </c>
      <c r="C4721" s="35" t="s">
        <v>687</v>
      </c>
      <c r="D4721" s="39">
        <v>1040.989990234375</v>
      </c>
      <c r="E4721" s="39">
        <v>1007.4979858398438</v>
      </c>
      <c r="F4721" s="41">
        <v>2144405</v>
      </c>
      <c r="G4721" s="35" t="s">
        <v>690</v>
      </c>
      <c r="H4721" s="35" t="s">
        <v>115</v>
      </c>
    </row>
    <row r="4722" spans="1:8">
      <c r="A4722" s="37">
        <v>45197.15625</v>
      </c>
      <c r="B4722" s="35" t="s">
        <v>686</v>
      </c>
      <c r="C4722" s="35" t="s">
        <v>687</v>
      </c>
      <c r="D4722" s="39">
        <v>1024.6600341796875</v>
      </c>
      <c r="E4722" s="39">
        <v>991.6934814453125</v>
      </c>
      <c r="F4722" s="41">
        <v>2240020</v>
      </c>
      <c r="G4722" s="35" t="s">
        <v>690</v>
      </c>
      <c r="H4722" s="35" t="s">
        <v>115</v>
      </c>
    </row>
    <row r="4723" spans="1:8">
      <c r="A4723" s="37">
        <v>45198.15625</v>
      </c>
      <c r="B4723" s="35" t="s">
        <v>686</v>
      </c>
      <c r="C4723" s="35" t="s">
        <v>687</v>
      </c>
      <c r="D4723" s="39">
        <v>1020.8900146484375</v>
      </c>
      <c r="E4723" s="39">
        <v>988.044677734375</v>
      </c>
      <c r="F4723" s="41">
        <v>2836805</v>
      </c>
      <c r="G4723" s="35" t="s">
        <v>690</v>
      </c>
      <c r="H4723" s="35" t="s">
        <v>115</v>
      </c>
    </row>
    <row r="4724" spans="1:8">
      <c r="A4724" s="37">
        <v>45202.15625</v>
      </c>
      <c r="B4724" s="35" t="s">
        <v>686</v>
      </c>
      <c r="C4724" s="35" t="s">
        <v>687</v>
      </c>
      <c r="D4724" s="39">
        <v>1021.3200073242188</v>
      </c>
      <c r="E4724" s="39">
        <v>988.4608154296875</v>
      </c>
      <c r="F4724" s="41">
        <v>2898935</v>
      </c>
      <c r="G4724" s="35" t="s">
        <v>690</v>
      </c>
      <c r="H4724" s="35" t="s">
        <v>115</v>
      </c>
    </row>
    <row r="4725" spans="1:8">
      <c r="A4725" s="37">
        <v>45203.15625</v>
      </c>
      <c r="B4725" s="35" t="s">
        <v>686</v>
      </c>
      <c r="C4725" s="35" t="s">
        <v>687</v>
      </c>
      <c r="D4725" s="39">
        <v>1027.1500244140625</v>
      </c>
      <c r="E4725" s="39">
        <v>994.10321044921875</v>
      </c>
      <c r="F4725" s="41">
        <v>1668680</v>
      </c>
      <c r="G4725" s="35" t="s">
        <v>690</v>
      </c>
      <c r="H4725" s="35" t="s">
        <v>115</v>
      </c>
    </row>
    <row r="4726" spans="1:8">
      <c r="A4726" s="37">
        <v>45204.15625</v>
      </c>
      <c r="B4726" s="35" t="s">
        <v>686</v>
      </c>
      <c r="C4726" s="35" t="s">
        <v>687</v>
      </c>
      <c r="D4726" s="39">
        <v>1041.1400146484375</v>
      </c>
      <c r="E4726" s="39">
        <v>1007.6431274414063</v>
      </c>
      <c r="F4726" s="41">
        <v>1560675</v>
      </c>
      <c r="G4726" s="35" t="s">
        <v>690</v>
      </c>
      <c r="H4726" s="35" t="s">
        <v>115</v>
      </c>
    </row>
    <row r="4727" spans="1:8">
      <c r="A4727" s="37">
        <v>45205.15625</v>
      </c>
      <c r="B4727" s="35" t="s">
        <v>686</v>
      </c>
      <c r="C4727" s="35" t="s">
        <v>687</v>
      </c>
      <c r="D4727" s="39">
        <v>1037.1099853515625</v>
      </c>
      <c r="E4727" s="39">
        <v>1003.7427368164063</v>
      </c>
      <c r="F4727" s="41">
        <v>976695</v>
      </c>
      <c r="G4727" s="35" t="s">
        <v>690</v>
      </c>
      <c r="H4727" s="35" t="s">
        <v>115</v>
      </c>
    </row>
    <row r="4728" spans="1:8">
      <c r="A4728" s="37">
        <v>45208.15625</v>
      </c>
      <c r="B4728" s="35" t="s">
        <v>686</v>
      </c>
      <c r="C4728" s="35" t="s">
        <v>687</v>
      </c>
      <c r="D4728" s="39">
        <v>1027.75</v>
      </c>
      <c r="E4728" s="39">
        <v>994.68408203125</v>
      </c>
      <c r="F4728" s="41">
        <v>898735</v>
      </c>
      <c r="G4728" s="35" t="s">
        <v>690</v>
      </c>
      <c r="H4728" s="35" t="s">
        <v>115</v>
      </c>
    </row>
    <row r="4729" spans="1:8">
      <c r="A4729" s="37">
        <v>45209.15625</v>
      </c>
      <c r="B4729" s="35" t="s">
        <v>686</v>
      </c>
      <c r="C4729" s="35" t="s">
        <v>687</v>
      </c>
      <c r="D4729" s="39">
        <v>1039.25</v>
      </c>
      <c r="E4729" s="39">
        <v>1005.81396484375</v>
      </c>
      <c r="F4729" s="41">
        <v>1349295</v>
      </c>
      <c r="G4729" s="35" t="s">
        <v>690</v>
      </c>
      <c r="H4729" s="35" t="s">
        <v>115</v>
      </c>
    </row>
    <row r="4730" spans="1:8">
      <c r="A4730" s="37">
        <v>45210.15625</v>
      </c>
      <c r="B4730" s="35" t="s">
        <v>686</v>
      </c>
      <c r="C4730" s="35" t="s">
        <v>687</v>
      </c>
      <c r="D4730" s="39">
        <v>1030.9300537109375</v>
      </c>
      <c r="E4730" s="39">
        <v>997.76177978515625</v>
      </c>
      <c r="F4730" s="41">
        <v>2787570</v>
      </c>
      <c r="G4730" s="35" t="s">
        <v>690</v>
      </c>
      <c r="H4730" s="35" t="s">
        <v>115</v>
      </c>
    </row>
    <row r="4731" spans="1:8">
      <c r="A4731" s="37">
        <v>45211.15625</v>
      </c>
      <c r="B4731" s="35" t="s">
        <v>686</v>
      </c>
      <c r="C4731" s="35" t="s">
        <v>687</v>
      </c>
      <c r="D4731" s="39">
        <v>1019.3800048828125</v>
      </c>
      <c r="E4731" s="39">
        <v>986.583251953125</v>
      </c>
      <c r="F4731" s="41">
        <v>3095590</v>
      </c>
      <c r="G4731" s="35" t="s">
        <v>690</v>
      </c>
      <c r="H4731" s="35" t="s">
        <v>115</v>
      </c>
    </row>
    <row r="4732" spans="1:8">
      <c r="A4732" s="37">
        <v>45212.15625</v>
      </c>
      <c r="B4732" s="35" t="s">
        <v>686</v>
      </c>
      <c r="C4732" s="35" t="s">
        <v>687</v>
      </c>
      <c r="D4732" s="39">
        <v>1001.3300170898438</v>
      </c>
      <c r="E4732" s="39">
        <v>969.11407470703125</v>
      </c>
      <c r="F4732" s="41">
        <v>2185450</v>
      </c>
      <c r="G4732" s="35" t="s">
        <v>690</v>
      </c>
      <c r="H4732" s="35" t="s">
        <v>115</v>
      </c>
    </row>
    <row r="4733" spans="1:8">
      <c r="A4733" s="37">
        <v>45215.15625</v>
      </c>
      <c r="B4733" s="35" t="s">
        <v>686</v>
      </c>
      <c r="C4733" s="35" t="s">
        <v>687</v>
      </c>
      <c r="D4733" s="39">
        <v>1008.030029296875</v>
      </c>
      <c r="E4733" s="39">
        <v>975.59844970703125</v>
      </c>
      <c r="F4733" s="41">
        <v>1707085</v>
      </c>
      <c r="G4733" s="35" t="s">
        <v>690</v>
      </c>
      <c r="H4733" s="35" t="s">
        <v>115</v>
      </c>
    </row>
    <row r="4734" spans="1:8">
      <c r="A4734" s="37">
        <v>45216.15625</v>
      </c>
      <c r="B4734" s="35" t="s">
        <v>686</v>
      </c>
      <c r="C4734" s="35" t="s">
        <v>687</v>
      </c>
      <c r="D4734" s="39">
        <v>1012.3400268554688</v>
      </c>
      <c r="E4734" s="39">
        <v>979.769775390625</v>
      </c>
      <c r="F4734" s="41">
        <v>1079970</v>
      </c>
      <c r="G4734" s="35" t="s">
        <v>690</v>
      </c>
      <c r="H4734" s="35" t="s">
        <v>115</v>
      </c>
    </row>
    <row r="4735" spans="1:8">
      <c r="A4735" s="37">
        <v>45217.15625</v>
      </c>
      <c r="B4735" s="35" t="s">
        <v>686</v>
      </c>
      <c r="C4735" s="35" t="s">
        <v>687</v>
      </c>
      <c r="D4735" s="39">
        <v>1018.4199829101563</v>
      </c>
      <c r="E4735" s="39">
        <v>985.65411376953125</v>
      </c>
      <c r="F4735" s="41">
        <v>3131985</v>
      </c>
      <c r="G4735" s="35" t="s">
        <v>690</v>
      </c>
      <c r="H4735" s="35" t="s">
        <v>115</v>
      </c>
    </row>
    <row r="4736" spans="1:8">
      <c r="A4736" s="37">
        <v>45218.15625</v>
      </c>
      <c r="B4736" s="35" t="s">
        <v>686</v>
      </c>
      <c r="C4736" s="35" t="s">
        <v>687</v>
      </c>
      <c r="D4736" s="39">
        <v>1021.760009765625</v>
      </c>
      <c r="E4736" s="39">
        <v>988.88665771484375</v>
      </c>
      <c r="F4736" s="41">
        <v>5232700</v>
      </c>
      <c r="G4736" s="35" t="s">
        <v>690</v>
      </c>
      <c r="H4736" s="35" t="s">
        <v>115</v>
      </c>
    </row>
    <row r="4737" spans="1:8">
      <c r="A4737" s="37">
        <v>45219.15625</v>
      </c>
      <c r="B4737" s="35" t="s">
        <v>686</v>
      </c>
      <c r="C4737" s="35" t="s">
        <v>687</v>
      </c>
      <c r="D4737" s="39">
        <v>1000.02001953125</v>
      </c>
      <c r="E4737" s="39">
        <v>967.84613037109375</v>
      </c>
      <c r="F4737" s="41">
        <v>2368615</v>
      </c>
      <c r="G4737" s="35" t="s">
        <v>690</v>
      </c>
      <c r="H4737" s="35" t="s">
        <v>115</v>
      </c>
    </row>
    <row r="4738" spans="1:8">
      <c r="A4738" s="37">
        <v>45222.15625</v>
      </c>
      <c r="B4738" s="35" t="s">
        <v>686</v>
      </c>
      <c r="C4738" s="35" t="s">
        <v>687</v>
      </c>
      <c r="D4738" s="39">
        <v>983.08001708984375</v>
      </c>
      <c r="E4738" s="39">
        <v>951.451171875</v>
      </c>
      <c r="F4738" s="41">
        <v>2691720</v>
      </c>
      <c r="G4738" s="35" t="s">
        <v>690</v>
      </c>
      <c r="H4738" s="35" t="s">
        <v>115</v>
      </c>
    </row>
    <row r="4739" spans="1:8">
      <c r="A4739" s="37">
        <v>45224.15625</v>
      </c>
      <c r="B4739" s="35" t="s">
        <v>686</v>
      </c>
      <c r="C4739" s="35" t="s">
        <v>687</v>
      </c>
      <c r="D4739" s="39">
        <v>979.80999755859375</v>
      </c>
      <c r="E4739" s="39">
        <v>948.286376953125</v>
      </c>
      <c r="F4739" s="41">
        <v>1692820</v>
      </c>
      <c r="G4739" s="35" t="s">
        <v>690</v>
      </c>
      <c r="H4739" s="35" t="s">
        <v>115</v>
      </c>
    </row>
    <row r="4740" spans="1:8">
      <c r="A4740" s="37">
        <v>45225.15625</v>
      </c>
      <c r="B4740" s="35" t="s">
        <v>686</v>
      </c>
      <c r="C4740" s="35" t="s">
        <v>687</v>
      </c>
      <c r="D4740" s="39">
        <v>980.8800048828125</v>
      </c>
      <c r="E4740" s="39">
        <v>949.32196044921875</v>
      </c>
      <c r="F4740" s="41">
        <v>4392730</v>
      </c>
      <c r="G4740" s="35" t="s">
        <v>690</v>
      </c>
      <c r="H4740" s="35" t="s">
        <v>115</v>
      </c>
    </row>
    <row r="4741" spans="1:8">
      <c r="A4741" s="37">
        <v>45226.15625</v>
      </c>
      <c r="B4741" s="35" t="s">
        <v>686</v>
      </c>
      <c r="C4741" s="35" t="s">
        <v>687</v>
      </c>
      <c r="D4741" s="39">
        <v>1001.7899780273438</v>
      </c>
      <c r="E4741" s="39">
        <v>969.559326171875</v>
      </c>
      <c r="F4741" s="41">
        <v>2701340</v>
      </c>
      <c r="G4741" s="35" t="s">
        <v>690</v>
      </c>
      <c r="H4741" s="35" t="s">
        <v>115</v>
      </c>
    </row>
    <row r="4742" spans="1:8">
      <c r="A4742" s="37">
        <v>45229.15625</v>
      </c>
      <c r="B4742" s="35" t="s">
        <v>686</v>
      </c>
      <c r="C4742" s="35" t="s">
        <v>687</v>
      </c>
      <c r="D4742" s="39">
        <v>997.72998046875</v>
      </c>
      <c r="E4742" s="39">
        <v>965.62982177734375</v>
      </c>
      <c r="F4742" s="41">
        <v>1334300</v>
      </c>
      <c r="G4742" s="35" t="s">
        <v>690</v>
      </c>
      <c r="H4742" s="35" t="s">
        <v>115</v>
      </c>
    </row>
    <row r="4743" spans="1:8">
      <c r="A4743" s="37">
        <v>45230.15625</v>
      </c>
      <c r="B4743" s="35" t="s">
        <v>686</v>
      </c>
      <c r="C4743" s="35" t="s">
        <v>687</v>
      </c>
      <c r="D4743" s="39">
        <v>996.8499755859375</v>
      </c>
      <c r="E4743" s="39">
        <v>964.778076171875</v>
      </c>
      <c r="F4743" s="41">
        <v>1121165</v>
      </c>
      <c r="G4743" s="35" t="s">
        <v>690</v>
      </c>
      <c r="H4743" s="35" t="s">
        <v>115</v>
      </c>
    </row>
    <row r="4744" spans="1:8">
      <c r="A4744" s="37">
        <v>45231.15625</v>
      </c>
      <c r="B4744" s="35" t="s">
        <v>686</v>
      </c>
      <c r="C4744" s="35" t="s">
        <v>687</v>
      </c>
      <c r="D4744" s="39">
        <v>1005.3200073242188</v>
      </c>
      <c r="E4744" s="39">
        <v>972.97552490234375</v>
      </c>
      <c r="F4744" s="41">
        <v>1659310</v>
      </c>
      <c r="G4744" s="35" t="s">
        <v>690</v>
      </c>
      <c r="H4744" s="35" t="s">
        <v>115</v>
      </c>
    </row>
    <row r="4745" spans="1:8">
      <c r="A4745" s="37">
        <v>45232.15625</v>
      </c>
      <c r="B4745" s="35" t="s">
        <v>686</v>
      </c>
      <c r="C4745" s="35" t="s">
        <v>687</v>
      </c>
      <c r="D4745" s="39">
        <v>1011.280029296875</v>
      </c>
      <c r="E4745" s="39">
        <v>982.45745849609375</v>
      </c>
      <c r="F4745" s="41">
        <v>956705</v>
      </c>
      <c r="G4745" s="35" t="s">
        <v>690</v>
      </c>
      <c r="H4745" s="35" t="s">
        <v>115</v>
      </c>
    </row>
    <row r="4746" spans="1:8">
      <c r="A4746" s="37">
        <v>45233.15625</v>
      </c>
      <c r="B4746" s="35" t="s">
        <v>686</v>
      </c>
      <c r="C4746" s="35" t="s">
        <v>687</v>
      </c>
      <c r="D4746" s="39">
        <v>1016.6199951171875</v>
      </c>
      <c r="E4746" s="39">
        <v>987.64532470703125</v>
      </c>
      <c r="F4746" s="41">
        <v>778665</v>
      </c>
      <c r="G4746" s="35" t="s">
        <v>690</v>
      </c>
      <c r="H4746" s="35" t="s">
        <v>115</v>
      </c>
    </row>
    <row r="4747" spans="1:8">
      <c r="A4747" s="37">
        <v>45236.15625</v>
      </c>
      <c r="B4747" s="35" t="s">
        <v>686</v>
      </c>
      <c r="C4747" s="35" t="s">
        <v>687</v>
      </c>
      <c r="D4747" s="39">
        <v>1023.0599975585938</v>
      </c>
      <c r="E4747" s="39">
        <v>993.9017333984375</v>
      </c>
      <c r="F4747" s="41">
        <v>1315040</v>
      </c>
      <c r="G4747" s="35" t="s">
        <v>690</v>
      </c>
      <c r="H4747" s="35" t="s">
        <v>115</v>
      </c>
    </row>
    <row r="4748" spans="1:8">
      <c r="A4748" s="37">
        <v>45237.15625</v>
      </c>
      <c r="B4748" s="35" t="s">
        <v>686</v>
      </c>
      <c r="C4748" s="35" t="s">
        <v>687</v>
      </c>
      <c r="D4748" s="39">
        <v>1017.52001953125</v>
      </c>
      <c r="E4748" s="39">
        <v>988.5196533203125</v>
      </c>
      <c r="F4748" s="41">
        <v>322725</v>
      </c>
      <c r="G4748" s="35" t="s">
        <v>690</v>
      </c>
      <c r="H4748" s="35" t="s">
        <v>115</v>
      </c>
    </row>
    <row r="4749" spans="1:8">
      <c r="A4749" s="37">
        <v>45238.15625</v>
      </c>
      <c r="B4749" s="35" t="s">
        <v>686</v>
      </c>
      <c r="C4749" s="35" t="s">
        <v>687</v>
      </c>
      <c r="D4749" s="39">
        <v>1022.3400268554688</v>
      </c>
      <c r="E4749" s="39">
        <v>993.20220947265625</v>
      </c>
      <c r="F4749" s="41">
        <v>468430</v>
      </c>
      <c r="G4749" s="35" t="s">
        <v>690</v>
      </c>
      <c r="H4749" s="35" t="s">
        <v>115</v>
      </c>
    </row>
    <row r="4750" spans="1:8">
      <c r="A4750" s="37">
        <v>45239.15625</v>
      </c>
      <c r="B4750" s="35" t="s">
        <v>686</v>
      </c>
      <c r="C4750" s="35" t="s">
        <v>687</v>
      </c>
      <c r="D4750" s="39">
        <v>1025.6199951171875</v>
      </c>
      <c r="E4750" s="39">
        <v>996.3887939453125</v>
      </c>
      <c r="F4750" s="41">
        <v>585800</v>
      </c>
      <c r="G4750" s="35" t="s">
        <v>690</v>
      </c>
      <c r="H4750" s="35" t="s">
        <v>115</v>
      </c>
    </row>
    <row r="4751" spans="1:8">
      <c r="A4751" s="37">
        <v>45240.15625</v>
      </c>
      <c r="B4751" s="35" t="s">
        <v>686</v>
      </c>
      <c r="C4751" s="35" t="s">
        <v>687</v>
      </c>
      <c r="D4751" s="39">
        <v>1027.800048828125</v>
      </c>
      <c r="E4751" s="39">
        <v>998.5067138671875</v>
      </c>
      <c r="F4751" s="41">
        <v>783300</v>
      </c>
      <c r="G4751" s="35" t="s">
        <v>690</v>
      </c>
      <c r="H4751" s="35" t="s">
        <v>115</v>
      </c>
    </row>
    <row r="4752" spans="1:8">
      <c r="A4752" s="37">
        <v>45243.15625</v>
      </c>
      <c r="B4752" s="35" t="s">
        <v>686</v>
      </c>
      <c r="C4752" s="35" t="s">
        <v>687</v>
      </c>
      <c r="D4752" s="39">
        <v>1017.0399780273438</v>
      </c>
      <c r="E4752" s="39">
        <v>988.05322265625</v>
      </c>
      <c r="F4752" s="41">
        <v>1334465</v>
      </c>
      <c r="G4752" s="35" t="s">
        <v>690</v>
      </c>
      <c r="H4752" s="35" t="s">
        <v>115</v>
      </c>
    </row>
    <row r="4753" spans="1:8">
      <c r="A4753" s="37">
        <v>45245.15625</v>
      </c>
      <c r="B4753" s="35" t="s">
        <v>686</v>
      </c>
      <c r="C4753" s="35" t="s">
        <v>687</v>
      </c>
      <c r="D4753" s="39">
        <v>1068.6500244140625</v>
      </c>
      <c r="E4753" s="39">
        <v>1038.1922607421875</v>
      </c>
      <c r="F4753" s="41">
        <v>2335170</v>
      </c>
      <c r="G4753" s="35" t="s">
        <v>690</v>
      </c>
      <c r="H4753" s="35" t="s">
        <v>115</v>
      </c>
    </row>
    <row r="4754" spans="1:8">
      <c r="A4754" s="37">
        <v>45246.15625</v>
      </c>
      <c r="B4754" s="35" t="s">
        <v>686</v>
      </c>
      <c r="C4754" s="35" t="s">
        <v>687</v>
      </c>
      <c r="D4754" s="39">
        <v>1140.219970703125</v>
      </c>
      <c r="E4754" s="39">
        <v>1107.7227783203125</v>
      </c>
      <c r="F4754" s="41">
        <v>5522040</v>
      </c>
      <c r="G4754" s="35" t="s">
        <v>690</v>
      </c>
      <c r="H4754" s="35" t="s">
        <v>115</v>
      </c>
    </row>
    <row r="4755" spans="1:8">
      <c r="A4755" s="37">
        <v>45247.15625</v>
      </c>
      <c r="B4755" s="35" t="s">
        <v>686</v>
      </c>
      <c r="C4755" s="35" t="s">
        <v>687</v>
      </c>
      <c r="D4755" s="39">
        <v>1134.989990234375</v>
      </c>
      <c r="E4755" s="39">
        <v>1102.6416015625</v>
      </c>
      <c r="F4755" s="41">
        <v>2436475</v>
      </c>
      <c r="G4755" s="35" t="s">
        <v>690</v>
      </c>
      <c r="H4755" s="35" t="s">
        <v>115</v>
      </c>
    </row>
    <row r="4756" spans="1:8">
      <c r="A4756" s="37">
        <v>45250.15625</v>
      </c>
      <c r="B4756" s="35" t="s">
        <v>686</v>
      </c>
      <c r="C4756" s="35" t="s">
        <v>687</v>
      </c>
      <c r="D4756" s="39">
        <v>1141.68994140625</v>
      </c>
      <c r="E4756" s="39">
        <v>1109.1505126953125</v>
      </c>
      <c r="F4756" s="41">
        <v>2411915</v>
      </c>
      <c r="G4756" s="35" t="s">
        <v>690</v>
      </c>
      <c r="H4756" s="35" t="s">
        <v>115</v>
      </c>
    </row>
    <row r="4757" spans="1:8">
      <c r="A4757" s="37">
        <v>45251.15625</v>
      </c>
      <c r="B4757" s="35" t="s">
        <v>686</v>
      </c>
      <c r="C4757" s="35" t="s">
        <v>687</v>
      </c>
      <c r="D4757" s="39">
        <v>1125.0799560546875</v>
      </c>
      <c r="E4757" s="39">
        <v>1093.0140380859375</v>
      </c>
      <c r="F4757" s="41">
        <v>1181265</v>
      </c>
      <c r="G4757" s="35" t="s">
        <v>690</v>
      </c>
      <c r="H4757" s="35" t="s">
        <v>115</v>
      </c>
    </row>
    <row r="4758" spans="1:8">
      <c r="A4758" s="37">
        <v>45252.15625</v>
      </c>
      <c r="B4758" s="35" t="s">
        <v>686</v>
      </c>
      <c r="C4758" s="35" t="s">
        <v>687</v>
      </c>
      <c r="D4758" s="39">
        <v>1126.8900146484375</v>
      </c>
      <c r="E4758" s="39">
        <v>1094.7723388671875</v>
      </c>
      <c r="F4758" s="41">
        <v>984720</v>
      </c>
      <c r="G4758" s="35" t="s">
        <v>690</v>
      </c>
      <c r="H4758" s="35" t="s">
        <v>115</v>
      </c>
    </row>
    <row r="4759" spans="1:8">
      <c r="A4759" s="37">
        <v>45253.15625</v>
      </c>
      <c r="B4759" s="35" t="s">
        <v>686</v>
      </c>
      <c r="C4759" s="35" t="s">
        <v>687</v>
      </c>
      <c r="D4759" s="39">
        <v>1123.9300537109375</v>
      </c>
      <c r="E4759" s="39">
        <v>1091.89697265625</v>
      </c>
      <c r="F4759" s="41">
        <v>955385</v>
      </c>
      <c r="G4759" s="35" t="s">
        <v>690</v>
      </c>
      <c r="H4759" s="35" t="s">
        <v>115</v>
      </c>
    </row>
    <row r="4760" spans="1:8">
      <c r="A4760" s="37">
        <v>45254.15625</v>
      </c>
      <c r="B4760" s="35" t="s">
        <v>686</v>
      </c>
      <c r="C4760" s="35" t="s">
        <v>687</v>
      </c>
      <c r="D4760" s="39">
        <v>1123.7099609375</v>
      </c>
      <c r="E4760" s="39">
        <v>1091.68310546875</v>
      </c>
      <c r="F4760" s="41">
        <v>722630</v>
      </c>
      <c r="G4760" s="35" t="s">
        <v>690</v>
      </c>
      <c r="H4760" s="35" t="s">
        <v>115</v>
      </c>
    </row>
    <row r="4761" spans="1:8">
      <c r="A4761" s="37">
        <v>45258.15625</v>
      </c>
      <c r="B4761" s="35" t="s">
        <v>686</v>
      </c>
      <c r="C4761" s="35" t="s">
        <v>687</v>
      </c>
      <c r="D4761" s="39">
        <v>1113.260009765625</v>
      </c>
      <c r="E4761" s="39">
        <v>1081.53076171875</v>
      </c>
      <c r="F4761" s="41">
        <v>1194685</v>
      </c>
      <c r="G4761" s="35" t="s">
        <v>690</v>
      </c>
      <c r="H4761" s="35" t="s">
        <v>115</v>
      </c>
    </row>
    <row r="4762" spans="1:8">
      <c r="A4762" s="37">
        <v>45259.15625</v>
      </c>
      <c r="B4762" s="35" t="s">
        <v>686</v>
      </c>
      <c r="C4762" s="35" t="s">
        <v>687</v>
      </c>
      <c r="D4762" s="39">
        <v>1138.949951171875</v>
      </c>
      <c r="E4762" s="39">
        <v>1106.4884033203125</v>
      </c>
      <c r="F4762" s="41">
        <v>2760080</v>
      </c>
      <c r="G4762" s="35" t="s">
        <v>690</v>
      </c>
      <c r="H4762" s="35" t="s">
        <v>115</v>
      </c>
    </row>
    <row r="4763" spans="1:8">
      <c r="A4763" s="37">
        <v>45260.15625</v>
      </c>
      <c r="B4763" s="35" t="s">
        <v>686</v>
      </c>
      <c r="C4763" s="35" t="s">
        <v>687</v>
      </c>
      <c r="D4763" s="39">
        <v>1152.1700439453125</v>
      </c>
      <c r="E4763" s="39">
        <v>1119.33203125</v>
      </c>
      <c r="F4763" s="41">
        <v>1758790</v>
      </c>
      <c r="G4763" s="35" t="s">
        <v>690</v>
      </c>
      <c r="H4763" s="35" t="s">
        <v>115</v>
      </c>
    </row>
    <row r="4764" spans="1:8">
      <c r="A4764" s="37">
        <v>45261.15625</v>
      </c>
      <c r="B4764" s="35" t="s">
        <v>686</v>
      </c>
      <c r="C4764" s="35" t="s">
        <v>687</v>
      </c>
      <c r="D4764" s="39">
        <v>1142.800048828125</v>
      </c>
      <c r="E4764" s="39">
        <v>1110.2291259765625</v>
      </c>
      <c r="F4764" s="41">
        <v>887890</v>
      </c>
      <c r="G4764" s="35" t="s">
        <v>690</v>
      </c>
      <c r="H4764" s="35" t="s">
        <v>115</v>
      </c>
    </row>
    <row r="4765" spans="1:8">
      <c r="A4765" s="37">
        <v>45264.15625</v>
      </c>
      <c r="B4765" s="35" t="s">
        <v>686</v>
      </c>
      <c r="C4765" s="35" t="s">
        <v>687</v>
      </c>
      <c r="D4765" s="39">
        <v>1135.18994140625</v>
      </c>
      <c r="E4765" s="39">
        <v>1102.8358154296875</v>
      </c>
      <c r="F4765" s="41">
        <v>924305</v>
      </c>
      <c r="G4765" s="35" t="s">
        <v>690</v>
      </c>
      <c r="H4765" s="35" t="s">
        <v>115</v>
      </c>
    </row>
    <row r="4766" spans="1:8">
      <c r="A4766" s="37">
        <v>45265.15625</v>
      </c>
      <c r="B4766" s="35" t="s">
        <v>686</v>
      </c>
      <c r="C4766" s="35" t="s">
        <v>687</v>
      </c>
      <c r="D4766" s="39">
        <v>1121.1700439453125</v>
      </c>
      <c r="E4766" s="39">
        <v>1089.21533203125</v>
      </c>
      <c r="F4766" s="41">
        <v>1613345</v>
      </c>
      <c r="G4766" s="35" t="s">
        <v>690</v>
      </c>
      <c r="H4766" s="35" t="s">
        <v>115</v>
      </c>
    </row>
    <row r="4767" spans="1:8">
      <c r="A4767" s="37">
        <v>45266.15625</v>
      </c>
      <c r="B4767" s="35" t="s">
        <v>686</v>
      </c>
      <c r="C4767" s="35" t="s">
        <v>687</v>
      </c>
      <c r="D4767" s="39">
        <v>1140.3499755859375</v>
      </c>
      <c r="E4767" s="39">
        <v>1107.8486328125</v>
      </c>
      <c r="F4767" s="41">
        <v>2301060</v>
      </c>
      <c r="G4767" s="35" t="s">
        <v>690</v>
      </c>
      <c r="H4767" s="35" t="s">
        <v>115</v>
      </c>
    </row>
    <row r="4768" spans="1:8">
      <c r="A4768" s="37">
        <v>45267.15625</v>
      </c>
      <c r="B4768" s="35" t="s">
        <v>686</v>
      </c>
      <c r="C4768" s="35" t="s">
        <v>687</v>
      </c>
      <c r="D4768" s="39">
        <v>1140.1300048828125</v>
      </c>
      <c r="E4768" s="39">
        <v>1107.635009765625</v>
      </c>
      <c r="F4768" s="41">
        <v>1016800</v>
      </c>
      <c r="G4768" s="35" t="s">
        <v>690</v>
      </c>
      <c r="H4768" s="35" t="s">
        <v>115</v>
      </c>
    </row>
    <row r="4769" spans="1:8">
      <c r="A4769" s="37">
        <v>45268.15625</v>
      </c>
      <c r="B4769" s="35" t="s">
        <v>686</v>
      </c>
      <c r="C4769" s="35" t="s">
        <v>687</v>
      </c>
      <c r="D4769" s="39">
        <v>1156.5999755859375</v>
      </c>
      <c r="E4769" s="39">
        <v>1123.6356201171875</v>
      </c>
      <c r="F4769" s="41">
        <v>4134550</v>
      </c>
      <c r="G4769" s="35" t="s">
        <v>690</v>
      </c>
      <c r="H4769" s="35" t="s">
        <v>115</v>
      </c>
    </row>
    <row r="4770" spans="1:8">
      <c r="A4770" s="37">
        <v>45271.15625</v>
      </c>
      <c r="B4770" s="35" t="s">
        <v>686</v>
      </c>
      <c r="C4770" s="35" t="s">
        <v>687</v>
      </c>
      <c r="D4770" s="39">
        <v>1172.949951171875</v>
      </c>
      <c r="E4770" s="39">
        <v>1139.5196533203125</v>
      </c>
      <c r="F4770" s="41">
        <v>2422230</v>
      </c>
      <c r="G4770" s="35" t="s">
        <v>690</v>
      </c>
      <c r="H4770" s="35" t="s">
        <v>115</v>
      </c>
    </row>
    <row r="4771" spans="1:8">
      <c r="A4771" s="37">
        <v>45272.15625</v>
      </c>
      <c r="B4771" s="35" t="s">
        <v>686</v>
      </c>
      <c r="C4771" s="35" t="s">
        <v>687</v>
      </c>
      <c r="D4771" s="39">
        <v>1171.3299560546875</v>
      </c>
      <c r="E4771" s="39">
        <v>1137.945556640625</v>
      </c>
      <c r="F4771" s="41">
        <v>1801080</v>
      </c>
      <c r="G4771" s="35" t="s">
        <v>690</v>
      </c>
      <c r="H4771" s="35" t="s">
        <v>115</v>
      </c>
    </row>
    <row r="4772" spans="1:8">
      <c r="A4772" s="37">
        <v>45273.15625</v>
      </c>
      <c r="B4772" s="35" t="s">
        <v>686</v>
      </c>
      <c r="C4772" s="35" t="s">
        <v>687</v>
      </c>
      <c r="D4772" s="39">
        <v>1166.0899658203125</v>
      </c>
      <c r="E4772" s="39">
        <v>1132.8553466796875</v>
      </c>
      <c r="F4772" s="41">
        <v>2028865</v>
      </c>
      <c r="G4772" s="35" t="s">
        <v>690</v>
      </c>
      <c r="H4772" s="35" t="s">
        <v>115</v>
      </c>
    </row>
    <row r="4773" spans="1:8">
      <c r="A4773" s="37">
        <v>45274.15625</v>
      </c>
      <c r="B4773" s="35" t="s">
        <v>686</v>
      </c>
      <c r="C4773" s="35" t="s">
        <v>687</v>
      </c>
      <c r="D4773" s="39">
        <v>1231.3399658203125</v>
      </c>
      <c r="E4773" s="39">
        <v>1196.24560546875</v>
      </c>
      <c r="F4773" s="41">
        <v>6216300</v>
      </c>
      <c r="G4773" s="35" t="s">
        <v>690</v>
      </c>
      <c r="H4773" s="35" t="s">
        <v>115</v>
      </c>
    </row>
    <row r="4774" spans="1:8">
      <c r="A4774" s="37">
        <v>45275.15625</v>
      </c>
      <c r="B4774" s="35" t="s">
        <v>686</v>
      </c>
      <c r="C4774" s="35" t="s">
        <v>687</v>
      </c>
      <c r="D4774" s="39">
        <v>1287.969970703125</v>
      </c>
      <c r="E4774" s="39">
        <v>1251.261474609375</v>
      </c>
      <c r="F4774" s="41">
        <v>6301270</v>
      </c>
      <c r="G4774" s="35" t="s">
        <v>690</v>
      </c>
      <c r="H4774" s="35" t="s">
        <v>115</v>
      </c>
    </row>
    <row r="4775" spans="1:8">
      <c r="A4775" s="37">
        <v>45278.15625</v>
      </c>
      <c r="B4775" s="35" t="s">
        <v>686</v>
      </c>
      <c r="C4775" s="35" t="s">
        <v>687</v>
      </c>
      <c r="D4775" s="39">
        <v>1288.219970703125</v>
      </c>
      <c r="E4775" s="39">
        <v>1251.5040283203125</v>
      </c>
      <c r="F4775" s="41">
        <v>3017720</v>
      </c>
      <c r="G4775" s="35" t="s">
        <v>690</v>
      </c>
      <c r="H4775" s="35" t="s">
        <v>115</v>
      </c>
    </row>
    <row r="4776" spans="1:8">
      <c r="A4776" s="37">
        <v>45279.15625</v>
      </c>
      <c r="B4776" s="35" t="s">
        <v>686</v>
      </c>
      <c r="C4776" s="35" t="s">
        <v>687</v>
      </c>
      <c r="D4776" s="39">
        <v>1254.6800537109375</v>
      </c>
      <c r="E4776" s="39">
        <v>1218.92041015625</v>
      </c>
      <c r="F4776" s="41">
        <v>1637195</v>
      </c>
      <c r="G4776" s="35" t="s">
        <v>690</v>
      </c>
      <c r="H4776" s="35" t="s">
        <v>115</v>
      </c>
    </row>
    <row r="4777" spans="1:8">
      <c r="A4777" s="37">
        <v>45280.15625</v>
      </c>
      <c r="B4777" s="35" t="s">
        <v>686</v>
      </c>
      <c r="C4777" s="35" t="s">
        <v>687</v>
      </c>
      <c r="D4777" s="39">
        <v>1207.81005859375</v>
      </c>
      <c r="E4777" s="39">
        <v>1173.3861083984375</v>
      </c>
      <c r="F4777" s="41">
        <v>2427650</v>
      </c>
      <c r="G4777" s="35" t="s">
        <v>690</v>
      </c>
      <c r="H4777" s="35" t="s">
        <v>115</v>
      </c>
    </row>
    <row r="4778" spans="1:8">
      <c r="A4778" s="37">
        <v>45281.15625</v>
      </c>
      <c r="B4778" s="35" t="s">
        <v>686</v>
      </c>
      <c r="C4778" s="35" t="s">
        <v>687</v>
      </c>
      <c r="D4778" s="39">
        <v>1225.5799560546875</v>
      </c>
      <c r="E4778" s="39">
        <v>1190.6494140625</v>
      </c>
      <c r="F4778" s="41">
        <v>1833485</v>
      </c>
      <c r="G4778" s="35" t="s">
        <v>690</v>
      </c>
      <c r="H4778" s="35" t="s">
        <v>115</v>
      </c>
    </row>
    <row r="4779" spans="1:8">
      <c r="A4779" s="37">
        <v>45282.15625</v>
      </c>
      <c r="B4779" s="35" t="s">
        <v>686</v>
      </c>
      <c r="C4779" s="35" t="s">
        <v>687</v>
      </c>
      <c r="D4779" s="39">
        <v>1258.0400390625</v>
      </c>
      <c r="E4779" s="39">
        <v>1222.1846923828125</v>
      </c>
      <c r="F4779" s="41">
        <v>2385155</v>
      </c>
      <c r="G4779" s="35" t="s">
        <v>690</v>
      </c>
      <c r="H4779" s="35" t="s">
        <v>115</v>
      </c>
    </row>
    <row r="4780" spans="1:8">
      <c r="A4780" s="37">
        <v>45286.15625</v>
      </c>
      <c r="B4780" s="35" t="s">
        <v>686</v>
      </c>
      <c r="C4780" s="35" t="s">
        <v>687</v>
      </c>
      <c r="D4780" s="39">
        <v>1255.2099609375</v>
      </c>
      <c r="E4780" s="39">
        <v>1219.4354248046875</v>
      </c>
      <c r="F4780" s="41">
        <v>1282880</v>
      </c>
      <c r="G4780" s="35" t="s">
        <v>690</v>
      </c>
      <c r="H4780" s="35" t="s">
        <v>115</v>
      </c>
    </row>
    <row r="4781" spans="1:8">
      <c r="A4781" s="37">
        <v>45287.15625</v>
      </c>
      <c r="B4781" s="35" t="s">
        <v>686</v>
      </c>
      <c r="C4781" s="35" t="s">
        <v>687</v>
      </c>
      <c r="D4781" s="39">
        <v>1259.8800048828125</v>
      </c>
      <c r="E4781" s="39">
        <v>1223.9720458984375</v>
      </c>
      <c r="F4781" s="41">
        <v>1743700</v>
      </c>
      <c r="G4781" s="35" t="s">
        <v>690</v>
      </c>
      <c r="H4781" s="35" t="s">
        <v>115</v>
      </c>
    </row>
    <row r="4782" spans="1:8">
      <c r="A4782" s="37">
        <v>45288.15625</v>
      </c>
      <c r="B4782" s="35" t="s">
        <v>686</v>
      </c>
      <c r="C4782" s="35" t="s">
        <v>687</v>
      </c>
      <c r="D4782" s="39">
        <v>1254.469970703125</v>
      </c>
      <c r="E4782" s="39">
        <v>1218.71630859375</v>
      </c>
      <c r="F4782" s="41">
        <v>1604550</v>
      </c>
      <c r="G4782" s="35" t="s">
        <v>690</v>
      </c>
      <c r="H4782" s="35" t="s">
        <v>115</v>
      </c>
    </row>
    <row r="4783" spans="1:8">
      <c r="A4783" s="37">
        <v>45289.15625</v>
      </c>
      <c r="B4783" s="35" t="s">
        <v>686</v>
      </c>
      <c r="C4783" s="35" t="s">
        <v>687</v>
      </c>
      <c r="D4783" s="39">
        <v>1254.8800048828125</v>
      </c>
      <c r="E4783" s="39">
        <v>1219.11474609375</v>
      </c>
      <c r="F4783" s="41">
        <v>1102815</v>
      </c>
      <c r="G4783" s="35" t="s">
        <v>690</v>
      </c>
      <c r="H4783" s="35" t="s">
        <v>115</v>
      </c>
    </row>
    <row r="4784" spans="1:8">
      <c r="A4784" s="37">
        <v>45292.15625</v>
      </c>
      <c r="B4784" s="35" t="s">
        <v>686</v>
      </c>
      <c r="C4784" s="35" t="s">
        <v>687</v>
      </c>
      <c r="D4784" s="39">
        <v>1238.510009765625</v>
      </c>
      <c r="E4784" s="39">
        <v>1203.211181640625</v>
      </c>
      <c r="F4784" s="41">
        <v>918210</v>
      </c>
      <c r="G4784" s="35" t="s">
        <v>690</v>
      </c>
      <c r="H4784" s="35" t="s">
        <v>115</v>
      </c>
    </row>
    <row r="4785" spans="1:8">
      <c r="A4785" s="37">
        <v>45293.15625</v>
      </c>
      <c r="B4785" s="35" t="s">
        <v>686</v>
      </c>
      <c r="C4785" s="35" t="s">
        <v>687</v>
      </c>
      <c r="D4785" s="39">
        <v>1207.6600341796875</v>
      </c>
      <c r="E4785" s="39">
        <v>1173.2406005859375</v>
      </c>
      <c r="F4785" s="41">
        <v>1578815</v>
      </c>
      <c r="G4785" s="35" t="s">
        <v>690</v>
      </c>
      <c r="H4785" s="35" t="s">
        <v>115</v>
      </c>
    </row>
    <row r="4786" spans="1:8">
      <c r="A4786" s="37">
        <v>45294.15625</v>
      </c>
      <c r="B4786" s="35" t="s">
        <v>686</v>
      </c>
      <c r="C4786" s="35" t="s">
        <v>687</v>
      </c>
      <c r="D4786" s="39">
        <v>1185.6400146484375</v>
      </c>
      <c r="E4786" s="39">
        <v>1151.8482666015625</v>
      </c>
      <c r="F4786" s="41">
        <v>2001430</v>
      </c>
      <c r="G4786" s="35" t="s">
        <v>690</v>
      </c>
      <c r="H4786" s="35" t="s">
        <v>115</v>
      </c>
    </row>
    <row r="4787" spans="1:8">
      <c r="A4787" s="37">
        <v>45295.15625</v>
      </c>
      <c r="B4787" s="35" t="s">
        <v>686</v>
      </c>
      <c r="C4787" s="35" t="s">
        <v>687</v>
      </c>
      <c r="D4787" s="39">
        <v>1190.81005859375</v>
      </c>
      <c r="E4787" s="39">
        <v>1156.8707275390625</v>
      </c>
      <c r="F4787" s="41">
        <v>1050200</v>
      </c>
      <c r="G4787" s="35" t="s">
        <v>690</v>
      </c>
      <c r="H4787" s="35" t="s">
        <v>115</v>
      </c>
    </row>
    <row r="4788" spans="1:8">
      <c r="A4788" s="37">
        <v>45296.15625</v>
      </c>
      <c r="B4788" s="35" t="s">
        <v>686</v>
      </c>
      <c r="C4788" s="35" t="s">
        <v>687</v>
      </c>
      <c r="D4788" s="39">
        <v>1215.27001953125</v>
      </c>
      <c r="E4788" s="39">
        <v>1180.63330078125</v>
      </c>
      <c r="F4788" s="41">
        <v>2494015</v>
      </c>
      <c r="G4788" s="35" t="s">
        <v>690</v>
      </c>
      <c r="H4788" s="35" t="s">
        <v>115</v>
      </c>
    </row>
    <row r="4789" spans="1:8">
      <c r="A4789" s="37">
        <v>45299.15625</v>
      </c>
      <c r="B4789" s="35" t="s">
        <v>686</v>
      </c>
      <c r="C4789" s="35" t="s">
        <v>687</v>
      </c>
      <c r="D4789" s="39">
        <v>1212.0999755859375</v>
      </c>
      <c r="E4789" s="39">
        <v>1177.553955078125</v>
      </c>
      <c r="F4789" s="41">
        <v>1656085</v>
      </c>
      <c r="G4789" s="35" t="s">
        <v>690</v>
      </c>
      <c r="H4789" s="35" t="s">
        <v>115</v>
      </c>
    </row>
    <row r="4790" spans="1:8">
      <c r="A4790" s="37">
        <v>45300.15625</v>
      </c>
      <c r="B4790" s="35" t="s">
        <v>686</v>
      </c>
      <c r="C4790" s="35" t="s">
        <v>687</v>
      </c>
      <c r="D4790" s="39">
        <v>1213.5699462890625</v>
      </c>
      <c r="E4790" s="39">
        <v>1178.98193359375</v>
      </c>
      <c r="F4790" s="41">
        <v>2117425</v>
      </c>
      <c r="G4790" s="35" t="s">
        <v>690</v>
      </c>
      <c r="H4790" s="35" t="s">
        <v>115</v>
      </c>
    </row>
    <row r="4791" spans="1:8">
      <c r="A4791" s="37">
        <v>45301.15625</v>
      </c>
      <c r="B4791" s="35" t="s">
        <v>686</v>
      </c>
      <c r="C4791" s="35" t="s">
        <v>687</v>
      </c>
      <c r="D4791" s="39">
        <v>1230.449951171875</v>
      </c>
      <c r="E4791" s="39">
        <v>1195.3807373046875</v>
      </c>
      <c r="F4791" s="41">
        <v>1041225</v>
      </c>
      <c r="G4791" s="35" t="s">
        <v>690</v>
      </c>
      <c r="H4791" s="35" t="s">
        <v>115</v>
      </c>
    </row>
    <row r="4792" spans="1:8">
      <c r="A4792" s="37">
        <v>45302.15625</v>
      </c>
      <c r="B4792" s="35" t="s">
        <v>686</v>
      </c>
      <c r="C4792" s="35" t="s">
        <v>687</v>
      </c>
      <c r="D4792" s="39">
        <v>1247.6199951171875</v>
      </c>
      <c r="E4792" s="39">
        <v>1212.0615234375</v>
      </c>
      <c r="F4792" s="41">
        <v>2156150</v>
      </c>
      <c r="G4792" s="35" t="s">
        <v>690</v>
      </c>
      <c r="H4792" s="35" t="s">
        <v>115</v>
      </c>
    </row>
    <row r="4793" spans="1:8">
      <c r="A4793" s="37">
        <v>45303.15625</v>
      </c>
      <c r="B4793" s="35" t="s">
        <v>686</v>
      </c>
      <c r="C4793" s="35" t="s">
        <v>687</v>
      </c>
      <c r="D4793" s="39">
        <v>1318.5400390625</v>
      </c>
      <c r="E4793" s="39">
        <v>1280.96044921875</v>
      </c>
      <c r="F4793" s="41">
        <v>6263855</v>
      </c>
      <c r="G4793" s="35" t="s">
        <v>690</v>
      </c>
      <c r="H4793" s="35" t="s">
        <v>115</v>
      </c>
    </row>
    <row r="4794" spans="1:8">
      <c r="A4794" s="37">
        <v>45306.15625</v>
      </c>
      <c r="B4794" s="35" t="s">
        <v>686</v>
      </c>
      <c r="C4794" s="35" t="s">
        <v>687</v>
      </c>
      <c r="D4794" s="39">
        <v>1322.81005859375</v>
      </c>
      <c r="E4794" s="39">
        <v>1285.108642578125</v>
      </c>
      <c r="F4794" s="41">
        <v>3656810</v>
      </c>
      <c r="G4794" s="35" t="s">
        <v>690</v>
      </c>
      <c r="H4794" s="35" t="s">
        <v>115</v>
      </c>
    </row>
    <row r="4795" spans="1:8">
      <c r="A4795" s="37">
        <v>45307.15625</v>
      </c>
      <c r="B4795" s="35" t="s">
        <v>686</v>
      </c>
      <c r="C4795" s="35" t="s">
        <v>687</v>
      </c>
      <c r="D4795" s="39">
        <v>1319.4000244140625</v>
      </c>
      <c r="E4795" s="39">
        <v>1281.7958984375</v>
      </c>
      <c r="F4795" s="41">
        <v>1316845</v>
      </c>
      <c r="G4795" s="35" t="s">
        <v>690</v>
      </c>
      <c r="H4795" s="35" t="s">
        <v>115</v>
      </c>
    </row>
    <row r="4796" spans="1:8">
      <c r="A4796" s="37">
        <v>45308.15625</v>
      </c>
      <c r="B4796" s="35" t="s">
        <v>686</v>
      </c>
      <c r="C4796" s="35" t="s">
        <v>687</v>
      </c>
      <c r="D4796" s="39">
        <v>1325.3900146484375</v>
      </c>
      <c r="E4796" s="39">
        <v>1287.614990234375</v>
      </c>
      <c r="F4796" s="41">
        <v>1496950</v>
      </c>
      <c r="G4796" s="35" t="s">
        <v>690</v>
      </c>
      <c r="H4796" s="35" t="s">
        <v>115</v>
      </c>
    </row>
    <row r="4797" spans="1:8">
      <c r="A4797" s="37">
        <v>45309.15625</v>
      </c>
      <c r="B4797" s="35" t="s">
        <v>686</v>
      </c>
      <c r="C4797" s="35" t="s">
        <v>687</v>
      </c>
      <c r="D4797" s="39">
        <v>1297.3199462890625</v>
      </c>
      <c r="E4797" s="39">
        <v>1260.3450927734375</v>
      </c>
      <c r="F4797" s="41">
        <v>2706900</v>
      </c>
      <c r="G4797" s="35" t="s">
        <v>690</v>
      </c>
      <c r="H4797" s="35" t="s">
        <v>115</v>
      </c>
    </row>
    <row r="4798" spans="1:8">
      <c r="A4798" s="37">
        <v>45310.15625</v>
      </c>
      <c r="B4798" s="35" t="s">
        <v>686</v>
      </c>
      <c r="C4798" s="35" t="s">
        <v>687</v>
      </c>
      <c r="D4798" s="39">
        <v>1283.0699462890625</v>
      </c>
      <c r="E4798" s="39">
        <v>1246.5009765625</v>
      </c>
      <c r="F4798" s="41">
        <v>2004735</v>
      </c>
      <c r="G4798" s="35" t="s">
        <v>690</v>
      </c>
      <c r="H4798" s="35" t="s">
        <v>115</v>
      </c>
    </row>
    <row r="4799" spans="1:8">
      <c r="A4799" s="37">
        <v>45314.15625</v>
      </c>
      <c r="B4799" s="35" t="s">
        <v>686</v>
      </c>
      <c r="C4799" s="35" t="s">
        <v>687</v>
      </c>
      <c r="D4799" s="39">
        <v>1240.3199462890625</v>
      </c>
      <c r="E4799" s="39">
        <v>1204.969482421875</v>
      </c>
      <c r="F4799" s="41">
        <v>3445010</v>
      </c>
      <c r="G4799" s="35" t="s">
        <v>690</v>
      </c>
      <c r="H4799" s="35" t="s">
        <v>115</v>
      </c>
    </row>
    <row r="4800" spans="1:8">
      <c r="A4800" s="37">
        <v>45315.15625</v>
      </c>
      <c r="B4800" s="35" t="s">
        <v>686</v>
      </c>
      <c r="C4800" s="35" t="s">
        <v>687</v>
      </c>
      <c r="D4800" s="39">
        <v>1273.8399658203125</v>
      </c>
      <c r="E4800" s="39">
        <v>1237.5340576171875</v>
      </c>
      <c r="F4800" s="41">
        <v>1727660</v>
      </c>
      <c r="G4800" s="35" t="s">
        <v>690</v>
      </c>
      <c r="H4800" s="35" t="s">
        <v>115</v>
      </c>
    </row>
    <row r="4801" spans="1:8">
      <c r="A4801" s="37">
        <v>45316.15625</v>
      </c>
      <c r="B4801" s="35" t="s">
        <v>686</v>
      </c>
      <c r="C4801" s="35" t="s">
        <v>687</v>
      </c>
      <c r="D4801" s="39">
        <v>1241.010009765625</v>
      </c>
      <c r="E4801" s="39">
        <v>1205.6397705078125</v>
      </c>
      <c r="F4801" s="41">
        <v>1960480</v>
      </c>
      <c r="G4801" s="35" t="s">
        <v>690</v>
      </c>
      <c r="H4801" s="35" t="s">
        <v>115</v>
      </c>
    </row>
    <row r="4802" spans="1:8">
      <c r="A4802" s="37">
        <v>45320.15625</v>
      </c>
      <c r="B4802" s="35" t="s">
        <v>686</v>
      </c>
      <c r="C4802" s="35" t="s">
        <v>687</v>
      </c>
      <c r="D4802" s="39">
        <v>1250.949951171875</v>
      </c>
      <c r="E4802" s="39">
        <v>1215.2965087890625</v>
      </c>
      <c r="F4802" s="41">
        <v>2118880</v>
      </c>
      <c r="G4802" s="35" t="s">
        <v>690</v>
      </c>
      <c r="H4802" s="35" t="s">
        <v>115</v>
      </c>
    </row>
    <row r="4803" spans="1:8">
      <c r="A4803" s="37">
        <v>45321.15625</v>
      </c>
      <c r="B4803" s="35" t="s">
        <v>686</v>
      </c>
      <c r="C4803" s="35" t="s">
        <v>687</v>
      </c>
      <c r="D4803" s="39">
        <v>1248.9599609375</v>
      </c>
      <c r="E4803" s="39">
        <v>1213.3634033203125</v>
      </c>
      <c r="F4803" s="41">
        <v>2734175</v>
      </c>
      <c r="G4803" s="35" t="s">
        <v>690</v>
      </c>
      <c r="H4803" s="35" t="s">
        <v>115</v>
      </c>
    </row>
    <row r="4804" spans="1:8">
      <c r="A4804" s="37">
        <v>45322.15625</v>
      </c>
      <c r="B4804" s="35" t="s">
        <v>686</v>
      </c>
      <c r="C4804" s="35" t="s">
        <v>687</v>
      </c>
      <c r="D4804" s="39">
        <v>1250.02001953125</v>
      </c>
      <c r="E4804" s="39">
        <v>1214.3929443359375</v>
      </c>
      <c r="F4804" s="41">
        <v>1686460</v>
      </c>
      <c r="G4804" s="35" t="s">
        <v>690</v>
      </c>
      <c r="H4804" s="35" t="s">
        <v>115</v>
      </c>
    </row>
    <row r="4805" spans="1:8">
      <c r="A4805" s="37">
        <v>45323.15625</v>
      </c>
      <c r="B4805" s="35" t="s">
        <v>686</v>
      </c>
      <c r="C4805" s="35" t="s">
        <v>687</v>
      </c>
      <c r="D4805" s="39">
        <v>1233.949951171875</v>
      </c>
      <c r="E4805" s="39">
        <v>1198.781005859375</v>
      </c>
      <c r="F4805" s="41">
        <v>1452080</v>
      </c>
      <c r="G4805" s="35" t="s">
        <v>690</v>
      </c>
      <c r="H4805" s="35" t="s">
        <v>115</v>
      </c>
    </row>
    <row r="4806" spans="1:8">
      <c r="A4806" s="37">
        <v>45324.15625</v>
      </c>
      <c r="B4806" s="35" t="s">
        <v>686</v>
      </c>
      <c r="C4806" s="35" t="s">
        <v>687</v>
      </c>
      <c r="D4806" s="39">
        <v>1285.0699462890625</v>
      </c>
      <c r="E4806" s="39">
        <v>1248.444091796875</v>
      </c>
      <c r="F4806" s="41">
        <v>2593560</v>
      </c>
      <c r="G4806" s="35" t="s">
        <v>690</v>
      </c>
      <c r="H4806" s="35" t="s">
        <v>115</v>
      </c>
    </row>
    <row r="4807" spans="1:8">
      <c r="A4807" s="37">
        <v>45327.15625</v>
      </c>
      <c r="B4807" s="35" t="s">
        <v>686</v>
      </c>
      <c r="C4807" s="35" t="s">
        <v>687</v>
      </c>
      <c r="D4807" s="39">
        <v>1273.260009765625</v>
      </c>
      <c r="E4807" s="39">
        <v>1240.6395263671875</v>
      </c>
      <c r="F4807" s="41">
        <v>2153925</v>
      </c>
      <c r="G4807" s="35" t="s">
        <v>690</v>
      </c>
      <c r="H4807" s="35" t="s">
        <v>115</v>
      </c>
    </row>
    <row r="4808" spans="1:8">
      <c r="A4808" s="37">
        <v>45328.15625</v>
      </c>
      <c r="B4808" s="35" t="s">
        <v>686</v>
      </c>
      <c r="C4808" s="35" t="s">
        <v>687</v>
      </c>
      <c r="D4808" s="39">
        <v>1312.1600341796875</v>
      </c>
      <c r="E4808" s="39">
        <v>1278.5426025390625</v>
      </c>
      <c r="F4808" s="41">
        <v>2174960</v>
      </c>
      <c r="G4808" s="35" t="s">
        <v>690</v>
      </c>
      <c r="H4808" s="35" t="s">
        <v>115</v>
      </c>
    </row>
    <row r="4809" spans="1:8">
      <c r="A4809" s="37">
        <v>45329.15625</v>
      </c>
      <c r="B4809" s="35" t="s">
        <v>686</v>
      </c>
      <c r="C4809" s="35" t="s">
        <v>687</v>
      </c>
      <c r="D4809" s="39">
        <v>1316.699951171875</v>
      </c>
      <c r="E4809" s="39">
        <v>1282.9664306640625</v>
      </c>
      <c r="F4809" s="41">
        <v>1188930</v>
      </c>
      <c r="G4809" s="35" t="s">
        <v>690</v>
      </c>
      <c r="H4809" s="35" t="s">
        <v>115</v>
      </c>
    </row>
    <row r="4810" spans="1:8">
      <c r="A4810" s="37">
        <v>45330.15625</v>
      </c>
      <c r="B4810" s="35" t="s">
        <v>686</v>
      </c>
      <c r="C4810" s="35" t="s">
        <v>687</v>
      </c>
      <c r="D4810" s="39">
        <v>1321.6700439453125</v>
      </c>
      <c r="E4810" s="39">
        <v>1287.8092041015625</v>
      </c>
      <c r="F4810" s="41">
        <v>819815</v>
      </c>
      <c r="G4810" s="35" t="s">
        <v>690</v>
      </c>
      <c r="H4810" s="35" t="s">
        <v>115</v>
      </c>
    </row>
    <row r="4811" spans="1:8">
      <c r="A4811" s="37">
        <v>45331.15625</v>
      </c>
      <c r="B4811" s="35" t="s">
        <v>686</v>
      </c>
      <c r="C4811" s="35" t="s">
        <v>687</v>
      </c>
      <c r="D4811" s="39">
        <v>1300.1500244140625</v>
      </c>
      <c r="E4811" s="39">
        <v>1266.8404541015625</v>
      </c>
      <c r="F4811" s="41">
        <v>914395</v>
      </c>
      <c r="G4811" s="35" t="s">
        <v>690</v>
      </c>
      <c r="H4811" s="35" t="s">
        <v>115</v>
      </c>
    </row>
    <row r="4812" spans="1:8">
      <c r="A4812" s="37">
        <v>45334.15625</v>
      </c>
      <c r="B4812" s="35" t="s">
        <v>686</v>
      </c>
      <c r="C4812" s="35" t="s">
        <v>687</v>
      </c>
      <c r="D4812" s="39">
        <v>1333.239990234375</v>
      </c>
      <c r="E4812" s="39">
        <v>1299.0826416015625</v>
      </c>
      <c r="F4812" s="41">
        <v>4405265</v>
      </c>
      <c r="G4812" s="35" t="s">
        <v>690</v>
      </c>
      <c r="H4812" s="35" t="s">
        <v>115</v>
      </c>
    </row>
    <row r="4813" spans="1:8">
      <c r="A4813" s="37">
        <v>45335.15625</v>
      </c>
      <c r="B4813" s="35" t="s">
        <v>686</v>
      </c>
      <c r="C4813" s="35" t="s">
        <v>687</v>
      </c>
      <c r="D4813" s="39">
        <v>1332.3800048828125</v>
      </c>
      <c r="E4813" s="39">
        <v>1298.2445068359375</v>
      </c>
      <c r="F4813" s="41">
        <v>1783135</v>
      </c>
      <c r="G4813" s="35" t="s">
        <v>690</v>
      </c>
      <c r="H4813" s="35" t="s">
        <v>115</v>
      </c>
    </row>
    <row r="4814" spans="1:8">
      <c r="A4814" s="37">
        <v>45336.15625</v>
      </c>
      <c r="B4814" s="35" t="s">
        <v>686</v>
      </c>
      <c r="C4814" s="35" t="s">
        <v>687</v>
      </c>
      <c r="D4814" s="39">
        <v>1294.4300537109375</v>
      </c>
      <c r="E4814" s="39">
        <v>1261.2669677734375</v>
      </c>
      <c r="F4814" s="41">
        <v>1679355</v>
      </c>
      <c r="G4814" s="35" t="s">
        <v>690</v>
      </c>
      <c r="H4814" s="35" t="s">
        <v>115</v>
      </c>
    </row>
    <row r="4815" spans="1:8">
      <c r="A4815" s="37">
        <v>45337.15625</v>
      </c>
      <c r="B4815" s="35" t="s">
        <v>686</v>
      </c>
      <c r="C4815" s="35" t="s">
        <v>687</v>
      </c>
      <c r="D4815" s="39">
        <v>1328.9599609375</v>
      </c>
      <c r="E4815" s="39">
        <v>1294.912353515625</v>
      </c>
      <c r="F4815" s="41">
        <v>855410</v>
      </c>
      <c r="G4815" s="35" t="s">
        <v>690</v>
      </c>
      <c r="H4815" s="35" t="s">
        <v>115</v>
      </c>
    </row>
    <row r="4816" spans="1:8">
      <c r="A4816" s="37">
        <v>45338.15625</v>
      </c>
      <c r="B4816" s="35" t="s">
        <v>686</v>
      </c>
      <c r="C4816" s="35" t="s">
        <v>687</v>
      </c>
      <c r="D4816" s="39">
        <v>1333.0799560546875</v>
      </c>
      <c r="E4816" s="39">
        <v>1298.926513671875</v>
      </c>
      <c r="F4816" s="41">
        <v>1598340</v>
      </c>
      <c r="G4816" s="35" t="s">
        <v>690</v>
      </c>
      <c r="H4816" s="35" t="s">
        <v>115</v>
      </c>
    </row>
    <row r="4817" spans="1:8">
      <c r="A4817" s="37">
        <v>45341.15625</v>
      </c>
      <c r="B4817" s="35" t="s">
        <v>686</v>
      </c>
      <c r="C4817" s="35" t="s">
        <v>687</v>
      </c>
      <c r="D4817" s="39">
        <v>1350.97998046875</v>
      </c>
      <c r="E4817" s="39">
        <v>1316.3681640625</v>
      </c>
      <c r="F4817" s="41">
        <v>1852195</v>
      </c>
      <c r="G4817" s="35" t="s">
        <v>690</v>
      </c>
      <c r="H4817" s="35" t="s">
        <v>115</v>
      </c>
    </row>
    <row r="4818" spans="1:8">
      <c r="A4818" s="37">
        <v>45342.15625</v>
      </c>
      <c r="B4818" s="35" t="s">
        <v>686</v>
      </c>
      <c r="C4818" s="35" t="s">
        <v>687</v>
      </c>
      <c r="D4818" s="39">
        <v>1330.68994140625</v>
      </c>
      <c r="E4818" s="39">
        <v>1296.5980224609375</v>
      </c>
      <c r="F4818" s="41">
        <v>1426065</v>
      </c>
      <c r="G4818" s="35" t="s">
        <v>690</v>
      </c>
      <c r="H4818" s="35" t="s">
        <v>115</v>
      </c>
    </row>
    <row r="4819" spans="1:8">
      <c r="A4819" s="37">
        <v>45343.15625</v>
      </c>
      <c r="B4819" s="35" t="s">
        <v>686</v>
      </c>
      <c r="C4819" s="35" t="s">
        <v>687</v>
      </c>
      <c r="D4819" s="39">
        <v>1309.199951171875</v>
      </c>
      <c r="E4819" s="39">
        <v>1275.658447265625</v>
      </c>
      <c r="F4819" s="41">
        <v>1516810</v>
      </c>
      <c r="G4819" s="35" t="s">
        <v>690</v>
      </c>
      <c r="H4819" s="35" t="s">
        <v>115</v>
      </c>
    </row>
    <row r="4820" spans="1:8">
      <c r="A4820" s="37">
        <v>45344.15625</v>
      </c>
      <c r="B4820" s="35" t="s">
        <v>686</v>
      </c>
      <c r="C4820" s="35" t="s">
        <v>687</v>
      </c>
      <c r="D4820" s="39">
        <v>1323.5400390625</v>
      </c>
      <c r="E4820" s="39">
        <v>1289.631103515625</v>
      </c>
      <c r="F4820" s="41">
        <v>992895</v>
      </c>
      <c r="G4820" s="35" t="s">
        <v>690</v>
      </c>
      <c r="H4820" s="35" t="s">
        <v>115</v>
      </c>
    </row>
    <row r="4821" spans="1:8">
      <c r="A4821" s="37">
        <v>45345.15625</v>
      </c>
      <c r="B4821" s="35" t="s">
        <v>686</v>
      </c>
      <c r="C4821" s="35" t="s">
        <v>687</v>
      </c>
      <c r="D4821" s="39">
        <v>1321.199951171875</v>
      </c>
      <c r="E4821" s="39">
        <v>1287.3509521484375</v>
      </c>
      <c r="F4821" s="41">
        <v>980260</v>
      </c>
      <c r="G4821" s="35" t="s">
        <v>690</v>
      </c>
      <c r="H4821" s="35" t="s">
        <v>115</v>
      </c>
    </row>
    <row r="4822" spans="1:8">
      <c r="A4822" s="37">
        <v>45348.15625</v>
      </c>
      <c r="B4822" s="35" t="s">
        <v>686</v>
      </c>
      <c r="C4822" s="35" t="s">
        <v>687</v>
      </c>
      <c r="D4822" s="39">
        <v>1318.6800537109375</v>
      </c>
      <c r="E4822" s="39">
        <v>1284.89599609375</v>
      </c>
      <c r="F4822" s="41">
        <v>3776895</v>
      </c>
      <c r="G4822" s="35" t="s">
        <v>690</v>
      </c>
      <c r="H4822" s="35" t="s">
        <v>115</v>
      </c>
    </row>
    <row r="4823" spans="1:8">
      <c r="A4823" s="37">
        <v>45349.15625</v>
      </c>
      <c r="B4823" s="35" t="s">
        <v>686</v>
      </c>
      <c r="C4823" s="35" t="s">
        <v>687</v>
      </c>
      <c r="D4823" s="39">
        <v>1312.31005859375</v>
      </c>
      <c r="E4823" s="39">
        <v>1278.6888427734375</v>
      </c>
      <c r="F4823" s="41">
        <v>564300</v>
      </c>
      <c r="G4823" s="35" t="s">
        <v>690</v>
      </c>
      <c r="H4823" s="35" t="s">
        <v>115</v>
      </c>
    </row>
    <row r="4824" spans="1:8">
      <c r="A4824" s="37">
        <v>45350.15625</v>
      </c>
      <c r="B4824" s="35" t="s">
        <v>686</v>
      </c>
      <c r="C4824" s="35" t="s">
        <v>687</v>
      </c>
      <c r="D4824" s="39">
        <v>1292.9300537109375</v>
      </c>
      <c r="E4824" s="39">
        <v>1259.8055419921875</v>
      </c>
      <c r="F4824" s="41">
        <v>963435</v>
      </c>
      <c r="G4824" s="35" t="s">
        <v>690</v>
      </c>
      <c r="H4824" s="35" t="s">
        <v>115</v>
      </c>
    </row>
    <row r="4825" spans="1:8">
      <c r="A4825" s="37">
        <v>45351.15625</v>
      </c>
      <c r="B4825" s="35" t="s">
        <v>686</v>
      </c>
      <c r="C4825" s="35" t="s">
        <v>687</v>
      </c>
      <c r="D4825" s="39">
        <v>1310.81005859375</v>
      </c>
      <c r="E4825" s="39">
        <v>1277.2274169921875</v>
      </c>
      <c r="F4825" s="41">
        <v>1012390</v>
      </c>
      <c r="G4825" s="35" t="s">
        <v>690</v>
      </c>
      <c r="H4825" s="35" t="s">
        <v>115</v>
      </c>
    </row>
    <row r="4826" spans="1:8">
      <c r="A4826" s="37">
        <v>45352.15625</v>
      </c>
      <c r="B4826" s="35" t="s">
        <v>686</v>
      </c>
      <c r="C4826" s="35" t="s">
        <v>687</v>
      </c>
      <c r="D4826" s="39">
        <v>1300.93994140625</v>
      </c>
      <c r="E4826" s="39">
        <v>1267.6102294921875</v>
      </c>
      <c r="F4826" s="41">
        <v>2378335</v>
      </c>
      <c r="G4826" s="35" t="s">
        <v>690</v>
      </c>
      <c r="H4826" s="35" t="s">
        <v>115</v>
      </c>
    </row>
    <row r="4827" spans="1:8">
      <c r="A4827" s="37">
        <v>45355.15625</v>
      </c>
      <c r="B4827" s="35" t="s">
        <v>686</v>
      </c>
      <c r="C4827" s="35" t="s">
        <v>687</v>
      </c>
      <c r="D4827" s="39">
        <v>1288.5400390625</v>
      </c>
      <c r="E4827" s="39">
        <v>1255.5277099609375</v>
      </c>
      <c r="F4827" s="41">
        <v>2231405</v>
      </c>
      <c r="G4827" s="35" t="s">
        <v>690</v>
      </c>
      <c r="H4827" s="35" t="s">
        <v>115</v>
      </c>
    </row>
    <row r="4828" spans="1:8">
      <c r="A4828" s="37">
        <v>45356.15625</v>
      </c>
      <c r="B4828" s="35" t="s">
        <v>686</v>
      </c>
      <c r="C4828" s="35" t="s">
        <v>687</v>
      </c>
      <c r="D4828" s="39">
        <v>1263.2900390625</v>
      </c>
      <c r="E4828" s="39">
        <v>1230.9248046875</v>
      </c>
      <c r="F4828" s="41">
        <v>1326225</v>
      </c>
      <c r="G4828" s="35" t="s">
        <v>690</v>
      </c>
      <c r="H4828" s="35" t="s">
        <v>115</v>
      </c>
    </row>
    <row r="4829" spans="1:8">
      <c r="A4829" s="37">
        <v>45357.15625</v>
      </c>
      <c r="B4829" s="35" t="s">
        <v>686</v>
      </c>
      <c r="C4829" s="35" t="s">
        <v>687</v>
      </c>
      <c r="D4829" s="39">
        <v>1264.6600341796875</v>
      </c>
      <c r="E4829" s="39">
        <v>1232.259765625</v>
      </c>
      <c r="F4829" s="41">
        <v>2146995</v>
      </c>
      <c r="G4829" s="35" t="s">
        <v>690</v>
      </c>
      <c r="H4829" s="35" t="s">
        <v>115</v>
      </c>
    </row>
    <row r="4830" spans="1:8">
      <c r="A4830" s="37">
        <v>45358.15625</v>
      </c>
      <c r="B4830" s="35" t="s">
        <v>686</v>
      </c>
      <c r="C4830" s="35" t="s">
        <v>687</v>
      </c>
      <c r="D4830" s="39">
        <v>1250.739990234375</v>
      </c>
      <c r="E4830" s="39">
        <v>1218.6961669921875</v>
      </c>
      <c r="F4830" s="41">
        <v>1167230</v>
      </c>
      <c r="G4830" s="35" t="s">
        <v>690</v>
      </c>
      <c r="H4830" s="35" t="s">
        <v>115</v>
      </c>
    </row>
    <row r="4831" spans="1:8">
      <c r="A4831" s="37">
        <v>45362.15625</v>
      </c>
      <c r="B4831" s="35" t="s">
        <v>686</v>
      </c>
      <c r="C4831" s="35" t="s">
        <v>687</v>
      </c>
      <c r="D4831" s="39">
        <v>1249.530029296875</v>
      </c>
      <c r="E4831" s="39">
        <v>1217.517333984375</v>
      </c>
      <c r="F4831" s="41">
        <v>2434635</v>
      </c>
      <c r="G4831" s="35" t="s">
        <v>690</v>
      </c>
      <c r="H4831" s="35" t="s">
        <v>115</v>
      </c>
    </row>
    <row r="4832" spans="1:8">
      <c r="A4832" s="37">
        <v>45363.15625</v>
      </c>
      <c r="B4832" s="35" t="s">
        <v>686</v>
      </c>
      <c r="C4832" s="35" t="s">
        <v>687</v>
      </c>
      <c r="D4832" s="39">
        <v>1252.72998046875</v>
      </c>
      <c r="E4832" s="39">
        <v>1220.63525390625</v>
      </c>
      <c r="F4832" s="41">
        <v>1385110</v>
      </c>
      <c r="G4832" s="35" t="s">
        <v>690</v>
      </c>
      <c r="H4832" s="35" t="s">
        <v>115</v>
      </c>
    </row>
    <row r="4833" spans="1:8">
      <c r="A4833" s="37">
        <v>45364.15625</v>
      </c>
      <c r="B4833" s="35" t="s">
        <v>686</v>
      </c>
      <c r="C4833" s="35" t="s">
        <v>687</v>
      </c>
      <c r="D4833" s="39">
        <v>1234.719970703125</v>
      </c>
      <c r="E4833" s="39">
        <v>1203.0867919921875</v>
      </c>
      <c r="F4833" s="41">
        <v>1821000</v>
      </c>
      <c r="G4833" s="35" t="s">
        <v>690</v>
      </c>
      <c r="H4833" s="35" t="s">
        <v>115</v>
      </c>
    </row>
    <row r="4834" spans="1:8">
      <c r="A4834" s="37">
        <v>45365.15625</v>
      </c>
      <c r="B4834" s="35" t="s">
        <v>686</v>
      </c>
      <c r="C4834" s="35" t="s">
        <v>687</v>
      </c>
      <c r="D4834" s="39">
        <v>1217.52001953125</v>
      </c>
      <c r="E4834" s="39">
        <v>1186.327392578125</v>
      </c>
      <c r="F4834" s="41">
        <v>2196890</v>
      </c>
      <c r="G4834" s="35" t="s">
        <v>690</v>
      </c>
      <c r="H4834" s="35" t="s">
        <v>115</v>
      </c>
    </row>
    <row r="4835" spans="1:8">
      <c r="A4835" s="37">
        <v>45366.15625</v>
      </c>
      <c r="B4835" s="35" t="s">
        <v>686</v>
      </c>
      <c r="C4835" s="35" t="s">
        <v>687</v>
      </c>
      <c r="D4835" s="39">
        <v>1223.280029296875</v>
      </c>
      <c r="E4835" s="39">
        <v>1191.93994140625</v>
      </c>
      <c r="F4835" s="41">
        <v>1051870</v>
      </c>
      <c r="G4835" s="35" t="s">
        <v>690</v>
      </c>
      <c r="H4835" s="35" t="s">
        <v>115</v>
      </c>
    </row>
    <row r="4836" spans="1:8">
      <c r="A4836" s="37">
        <v>45369.15625</v>
      </c>
      <c r="B4836" s="35" t="s">
        <v>686</v>
      </c>
      <c r="C4836" s="35" t="s">
        <v>687</v>
      </c>
      <c r="D4836" s="39">
        <v>1139.4300537109375</v>
      </c>
      <c r="E4836" s="39">
        <v>1110.238037109375</v>
      </c>
      <c r="F4836" s="41">
        <v>7168195</v>
      </c>
      <c r="G4836" s="35" t="s">
        <v>690</v>
      </c>
      <c r="H4836" s="35" t="s">
        <v>115</v>
      </c>
    </row>
    <row r="4837" spans="1:8">
      <c r="A4837" s="37">
        <v>45370.15625</v>
      </c>
      <c r="B4837" s="35" t="s">
        <v>686</v>
      </c>
      <c r="C4837" s="35" t="s">
        <v>687</v>
      </c>
      <c r="D4837" s="39">
        <v>1111.510009765625</v>
      </c>
      <c r="E4837" s="39">
        <v>1083.0333251953125</v>
      </c>
      <c r="F4837" s="41">
        <v>2974985</v>
      </c>
      <c r="G4837" s="35" t="s">
        <v>690</v>
      </c>
      <c r="H4837" s="35" t="s">
        <v>115</v>
      </c>
    </row>
    <row r="4838" spans="1:8">
      <c r="A4838" s="37">
        <v>45371.15625</v>
      </c>
      <c r="B4838" s="35" t="s">
        <v>686</v>
      </c>
      <c r="C4838" s="35" t="s">
        <v>687</v>
      </c>
      <c r="D4838" s="39">
        <v>1105.949951171875</v>
      </c>
      <c r="E4838" s="39">
        <v>1077.61572265625</v>
      </c>
      <c r="F4838" s="41">
        <v>1674610</v>
      </c>
      <c r="G4838" s="35" t="s">
        <v>690</v>
      </c>
      <c r="H4838" s="35" t="s">
        <v>115</v>
      </c>
    </row>
    <row r="4839" spans="1:8">
      <c r="A4839" s="37">
        <v>45372.15625</v>
      </c>
      <c r="B4839" s="35" t="s">
        <v>686</v>
      </c>
      <c r="C4839" s="35" t="s">
        <v>687</v>
      </c>
      <c r="D4839" s="39">
        <v>1141.3499755859375</v>
      </c>
      <c r="E4839" s="39">
        <v>1112.10888671875</v>
      </c>
      <c r="F4839" s="41">
        <v>2961975</v>
      </c>
      <c r="G4839" s="35" t="s">
        <v>690</v>
      </c>
      <c r="H4839" s="35" t="s">
        <v>115</v>
      </c>
    </row>
    <row r="4840" spans="1:8">
      <c r="A4840" s="37">
        <v>45373.15625</v>
      </c>
      <c r="B4840" s="35" t="s">
        <v>686</v>
      </c>
      <c r="C4840" s="35" t="s">
        <v>687</v>
      </c>
      <c r="D4840" s="39">
        <v>1108.02001953125</v>
      </c>
      <c r="E4840" s="39">
        <v>1079.6326904296875</v>
      </c>
      <c r="F4840" s="41">
        <v>5279335</v>
      </c>
      <c r="G4840" s="35" t="s">
        <v>690</v>
      </c>
      <c r="H4840" s="35" t="s">
        <v>115</v>
      </c>
    </row>
    <row r="4841" spans="1:8">
      <c r="A4841" s="37">
        <v>45377.15625</v>
      </c>
      <c r="B4841" s="35" t="s">
        <v>686</v>
      </c>
      <c r="C4841" s="35" t="s">
        <v>687</v>
      </c>
      <c r="D4841" s="39">
        <v>1109.4599609375</v>
      </c>
      <c r="E4841" s="39">
        <v>1081.035888671875</v>
      </c>
      <c r="F4841" s="41">
        <v>1030135</v>
      </c>
      <c r="G4841" s="35" t="s">
        <v>690</v>
      </c>
      <c r="H4841" s="35" t="s">
        <v>115</v>
      </c>
    </row>
    <row r="4842" spans="1:8">
      <c r="A4842" s="37">
        <v>45378.15625</v>
      </c>
      <c r="B4842" s="35" t="s">
        <v>686</v>
      </c>
      <c r="C4842" s="35" t="s">
        <v>687</v>
      </c>
      <c r="D4842" s="39">
        <v>1109.8499755859375</v>
      </c>
      <c r="E4842" s="39">
        <v>1081.4158935546875</v>
      </c>
      <c r="F4842" s="41">
        <v>1240445</v>
      </c>
      <c r="G4842" s="35" t="s">
        <v>690</v>
      </c>
      <c r="H4842" s="35" t="s">
        <v>115</v>
      </c>
    </row>
    <row r="4843" spans="1:8">
      <c r="A4843" s="37">
        <v>45379.15625</v>
      </c>
      <c r="B4843" s="35" t="s">
        <v>686</v>
      </c>
      <c r="C4843" s="35" t="s">
        <v>687</v>
      </c>
      <c r="D4843" s="39">
        <v>1100.489990234375</v>
      </c>
      <c r="E4843" s="39">
        <v>1072.2955322265625</v>
      </c>
      <c r="F4843" s="41">
        <v>1310940</v>
      </c>
      <c r="G4843" s="35" t="s">
        <v>690</v>
      </c>
      <c r="H4843" s="35" t="s">
        <v>115</v>
      </c>
    </row>
    <row r="4844" spans="1:8">
      <c r="A4844" s="37">
        <v>45383.15625</v>
      </c>
      <c r="B4844" s="35" t="s">
        <v>686</v>
      </c>
      <c r="C4844" s="35" t="s">
        <v>687</v>
      </c>
      <c r="D4844" s="39">
        <v>1096.81005859375</v>
      </c>
      <c r="E4844" s="39">
        <v>1068.7100830078125</v>
      </c>
      <c r="F4844" s="41">
        <v>2519550</v>
      </c>
      <c r="G4844" s="35" t="s">
        <v>691</v>
      </c>
      <c r="H4844" s="35" t="s">
        <v>115</v>
      </c>
    </row>
    <row r="4845" spans="1:8">
      <c r="A4845" s="37">
        <v>45384.15625</v>
      </c>
      <c r="B4845" s="35" t="s">
        <v>686</v>
      </c>
      <c r="C4845" s="35" t="s">
        <v>687</v>
      </c>
      <c r="D4845" s="39">
        <v>1111.25</v>
      </c>
      <c r="E4845" s="39">
        <v>1082.780029296875</v>
      </c>
      <c r="F4845" s="41">
        <v>911175</v>
      </c>
      <c r="G4845" s="35" t="s">
        <v>691</v>
      </c>
      <c r="H4845" s="35" t="s">
        <v>115</v>
      </c>
    </row>
    <row r="4846" spans="1:8">
      <c r="A4846" s="37">
        <v>45385.15625</v>
      </c>
      <c r="B4846" s="35" t="s">
        <v>686</v>
      </c>
      <c r="C4846" s="35" t="s">
        <v>687</v>
      </c>
      <c r="D4846" s="39">
        <v>1132.52001953125</v>
      </c>
      <c r="E4846" s="39">
        <v>1103.5050048828125</v>
      </c>
      <c r="F4846" s="41">
        <v>3503930</v>
      </c>
      <c r="G4846" s="35" t="s">
        <v>691</v>
      </c>
      <c r="H4846" s="35" t="s">
        <v>115</v>
      </c>
    </row>
    <row r="4847" spans="1:8">
      <c r="A4847" s="37">
        <v>45386.15625</v>
      </c>
      <c r="B4847" s="35" t="s">
        <v>686</v>
      </c>
      <c r="C4847" s="35" t="s">
        <v>687</v>
      </c>
      <c r="D4847" s="39">
        <v>1163.8900146484375</v>
      </c>
      <c r="E4847" s="39">
        <v>1134.0712890625</v>
      </c>
      <c r="F4847" s="41">
        <v>3238120</v>
      </c>
      <c r="G4847" s="35" t="s">
        <v>691</v>
      </c>
      <c r="H4847" s="35" t="s">
        <v>115</v>
      </c>
    </row>
    <row r="4848" spans="1:8">
      <c r="A4848" s="37">
        <v>45387.15625</v>
      </c>
      <c r="B4848" s="35" t="s">
        <v>686</v>
      </c>
      <c r="C4848" s="35" t="s">
        <v>687</v>
      </c>
      <c r="D4848" s="39">
        <v>1156.5799560546875</v>
      </c>
      <c r="E4848" s="39">
        <v>1126.94873046875</v>
      </c>
      <c r="F4848" s="41">
        <v>1113845</v>
      </c>
      <c r="G4848" s="35" t="s">
        <v>691</v>
      </c>
      <c r="H4848" s="35" t="s">
        <v>115</v>
      </c>
    </row>
    <row r="4849" spans="1:8">
      <c r="A4849" s="37">
        <v>45390.15625</v>
      </c>
      <c r="B4849" s="35" t="s">
        <v>686</v>
      </c>
      <c r="C4849" s="35" t="s">
        <v>687</v>
      </c>
      <c r="D4849" s="39">
        <v>1136.43994140625</v>
      </c>
      <c r="E4849" s="39">
        <v>1107.324462890625</v>
      </c>
      <c r="F4849" s="41">
        <v>1955720</v>
      </c>
      <c r="G4849" s="35" t="s">
        <v>691</v>
      </c>
      <c r="H4849" s="35" t="s">
        <v>115</v>
      </c>
    </row>
    <row r="4850" spans="1:8">
      <c r="A4850" s="37">
        <v>45391.15625</v>
      </c>
      <c r="B4850" s="35" t="s">
        <v>686</v>
      </c>
      <c r="C4850" s="35" t="s">
        <v>687</v>
      </c>
      <c r="D4850" s="39">
        <v>1142.3299560546875</v>
      </c>
      <c r="E4850" s="39">
        <v>1113.063720703125</v>
      </c>
      <c r="F4850" s="41">
        <v>1532080</v>
      </c>
      <c r="G4850" s="35" t="s">
        <v>691</v>
      </c>
      <c r="H4850" s="35" t="s">
        <v>115</v>
      </c>
    </row>
    <row r="4851" spans="1:8">
      <c r="A4851" s="37">
        <v>45392.15625</v>
      </c>
      <c r="B4851" s="35" t="s">
        <v>686</v>
      </c>
      <c r="C4851" s="35" t="s">
        <v>687</v>
      </c>
      <c r="D4851" s="39">
        <v>1140.489990234375</v>
      </c>
      <c r="E4851" s="39">
        <v>1111.2711181640625</v>
      </c>
      <c r="F4851" s="41">
        <v>723350</v>
      </c>
      <c r="G4851" s="35" t="s">
        <v>691</v>
      </c>
      <c r="H4851" s="35" t="s">
        <v>115</v>
      </c>
    </row>
    <row r="4852" spans="1:8">
      <c r="A4852" s="37">
        <v>45394.15625</v>
      </c>
      <c r="B4852" s="35" t="s">
        <v>686</v>
      </c>
      <c r="C4852" s="35" t="s">
        <v>687</v>
      </c>
      <c r="D4852" s="39">
        <v>1123.25</v>
      </c>
      <c r="E4852" s="39">
        <v>1094.4725341796875</v>
      </c>
      <c r="F4852" s="41">
        <v>1617440</v>
      </c>
      <c r="G4852" s="35" t="s">
        <v>691</v>
      </c>
      <c r="H4852" s="35" t="s">
        <v>115</v>
      </c>
    </row>
    <row r="4853" spans="1:8">
      <c r="A4853" s="37">
        <v>45397.15625</v>
      </c>
      <c r="B4853" s="35" t="s">
        <v>686</v>
      </c>
      <c r="C4853" s="35" t="s">
        <v>687</v>
      </c>
      <c r="D4853" s="39">
        <v>1079.239990234375</v>
      </c>
      <c r="E4853" s="39">
        <v>1051.590087890625</v>
      </c>
      <c r="F4853" s="41">
        <v>2734590</v>
      </c>
      <c r="G4853" s="35" t="s">
        <v>691</v>
      </c>
      <c r="H4853" s="35" t="s">
        <v>115</v>
      </c>
    </row>
    <row r="4854" spans="1:8">
      <c r="A4854" s="37">
        <v>45398.15625</v>
      </c>
      <c r="B4854" s="35" t="s">
        <v>686</v>
      </c>
      <c r="C4854" s="35" t="s">
        <v>687</v>
      </c>
      <c r="D4854" s="39">
        <v>1041.97998046875</v>
      </c>
      <c r="E4854" s="39">
        <v>1015.28466796875</v>
      </c>
      <c r="F4854" s="41">
        <v>2957755</v>
      </c>
      <c r="G4854" s="35" t="s">
        <v>691</v>
      </c>
      <c r="H4854" s="35" t="s">
        <v>115</v>
      </c>
    </row>
    <row r="4855" spans="1:8">
      <c r="A4855" s="37">
        <v>45400.15625</v>
      </c>
      <c r="B4855" s="35" t="s">
        <v>686</v>
      </c>
      <c r="C4855" s="35" t="s">
        <v>687</v>
      </c>
      <c r="D4855" s="39">
        <v>1041.3800048828125</v>
      </c>
      <c r="E4855" s="39">
        <v>1014.7000732421875</v>
      </c>
      <c r="F4855" s="41">
        <v>2657490</v>
      </c>
      <c r="G4855" s="35" t="s">
        <v>691</v>
      </c>
      <c r="H4855" s="35" t="s">
        <v>115</v>
      </c>
    </row>
    <row r="4856" spans="1:8">
      <c r="A4856" s="37">
        <v>45401.15625</v>
      </c>
      <c r="B4856" s="35" t="s">
        <v>686</v>
      </c>
      <c r="C4856" s="35" t="s">
        <v>687</v>
      </c>
      <c r="D4856" s="39">
        <v>1023.6300048828125</v>
      </c>
      <c r="E4856" s="39">
        <v>997.40478515625</v>
      </c>
      <c r="F4856" s="41">
        <v>1707445</v>
      </c>
      <c r="G4856" s="35" t="s">
        <v>691</v>
      </c>
      <c r="H4856" s="35" t="s">
        <v>115</v>
      </c>
    </row>
    <row r="4857" spans="1:8">
      <c r="A4857" s="37">
        <v>45404.15625</v>
      </c>
      <c r="B4857" s="35" t="s">
        <v>686</v>
      </c>
      <c r="C4857" s="35" t="s">
        <v>687</v>
      </c>
      <c r="D4857" s="39">
        <v>1020.010009765625</v>
      </c>
      <c r="E4857" s="39">
        <v>993.87762451171875</v>
      </c>
      <c r="F4857" s="41">
        <v>1663210</v>
      </c>
      <c r="G4857" s="35" t="s">
        <v>691</v>
      </c>
      <c r="H4857" s="35" t="s">
        <v>115</v>
      </c>
    </row>
    <row r="4858" spans="1:8">
      <c r="A4858" s="37">
        <v>45405.15625</v>
      </c>
      <c r="B4858" s="35" t="s">
        <v>686</v>
      </c>
      <c r="C4858" s="35" t="s">
        <v>687</v>
      </c>
      <c r="D4858" s="39">
        <v>1043.4300537109375</v>
      </c>
      <c r="E4858" s="39">
        <v>1016.6976318359375</v>
      </c>
      <c r="F4858" s="41">
        <v>1311865</v>
      </c>
      <c r="G4858" s="35" t="s">
        <v>691</v>
      </c>
      <c r="H4858" s="35" t="s">
        <v>115</v>
      </c>
    </row>
    <row r="4859" spans="1:8">
      <c r="A4859" s="37">
        <v>45406.15625</v>
      </c>
      <c r="B4859" s="35" t="s">
        <v>686</v>
      </c>
      <c r="C4859" s="35" t="s">
        <v>687</v>
      </c>
      <c r="D4859" s="39">
        <v>1038.530029296875</v>
      </c>
      <c r="E4859" s="39">
        <v>1011.9230346679688</v>
      </c>
      <c r="F4859" s="41">
        <v>1028735</v>
      </c>
      <c r="G4859" s="35" t="s">
        <v>691</v>
      </c>
      <c r="H4859" s="35" t="s">
        <v>115</v>
      </c>
    </row>
    <row r="4860" spans="1:8">
      <c r="A4860" s="37">
        <v>45407.15625</v>
      </c>
      <c r="B4860" s="35" t="s">
        <v>686</v>
      </c>
      <c r="C4860" s="35" t="s">
        <v>687</v>
      </c>
      <c r="D4860" s="39">
        <v>1042.0999755859375</v>
      </c>
      <c r="E4860" s="39">
        <v>1015.4016723632813</v>
      </c>
      <c r="F4860" s="41">
        <v>1384955</v>
      </c>
      <c r="G4860" s="35" t="s">
        <v>691</v>
      </c>
      <c r="H4860" s="35" t="s">
        <v>115</v>
      </c>
    </row>
    <row r="4861" spans="1:8">
      <c r="A4861" s="37">
        <v>45408.15625</v>
      </c>
      <c r="B4861" s="35" t="s">
        <v>686</v>
      </c>
      <c r="C4861" s="35" t="s">
        <v>687</v>
      </c>
      <c r="D4861" s="39">
        <v>1050.199951171875</v>
      </c>
      <c r="E4861" s="39">
        <v>1023.2940673828125</v>
      </c>
      <c r="F4861" s="41">
        <v>2578225</v>
      </c>
      <c r="G4861" s="35" t="s">
        <v>691</v>
      </c>
      <c r="H4861" s="35" t="s">
        <v>115</v>
      </c>
    </row>
    <row r="4862" spans="1:8">
      <c r="A4862" s="37">
        <v>45411.15625</v>
      </c>
      <c r="B4862" s="35" t="s">
        <v>686</v>
      </c>
      <c r="C4862" s="35" t="s">
        <v>687</v>
      </c>
      <c r="D4862" s="39">
        <v>1036.8399658203125</v>
      </c>
      <c r="E4862" s="39">
        <v>1010.2763671875</v>
      </c>
      <c r="F4862" s="41">
        <v>1431600</v>
      </c>
      <c r="G4862" s="35" t="s">
        <v>691</v>
      </c>
      <c r="H4862" s="35" t="s">
        <v>115</v>
      </c>
    </row>
    <row r="4863" spans="1:8">
      <c r="A4863" s="37">
        <v>45412.15625</v>
      </c>
      <c r="B4863" s="35" t="s">
        <v>686</v>
      </c>
      <c r="C4863" s="35" t="s">
        <v>687</v>
      </c>
      <c r="D4863" s="39">
        <v>1020.6500244140625</v>
      </c>
      <c r="E4863" s="39">
        <v>994.50128173828125</v>
      </c>
      <c r="F4863" s="41">
        <v>1152285</v>
      </c>
      <c r="G4863" s="35" t="s">
        <v>691</v>
      </c>
      <c r="H4863" s="35" t="s">
        <v>115</v>
      </c>
    </row>
    <row r="4864" spans="1:8">
      <c r="A4864" s="37">
        <v>45414.15625</v>
      </c>
      <c r="B4864" s="35" t="s">
        <v>686</v>
      </c>
      <c r="C4864" s="35" t="s">
        <v>687</v>
      </c>
      <c r="D4864" s="39">
        <v>997.1400146484375</v>
      </c>
      <c r="E4864" s="39">
        <v>971.59356689453125</v>
      </c>
      <c r="F4864" s="41">
        <v>2245685</v>
      </c>
      <c r="G4864" s="35" t="s">
        <v>691</v>
      </c>
      <c r="H4864" s="35" t="s">
        <v>115</v>
      </c>
    </row>
    <row r="4865" spans="1:8">
      <c r="A4865" s="37">
        <v>45415.15625</v>
      </c>
      <c r="B4865" s="35" t="s">
        <v>686</v>
      </c>
      <c r="C4865" s="35" t="s">
        <v>687</v>
      </c>
      <c r="D4865" s="39">
        <v>896.510009765625</v>
      </c>
      <c r="E4865" s="39">
        <v>873.5416259765625</v>
      </c>
      <c r="F4865" s="41">
        <v>24963640</v>
      </c>
      <c r="G4865" s="35" t="s">
        <v>691</v>
      </c>
      <c r="H4865" s="35" t="s">
        <v>115</v>
      </c>
    </row>
    <row r="4866" spans="1:8">
      <c r="A4866" s="37">
        <v>45418.15625</v>
      </c>
      <c r="B4866" s="35" t="s">
        <v>686</v>
      </c>
      <c r="C4866" s="35" t="s">
        <v>687</v>
      </c>
      <c r="D4866" s="39">
        <v>882.6099853515625</v>
      </c>
      <c r="E4866" s="39">
        <v>859.9976806640625</v>
      </c>
      <c r="F4866" s="41">
        <v>6533635</v>
      </c>
      <c r="G4866" s="35" t="s">
        <v>691</v>
      </c>
      <c r="H4866" s="35" t="s">
        <v>115</v>
      </c>
    </row>
    <row r="4867" spans="1:8">
      <c r="A4867" s="37">
        <v>45419.15625</v>
      </c>
      <c r="B4867" s="35" t="s">
        <v>686</v>
      </c>
      <c r="C4867" s="35" t="s">
        <v>687</v>
      </c>
      <c r="D4867" s="39">
        <v>883.83001708984375</v>
      </c>
      <c r="E4867" s="39">
        <v>861.18646240234375</v>
      </c>
      <c r="F4867" s="41">
        <v>5439190</v>
      </c>
      <c r="G4867" s="35" t="s">
        <v>691</v>
      </c>
      <c r="H4867" s="35" t="s">
        <v>115</v>
      </c>
    </row>
    <row r="4868" spans="1:8">
      <c r="A4868" s="37">
        <v>45420.15625</v>
      </c>
      <c r="B4868" s="35" t="s">
        <v>686</v>
      </c>
      <c r="C4868" s="35" t="s">
        <v>687</v>
      </c>
      <c r="D4868" s="39">
        <v>881.90997314453125</v>
      </c>
      <c r="E4868" s="39">
        <v>859.315673828125</v>
      </c>
      <c r="F4868" s="41">
        <v>4448275</v>
      </c>
      <c r="G4868" s="35" t="s">
        <v>691</v>
      </c>
      <c r="H4868" s="35" t="s">
        <v>115</v>
      </c>
    </row>
    <row r="4869" spans="1:8">
      <c r="A4869" s="37">
        <v>45421.15625</v>
      </c>
      <c r="B4869" s="35" t="s">
        <v>686</v>
      </c>
      <c r="C4869" s="35" t="s">
        <v>687</v>
      </c>
      <c r="D4869" s="39">
        <v>860.3599853515625</v>
      </c>
      <c r="E4869" s="39">
        <v>838.31768798828125</v>
      </c>
      <c r="F4869" s="41">
        <v>4319315</v>
      </c>
      <c r="G4869" s="35" t="s">
        <v>691</v>
      </c>
      <c r="H4869" s="35" t="s">
        <v>115</v>
      </c>
    </row>
    <row r="4870" spans="1:8">
      <c r="A4870" s="37">
        <v>45422.15625</v>
      </c>
      <c r="B4870" s="35" t="s">
        <v>686</v>
      </c>
      <c r="C4870" s="35" t="s">
        <v>687</v>
      </c>
      <c r="D4870" s="39">
        <v>893.05999755859375</v>
      </c>
      <c r="E4870" s="39">
        <v>870.17987060546875</v>
      </c>
      <c r="F4870" s="41">
        <v>5118395</v>
      </c>
      <c r="G4870" s="35" t="s">
        <v>691</v>
      </c>
      <c r="H4870" s="35" t="s">
        <v>115</v>
      </c>
    </row>
    <row r="4871" spans="1:8">
      <c r="A4871" s="37">
        <v>45425.15625</v>
      </c>
      <c r="B4871" s="35" t="s">
        <v>686</v>
      </c>
      <c r="C4871" s="35" t="s">
        <v>687</v>
      </c>
      <c r="D4871" s="39">
        <v>906.969970703125</v>
      </c>
      <c r="E4871" s="39">
        <v>883.73370361328125</v>
      </c>
      <c r="F4871" s="41">
        <v>3735995</v>
      </c>
      <c r="G4871" s="35" t="s">
        <v>691</v>
      </c>
      <c r="H4871" s="35" t="s">
        <v>115</v>
      </c>
    </row>
    <row r="4872" spans="1:8">
      <c r="A4872" s="37">
        <v>45426.15625</v>
      </c>
      <c r="B4872" s="35" t="s">
        <v>686</v>
      </c>
      <c r="C4872" s="35" t="s">
        <v>687</v>
      </c>
      <c r="D4872" s="39">
        <v>911.8699951171875</v>
      </c>
      <c r="E4872" s="39">
        <v>888.50811767578125</v>
      </c>
      <c r="F4872" s="41">
        <v>2368155</v>
      </c>
      <c r="G4872" s="35" t="s">
        <v>691</v>
      </c>
      <c r="H4872" s="35" t="s">
        <v>115</v>
      </c>
    </row>
    <row r="4873" spans="1:8">
      <c r="A4873" s="37">
        <v>45427.15625</v>
      </c>
      <c r="B4873" s="35" t="s">
        <v>686</v>
      </c>
      <c r="C4873" s="35" t="s">
        <v>687</v>
      </c>
      <c r="D4873" s="39">
        <v>922.989990234375</v>
      </c>
      <c r="E4873" s="39">
        <v>903.10662841796875</v>
      </c>
      <c r="F4873" s="41">
        <v>2467700</v>
      </c>
      <c r="G4873" s="35" t="s">
        <v>691</v>
      </c>
      <c r="H4873" s="35" t="s">
        <v>115</v>
      </c>
    </row>
    <row r="4874" spans="1:8">
      <c r="A4874" s="37">
        <v>45428.15625</v>
      </c>
      <c r="B4874" s="35" t="s">
        <v>686</v>
      </c>
      <c r="C4874" s="35" t="s">
        <v>687</v>
      </c>
      <c r="D4874" s="39">
        <v>936.19000244140625</v>
      </c>
      <c r="E4874" s="39">
        <v>916.02227783203125</v>
      </c>
      <c r="F4874" s="41">
        <v>5213650</v>
      </c>
      <c r="G4874" s="35" t="s">
        <v>691</v>
      </c>
      <c r="H4874" s="35" t="s">
        <v>115</v>
      </c>
    </row>
    <row r="4875" spans="1:8">
      <c r="A4875" s="37">
        <v>45429.15625</v>
      </c>
      <c r="B4875" s="35" t="s">
        <v>686</v>
      </c>
      <c r="C4875" s="35" t="s">
        <v>687</v>
      </c>
      <c r="D4875" s="39">
        <v>942.52001953125</v>
      </c>
      <c r="E4875" s="39">
        <v>922.21600341796875</v>
      </c>
      <c r="F4875" s="41">
        <v>3448525</v>
      </c>
      <c r="G4875" s="35" t="s">
        <v>691</v>
      </c>
      <c r="H4875" s="35" t="s">
        <v>115</v>
      </c>
    </row>
    <row r="4876" spans="1:8">
      <c r="A4876" s="37">
        <v>45433.15625</v>
      </c>
      <c r="B4876" s="35" t="s">
        <v>686</v>
      </c>
      <c r="C4876" s="35" t="s">
        <v>687</v>
      </c>
      <c r="D4876" s="39">
        <v>958.030029296875</v>
      </c>
      <c r="E4876" s="39">
        <v>937.39178466796875</v>
      </c>
      <c r="F4876" s="41">
        <v>2280030</v>
      </c>
      <c r="G4876" s="35" t="s">
        <v>691</v>
      </c>
      <c r="H4876" s="35" t="s">
        <v>115</v>
      </c>
    </row>
    <row r="4877" spans="1:8">
      <c r="A4877" s="37">
        <v>45434.15625</v>
      </c>
      <c r="B4877" s="35" t="s">
        <v>686</v>
      </c>
      <c r="C4877" s="35" t="s">
        <v>687</v>
      </c>
      <c r="D4877" s="39">
        <v>982.07000732421875</v>
      </c>
      <c r="E4877" s="39">
        <v>960.9140625</v>
      </c>
      <c r="F4877" s="41">
        <v>5513400</v>
      </c>
      <c r="G4877" s="35" t="s">
        <v>691</v>
      </c>
      <c r="H4877" s="35" t="s">
        <v>115</v>
      </c>
    </row>
    <row r="4878" spans="1:8">
      <c r="A4878" s="37">
        <v>45435.15625</v>
      </c>
      <c r="B4878" s="35" t="s">
        <v>686</v>
      </c>
      <c r="C4878" s="35" t="s">
        <v>687</v>
      </c>
      <c r="D4878" s="39">
        <v>1013.4099731445313</v>
      </c>
      <c r="E4878" s="39">
        <v>991.57879638671875</v>
      </c>
      <c r="F4878" s="41">
        <v>10093475</v>
      </c>
      <c r="G4878" s="35" t="s">
        <v>691</v>
      </c>
      <c r="H4878" s="35" t="s">
        <v>115</v>
      </c>
    </row>
    <row r="4879" spans="1:8">
      <c r="A4879" s="37">
        <v>45436.15625</v>
      </c>
      <c r="B4879" s="35" t="s">
        <v>686</v>
      </c>
      <c r="C4879" s="35" t="s">
        <v>687</v>
      </c>
      <c r="D4879" s="39">
        <v>1021.0900268554688</v>
      </c>
      <c r="E4879" s="39">
        <v>999.0933837890625</v>
      </c>
      <c r="F4879" s="41">
        <v>4285250</v>
      </c>
      <c r="G4879" s="35" t="s">
        <v>691</v>
      </c>
      <c r="H4879" s="35" t="s">
        <v>115</v>
      </c>
    </row>
    <row r="4880" spans="1:8">
      <c r="A4880" s="37">
        <v>45439.15625</v>
      </c>
      <c r="B4880" s="35" t="s">
        <v>686</v>
      </c>
      <c r="C4880" s="35" t="s">
        <v>687</v>
      </c>
      <c r="D4880" s="39">
        <v>1052.719970703125</v>
      </c>
      <c r="E4880" s="39">
        <v>1030.0419921875</v>
      </c>
      <c r="F4880" s="41">
        <v>7908550</v>
      </c>
      <c r="G4880" s="35" t="s">
        <v>691</v>
      </c>
      <c r="H4880" s="35" t="s">
        <v>115</v>
      </c>
    </row>
    <row r="4881" spans="1:8">
      <c r="A4881" s="37">
        <v>45440.15625</v>
      </c>
      <c r="B4881" s="35" t="s">
        <v>686</v>
      </c>
      <c r="C4881" s="35" t="s">
        <v>687</v>
      </c>
      <c r="D4881" s="39">
        <v>1029.25</v>
      </c>
      <c r="E4881" s="39">
        <v>1007.0775756835938</v>
      </c>
      <c r="F4881" s="41">
        <v>4198605</v>
      </c>
      <c r="G4881" s="35" t="s">
        <v>691</v>
      </c>
      <c r="H4881" s="35" t="s">
        <v>115</v>
      </c>
    </row>
    <row r="4882" spans="1:8">
      <c r="A4882" s="37">
        <v>45441.15625</v>
      </c>
      <c r="B4882" s="35" t="s">
        <v>686</v>
      </c>
      <c r="C4882" s="35" t="s">
        <v>687</v>
      </c>
      <c r="D4882" s="39">
        <v>1028.31005859375</v>
      </c>
      <c r="E4882" s="39">
        <v>1006.1578979492188</v>
      </c>
      <c r="F4882" s="41">
        <v>3405655</v>
      </c>
      <c r="G4882" s="35" t="s">
        <v>691</v>
      </c>
      <c r="H4882" s="35" t="s">
        <v>115</v>
      </c>
    </row>
    <row r="4883" spans="1:8">
      <c r="A4883" s="37">
        <v>45442.15625</v>
      </c>
      <c r="B4883" s="35" t="s">
        <v>686</v>
      </c>
      <c r="C4883" s="35" t="s">
        <v>687</v>
      </c>
      <c r="D4883" s="39">
        <v>999.40997314453125</v>
      </c>
      <c r="E4883" s="39">
        <v>977.88037109375</v>
      </c>
      <c r="F4883" s="41">
        <v>2353690</v>
      </c>
      <c r="G4883" s="35" t="s">
        <v>691</v>
      </c>
      <c r="H4883" s="35" t="s">
        <v>115</v>
      </c>
    </row>
    <row r="4884" spans="1:8">
      <c r="A4884" s="37">
        <v>45443.15625</v>
      </c>
      <c r="B4884" s="35" t="s">
        <v>686</v>
      </c>
      <c r="C4884" s="35" t="s">
        <v>687</v>
      </c>
      <c r="D4884" s="39">
        <v>994.20001220703125</v>
      </c>
      <c r="E4884" s="39">
        <v>972.78265380859375</v>
      </c>
      <c r="F4884" s="41">
        <v>1746525</v>
      </c>
      <c r="G4884" s="35" t="s">
        <v>691</v>
      </c>
      <c r="H4884" s="35" t="s">
        <v>115</v>
      </c>
    </row>
    <row r="4885" spans="1:8">
      <c r="A4885" s="37">
        <v>45446.15625</v>
      </c>
      <c r="B4885" s="35" t="s">
        <v>686</v>
      </c>
      <c r="C4885" s="35" t="s">
        <v>687</v>
      </c>
      <c r="D4885" s="39">
        <v>1003.3200073242188</v>
      </c>
      <c r="E4885" s="39">
        <v>981.7061767578125</v>
      </c>
      <c r="F4885" s="41">
        <v>4274130</v>
      </c>
      <c r="G4885" s="35" t="s">
        <v>691</v>
      </c>
      <c r="H4885" s="35" t="s">
        <v>115</v>
      </c>
    </row>
    <row r="4886" spans="1:8">
      <c r="A4886" s="37">
        <v>45447.15625</v>
      </c>
      <c r="B4886" s="35" t="s">
        <v>686</v>
      </c>
      <c r="C4886" s="35" t="s">
        <v>687</v>
      </c>
      <c r="D4886" s="39">
        <v>993.3900146484375</v>
      </c>
      <c r="E4886" s="39">
        <v>971.9901123046875</v>
      </c>
      <c r="F4886" s="41">
        <v>3130210</v>
      </c>
      <c r="G4886" s="35" t="s">
        <v>691</v>
      </c>
      <c r="H4886" s="35" t="s">
        <v>115</v>
      </c>
    </row>
    <row r="4887" spans="1:8">
      <c r="A4887" s="37">
        <v>45448.15625</v>
      </c>
      <c r="B4887" s="35" t="s">
        <v>686</v>
      </c>
      <c r="C4887" s="35" t="s">
        <v>687</v>
      </c>
      <c r="D4887" s="39">
        <v>1025.8199462890625</v>
      </c>
      <c r="E4887" s="39">
        <v>1003.7214965820313</v>
      </c>
      <c r="F4887" s="41">
        <v>2013675</v>
      </c>
      <c r="G4887" s="35" t="s">
        <v>691</v>
      </c>
      <c r="H4887" s="35" t="s">
        <v>115</v>
      </c>
    </row>
    <row r="4888" spans="1:8">
      <c r="A4888" s="37">
        <v>45449.15625</v>
      </c>
      <c r="B4888" s="35" t="s">
        <v>686</v>
      </c>
      <c r="C4888" s="35" t="s">
        <v>687</v>
      </c>
      <c r="D4888" s="39">
        <v>1042.530029296875</v>
      </c>
      <c r="E4888" s="39">
        <v>1020.0714721679688</v>
      </c>
      <c r="F4888" s="41">
        <v>1604930</v>
      </c>
      <c r="G4888" s="35" t="s">
        <v>691</v>
      </c>
      <c r="H4888" s="35" t="s">
        <v>115</v>
      </c>
    </row>
    <row r="4889" spans="1:8">
      <c r="A4889" s="37">
        <v>45450.15625</v>
      </c>
      <c r="B4889" s="35" t="s">
        <v>686</v>
      </c>
      <c r="C4889" s="35" t="s">
        <v>687</v>
      </c>
      <c r="D4889" s="39">
        <v>1086.219970703125</v>
      </c>
      <c r="E4889" s="39">
        <v>1062.8203125</v>
      </c>
      <c r="F4889" s="41">
        <v>6181555</v>
      </c>
      <c r="G4889" s="35" t="s">
        <v>691</v>
      </c>
      <c r="H4889" s="35" t="s">
        <v>115</v>
      </c>
    </row>
    <row r="4890" spans="1:8">
      <c r="A4890" s="37">
        <v>45453.15625</v>
      </c>
      <c r="B4890" s="35" t="s">
        <v>686</v>
      </c>
      <c r="C4890" s="35" t="s">
        <v>687</v>
      </c>
      <c r="D4890" s="39">
        <v>1044.030029296875</v>
      </c>
      <c r="E4890" s="39">
        <v>1021.5393676757813</v>
      </c>
      <c r="F4890" s="41">
        <v>5088070</v>
      </c>
      <c r="G4890" s="35" t="s">
        <v>691</v>
      </c>
      <c r="H4890" s="35" t="s">
        <v>115</v>
      </c>
    </row>
    <row r="4891" spans="1:8">
      <c r="A4891" s="37">
        <v>45454.15625</v>
      </c>
      <c r="B4891" s="35" t="s">
        <v>686</v>
      </c>
      <c r="C4891" s="35" t="s">
        <v>687</v>
      </c>
      <c r="D4891" s="39">
        <v>1035.1700439453125</v>
      </c>
      <c r="E4891" s="39">
        <v>1012.8701782226563</v>
      </c>
      <c r="F4891" s="41">
        <v>1870075</v>
      </c>
      <c r="G4891" s="35" t="s">
        <v>691</v>
      </c>
      <c r="H4891" s="35" t="s">
        <v>115</v>
      </c>
    </row>
    <row r="4892" spans="1:8">
      <c r="A4892" s="37">
        <v>45455.15625</v>
      </c>
      <c r="B4892" s="35" t="s">
        <v>686</v>
      </c>
      <c r="C4892" s="35" t="s">
        <v>687</v>
      </c>
      <c r="D4892" s="39">
        <v>1035.8399658203125</v>
      </c>
      <c r="E4892" s="39">
        <v>1013.525634765625</v>
      </c>
      <c r="F4892" s="41">
        <v>1591970</v>
      </c>
      <c r="G4892" s="35" t="s">
        <v>691</v>
      </c>
      <c r="H4892" s="35" t="s">
        <v>115</v>
      </c>
    </row>
    <row r="4893" spans="1:8">
      <c r="A4893" s="37">
        <v>45456.15625</v>
      </c>
      <c r="B4893" s="35" t="s">
        <v>686</v>
      </c>
      <c r="C4893" s="35" t="s">
        <v>687</v>
      </c>
      <c r="D4893" s="39">
        <v>1054.6500244140625</v>
      </c>
      <c r="E4893" s="39">
        <v>1031.930419921875</v>
      </c>
      <c r="F4893" s="41">
        <v>2647075</v>
      </c>
      <c r="G4893" s="35" t="s">
        <v>691</v>
      </c>
      <c r="H4893" s="35" t="s">
        <v>115</v>
      </c>
    </row>
    <row r="4894" spans="1:8">
      <c r="A4894" s="37">
        <v>45457.15625</v>
      </c>
      <c r="B4894" s="35" t="s">
        <v>686</v>
      </c>
      <c r="C4894" s="35" t="s">
        <v>687</v>
      </c>
      <c r="D4894" s="39">
        <v>1040.3499755859375</v>
      </c>
      <c r="E4894" s="39">
        <v>1017.9386596679688</v>
      </c>
      <c r="F4894" s="41">
        <v>1772345</v>
      </c>
      <c r="G4894" s="35" t="s">
        <v>691</v>
      </c>
      <c r="H4894" s="35" t="s">
        <v>115</v>
      </c>
    </row>
    <row r="4895" spans="1:8">
      <c r="A4895" s="37">
        <v>45461.15625</v>
      </c>
      <c r="B4895" s="35" t="s">
        <v>686</v>
      </c>
      <c r="C4895" s="35" t="s">
        <v>687</v>
      </c>
      <c r="D4895" s="39">
        <v>1054.6199951171875</v>
      </c>
      <c r="E4895" s="39">
        <v>1031.901123046875</v>
      </c>
      <c r="F4895" s="41">
        <v>1999835</v>
      </c>
      <c r="G4895" s="35" t="s">
        <v>691</v>
      </c>
      <c r="H4895" s="35" t="s">
        <v>115</v>
      </c>
    </row>
    <row r="4896" spans="1:8">
      <c r="A4896" s="37">
        <v>45462.15625</v>
      </c>
      <c r="B4896" s="35" t="s">
        <v>686</v>
      </c>
      <c r="C4896" s="35" t="s">
        <v>687</v>
      </c>
      <c r="D4896" s="39">
        <v>1079.030029296875</v>
      </c>
      <c r="E4896" s="39">
        <v>1055.78515625</v>
      </c>
      <c r="F4896" s="41">
        <v>4288780</v>
      </c>
      <c r="G4896" s="35" t="s">
        <v>691</v>
      </c>
      <c r="H4896" s="35" t="s">
        <v>115</v>
      </c>
    </row>
    <row r="4897" spans="1:8">
      <c r="A4897" s="37">
        <v>45463.15625</v>
      </c>
      <c r="B4897" s="35" t="s">
        <v>686</v>
      </c>
      <c r="C4897" s="35" t="s">
        <v>687</v>
      </c>
      <c r="D4897" s="39">
        <v>1063.18994140625</v>
      </c>
      <c r="E4897" s="39">
        <v>1040.286376953125</v>
      </c>
      <c r="F4897" s="41">
        <v>1346075</v>
      </c>
      <c r="G4897" s="35" t="s">
        <v>691</v>
      </c>
      <c r="H4897" s="35" t="s">
        <v>115</v>
      </c>
    </row>
    <row r="4898" spans="1:8">
      <c r="A4898" s="37">
        <v>45464.15625</v>
      </c>
      <c r="B4898" s="35" t="s">
        <v>686</v>
      </c>
      <c r="C4898" s="35" t="s">
        <v>687</v>
      </c>
      <c r="D4898" s="39">
        <v>1076.6800537109375</v>
      </c>
      <c r="E4898" s="39">
        <v>1053.48583984375</v>
      </c>
      <c r="F4898" s="41">
        <v>5443680</v>
      </c>
      <c r="G4898" s="35" t="s">
        <v>691</v>
      </c>
      <c r="H4898" s="35" t="s">
        <v>115</v>
      </c>
    </row>
    <row r="4899" spans="1:8">
      <c r="A4899" s="37">
        <v>45467.15625</v>
      </c>
      <c r="B4899" s="35" t="s">
        <v>686</v>
      </c>
      <c r="C4899" s="35" t="s">
        <v>687</v>
      </c>
      <c r="D4899" s="39">
        <v>1070.3299560546875</v>
      </c>
      <c r="E4899" s="39">
        <v>1047.272705078125</v>
      </c>
      <c r="F4899" s="41">
        <v>1803715</v>
      </c>
      <c r="G4899" s="35" t="s">
        <v>691</v>
      </c>
      <c r="H4899" s="35" t="s">
        <v>115</v>
      </c>
    </row>
    <row r="4900" spans="1:8">
      <c r="A4900" s="37">
        <v>45468.15625</v>
      </c>
      <c r="B4900" s="35" t="s">
        <v>686</v>
      </c>
      <c r="C4900" s="35" t="s">
        <v>687</v>
      </c>
      <c r="D4900" s="39">
        <v>1070.1300048828125</v>
      </c>
      <c r="E4900" s="39">
        <v>1047.0770263671875</v>
      </c>
      <c r="F4900" s="41">
        <v>754355</v>
      </c>
      <c r="G4900" s="35" t="s">
        <v>691</v>
      </c>
      <c r="H4900" s="35" t="s">
        <v>115</v>
      </c>
    </row>
    <row r="4901" spans="1:8">
      <c r="A4901" s="37">
        <v>45469.15625</v>
      </c>
      <c r="B4901" s="35" t="s">
        <v>686</v>
      </c>
      <c r="C4901" s="35" t="s">
        <v>687</v>
      </c>
      <c r="D4901" s="39">
        <v>1065.0699462890625</v>
      </c>
      <c r="E4901" s="39">
        <v>1042.1258544921875</v>
      </c>
      <c r="F4901" s="41">
        <v>2002155</v>
      </c>
      <c r="G4901" s="35" t="s">
        <v>691</v>
      </c>
      <c r="H4901" s="35" t="s">
        <v>115</v>
      </c>
    </row>
    <row r="4902" spans="1:8">
      <c r="A4902" s="37">
        <v>45470.15625</v>
      </c>
      <c r="B4902" s="35" t="s">
        <v>686</v>
      </c>
      <c r="C4902" s="35" t="s">
        <v>687</v>
      </c>
      <c r="D4902" s="39">
        <v>1087.800048828125</v>
      </c>
      <c r="E4902" s="39">
        <v>1064.3663330078125</v>
      </c>
      <c r="F4902" s="41">
        <v>2588010</v>
      </c>
      <c r="G4902" s="35" t="s">
        <v>691</v>
      </c>
      <c r="H4902" s="35" t="s">
        <v>115</v>
      </c>
    </row>
    <row r="4903" spans="1:8">
      <c r="A4903" s="37">
        <v>45471.15625</v>
      </c>
      <c r="B4903" s="35" t="s">
        <v>686</v>
      </c>
      <c r="C4903" s="35" t="s">
        <v>687</v>
      </c>
      <c r="D4903" s="39">
        <v>1091.760009765625</v>
      </c>
      <c r="E4903" s="39">
        <v>1068.2412109375</v>
      </c>
      <c r="F4903" s="41">
        <v>3371570</v>
      </c>
      <c r="G4903" s="35" t="s">
        <v>691</v>
      </c>
      <c r="H4903" s="35" t="s">
        <v>115</v>
      </c>
    </row>
    <row r="4904" spans="1:8">
      <c r="A4904" s="37">
        <v>45474.15625</v>
      </c>
      <c r="B4904" s="35" t="s">
        <v>686</v>
      </c>
      <c r="C4904" s="35" t="s">
        <v>687</v>
      </c>
      <c r="D4904" s="39">
        <v>1103.6800537109375</v>
      </c>
      <c r="E4904" s="39">
        <v>1079.9041748046875</v>
      </c>
      <c r="F4904" s="41">
        <v>2398040</v>
      </c>
      <c r="G4904" s="35" t="s">
        <v>691</v>
      </c>
      <c r="H4904" s="35" t="s">
        <v>115</v>
      </c>
    </row>
    <row r="4905" spans="1:8">
      <c r="A4905" s="37">
        <v>45475.15625</v>
      </c>
      <c r="B4905" s="35" t="s">
        <v>686</v>
      </c>
      <c r="C4905" s="35" t="s">
        <v>687</v>
      </c>
      <c r="D4905" s="39">
        <v>1130.75</v>
      </c>
      <c r="E4905" s="39">
        <v>1106.3909912109375</v>
      </c>
      <c r="F4905" s="41">
        <v>5516645</v>
      </c>
      <c r="G4905" s="35" t="s">
        <v>691</v>
      </c>
      <c r="H4905" s="35" t="s">
        <v>115</v>
      </c>
    </row>
    <row r="4906" spans="1:8">
      <c r="A4906" s="37">
        <v>45476.15625</v>
      </c>
      <c r="B4906" s="35" t="s">
        <v>686</v>
      </c>
      <c r="C4906" s="35" t="s">
        <v>687</v>
      </c>
      <c r="D4906" s="39">
        <v>1136.1800537109375</v>
      </c>
      <c r="E4906" s="39">
        <v>1111.7039794921875</v>
      </c>
      <c r="F4906" s="41">
        <v>1857385</v>
      </c>
      <c r="G4906" s="35" t="s">
        <v>691</v>
      </c>
      <c r="H4906" s="35" t="s">
        <v>115</v>
      </c>
    </row>
    <row r="4907" spans="1:8">
      <c r="A4907" s="37">
        <v>45477.15625</v>
      </c>
      <c r="B4907" s="35" t="s">
        <v>686</v>
      </c>
      <c r="C4907" s="35" t="s">
        <v>687</v>
      </c>
      <c r="D4907" s="39">
        <v>1179.739990234375</v>
      </c>
      <c r="E4907" s="39">
        <v>1154.32568359375</v>
      </c>
      <c r="F4907" s="41">
        <v>5586295</v>
      </c>
      <c r="G4907" s="35" t="s">
        <v>691</v>
      </c>
      <c r="H4907" s="35" t="s">
        <v>115</v>
      </c>
    </row>
    <row r="4908" spans="1:8">
      <c r="A4908" s="37">
        <v>45478.15625</v>
      </c>
      <c r="B4908" s="35" t="s">
        <v>686</v>
      </c>
      <c r="C4908" s="35" t="s">
        <v>687</v>
      </c>
      <c r="D4908" s="39">
        <v>1174.030029296875</v>
      </c>
      <c r="E4908" s="39">
        <v>1148.738525390625</v>
      </c>
      <c r="F4908" s="41">
        <v>1601880</v>
      </c>
      <c r="G4908" s="35" t="s">
        <v>691</v>
      </c>
      <c r="H4908" s="35" t="s">
        <v>115</v>
      </c>
    </row>
    <row r="4909" spans="1:8">
      <c r="A4909" s="37">
        <v>45481.15625</v>
      </c>
      <c r="B4909" s="35" t="s">
        <v>686</v>
      </c>
      <c r="C4909" s="35" t="s">
        <v>687</v>
      </c>
      <c r="D4909" s="39">
        <v>1171.0899658203125</v>
      </c>
      <c r="E4909" s="39">
        <v>1145.862060546875</v>
      </c>
      <c r="F4909" s="41">
        <v>3750055</v>
      </c>
      <c r="G4909" s="35" t="s">
        <v>691</v>
      </c>
      <c r="H4909" s="35" t="s">
        <v>115</v>
      </c>
    </row>
    <row r="4910" spans="1:8">
      <c r="A4910" s="37">
        <v>45482.15625</v>
      </c>
      <c r="B4910" s="35" t="s">
        <v>686</v>
      </c>
      <c r="C4910" s="35" t="s">
        <v>687</v>
      </c>
      <c r="D4910" s="39">
        <v>1152.1300048828125</v>
      </c>
      <c r="E4910" s="39">
        <v>1127.310546875</v>
      </c>
      <c r="F4910" s="41">
        <v>1506105</v>
      </c>
      <c r="G4910" s="35" t="s">
        <v>691</v>
      </c>
      <c r="H4910" s="35" t="s">
        <v>115</v>
      </c>
    </row>
    <row r="4911" spans="1:8">
      <c r="A4911" s="37">
        <v>45483.15625</v>
      </c>
      <c r="B4911" s="35" t="s">
        <v>686</v>
      </c>
      <c r="C4911" s="35" t="s">
        <v>687</v>
      </c>
      <c r="D4911" s="39">
        <v>1133.8199462890625</v>
      </c>
      <c r="E4911" s="39">
        <v>1109.3948974609375</v>
      </c>
      <c r="F4911" s="41">
        <v>1015255</v>
      </c>
      <c r="G4911" s="35" t="s">
        <v>691</v>
      </c>
      <c r="H4911" s="35" t="s">
        <v>115</v>
      </c>
    </row>
    <row r="4912" spans="1:8">
      <c r="A4912" s="37">
        <v>45484.15625</v>
      </c>
      <c r="B4912" s="35" t="s">
        <v>686</v>
      </c>
      <c r="C4912" s="35" t="s">
        <v>687</v>
      </c>
      <c r="D4912" s="39">
        <v>1112.699951171875</v>
      </c>
      <c r="E4912" s="39">
        <v>1088.7298583984375</v>
      </c>
      <c r="F4912" s="41">
        <v>2507525</v>
      </c>
      <c r="G4912" s="35" t="s">
        <v>691</v>
      </c>
      <c r="H4912" s="35" t="s">
        <v>115</v>
      </c>
    </row>
    <row r="4913" spans="1:8">
      <c r="A4913" s="37">
        <v>45485.15625</v>
      </c>
      <c r="B4913" s="35" t="s">
        <v>686</v>
      </c>
      <c r="C4913" s="35" t="s">
        <v>687</v>
      </c>
      <c r="D4913" s="39">
        <v>1195.530029296875</v>
      </c>
      <c r="E4913" s="39">
        <v>1169.775634765625</v>
      </c>
      <c r="F4913" s="41">
        <v>10862510</v>
      </c>
      <c r="G4913" s="35" t="s">
        <v>691</v>
      </c>
      <c r="H4913" s="35" t="s">
        <v>115</v>
      </c>
    </row>
    <row r="4914" spans="1:8">
      <c r="A4914" s="37">
        <v>45488.15625</v>
      </c>
      <c r="B4914" s="35" t="s">
        <v>686</v>
      </c>
      <c r="C4914" s="35" t="s">
        <v>687</v>
      </c>
      <c r="D4914" s="39">
        <v>1183.199951171875</v>
      </c>
      <c r="E4914" s="39">
        <v>1157.7110595703125</v>
      </c>
      <c r="F4914" s="41">
        <v>2374055</v>
      </c>
      <c r="G4914" s="35" t="s">
        <v>691</v>
      </c>
      <c r="H4914" s="35" t="s">
        <v>115</v>
      </c>
    </row>
    <row r="4915" spans="1:8">
      <c r="A4915" s="37">
        <v>45489.15625</v>
      </c>
      <c r="B4915" s="35" t="s">
        <v>686</v>
      </c>
      <c r="C4915" s="35" t="s">
        <v>687</v>
      </c>
      <c r="D4915" s="39">
        <v>1179.3800048828125</v>
      </c>
      <c r="E4915" s="39">
        <v>1153.973388671875</v>
      </c>
      <c r="F4915" s="41">
        <v>2447050</v>
      </c>
      <c r="G4915" s="35" t="s">
        <v>691</v>
      </c>
      <c r="H4915" s="35" t="s">
        <v>115</v>
      </c>
    </row>
    <row r="4916" spans="1:8">
      <c r="A4916" s="37">
        <v>45491.15625</v>
      </c>
      <c r="B4916" s="35" t="s">
        <v>686</v>
      </c>
      <c r="C4916" s="35" t="s">
        <v>687</v>
      </c>
      <c r="D4916" s="39">
        <v>1199.52001953125</v>
      </c>
      <c r="E4916" s="39">
        <v>1173.6796875</v>
      </c>
      <c r="F4916" s="41">
        <v>3378415</v>
      </c>
      <c r="G4916" s="35" t="s">
        <v>691</v>
      </c>
      <c r="H4916" s="35" t="s">
        <v>115</v>
      </c>
    </row>
    <row r="4917" spans="1:8">
      <c r="A4917" s="37">
        <v>45492.15625</v>
      </c>
      <c r="B4917" s="35" t="s">
        <v>686</v>
      </c>
      <c r="C4917" s="35" t="s">
        <v>687</v>
      </c>
      <c r="D4917" s="39">
        <v>1196.75</v>
      </c>
      <c r="E4917" s="39">
        <v>1170.9693603515625</v>
      </c>
      <c r="F4917" s="41">
        <v>3864545</v>
      </c>
      <c r="G4917" s="35" t="s">
        <v>691</v>
      </c>
      <c r="H4917" s="35" t="s">
        <v>115</v>
      </c>
    </row>
    <row r="4918" spans="1:8">
      <c r="A4918" s="37">
        <v>45495.15625</v>
      </c>
      <c r="B4918" s="35" t="s">
        <v>686</v>
      </c>
      <c r="C4918" s="35" t="s">
        <v>687</v>
      </c>
      <c r="D4918" s="39">
        <v>1215.239990234375</v>
      </c>
      <c r="E4918" s="39">
        <v>1189.06103515625</v>
      </c>
      <c r="F4918" s="41">
        <v>5000235</v>
      </c>
      <c r="G4918" s="35" t="s">
        <v>691</v>
      </c>
      <c r="H4918" s="35" t="s">
        <v>115</v>
      </c>
    </row>
    <row r="4919" spans="1:8">
      <c r="A4919" s="37">
        <v>45496.15625</v>
      </c>
      <c r="B4919" s="35" t="s">
        <v>686</v>
      </c>
      <c r="C4919" s="35" t="s">
        <v>687</v>
      </c>
      <c r="D4919" s="39">
        <v>1235.8699951171875</v>
      </c>
      <c r="E4919" s="39">
        <v>1209.2467041015625</v>
      </c>
      <c r="F4919" s="41">
        <v>8592440</v>
      </c>
      <c r="G4919" s="35" t="s">
        <v>691</v>
      </c>
      <c r="H4919" s="35" t="s">
        <v>115</v>
      </c>
    </row>
    <row r="4920" spans="1:8">
      <c r="A4920" s="37">
        <v>45497.15625</v>
      </c>
      <c r="B4920" s="35" t="s">
        <v>686</v>
      </c>
      <c r="C4920" s="35" t="s">
        <v>687</v>
      </c>
      <c r="D4920" s="39">
        <v>1266.8199462890625</v>
      </c>
      <c r="E4920" s="39">
        <v>1239.5296630859375</v>
      </c>
      <c r="F4920" s="41">
        <v>3754390</v>
      </c>
      <c r="G4920" s="35" t="s">
        <v>691</v>
      </c>
      <c r="H4920" s="35" t="s">
        <v>115</v>
      </c>
    </row>
    <row r="4921" spans="1:8">
      <c r="A4921" s="37">
        <v>45498.15625</v>
      </c>
      <c r="B4921" s="35" t="s">
        <v>686</v>
      </c>
      <c r="C4921" s="35" t="s">
        <v>687</v>
      </c>
      <c r="D4921" s="39">
        <v>1264.3399658203125</v>
      </c>
      <c r="E4921" s="39">
        <v>1237.103271484375</v>
      </c>
      <c r="F4921" s="41">
        <v>2186170</v>
      </c>
      <c r="G4921" s="35" t="s">
        <v>691</v>
      </c>
      <c r="H4921" s="35" t="s">
        <v>115</v>
      </c>
    </row>
    <row r="4922" spans="1:8">
      <c r="A4922" s="37">
        <v>45499.15625</v>
      </c>
      <c r="B4922" s="35" t="s">
        <v>686</v>
      </c>
      <c r="C4922" s="35" t="s">
        <v>687</v>
      </c>
      <c r="D4922" s="39">
        <v>1268.739990234375</v>
      </c>
      <c r="E4922" s="39">
        <v>1241.4085693359375</v>
      </c>
      <c r="F4922" s="41">
        <v>1089620</v>
      </c>
      <c r="G4922" s="35" t="s">
        <v>691</v>
      </c>
      <c r="H4922" s="35" t="s">
        <v>115</v>
      </c>
    </row>
    <row r="4923" spans="1:8">
      <c r="A4923" s="37">
        <v>45502.15625</v>
      </c>
      <c r="B4923" s="35" t="s">
        <v>686</v>
      </c>
      <c r="C4923" s="35" t="s">
        <v>687</v>
      </c>
      <c r="D4923" s="39">
        <v>1262.68994140625</v>
      </c>
      <c r="E4923" s="39">
        <v>1235.48876953125</v>
      </c>
      <c r="F4923" s="41">
        <v>1965655</v>
      </c>
      <c r="G4923" s="35" t="s">
        <v>691</v>
      </c>
      <c r="H4923" s="35" t="s">
        <v>115</v>
      </c>
    </row>
    <row r="4924" spans="1:8">
      <c r="A4924" s="37">
        <v>45503.15625</v>
      </c>
      <c r="B4924" s="35" t="s">
        <v>686</v>
      </c>
      <c r="C4924" s="35" t="s">
        <v>687</v>
      </c>
      <c r="D4924" s="39">
        <v>1262.5999755859375</v>
      </c>
      <c r="E4924" s="39">
        <v>1235.4005126953125</v>
      </c>
      <c r="F4924" s="41">
        <v>745135</v>
      </c>
      <c r="G4924" s="35" t="s">
        <v>691</v>
      </c>
      <c r="H4924" s="35" t="s">
        <v>115</v>
      </c>
    </row>
    <row r="4925" spans="1:8">
      <c r="A4925" s="37">
        <v>45504.15625</v>
      </c>
      <c r="B4925" s="35" t="s">
        <v>686</v>
      </c>
      <c r="C4925" s="35" t="s">
        <v>687</v>
      </c>
      <c r="D4925" s="39">
        <v>1261.0999755859375</v>
      </c>
      <c r="E4925" s="39">
        <v>1233.9329833984375</v>
      </c>
      <c r="F4925" s="41">
        <v>1029050</v>
      </c>
      <c r="G4925" s="35" t="s">
        <v>691</v>
      </c>
      <c r="H4925" s="35" t="s">
        <v>115</v>
      </c>
    </row>
    <row r="4926" spans="1:8">
      <c r="A4926" s="37">
        <v>45505.15625</v>
      </c>
      <c r="B4926" s="35" t="s">
        <v>686</v>
      </c>
      <c r="C4926" s="35" t="s">
        <v>687</v>
      </c>
      <c r="D4926" s="39">
        <v>1257.22998046875</v>
      </c>
      <c r="E4926" s="39">
        <v>1230.146240234375</v>
      </c>
      <c r="F4926" s="41">
        <v>1064450</v>
      </c>
      <c r="G4926" s="35" t="s">
        <v>691</v>
      </c>
      <c r="H4926" s="35" t="s">
        <v>115</v>
      </c>
    </row>
    <row r="4927" spans="1:8">
      <c r="A4927" s="37">
        <v>45506.15625</v>
      </c>
      <c r="B4927" s="35" t="s">
        <v>686</v>
      </c>
      <c r="C4927" s="35" t="s">
        <v>687</v>
      </c>
      <c r="D4927" s="39">
        <v>1216</v>
      </c>
      <c r="E4927" s="39">
        <v>1193.4114990234375</v>
      </c>
      <c r="F4927" s="41">
        <v>1243530</v>
      </c>
      <c r="G4927" s="35" t="s">
        <v>691</v>
      </c>
      <c r="H4927" s="35" t="s">
        <v>115</v>
      </c>
    </row>
    <row r="4928" spans="1:8">
      <c r="A4928" s="37">
        <v>45509.15625</v>
      </c>
      <c r="B4928" s="35" t="s">
        <v>686</v>
      </c>
      <c r="C4928" s="35" t="s">
        <v>687</v>
      </c>
      <c r="D4928" s="39">
        <v>1179.4100341796875</v>
      </c>
      <c r="E4928" s="39">
        <v>1157.5013427734375</v>
      </c>
      <c r="F4928" s="41">
        <v>3375805</v>
      </c>
      <c r="G4928" s="35" t="s">
        <v>691</v>
      </c>
      <c r="H4928" s="35" t="s">
        <v>115</v>
      </c>
    </row>
    <row r="4929" spans="1:8">
      <c r="A4929" s="37">
        <v>45510.15625</v>
      </c>
      <c r="B4929" s="35" t="s">
        <v>686</v>
      </c>
      <c r="C4929" s="35" t="s">
        <v>687</v>
      </c>
      <c r="D4929" s="39">
        <v>1179.199951171875</v>
      </c>
      <c r="E4929" s="39">
        <v>1157.2952880859375</v>
      </c>
      <c r="F4929" s="41">
        <v>1871555</v>
      </c>
      <c r="G4929" s="35" t="s">
        <v>691</v>
      </c>
      <c r="H4929" s="35" t="s">
        <v>115</v>
      </c>
    </row>
    <row r="4930" spans="1:8">
      <c r="A4930" s="37">
        <v>45511.15625</v>
      </c>
      <c r="B4930" s="35" t="s">
        <v>686</v>
      </c>
      <c r="C4930" s="35" t="s">
        <v>687</v>
      </c>
      <c r="D4930" s="39">
        <v>1203.3399658203125</v>
      </c>
      <c r="E4930" s="39">
        <v>1180.98681640625</v>
      </c>
      <c r="F4930" s="41">
        <v>872730</v>
      </c>
      <c r="G4930" s="35" t="s">
        <v>691</v>
      </c>
      <c r="H4930" s="35" t="s">
        <v>115</v>
      </c>
    </row>
    <row r="4931" spans="1:8">
      <c r="A4931" s="37">
        <v>45512.15625</v>
      </c>
      <c r="B4931" s="35" t="s">
        <v>686</v>
      </c>
      <c r="C4931" s="35" t="s">
        <v>687</v>
      </c>
      <c r="D4931" s="39">
        <v>1169.02001953125</v>
      </c>
      <c r="E4931" s="39">
        <v>1147.304443359375</v>
      </c>
      <c r="F4931" s="41">
        <v>1343745</v>
      </c>
      <c r="G4931" s="35" t="s">
        <v>691</v>
      </c>
      <c r="H4931" s="35" t="s">
        <v>115</v>
      </c>
    </row>
    <row r="4932" spans="1:8">
      <c r="A4932" s="37">
        <v>45513.15625</v>
      </c>
      <c r="B4932" s="35" t="s">
        <v>686</v>
      </c>
      <c r="C4932" s="35" t="s">
        <v>687</v>
      </c>
      <c r="D4932" s="39">
        <v>1175.6800537109375</v>
      </c>
      <c r="E4932" s="39">
        <v>1153.840576171875</v>
      </c>
      <c r="F4932" s="41">
        <v>1284175</v>
      </c>
      <c r="G4932" s="35" t="s">
        <v>691</v>
      </c>
      <c r="H4932" s="35" t="s">
        <v>115</v>
      </c>
    </row>
    <row r="4933" spans="1:8">
      <c r="A4933" s="37">
        <v>45516.15625</v>
      </c>
      <c r="B4933" s="35" t="s">
        <v>686</v>
      </c>
      <c r="C4933" s="35" t="s">
        <v>687</v>
      </c>
      <c r="D4933" s="39">
        <v>1174.9100341796875</v>
      </c>
      <c r="E4933" s="39">
        <v>1153.0850830078125</v>
      </c>
      <c r="F4933" s="41">
        <v>1708405</v>
      </c>
      <c r="G4933" s="35" t="s">
        <v>691</v>
      </c>
      <c r="H4933" s="35" t="s">
        <v>115</v>
      </c>
    </row>
    <row r="4934" spans="1:8">
      <c r="A4934" s="37">
        <v>45517.15625</v>
      </c>
      <c r="B4934" s="35" t="s">
        <v>686</v>
      </c>
      <c r="C4934" s="35" t="s">
        <v>687</v>
      </c>
      <c r="D4934" s="39">
        <v>1169.550048828125</v>
      </c>
      <c r="E4934" s="39">
        <v>1147.8245849609375</v>
      </c>
      <c r="F4934" s="41">
        <v>845485</v>
      </c>
      <c r="G4934" s="35" t="s">
        <v>691</v>
      </c>
      <c r="H4934" s="35" t="s">
        <v>115</v>
      </c>
    </row>
    <row r="4935" spans="1:8">
      <c r="A4935" s="37">
        <v>45518.15625</v>
      </c>
      <c r="B4935" s="35" t="s">
        <v>686</v>
      </c>
      <c r="C4935" s="35" t="s">
        <v>687</v>
      </c>
      <c r="D4935" s="39">
        <v>1174.06005859375</v>
      </c>
      <c r="E4935" s="39">
        <v>1152.250732421875</v>
      </c>
      <c r="F4935" s="41">
        <v>1173440</v>
      </c>
      <c r="G4935" s="35" t="s">
        <v>691</v>
      </c>
      <c r="H4935" s="35" t="s">
        <v>115</v>
      </c>
    </row>
    <row r="4936" spans="1:8">
      <c r="A4936" s="37">
        <v>45520.15625</v>
      </c>
      <c r="B4936" s="35" t="s">
        <v>686</v>
      </c>
      <c r="C4936" s="35" t="s">
        <v>687</v>
      </c>
      <c r="D4936" s="39">
        <v>1215.4000244140625</v>
      </c>
      <c r="E4936" s="39">
        <v>1192.8228759765625</v>
      </c>
      <c r="F4936" s="41">
        <v>2040310</v>
      </c>
      <c r="G4936" s="35" t="s">
        <v>691</v>
      </c>
      <c r="H4936" s="35" t="s">
        <v>115</v>
      </c>
    </row>
    <row r="4937" spans="1:8">
      <c r="A4937" s="37">
        <v>45523.15625</v>
      </c>
      <c r="B4937" s="35" t="s">
        <v>686</v>
      </c>
      <c r="C4937" s="35" t="s">
        <v>687</v>
      </c>
      <c r="D4937" s="39">
        <v>1211.9300537109375</v>
      </c>
      <c r="E4937" s="39">
        <v>1189.41748046875</v>
      </c>
      <c r="F4937" s="41">
        <v>2075115</v>
      </c>
      <c r="G4937" s="35" t="s">
        <v>691</v>
      </c>
      <c r="H4937" s="35" t="s">
        <v>115</v>
      </c>
    </row>
    <row r="4938" spans="1:8">
      <c r="A4938" s="37">
        <v>45524.15625</v>
      </c>
      <c r="B4938" s="35" t="s">
        <v>686</v>
      </c>
      <c r="C4938" s="35" t="s">
        <v>687</v>
      </c>
      <c r="D4938" s="39">
        <v>1223.050048828125</v>
      </c>
      <c r="E4938" s="39">
        <v>1200.3306884765625</v>
      </c>
      <c r="F4938" s="41">
        <v>1628350</v>
      </c>
      <c r="G4938" s="35" t="s">
        <v>691</v>
      </c>
      <c r="H4938" s="35" t="s">
        <v>115</v>
      </c>
    </row>
    <row r="4939" spans="1:8">
      <c r="A4939" s="37">
        <v>45525.15625</v>
      </c>
      <c r="B4939" s="35" t="s">
        <v>686</v>
      </c>
      <c r="C4939" s="35" t="s">
        <v>687</v>
      </c>
      <c r="D4939" s="39">
        <v>1218.0699462890625</v>
      </c>
      <c r="E4939" s="39">
        <v>1195.4432373046875</v>
      </c>
      <c r="F4939" s="41">
        <v>992425</v>
      </c>
      <c r="G4939" s="35" t="s">
        <v>691</v>
      </c>
      <c r="H4939" s="35" t="s">
        <v>115</v>
      </c>
    </row>
    <row r="4940" spans="1:8">
      <c r="A4940" s="37">
        <v>45526.15625</v>
      </c>
      <c r="B4940" s="35" t="s">
        <v>686</v>
      </c>
      <c r="C4940" s="35" t="s">
        <v>687</v>
      </c>
      <c r="D4940" s="39">
        <v>1216.8399658203125</v>
      </c>
      <c r="E4940" s="39">
        <v>1194.2362060546875</v>
      </c>
      <c r="F4940" s="41">
        <v>1098970</v>
      </c>
      <c r="G4940" s="35" t="s">
        <v>691</v>
      </c>
      <c r="H4940" s="35" t="s">
        <v>115</v>
      </c>
    </row>
    <row r="4941" spans="1:8">
      <c r="A4941" s="37">
        <v>45527.15625</v>
      </c>
      <c r="B4941" s="35" t="s">
        <v>686</v>
      </c>
      <c r="C4941" s="35" t="s">
        <v>687</v>
      </c>
      <c r="D4941" s="39">
        <v>1204.449951171875</v>
      </c>
      <c r="E4941" s="39">
        <v>1182.0760498046875</v>
      </c>
      <c r="F4941" s="41">
        <v>890210</v>
      </c>
      <c r="G4941" s="35" t="s">
        <v>691</v>
      </c>
      <c r="H4941" s="35" t="s">
        <v>115</v>
      </c>
    </row>
    <row r="4942" spans="1:8">
      <c r="A4942" s="37">
        <v>45530.15625</v>
      </c>
      <c r="B4942" s="35" t="s">
        <v>686</v>
      </c>
      <c r="C4942" s="35" t="s">
        <v>687</v>
      </c>
      <c r="D4942" s="39">
        <v>1205.22998046875</v>
      </c>
      <c r="E4942" s="39">
        <v>1182.841796875</v>
      </c>
      <c r="F4942" s="41">
        <v>2173385</v>
      </c>
      <c r="G4942" s="35" t="s">
        <v>691</v>
      </c>
      <c r="H4942" s="35" t="s">
        <v>115</v>
      </c>
    </row>
    <row r="4943" spans="1:8">
      <c r="A4943" s="37">
        <v>45531.15625</v>
      </c>
      <c r="B4943" s="35" t="s">
        <v>686</v>
      </c>
      <c r="C4943" s="35" t="s">
        <v>687</v>
      </c>
      <c r="D4943" s="39">
        <v>1216.1800537109375</v>
      </c>
      <c r="E4943" s="39">
        <v>1193.5885009765625</v>
      </c>
      <c r="F4943" s="41">
        <v>1319435</v>
      </c>
      <c r="G4943" s="35" t="s">
        <v>691</v>
      </c>
      <c r="H4943" s="35" t="s">
        <v>115</v>
      </c>
    </row>
    <row r="4944" spans="1:8">
      <c r="A4944" s="37">
        <v>45532.15625</v>
      </c>
      <c r="B4944" s="35" t="s">
        <v>686</v>
      </c>
      <c r="C4944" s="35" t="s">
        <v>687</v>
      </c>
      <c r="D4944" s="39">
        <v>1251.0899658203125</v>
      </c>
      <c r="E4944" s="39">
        <v>1227.8497314453125</v>
      </c>
      <c r="F4944" s="41">
        <v>3479685</v>
      </c>
      <c r="G4944" s="35" t="s">
        <v>691</v>
      </c>
      <c r="H4944" s="35" t="s">
        <v>115</v>
      </c>
    </row>
    <row r="4945" spans="1:8">
      <c r="A4945" s="37">
        <v>45533.15625</v>
      </c>
      <c r="B4945" s="35" t="s">
        <v>686</v>
      </c>
      <c r="C4945" s="35" t="s">
        <v>687</v>
      </c>
      <c r="D4945" s="39">
        <v>1256.449951171875</v>
      </c>
      <c r="E4945" s="39">
        <v>1233.1102294921875</v>
      </c>
      <c r="F4945" s="41">
        <v>1526970</v>
      </c>
      <c r="G4945" s="35" t="s">
        <v>691</v>
      </c>
      <c r="H4945" s="35" t="s">
        <v>115</v>
      </c>
    </row>
    <row r="4946" spans="1:8">
      <c r="A4946" s="37">
        <v>45534.15625</v>
      </c>
      <c r="B4946" s="35" t="s">
        <v>686</v>
      </c>
      <c r="C4946" s="35" t="s">
        <v>687</v>
      </c>
      <c r="D4946" s="39">
        <v>1268.81005859375</v>
      </c>
      <c r="E4946" s="39">
        <v>1245.24072265625</v>
      </c>
      <c r="F4946" s="41">
        <v>1966685</v>
      </c>
      <c r="G4946" s="35" t="s">
        <v>691</v>
      </c>
      <c r="H4946" s="35" t="s">
        <v>115</v>
      </c>
    </row>
    <row r="4947" spans="1:8">
      <c r="A4947" s="37">
        <v>45537.15625</v>
      </c>
      <c r="B4947" s="35" t="s">
        <v>686</v>
      </c>
      <c r="C4947" s="35" t="s">
        <v>687</v>
      </c>
      <c r="D4947" s="39">
        <v>1268.1199951171875</v>
      </c>
      <c r="E4947" s="39">
        <v>1244.5635986328125</v>
      </c>
      <c r="F4947" s="41">
        <v>1554095</v>
      </c>
      <c r="G4947" s="35" t="s">
        <v>691</v>
      </c>
      <c r="H4947" s="35" t="s">
        <v>115</v>
      </c>
    </row>
    <row r="4948" spans="1:8">
      <c r="A4948" s="37">
        <v>45538.15625</v>
      </c>
      <c r="B4948" s="35" t="s">
        <v>686</v>
      </c>
      <c r="C4948" s="35" t="s">
        <v>687</v>
      </c>
      <c r="D4948" s="39">
        <v>1281.52001953125</v>
      </c>
      <c r="E4948" s="39">
        <v>1257.7144775390625</v>
      </c>
      <c r="F4948" s="41">
        <v>981430</v>
      </c>
      <c r="G4948" s="35" t="s">
        <v>691</v>
      </c>
      <c r="H4948" s="35" t="s">
        <v>115</v>
      </c>
    </row>
    <row r="4949" spans="1:8">
      <c r="A4949" s="37">
        <v>45539.15625</v>
      </c>
      <c r="B4949" s="35" t="s">
        <v>686</v>
      </c>
      <c r="C4949" s="35" t="s">
        <v>687</v>
      </c>
      <c r="D4949" s="39">
        <v>1266.219970703125</v>
      </c>
      <c r="E4949" s="39">
        <v>1242.6988525390625</v>
      </c>
      <c r="F4949" s="41">
        <v>1906150</v>
      </c>
      <c r="G4949" s="35" t="s">
        <v>691</v>
      </c>
      <c r="H4949" s="35" t="s">
        <v>115</v>
      </c>
    </row>
    <row r="4950" spans="1:8">
      <c r="A4950" s="37">
        <v>45540.15625</v>
      </c>
      <c r="B4950" s="35" t="s">
        <v>686</v>
      </c>
      <c r="C4950" s="35" t="s">
        <v>687</v>
      </c>
      <c r="D4950" s="39">
        <v>1310.25</v>
      </c>
      <c r="E4950" s="39">
        <v>1285.910888671875</v>
      </c>
      <c r="F4950" s="41">
        <v>4142650</v>
      </c>
      <c r="G4950" s="35" t="s">
        <v>691</v>
      </c>
      <c r="H4950" s="35" t="s">
        <v>115</v>
      </c>
    </row>
    <row r="4951" spans="1:8">
      <c r="A4951" s="37">
        <v>45541.15625</v>
      </c>
      <c r="B4951" s="35" t="s">
        <v>686</v>
      </c>
      <c r="C4951" s="35" t="s">
        <v>687</v>
      </c>
      <c r="D4951" s="39">
        <v>1324.9300537109375</v>
      </c>
      <c r="E4951" s="39">
        <v>1300.3182373046875</v>
      </c>
      <c r="F4951" s="41">
        <v>3139855</v>
      </c>
      <c r="G4951" s="35" t="s">
        <v>691</v>
      </c>
      <c r="H4951" s="35" t="s">
        <v>115</v>
      </c>
    </row>
    <row r="4952" spans="1:8">
      <c r="A4952" s="37">
        <v>45544.15625</v>
      </c>
      <c r="B4952" s="35" t="s">
        <v>686</v>
      </c>
      <c r="C4952" s="35" t="s">
        <v>687</v>
      </c>
      <c r="D4952" s="39">
        <v>1298.1500244140625</v>
      </c>
      <c r="E4952" s="39">
        <v>1274.03564453125</v>
      </c>
      <c r="F4952" s="41">
        <v>2549810</v>
      </c>
      <c r="G4952" s="35" t="s">
        <v>691</v>
      </c>
      <c r="H4952" s="35" t="s">
        <v>115</v>
      </c>
    </row>
    <row r="4953" spans="1:8">
      <c r="A4953" s="37">
        <v>45545.15625</v>
      </c>
      <c r="B4953" s="35" t="s">
        <v>686</v>
      </c>
      <c r="C4953" s="35" t="s">
        <v>687</v>
      </c>
      <c r="D4953" s="39">
        <v>1361.4000244140625</v>
      </c>
      <c r="E4953" s="39">
        <v>1336.1107177734375</v>
      </c>
      <c r="F4953" s="41">
        <v>6368025</v>
      </c>
      <c r="G4953" s="35" t="s">
        <v>691</v>
      </c>
      <c r="H4953" s="35" t="s">
        <v>115</v>
      </c>
    </row>
    <row r="4954" spans="1:8">
      <c r="A4954" s="37">
        <v>45546.15625</v>
      </c>
      <c r="B4954" s="35" t="s">
        <v>686</v>
      </c>
      <c r="C4954" s="35" t="s">
        <v>687</v>
      </c>
      <c r="D4954" s="39">
        <v>1368.219970703125</v>
      </c>
      <c r="E4954" s="39">
        <v>1342.803955078125</v>
      </c>
      <c r="F4954" s="41">
        <v>2205830</v>
      </c>
      <c r="G4954" s="35" t="s">
        <v>691</v>
      </c>
      <c r="H4954" s="35" t="s">
        <v>115</v>
      </c>
    </row>
    <row r="4955" spans="1:8">
      <c r="A4955" s="37">
        <v>45547.15625</v>
      </c>
      <c r="B4955" s="35" t="s">
        <v>686</v>
      </c>
      <c r="C4955" s="35" t="s">
        <v>687</v>
      </c>
      <c r="D4955" s="39">
        <v>1375.300048828125</v>
      </c>
      <c r="E4955" s="39">
        <v>1349.7525634765625</v>
      </c>
      <c r="F4955" s="41">
        <v>1464825</v>
      </c>
      <c r="G4955" s="35" t="s">
        <v>691</v>
      </c>
      <c r="H4955" s="35" t="s">
        <v>115</v>
      </c>
    </row>
    <row r="4956" spans="1:8">
      <c r="A4956" s="37">
        <v>45548.15625</v>
      </c>
      <c r="B4956" s="35" t="s">
        <v>686</v>
      </c>
      <c r="C4956" s="35" t="s">
        <v>687</v>
      </c>
      <c r="D4956" s="39">
        <v>1402.75</v>
      </c>
      <c r="E4956" s="39">
        <v>1376.692626953125</v>
      </c>
      <c r="F4956" s="41">
        <v>3249865</v>
      </c>
      <c r="G4956" s="35" t="s">
        <v>691</v>
      </c>
      <c r="H4956" s="35" t="s">
        <v>115</v>
      </c>
    </row>
    <row r="4957" spans="1:8">
      <c r="A4957" s="37">
        <v>45551.15625</v>
      </c>
      <c r="B4957" s="35" t="s">
        <v>686</v>
      </c>
      <c r="C4957" s="35" t="s">
        <v>687</v>
      </c>
      <c r="D4957" s="39">
        <v>1397.8599853515625</v>
      </c>
      <c r="E4957" s="39">
        <v>1371.8934326171875</v>
      </c>
      <c r="F4957" s="41">
        <v>2389345</v>
      </c>
      <c r="G4957" s="35" t="s">
        <v>691</v>
      </c>
      <c r="H4957" s="35" t="s">
        <v>115</v>
      </c>
    </row>
    <row r="4958" spans="1:8">
      <c r="A4958" s="37">
        <v>45552.15625</v>
      </c>
      <c r="B4958" s="35" t="s">
        <v>686</v>
      </c>
      <c r="C4958" s="35" t="s">
        <v>687</v>
      </c>
      <c r="D4958" s="39">
        <v>1399.7099609375</v>
      </c>
      <c r="E4958" s="39">
        <v>1373.7088623046875</v>
      </c>
      <c r="F4958" s="41">
        <v>1241110</v>
      </c>
      <c r="G4958" s="35" t="s">
        <v>691</v>
      </c>
      <c r="H4958" s="35" t="s">
        <v>115</v>
      </c>
    </row>
    <row r="4959" spans="1:8">
      <c r="A4959" s="37">
        <v>45553.15625</v>
      </c>
      <c r="B4959" s="35" t="s">
        <v>686</v>
      </c>
      <c r="C4959" s="35" t="s">
        <v>687</v>
      </c>
      <c r="D4959" s="39">
        <v>1372.1500244140625</v>
      </c>
      <c r="E4959" s="39">
        <v>1346.6610107421875</v>
      </c>
      <c r="F4959" s="41">
        <v>1647970</v>
      </c>
      <c r="G4959" s="35" t="s">
        <v>691</v>
      </c>
      <c r="H4959" s="35" t="s">
        <v>115</v>
      </c>
    </row>
    <row r="4960" spans="1:8">
      <c r="A4960" s="37">
        <v>45554.15625</v>
      </c>
      <c r="B4960" s="35" t="s">
        <v>686</v>
      </c>
      <c r="C4960" s="35" t="s">
        <v>687</v>
      </c>
      <c r="D4960" s="39">
        <v>1383.1199951171875</v>
      </c>
      <c r="E4960" s="39">
        <v>1357.42724609375</v>
      </c>
      <c r="F4960" s="41">
        <v>3357435</v>
      </c>
      <c r="G4960" s="35" t="s">
        <v>691</v>
      </c>
      <c r="H4960" s="35" t="s">
        <v>115</v>
      </c>
    </row>
    <row r="4961" spans="1:8">
      <c r="A4961" s="37">
        <v>45555.15625</v>
      </c>
      <c r="B4961" s="35" t="s">
        <v>686</v>
      </c>
      <c r="C4961" s="35" t="s">
        <v>687</v>
      </c>
      <c r="D4961" s="39">
        <v>1389.0699462890625</v>
      </c>
      <c r="E4961" s="39">
        <v>1363.266845703125</v>
      </c>
      <c r="F4961" s="41">
        <v>1498370</v>
      </c>
      <c r="G4961" s="35" t="s">
        <v>691</v>
      </c>
      <c r="H4961" s="35" t="s">
        <v>115</v>
      </c>
    </row>
    <row r="4962" spans="1:8">
      <c r="A4962" s="37">
        <v>45558.15625</v>
      </c>
      <c r="B4962" s="35" t="s">
        <v>686</v>
      </c>
      <c r="C4962" s="35" t="s">
        <v>687</v>
      </c>
      <c r="D4962" s="39">
        <v>1377.06005859375</v>
      </c>
      <c r="E4962" s="39">
        <v>1351.479736328125</v>
      </c>
      <c r="F4962" s="41">
        <v>1122985</v>
      </c>
      <c r="G4962" s="35" t="s">
        <v>691</v>
      </c>
      <c r="H4962" s="35" t="s">
        <v>115</v>
      </c>
    </row>
    <row r="4963" spans="1:8">
      <c r="A4963" s="37">
        <v>45559.15625</v>
      </c>
      <c r="B4963" s="35" t="s">
        <v>686</v>
      </c>
      <c r="C4963" s="35" t="s">
        <v>687</v>
      </c>
      <c r="D4963" s="39">
        <v>1399.5999755859375</v>
      </c>
      <c r="E4963" s="39">
        <v>1373.6011962890625</v>
      </c>
      <c r="F4963" s="41">
        <v>1503945</v>
      </c>
      <c r="G4963" s="35" t="s">
        <v>691</v>
      </c>
      <c r="H4963" s="35" t="s">
        <v>115</v>
      </c>
    </row>
    <row r="4964" spans="1:8">
      <c r="A4964" s="37">
        <v>45560.15625</v>
      </c>
      <c r="B4964" s="35" t="s">
        <v>686</v>
      </c>
      <c r="C4964" s="35" t="s">
        <v>687</v>
      </c>
      <c r="D4964" s="39">
        <v>1381.3599853515625</v>
      </c>
      <c r="E4964" s="39">
        <v>1355.699951171875</v>
      </c>
      <c r="F4964" s="41">
        <v>1281740</v>
      </c>
      <c r="G4964" s="35" t="s">
        <v>691</v>
      </c>
      <c r="H4964" s="35" t="s">
        <v>115</v>
      </c>
    </row>
    <row r="4965" spans="1:8">
      <c r="A4965" s="37">
        <v>45561.15625</v>
      </c>
      <c r="B4965" s="35" t="s">
        <v>686</v>
      </c>
      <c r="C4965" s="35" t="s">
        <v>687</v>
      </c>
      <c r="D4965" s="39">
        <v>1374.8499755859375</v>
      </c>
      <c r="E4965" s="39">
        <v>1349.310791015625</v>
      </c>
      <c r="F4965" s="41">
        <v>3208525</v>
      </c>
      <c r="G4965" s="35" t="s">
        <v>691</v>
      </c>
      <c r="H4965" s="35" t="s">
        <v>115</v>
      </c>
    </row>
    <row r="4966" spans="1:8">
      <c r="A4966" s="37">
        <v>45562.15625</v>
      </c>
      <c r="B4966" s="35" t="s">
        <v>686</v>
      </c>
      <c r="C4966" s="35" t="s">
        <v>687</v>
      </c>
      <c r="D4966" s="39">
        <v>1387.0699462890625</v>
      </c>
      <c r="E4966" s="39">
        <v>1361.3038330078125</v>
      </c>
      <c r="F4966" s="41">
        <v>3488310</v>
      </c>
      <c r="G4966" s="35" t="s">
        <v>691</v>
      </c>
      <c r="H4966" s="35" t="s">
        <v>115</v>
      </c>
    </row>
    <row r="4967" spans="1:8">
      <c r="A4967" s="37">
        <v>45565.15625</v>
      </c>
      <c r="B4967" s="35" t="s">
        <v>686</v>
      </c>
      <c r="C4967" s="35" t="s">
        <v>687</v>
      </c>
      <c r="D4967" s="39">
        <v>1403.2900390625</v>
      </c>
      <c r="E4967" s="39">
        <v>1377.2227783203125</v>
      </c>
      <c r="F4967" s="41">
        <v>1511795</v>
      </c>
      <c r="G4967" s="35" t="s">
        <v>691</v>
      </c>
      <c r="H4967" s="35" t="s">
        <v>115</v>
      </c>
    </row>
    <row r="4968" spans="1:8">
      <c r="A4968" s="37">
        <v>45566.15625</v>
      </c>
      <c r="B4968" s="35" t="s">
        <v>686</v>
      </c>
      <c r="C4968" s="35" t="s">
        <v>687</v>
      </c>
      <c r="D4968" s="39">
        <v>1425.2900390625</v>
      </c>
      <c r="E4968" s="39">
        <v>1398.81396484375</v>
      </c>
      <c r="F4968" s="41">
        <v>2368575</v>
      </c>
      <c r="G4968" s="35" t="s">
        <v>691</v>
      </c>
      <c r="H4968" s="35" t="s">
        <v>115</v>
      </c>
    </row>
    <row r="4969" spans="1:8">
      <c r="A4969" s="37">
        <v>45568.15625</v>
      </c>
      <c r="B4969" s="35" t="s">
        <v>686</v>
      </c>
      <c r="C4969" s="35" t="s">
        <v>687</v>
      </c>
      <c r="D4969" s="39">
        <v>1412.030029296875</v>
      </c>
      <c r="E4969" s="39">
        <v>1385.80029296875</v>
      </c>
      <c r="F4969" s="41">
        <v>2590065</v>
      </c>
      <c r="G4969" s="35" t="s">
        <v>691</v>
      </c>
      <c r="H4969" s="35" t="s">
        <v>115</v>
      </c>
    </row>
    <row r="4970" spans="1:8">
      <c r="A4970" s="37">
        <v>45569.15625</v>
      </c>
      <c r="B4970" s="35" t="s">
        <v>686</v>
      </c>
      <c r="C4970" s="35" t="s">
        <v>687</v>
      </c>
      <c r="D4970" s="39">
        <v>1425.1099853515625</v>
      </c>
      <c r="E4970" s="39">
        <v>1398.63720703125</v>
      </c>
      <c r="F4970" s="41">
        <v>2660410</v>
      </c>
      <c r="G4970" s="35" t="s">
        <v>691</v>
      </c>
      <c r="H4970" s="35" t="s">
        <v>115</v>
      </c>
    </row>
    <row r="4971" spans="1:8">
      <c r="A4971" s="37">
        <v>45572.15625</v>
      </c>
      <c r="B4971" s="35" t="s">
        <v>686</v>
      </c>
      <c r="C4971" s="35" t="s">
        <v>687</v>
      </c>
      <c r="D4971" s="39">
        <v>1441.6099853515625</v>
      </c>
      <c r="E4971" s="39">
        <v>1414.8306884765625</v>
      </c>
      <c r="F4971" s="41">
        <v>3321265</v>
      </c>
      <c r="G4971" s="35" t="s">
        <v>691</v>
      </c>
      <c r="H4971" s="35" t="s">
        <v>115</v>
      </c>
    </row>
    <row r="4972" spans="1:8">
      <c r="A4972" s="37">
        <v>45573.15625</v>
      </c>
      <c r="B4972" s="35" t="s">
        <v>686</v>
      </c>
      <c r="C4972" s="35" t="s">
        <v>687</v>
      </c>
      <c r="D4972" s="39">
        <v>1464.3900146484375</v>
      </c>
      <c r="E4972" s="39">
        <v>1437.1876220703125</v>
      </c>
      <c r="F4972" s="41">
        <v>1501585</v>
      </c>
      <c r="G4972" s="35" t="s">
        <v>691</v>
      </c>
      <c r="H4972" s="35" t="s">
        <v>115</v>
      </c>
    </row>
    <row r="4973" spans="1:8">
      <c r="A4973" s="37">
        <v>45574.15625</v>
      </c>
      <c r="B4973" s="35" t="s">
        <v>686</v>
      </c>
      <c r="C4973" s="35" t="s">
        <v>687</v>
      </c>
      <c r="D4973" s="39">
        <v>1475.469970703125</v>
      </c>
      <c r="E4973" s="39">
        <v>1448.0616455078125</v>
      </c>
      <c r="F4973" s="41">
        <v>1455130</v>
      </c>
      <c r="G4973" s="35" t="s">
        <v>691</v>
      </c>
      <c r="H4973" s="35" t="s">
        <v>115</v>
      </c>
    </row>
    <row r="4974" spans="1:8">
      <c r="A4974" s="37">
        <v>45575.15625</v>
      </c>
      <c r="B4974" s="35" t="s">
        <v>686</v>
      </c>
      <c r="C4974" s="35" t="s">
        <v>687</v>
      </c>
      <c r="D4974" s="39">
        <v>1456.300048828125</v>
      </c>
      <c r="E4974" s="39">
        <v>1429.247802734375</v>
      </c>
      <c r="F4974" s="41">
        <v>963000</v>
      </c>
      <c r="G4974" s="35" t="s">
        <v>691</v>
      </c>
      <c r="H4974" s="35" t="s">
        <v>115</v>
      </c>
    </row>
    <row r="4975" spans="1:8">
      <c r="A4975" s="37">
        <v>45576.15625</v>
      </c>
      <c r="B4975" s="35" t="s">
        <v>686</v>
      </c>
      <c r="C4975" s="35" t="s">
        <v>687</v>
      </c>
      <c r="D4975" s="39">
        <v>1476.1199951171875</v>
      </c>
      <c r="E4975" s="39">
        <v>1452.4898681640625</v>
      </c>
      <c r="F4975" s="41">
        <v>2129580</v>
      </c>
      <c r="G4975" s="35" t="s">
        <v>691</v>
      </c>
      <c r="H4975" s="35" t="s">
        <v>115</v>
      </c>
    </row>
    <row r="4976" spans="1:8">
      <c r="A4976" s="37">
        <v>45579.15625</v>
      </c>
      <c r="B4976" s="35" t="s">
        <v>686</v>
      </c>
      <c r="C4976" s="35" t="s">
        <v>687</v>
      </c>
      <c r="D4976" s="39">
        <v>1486.4200439453125</v>
      </c>
      <c r="E4976" s="39">
        <v>1462.625</v>
      </c>
      <c r="F4976" s="41">
        <v>1640085</v>
      </c>
      <c r="G4976" s="35" t="s">
        <v>691</v>
      </c>
      <c r="H4976" s="35" t="s">
        <v>115</v>
      </c>
    </row>
    <row r="4977" spans="1:8">
      <c r="A4977" s="37">
        <v>45580.15625</v>
      </c>
      <c r="B4977" s="35" t="s">
        <v>686</v>
      </c>
      <c r="C4977" s="35" t="s">
        <v>687</v>
      </c>
      <c r="D4977" s="39">
        <v>1493.989990234375</v>
      </c>
      <c r="E4977" s="39">
        <v>1470.07373046875</v>
      </c>
      <c r="F4977" s="41">
        <v>1141300</v>
      </c>
      <c r="G4977" s="35" t="s">
        <v>691</v>
      </c>
      <c r="H4977" s="35" t="s">
        <v>115</v>
      </c>
    </row>
    <row r="4978" spans="1:8">
      <c r="A4978" s="37">
        <v>45581.15625</v>
      </c>
      <c r="B4978" s="35" t="s">
        <v>686</v>
      </c>
      <c r="C4978" s="35" t="s">
        <v>687</v>
      </c>
      <c r="D4978" s="39">
        <v>1440.8499755859375</v>
      </c>
      <c r="E4978" s="39">
        <v>1417.784423828125</v>
      </c>
      <c r="F4978" s="41">
        <v>4368245</v>
      </c>
      <c r="G4978" s="35" t="s">
        <v>691</v>
      </c>
      <c r="H4978" s="35" t="s">
        <v>115</v>
      </c>
    </row>
    <row r="4979" spans="1:8">
      <c r="A4979" s="37">
        <v>45582.15625</v>
      </c>
      <c r="B4979" s="35" t="s">
        <v>686</v>
      </c>
      <c r="C4979" s="35" t="s">
        <v>687</v>
      </c>
      <c r="D4979" s="39">
        <v>1451.449951171875</v>
      </c>
      <c r="E4979" s="39">
        <v>1428.214599609375</v>
      </c>
      <c r="F4979" s="41">
        <v>1749215</v>
      </c>
      <c r="G4979" s="35" t="s">
        <v>691</v>
      </c>
      <c r="H4979" s="35" t="s">
        <v>115</v>
      </c>
    </row>
    <row r="4980" spans="1:8">
      <c r="A4980" s="37">
        <v>45583.15625</v>
      </c>
      <c r="B4980" s="35" t="s">
        <v>686</v>
      </c>
      <c r="C4980" s="35" t="s">
        <v>687</v>
      </c>
      <c r="D4980" s="39">
        <v>1442.0799560546875</v>
      </c>
      <c r="E4980" s="39">
        <v>1418.9947509765625</v>
      </c>
      <c r="F4980" s="41">
        <v>1458725</v>
      </c>
      <c r="G4980" s="35" t="s">
        <v>691</v>
      </c>
      <c r="H4980" s="35" t="s">
        <v>115</v>
      </c>
    </row>
    <row r="4981" spans="1:8">
      <c r="A4981" s="37">
        <v>45586.15625</v>
      </c>
      <c r="B4981" s="35" t="s">
        <v>686</v>
      </c>
      <c r="C4981" s="35" t="s">
        <v>687</v>
      </c>
      <c r="D4981" s="39">
        <v>1365.050048828125</v>
      </c>
      <c r="E4981" s="39">
        <v>1343.1976318359375</v>
      </c>
      <c r="F4981" s="41">
        <v>4684635</v>
      </c>
      <c r="G4981" s="35" t="s">
        <v>691</v>
      </c>
      <c r="H4981" s="35" t="s">
        <v>115</v>
      </c>
    </row>
    <row r="4982" spans="1:8">
      <c r="A4982" s="37">
        <v>45587.15625</v>
      </c>
      <c r="B4982" s="35" t="s">
        <v>686</v>
      </c>
      <c r="C4982" s="35" t="s">
        <v>687</v>
      </c>
      <c r="D4982" s="39">
        <v>1360.050048828125</v>
      </c>
      <c r="E4982" s="39">
        <v>1338.27783203125</v>
      </c>
      <c r="F4982" s="41">
        <v>2821410</v>
      </c>
      <c r="G4982" s="35" t="s">
        <v>691</v>
      </c>
      <c r="H4982" s="35" t="s">
        <v>115</v>
      </c>
    </row>
    <row r="4983" spans="1:8">
      <c r="A4983" s="37">
        <v>45588.15625</v>
      </c>
      <c r="B4983" s="35" t="s">
        <v>686</v>
      </c>
      <c r="C4983" s="35" t="s">
        <v>687</v>
      </c>
      <c r="D4983" s="39">
        <v>1511.56005859375</v>
      </c>
      <c r="E4983" s="39">
        <v>1487.3624267578125</v>
      </c>
      <c r="F4983" s="41">
        <v>18125670</v>
      </c>
      <c r="G4983" s="35" t="s">
        <v>691</v>
      </c>
      <c r="H4983" s="35" t="s">
        <v>115</v>
      </c>
    </row>
    <row r="4984" spans="1:8">
      <c r="A4984" s="37">
        <v>45589.15625</v>
      </c>
      <c r="B4984" s="35" t="s">
        <v>686</v>
      </c>
      <c r="C4984" s="35" t="s">
        <v>687</v>
      </c>
      <c r="D4984" s="39">
        <v>1539.81005859375</v>
      </c>
      <c r="E4984" s="39">
        <v>1515.1602783203125</v>
      </c>
      <c r="F4984" s="41">
        <v>7589385</v>
      </c>
      <c r="G4984" s="35" t="s">
        <v>691</v>
      </c>
      <c r="H4984" s="35" t="s">
        <v>115</v>
      </c>
    </row>
    <row r="4985" spans="1:8">
      <c r="A4985" s="37">
        <v>45590.15625</v>
      </c>
      <c r="B4985" s="35" t="s">
        <v>686</v>
      </c>
      <c r="C4985" s="35" t="s">
        <v>687</v>
      </c>
      <c r="D4985" s="39">
        <v>1547.969970703125</v>
      </c>
      <c r="E4985" s="39">
        <v>1523.1895751953125</v>
      </c>
      <c r="F4985" s="41">
        <v>2554910</v>
      </c>
      <c r="G4985" s="35" t="s">
        <v>691</v>
      </c>
      <c r="H4985" s="35" t="s">
        <v>115</v>
      </c>
    </row>
    <row r="4986" spans="1:8">
      <c r="A4986" s="37">
        <v>45593.15625</v>
      </c>
      <c r="B4986" s="35" t="s">
        <v>686</v>
      </c>
      <c r="C4986" s="35" t="s">
        <v>687</v>
      </c>
      <c r="D4986" s="39">
        <v>1541.0699462890625</v>
      </c>
      <c r="E4986" s="39">
        <v>1516.4000244140625</v>
      </c>
      <c r="F4986" s="41">
        <v>2126760</v>
      </c>
      <c r="G4986" s="35" t="s">
        <v>691</v>
      </c>
      <c r="H4986" s="35" t="s">
        <v>115</v>
      </c>
    </row>
    <row r="4987" spans="1:8">
      <c r="A4987" s="37">
        <v>45594.15625</v>
      </c>
      <c r="B4987" s="35" t="s">
        <v>686</v>
      </c>
      <c r="C4987" s="35" t="s">
        <v>687</v>
      </c>
      <c r="D4987" s="39">
        <v>1550.75</v>
      </c>
      <c r="E4987" s="39">
        <v>1525.9251708984375</v>
      </c>
      <c r="F4987" s="41">
        <v>1477015</v>
      </c>
      <c r="G4987" s="35" t="s">
        <v>691</v>
      </c>
      <c r="H4987" s="35" t="s">
        <v>115</v>
      </c>
    </row>
    <row r="4988" spans="1:8">
      <c r="A4988" s="37">
        <v>45595.15625</v>
      </c>
      <c r="B4988" s="35" t="s">
        <v>686</v>
      </c>
      <c r="C4988" s="35" t="s">
        <v>687</v>
      </c>
      <c r="D4988" s="39">
        <v>1548.47998046875</v>
      </c>
      <c r="E4988" s="39">
        <v>1523.69140625</v>
      </c>
      <c r="F4988" s="41">
        <v>2628130</v>
      </c>
      <c r="G4988" s="35" t="s">
        <v>691</v>
      </c>
      <c r="H4988" s="35" t="s">
        <v>115</v>
      </c>
    </row>
    <row r="4989" spans="1:8">
      <c r="A4989" s="37">
        <v>45596.15625</v>
      </c>
      <c r="B4989" s="35" t="s">
        <v>686</v>
      </c>
      <c r="C4989" s="35" t="s">
        <v>687</v>
      </c>
      <c r="D4989" s="39">
        <v>1524.8199462890625</v>
      </c>
      <c r="E4989" s="39">
        <v>1500.4100341796875</v>
      </c>
      <c r="F4989" s="41">
        <v>2738450</v>
      </c>
      <c r="G4989" s="35" t="s">
        <v>691</v>
      </c>
      <c r="H4989" s="35" t="s">
        <v>115</v>
      </c>
    </row>
    <row r="4990" spans="1:8">
      <c r="A4990" s="37">
        <v>45597.15625</v>
      </c>
      <c r="B4990" s="35" t="s">
        <v>686</v>
      </c>
      <c r="C4990" s="35" t="s">
        <v>687</v>
      </c>
      <c r="D4990" s="39">
        <v>1510.5400390625</v>
      </c>
      <c r="E4990" s="39">
        <v>1486.3587646484375</v>
      </c>
      <c r="F4990" s="41">
        <v>227700</v>
      </c>
      <c r="G4990" s="35" t="s">
        <v>691</v>
      </c>
      <c r="H4990" s="35" t="s">
        <v>115</v>
      </c>
    </row>
    <row r="4991" spans="1:8">
      <c r="A4991" s="37">
        <v>45600.15625</v>
      </c>
      <c r="B4991" s="35" t="s">
        <v>686</v>
      </c>
      <c r="C4991" s="35" t="s">
        <v>687</v>
      </c>
      <c r="D4991" s="39">
        <v>1508.6500244140625</v>
      </c>
      <c r="E4991" s="39">
        <v>1484.4989013671875</v>
      </c>
      <c r="F4991" s="41">
        <v>2613505</v>
      </c>
      <c r="G4991" s="35" t="s">
        <v>691</v>
      </c>
      <c r="H4991" s="35" t="s">
        <v>115</v>
      </c>
    </row>
    <row r="4992" spans="1:8">
      <c r="A4992" s="37">
        <v>45601.15625</v>
      </c>
      <c r="B4992" s="35" t="s">
        <v>686</v>
      </c>
      <c r="C4992" s="35" t="s">
        <v>687</v>
      </c>
      <c r="D4992" s="39">
        <v>1509.300048828125</v>
      </c>
      <c r="E4992" s="39">
        <v>1485.138671875</v>
      </c>
      <c r="F4992" s="41">
        <v>1193625</v>
      </c>
      <c r="G4992" s="35" t="s">
        <v>691</v>
      </c>
      <c r="H4992" s="35" t="s">
        <v>115</v>
      </c>
    </row>
    <row r="4993" spans="1:8">
      <c r="A4993" s="37">
        <v>45602.15625</v>
      </c>
      <c r="B4993" s="35" t="s">
        <v>686</v>
      </c>
      <c r="C4993" s="35" t="s">
        <v>687</v>
      </c>
      <c r="D4993" s="39">
        <v>1565.9000244140625</v>
      </c>
      <c r="E4993" s="39">
        <v>1540.83251953125</v>
      </c>
      <c r="F4993" s="41">
        <v>4255360</v>
      </c>
      <c r="G4993" s="35" t="s">
        <v>691</v>
      </c>
      <c r="H4993" s="35" t="s">
        <v>115</v>
      </c>
    </row>
    <row r="4994" spans="1:8">
      <c r="A4994" s="37">
        <v>45603.15625</v>
      </c>
      <c r="B4994" s="35" t="s">
        <v>686</v>
      </c>
      <c r="C4994" s="35" t="s">
        <v>687</v>
      </c>
      <c r="D4994" s="39">
        <v>1570.6700439453125</v>
      </c>
      <c r="E4994" s="39">
        <v>1545.5262451171875</v>
      </c>
      <c r="F4994" s="41">
        <v>2837565</v>
      </c>
      <c r="G4994" s="35" t="s">
        <v>691</v>
      </c>
      <c r="H4994" s="35" t="s">
        <v>115</v>
      </c>
    </row>
    <row r="4995" spans="1:8">
      <c r="A4995" s="37">
        <v>45604.15625</v>
      </c>
      <c r="B4995" s="35" t="s">
        <v>686</v>
      </c>
      <c r="C4995" s="35" t="s">
        <v>687</v>
      </c>
      <c r="D4995" s="39">
        <v>1590.760009765625</v>
      </c>
      <c r="E4995" s="39">
        <v>1565.294677734375</v>
      </c>
      <c r="F4995" s="41">
        <v>2684930</v>
      </c>
      <c r="G4995" s="35" t="s">
        <v>691</v>
      </c>
      <c r="H4995" s="35" t="s">
        <v>115</v>
      </c>
    </row>
    <row r="4996" spans="1:8">
      <c r="A4996" s="37">
        <v>45607.15625</v>
      </c>
      <c r="B4996" s="35" t="s">
        <v>686</v>
      </c>
      <c r="C4996" s="35" t="s">
        <v>687</v>
      </c>
      <c r="D4996" s="39">
        <v>1613.3800048828125</v>
      </c>
      <c r="E4996" s="39">
        <v>1587.552490234375</v>
      </c>
      <c r="F4996" s="41">
        <v>2344495</v>
      </c>
      <c r="G4996" s="35" t="s">
        <v>691</v>
      </c>
      <c r="H4996" s="35" t="s">
        <v>115</v>
      </c>
    </row>
    <row r="4997" spans="1:8">
      <c r="A4997" s="37">
        <v>45608.15625</v>
      </c>
      <c r="B4997" s="35" t="s">
        <v>686</v>
      </c>
      <c r="C4997" s="35" t="s">
        <v>687</v>
      </c>
      <c r="D4997" s="39">
        <v>1619.8499755859375</v>
      </c>
      <c r="E4997" s="39">
        <v>1593.9189453125</v>
      </c>
      <c r="F4997" s="41">
        <v>1951690</v>
      </c>
      <c r="G4997" s="35" t="s">
        <v>691</v>
      </c>
      <c r="H4997" s="35" t="s">
        <v>115</v>
      </c>
    </row>
    <row r="4998" spans="1:8">
      <c r="A4998" s="37">
        <v>45609.15625</v>
      </c>
      <c r="B4998" s="35" t="s">
        <v>686</v>
      </c>
      <c r="C4998" s="35" t="s">
        <v>687</v>
      </c>
      <c r="D4998" s="39">
        <v>1611.239990234375</v>
      </c>
      <c r="E4998" s="39">
        <v>1585.4466552734375</v>
      </c>
      <c r="F4998" s="41">
        <v>2643950</v>
      </c>
      <c r="G4998" s="35" t="s">
        <v>691</v>
      </c>
      <c r="H4998" s="35" t="s">
        <v>115</v>
      </c>
    </row>
    <row r="4999" spans="1:8">
      <c r="A4999" s="37">
        <v>45610.15625</v>
      </c>
      <c r="B4999" s="35" t="s">
        <v>686</v>
      </c>
      <c r="C4999" s="35" t="s">
        <v>687</v>
      </c>
      <c r="D4999" s="39">
        <v>1614.800048828125</v>
      </c>
      <c r="E4999" s="39">
        <v>1588.9498291015625</v>
      </c>
      <c r="F4999" s="41">
        <v>1564270</v>
      </c>
      <c r="G4999" s="35" t="s">
        <v>691</v>
      </c>
      <c r="H4999" s="35" t="s">
        <v>115</v>
      </c>
    </row>
    <row r="5000" spans="1:8">
      <c r="A5000" s="37">
        <v>45614.15625</v>
      </c>
      <c r="B5000" s="35" t="s">
        <v>686</v>
      </c>
      <c r="C5000" s="35" t="s">
        <v>687</v>
      </c>
      <c r="D5000" s="39">
        <v>1601.3199462890625</v>
      </c>
      <c r="E5000" s="39">
        <v>1575.685546875</v>
      </c>
      <c r="F5000" s="41">
        <v>1890055</v>
      </c>
      <c r="G5000" s="35" t="s">
        <v>691</v>
      </c>
      <c r="H5000" s="35" t="s">
        <v>115</v>
      </c>
    </row>
    <row r="5001" spans="1:8">
      <c r="A5001" s="37">
        <v>45615.15625</v>
      </c>
      <c r="B5001" s="35" t="s">
        <v>686</v>
      </c>
      <c r="C5001" s="35" t="s">
        <v>687</v>
      </c>
      <c r="D5001" s="39">
        <v>1623.300048828125</v>
      </c>
      <c r="E5001" s="39">
        <v>1597.3135986328125</v>
      </c>
      <c r="F5001" s="41">
        <v>1720995</v>
      </c>
      <c r="G5001" s="35" t="s">
        <v>691</v>
      </c>
      <c r="H5001" s="35" t="s">
        <v>115</v>
      </c>
    </row>
    <row r="5002" spans="1:8">
      <c r="A5002" s="37">
        <v>45617.15625</v>
      </c>
      <c r="B5002" s="35" t="s">
        <v>686</v>
      </c>
      <c r="C5002" s="35" t="s">
        <v>687</v>
      </c>
      <c r="D5002" s="39">
        <v>1642.02001953125</v>
      </c>
      <c r="E5002" s="39">
        <v>1615.7340087890625</v>
      </c>
      <c r="F5002" s="41">
        <v>1651020</v>
      </c>
      <c r="G5002" s="35" t="s">
        <v>691</v>
      </c>
      <c r="H5002" s="35" t="s">
        <v>115</v>
      </c>
    </row>
    <row r="5003" spans="1:8">
      <c r="A5003" s="37">
        <v>45618.15625</v>
      </c>
      <c r="B5003" s="35" t="s">
        <v>686</v>
      </c>
      <c r="C5003" s="35" t="s">
        <v>687</v>
      </c>
      <c r="D5003" s="39">
        <v>1665.5</v>
      </c>
      <c r="E5003" s="39">
        <v>1638.8382568359375</v>
      </c>
      <c r="F5003" s="41">
        <v>2027685</v>
      </c>
      <c r="G5003" s="35" t="s">
        <v>691</v>
      </c>
      <c r="H5003" s="35" t="s">
        <v>115</v>
      </c>
    </row>
    <row r="5004" spans="1:8">
      <c r="A5004" s="37">
        <v>45621.15625</v>
      </c>
      <c r="B5004" s="35" t="s">
        <v>686</v>
      </c>
      <c r="C5004" s="35" t="s">
        <v>687</v>
      </c>
      <c r="D5004" s="39">
        <v>1722.3199462890625</v>
      </c>
      <c r="E5004" s="39">
        <v>1694.74853515625</v>
      </c>
      <c r="F5004" s="41">
        <v>2726845</v>
      </c>
      <c r="G5004" s="35" t="s">
        <v>691</v>
      </c>
      <c r="H5004" s="35" t="s">
        <v>115</v>
      </c>
    </row>
    <row r="5005" spans="1:8">
      <c r="A5005" s="37">
        <v>45622.15625</v>
      </c>
      <c r="B5005" s="35" t="s">
        <v>686</v>
      </c>
      <c r="C5005" s="35" t="s">
        <v>687</v>
      </c>
      <c r="D5005" s="39">
        <v>1723.31005859375</v>
      </c>
      <c r="E5005" s="39">
        <v>1695.72265625</v>
      </c>
      <c r="F5005" s="41">
        <v>1391695</v>
      </c>
      <c r="G5005" s="35" t="s">
        <v>691</v>
      </c>
      <c r="H5005" s="35" t="s">
        <v>115</v>
      </c>
    </row>
    <row r="5006" spans="1:8">
      <c r="A5006" s="37">
        <v>45623.15625</v>
      </c>
      <c r="B5006" s="35" t="s">
        <v>686</v>
      </c>
      <c r="C5006" s="35" t="s">
        <v>687</v>
      </c>
      <c r="D5006" s="39">
        <v>1734.5799560546875</v>
      </c>
      <c r="E5006" s="39">
        <v>1706.812255859375</v>
      </c>
      <c r="F5006" s="41">
        <v>1464925</v>
      </c>
      <c r="G5006" s="35" t="s">
        <v>691</v>
      </c>
      <c r="H5006" s="35" t="s">
        <v>115</v>
      </c>
    </row>
    <row r="5007" spans="1:8">
      <c r="A5007" s="37">
        <v>45624.15625</v>
      </c>
      <c r="B5007" s="35" t="s">
        <v>686</v>
      </c>
      <c r="C5007" s="35" t="s">
        <v>687</v>
      </c>
      <c r="D5007" s="39">
        <v>1732.2099609375</v>
      </c>
      <c r="E5007" s="39">
        <v>1704.480224609375</v>
      </c>
      <c r="F5007" s="41">
        <v>1939545</v>
      </c>
      <c r="G5007" s="35" t="s">
        <v>691</v>
      </c>
      <c r="H5007" s="35" t="s">
        <v>115</v>
      </c>
    </row>
    <row r="5008" spans="1:8">
      <c r="A5008" s="37">
        <v>45625.15625</v>
      </c>
      <c r="B5008" s="35" t="s">
        <v>686</v>
      </c>
      <c r="C5008" s="35" t="s">
        <v>687</v>
      </c>
      <c r="D5008" s="39">
        <v>1737.1700439453125</v>
      </c>
      <c r="E5008" s="39">
        <v>1709.3609619140625</v>
      </c>
      <c r="F5008" s="41">
        <v>1134725</v>
      </c>
      <c r="G5008" s="35" t="s">
        <v>691</v>
      </c>
      <c r="H5008" s="35" t="s">
        <v>115</v>
      </c>
    </row>
    <row r="5009" spans="1:8">
      <c r="A5009" s="37">
        <v>45628.15625</v>
      </c>
      <c r="B5009" s="35" t="s">
        <v>686</v>
      </c>
      <c r="C5009" s="35" t="s">
        <v>687</v>
      </c>
      <c r="D5009" s="39">
        <v>1742.1400146484375</v>
      </c>
      <c r="E5009" s="39">
        <v>1714.2510986328125</v>
      </c>
      <c r="F5009" s="41">
        <v>1185985</v>
      </c>
      <c r="G5009" s="35" t="s">
        <v>691</v>
      </c>
      <c r="H5009" s="35" t="s">
        <v>115</v>
      </c>
    </row>
    <row r="5010" spans="1:8">
      <c r="A5010" s="37">
        <v>45629.15625</v>
      </c>
      <c r="B5010" s="35" t="s">
        <v>686</v>
      </c>
      <c r="C5010" s="35" t="s">
        <v>687</v>
      </c>
      <c r="D5010" s="39">
        <v>1743.6500244140625</v>
      </c>
      <c r="E5010" s="39">
        <v>1715.7373046875</v>
      </c>
      <c r="F5010" s="41">
        <v>1255050</v>
      </c>
      <c r="G5010" s="35" t="s">
        <v>691</v>
      </c>
      <c r="H5010" s="35" t="s">
        <v>115</v>
      </c>
    </row>
    <row r="5011" spans="1:8">
      <c r="A5011" s="37">
        <v>45630.15625</v>
      </c>
      <c r="B5011" s="35" t="s">
        <v>686</v>
      </c>
      <c r="C5011" s="35" t="s">
        <v>687</v>
      </c>
      <c r="D5011" s="39">
        <v>1753.1800537109375</v>
      </c>
      <c r="E5011" s="39">
        <v>1725.1146240234375</v>
      </c>
      <c r="F5011" s="41">
        <v>1473405</v>
      </c>
      <c r="G5011" s="35" t="s">
        <v>691</v>
      </c>
      <c r="H5011" s="35" t="s">
        <v>115</v>
      </c>
    </row>
    <row r="5012" spans="1:8">
      <c r="A5012" s="37">
        <v>45631.15625</v>
      </c>
      <c r="B5012" s="35" t="s">
        <v>686</v>
      </c>
      <c r="C5012" s="35" t="s">
        <v>687</v>
      </c>
      <c r="D5012" s="39">
        <v>1763.56005859375</v>
      </c>
      <c r="E5012" s="39">
        <v>1735.328369140625</v>
      </c>
      <c r="F5012" s="41">
        <v>1843620</v>
      </c>
      <c r="G5012" s="35" t="s">
        <v>691</v>
      </c>
      <c r="H5012" s="35" t="s">
        <v>115</v>
      </c>
    </row>
    <row r="5013" spans="1:8">
      <c r="A5013" s="37">
        <v>45632.15625</v>
      </c>
      <c r="B5013" s="35" t="s">
        <v>686</v>
      </c>
      <c r="C5013" s="35" t="s">
        <v>687</v>
      </c>
      <c r="D5013" s="39">
        <v>1780.2900390625</v>
      </c>
      <c r="E5013" s="39">
        <v>1751.7904052734375</v>
      </c>
      <c r="F5013" s="41">
        <v>1341275</v>
      </c>
      <c r="G5013" s="35" t="s">
        <v>691</v>
      </c>
      <c r="H5013" s="35" t="s">
        <v>115</v>
      </c>
    </row>
    <row r="5014" spans="1:8">
      <c r="A5014" s="37">
        <v>45635.15625</v>
      </c>
      <c r="B5014" s="35" t="s">
        <v>686</v>
      </c>
      <c r="C5014" s="35" t="s">
        <v>687</v>
      </c>
      <c r="D5014" s="39">
        <v>1783.719970703125</v>
      </c>
      <c r="E5014" s="39">
        <v>1755.1656494140625</v>
      </c>
      <c r="F5014" s="41">
        <v>1640065</v>
      </c>
      <c r="G5014" s="35" t="s">
        <v>691</v>
      </c>
      <c r="H5014" s="35" t="s">
        <v>115</v>
      </c>
    </row>
    <row r="5015" spans="1:8">
      <c r="A5015" s="37">
        <v>45636.15625</v>
      </c>
      <c r="B5015" s="35" t="s">
        <v>686</v>
      </c>
      <c r="C5015" s="35" t="s">
        <v>687</v>
      </c>
      <c r="D5015" s="39">
        <v>1801.7099609375</v>
      </c>
      <c r="E5015" s="39">
        <v>1772.867431640625</v>
      </c>
      <c r="F5015" s="41">
        <v>1984440</v>
      </c>
      <c r="G5015" s="35" t="s">
        <v>691</v>
      </c>
      <c r="H5015" s="35" t="s">
        <v>115</v>
      </c>
    </row>
    <row r="5016" spans="1:8">
      <c r="A5016" s="37">
        <v>45637.15625</v>
      </c>
      <c r="B5016" s="35" t="s">
        <v>686</v>
      </c>
      <c r="C5016" s="35" t="s">
        <v>687</v>
      </c>
      <c r="D5016" s="39">
        <v>1799.239990234375</v>
      </c>
      <c r="E5016" s="39">
        <v>1770.437255859375</v>
      </c>
      <c r="F5016" s="41">
        <v>1204175</v>
      </c>
      <c r="G5016" s="35" t="s">
        <v>691</v>
      </c>
      <c r="H5016" s="35" t="s">
        <v>115</v>
      </c>
    </row>
    <row r="5017" spans="1:8">
      <c r="A5017" s="37">
        <v>45638.15625</v>
      </c>
      <c r="B5017" s="35" t="s">
        <v>686</v>
      </c>
      <c r="C5017" s="35" t="s">
        <v>687</v>
      </c>
      <c r="D5017" s="39">
        <v>1839.18994140625</v>
      </c>
      <c r="E5017" s="39">
        <v>1809.74755859375</v>
      </c>
      <c r="F5017" s="41">
        <v>3366405</v>
      </c>
      <c r="G5017" s="35" t="s">
        <v>691</v>
      </c>
      <c r="H5017" s="35" t="s">
        <v>115</v>
      </c>
    </row>
    <row r="5018" spans="1:8">
      <c r="A5018" s="37">
        <v>45639.15625</v>
      </c>
      <c r="B5018" s="35" t="s">
        <v>686</v>
      </c>
      <c r="C5018" s="35" t="s">
        <v>687</v>
      </c>
      <c r="D5018" s="39">
        <v>1860.1500244140625</v>
      </c>
      <c r="E5018" s="39">
        <v>1830.372314453125</v>
      </c>
      <c r="F5018" s="41">
        <v>2085325</v>
      </c>
      <c r="G5018" s="35" t="s">
        <v>691</v>
      </c>
      <c r="H5018" s="35" t="s">
        <v>115</v>
      </c>
    </row>
    <row r="5019" spans="1:8">
      <c r="A5019" s="37">
        <v>45642.15625</v>
      </c>
      <c r="B5019" s="35" t="s">
        <v>686</v>
      </c>
      <c r="C5019" s="35" t="s">
        <v>687</v>
      </c>
      <c r="D5019" s="39">
        <v>1856.93994140625</v>
      </c>
      <c r="E5019" s="39">
        <v>1827.21337890625</v>
      </c>
      <c r="F5019" s="41">
        <v>1158075</v>
      </c>
      <c r="G5019" s="35" t="s">
        <v>691</v>
      </c>
      <c r="H5019" s="35" t="s">
        <v>115</v>
      </c>
    </row>
    <row r="5020" spans="1:8">
      <c r="A5020" s="37">
        <v>45643.15625</v>
      </c>
      <c r="B5020" s="35" t="s">
        <v>686</v>
      </c>
      <c r="C5020" s="35" t="s">
        <v>687</v>
      </c>
      <c r="D5020" s="39">
        <v>1880.5899658203125</v>
      </c>
      <c r="E5020" s="39">
        <v>1850.4847412109375</v>
      </c>
      <c r="F5020" s="41">
        <v>1472610</v>
      </c>
      <c r="G5020" s="35" t="s">
        <v>691</v>
      </c>
      <c r="H5020" s="35" t="s">
        <v>115</v>
      </c>
    </row>
    <row r="5021" spans="1:8">
      <c r="A5021" s="37">
        <v>45644.15625</v>
      </c>
      <c r="B5021" s="35" t="s">
        <v>686</v>
      </c>
      <c r="C5021" s="35" t="s">
        <v>687</v>
      </c>
      <c r="D5021" s="39">
        <v>1894.27001953125</v>
      </c>
      <c r="E5021" s="39">
        <v>1863.94580078125</v>
      </c>
      <c r="F5021" s="41">
        <v>2166950</v>
      </c>
      <c r="G5021" s="35" t="s">
        <v>691</v>
      </c>
      <c r="H5021" s="35" t="s">
        <v>115</v>
      </c>
    </row>
    <row r="5022" spans="1:8">
      <c r="A5022" s="37">
        <v>45645.15625</v>
      </c>
      <c r="B5022" s="35" t="s">
        <v>686</v>
      </c>
      <c r="C5022" s="35" t="s">
        <v>687</v>
      </c>
      <c r="D5022" s="39">
        <v>1931.4200439453125</v>
      </c>
      <c r="E5022" s="39">
        <v>1900.501220703125</v>
      </c>
      <c r="F5022" s="41">
        <v>3270965</v>
      </c>
      <c r="G5022" s="35" t="s">
        <v>691</v>
      </c>
      <c r="H5022" s="35" t="s">
        <v>115</v>
      </c>
    </row>
    <row r="5023" spans="1:8">
      <c r="A5023" s="37">
        <v>45646.15625</v>
      </c>
      <c r="B5023" s="35" t="s">
        <v>686</v>
      </c>
      <c r="C5023" s="35" t="s">
        <v>687</v>
      </c>
      <c r="D5023" s="39">
        <v>1874.0899658203125</v>
      </c>
      <c r="E5023" s="39">
        <v>1844.0888671875</v>
      </c>
      <c r="F5023" s="41">
        <v>2766050</v>
      </c>
      <c r="G5023" s="35" t="s">
        <v>691</v>
      </c>
      <c r="H5023" s="35" t="s">
        <v>115</v>
      </c>
    </row>
    <row r="5024" spans="1:8">
      <c r="A5024" s="37">
        <v>45649.15625</v>
      </c>
      <c r="B5024" s="35" t="s">
        <v>686</v>
      </c>
      <c r="C5024" s="35" t="s">
        <v>687</v>
      </c>
      <c r="D5024" s="39">
        <v>1881.27001953125</v>
      </c>
      <c r="E5024" s="39">
        <v>1851.154052734375</v>
      </c>
      <c r="F5024" s="41">
        <v>1558340</v>
      </c>
      <c r="G5024" s="35" t="s">
        <v>691</v>
      </c>
      <c r="H5024" s="35" t="s">
        <v>115</v>
      </c>
    </row>
    <row r="5025" spans="1:8">
      <c r="A5025" s="37">
        <v>45650.15625</v>
      </c>
      <c r="B5025" s="35" t="s">
        <v>686</v>
      </c>
      <c r="C5025" s="35" t="s">
        <v>687</v>
      </c>
      <c r="D5025" s="39">
        <v>1878.739990234375</v>
      </c>
      <c r="E5025" s="39">
        <v>1848.66455078125</v>
      </c>
      <c r="F5025" s="41">
        <v>1205330</v>
      </c>
      <c r="G5025" s="35" t="s">
        <v>691</v>
      </c>
      <c r="H5025" s="35" t="s">
        <v>115</v>
      </c>
    </row>
    <row r="5026" spans="1:8">
      <c r="A5026" s="37">
        <v>45652.15625</v>
      </c>
      <c r="B5026" s="35" t="s">
        <v>686</v>
      </c>
      <c r="C5026" s="35" t="s">
        <v>687</v>
      </c>
      <c r="D5026" s="39">
        <v>1898.6500244140625</v>
      </c>
      <c r="E5026" s="39">
        <v>1868.255859375</v>
      </c>
      <c r="F5026" s="41">
        <v>1494590</v>
      </c>
      <c r="G5026" s="35" t="s">
        <v>691</v>
      </c>
      <c r="H5026" s="35" t="s">
        <v>115</v>
      </c>
    </row>
    <row r="5027" spans="1:8">
      <c r="A5027" s="37">
        <v>45653.15625</v>
      </c>
      <c r="B5027" s="35" t="s">
        <v>686</v>
      </c>
      <c r="C5027" s="35" t="s">
        <v>687</v>
      </c>
      <c r="D5027" s="39">
        <v>1890.219970703125</v>
      </c>
      <c r="E5027" s="39">
        <v>1859.960693359375</v>
      </c>
      <c r="F5027" s="41">
        <v>1097480</v>
      </c>
      <c r="G5027" s="35" t="s">
        <v>691</v>
      </c>
      <c r="H5027" s="35" t="s">
        <v>115</v>
      </c>
    </row>
    <row r="5028" spans="1:8">
      <c r="A5028" s="37">
        <v>45656.15625</v>
      </c>
      <c r="B5028" s="35" t="s">
        <v>686</v>
      </c>
      <c r="C5028" s="35" t="s">
        <v>687</v>
      </c>
      <c r="D5028" s="39">
        <v>1963.5899658203125</v>
      </c>
      <c r="E5028" s="39">
        <v>1932.1561279296875</v>
      </c>
      <c r="F5028" s="41">
        <v>6871995</v>
      </c>
      <c r="G5028" s="35" t="s">
        <v>691</v>
      </c>
      <c r="H5028" s="35" t="s">
        <v>115</v>
      </c>
    </row>
    <row r="5029" spans="1:8">
      <c r="A5029" s="37">
        <v>45657.15625</v>
      </c>
      <c r="B5029" s="35" t="s">
        <v>686</v>
      </c>
      <c r="C5029" s="35" t="s">
        <v>687</v>
      </c>
      <c r="D5029" s="39">
        <v>1932.5899658203125</v>
      </c>
      <c r="E5029" s="39">
        <v>1901.65234375</v>
      </c>
      <c r="F5029" s="41">
        <v>1806665</v>
      </c>
      <c r="G5029" s="35" t="s">
        <v>691</v>
      </c>
      <c r="H5029" s="35" t="s">
        <v>115</v>
      </c>
    </row>
    <row r="5030" spans="1:8">
      <c r="A5030" s="37">
        <v>45658.15625</v>
      </c>
      <c r="B5030" s="35" t="s">
        <v>686</v>
      </c>
      <c r="C5030" s="35" t="s">
        <v>687</v>
      </c>
      <c r="D5030" s="39">
        <v>1925.7099609375</v>
      </c>
      <c r="E5030" s="39">
        <v>1894.882568359375</v>
      </c>
      <c r="F5030" s="41">
        <v>798575</v>
      </c>
      <c r="G5030" s="35" t="s">
        <v>691</v>
      </c>
      <c r="H5030" s="35" t="s">
        <v>115</v>
      </c>
    </row>
    <row r="5031" spans="1:8">
      <c r="A5031" s="37">
        <v>45659.15625</v>
      </c>
      <c r="B5031" s="35" t="s">
        <v>686</v>
      </c>
      <c r="C5031" s="35" t="s">
        <v>687</v>
      </c>
      <c r="D5031" s="39">
        <v>1939.3299560546875</v>
      </c>
      <c r="E5031" s="39">
        <v>1908.2845458984375</v>
      </c>
      <c r="F5031" s="41">
        <v>1858400</v>
      </c>
      <c r="G5031" s="35" t="s">
        <v>691</v>
      </c>
      <c r="H5031" s="35" t="s">
        <v>115</v>
      </c>
    </row>
    <row r="5032" spans="1:8">
      <c r="A5032" s="37">
        <v>45660.15625</v>
      </c>
      <c r="B5032" s="35" t="s">
        <v>686</v>
      </c>
      <c r="C5032" s="35" t="s">
        <v>687</v>
      </c>
      <c r="D5032" s="39">
        <v>1933.9300537109375</v>
      </c>
      <c r="E5032" s="39">
        <v>1902.9710693359375</v>
      </c>
      <c r="F5032" s="41">
        <v>1501210</v>
      </c>
      <c r="G5032" s="35" t="s">
        <v>691</v>
      </c>
      <c r="H5032" s="35" t="s">
        <v>115</v>
      </c>
    </row>
    <row r="5033" spans="1:8">
      <c r="A5033" s="37">
        <v>45663.15625</v>
      </c>
      <c r="B5033" s="35" t="s">
        <v>686</v>
      </c>
      <c r="C5033" s="35" t="s">
        <v>687</v>
      </c>
      <c r="D5033" s="39">
        <v>1926.3499755859375</v>
      </c>
      <c r="E5033" s="39">
        <v>1895.51220703125</v>
      </c>
      <c r="F5033" s="41">
        <v>1655670</v>
      </c>
      <c r="G5033" s="35" t="s">
        <v>691</v>
      </c>
      <c r="H5033" s="35" t="s">
        <v>115</v>
      </c>
    </row>
    <row r="5034" spans="1:8">
      <c r="A5034" s="37">
        <v>45664.15625</v>
      </c>
      <c r="B5034" s="35" t="s">
        <v>686</v>
      </c>
      <c r="C5034" s="35" t="s">
        <v>687</v>
      </c>
      <c r="D5034" s="39">
        <v>1924.0400390625</v>
      </c>
      <c r="E5034" s="39">
        <v>1893.2392578125</v>
      </c>
      <c r="F5034" s="41">
        <v>3033345</v>
      </c>
      <c r="G5034" s="35" t="s">
        <v>691</v>
      </c>
      <c r="H5034" s="35" t="s">
        <v>115</v>
      </c>
    </row>
    <row r="5035" spans="1:8">
      <c r="A5035" s="37">
        <v>45665.15625</v>
      </c>
      <c r="B5035" s="35" t="s">
        <v>686</v>
      </c>
      <c r="C5035" s="35" t="s">
        <v>687</v>
      </c>
      <c r="D5035" s="39">
        <v>1911.5999755859375</v>
      </c>
      <c r="E5035" s="39">
        <v>1880.9984130859375</v>
      </c>
      <c r="F5035" s="41">
        <v>1219475</v>
      </c>
      <c r="G5035" s="35" t="s">
        <v>691</v>
      </c>
      <c r="H5035" s="35" t="s">
        <v>115</v>
      </c>
    </row>
    <row r="5036" spans="1:8">
      <c r="A5036" s="37">
        <v>45666.15625</v>
      </c>
      <c r="B5036" s="35" t="s">
        <v>686</v>
      </c>
      <c r="C5036" s="35" t="s">
        <v>687</v>
      </c>
      <c r="D5036" s="39">
        <v>1856.5999755859375</v>
      </c>
      <c r="E5036" s="39">
        <v>1826.8787841796875</v>
      </c>
      <c r="F5036" s="41">
        <v>1249660</v>
      </c>
      <c r="G5036" s="35" t="s">
        <v>691</v>
      </c>
      <c r="H5036" s="35" t="s">
        <v>115</v>
      </c>
    </row>
    <row r="5037" spans="1:8">
      <c r="A5037" s="37">
        <v>45667.15625</v>
      </c>
      <c r="B5037" s="35" t="s">
        <v>686</v>
      </c>
      <c r="C5037" s="35" t="s">
        <v>687</v>
      </c>
      <c r="D5037" s="39">
        <v>1880.8299560546875</v>
      </c>
      <c r="E5037" s="39">
        <v>1850.720947265625</v>
      </c>
      <c r="F5037" s="41">
        <v>3126025</v>
      </c>
      <c r="G5037" s="35" t="s">
        <v>691</v>
      </c>
      <c r="H5037" s="35" t="s">
        <v>115</v>
      </c>
    </row>
    <row r="5038" spans="1:8">
      <c r="A5038" s="37">
        <v>45670.15625</v>
      </c>
      <c r="B5038" s="35" t="s">
        <v>686</v>
      </c>
      <c r="C5038" s="35" t="s">
        <v>687</v>
      </c>
      <c r="D5038" s="39">
        <v>1741.1099853515625</v>
      </c>
      <c r="E5038" s="39">
        <v>1713.2376708984375</v>
      </c>
      <c r="F5038" s="41">
        <v>4296765</v>
      </c>
      <c r="G5038" s="35" t="s">
        <v>691</v>
      </c>
      <c r="H5038" s="35" t="s">
        <v>115</v>
      </c>
    </row>
    <row r="5039" spans="1:8">
      <c r="A5039" s="37">
        <v>45671.15625</v>
      </c>
      <c r="B5039" s="35" t="s">
        <v>686</v>
      </c>
      <c r="C5039" s="35" t="s">
        <v>687</v>
      </c>
      <c r="D5039" s="39">
        <v>1718.47998046875</v>
      </c>
      <c r="E5039" s="39">
        <v>1690.9700927734375</v>
      </c>
      <c r="F5039" s="41">
        <v>4304205</v>
      </c>
      <c r="G5039" s="35" t="s">
        <v>691</v>
      </c>
      <c r="H5039" s="35" t="s">
        <v>115</v>
      </c>
    </row>
    <row r="5040" spans="1:8">
      <c r="A5040" s="37">
        <v>45672.15625</v>
      </c>
      <c r="B5040" s="35" t="s">
        <v>686</v>
      </c>
      <c r="C5040" s="35" t="s">
        <v>687</v>
      </c>
      <c r="D5040" s="39">
        <v>1716.6700439453125</v>
      </c>
      <c r="E5040" s="39">
        <v>1689.1890869140625</v>
      </c>
      <c r="F5040" s="41">
        <v>3338060</v>
      </c>
      <c r="G5040" s="35" t="s">
        <v>691</v>
      </c>
      <c r="H5040" s="35" t="s">
        <v>115</v>
      </c>
    </row>
    <row r="5041" spans="1:8">
      <c r="A5041" s="37">
        <v>45673.15625</v>
      </c>
      <c r="B5041" s="35" t="s">
        <v>686</v>
      </c>
      <c r="C5041" s="35" t="s">
        <v>687</v>
      </c>
      <c r="D5041" s="39">
        <v>1746.27001953125</v>
      </c>
      <c r="E5041" s="39">
        <v>1718.315185546875</v>
      </c>
      <c r="F5041" s="41">
        <v>1870420</v>
      </c>
      <c r="G5041" s="35" t="s">
        <v>691</v>
      </c>
      <c r="H5041" s="35" t="s">
        <v>115</v>
      </c>
    </row>
    <row r="5042" spans="1:8">
      <c r="A5042" s="37">
        <v>45674.15625</v>
      </c>
      <c r="B5042" s="35" t="s">
        <v>686</v>
      </c>
      <c r="C5042" s="35" t="s">
        <v>687</v>
      </c>
      <c r="D5042" s="39">
        <v>1728.31005859375</v>
      </c>
      <c r="E5042" s="39">
        <v>1700.642578125</v>
      </c>
      <c r="F5042" s="41">
        <v>1539025</v>
      </c>
      <c r="G5042" s="35" t="s">
        <v>691</v>
      </c>
      <c r="H5042" s="35" t="s">
        <v>115</v>
      </c>
    </row>
    <row r="5043" spans="1:8">
      <c r="A5043" s="37">
        <v>45677.15625</v>
      </c>
      <c r="B5043" s="35" t="s">
        <v>686</v>
      </c>
      <c r="C5043" s="35" t="s">
        <v>687</v>
      </c>
      <c r="D5043" s="39">
        <v>1732.4200439453125</v>
      </c>
      <c r="E5043" s="39">
        <v>1704.6868896484375</v>
      </c>
      <c r="F5043" s="41">
        <v>1751100</v>
      </c>
      <c r="G5043" s="35" t="s">
        <v>691</v>
      </c>
      <c r="H5043" s="35" t="s">
        <v>115</v>
      </c>
    </row>
    <row r="5044" spans="1:8">
      <c r="A5044" s="37">
        <v>45678.15625</v>
      </c>
      <c r="B5044" s="35" t="s">
        <v>686</v>
      </c>
      <c r="C5044" s="35" t="s">
        <v>687</v>
      </c>
      <c r="D5044" s="39">
        <v>1652.219970703125</v>
      </c>
      <c r="E5044" s="39">
        <v>1625.770751953125</v>
      </c>
      <c r="F5044" s="41">
        <v>2384255</v>
      </c>
      <c r="G5044" s="35" t="s">
        <v>691</v>
      </c>
      <c r="H5044" s="35" t="s">
        <v>115</v>
      </c>
    </row>
    <row r="5045" spans="1:8">
      <c r="A5045" s="37">
        <v>45679.15625</v>
      </c>
      <c r="B5045" s="35" t="s">
        <v>686</v>
      </c>
      <c r="C5045" s="35" t="s">
        <v>687</v>
      </c>
      <c r="D5045" s="39">
        <v>1645.6400146484375</v>
      </c>
      <c r="E5045" s="39">
        <v>1619.2960205078125</v>
      </c>
      <c r="F5045" s="41">
        <v>1743890</v>
      </c>
      <c r="G5045" s="35" t="s">
        <v>691</v>
      </c>
      <c r="H5045" s="35" t="s">
        <v>115</v>
      </c>
    </row>
    <row r="5046" spans="1:8">
      <c r="A5046" s="37">
        <v>45680.15625</v>
      </c>
      <c r="B5046" s="35" t="s">
        <v>686</v>
      </c>
      <c r="C5046" s="35" t="s">
        <v>687</v>
      </c>
      <c r="D5046" s="39">
        <v>1839.2900390625</v>
      </c>
      <c r="E5046" s="39">
        <v>1809.8460693359375</v>
      </c>
      <c r="F5046" s="41">
        <v>11712525</v>
      </c>
      <c r="G5046" s="35" t="s">
        <v>691</v>
      </c>
      <c r="H5046" s="35" t="s">
        <v>115</v>
      </c>
    </row>
    <row r="5047" spans="1:8">
      <c r="A5047" s="37">
        <v>45681.15625</v>
      </c>
      <c r="B5047" s="35" t="s">
        <v>686</v>
      </c>
      <c r="C5047" s="35" t="s">
        <v>687</v>
      </c>
      <c r="D5047" s="39">
        <v>1846.9200439453125</v>
      </c>
      <c r="E5047" s="39">
        <v>1817.3538818359375</v>
      </c>
      <c r="F5047" s="41">
        <v>4203395</v>
      </c>
      <c r="G5047" s="35" t="s">
        <v>691</v>
      </c>
      <c r="H5047" s="35" t="s">
        <v>115</v>
      </c>
    </row>
    <row r="5048" spans="1:8">
      <c r="A5048" s="37">
        <v>45684.15625</v>
      </c>
      <c r="B5048" s="35" t="s">
        <v>686</v>
      </c>
      <c r="C5048" s="35" t="s">
        <v>687</v>
      </c>
      <c r="D5048" s="39">
        <v>1760.3399658203125</v>
      </c>
      <c r="E5048" s="39">
        <v>1732.1597900390625</v>
      </c>
      <c r="F5048" s="41">
        <v>2747535</v>
      </c>
      <c r="G5048" s="35" t="s">
        <v>691</v>
      </c>
      <c r="H5048" s="35" t="s">
        <v>115</v>
      </c>
    </row>
    <row r="5049" spans="1:8">
      <c r="A5049" s="37">
        <v>45685.15625</v>
      </c>
      <c r="B5049" s="35" t="s">
        <v>686</v>
      </c>
      <c r="C5049" s="35" t="s">
        <v>687</v>
      </c>
      <c r="D5049" s="39">
        <v>1699.760009765625</v>
      </c>
      <c r="E5049" s="39">
        <v>1672.5496826171875</v>
      </c>
      <c r="F5049" s="41">
        <v>4544885</v>
      </c>
      <c r="G5049" s="35" t="s">
        <v>691</v>
      </c>
      <c r="H5049" s="35" t="s">
        <v>115</v>
      </c>
    </row>
    <row r="5050" spans="1:8">
      <c r="A5050" s="37">
        <v>45686.15625</v>
      </c>
      <c r="B5050" s="35" t="s">
        <v>686</v>
      </c>
      <c r="C5050" s="35" t="s">
        <v>687</v>
      </c>
      <c r="D5050" s="39">
        <v>1749.31005859375</v>
      </c>
      <c r="E5050" s="39">
        <v>1721.306396484375</v>
      </c>
      <c r="F5050" s="41">
        <v>1885050</v>
      </c>
      <c r="G5050" s="35" t="s">
        <v>691</v>
      </c>
      <c r="H5050" s="35" t="s">
        <v>115</v>
      </c>
    </row>
    <row r="5051" spans="1:8">
      <c r="A5051" s="37">
        <v>45687.15625</v>
      </c>
      <c r="B5051" s="35" t="s">
        <v>686</v>
      </c>
      <c r="C5051" s="35" t="s">
        <v>687</v>
      </c>
      <c r="D5051" s="39">
        <v>1665.469970703125</v>
      </c>
      <c r="E5051" s="39">
        <v>1642.376220703125</v>
      </c>
      <c r="F5051" s="41">
        <v>2721965</v>
      </c>
      <c r="G5051" s="35" t="s">
        <v>691</v>
      </c>
      <c r="H5051" s="35" t="s">
        <v>115</v>
      </c>
    </row>
    <row r="5052" spans="1:8">
      <c r="A5052" s="37">
        <v>45688.15625</v>
      </c>
      <c r="B5052" s="35" t="s">
        <v>686</v>
      </c>
      <c r="C5052" s="35" t="s">
        <v>687</v>
      </c>
      <c r="D5052" s="39">
        <v>1652.77001953125</v>
      </c>
      <c r="E5052" s="39">
        <v>1629.8524169921875</v>
      </c>
      <c r="F5052" s="41">
        <v>1847675</v>
      </c>
      <c r="G5052" s="35" t="s">
        <v>691</v>
      </c>
      <c r="H5052" s="35" t="s">
        <v>115</v>
      </c>
    </row>
    <row r="5053" spans="1:8">
      <c r="A5053" s="37">
        <v>45689.15625</v>
      </c>
      <c r="B5053" s="35" t="s">
        <v>686</v>
      </c>
      <c r="C5053" s="35" t="s">
        <v>687</v>
      </c>
      <c r="D5053" s="39">
        <v>1615.27001953125</v>
      </c>
      <c r="E5053" s="39">
        <v>1592.8724365234375</v>
      </c>
      <c r="F5053" s="41">
        <v>937265</v>
      </c>
      <c r="G5053" s="35" t="s">
        <v>691</v>
      </c>
      <c r="H5053" s="35" t="s">
        <v>115</v>
      </c>
    </row>
    <row r="5054" spans="1:8">
      <c r="A5054" s="37">
        <v>45691.15625</v>
      </c>
      <c r="B5054" s="35" t="s">
        <v>686</v>
      </c>
      <c r="C5054" s="35" t="s">
        <v>687</v>
      </c>
      <c r="D5054" s="39">
        <v>1668.8199462890625</v>
      </c>
      <c r="E5054" s="39">
        <v>1645.6798095703125</v>
      </c>
      <c r="F5054" s="41">
        <v>2057765</v>
      </c>
      <c r="G5054" s="35" t="s">
        <v>691</v>
      </c>
      <c r="H5054" s="35" t="s">
        <v>115</v>
      </c>
    </row>
    <row r="5055" spans="1:8">
      <c r="A5055" s="37">
        <v>45692.15625</v>
      </c>
      <c r="B5055" s="35" t="s">
        <v>686</v>
      </c>
      <c r="C5055" s="35" t="s">
        <v>687</v>
      </c>
      <c r="D5055" s="39">
        <v>1691.81005859375</v>
      </c>
      <c r="E5055" s="39">
        <v>1668.35107421875</v>
      </c>
      <c r="F5055" s="41">
        <v>2373995</v>
      </c>
      <c r="G5055" s="35" t="s">
        <v>691</v>
      </c>
      <c r="H5055" s="35" t="s">
        <v>115</v>
      </c>
    </row>
    <row r="5056" spans="1:8">
      <c r="A5056" s="37">
        <v>45693.15625</v>
      </c>
      <c r="B5056" s="35" t="s">
        <v>686</v>
      </c>
      <c r="C5056" s="35" t="s">
        <v>687</v>
      </c>
      <c r="D5056" s="39">
        <v>1700.4300537109375</v>
      </c>
      <c r="E5056" s="39">
        <v>1676.8515625</v>
      </c>
      <c r="F5056" s="41">
        <v>1488925</v>
      </c>
      <c r="G5056" s="35" t="s">
        <v>691</v>
      </c>
      <c r="H5056" s="35" t="s">
        <v>115</v>
      </c>
    </row>
    <row r="5057" spans="1:8">
      <c r="A5057" s="37">
        <v>45694.15625</v>
      </c>
      <c r="B5057" s="35" t="s">
        <v>686</v>
      </c>
      <c r="C5057" s="35" t="s">
        <v>687</v>
      </c>
      <c r="D5057" s="39">
        <v>1704.27001953125</v>
      </c>
      <c r="E5057" s="39">
        <v>1680.638427734375</v>
      </c>
      <c r="F5057" s="41">
        <v>1204375</v>
      </c>
      <c r="G5057" s="35" t="s">
        <v>691</v>
      </c>
      <c r="H5057" s="35" t="s">
        <v>115</v>
      </c>
    </row>
    <row r="5058" spans="1:8">
      <c r="A5058" s="37">
        <v>45695.15625</v>
      </c>
      <c r="B5058" s="35" t="s">
        <v>686</v>
      </c>
      <c r="C5058" s="35" t="s">
        <v>687</v>
      </c>
      <c r="D5058" s="39">
        <v>1707.1700439453125</v>
      </c>
      <c r="E5058" s="39">
        <v>1683.498046875</v>
      </c>
      <c r="F5058" s="41">
        <v>1508765</v>
      </c>
      <c r="G5058" s="35" t="s">
        <v>691</v>
      </c>
      <c r="H5058" s="35" t="s">
        <v>115</v>
      </c>
    </row>
    <row r="5059" spans="1:8">
      <c r="A5059" s="37">
        <v>45698.15625</v>
      </c>
      <c r="B5059" s="35" t="s">
        <v>686</v>
      </c>
      <c r="C5059" s="35" t="s">
        <v>687</v>
      </c>
      <c r="D5059" s="39">
        <v>1682.8900146484375</v>
      </c>
      <c r="E5059" s="39">
        <v>1659.5548095703125</v>
      </c>
      <c r="F5059" s="41">
        <v>1345735</v>
      </c>
      <c r="G5059" s="35" t="s">
        <v>691</v>
      </c>
      <c r="H5059" s="35" t="s">
        <v>115</v>
      </c>
    </row>
    <row r="5060" spans="1:8">
      <c r="A5060" s="37">
        <v>45699.15625</v>
      </c>
      <c r="B5060" s="35" t="s">
        <v>686</v>
      </c>
      <c r="C5060" s="35" t="s">
        <v>687</v>
      </c>
      <c r="D5060" s="39">
        <v>1619.3499755859375</v>
      </c>
      <c r="E5060" s="39">
        <v>1596.8958740234375</v>
      </c>
      <c r="F5060" s="41">
        <v>1279875</v>
      </c>
      <c r="G5060" s="35" t="s">
        <v>691</v>
      </c>
      <c r="H5060" s="35" t="s">
        <v>115</v>
      </c>
    </row>
    <row r="5061" spans="1:8">
      <c r="A5061" s="37">
        <v>45700.15625</v>
      </c>
      <c r="B5061" s="35" t="s">
        <v>686</v>
      </c>
      <c r="C5061" s="35" t="s">
        <v>687</v>
      </c>
      <c r="D5061" s="39">
        <v>1600.8800048828125</v>
      </c>
      <c r="E5061" s="39">
        <v>1578.6820068359375</v>
      </c>
      <c r="F5061" s="41">
        <v>5689675</v>
      </c>
      <c r="G5061" s="35" t="s">
        <v>691</v>
      </c>
      <c r="H5061" s="35" t="s">
        <v>115</v>
      </c>
    </row>
    <row r="5062" spans="1:8">
      <c r="A5062" s="37">
        <v>45701.15625</v>
      </c>
      <c r="B5062" s="35" t="s">
        <v>686</v>
      </c>
      <c r="C5062" s="35" t="s">
        <v>687</v>
      </c>
      <c r="D5062" s="39">
        <v>1575.0899658203125</v>
      </c>
      <c r="E5062" s="39">
        <v>1553.2493896484375</v>
      </c>
      <c r="F5062" s="41">
        <v>1720920</v>
      </c>
      <c r="G5062" s="35" t="s">
        <v>691</v>
      </c>
      <c r="H5062" s="35" t="s">
        <v>115</v>
      </c>
    </row>
    <row r="5063" spans="1:8">
      <c r="A5063" s="37">
        <v>45702.15625</v>
      </c>
      <c r="B5063" s="35" t="s">
        <v>686</v>
      </c>
      <c r="C5063" s="35" t="s">
        <v>687</v>
      </c>
      <c r="D5063" s="39">
        <v>1558.6700439453125</v>
      </c>
      <c r="E5063" s="39">
        <v>1537.0572509765625</v>
      </c>
      <c r="F5063" s="41">
        <v>2360225</v>
      </c>
      <c r="G5063" s="35" t="s">
        <v>691</v>
      </c>
      <c r="H5063" s="35" t="s">
        <v>115</v>
      </c>
    </row>
    <row r="5064" spans="1:8">
      <c r="A5064" s="37">
        <v>45705.15625</v>
      </c>
      <c r="B5064" s="35" t="s">
        <v>686</v>
      </c>
      <c r="C5064" s="35" t="s">
        <v>687</v>
      </c>
      <c r="D5064" s="39">
        <v>1536.7900390625</v>
      </c>
      <c r="E5064" s="39">
        <v>1515.4805908203125</v>
      </c>
      <c r="F5064" s="41">
        <v>2375535</v>
      </c>
      <c r="G5064" s="35" t="s">
        <v>691</v>
      </c>
      <c r="H5064" s="35" t="s">
        <v>115</v>
      </c>
    </row>
    <row r="5065" spans="1:8">
      <c r="A5065" s="37">
        <v>45706.15625</v>
      </c>
      <c r="B5065" s="35" t="s">
        <v>686</v>
      </c>
      <c r="C5065" s="35" t="s">
        <v>687</v>
      </c>
      <c r="D5065" s="39">
        <v>1538.449951171875</v>
      </c>
      <c r="E5065" s="39">
        <v>1517.1175537109375</v>
      </c>
      <c r="F5065" s="41">
        <v>2664345</v>
      </c>
      <c r="G5065" s="35" t="s">
        <v>691</v>
      </c>
      <c r="H5065" s="35" t="s">
        <v>115</v>
      </c>
    </row>
    <row r="5066" spans="1:8">
      <c r="A5066" s="37">
        <v>45707.15625</v>
      </c>
      <c r="B5066" s="35" t="s">
        <v>686</v>
      </c>
      <c r="C5066" s="35" t="s">
        <v>687</v>
      </c>
      <c r="D5066" s="39">
        <v>1554.9300537109375</v>
      </c>
      <c r="E5066" s="39">
        <v>1533.3692626953125</v>
      </c>
      <c r="F5066" s="41">
        <v>1992460</v>
      </c>
      <c r="G5066" s="35" t="s">
        <v>691</v>
      </c>
      <c r="H5066" s="35" t="s">
        <v>115</v>
      </c>
    </row>
    <row r="5067" spans="1:8">
      <c r="A5067" s="37">
        <v>45708.15625</v>
      </c>
      <c r="B5067" s="35" t="s">
        <v>686</v>
      </c>
      <c r="C5067" s="35" t="s">
        <v>687</v>
      </c>
      <c r="D5067" s="39">
        <v>1558.6700439453125</v>
      </c>
      <c r="E5067" s="39">
        <v>1537.0572509765625</v>
      </c>
      <c r="F5067" s="41">
        <v>2927410</v>
      </c>
      <c r="G5067" s="35" t="s">
        <v>691</v>
      </c>
      <c r="H5067" s="35" t="s">
        <v>115</v>
      </c>
    </row>
    <row r="5068" spans="1:8">
      <c r="A5068" s="37">
        <v>45709.15625</v>
      </c>
      <c r="B5068" s="35" t="s">
        <v>686</v>
      </c>
      <c r="C5068" s="35" t="s">
        <v>687</v>
      </c>
      <c r="D5068" s="39">
        <v>1499.239990234375</v>
      </c>
      <c r="E5068" s="39">
        <v>1478.4512939453125</v>
      </c>
      <c r="F5068" s="41">
        <v>3057110</v>
      </c>
      <c r="G5068" s="35" t="s">
        <v>691</v>
      </c>
      <c r="H5068" s="35" t="s">
        <v>115</v>
      </c>
    </row>
    <row r="5069" spans="1:8">
      <c r="A5069" s="37">
        <v>45712.15625</v>
      </c>
      <c r="B5069" s="35" t="s">
        <v>686</v>
      </c>
      <c r="C5069" s="35" t="s">
        <v>687</v>
      </c>
      <c r="D5069" s="39">
        <v>1525.6800537109375</v>
      </c>
      <c r="E5069" s="39">
        <v>1504.524658203125</v>
      </c>
      <c r="F5069" s="41">
        <v>3253465</v>
      </c>
      <c r="G5069" s="35" t="s">
        <v>691</v>
      </c>
      <c r="H5069" s="35" t="s">
        <v>115</v>
      </c>
    </row>
    <row r="5070" spans="1:8">
      <c r="A5070" s="37">
        <v>45713.15625</v>
      </c>
      <c r="B5070" s="35" t="s">
        <v>686</v>
      </c>
      <c r="C5070" s="35" t="s">
        <v>687</v>
      </c>
      <c r="D5070" s="39">
        <v>1526.75</v>
      </c>
      <c r="E5070" s="39">
        <v>1505.5797119140625</v>
      </c>
      <c r="F5070" s="41">
        <v>1271640</v>
      </c>
      <c r="G5070" s="35" t="s">
        <v>691</v>
      </c>
      <c r="H5070" s="35" t="s">
        <v>115</v>
      </c>
    </row>
    <row r="5071" spans="1:8">
      <c r="A5071" s="37">
        <v>45715.15625</v>
      </c>
      <c r="B5071" s="35" t="s">
        <v>686</v>
      </c>
      <c r="C5071" s="35" t="s">
        <v>687</v>
      </c>
      <c r="D5071" s="39">
        <v>1497.800048828125</v>
      </c>
      <c r="E5071" s="39">
        <v>1477.031494140625</v>
      </c>
      <c r="F5071" s="41">
        <v>1368470</v>
      </c>
      <c r="G5071" s="35" t="s">
        <v>691</v>
      </c>
      <c r="H5071" s="35" t="s">
        <v>115</v>
      </c>
    </row>
    <row r="5072" spans="1:8">
      <c r="A5072" s="37">
        <v>45716.15625</v>
      </c>
      <c r="B5072" s="35" t="s">
        <v>686</v>
      </c>
      <c r="C5072" s="35" t="s">
        <v>687</v>
      </c>
      <c r="D5072" s="39">
        <v>1472.4300537109375</v>
      </c>
      <c r="E5072" s="39">
        <v>1452.01318359375</v>
      </c>
      <c r="F5072" s="41">
        <v>7373890</v>
      </c>
      <c r="G5072" s="35" t="s">
        <v>691</v>
      </c>
      <c r="H5072" s="35" t="s">
        <v>115</v>
      </c>
    </row>
    <row r="5073" spans="1:8">
      <c r="A5073" s="37">
        <v>45719.15625</v>
      </c>
      <c r="B5073" s="35" t="s">
        <v>686</v>
      </c>
      <c r="C5073" s="35" t="s">
        <v>687</v>
      </c>
      <c r="D5073" s="39">
        <v>1471.4100341796875</v>
      </c>
      <c r="E5073" s="39">
        <v>1451.0072021484375</v>
      </c>
      <c r="F5073" s="41">
        <v>1711805</v>
      </c>
      <c r="G5073" s="35" t="s">
        <v>691</v>
      </c>
      <c r="H5073" s="35" t="s">
        <v>115</v>
      </c>
    </row>
    <row r="5074" spans="1:8">
      <c r="A5074" s="37">
        <v>45720.15625</v>
      </c>
      <c r="B5074" s="35" t="s">
        <v>686</v>
      </c>
      <c r="C5074" s="35" t="s">
        <v>687</v>
      </c>
      <c r="D5074" s="39">
        <v>1442.47998046875</v>
      </c>
      <c r="E5074" s="39">
        <v>1422.478271484375</v>
      </c>
      <c r="F5074" s="41">
        <v>2133295</v>
      </c>
      <c r="G5074" s="35" t="s">
        <v>691</v>
      </c>
      <c r="H5074" s="35" t="s">
        <v>115</v>
      </c>
    </row>
    <row r="5075" spans="1:8">
      <c r="A5075" s="37">
        <v>45721.15625</v>
      </c>
      <c r="B5075" s="35" t="s">
        <v>686</v>
      </c>
      <c r="C5075" s="35" t="s">
        <v>687</v>
      </c>
      <c r="D5075" s="39">
        <v>1562.8399658203125</v>
      </c>
      <c r="E5075" s="39">
        <v>1541.16943359375</v>
      </c>
      <c r="F5075" s="41">
        <v>16970990</v>
      </c>
      <c r="G5075" s="35" t="s">
        <v>691</v>
      </c>
      <c r="H5075" s="35" t="s">
        <v>115</v>
      </c>
    </row>
    <row r="5076" spans="1:8">
      <c r="A5076" s="37">
        <v>45722.15625</v>
      </c>
      <c r="B5076" s="35" t="s">
        <v>686</v>
      </c>
      <c r="C5076" s="35" t="s">
        <v>687</v>
      </c>
      <c r="D5076" s="39">
        <v>1525.030029296875</v>
      </c>
      <c r="E5076" s="39">
        <v>1503.883544921875</v>
      </c>
      <c r="F5076" s="41">
        <v>5258055</v>
      </c>
      <c r="G5076" s="35" t="s">
        <v>691</v>
      </c>
      <c r="H5076" s="35" t="s">
        <v>115</v>
      </c>
    </row>
    <row r="5077" spans="1:8">
      <c r="A5077" s="37">
        <v>45723.15625</v>
      </c>
      <c r="B5077" s="35" t="s">
        <v>686</v>
      </c>
      <c r="C5077" s="35" t="s">
        <v>687</v>
      </c>
      <c r="D5077" s="39">
        <v>1541.449951171875</v>
      </c>
      <c r="E5077" s="39">
        <v>1520.075927734375</v>
      </c>
      <c r="F5077" s="41">
        <v>3535940</v>
      </c>
      <c r="G5077" s="35" t="s">
        <v>691</v>
      </c>
      <c r="H5077" s="35" t="s">
        <v>115</v>
      </c>
    </row>
    <row r="5078" spans="1:8">
      <c r="A5078" s="37">
        <v>45726.15625</v>
      </c>
      <c r="B5078" s="35" t="s">
        <v>686</v>
      </c>
      <c r="C5078" s="35" t="s">
        <v>687</v>
      </c>
      <c r="D5078" s="39">
        <v>1506.9100341796875</v>
      </c>
      <c r="E5078" s="39">
        <v>1486.014892578125</v>
      </c>
      <c r="F5078" s="41">
        <v>1325145</v>
      </c>
      <c r="G5078" s="35" t="s">
        <v>691</v>
      </c>
      <c r="H5078" s="35" t="s">
        <v>115</v>
      </c>
    </row>
    <row r="5079" spans="1:8">
      <c r="A5079" s="37">
        <v>45727.15625</v>
      </c>
      <c r="B5079" s="35" t="s">
        <v>686</v>
      </c>
      <c r="C5079" s="35" t="s">
        <v>687</v>
      </c>
      <c r="D5079" s="39">
        <v>1526.4200439453125</v>
      </c>
      <c r="E5079" s="39">
        <v>1505.2545166015625</v>
      </c>
      <c r="F5079" s="41">
        <v>2961420</v>
      </c>
      <c r="G5079" s="35" t="s">
        <v>691</v>
      </c>
      <c r="H5079" s="35" t="s">
        <v>115</v>
      </c>
    </row>
    <row r="5080" spans="1:8">
      <c r="A5080" s="37">
        <v>45728.15625</v>
      </c>
      <c r="B5080" s="35" t="s">
        <v>686</v>
      </c>
      <c r="C5080" s="35" t="s">
        <v>687</v>
      </c>
      <c r="D5080" s="39">
        <v>1480.06005859375</v>
      </c>
      <c r="E5080" s="39">
        <v>1459.5374755859375</v>
      </c>
      <c r="F5080" s="41">
        <v>3819490</v>
      </c>
      <c r="G5080" s="35" t="s">
        <v>691</v>
      </c>
      <c r="H5080" s="35" t="s">
        <v>115</v>
      </c>
    </row>
    <row r="5081" spans="1:8">
      <c r="A5081" s="37">
        <v>45729.15625</v>
      </c>
      <c r="B5081" s="35" t="s">
        <v>686</v>
      </c>
      <c r="C5081" s="35" t="s">
        <v>687</v>
      </c>
      <c r="D5081" s="39">
        <v>1458.449951171875</v>
      </c>
      <c r="E5081" s="39">
        <v>1438.226806640625</v>
      </c>
      <c r="F5081" s="41">
        <v>1455270</v>
      </c>
      <c r="G5081" s="35" t="s">
        <v>691</v>
      </c>
      <c r="H5081" s="35" t="s">
        <v>115</v>
      </c>
    </row>
    <row r="5082" spans="1:8">
      <c r="A5082" s="37">
        <v>45733.15625</v>
      </c>
      <c r="B5082" s="35" t="s">
        <v>686</v>
      </c>
      <c r="C5082" s="35" t="s">
        <v>687</v>
      </c>
      <c r="D5082" s="39">
        <v>1473.010009765625</v>
      </c>
      <c r="E5082" s="39">
        <v>1452.5850830078125</v>
      </c>
      <c r="F5082" s="41">
        <v>2070180</v>
      </c>
      <c r="G5082" s="35" t="s">
        <v>691</v>
      </c>
      <c r="H5082" s="35" t="s">
        <v>115</v>
      </c>
    </row>
    <row r="5083" spans="1:8">
      <c r="A5083" s="37">
        <v>45734.15625</v>
      </c>
      <c r="B5083" s="35" t="s">
        <v>686</v>
      </c>
      <c r="C5083" s="35" t="s">
        <v>687</v>
      </c>
      <c r="D5083" s="39">
        <v>1473.010009765625</v>
      </c>
      <c r="E5083" s="39">
        <v>1452.5850830078125</v>
      </c>
      <c r="F5083" s="41">
        <v>0</v>
      </c>
      <c r="G5083" s="35" t="s">
        <v>691</v>
      </c>
      <c r="H5083" s="35" t="s">
        <v>115</v>
      </c>
    </row>
    <row r="5084" spans="1:8">
      <c r="A5084" s="37">
        <v>45735.15625</v>
      </c>
      <c r="B5084" s="35" t="s">
        <v>686</v>
      </c>
      <c r="C5084" s="35" t="s">
        <v>687</v>
      </c>
      <c r="D5084" s="39">
        <v>1510.0899658203125</v>
      </c>
      <c r="E5084" s="39">
        <v>1489.1510009765625</v>
      </c>
      <c r="F5084" s="41">
        <v>1967245</v>
      </c>
      <c r="G5084" s="35" t="s">
        <v>691</v>
      </c>
      <c r="H5084" s="35" t="s">
        <v>115</v>
      </c>
    </row>
    <row r="5085" spans="1:8">
      <c r="A5085" s="37">
        <v>45736.15625</v>
      </c>
      <c r="B5085" s="35" t="s">
        <v>686</v>
      </c>
      <c r="C5085" s="35" t="s">
        <v>687</v>
      </c>
      <c r="D5085" s="39">
        <v>1515.6600341796875</v>
      </c>
      <c r="E5085" s="39">
        <v>1494.6436767578125</v>
      </c>
      <c r="F5085" s="41">
        <v>1799675</v>
      </c>
      <c r="G5085" s="35" t="s">
        <v>691</v>
      </c>
      <c r="H5085" s="35" t="s">
        <v>115</v>
      </c>
    </row>
    <row r="5086" spans="1:8">
      <c r="A5086" s="37">
        <v>45737.15625</v>
      </c>
      <c r="B5086" s="35" t="s">
        <v>686</v>
      </c>
      <c r="C5086" s="35" t="s">
        <v>687</v>
      </c>
      <c r="D5086" s="39">
        <v>1549.3599853515625</v>
      </c>
      <c r="E5086" s="39">
        <v>1527.876220703125</v>
      </c>
      <c r="F5086" s="41">
        <v>5739725</v>
      </c>
      <c r="G5086" s="35" t="s">
        <v>691</v>
      </c>
      <c r="H5086" s="35" t="s">
        <v>115</v>
      </c>
    </row>
    <row r="5087" spans="1:8">
      <c r="A5087" s="37">
        <v>45740.15625</v>
      </c>
      <c r="B5087" s="35" t="s">
        <v>686</v>
      </c>
      <c r="C5087" s="35" t="s">
        <v>687</v>
      </c>
      <c r="D5087" s="39">
        <v>1553.9100341796875</v>
      </c>
      <c r="E5087" s="39">
        <v>1532.3631591796875</v>
      </c>
      <c r="F5087" s="41">
        <v>2805970</v>
      </c>
      <c r="G5087" s="35" t="s">
        <v>691</v>
      </c>
      <c r="H5087" s="35" t="s">
        <v>115</v>
      </c>
    </row>
    <row r="5088" spans="1:8">
      <c r="A5088" s="37">
        <v>45741.15625</v>
      </c>
      <c r="B5088" s="35" t="s">
        <v>686</v>
      </c>
      <c r="C5088" s="35" t="s">
        <v>687</v>
      </c>
      <c r="D5088" s="39">
        <v>1591.6400146484375</v>
      </c>
      <c r="E5088" s="39">
        <v>1569.570068359375</v>
      </c>
      <c r="F5088" s="41">
        <v>4540895</v>
      </c>
      <c r="G5088" s="35" t="s">
        <v>691</v>
      </c>
      <c r="H5088" s="35" t="s">
        <v>115</v>
      </c>
    </row>
    <row r="5089" spans="1:8">
      <c r="A5089" s="37">
        <v>45742.15625</v>
      </c>
      <c r="B5089" s="35" t="s">
        <v>686</v>
      </c>
      <c r="C5089" s="35" t="s">
        <v>687</v>
      </c>
      <c r="D5089" s="39">
        <v>1605.43994140625</v>
      </c>
      <c r="E5089" s="39">
        <v>1583.178466796875</v>
      </c>
      <c r="F5089" s="41">
        <v>3309815</v>
      </c>
      <c r="G5089" s="35" t="s">
        <v>691</v>
      </c>
      <c r="H5089" s="35" t="s">
        <v>115</v>
      </c>
    </row>
    <row r="5090" spans="1:8">
      <c r="A5090" s="37">
        <v>45743.15625</v>
      </c>
      <c r="B5090" s="35" t="s">
        <v>686</v>
      </c>
      <c r="C5090" s="35" t="s">
        <v>687</v>
      </c>
      <c r="D5090" s="39">
        <v>1621.52001953125</v>
      </c>
      <c r="E5090" s="39">
        <v>1599.0357666015625</v>
      </c>
      <c r="F5090" s="41">
        <v>2713415</v>
      </c>
      <c r="G5090" s="35" t="s">
        <v>691</v>
      </c>
      <c r="H5090" s="35" t="s">
        <v>115</v>
      </c>
    </row>
    <row r="5091" spans="1:8">
      <c r="A5091" s="37">
        <v>45744.15625</v>
      </c>
      <c r="B5091" s="35" t="s">
        <v>686</v>
      </c>
      <c r="C5091" s="35" t="s">
        <v>687</v>
      </c>
      <c r="D5091" s="39">
        <v>1621.8399658203125</v>
      </c>
      <c r="E5091" s="39">
        <v>1599.3511962890625</v>
      </c>
      <c r="F5091" s="41">
        <v>2518165</v>
      </c>
      <c r="G5091" s="35" t="s">
        <v>691</v>
      </c>
      <c r="H5091" s="35" t="s">
        <v>115</v>
      </c>
    </row>
    <row r="5092" spans="1:8">
      <c r="A5092" s="37">
        <v>45748.15625</v>
      </c>
      <c r="B5092" s="35" t="s">
        <v>686</v>
      </c>
      <c r="C5092" s="35" t="s">
        <v>687</v>
      </c>
      <c r="D5092" s="39">
        <v>1556.1600341796875</v>
      </c>
      <c r="E5092" s="39">
        <v>1534.582275390625</v>
      </c>
      <c r="F5092" s="41">
        <v>2221335</v>
      </c>
      <c r="G5092" s="35" t="s">
        <v>692</v>
      </c>
      <c r="H5092" s="35" t="s">
        <v>115</v>
      </c>
    </row>
    <row r="5093" spans="1:8">
      <c r="A5093" s="37">
        <v>45749.15625</v>
      </c>
      <c r="B5093" s="35" t="s">
        <v>686</v>
      </c>
      <c r="C5093" s="35" t="s">
        <v>687</v>
      </c>
      <c r="D5093" s="39">
        <v>1552.31005859375</v>
      </c>
      <c r="E5093" s="39">
        <v>1530.7855224609375</v>
      </c>
      <c r="F5093" s="41">
        <v>2470850</v>
      </c>
      <c r="G5093" s="35" t="s">
        <v>692</v>
      </c>
      <c r="H5093" s="35" t="s">
        <v>115</v>
      </c>
    </row>
    <row r="5094" spans="1:8">
      <c r="A5094" s="37">
        <v>45750.15625</v>
      </c>
      <c r="B5094" s="35" t="s">
        <v>686</v>
      </c>
      <c r="C5094" s="35" t="s">
        <v>687</v>
      </c>
      <c r="D5094" s="39">
        <v>1431.47998046875</v>
      </c>
      <c r="E5094" s="39">
        <v>1411.630859375</v>
      </c>
      <c r="F5094" s="41">
        <v>6409960</v>
      </c>
      <c r="G5094" s="35" t="s">
        <v>692</v>
      </c>
      <c r="H5094" s="35" t="s">
        <v>115</v>
      </c>
    </row>
    <row r="5095" spans="1:8">
      <c r="A5095" s="37">
        <v>45751.15625</v>
      </c>
      <c r="B5095" s="35" t="s">
        <v>686</v>
      </c>
      <c r="C5095" s="35" t="s">
        <v>687</v>
      </c>
      <c r="D5095" s="39">
        <v>1321.5799560546875</v>
      </c>
      <c r="E5095" s="39">
        <v>1303.254638671875</v>
      </c>
      <c r="F5095" s="41">
        <v>11705110</v>
      </c>
      <c r="G5095" s="35" t="s">
        <v>692</v>
      </c>
      <c r="H5095" s="35" t="s">
        <v>115</v>
      </c>
    </row>
    <row r="5096" spans="1:8">
      <c r="A5096" s="37">
        <v>45754.15625</v>
      </c>
      <c r="B5096" s="35" t="s">
        <v>686</v>
      </c>
      <c r="C5096" s="35" t="s">
        <v>687</v>
      </c>
      <c r="D5096" s="39">
        <v>1268.1400146484375</v>
      </c>
      <c r="E5096" s="39">
        <v>1250.5557861328125</v>
      </c>
      <c r="F5096" s="41">
        <v>11740295</v>
      </c>
      <c r="G5096" s="35" t="s">
        <v>692</v>
      </c>
      <c r="H5096" s="35" t="s">
        <v>115</v>
      </c>
    </row>
    <row r="5097" spans="1:8">
      <c r="A5097" s="37">
        <v>45755.15625</v>
      </c>
      <c r="B5097" s="35" t="s">
        <v>686</v>
      </c>
      <c r="C5097" s="35" t="s">
        <v>687</v>
      </c>
      <c r="D5097" s="39">
        <v>1294.52001953125</v>
      </c>
      <c r="E5097" s="39">
        <v>1276.56982421875</v>
      </c>
      <c r="F5097" s="41">
        <v>4082910</v>
      </c>
      <c r="G5097" s="35" t="s">
        <v>692</v>
      </c>
      <c r="H5097" s="35" t="s">
        <v>115</v>
      </c>
    </row>
    <row r="5098" spans="1:8">
      <c r="A5098" s="37">
        <v>45756.15625</v>
      </c>
      <c r="B5098" s="35" t="s">
        <v>686</v>
      </c>
      <c r="C5098" s="35" t="s">
        <v>687</v>
      </c>
      <c r="D5098" s="39">
        <v>1264.72998046875</v>
      </c>
      <c r="E5098" s="39">
        <v>1247.1929931640625</v>
      </c>
      <c r="F5098" s="41">
        <v>5467845</v>
      </c>
      <c r="G5098" s="35" t="s">
        <v>692</v>
      </c>
      <c r="H5098" s="35" t="s">
        <v>115</v>
      </c>
    </row>
    <row r="5099" spans="1:8">
      <c r="A5099" s="37">
        <v>45758.15625</v>
      </c>
      <c r="B5099" s="35" t="s">
        <v>686</v>
      </c>
      <c r="C5099" s="35" t="s">
        <v>687</v>
      </c>
      <c r="D5099" s="39">
        <v>1263.3299560546875</v>
      </c>
      <c r="E5099" s="39">
        <v>1245.8123779296875</v>
      </c>
      <c r="F5099" s="41">
        <v>8440465</v>
      </c>
      <c r="G5099" s="35" t="s">
        <v>692</v>
      </c>
      <c r="H5099" s="35" t="s">
        <v>115</v>
      </c>
    </row>
    <row r="5100" spans="1:8">
      <c r="A5100" s="37">
        <v>45762.15625</v>
      </c>
      <c r="B5100" s="35" t="s">
        <v>686</v>
      </c>
      <c r="C5100" s="35" t="s">
        <v>687</v>
      </c>
      <c r="D5100" s="39">
        <v>1293.199951171875</v>
      </c>
      <c r="E5100" s="39">
        <v>1275.2681884765625</v>
      </c>
      <c r="F5100" s="41">
        <v>2791565</v>
      </c>
      <c r="G5100" s="35" t="s">
        <v>692</v>
      </c>
      <c r="H5100" s="35" t="s">
        <v>115</v>
      </c>
    </row>
    <row r="5101" spans="1:8">
      <c r="A5101" s="37">
        <v>45763.15625</v>
      </c>
      <c r="B5101" s="35" t="s">
        <v>686</v>
      </c>
      <c r="C5101" s="35" t="s">
        <v>687</v>
      </c>
      <c r="D5101" s="39">
        <v>1281.5999755859375</v>
      </c>
      <c r="E5101" s="39">
        <v>1263.8291015625</v>
      </c>
      <c r="F5101" s="41">
        <v>2153440</v>
      </c>
      <c r="G5101" s="35" t="s">
        <v>692</v>
      </c>
      <c r="H5101" s="35" t="s">
        <v>115</v>
      </c>
    </row>
    <row r="5102" spans="1:8">
      <c r="A5102" s="37">
        <v>45764.15625</v>
      </c>
      <c r="B5102" s="35" t="s">
        <v>686</v>
      </c>
      <c r="C5102" s="35" t="s">
        <v>687</v>
      </c>
      <c r="D5102" s="39">
        <v>1320</v>
      </c>
      <c r="E5102" s="39">
        <v>1301.696533203125</v>
      </c>
      <c r="F5102" s="41">
        <v>8477320</v>
      </c>
      <c r="G5102" s="35" t="s">
        <v>692</v>
      </c>
      <c r="H5102" s="35" t="s">
        <v>115</v>
      </c>
    </row>
    <row r="5103" spans="1:8">
      <c r="A5103" s="37">
        <v>45768.15625</v>
      </c>
      <c r="B5103" s="35" t="s">
        <v>686</v>
      </c>
      <c r="C5103" s="35" t="s">
        <v>687</v>
      </c>
      <c r="D5103" s="39">
        <v>1387.5999755859375</v>
      </c>
      <c r="E5103" s="39">
        <v>1368.3592529296875</v>
      </c>
      <c r="F5103" s="41">
        <v>4754435</v>
      </c>
      <c r="G5103" s="35" t="s">
        <v>692</v>
      </c>
      <c r="H5103" s="35" t="s">
        <v>115</v>
      </c>
    </row>
    <row r="5104" spans="1:8">
      <c r="A5104" s="37">
        <v>45769.15625</v>
      </c>
      <c r="B5104" s="35" t="s">
        <v>686</v>
      </c>
      <c r="C5104" s="35" t="s">
        <v>687</v>
      </c>
      <c r="D5104" s="39">
        <v>1391.199951171875</v>
      </c>
      <c r="E5104" s="39">
        <v>1371.9093017578125</v>
      </c>
      <c r="F5104" s="41">
        <v>2141160</v>
      </c>
      <c r="G5104" s="35" t="s">
        <v>692</v>
      </c>
      <c r="H5104" s="35" t="s">
        <v>115</v>
      </c>
    </row>
    <row r="5105" spans="1:8">
      <c r="A5105" s="37">
        <v>45770.15625</v>
      </c>
      <c r="B5105" s="35" t="s">
        <v>686</v>
      </c>
      <c r="C5105" s="35" t="s">
        <v>687</v>
      </c>
      <c r="D5105" s="39">
        <v>1478.4000244140625</v>
      </c>
      <c r="E5105" s="39">
        <v>1457.9002685546875</v>
      </c>
      <c r="F5105" s="41">
        <v>8121570</v>
      </c>
      <c r="G5105" s="35" t="s">
        <v>692</v>
      </c>
      <c r="H5105" s="35" t="s">
        <v>115</v>
      </c>
    </row>
    <row r="5106" spans="1:8">
      <c r="A5106" s="37">
        <v>45771.15625</v>
      </c>
      <c r="B5106" s="35" t="s">
        <v>686</v>
      </c>
      <c r="C5106" s="35" t="s">
        <v>687</v>
      </c>
      <c r="D5106" s="39">
        <v>1450.199951171875</v>
      </c>
      <c r="E5106" s="39">
        <v>1430.0911865234375</v>
      </c>
      <c r="F5106" s="41">
        <v>3868135</v>
      </c>
      <c r="G5106" s="35" t="s">
        <v>692</v>
      </c>
      <c r="H5106" s="35" t="s">
        <v>115</v>
      </c>
    </row>
    <row r="5107" spans="1:8">
      <c r="A5107" s="37">
        <v>45772.15625</v>
      </c>
      <c r="B5107" s="35" t="s">
        <v>686</v>
      </c>
      <c r="C5107" s="35" t="s">
        <v>687</v>
      </c>
      <c r="D5107" s="39">
        <v>1478</v>
      </c>
      <c r="E5107" s="39">
        <v>1457.5057373046875</v>
      </c>
      <c r="F5107" s="41">
        <v>5022010</v>
      </c>
      <c r="G5107" s="35" t="s">
        <v>692</v>
      </c>
      <c r="H5107" s="35" t="s">
        <v>115</v>
      </c>
    </row>
    <row r="5108" spans="1:8">
      <c r="A5108" s="37">
        <v>45775.15625</v>
      </c>
      <c r="B5108" s="35" t="s">
        <v>686</v>
      </c>
      <c r="C5108" s="35" t="s">
        <v>687</v>
      </c>
      <c r="D5108" s="39">
        <v>1475.5</v>
      </c>
      <c r="E5108" s="39">
        <v>1455.0404052734375</v>
      </c>
      <c r="F5108" s="41">
        <v>2291125</v>
      </c>
      <c r="G5108" s="35" t="s">
        <v>692</v>
      </c>
      <c r="H5108" s="35" t="s">
        <v>115</v>
      </c>
    </row>
    <row r="5109" spans="1:8">
      <c r="A5109" s="37">
        <v>45776.15625</v>
      </c>
      <c r="B5109" s="35" t="s">
        <v>686</v>
      </c>
      <c r="C5109" s="35" t="s">
        <v>687</v>
      </c>
      <c r="D5109" s="39">
        <v>1497</v>
      </c>
      <c r="E5109" s="39">
        <v>1476.2423095703125</v>
      </c>
      <c r="F5109" s="41">
        <v>2852330</v>
      </c>
      <c r="G5109" s="35" t="s">
        <v>692</v>
      </c>
      <c r="H5109" s="35" t="s">
        <v>115</v>
      </c>
    </row>
    <row r="5110" spans="1:8">
      <c r="A5110" s="37">
        <v>45777.15625</v>
      </c>
      <c r="B5110" s="35" t="s">
        <v>686</v>
      </c>
      <c r="C5110" s="35" t="s">
        <v>687</v>
      </c>
      <c r="D5110" s="39">
        <v>1461</v>
      </c>
      <c r="E5110" s="39">
        <v>1440.7418212890625</v>
      </c>
      <c r="F5110" s="41">
        <v>2021165</v>
      </c>
      <c r="G5110" s="35" t="s">
        <v>692</v>
      </c>
      <c r="H5110" s="35" t="s">
        <v>115</v>
      </c>
    </row>
    <row r="5111" spans="1:8">
      <c r="A5111" s="37">
        <v>45779.15625</v>
      </c>
      <c r="B5111" s="35" t="s">
        <v>686</v>
      </c>
      <c r="C5111" s="35" t="s">
        <v>687</v>
      </c>
      <c r="D5111" s="39">
        <v>1475.0999755859375</v>
      </c>
      <c r="E5111" s="39">
        <v>1454.64599609375</v>
      </c>
      <c r="F5111" s="41">
        <v>2079045</v>
      </c>
      <c r="G5111" s="35" t="s">
        <v>692</v>
      </c>
      <c r="H5111" s="35" t="s">
        <v>115</v>
      </c>
    </row>
    <row r="5112" spans="1:8">
      <c r="A5112" s="37">
        <v>45782.15625</v>
      </c>
      <c r="B5112" s="35" t="s">
        <v>686</v>
      </c>
      <c r="C5112" s="35" t="s">
        <v>687</v>
      </c>
      <c r="D5112" s="39">
        <v>1499.300048828125</v>
      </c>
      <c r="E5112" s="39">
        <v>1478.5106201171875</v>
      </c>
      <c r="F5112" s="41">
        <v>2420060</v>
      </c>
      <c r="G5112" s="35" t="s">
        <v>692</v>
      </c>
      <c r="H5112" s="35" t="s">
        <v>115</v>
      </c>
    </row>
    <row r="5113" spans="1:8">
      <c r="A5113" s="37">
        <v>45783.15625</v>
      </c>
      <c r="B5113" s="35" t="s">
        <v>686</v>
      </c>
      <c r="C5113" s="35" t="s">
        <v>687</v>
      </c>
      <c r="D5113" s="39">
        <v>1485.199951171875</v>
      </c>
      <c r="E5113" s="39">
        <v>1464.6060791015625</v>
      </c>
      <c r="F5113" s="41">
        <v>11503675</v>
      </c>
      <c r="G5113" s="35" t="s">
        <v>692</v>
      </c>
      <c r="H5113" s="35" t="s">
        <v>115</v>
      </c>
    </row>
    <row r="5114" spans="1:8">
      <c r="A5114" s="37">
        <v>45784.15625</v>
      </c>
      <c r="B5114" s="35" t="s">
        <v>686</v>
      </c>
      <c r="C5114" s="35" t="s">
        <v>687</v>
      </c>
      <c r="D5114" s="39">
        <v>1520</v>
      </c>
      <c r="E5114" s="39">
        <v>1498.92333984375</v>
      </c>
      <c r="F5114" s="41">
        <v>2994720</v>
      </c>
      <c r="G5114" s="35" t="s">
        <v>692</v>
      </c>
      <c r="H5114" s="35" t="s">
        <v>115</v>
      </c>
    </row>
    <row r="5115" spans="1:8">
      <c r="A5115" s="37">
        <v>45785.15625</v>
      </c>
      <c r="B5115" s="35" t="s">
        <v>686</v>
      </c>
      <c r="C5115" s="35" t="s">
        <v>687</v>
      </c>
      <c r="D5115" s="39">
        <v>1550.9000244140625</v>
      </c>
      <c r="E5115" s="39">
        <v>1529.3948974609375</v>
      </c>
      <c r="F5115" s="41">
        <v>5923215</v>
      </c>
      <c r="G5115" s="35" t="s">
        <v>692</v>
      </c>
      <c r="H5115" s="35" t="s">
        <v>115</v>
      </c>
    </row>
    <row r="5116" spans="1:8">
      <c r="A5116" s="37">
        <v>45786.15625</v>
      </c>
      <c r="B5116" s="35" t="s">
        <v>686</v>
      </c>
      <c r="C5116" s="35" t="s">
        <v>687</v>
      </c>
      <c r="D5116" s="39">
        <v>1536.199951171875</v>
      </c>
      <c r="E5116" s="39">
        <v>1518.61962890625</v>
      </c>
      <c r="F5116" s="41">
        <v>2793100</v>
      </c>
      <c r="G5116" s="35" t="s">
        <v>692</v>
      </c>
      <c r="H5116" s="35" t="s">
        <v>115</v>
      </c>
    </row>
    <row r="5117" spans="1:8">
      <c r="A5117" s="37">
        <v>45789.15625</v>
      </c>
      <c r="B5117" s="35" t="s">
        <v>686</v>
      </c>
      <c r="C5117" s="35" t="s">
        <v>687</v>
      </c>
      <c r="D5117" s="39">
        <v>1662.300048828125</v>
      </c>
      <c r="E5117" s="39">
        <v>1643.276611328125</v>
      </c>
      <c r="F5117" s="41">
        <v>6150415</v>
      </c>
      <c r="G5117" s="35" t="s">
        <v>692</v>
      </c>
      <c r="H5117" s="35" t="s">
        <v>115</v>
      </c>
    </row>
    <row r="5118" spans="1:8">
      <c r="A5118" s="37">
        <v>45790.15625</v>
      </c>
      <c r="B5118" s="35" t="s">
        <v>686</v>
      </c>
      <c r="C5118" s="35" t="s">
        <v>687</v>
      </c>
      <c r="D5118" s="39">
        <v>1653.300048828125</v>
      </c>
      <c r="E5118" s="39">
        <v>1634.379638671875</v>
      </c>
      <c r="F5118" s="41">
        <v>3061420</v>
      </c>
      <c r="G5118" s="35" t="s">
        <v>692</v>
      </c>
      <c r="H5118" s="35" t="s">
        <v>115</v>
      </c>
    </row>
    <row r="5119" spans="1:8">
      <c r="A5119" s="37">
        <v>45791.15625</v>
      </c>
      <c r="B5119" s="35" t="s">
        <v>686</v>
      </c>
      <c r="C5119" s="35" t="s">
        <v>687</v>
      </c>
      <c r="D5119" s="39">
        <v>1692.699951171875</v>
      </c>
      <c r="E5119" s="39">
        <v>1673.32861328125</v>
      </c>
      <c r="F5119" s="41">
        <v>3161205</v>
      </c>
      <c r="G5119" s="35" t="s">
        <v>692</v>
      </c>
      <c r="H5119" s="35" t="s">
        <v>115</v>
      </c>
    </row>
    <row r="5120" spans="1:8">
      <c r="A5120" s="37">
        <v>45792.15625</v>
      </c>
      <c r="B5120" s="35" t="s">
        <v>686</v>
      </c>
      <c r="C5120" s="35" t="s">
        <v>687</v>
      </c>
      <c r="D5120" s="39">
        <v>1692.199951171875</v>
      </c>
      <c r="E5120" s="39">
        <v>1672.8343505859375</v>
      </c>
      <c r="F5120" s="41">
        <v>2536890</v>
      </c>
      <c r="G5120" s="35" t="s">
        <v>692</v>
      </c>
      <c r="H5120" s="35" t="s">
        <v>115</v>
      </c>
    </row>
    <row r="5121" spans="1:8">
      <c r="A5121" s="37">
        <v>45793.15625</v>
      </c>
      <c r="B5121" s="35" t="s">
        <v>686</v>
      </c>
      <c r="C5121" s="35" t="s">
        <v>687</v>
      </c>
      <c r="D5121" s="39">
        <v>1685.199951171875</v>
      </c>
      <c r="E5121" s="39">
        <v>1665.9144287109375</v>
      </c>
      <c r="F5121" s="41">
        <v>1186730</v>
      </c>
      <c r="G5121" s="35" t="s">
        <v>692</v>
      </c>
      <c r="H5121" s="35" t="s">
        <v>115</v>
      </c>
    </row>
    <row r="5122" spans="1:8">
      <c r="A5122" s="37">
        <v>45796.15625</v>
      </c>
      <c r="B5122" s="35" t="s">
        <v>686</v>
      </c>
      <c r="C5122" s="35" t="s">
        <v>687</v>
      </c>
      <c r="D5122" s="39">
        <v>1655.0999755859375</v>
      </c>
      <c r="E5122" s="39">
        <v>1636.158935546875</v>
      </c>
      <c r="F5122" s="41">
        <v>1391245</v>
      </c>
      <c r="G5122" s="35" t="s">
        <v>692</v>
      </c>
      <c r="H5122" s="35" t="s">
        <v>115</v>
      </c>
    </row>
    <row r="5123" spans="1:8">
      <c r="A5123" s="37">
        <v>45797.15625</v>
      </c>
      <c r="B5123" s="35" t="s">
        <v>686</v>
      </c>
      <c r="C5123" s="35" t="s">
        <v>687</v>
      </c>
      <c r="D5123" s="39">
        <v>1641.0999755859375</v>
      </c>
      <c r="E5123" s="39">
        <v>1622.319091796875</v>
      </c>
      <c r="F5123" s="41">
        <v>4093215</v>
      </c>
      <c r="G5123" s="35" t="s">
        <v>692</v>
      </c>
      <c r="H5123" s="35" t="s">
        <v>115</v>
      </c>
    </row>
    <row r="5124" spans="1:8">
      <c r="A5124" s="37">
        <v>45798.15625</v>
      </c>
      <c r="B5124" s="35" t="s">
        <v>686</v>
      </c>
      <c r="C5124" s="35" t="s">
        <v>687</v>
      </c>
      <c r="D5124" s="39">
        <v>1653.199951171875</v>
      </c>
      <c r="E5124" s="39">
        <v>1634.28076171875</v>
      </c>
      <c r="F5124" s="41">
        <v>1140780</v>
      </c>
      <c r="G5124" s="35" t="s">
        <v>692</v>
      </c>
      <c r="H5124" s="35" t="s">
        <v>115</v>
      </c>
    </row>
    <row r="5125" spans="1:8">
      <c r="A5125" s="37">
        <v>45799.15625</v>
      </c>
      <c r="B5125" s="35" t="s">
        <v>686</v>
      </c>
      <c r="C5125" s="35" t="s">
        <v>687</v>
      </c>
      <c r="D5125" s="39">
        <v>1652.4000244140625</v>
      </c>
      <c r="E5125" s="39">
        <v>1633.489990234375</v>
      </c>
      <c r="F5125" s="41">
        <v>1588285</v>
      </c>
      <c r="G5125" s="35" t="s">
        <v>692</v>
      </c>
      <c r="H5125" s="35" t="s">
        <v>115</v>
      </c>
    </row>
    <row r="5126" spans="1:8">
      <c r="A5126" s="37">
        <v>45800.15625</v>
      </c>
      <c r="B5126" s="35" t="s">
        <v>686</v>
      </c>
      <c r="C5126" s="35" t="s">
        <v>687</v>
      </c>
      <c r="D5126" s="39">
        <v>1664.300048828125</v>
      </c>
      <c r="E5126" s="39">
        <v>1645.2537841796875</v>
      </c>
      <c r="F5126" s="41">
        <v>1916425</v>
      </c>
      <c r="G5126" s="35" t="s">
        <v>692</v>
      </c>
      <c r="H5126" s="35" t="s">
        <v>115</v>
      </c>
    </row>
    <row r="5127" spans="1:8">
      <c r="A5127" s="37">
        <v>45803.15625</v>
      </c>
      <c r="B5127" s="35" t="s">
        <v>686</v>
      </c>
      <c r="C5127" s="35" t="s">
        <v>687</v>
      </c>
      <c r="D5127" s="39">
        <v>1691.0999755859375</v>
      </c>
      <c r="E5127" s="39">
        <v>1671.746826171875</v>
      </c>
      <c r="F5127" s="41">
        <v>1328450</v>
      </c>
      <c r="G5127" s="35" t="s">
        <v>692</v>
      </c>
      <c r="H5127" s="35" t="s">
        <v>115</v>
      </c>
    </row>
    <row r="5128" spans="1:8">
      <c r="A5128" s="37">
        <v>45804.15625</v>
      </c>
      <c r="B5128" s="35" t="s">
        <v>686</v>
      </c>
      <c r="C5128" s="35" t="s">
        <v>687</v>
      </c>
      <c r="D5128" s="39">
        <v>1691.9000244140625</v>
      </c>
      <c r="E5128" s="39">
        <v>1672.537841796875</v>
      </c>
      <c r="F5128" s="41">
        <v>823720</v>
      </c>
      <c r="G5128" s="35" t="s">
        <v>692</v>
      </c>
      <c r="H5128" s="35" t="s">
        <v>115</v>
      </c>
    </row>
    <row r="5129" spans="1:8">
      <c r="A5129" s="37">
        <v>45805.15625</v>
      </c>
      <c r="B5129" s="35" t="s">
        <v>686</v>
      </c>
      <c r="C5129" s="35" t="s">
        <v>687</v>
      </c>
      <c r="D5129" s="39">
        <v>1693.4000244140625</v>
      </c>
      <c r="E5129" s="39">
        <v>1674.0206298828125</v>
      </c>
      <c r="F5129" s="41">
        <v>1397865</v>
      </c>
      <c r="G5129" s="35" t="s">
        <v>692</v>
      </c>
      <c r="H5129" s="35" t="s">
        <v>115</v>
      </c>
    </row>
    <row r="5130" spans="1:8">
      <c r="A5130" s="37">
        <v>45806.15625</v>
      </c>
      <c r="B5130" s="35" t="s">
        <v>686</v>
      </c>
      <c r="C5130" s="35" t="s">
        <v>687</v>
      </c>
      <c r="D5130" s="39">
        <v>1726.0999755859375</v>
      </c>
      <c r="E5130" s="39">
        <v>1706.3463134765625</v>
      </c>
      <c r="F5130" s="41">
        <v>1920635</v>
      </c>
      <c r="G5130" s="35" t="s">
        <v>692</v>
      </c>
      <c r="H5130" s="35" t="s">
        <v>115</v>
      </c>
    </row>
    <row r="5131" spans="1:8">
      <c r="A5131" s="37">
        <v>45807.15625</v>
      </c>
      <c r="B5131" s="35" t="s">
        <v>686</v>
      </c>
      <c r="C5131" s="35" t="s">
        <v>687</v>
      </c>
      <c r="D5131" s="39">
        <v>1710.0999755859375</v>
      </c>
      <c r="E5131" s="39">
        <v>1690.5296630859375</v>
      </c>
      <c r="F5131" s="41">
        <v>1536140</v>
      </c>
      <c r="G5131" s="35" t="s">
        <v>692</v>
      </c>
      <c r="H5131" s="35" t="s">
        <v>115</v>
      </c>
    </row>
    <row r="5132" spans="1:8">
      <c r="A5132" s="37">
        <v>45810.15625</v>
      </c>
      <c r="B5132" s="35" t="s">
        <v>686</v>
      </c>
      <c r="C5132" s="35" t="s">
        <v>687</v>
      </c>
      <c r="D5132" s="39">
        <v>1717.0999755859375</v>
      </c>
      <c r="E5132" s="39">
        <v>1697.449462890625</v>
      </c>
      <c r="F5132" s="41">
        <v>1574265</v>
      </c>
      <c r="G5132" s="35" t="s">
        <v>692</v>
      </c>
      <c r="H5132" s="35" t="s">
        <v>115</v>
      </c>
    </row>
    <row r="5133" spans="1:8">
      <c r="A5133" s="37">
        <v>45811.15625</v>
      </c>
      <c r="B5133" s="35" t="s">
        <v>686</v>
      </c>
      <c r="C5133" s="35" t="s">
        <v>687</v>
      </c>
      <c r="D5133" s="39">
        <v>1699.800048828125</v>
      </c>
      <c r="E5133" s="39">
        <v>1680.3475341796875</v>
      </c>
      <c r="F5133" s="41">
        <v>910355</v>
      </c>
      <c r="G5133" s="35" t="s">
        <v>692</v>
      </c>
      <c r="H5133" s="35" t="s">
        <v>115</v>
      </c>
    </row>
    <row r="5134" spans="1:8">
      <c r="A5134" s="37">
        <v>45812.15625</v>
      </c>
      <c r="B5134" s="35" t="s">
        <v>686</v>
      </c>
      <c r="C5134" s="35" t="s">
        <v>687</v>
      </c>
      <c r="D5134" s="39">
        <v>1724.5</v>
      </c>
      <c r="E5134" s="39">
        <v>1704.7646484375</v>
      </c>
      <c r="F5134" s="41">
        <v>1812516</v>
      </c>
      <c r="G5134" s="35" t="s">
        <v>692</v>
      </c>
      <c r="H5134" s="35" t="s">
        <v>115</v>
      </c>
    </row>
    <row r="5135" spans="1:8">
      <c r="A5135" s="37">
        <v>45813.15625</v>
      </c>
      <c r="B5135" s="35" t="s">
        <v>686</v>
      </c>
      <c r="C5135" s="35" t="s">
        <v>687</v>
      </c>
      <c r="D5135" s="39">
        <v>1766</v>
      </c>
      <c r="E5135" s="39">
        <v>1745.7896728515625</v>
      </c>
      <c r="F5135" s="41">
        <v>2409185</v>
      </c>
      <c r="G5135" s="35" t="s">
        <v>692</v>
      </c>
      <c r="H5135" s="35" t="s">
        <v>115</v>
      </c>
    </row>
    <row r="5136" spans="1:8">
      <c r="A5136" s="37">
        <v>45814.15625</v>
      </c>
      <c r="B5136" s="35" t="s">
        <v>686</v>
      </c>
      <c r="C5136" s="35" t="s">
        <v>687</v>
      </c>
      <c r="D5136" s="39">
        <v>1775.5</v>
      </c>
      <c r="E5136" s="39">
        <v>1755.1810302734375</v>
      </c>
      <c r="F5136" s="41">
        <v>1206610</v>
      </c>
      <c r="G5136" s="35" t="s">
        <v>692</v>
      </c>
      <c r="H5136" s="35" t="s">
        <v>115</v>
      </c>
    </row>
    <row r="5137" spans="1:8">
      <c r="A5137" s="37">
        <v>45817.15625</v>
      </c>
      <c r="B5137" s="35" t="s">
        <v>686</v>
      </c>
      <c r="C5137" s="35" t="s">
        <v>687</v>
      </c>
      <c r="D5137" s="39">
        <v>1794</v>
      </c>
      <c r="E5137" s="39">
        <v>1773.4693603515625</v>
      </c>
      <c r="F5137" s="41">
        <v>1439693</v>
      </c>
      <c r="G5137" s="35" t="s">
        <v>692</v>
      </c>
      <c r="H5137" s="35" t="s">
        <v>115</v>
      </c>
    </row>
    <row r="5138" spans="1:8">
      <c r="A5138" s="37">
        <v>45818.15625</v>
      </c>
      <c r="B5138" s="35" t="s">
        <v>686</v>
      </c>
      <c r="C5138" s="35" t="s">
        <v>687</v>
      </c>
      <c r="D5138" s="39">
        <v>1830.5</v>
      </c>
      <c r="E5138" s="39">
        <v>1809.5517578125</v>
      </c>
      <c r="F5138" s="41">
        <v>6550333</v>
      </c>
      <c r="G5138" s="35" t="s">
        <v>692</v>
      </c>
      <c r="H5138" s="35" t="s">
        <v>115</v>
      </c>
    </row>
    <row r="5139" spans="1:8">
      <c r="A5139" s="37">
        <v>45819.15625</v>
      </c>
      <c r="B5139" s="35" t="s">
        <v>686</v>
      </c>
      <c r="C5139" s="35" t="s">
        <v>687</v>
      </c>
      <c r="D5139" s="39">
        <v>1816.5</v>
      </c>
      <c r="E5139" s="39">
        <v>1795.7119140625</v>
      </c>
      <c r="F5139" s="41">
        <v>2303047</v>
      </c>
      <c r="G5139" s="35" t="s">
        <v>692</v>
      </c>
      <c r="H5139" s="35" t="s">
        <v>115</v>
      </c>
    </row>
    <row r="5140" spans="1:8">
      <c r="A5140" s="37">
        <v>45820.15625</v>
      </c>
      <c r="B5140" s="35" t="s">
        <v>686</v>
      </c>
      <c r="C5140" s="35" t="s">
        <v>687</v>
      </c>
      <c r="D5140" s="39">
        <v>1784.5</v>
      </c>
      <c r="E5140" s="39">
        <v>1764.078125</v>
      </c>
      <c r="F5140" s="41">
        <v>1603658</v>
      </c>
      <c r="G5140" s="35" t="s">
        <v>692</v>
      </c>
      <c r="H5140" s="35" t="s">
        <v>115</v>
      </c>
    </row>
    <row r="5141" spans="1:8">
      <c r="A5141" s="37">
        <v>45821.15625</v>
      </c>
      <c r="B5141" s="35" t="s">
        <v>686</v>
      </c>
      <c r="C5141" s="35" t="s">
        <v>687</v>
      </c>
      <c r="D5141" s="39">
        <v>1792.5</v>
      </c>
      <c r="E5141" s="39">
        <v>1771.9866943359375</v>
      </c>
      <c r="F5141" s="41">
        <v>1328872</v>
      </c>
      <c r="G5141" s="35" t="s">
        <v>692</v>
      </c>
      <c r="H5141" s="35" t="s">
        <v>115</v>
      </c>
    </row>
    <row r="5142" spans="1:8">
      <c r="A5142" s="37">
        <v>45824.15625</v>
      </c>
      <c r="B5142" s="35" t="s">
        <v>686</v>
      </c>
      <c r="C5142" s="35" t="s">
        <v>687</v>
      </c>
      <c r="D5142" s="39">
        <v>1829.5</v>
      </c>
      <c r="E5142" s="39">
        <v>1808.5631103515625</v>
      </c>
      <c r="F5142" s="41">
        <v>1346285</v>
      </c>
      <c r="G5142" s="35" t="s">
        <v>692</v>
      </c>
      <c r="H5142" s="35" t="s">
        <v>115</v>
      </c>
    </row>
    <row r="5143" spans="1:8">
      <c r="A5143" s="37">
        <v>45825.15625</v>
      </c>
      <c r="B5143" s="35" t="s">
        <v>686</v>
      </c>
      <c r="C5143" s="35" t="s">
        <v>687</v>
      </c>
      <c r="D5143" s="39">
        <v>1840.5</v>
      </c>
      <c r="E5143" s="39">
        <v>1819.437255859375</v>
      </c>
      <c r="F5143" s="41">
        <v>1357037</v>
      </c>
      <c r="G5143" s="35" t="s">
        <v>692</v>
      </c>
      <c r="H5143" s="35" t="s">
        <v>115</v>
      </c>
    </row>
    <row r="5144" spans="1:8">
      <c r="A5144" s="37">
        <v>45826.15625</v>
      </c>
      <c r="B5144" s="35" t="s">
        <v>686</v>
      </c>
      <c r="C5144" s="35" t="s">
        <v>687</v>
      </c>
      <c r="D5144" s="39">
        <v>1833.5</v>
      </c>
      <c r="E5144" s="39">
        <v>1812.5172119140625</v>
      </c>
      <c r="F5144" s="41">
        <v>1254949</v>
      </c>
      <c r="G5144" s="35" t="s">
        <v>692</v>
      </c>
      <c r="H5144" s="35" t="s">
        <v>115</v>
      </c>
    </row>
    <row r="5145" spans="1:8">
      <c r="A5145" s="37">
        <v>45827.15625</v>
      </c>
      <c r="B5145" s="35" t="s">
        <v>686</v>
      </c>
      <c r="C5145" s="35" t="s">
        <v>687</v>
      </c>
      <c r="D5145" s="39">
        <v>1794</v>
      </c>
      <c r="E5145" s="39">
        <v>1773.4693603515625</v>
      </c>
      <c r="F5145" s="41">
        <v>1334241</v>
      </c>
      <c r="G5145" s="35" t="s">
        <v>692</v>
      </c>
      <c r="H5145" s="35" t="s">
        <v>115</v>
      </c>
    </row>
    <row r="5146" spans="1:8">
      <c r="A5146" s="37">
        <v>45828.15625</v>
      </c>
      <c r="B5146" s="35" t="s">
        <v>686</v>
      </c>
      <c r="C5146" s="35" t="s">
        <v>687</v>
      </c>
      <c r="D5146" s="39">
        <v>1832</v>
      </c>
      <c r="E5146" s="39">
        <v>1811.0345458984375</v>
      </c>
      <c r="F5146" s="41">
        <v>1770433</v>
      </c>
      <c r="G5146" s="35" t="s">
        <v>692</v>
      </c>
      <c r="H5146" s="35" t="s">
        <v>115</v>
      </c>
    </row>
    <row r="5147" spans="1:8">
      <c r="A5147" s="37">
        <v>45831.15625</v>
      </c>
      <c r="B5147" s="35" t="s">
        <v>686</v>
      </c>
      <c r="C5147" s="35" t="s">
        <v>687</v>
      </c>
      <c r="D5147" s="39">
        <v>1831</v>
      </c>
      <c r="E5147" s="39">
        <v>1810.0460205078125</v>
      </c>
      <c r="F5147" s="41">
        <v>655286</v>
      </c>
      <c r="G5147" s="35" t="s">
        <v>692</v>
      </c>
      <c r="H5147" s="35" t="s">
        <v>115</v>
      </c>
    </row>
    <row r="5148" spans="1:8">
      <c r="A5148" s="37">
        <v>45832.15625</v>
      </c>
      <c r="B5148" s="35" t="s">
        <v>686</v>
      </c>
      <c r="C5148" s="35" t="s">
        <v>687</v>
      </c>
      <c r="D5148" s="39">
        <v>1862</v>
      </c>
      <c r="E5148" s="39">
        <v>1840.691162109375</v>
      </c>
      <c r="F5148" s="41">
        <v>1519443</v>
      </c>
      <c r="G5148" s="35" t="s">
        <v>692</v>
      </c>
      <c r="H5148" s="35" t="s">
        <v>115</v>
      </c>
    </row>
    <row r="5149" spans="1:8">
      <c r="A5149" s="37">
        <v>45833.15625</v>
      </c>
      <c r="B5149" s="35" t="s">
        <v>686</v>
      </c>
      <c r="C5149" s="35" t="s">
        <v>687</v>
      </c>
      <c r="D5149" s="39">
        <v>1880</v>
      </c>
      <c r="E5149" s="39">
        <v>1858.4852294921875</v>
      </c>
      <c r="F5149" s="41">
        <v>1087112</v>
      </c>
      <c r="G5149" s="35" t="s">
        <v>692</v>
      </c>
      <c r="H5149" s="35" t="s">
        <v>115</v>
      </c>
    </row>
    <row r="5150" spans="1:8">
      <c r="A5150" s="37">
        <v>45834.15625</v>
      </c>
      <c r="B5150" s="35" t="s">
        <v>686</v>
      </c>
      <c r="C5150" s="35" t="s">
        <v>687</v>
      </c>
      <c r="D5150" s="39">
        <v>1888</v>
      </c>
      <c r="E5150" s="39">
        <v>1866.3935546875</v>
      </c>
      <c r="F5150" s="41">
        <v>2528144</v>
      </c>
      <c r="G5150" s="35" t="s">
        <v>692</v>
      </c>
      <c r="H5150" s="35" t="s">
        <v>115</v>
      </c>
    </row>
    <row r="5151" spans="1:8">
      <c r="A5151" s="37">
        <v>45835.15625</v>
      </c>
      <c r="B5151" s="35" t="s">
        <v>686</v>
      </c>
      <c r="C5151" s="35" t="s">
        <v>687</v>
      </c>
      <c r="D5151" s="39">
        <v>1899.5</v>
      </c>
      <c r="E5151" s="39">
        <v>1877.761962890625</v>
      </c>
      <c r="F5151" s="41">
        <v>3971962</v>
      </c>
      <c r="G5151" s="35" t="s">
        <v>692</v>
      </c>
      <c r="H5151" s="35" t="s">
        <v>115</v>
      </c>
    </row>
    <row r="5152" spans="1:8">
      <c r="A5152" s="37">
        <v>45838.15625</v>
      </c>
      <c r="B5152" s="35" t="s">
        <v>686</v>
      </c>
      <c r="C5152" s="35" t="s">
        <v>687</v>
      </c>
      <c r="D5152" s="39">
        <v>1924.5</v>
      </c>
      <c r="E5152" s="39">
        <v>1902.475830078125</v>
      </c>
      <c r="F5152" s="41">
        <v>1701327</v>
      </c>
      <c r="G5152" s="35" t="s">
        <v>692</v>
      </c>
      <c r="H5152" s="35" t="s">
        <v>115</v>
      </c>
    </row>
    <row r="5153" spans="1:8">
      <c r="A5153" s="37">
        <v>45839.15625</v>
      </c>
      <c r="B5153" s="35" t="s">
        <v>686</v>
      </c>
      <c r="C5153" s="35" t="s">
        <v>687</v>
      </c>
      <c r="D5153" s="39">
        <v>1922.5</v>
      </c>
      <c r="E5153" s="39">
        <v>1900.4989013671875</v>
      </c>
      <c r="F5153" s="41">
        <v>2376579</v>
      </c>
      <c r="G5153" s="35" t="s">
        <v>692</v>
      </c>
      <c r="H5153" s="35" t="s">
        <v>115</v>
      </c>
    </row>
    <row r="5154" spans="1:8">
      <c r="A5154" s="37">
        <v>45840.15625</v>
      </c>
      <c r="B5154" s="35" t="s">
        <v>686</v>
      </c>
      <c r="C5154" s="35" t="s">
        <v>687</v>
      </c>
      <c r="D5154" s="39">
        <v>1926.0999755859375</v>
      </c>
      <c r="E5154" s="39">
        <v>1904.0576171875</v>
      </c>
      <c r="F5154" s="41">
        <v>1567953</v>
      </c>
      <c r="G5154" s="35" t="s">
        <v>692</v>
      </c>
      <c r="H5154" s="35" t="s">
        <v>115</v>
      </c>
    </row>
    <row r="5155" spans="1:8">
      <c r="A5155" s="37">
        <v>45841.15625</v>
      </c>
      <c r="B5155" s="35" t="s">
        <v>686</v>
      </c>
      <c r="C5155" s="35" t="s">
        <v>687</v>
      </c>
      <c r="D5155" s="39">
        <v>1938.300048828125</v>
      </c>
      <c r="E5155" s="39">
        <v>1916.1180419921875</v>
      </c>
      <c r="F5155" s="41">
        <v>1090866</v>
      </c>
      <c r="G5155" s="35" t="s">
        <v>692</v>
      </c>
      <c r="H5155" s="35" t="s">
        <v>115</v>
      </c>
    </row>
    <row r="5156" spans="1:8">
      <c r="A5156" s="37">
        <v>45842.15625</v>
      </c>
      <c r="B5156" s="35" t="s">
        <v>686</v>
      </c>
      <c r="C5156" s="35" t="s">
        <v>687</v>
      </c>
      <c r="D5156" s="39">
        <v>1950.5999755859375</v>
      </c>
      <c r="E5156" s="39">
        <v>1928.27734375</v>
      </c>
      <c r="F5156" s="41">
        <v>859326</v>
      </c>
      <c r="G5156" s="35" t="s">
        <v>692</v>
      </c>
      <c r="H5156" s="35" t="s">
        <v>115</v>
      </c>
    </row>
    <row r="5157" spans="1:8">
      <c r="A5157" s="37">
        <v>45845.15625</v>
      </c>
      <c r="B5157" s="35" t="s">
        <v>686</v>
      </c>
      <c r="C5157" s="35" t="s">
        <v>687</v>
      </c>
      <c r="D5157" s="39">
        <v>1941.699951171875</v>
      </c>
      <c r="E5157" s="39">
        <v>1919.4791259765625</v>
      </c>
      <c r="F5157" s="41">
        <v>932234</v>
      </c>
      <c r="G5157" s="35" t="s">
        <v>692</v>
      </c>
      <c r="H5157" s="35" t="s">
        <v>115</v>
      </c>
    </row>
    <row r="5158" spans="1:8">
      <c r="A5158" s="37">
        <v>45846.15625</v>
      </c>
      <c r="B5158" s="35" t="s">
        <v>686</v>
      </c>
      <c r="C5158" s="35" t="s">
        <v>687</v>
      </c>
      <c r="D5158" s="39">
        <v>1949.5999755859375</v>
      </c>
      <c r="E5158" s="39">
        <v>1927.288818359375</v>
      </c>
      <c r="F5158" s="41">
        <v>1511062</v>
      </c>
      <c r="G5158" s="35" t="s">
        <v>692</v>
      </c>
      <c r="H5158" s="35" t="s">
        <v>115</v>
      </c>
    </row>
    <row r="5159" spans="1:8">
      <c r="A5159" s="37">
        <v>45847.15625</v>
      </c>
      <c r="B5159" s="35" t="s">
        <v>686</v>
      </c>
      <c r="C5159" s="35" t="s">
        <v>687</v>
      </c>
      <c r="D5159" s="39">
        <v>1931.300048828125</v>
      </c>
      <c r="E5159" s="39">
        <v>1909.1982421875</v>
      </c>
      <c r="F5159" s="41">
        <v>939038</v>
      </c>
      <c r="G5159" s="35" t="s">
        <v>692</v>
      </c>
      <c r="H5159" s="35" t="s">
        <v>115</v>
      </c>
    </row>
    <row r="5160" spans="1:8">
      <c r="A5160" s="37">
        <v>45848.15625</v>
      </c>
      <c r="B5160" s="35" t="s">
        <v>686</v>
      </c>
      <c r="C5160" s="35" t="s">
        <v>687</v>
      </c>
      <c r="D5160" s="39">
        <v>1887.699951171875</v>
      </c>
      <c r="E5160" s="39">
        <v>1866.096923828125</v>
      </c>
      <c r="F5160" s="41">
        <v>1659275</v>
      </c>
      <c r="G5160" s="35" t="s">
        <v>692</v>
      </c>
      <c r="H5160" s="35" t="s">
        <v>115</v>
      </c>
    </row>
    <row r="5161" spans="1:8">
      <c r="A5161" s="37">
        <v>45849.15625</v>
      </c>
      <c r="B5161" s="35" t="s">
        <v>686</v>
      </c>
      <c r="C5161" s="35" t="s">
        <v>687</v>
      </c>
      <c r="D5161" s="39">
        <v>1867.800048828125</v>
      </c>
      <c r="E5161" s="39">
        <v>1846.4249267578125</v>
      </c>
      <c r="F5161" s="41">
        <v>2092630</v>
      </c>
      <c r="G5161" s="35" t="s">
        <v>692</v>
      </c>
      <c r="H5161" s="35" t="s">
        <v>115</v>
      </c>
    </row>
    <row r="5162" spans="1:8">
      <c r="A5162" s="37">
        <v>45852.15625</v>
      </c>
      <c r="B5162" s="35" t="s">
        <v>686</v>
      </c>
      <c r="C5162" s="35" t="s">
        <v>687</v>
      </c>
      <c r="D5162" s="39">
        <v>1875</v>
      </c>
      <c r="E5162" s="39">
        <v>1853.5426025390625</v>
      </c>
      <c r="F5162" s="41">
        <v>1090630</v>
      </c>
      <c r="G5162" s="35" t="s">
        <v>692</v>
      </c>
      <c r="H5162" s="35" t="s">
        <v>115</v>
      </c>
    </row>
    <row r="5163" spans="1:8">
      <c r="A5163" s="37">
        <v>45853.15625</v>
      </c>
      <c r="B5163" s="35" t="s">
        <v>686</v>
      </c>
      <c r="C5163" s="35" t="s">
        <v>687</v>
      </c>
      <c r="D5163" s="39">
        <v>1893.9000244140625</v>
      </c>
      <c r="E5163" s="39">
        <v>1872.2261962890625</v>
      </c>
      <c r="F5163" s="41">
        <v>1579538</v>
      </c>
      <c r="G5163" s="35" t="s">
        <v>692</v>
      </c>
      <c r="H5163" s="35" t="s">
        <v>115</v>
      </c>
    </row>
    <row r="5164" spans="1:8">
      <c r="A5164" s="37">
        <v>45854.15625</v>
      </c>
      <c r="B5164" s="35" t="s">
        <v>686</v>
      </c>
      <c r="C5164" s="35" t="s">
        <v>687</v>
      </c>
      <c r="D5164" s="39">
        <v>1882.4000244140625</v>
      </c>
      <c r="E5164" s="39">
        <v>1860.857666015625</v>
      </c>
      <c r="F5164" s="41">
        <v>1256821</v>
      </c>
      <c r="G5164" s="35" t="s">
        <v>692</v>
      </c>
      <c r="H5164" s="35" t="s">
        <v>115</v>
      </c>
    </row>
    <row r="5165" spans="1:8">
      <c r="A5165" s="37">
        <v>45855.15625</v>
      </c>
      <c r="B5165" s="35" t="s">
        <v>686</v>
      </c>
      <c r="C5165" s="35" t="s">
        <v>687</v>
      </c>
      <c r="D5165" s="39">
        <v>1865.300048828125</v>
      </c>
      <c r="E5165" s="39">
        <v>1843.95361328125</v>
      </c>
      <c r="F5165" s="41">
        <v>851068</v>
      </c>
      <c r="G5165" s="35" t="s">
        <v>692</v>
      </c>
      <c r="H5165" s="35" t="s">
        <v>115</v>
      </c>
    </row>
    <row r="5166" spans="1:8">
      <c r="A5166" s="37">
        <v>45856.15625</v>
      </c>
      <c r="B5166" s="35" t="s">
        <v>686</v>
      </c>
      <c r="C5166" s="35" t="s">
        <v>687</v>
      </c>
      <c r="D5166" s="39">
        <v>1859.300048828125</v>
      </c>
      <c r="E5166" s="39">
        <v>1838.022216796875</v>
      </c>
      <c r="F5166" s="41">
        <v>1092144</v>
      </c>
      <c r="G5166" s="35" t="s">
        <v>692</v>
      </c>
      <c r="H5166" s="35" t="s">
        <v>115</v>
      </c>
    </row>
    <row r="5167" spans="1:8">
      <c r="A5167" s="37">
        <v>45859.15625</v>
      </c>
      <c r="B5167" s="35" t="s">
        <v>686</v>
      </c>
      <c r="C5167" s="35" t="s">
        <v>687</v>
      </c>
      <c r="D5167" s="39">
        <v>1874.300048828125</v>
      </c>
      <c r="E5167" s="39">
        <v>1852.8504638671875</v>
      </c>
      <c r="F5167" s="41">
        <v>746077</v>
      </c>
      <c r="G5167" s="35" t="s">
        <v>692</v>
      </c>
      <c r="H5167" s="35" t="s">
        <v>115</v>
      </c>
    </row>
    <row r="5168" spans="1:8">
      <c r="A5168" s="37">
        <v>45860.15625</v>
      </c>
      <c r="B5168" s="35" t="s">
        <v>686</v>
      </c>
      <c r="C5168" s="35" t="s">
        <v>687</v>
      </c>
      <c r="D5168" s="39">
        <v>1858.4000244140625</v>
      </c>
      <c r="E5168" s="39">
        <v>1837.1324462890625</v>
      </c>
      <c r="F5168" s="41">
        <v>1001823</v>
      </c>
      <c r="G5168" s="35" t="s">
        <v>692</v>
      </c>
      <c r="H5168" s="35" t="s">
        <v>115</v>
      </c>
    </row>
    <row r="5169" spans="1:8">
      <c r="A5169" s="37">
        <v>45861.15625</v>
      </c>
      <c r="B5169" s="35" t="s">
        <v>686</v>
      </c>
      <c r="C5169" s="35" t="s">
        <v>687</v>
      </c>
      <c r="D5169" s="39">
        <v>1849.699951171875</v>
      </c>
      <c r="E5169" s="39">
        <v>1828.5318603515625</v>
      </c>
      <c r="F5169" s="41">
        <v>1602723</v>
      </c>
      <c r="G5169" s="35" t="s">
        <v>692</v>
      </c>
      <c r="H5169" s="35" t="s">
        <v>115</v>
      </c>
    </row>
    <row r="5170" spans="1:8">
      <c r="A5170" s="37">
        <v>45862.15625</v>
      </c>
      <c r="B5170" s="35" t="s">
        <v>686</v>
      </c>
      <c r="C5170" s="35" t="s">
        <v>687</v>
      </c>
      <c r="D5170" s="39">
        <v>1676</v>
      </c>
      <c r="E5170" s="39">
        <v>1656.81982421875</v>
      </c>
      <c r="F5170" s="41">
        <v>11480454</v>
      </c>
      <c r="G5170" s="35" t="s">
        <v>692</v>
      </c>
      <c r="H5170" s="35" t="s">
        <v>115</v>
      </c>
    </row>
    <row r="5171" spans="1:8">
      <c r="A5171" s="37">
        <v>45863.15625</v>
      </c>
      <c r="B5171" s="35" t="s">
        <v>686</v>
      </c>
      <c r="C5171" s="35" t="s">
        <v>687</v>
      </c>
      <c r="D5171" s="39">
        <v>1688.800048828125</v>
      </c>
      <c r="E5171" s="39">
        <v>1669.4732666015625</v>
      </c>
      <c r="F5171" s="41">
        <v>5036489</v>
      </c>
      <c r="G5171" s="35" t="s">
        <v>692</v>
      </c>
      <c r="H5171" s="35" t="s">
        <v>115</v>
      </c>
    </row>
    <row r="5172" spans="1:8">
      <c r="A5172" s="37">
        <v>45866.15625</v>
      </c>
      <c r="B5172" s="35" t="s">
        <v>686</v>
      </c>
      <c r="C5172" s="35" t="s">
        <v>687</v>
      </c>
      <c r="D5172" s="39">
        <v>1724.699951171875</v>
      </c>
      <c r="E5172" s="39">
        <v>1704.9625244140625</v>
      </c>
      <c r="F5172" s="41">
        <v>2064973</v>
      </c>
      <c r="G5172" s="35" t="s">
        <v>692</v>
      </c>
      <c r="H5172" s="35" t="s">
        <v>115</v>
      </c>
    </row>
    <row r="5173" spans="1:8">
      <c r="A5173" s="37">
        <v>45867.15625</v>
      </c>
      <c r="B5173" s="35" t="s">
        <v>686</v>
      </c>
      <c r="C5173" s="35" t="s">
        <v>687</v>
      </c>
      <c r="D5173" s="39">
        <v>1720.5</v>
      </c>
      <c r="E5173" s="39">
        <v>1700.810546875</v>
      </c>
      <c r="F5173" s="41">
        <v>3254411</v>
      </c>
      <c r="G5173" s="35" t="s">
        <v>692</v>
      </c>
      <c r="H5173" s="35" t="s">
        <v>115</v>
      </c>
    </row>
    <row r="5174" spans="1:8">
      <c r="A5174" s="37">
        <v>45868.15625</v>
      </c>
      <c r="B5174" s="35" t="s">
        <v>686</v>
      </c>
      <c r="C5174" s="35" t="s">
        <v>687</v>
      </c>
      <c r="D5174" s="39">
        <v>1749.5</v>
      </c>
      <c r="E5174" s="39">
        <v>1729.478515625</v>
      </c>
      <c r="F5174" s="41">
        <v>1877573</v>
      </c>
      <c r="G5174" s="35" t="s">
        <v>692</v>
      </c>
      <c r="H5174" s="35" t="s">
        <v>115</v>
      </c>
    </row>
    <row r="5175" spans="1:8">
      <c r="A5175" s="37">
        <v>45869.15625</v>
      </c>
      <c r="B5175" s="35" t="s">
        <v>686</v>
      </c>
      <c r="C5175" s="35" t="s">
        <v>687</v>
      </c>
      <c r="D5175" s="39">
        <v>1748.199951171875</v>
      </c>
      <c r="E5175" s="39">
        <v>1732.1539306640625</v>
      </c>
      <c r="F5175" s="41">
        <v>2814159</v>
      </c>
      <c r="G5175" s="35" t="s">
        <v>692</v>
      </c>
      <c r="H5175" s="35" t="s">
        <v>115</v>
      </c>
    </row>
    <row r="5176" spans="1:8">
      <c r="A5176" s="37">
        <v>45870.15625</v>
      </c>
      <c r="B5176" s="35" t="s">
        <v>686</v>
      </c>
      <c r="C5176" s="35" t="s">
        <v>687</v>
      </c>
      <c r="D5176" s="39">
        <v>1706.300048828125</v>
      </c>
      <c r="E5176" s="39">
        <v>1690.6385498046875</v>
      </c>
      <c r="F5176" s="41">
        <v>1167544</v>
      </c>
      <c r="G5176" s="35" t="s">
        <v>692</v>
      </c>
      <c r="H5176" s="35" t="s">
        <v>115</v>
      </c>
    </row>
    <row r="5177" spans="1:8">
      <c r="A5177" s="37">
        <v>45873.15625</v>
      </c>
      <c r="B5177" s="35" t="s">
        <v>686</v>
      </c>
      <c r="C5177" s="35" t="s">
        <v>687</v>
      </c>
      <c r="D5177" s="39">
        <v>1746.5</v>
      </c>
      <c r="E5177" s="39">
        <v>1730.4696044921875</v>
      </c>
      <c r="F5177" s="41">
        <v>1391708</v>
      </c>
      <c r="G5177" s="35" t="s">
        <v>692</v>
      </c>
      <c r="H5177" s="35" t="s">
        <v>115</v>
      </c>
    </row>
    <row r="5178" spans="1:8">
      <c r="A5178" s="37">
        <v>45874.15625</v>
      </c>
      <c r="B5178" s="35" t="s">
        <v>686</v>
      </c>
      <c r="C5178" s="35" t="s">
        <v>687</v>
      </c>
      <c r="D5178" s="39">
        <v>1706.699951171875</v>
      </c>
      <c r="E5178" s="39">
        <v>1691.03466796875</v>
      </c>
      <c r="F5178" s="41">
        <v>1980437</v>
      </c>
      <c r="G5178" s="35" t="s">
        <v>692</v>
      </c>
      <c r="H5178" s="35" t="s">
        <v>115</v>
      </c>
    </row>
    <row r="5179" spans="1:8">
      <c r="A5179" s="37">
        <v>45875.15625</v>
      </c>
      <c r="B5179" s="35" t="s">
        <v>686</v>
      </c>
      <c r="C5179" s="35" t="s">
        <v>687</v>
      </c>
      <c r="D5179" s="39">
        <v>1638.300048828125</v>
      </c>
      <c r="E5179" s="39">
        <v>1623.2625732421875</v>
      </c>
      <c r="F5179" s="41">
        <v>2517229</v>
      </c>
      <c r="G5179" s="35" t="s">
        <v>692</v>
      </c>
      <c r="H5179" s="35" t="s">
        <v>115</v>
      </c>
    </row>
    <row r="5180" spans="1:8">
      <c r="A5180" s="37">
        <v>45876.15625</v>
      </c>
      <c r="B5180" s="35" t="s">
        <v>686</v>
      </c>
      <c r="C5180" s="35" t="s">
        <v>687</v>
      </c>
      <c r="D5180" s="39">
        <v>1704.0999755859375</v>
      </c>
      <c r="E5180" s="39">
        <v>1688.4586181640625</v>
      </c>
      <c r="F5180" s="41">
        <v>2503589</v>
      </c>
      <c r="G5180" s="35" t="s">
        <v>692</v>
      </c>
      <c r="H5180" s="35" t="s">
        <v>115</v>
      </c>
    </row>
    <row r="5181" spans="1:8">
      <c r="A5181" s="37">
        <v>45877.15625</v>
      </c>
      <c r="B5181" s="35" t="s">
        <v>686</v>
      </c>
      <c r="C5181" s="35" t="s">
        <v>687</v>
      </c>
      <c r="D5181" s="39">
        <v>1606.800048828125</v>
      </c>
      <c r="E5181" s="39">
        <v>1592.0517578125</v>
      </c>
      <c r="F5181" s="41">
        <v>3441538</v>
      </c>
      <c r="G5181" s="35" t="s">
        <v>692</v>
      </c>
      <c r="H5181" s="35" t="s">
        <v>115</v>
      </c>
    </row>
    <row r="5182" spans="1:8">
      <c r="A5182" s="37">
        <v>45880.15625</v>
      </c>
      <c r="B5182" s="35" t="s">
        <v>686</v>
      </c>
      <c r="C5182" s="35" t="s">
        <v>687</v>
      </c>
      <c r="D5182" s="39">
        <v>1613.9000244140625</v>
      </c>
      <c r="E5182" s="39">
        <v>1599.0865478515625</v>
      </c>
      <c r="F5182" s="41">
        <v>1857927</v>
      </c>
      <c r="G5182" s="35" t="s">
        <v>692</v>
      </c>
      <c r="H5182" s="35" t="s">
        <v>115</v>
      </c>
    </row>
    <row r="5183" spans="1:8">
      <c r="A5183" s="37">
        <v>45881.15625</v>
      </c>
      <c r="B5183" s="35" t="s">
        <v>686</v>
      </c>
      <c r="C5183" s="35" t="s">
        <v>687</v>
      </c>
      <c r="D5183" s="39">
        <v>1625.4000244140625</v>
      </c>
      <c r="E5183" s="39">
        <v>1610.48095703125</v>
      </c>
      <c r="F5183" s="41">
        <v>1170688</v>
      </c>
      <c r="G5183" s="35" t="s">
        <v>692</v>
      </c>
      <c r="H5183" s="35" t="s">
        <v>115</v>
      </c>
    </row>
    <row r="5184" spans="1:8">
      <c r="A5184" s="37">
        <v>45882.15625</v>
      </c>
      <c r="B5184" s="35" t="s">
        <v>686</v>
      </c>
      <c r="C5184" s="35" t="s">
        <v>687</v>
      </c>
      <c r="D5184" s="39">
        <v>1621.699951171875</v>
      </c>
      <c r="E5184" s="39">
        <v>1606.81494140625</v>
      </c>
      <c r="F5184" s="41">
        <v>873679</v>
      </c>
      <c r="G5184" s="35" t="s">
        <v>692</v>
      </c>
      <c r="H5184" s="35" t="s">
        <v>115</v>
      </c>
    </row>
    <row r="5185" spans="1:8">
      <c r="A5185" s="37">
        <v>45883.15625</v>
      </c>
      <c r="B5185" s="35" t="s">
        <v>686</v>
      </c>
      <c r="C5185" s="35" t="s">
        <v>687</v>
      </c>
      <c r="D5185" s="39">
        <v>1642</v>
      </c>
      <c r="E5185" s="39">
        <v>1626.9285888671875</v>
      </c>
      <c r="F5185" s="41">
        <v>1241786</v>
      </c>
      <c r="G5185" s="35" t="s">
        <v>692</v>
      </c>
      <c r="H5185" s="35" t="s">
        <v>115</v>
      </c>
    </row>
    <row r="5186" spans="1:8">
      <c r="A5186" s="37">
        <v>45887.15625</v>
      </c>
      <c r="B5186" s="35" t="s">
        <v>686</v>
      </c>
      <c r="C5186" s="35" t="s">
        <v>687</v>
      </c>
      <c r="D5186" s="39">
        <v>1655.5</v>
      </c>
      <c r="E5186" s="39">
        <v>1640.3046875</v>
      </c>
      <c r="F5186" s="41">
        <v>1056549</v>
      </c>
      <c r="G5186" s="35" t="s">
        <v>692</v>
      </c>
      <c r="H5186" s="35" t="s">
        <v>115</v>
      </c>
    </row>
    <row r="5187" spans="1:8">
      <c r="A5187" s="37">
        <v>45888.15625</v>
      </c>
      <c r="B5187" s="35" t="s">
        <v>686</v>
      </c>
      <c r="C5187" s="35" t="s">
        <v>687</v>
      </c>
      <c r="D5187" s="39">
        <v>1652.699951171875</v>
      </c>
      <c r="E5187" s="39">
        <v>1637.530517578125</v>
      </c>
      <c r="F5187" s="41">
        <v>844413</v>
      </c>
      <c r="G5187" s="35" t="s">
        <v>692</v>
      </c>
      <c r="H5187" s="35" t="s">
        <v>115</v>
      </c>
    </row>
    <row r="5188" spans="1:8">
      <c r="A5188" s="37">
        <v>45889.15625</v>
      </c>
      <c r="B5188" s="35" t="s">
        <v>686</v>
      </c>
      <c r="C5188" s="35" t="s">
        <v>687</v>
      </c>
      <c r="D5188" s="39">
        <v>1708.4000244140625</v>
      </c>
      <c r="E5188" s="39">
        <v>1692.7193603515625</v>
      </c>
      <c r="F5188" s="41">
        <v>2185643</v>
      </c>
      <c r="G5188" s="35" t="s">
        <v>692</v>
      </c>
      <c r="H5188" s="35" t="s">
        <v>115</v>
      </c>
    </row>
    <row r="5189" spans="1:8">
      <c r="A5189" s="37">
        <v>45890.15625</v>
      </c>
      <c r="B5189" s="35" t="s">
        <v>686</v>
      </c>
      <c r="C5189" s="35" t="s">
        <v>687</v>
      </c>
      <c r="D5189" s="39">
        <v>1728.199951171875</v>
      </c>
      <c r="E5189" s="39">
        <v>1712.33740234375</v>
      </c>
      <c r="F5189" s="41">
        <v>2306077</v>
      </c>
      <c r="G5189" s="35" t="s">
        <v>692</v>
      </c>
      <c r="H5189" s="35" t="s">
        <v>115</v>
      </c>
    </row>
    <row r="5190" spans="1:8">
      <c r="A5190" s="37">
        <v>45891.15625</v>
      </c>
      <c r="B5190" s="35" t="s">
        <v>686</v>
      </c>
      <c r="C5190" s="35" t="s">
        <v>687</v>
      </c>
      <c r="D5190" s="39">
        <v>1747.699951171875</v>
      </c>
      <c r="E5190" s="39">
        <v>1731.658447265625</v>
      </c>
      <c r="F5190" s="41">
        <v>2262754</v>
      </c>
      <c r="G5190" s="35" t="s">
        <v>692</v>
      </c>
      <c r="H5190" s="35" t="s">
        <v>115</v>
      </c>
    </row>
    <row r="5191" spans="1:8">
      <c r="A5191" s="37">
        <v>45894.15625</v>
      </c>
      <c r="B5191" s="35" t="s">
        <v>686</v>
      </c>
      <c r="C5191" s="35" t="s">
        <v>687</v>
      </c>
      <c r="D5191" s="39">
        <v>1764</v>
      </c>
      <c r="E5191" s="39">
        <v>1747.8087158203125</v>
      </c>
      <c r="F5191" s="41">
        <v>2137912</v>
      </c>
      <c r="G5191" s="35" t="s">
        <v>692</v>
      </c>
      <c r="H5191" s="35" t="s">
        <v>115</v>
      </c>
    </row>
    <row r="5192" spans="1:8">
      <c r="A5192" s="37">
        <v>45895.15625</v>
      </c>
      <c r="B5192" s="35" t="s">
        <v>686</v>
      </c>
      <c r="C5192" s="35" t="s">
        <v>687</v>
      </c>
      <c r="D5192" s="39">
        <v>1739.300048828125</v>
      </c>
      <c r="E5192" s="39">
        <v>1723.3355712890625</v>
      </c>
      <c r="F5192" s="41">
        <v>1692453</v>
      </c>
      <c r="G5192" s="35" t="s">
        <v>692</v>
      </c>
      <c r="H5192" s="35" t="s">
        <v>115</v>
      </c>
    </row>
    <row r="5193" spans="1:8">
      <c r="A5193" s="37">
        <v>45897.15625</v>
      </c>
      <c r="B5193" s="35" t="s">
        <v>686</v>
      </c>
      <c r="C5193" s="35" t="s">
        <v>687</v>
      </c>
      <c r="D5193" s="39">
        <v>1737.199951171875</v>
      </c>
      <c r="E5193" s="39">
        <v>1721.2548828125</v>
      </c>
      <c r="F5193" s="41">
        <v>1147193</v>
      </c>
      <c r="G5193" s="35" t="s">
        <v>692</v>
      </c>
      <c r="H5193" s="35" t="s">
        <v>115</v>
      </c>
    </row>
    <row r="5194" spans="1:8">
      <c r="A5194" s="37">
        <v>45898.15625</v>
      </c>
      <c r="B5194" s="35" t="s">
        <v>686</v>
      </c>
      <c r="C5194" s="35" t="s">
        <v>687</v>
      </c>
      <c r="D5194" s="39">
        <v>1724.300048828125</v>
      </c>
      <c r="E5194" s="39">
        <v>1708.4732666015625</v>
      </c>
      <c r="F5194" s="41">
        <v>868677</v>
      </c>
      <c r="G5194" s="35" t="s">
        <v>692</v>
      </c>
      <c r="H5194" s="35" t="s">
        <v>115</v>
      </c>
    </row>
    <row r="5195" spans="1:8">
      <c r="A5195" s="37">
        <v>45901.15625</v>
      </c>
      <c r="B5195" s="35" t="s">
        <v>686</v>
      </c>
      <c r="C5195" s="35" t="s">
        <v>687</v>
      </c>
      <c r="D5195" s="39">
        <v>1764.5999755859375</v>
      </c>
      <c r="E5195" s="39">
        <v>1748.4034423828125</v>
      </c>
      <c r="F5195" s="41">
        <v>1050753</v>
      </c>
      <c r="G5195" s="35" t="s">
        <v>692</v>
      </c>
      <c r="H5195" s="35" t="s">
        <v>115</v>
      </c>
    </row>
    <row r="5196" spans="1:8">
      <c r="A5196" s="37">
        <v>45902.15625</v>
      </c>
      <c r="B5196" s="35" t="s">
        <v>686</v>
      </c>
      <c r="C5196" s="35" t="s">
        <v>687</v>
      </c>
      <c r="D5196" s="39">
        <v>1754.5999755859375</v>
      </c>
      <c r="E5196" s="39">
        <v>1738.4951171875</v>
      </c>
      <c r="F5196" s="41">
        <v>1084460</v>
      </c>
      <c r="G5196" s="35" t="s">
        <v>692</v>
      </c>
      <c r="H5196" s="35" t="s">
        <v>115</v>
      </c>
    </row>
    <row r="5197" spans="1:8">
      <c r="A5197" s="37">
        <v>45903.15625</v>
      </c>
      <c r="B5197" s="35" t="s">
        <v>686</v>
      </c>
      <c r="C5197" s="35" t="s">
        <v>687</v>
      </c>
      <c r="D5197" s="39">
        <v>1731.800048828125</v>
      </c>
      <c r="E5197" s="39">
        <v>1715.9044189453125</v>
      </c>
      <c r="F5197" s="41">
        <v>915451</v>
      </c>
      <c r="G5197" s="35" t="s">
        <v>692</v>
      </c>
      <c r="H5197" s="35" t="s">
        <v>115</v>
      </c>
    </row>
    <row r="5198" spans="1:8">
      <c r="A5198" s="37">
        <v>45904.15625</v>
      </c>
      <c r="B5198" s="35" t="s">
        <v>686</v>
      </c>
      <c r="C5198" s="35" t="s">
        <v>687</v>
      </c>
      <c r="D5198" s="39">
        <v>1692.5</v>
      </c>
      <c r="E5198" s="39">
        <v>1676.9652099609375</v>
      </c>
      <c r="F5198" s="41">
        <v>1208094</v>
      </c>
      <c r="G5198" s="35" t="s">
        <v>692</v>
      </c>
      <c r="H5198" s="35" t="s">
        <v>115</v>
      </c>
    </row>
    <row r="5199" spans="1:8">
      <c r="A5199" s="37">
        <v>45905.15625</v>
      </c>
      <c r="B5199" s="35" t="s">
        <v>686</v>
      </c>
      <c r="C5199" s="35" t="s">
        <v>687</v>
      </c>
      <c r="D5199" s="39">
        <v>1658.300048828125</v>
      </c>
      <c r="E5199" s="39">
        <v>1643.0791015625</v>
      </c>
      <c r="F5199" s="41">
        <v>1573984</v>
      </c>
      <c r="G5199" s="35" t="s">
        <v>692</v>
      </c>
      <c r="H5199" s="35" t="s">
        <v>115</v>
      </c>
    </row>
    <row r="5200" spans="1:8">
      <c r="A5200" s="37">
        <v>45908.15625</v>
      </c>
      <c r="B5200" s="35" t="s">
        <v>686</v>
      </c>
      <c r="C5200" s="35" t="s">
        <v>687</v>
      </c>
      <c r="D5200" s="39">
        <v>1662.4000244140625</v>
      </c>
      <c r="E5200" s="39">
        <v>1647.1414794921875</v>
      </c>
      <c r="F5200" s="41">
        <v>1245512</v>
      </c>
      <c r="G5200" s="35" t="s">
        <v>692</v>
      </c>
      <c r="H5200" s="35" t="s">
        <v>115</v>
      </c>
    </row>
    <row r="5201" spans="1:8">
      <c r="A5201" s="37">
        <v>45909.15625</v>
      </c>
      <c r="B5201" s="35" t="s">
        <v>686</v>
      </c>
      <c r="C5201" s="35" t="s">
        <v>687</v>
      </c>
      <c r="D5201" s="39">
        <v>1696.5999755859375</v>
      </c>
      <c r="E5201" s="39">
        <v>1681.0274658203125</v>
      </c>
      <c r="F5201" s="41">
        <v>1705824</v>
      </c>
      <c r="G5201" s="35" t="s">
        <v>692</v>
      </c>
      <c r="H5201" s="35" t="s">
        <v>115</v>
      </c>
    </row>
    <row r="5202" spans="1:8">
      <c r="A5202" s="37">
        <v>45910.15625</v>
      </c>
      <c r="B5202" s="35" t="s">
        <v>686</v>
      </c>
      <c r="C5202" s="35" t="s">
        <v>687</v>
      </c>
      <c r="D5202" s="39">
        <v>1768.5999755859375</v>
      </c>
      <c r="E5202" s="39">
        <v>1752.3665771484375</v>
      </c>
      <c r="F5202" s="41">
        <v>2946800</v>
      </c>
      <c r="G5202" s="35" t="s">
        <v>692</v>
      </c>
      <c r="H5202" s="35" t="s">
        <v>115</v>
      </c>
    </row>
    <row r="5203" spans="1:8">
      <c r="A5203" s="37">
        <v>45911.15625</v>
      </c>
      <c r="B5203" s="35" t="s">
        <v>686</v>
      </c>
      <c r="C5203" s="35" t="s">
        <v>687</v>
      </c>
      <c r="D5203" s="39">
        <v>1771</v>
      </c>
      <c r="E5203" s="39">
        <v>1754.7445068359375</v>
      </c>
      <c r="F5203" s="41">
        <v>900505</v>
      </c>
      <c r="G5203" s="35" t="s">
        <v>692</v>
      </c>
      <c r="H5203" s="35" t="s">
        <v>115</v>
      </c>
    </row>
    <row r="5204" spans="1:8">
      <c r="A5204" s="37">
        <v>45912.15625</v>
      </c>
      <c r="B5204" s="35" t="s">
        <v>686</v>
      </c>
      <c r="C5204" s="35" t="s">
        <v>687</v>
      </c>
      <c r="D5204" s="39">
        <v>1764</v>
      </c>
      <c r="E5204" s="39">
        <v>1747.8087158203125</v>
      </c>
      <c r="F5204" s="41">
        <v>1155805</v>
      </c>
      <c r="G5204" s="35" t="s">
        <v>692</v>
      </c>
      <c r="H5204" s="35" t="s">
        <v>115</v>
      </c>
    </row>
    <row r="5205" spans="1:8">
      <c r="A5205" s="37">
        <v>45915.15625</v>
      </c>
      <c r="B5205" s="35" t="s">
        <v>686</v>
      </c>
      <c r="C5205" s="35" t="s">
        <v>687</v>
      </c>
      <c r="D5205" s="39">
        <v>1754.300048828125</v>
      </c>
      <c r="E5205" s="39">
        <v>1738.1978759765625</v>
      </c>
      <c r="F5205" s="41">
        <v>570950</v>
      </c>
      <c r="G5205" s="35" t="s">
        <v>692</v>
      </c>
      <c r="H5205" s="35" t="s">
        <v>115</v>
      </c>
    </row>
    <row r="5206" spans="1:8">
      <c r="A5206" s="37">
        <v>45916.15625</v>
      </c>
      <c r="B5206" s="35" t="s">
        <v>686</v>
      </c>
      <c r="C5206" s="35" t="s">
        <v>687</v>
      </c>
      <c r="D5206" s="39">
        <v>1779.5999755859375</v>
      </c>
      <c r="E5206" s="39">
        <v>1763.265625</v>
      </c>
      <c r="F5206" s="41">
        <v>782670</v>
      </c>
      <c r="G5206" s="35" t="s">
        <v>692</v>
      </c>
      <c r="H5206" s="35" t="s">
        <v>115</v>
      </c>
    </row>
    <row r="5207" spans="1:8">
      <c r="A5207" s="37">
        <v>45917.15625</v>
      </c>
      <c r="B5207" s="35" t="s">
        <v>686</v>
      </c>
      <c r="C5207" s="35" t="s">
        <v>687</v>
      </c>
      <c r="D5207" s="39">
        <v>1791.9000244140625</v>
      </c>
      <c r="E5207" s="39">
        <v>1775.4527587890625</v>
      </c>
      <c r="F5207" s="41">
        <v>1223772</v>
      </c>
      <c r="G5207" s="35" t="s">
        <v>692</v>
      </c>
      <c r="H5207" s="35" t="s">
        <v>115</v>
      </c>
    </row>
    <row r="5208" spans="1:8">
      <c r="A5208" s="37">
        <v>45918.15625</v>
      </c>
      <c r="B5208" s="35" t="s">
        <v>686</v>
      </c>
      <c r="C5208" s="35" t="s">
        <v>687</v>
      </c>
      <c r="D5208" s="39">
        <v>1824.5</v>
      </c>
      <c r="E5208" s="39">
        <v>1807.7535400390625</v>
      </c>
      <c r="F5208" s="41">
        <v>2107488</v>
      </c>
      <c r="G5208" s="35" t="s">
        <v>692</v>
      </c>
      <c r="H5208" s="35" t="s">
        <v>115</v>
      </c>
    </row>
    <row r="5209" spans="1:8">
      <c r="A5209" s="37">
        <v>45919.15625</v>
      </c>
      <c r="B5209" s="35" t="s">
        <v>686</v>
      </c>
      <c r="C5209" s="35" t="s">
        <v>687</v>
      </c>
      <c r="D5209" s="39">
        <v>1795.300048828125</v>
      </c>
      <c r="E5209" s="39">
        <v>1778.821533203125</v>
      </c>
      <c r="F5209" s="41">
        <v>1490876</v>
      </c>
      <c r="G5209" s="35" t="s">
        <v>692</v>
      </c>
      <c r="H5209" s="35" t="s">
        <v>115</v>
      </c>
    </row>
    <row r="5210" spans="1:8">
      <c r="A5210" s="37">
        <v>45922.15625</v>
      </c>
      <c r="B5210" s="35" t="s">
        <v>686</v>
      </c>
      <c r="C5210" s="35" t="s">
        <v>687</v>
      </c>
      <c r="D5210" s="39">
        <v>1716.9000244140625</v>
      </c>
      <c r="E5210" s="39">
        <v>1701.1412353515625</v>
      </c>
      <c r="F5210" s="41">
        <v>2928020</v>
      </c>
      <c r="G5210" s="35" t="s">
        <v>692</v>
      </c>
      <c r="H5210" s="35" t="s">
        <v>115</v>
      </c>
    </row>
    <row r="5211" spans="1:8">
      <c r="A5211" s="37">
        <v>45923.15625</v>
      </c>
      <c r="B5211" s="35" t="s">
        <v>686</v>
      </c>
      <c r="C5211" s="35" t="s">
        <v>687</v>
      </c>
      <c r="D5211" s="39">
        <v>1667.9000244140625</v>
      </c>
      <c r="E5211" s="39">
        <v>1652.5909423828125</v>
      </c>
      <c r="F5211" s="41">
        <v>2038607</v>
      </c>
      <c r="G5211" s="35" t="s">
        <v>692</v>
      </c>
      <c r="H5211" s="35" t="s">
        <v>115</v>
      </c>
    </row>
    <row r="5212" spans="1:8">
      <c r="A5212" s="37">
        <v>45924.15625</v>
      </c>
      <c r="B5212" s="35" t="s">
        <v>686</v>
      </c>
      <c r="C5212" s="35" t="s">
        <v>687</v>
      </c>
      <c r="D5212" s="39">
        <v>1623.199951171875</v>
      </c>
      <c r="E5212" s="39">
        <v>1608.3011474609375</v>
      </c>
      <c r="F5212" s="41">
        <v>2635426</v>
      </c>
      <c r="G5212" s="35" t="s">
        <v>692</v>
      </c>
      <c r="H5212" s="35" t="s">
        <v>115</v>
      </c>
    </row>
    <row r="5213" spans="1:8">
      <c r="A5213" s="37">
        <v>45925.15625</v>
      </c>
      <c r="B5213" s="35" t="s">
        <v>686</v>
      </c>
      <c r="C5213" s="35" t="s">
        <v>687</v>
      </c>
      <c r="D5213" s="39">
        <v>1591.300048828125</v>
      </c>
      <c r="E5213" s="39">
        <v>1576.6942138671875</v>
      </c>
      <c r="F5213" s="41">
        <v>1465683</v>
      </c>
      <c r="G5213" s="35" t="s">
        <v>692</v>
      </c>
      <c r="H5213" s="35" t="s">
        <v>115</v>
      </c>
    </row>
    <row r="5214" spans="1:8">
      <c r="A5214" s="37">
        <v>45926.15625</v>
      </c>
      <c r="B5214" s="35" t="s">
        <v>686</v>
      </c>
      <c r="C5214" s="35" t="s">
        <v>687</v>
      </c>
      <c r="D5214" s="39">
        <v>1538.5</v>
      </c>
      <c r="E5214" s="39">
        <v>1524.378662109375</v>
      </c>
      <c r="F5214" s="41">
        <v>1851852</v>
      </c>
      <c r="G5214" s="35" t="s">
        <v>692</v>
      </c>
      <c r="H5214" s="35" t="s">
        <v>115</v>
      </c>
    </row>
    <row r="5215" spans="1:8">
      <c r="A5215" s="37">
        <v>45929.15625</v>
      </c>
      <c r="B5215" s="35" t="s">
        <v>686</v>
      </c>
      <c r="C5215" s="35" t="s">
        <v>687</v>
      </c>
      <c r="D5215" s="39">
        <v>1552.199951171875</v>
      </c>
      <c r="E5215" s="39">
        <v>1537.952880859375</v>
      </c>
      <c r="F5215" s="41">
        <v>2271394</v>
      </c>
      <c r="G5215" s="35" t="s">
        <v>692</v>
      </c>
      <c r="H5215" s="35" t="s">
        <v>115</v>
      </c>
    </row>
    <row r="5216" spans="1:8">
      <c r="A5216" s="37">
        <v>45930.15625</v>
      </c>
      <c r="B5216" s="35" t="s">
        <v>686</v>
      </c>
      <c r="C5216" s="35" t="s">
        <v>687</v>
      </c>
      <c r="D5216" s="39">
        <v>1591</v>
      </c>
      <c r="E5216" s="39">
        <v>1576.396728515625</v>
      </c>
      <c r="F5216" s="41">
        <v>6590593</v>
      </c>
      <c r="G5216" s="35" t="s">
        <v>692</v>
      </c>
      <c r="H5216" s="35" t="s">
        <v>115</v>
      </c>
    </row>
    <row r="5217" spans="1:8">
      <c r="A5217" s="37">
        <v>45931.15625</v>
      </c>
      <c r="B5217" s="35" t="s">
        <v>686</v>
      </c>
      <c r="C5217" s="35" t="s">
        <v>687</v>
      </c>
      <c r="D5217" s="39">
        <v>1600.800048828125</v>
      </c>
      <c r="E5217" s="39">
        <v>1586.1068115234375</v>
      </c>
      <c r="F5217" s="41">
        <v>1603862</v>
      </c>
      <c r="G5217" s="35" t="s">
        <v>692</v>
      </c>
      <c r="H5217" s="35" t="s">
        <v>115</v>
      </c>
    </row>
    <row r="5218" spans="1:8">
      <c r="A5218" s="37">
        <v>45933.15625</v>
      </c>
      <c r="B5218" s="35" t="s">
        <v>686</v>
      </c>
      <c r="C5218" s="35" t="s">
        <v>687</v>
      </c>
      <c r="D5218" s="39">
        <v>1613.0999755859375</v>
      </c>
      <c r="E5218" s="39">
        <v>1598.2939453125</v>
      </c>
      <c r="F5218" s="41">
        <v>1434833</v>
      </c>
      <c r="G5218" s="35" t="s">
        <v>692</v>
      </c>
      <c r="H5218" s="35" t="s">
        <v>115</v>
      </c>
    </row>
    <row r="5219" spans="1:8">
      <c r="A5219" s="37">
        <v>45936.15625</v>
      </c>
      <c r="B5219" s="35" t="s">
        <v>686</v>
      </c>
      <c r="C5219" s="35" t="s">
        <v>687</v>
      </c>
      <c r="D5219" s="39">
        <v>1662.4000244140625</v>
      </c>
      <c r="E5219" s="39">
        <v>1647.1414794921875</v>
      </c>
      <c r="F5219" s="41">
        <v>1432985</v>
      </c>
      <c r="G5219" s="35" t="s">
        <v>692</v>
      </c>
      <c r="H5219" s="35" t="s">
        <v>115</v>
      </c>
    </row>
    <row r="5220" spans="1:8">
      <c r="A5220" s="37">
        <v>45937.15625</v>
      </c>
      <c r="B5220" s="35" t="s">
        <v>686</v>
      </c>
      <c r="C5220" s="35" t="s">
        <v>687</v>
      </c>
      <c r="D5220" s="39">
        <v>1686.5</v>
      </c>
      <c r="E5220" s="39">
        <v>1671.0201416015625</v>
      </c>
      <c r="F5220" s="41">
        <v>1937983</v>
      </c>
      <c r="G5220" s="35" t="s">
        <v>692</v>
      </c>
      <c r="H5220" s="35" t="s">
        <v>115</v>
      </c>
    </row>
    <row r="5221" spans="1:8">
      <c r="A5221" s="37">
        <v>45938.15625</v>
      </c>
      <c r="B5221" s="35" t="s">
        <v>686</v>
      </c>
      <c r="C5221" s="35" t="s">
        <v>687</v>
      </c>
      <c r="D5221" s="39">
        <v>1713.699951171875</v>
      </c>
      <c r="E5221" s="39">
        <v>1697.970458984375</v>
      </c>
      <c r="F5221" s="41">
        <v>2733508</v>
      </c>
      <c r="G5221" s="35" t="s">
        <v>692</v>
      </c>
      <c r="H5221" s="35" t="s">
        <v>115</v>
      </c>
    </row>
    <row r="5222" spans="1:8">
      <c r="A5222" s="37">
        <v>45939.15625</v>
      </c>
      <c r="B5222" s="35" t="s">
        <v>686</v>
      </c>
      <c r="C5222" s="35" t="s">
        <v>687</v>
      </c>
      <c r="D5222" s="39">
        <v>1720.0999755859375</v>
      </c>
      <c r="E5222" s="39">
        <v>1704.3118896484375</v>
      </c>
      <c r="F5222" s="41">
        <v>1167579</v>
      </c>
      <c r="G5222" s="35" t="s">
        <v>692</v>
      </c>
      <c r="H5222" s="35" t="s">
        <v>115</v>
      </c>
    </row>
    <row r="5223" spans="1:8">
      <c r="A5223" s="37">
        <v>45940.15625</v>
      </c>
      <c r="B5223" s="35" t="s">
        <v>686</v>
      </c>
      <c r="C5223" s="35" t="s">
        <v>687</v>
      </c>
      <c r="D5223" s="39">
        <v>1722.300048828125</v>
      </c>
      <c r="E5223" s="39">
        <v>1706.49169921875</v>
      </c>
      <c r="F5223" s="41">
        <v>1374406</v>
      </c>
      <c r="G5223" s="35" t="s">
        <v>692</v>
      </c>
      <c r="H5223" s="35" t="s">
        <v>115</v>
      </c>
    </row>
    <row r="5224" spans="1:8">
      <c r="A5224" s="37">
        <v>45943.15625</v>
      </c>
      <c r="B5224" s="35" t="s">
        <v>686</v>
      </c>
      <c r="C5224" s="35" t="s">
        <v>687</v>
      </c>
      <c r="D5224" s="39">
        <v>1716</v>
      </c>
      <c r="E5224" s="39">
        <v>1700.2493896484375</v>
      </c>
      <c r="F5224" s="41">
        <v>857446</v>
      </c>
      <c r="G5224" s="35" t="s">
        <v>692</v>
      </c>
      <c r="H5224" s="35" t="s">
        <v>115</v>
      </c>
    </row>
    <row r="5225" spans="1:8">
      <c r="A5225" s="37">
        <v>45944.15625</v>
      </c>
      <c r="B5225" s="35" t="s">
        <v>686</v>
      </c>
      <c r="C5225" s="35" t="s">
        <v>687</v>
      </c>
      <c r="D5225" s="39">
        <v>1700.5</v>
      </c>
      <c r="E5225" s="39">
        <v>1684.8916015625</v>
      </c>
      <c r="F5225" s="41">
        <v>836488</v>
      </c>
      <c r="G5225" s="35" t="s">
        <v>692</v>
      </c>
      <c r="H5225" s="35" t="s">
        <v>115</v>
      </c>
    </row>
    <row r="5226" spans="1:8">
      <c r="A5226" s="37">
        <v>45945.15625</v>
      </c>
      <c r="B5226" s="35" t="s">
        <v>686</v>
      </c>
      <c r="C5226" s="35" t="s">
        <v>687</v>
      </c>
      <c r="D5226" s="39">
        <v>1765.4000244140625</v>
      </c>
      <c r="E5226" s="39">
        <v>1749.196044921875</v>
      </c>
      <c r="F5226" s="41">
        <v>2653260</v>
      </c>
      <c r="G5226" s="35" t="s">
        <v>692</v>
      </c>
      <c r="H5226" s="35" t="s">
        <v>115</v>
      </c>
    </row>
    <row r="5227" spans="1:8">
      <c r="A5227" s="37">
        <v>45946.15625</v>
      </c>
      <c r="B5227" s="35" t="s">
        <v>686</v>
      </c>
      <c r="C5227" s="35" t="s">
        <v>687</v>
      </c>
      <c r="D5227" s="39">
        <v>1761.5</v>
      </c>
      <c r="E5227" s="39">
        <v>1745.3319091796875</v>
      </c>
      <c r="F5227" s="41">
        <v>579027</v>
      </c>
      <c r="G5227" s="35" t="s">
        <v>692</v>
      </c>
      <c r="H5227" s="35" t="s">
        <v>115</v>
      </c>
    </row>
    <row r="5228" spans="1:8">
      <c r="A5228" s="37">
        <v>45947.15625</v>
      </c>
      <c r="B5228" s="35" t="s">
        <v>686</v>
      </c>
      <c r="C5228" s="35" t="s">
        <v>687</v>
      </c>
      <c r="D5228" s="39">
        <v>1734.9000244140625</v>
      </c>
      <c r="E5228" s="39">
        <v>1718.9759521484375</v>
      </c>
      <c r="F5228" s="41">
        <v>1237165</v>
      </c>
      <c r="G5228" s="35" t="s">
        <v>692</v>
      </c>
      <c r="H5228" s="35" t="s">
        <v>115</v>
      </c>
    </row>
    <row r="5229" spans="1:8">
      <c r="A5229" s="37">
        <v>45950.15625</v>
      </c>
      <c r="B5229" s="35" t="s">
        <v>686</v>
      </c>
      <c r="C5229" s="35" t="s">
        <v>687</v>
      </c>
      <c r="D5229" s="39">
        <v>1747.4000244140625</v>
      </c>
      <c r="E5229" s="39">
        <v>1731.3612060546875</v>
      </c>
      <c r="F5229" s="41">
        <v>456862</v>
      </c>
      <c r="G5229" s="35" t="s">
        <v>692</v>
      </c>
      <c r="H5229" s="35" t="s">
        <v>115</v>
      </c>
    </row>
    <row r="5230" spans="1:8">
      <c r="A5230" s="37">
        <v>45951.15625</v>
      </c>
      <c r="B5230" s="35" t="s">
        <v>686</v>
      </c>
      <c r="C5230" s="35" t="s">
        <v>687</v>
      </c>
      <c r="D5230" s="39">
        <v>1741.5</v>
      </c>
      <c r="E5230" s="39">
        <v>1725.515380859375</v>
      </c>
      <c r="F5230" s="41">
        <v>106674</v>
      </c>
      <c r="G5230" s="35" t="s">
        <v>692</v>
      </c>
      <c r="H5230" s="35" t="s">
        <v>115</v>
      </c>
    </row>
    <row r="5231" spans="1:8">
      <c r="A5231" s="37">
        <v>45953.15625</v>
      </c>
      <c r="B5231" s="35" t="s">
        <v>686</v>
      </c>
      <c r="C5231" s="35" t="s">
        <v>687</v>
      </c>
      <c r="D5231" s="39">
        <v>1754.699951171875</v>
      </c>
      <c r="E5231" s="39">
        <v>1738.5941162109375</v>
      </c>
      <c r="F5231" s="41">
        <v>1981822</v>
      </c>
      <c r="G5231" s="35" t="s">
        <v>692</v>
      </c>
      <c r="H5231" s="35" t="s">
        <v>115</v>
      </c>
    </row>
    <row r="5232" spans="1:8">
      <c r="A5232" s="37">
        <v>45954.15625</v>
      </c>
      <c r="B5232" s="35" t="s">
        <v>686</v>
      </c>
      <c r="C5232" s="35" t="s">
        <v>687</v>
      </c>
      <c r="D5232" s="39">
        <v>1760</v>
      </c>
      <c r="E5232" s="39">
        <v>1743.845703125</v>
      </c>
      <c r="F5232" s="41">
        <v>1609152</v>
      </c>
      <c r="G5232" s="35" t="s">
        <v>692</v>
      </c>
      <c r="H5232" s="35" t="s">
        <v>115</v>
      </c>
    </row>
    <row r="5233" spans="1:8">
      <c r="A5233" s="37">
        <v>45957.15625</v>
      </c>
      <c r="B5233" s="35" t="s">
        <v>686</v>
      </c>
      <c r="C5233" s="35" t="s">
        <v>687</v>
      </c>
      <c r="D5233" s="39">
        <v>1830.5999755859375</v>
      </c>
      <c r="E5233" s="39">
        <v>1813.797607421875</v>
      </c>
      <c r="F5233" s="41">
        <v>6887265</v>
      </c>
      <c r="G5233" s="35" t="s">
        <v>692</v>
      </c>
      <c r="H5233" s="35" t="s">
        <v>115</v>
      </c>
    </row>
    <row r="5234" spans="1:8">
      <c r="A5234" s="37">
        <v>45958.15625</v>
      </c>
      <c r="B5234" s="35" t="s">
        <v>686</v>
      </c>
      <c r="C5234" s="35" t="s">
        <v>687</v>
      </c>
      <c r="D5234" s="39">
        <v>1809.800048828125</v>
      </c>
      <c r="E5234" s="39">
        <v>1793.1884765625</v>
      </c>
      <c r="F5234" s="41">
        <v>2276191</v>
      </c>
      <c r="G5234" s="35" t="s">
        <v>692</v>
      </c>
      <c r="H5234" s="35" t="s">
        <v>115</v>
      </c>
    </row>
    <row r="5235" spans="1:8">
      <c r="A5235" s="37">
        <v>45959.15625</v>
      </c>
      <c r="B5235" s="35" t="s">
        <v>686</v>
      </c>
      <c r="C5235" s="35" t="s">
        <v>687</v>
      </c>
      <c r="D5235" s="39">
        <v>1797.4000244140625</v>
      </c>
      <c r="E5235" s="39">
        <v>1780.9022216796875</v>
      </c>
      <c r="F5235" s="41">
        <v>1754243</v>
      </c>
      <c r="G5235" s="35" t="s">
        <v>692</v>
      </c>
      <c r="H5235" s="35" t="s">
        <v>115</v>
      </c>
    </row>
    <row r="5236" spans="1:8">
      <c r="A5236" s="37">
        <v>45960.15625</v>
      </c>
      <c r="B5236" s="35" t="s">
        <v>686</v>
      </c>
      <c r="C5236" s="35" t="s">
        <v>687</v>
      </c>
      <c r="D5236" s="39">
        <v>1807.699951171875</v>
      </c>
      <c r="E5236" s="39">
        <v>1791.107666015625</v>
      </c>
      <c r="F5236" s="41">
        <v>1236877</v>
      </c>
      <c r="G5236" s="35" t="s">
        <v>692</v>
      </c>
      <c r="H5236" s="35" t="s">
        <v>115</v>
      </c>
    </row>
    <row r="5237" spans="1:8">
      <c r="A5237" s="37">
        <v>45961.15625</v>
      </c>
      <c r="B5237" s="35" t="s">
        <v>686</v>
      </c>
      <c r="C5237" s="35" t="s">
        <v>687</v>
      </c>
      <c r="D5237" s="39">
        <v>1778.0999755859375</v>
      </c>
      <c r="E5237" s="39">
        <v>1765.6864013671875</v>
      </c>
      <c r="F5237" s="41">
        <v>697258</v>
      </c>
      <c r="G5237" s="35" t="s">
        <v>692</v>
      </c>
      <c r="H5237" s="35" t="s">
        <v>115</v>
      </c>
    </row>
    <row r="5238" spans="1:8">
      <c r="A5238" s="37">
        <v>45964.15625</v>
      </c>
      <c r="B5238" s="35" t="s">
        <v>686</v>
      </c>
      <c r="C5238" s="35" t="s">
        <v>687</v>
      </c>
      <c r="D5238" s="39">
        <v>1794.800048828125</v>
      </c>
      <c r="E5238" s="39">
        <v>1782.27001953125</v>
      </c>
      <c r="F5238" s="41">
        <v>1055825</v>
      </c>
      <c r="G5238" s="35" t="s">
        <v>692</v>
      </c>
      <c r="H5238" s="35" t="s">
        <v>115</v>
      </c>
    </row>
    <row r="5239" spans="1:8">
      <c r="A5239" s="37">
        <v>45965.15625</v>
      </c>
      <c r="B5239" s="35" t="s">
        <v>686</v>
      </c>
      <c r="C5239" s="35" t="s">
        <v>687</v>
      </c>
      <c r="D5239" s="39">
        <v>1767</v>
      </c>
      <c r="E5239" s="39">
        <v>1754.6639404296875</v>
      </c>
      <c r="F5239" s="41">
        <v>1067437</v>
      </c>
      <c r="G5239" s="35" t="s">
        <v>692</v>
      </c>
      <c r="H5239" s="35" t="s">
        <v>115</v>
      </c>
    </row>
    <row r="5240" spans="1:8">
      <c r="A5240" s="37">
        <v>45967.15625</v>
      </c>
      <c r="B5240" s="35" t="s">
        <v>686</v>
      </c>
      <c r="C5240" s="35" t="s">
        <v>687</v>
      </c>
      <c r="D5240" s="39">
        <v>1763.9000244140625</v>
      </c>
      <c r="E5240" s="39">
        <v>1751.5855712890625</v>
      </c>
      <c r="F5240" s="41">
        <v>1453706</v>
      </c>
      <c r="G5240" s="35" t="s">
        <v>692</v>
      </c>
      <c r="H5240" s="35" t="s">
        <v>115</v>
      </c>
    </row>
    <row r="5241" spans="1:8">
      <c r="A5241" s="37">
        <v>45968.15625</v>
      </c>
      <c r="B5241" s="35" t="s">
        <v>686</v>
      </c>
      <c r="C5241" s="35" t="s">
        <v>687</v>
      </c>
      <c r="D5241" s="39">
        <v>1740.199951171875</v>
      </c>
      <c r="E5241" s="39">
        <v>1728.0511474609375</v>
      </c>
      <c r="F5241" s="41">
        <v>1410909</v>
      </c>
      <c r="G5241" s="35" t="s">
        <v>692</v>
      </c>
      <c r="H5241" s="35" t="s">
        <v>115</v>
      </c>
    </row>
    <row r="5242" spans="1:8">
      <c r="A5242" s="37">
        <v>45971.15625</v>
      </c>
      <c r="B5242" s="35" t="s">
        <v>686</v>
      </c>
      <c r="C5242" s="35" t="s">
        <v>687</v>
      </c>
      <c r="D5242" s="39">
        <v>1757.5999755859375</v>
      </c>
      <c r="E5242" s="39">
        <v>1745.32958984375</v>
      </c>
      <c r="F5242" s="41">
        <v>1401690</v>
      </c>
      <c r="G5242" s="35" t="s">
        <v>692</v>
      </c>
      <c r="H5242" s="35" t="s">
        <v>115</v>
      </c>
    </row>
    <row r="5243" spans="1:8">
      <c r="A5243" s="37">
        <v>45972.15625</v>
      </c>
      <c r="B5243" s="35" t="s">
        <v>686</v>
      </c>
      <c r="C5243" s="35" t="s">
        <v>687</v>
      </c>
      <c r="D5243" s="39">
        <v>1797.0999755859375</v>
      </c>
      <c r="E5243" s="39">
        <v>1784.5538330078125</v>
      </c>
      <c r="F5243" s="41">
        <v>2162659</v>
      </c>
      <c r="G5243" s="35" t="s">
        <v>692</v>
      </c>
      <c r="H5243" s="35" t="s">
        <v>115</v>
      </c>
    </row>
    <row r="5244" spans="1:8">
      <c r="A5244" s="37">
        <v>45973.15625</v>
      </c>
      <c r="B5244" s="35" t="s">
        <v>686</v>
      </c>
      <c r="C5244" s="35" t="s">
        <v>687</v>
      </c>
      <c r="D5244" s="39">
        <v>1827.699951171875</v>
      </c>
      <c r="E5244" s="39">
        <v>1814.940185546875</v>
      </c>
      <c r="F5244" s="41">
        <v>1138331</v>
      </c>
      <c r="G5244" s="35" t="s">
        <v>692</v>
      </c>
      <c r="H5244" s="35" t="s">
        <v>115</v>
      </c>
    </row>
    <row r="5245" spans="1:8">
      <c r="A5245" s="37">
        <v>45974.15625</v>
      </c>
      <c r="B5245" s="35" t="s">
        <v>686</v>
      </c>
      <c r="C5245" s="35" t="s">
        <v>687</v>
      </c>
      <c r="D5245" s="39">
        <v>1810.199951171875</v>
      </c>
      <c r="E5245" s="39">
        <v>1797.5623779296875</v>
      </c>
      <c r="F5245" s="41">
        <v>1550251</v>
      </c>
      <c r="G5245" s="35" t="s">
        <v>692</v>
      </c>
      <c r="H5245" s="35" t="s">
        <v>115</v>
      </c>
    </row>
    <row r="5246" spans="1:8">
      <c r="A5246" s="37">
        <v>45975.15625</v>
      </c>
      <c r="B5246" s="35" t="s">
        <v>686</v>
      </c>
      <c r="C5246" s="35" t="s">
        <v>687</v>
      </c>
      <c r="D5246" s="39">
        <v>1799.5999755859375</v>
      </c>
      <c r="E5246" s="39">
        <v>1787.036376953125</v>
      </c>
      <c r="F5246" s="41">
        <v>1575511</v>
      </c>
      <c r="G5246" s="35" t="s">
        <v>692</v>
      </c>
      <c r="H5246" s="35" t="s">
        <v>115</v>
      </c>
    </row>
    <row r="5247" spans="1:8">
      <c r="A5247" s="37">
        <v>45978.15625</v>
      </c>
      <c r="B5247" s="35" t="s">
        <v>686</v>
      </c>
      <c r="C5247" s="35" t="s">
        <v>687</v>
      </c>
      <c r="D5247" s="39">
        <v>1801.0999755859375</v>
      </c>
      <c r="E5247" s="39">
        <v>1788.52587890625</v>
      </c>
      <c r="F5247" s="41">
        <v>518247</v>
      </c>
      <c r="G5247" s="35" t="s">
        <v>692</v>
      </c>
      <c r="H5247" s="35" t="s">
        <v>115</v>
      </c>
    </row>
    <row r="5248" spans="1:8">
      <c r="A5248" s="37">
        <v>45979.15625</v>
      </c>
      <c r="B5248" s="35" t="s">
        <v>686</v>
      </c>
      <c r="C5248" s="35" t="s">
        <v>687</v>
      </c>
      <c r="D5248" s="39">
        <v>1784.300048828125</v>
      </c>
      <c r="E5248" s="39">
        <v>1771.84326171875</v>
      </c>
      <c r="F5248" s="41">
        <v>785781</v>
      </c>
      <c r="G5248" s="35" t="s">
        <v>692</v>
      </c>
      <c r="H5248" s="35" t="s">
        <v>115</v>
      </c>
    </row>
    <row r="5249" spans="1:8">
      <c r="A5249" s="37">
        <v>45980.15625</v>
      </c>
      <c r="B5249" s="35" t="s">
        <v>686</v>
      </c>
      <c r="C5249" s="35" t="s">
        <v>687</v>
      </c>
      <c r="D5249" s="39">
        <v>1858.199951171875</v>
      </c>
      <c r="E5249" s="39">
        <v>1845.2271728515625</v>
      </c>
      <c r="F5249" s="41">
        <v>2324817</v>
      </c>
      <c r="G5249" s="35" t="s">
        <v>692</v>
      </c>
      <c r="H5249" s="35" t="s">
        <v>115</v>
      </c>
    </row>
    <row r="5250" spans="1:8">
      <c r="A5250" s="37">
        <v>45981.15625</v>
      </c>
      <c r="B5250" s="35" t="s">
        <v>686</v>
      </c>
      <c r="C5250" s="35" t="s">
        <v>687</v>
      </c>
      <c r="D5250" s="39">
        <v>1846.0999755859375</v>
      </c>
      <c r="E5250" s="39">
        <v>1833.2117919921875</v>
      </c>
      <c r="F5250" s="41">
        <v>1733072</v>
      </c>
      <c r="G5250" s="35" t="s">
        <v>692</v>
      </c>
      <c r="H5250" s="35" t="s">
        <v>115</v>
      </c>
    </row>
    <row r="5251" spans="1:8">
      <c r="A5251" s="37">
        <v>45982.15625</v>
      </c>
      <c r="B5251" s="35" t="s">
        <v>686</v>
      </c>
      <c r="C5251" s="35" t="s">
        <v>687</v>
      </c>
      <c r="D5251" s="39">
        <v>1797.5</v>
      </c>
      <c r="E5251" s="39">
        <v>1784.9510498046875</v>
      </c>
      <c r="F5251" s="41">
        <v>1342531</v>
      </c>
      <c r="G5251" s="35" t="s">
        <v>692</v>
      </c>
      <c r="H5251" s="35" t="s">
        <v>115</v>
      </c>
    </row>
    <row r="5252" spans="1:8">
      <c r="A5252" s="37">
        <v>45985.15625</v>
      </c>
      <c r="B5252" s="35" t="s">
        <v>686</v>
      </c>
      <c r="C5252" s="35" t="s">
        <v>687</v>
      </c>
      <c r="D5252" s="39">
        <v>1808.199951171875</v>
      </c>
      <c r="E5252" s="39">
        <v>1795.5762939453125</v>
      </c>
      <c r="F5252" s="41">
        <v>1409000</v>
      </c>
      <c r="G5252" s="35" t="s">
        <v>692</v>
      </c>
      <c r="H5252" s="35" t="s">
        <v>115</v>
      </c>
    </row>
    <row r="5253" spans="1:8">
      <c r="A5253" s="37">
        <v>45986.15625</v>
      </c>
      <c r="B5253" s="35" t="s">
        <v>686</v>
      </c>
      <c r="C5253" s="35" t="s">
        <v>687</v>
      </c>
      <c r="D5253" s="39">
        <v>1831.699951171875</v>
      </c>
      <c r="E5253" s="39">
        <v>1818.9122314453125</v>
      </c>
      <c r="F5253" s="41">
        <v>1612174</v>
      </c>
      <c r="G5253" s="35" t="s">
        <v>692</v>
      </c>
      <c r="H5253" s="35" t="s">
        <v>115</v>
      </c>
    </row>
    <row r="5254" spans="1:8">
      <c r="A5254" s="37">
        <v>45987.15625</v>
      </c>
      <c r="B5254" s="35" t="s">
        <v>686</v>
      </c>
      <c r="C5254" s="35" t="s">
        <v>687</v>
      </c>
      <c r="D5254" s="39">
        <v>1871.0999755859375</v>
      </c>
      <c r="E5254" s="39">
        <v>1858.0372314453125</v>
      </c>
      <c r="F5254" s="41">
        <v>902345</v>
      </c>
      <c r="G5254" s="35" t="s">
        <v>692</v>
      </c>
      <c r="H5254" s="35" t="s">
        <v>115</v>
      </c>
    </row>
    <row r="5255" spans="1:8">
      <c r="A5255" s="37">
        <v>45988.15625</v>
      </c>
      <c r="B5255" s="35" t="s">
        <v>686</v>
      </c>
      <c r="C5255" s="35" t="s">
        <v>687</v>
      </c>
      <c r="D5255" s="39">
        <v>1910.199951171875</v>
      </c>
      <c r="E5255" s="39">
        <v>1896.8642578125</v>
      </c>
      <c r="F5255" s="41">
        <v>1702344</v>
      </c>
      <c r="G5255" s="35" t="s">
        <v>692</v>
      </c>
      <c r="H5255" s="35" t="s">
        <v>115</v>
      </c>
    </row>
    <row r="5256" spans="1:8">
      <c r="A5256" s="37">
        <v>45989.15625</v>
      </c>
      <c r="B5256" s="35" t="s">
        <v>686</v>
      </c>
      <c r="C5256" s="35" t="s">
        <v>687</v>
      </c>
      <c r="D5256" s="39">
        <v>1908.699951171875</v>
      </c>
      <c r="E5256" s="39">
        <v>1895.3746337890625</v>
      </c>
      <c r="F5256" s="41">
        <v>1344163</v>
      </c>
      <c r="G5256" s="35" t="s">
        <v>692</v>
      </c>
      <c r="H5256" s="35" t="s">
        <v>115</v>
      </c>
    </row>
    <row r="5257" spans="1:8">
      <c r="A5257" s="37">
        <v>45992.15625</v>
      </c>
      <c r="B5257" s="35" t="s">
        <v>686</v>
      </c>
      <c r="C5257" s="35" t="s">
        <v>687</v>
      </c>
      <c r="D5257" s="39">
        <v>1902.5999755859375</v>
      </c>
      <c r="E5257" s="39">
        <v>1889.317138671875</v>
      </c>
      <c r="F5257" s="41">
        <v>957784</v>
      </c>
      <c r="G5257" s="35" t="s">
        <v>692</v>
      </c>
      <c r="H5257" s="35" t="s">
        <v>115</v>
      </c>
    </row>
    <row r="5258" spans="1:8">
      <c r="A5258" s="37">
        <v>45993.15625</v>
      </c>
      <c r="B5258" s="35" t="s">
        <v>686</v>
      </c>
      <c r="C5258" s="35" t="s">
        <v>687</v>
      </c>
      <c r="D5258" s="39">
        <v>1913.9000244140625</v>
      </c>
      <c r="E5258" s="39">
        <v>1900.5384521484375</v>
      </c>
      <c r="F5258" s="41">
        <v>789262</v>
      </c>
      <c r="G5258" s="35" t="s">
        <v>692</v>
      </c>
      <c r="H5258" s="35" t="s">
        <v>115</v>
      </c>
    </row>
    <row r="5259" spans="1:8">
      <c r="A5259" s="37">
        <v>45994.15625</v>
      </c>
      <c r="B5259" s="35" t="s">
        <v>686</v>
      </c>
      <c r="C5259" s="35" t="s">
        <v>687</v>
      </c>
      <c r="D5259" s="39">
        <v>1912.5</v>
      </c>
      <c r="E5259" s="39">
        <v>1899.148193359375</v>
      </c>
      <c r="F5259" s="41">
        <v>1033164</v>
      </c>
      <c r="G5259" s="35" t="s">
        <v>692</v>
      </c>
      <c r="H5259" s="35" t="s">
        <v>115</v>
      </c>
    </row>
    <row r="5260" spans="1:8">
      <c r="A5260" s="37">
        <v>45995.15625</v>
      </c>
      <c r="B5260" s="35" t="s">
        <v>686</v>
      </c>
      <c r="C5260" s="35" t="s">
        <v>687</v>
      </c>
      <c r="D5260" s="39">
        <v>1966.199951171875</v>
      </c>
      <c r="E5260" s="39">
        <v>1952.47314453125</v>
      </c>
      <c r="F5260" s="41">
        <v>3120396</v>
      </c>
      <c r="G5260" s="35" t="s">
        <v>692</v>
      </c>
      <c r="H5260" s="35" t="s">
        <v>115</v>
      </c>
    </row>
    <row r="5261" spans="1:8">
      <c r="A5261" s="37">
        <v>45996.15625</v>
      </c>
      <c r="B5261" s="35" t="s">
        <v>686</v>
      </c>
      <c r="C5261" s="35" t="s">
        <v>687</v>
      </c>
      <c r="D5261" s="39">
        <v>1977.9000244140625</v>
      </c>
      <c r="E5261" s="39">
        <v>1964.0916748046875</v>
      </c>
      <c r="F5261" s="41">
        <v>1822538</v>
      </c>
      <c r="G5261" s="35" t="s">
        <v>692</v>
      </c>
      <c r="H5261" s="35" t="s">
        <v>115</v>
      </c>
    </row>
    <row r="5262" spans="1:8">
      <c r="A5262" s="37">
        <v>45999.15625</v>
      </c>
      <c r="B5262" s="35" t="s">
        <v>686</v>
      </c>
      <c r="C5262" s="35" t="s">
        <v>687</v>
      </c>
      <c r="D5262" s="39">
        <v>1951.300048828125</v>
      </c>
      <c r="E5262" s="39">
        <v>1937.6773681640625</v>
      </c>
      <c r="F5262" s="41">
        <v>1538773</v>
      </c>
      <c r="G5262" s="35" t="s">
        <v>692</v>
      </c>
      <c r="H5262" s="35" t="s">
        <v>115</v>
      </c>
    </row>
    <row r="5263" spans="1:8">
      <c r="A5263" s="37">
        <v>46000.15625</v>
      </c>
      <c r="B5263" s="35" t="s">
        <v>686</v>
      </c>
      <c r="C5263" s="35" t="s">
        <v>687</v>
      </c>
      <c r="D5263" s="39">
        <v>1873.5</v>
      </c>
      <c r="E5263" s="39">
        <v>1860.42041015625</v>
      </c>
      <c r="F5263" s="41">
        <v>2178634</v>
      </c>
      <c r="G5263" s="35" t="s">
        <v>692</v>
      </c>
      <c r="H5263" s="35" t="s">
        <v>115</v>
      </c>
    </row>
    <row r="5264" spans="1:8">
      <c r="A5264" s="37">
        <v>46001.15625</v>
      </c>
      <c r="B5264" s="35" t="s">
        <v>686</v>
      </c>
      <c r="C5264" s="35" t="s">
        <v>687</v>
      </c>
      <c r="D5264" s="39">
        <v>1820.199951171875</v>
      </c>
      <c r="E5264" s="39">
        <v>1807.492431640625</v>
      </c>
      <c r="F5264" s="41">
        <v>1182576</v>
      </c>
      <c r="G5264" s="35" t="s">
        <v>692</v>
      </c>
      <c r="H5264" s="35" t="s">
        <v>115</v>
      </c>
    </row>
    <row r="5265" spans="1:8">
      <c r="A5265" s="37">
        <v>46002.15625</v>
      </c>
      <c r="B5265" s="35" t="s">
        <v>686</v>
      </c>
      <c r="C5265" s="35" t="s">
        <v>687</v>
      </c>
      <c r="D5265" s="39">
        <v>1841.4000244140625</v>
      </c>
      <c r="E5265" s="39">
        <v>1828.544677734375</v>
      </c>
      <c r="F5265" s="41">
        <v>1305450</v>
      </c>
      <c r="G5265" s="35" t="s">
        <v>692</v>
      </c>
      <c r="H5265" s="35" t="s">
        <v>115</v>
      </c>
    </row>
    <row r="5266" spans="1:8">
      <c r="A5266" s="37">
        <v>46003.15625</v>
      </c>
      <c r="B5266" s="35" t="s">
        <v>686</v>
      </c>
      <c r="C5266" s="35" t="s">
        <v>687</v>
      </c>
      <c r="D5266" s="39">
        <v>1851</v>
      </c>
      <c r="E5266" s="39">
        <v>1838.0775146484375</v>
      </c>
      <c r="F5266" s="41">
        <v>1341771</v>
      </c>
      <c r="G5266" s="35" t="s">
        <v>692</v>
      </c>
      <c r="H5266" s="35" t="s">
        <v>115</v>
      </c>
    </row>
    <row r="5267" spans="1:8">
      <c r="A5267" s="37">
        <v>46006.15625</v>
      </c>
      <c r="B5267" s="35" t="s">
        <v>686</v>
      </c>
      <c r="C5267" s="35" t="s">
        <v>687</v>
      </c>
      <c r="D5267" s="39">
        <v>1870</v>
      </c>
      <c r="E5267" s="39">
        <v>1856.94482421875</v>
      </c>
      <c r="F5267" s="41">
        <v>774833</v>
      </c>
      <c r="G5267" s="35" t="s">
        <v>692</v>
      </c>
      <c r="H5267" s="35" t="s">
        <v>115</v>
      </c>
    </row>
    <row r="5268" spans="1:8">
      <c r="A5268" s="37">
        <v>46007.15625</v>
      </c>
      <c r="B5268" s="35" t="s">
        <v>686</v>
      </c>
      <c r="C5268" s="35" t="s">
        <v>687</v>
      </c>
      <c r="D5268" s="39">
        <v>1866.800048828125</v>
      </c>
      <c r="E5268" s="39">
        <v>1853.7672119140625</v>
      </c>
      <c r="F5268" s="41">
        <v>810515</v>
      </c>
      <c r="G5268" s="35" t="s">
        <v>692</v>
      </c>
      <c r="H5268" s="35" t="s">
        <v>115</v>
      </c>
    </row>
    <row r="5269" spans="1:8">
      <c r="A5269" s="37">
        <v>46008.15625</v>
      </c>
      <c r="B5269" s="35" t="s">
        <v>686</v>
      </c>
      <c r="C5269" s="35" t="s">
        <v>687</v>
      </c>
      <c r="D5269" s="39">
        <v>1844.699951171875</v>
      </c>
      <c r="E5269" s="39">
        <v>1831.821533203125</v>
      </c>
      <c r="F5269" s="41">
        <v>728993</v>
      </c>
      <c r="G5269" s="35" t="s">
        <v>692</v>
      </c>
      <c r="H5269" s="35" t="s">
        <v>115</v>
      </c>
    </row>
    <row r="5270" spans="1:8">
      <c r="A5270" s="37">
        <v>46009.15625</v>
      </c>
      <c r="B5270" s="35" t="s">
        <v>686</v>
      </c>
      <c r="C5270" s="35" t="s">
        <v>687</v>
      </c>
      <c r="D5270" s="39">
        <v>1854.800048828125</v>
      </c>
      <c r="E5270" s="39">
        <v>1841.8511962890625</v>
      </c>
      <c r="F5270" s="41">
        <v>983034</v>
      </c>
      <c r="G5270" s="35" t="s">
        <v>692</v>
      </c>
      <c r="H5270" s="35" t="s">
        <v>115</v>
      </c>
    </row>
    <row r="5271" spans="1:8">
      <c r="A5271" s="37">
        <v>46010.15625</v>
      </c>
      <c r="B5271" s="35" t="s">
        <v>686</v>
      </c>
      <c r="C5271" s="35" t="s">
        <v>687</v>
      </c>
      <c r="D5271" s="39">
        <v>1845.4000244140625</v>
      </c>
      <c r="E5271" s="39">
        <v>1832.5167236328125</v>
      </c>
      <c r="F5271" s="41">
        <v>2031217</v>
      </c>
      <c r="G5271" s="35" t="s">
        <v>692</v>
      </c>
      <c r="H5271" s="35" t="s">
        <v>115</v>
      </c>
    </row>
    <row r="5272" spans="1:8">
      <c r="A5272" s="37">
        <v>46013.15625</v>
      </c>
      <c r="B5272" s="35" t="s">
        <v>686</v>
      </c>
      <c r="C5272" s="35" t="s">
        <v>687</v>
      </c>
      <c r="D5272" s="39">
        <v>1868.699951171875</v>
      </c>
      <c r="E5272" s="39">
        <v>1855.6539306640625</v>
      </c>
      <c r="F5272" s="41">
        <v>824181</v>
      </c>
      <c r="G5272" s="35" t="s">
        <v>692</v>
      </c>
      <c r="H5272" s="35" t="s">
        <v>115</v>
      </c>
    </row>
    <row r="5273" spans="1:8">
      <c r="A5273" s="37">
        <v>46014.15625</v>
      </c>
      <c r="B5273" s="35" t="s">
        <v>686</v>
      </c>
      <c r="C5273" s="35" t="s">
        <v>687</v>
      </c>
      <c r="D5273" s="39">
        <v>1780.199951171875</v>
      </c>
      <c r="E5273" s="39">
        <v>1767.771728515625</v>
      </c>
      <c r="F5273" s="41">
        <v>3815131</v>
      </c>
      <c r="G5273" s="35" t="s">
        <v>692</v>
      </c>
      <c r="H5273" s="35" t="s">
        <v>115</v>
      </c>
    </row>
    <row r="5274" spans="1:8">
      <c r="A5274" s="37">
        <v>46015.15625</v>
      </c>
      <c r="B5274" s="35" t="s">
        <v>686</v>
      </c>
      <c r="C5274" s="35" t="s">
        <v>687</v>
      </c>
      <c r="D5274" s="39">
        <v>1737.699951171875</v>
      </c>
      <c r="E5274" s="39">
        <v>1725.5684814453125</v>
      </c>
      <c r="F5274" s="41">
        <v>2702033</v>
      </c>
      <c r="G5274" s="35" t="s">
        <v>692</v>
      </c>
      <c r="H5274" s="35" t="s">
        <v>115</v>
      </c>
    </row>
    <row r="5275" spans="1:8">
      <c r="A5275" s="37">
        <v>46017.15625</v>
      </c>
      <c r="B5275" s="35" t="s">
        <v>686</v>
      </c>
      <c r="C5275" s="35" t="s">
        <v>687</v>
      </c>
      <c r="D5275" s="39">
        <v>1673.300048828125</v>
      </c>
      <c r="E5275" s="39">
        <v>1661.6181640625</v>
      </c>
      <c r="F5275" s="41">
        <v>4261704</v>
      </c>
      <c r="G5275" s="35" t="s">
        <v>692</v>
      </c>
      <c r="H5275" s="35" t="s">
        <v>115</v>
      </c>
    </row>
    <row r="5276" spans="1:8">
      <c r="A5276" s="37">
        <v>46020.15625</v>
      </c>
      <c r="B5276" s="35" t="s">
        <v>686</v>
      </c>
      <c r="C5276" s="35" t="s">
        <v>687</v>
      </c>
      <c r="D5276" s="39">
        <v>1683.300048828125</v>
      </c>
      <c r="E5276" s="39">
        <v>1671.54833984375</v>
      </c>
      <c r="F5276" s="41">
        <v>8071211</v>
      </c>
      <c r="G5276" s="35" t="s">
        <v>692</v>
      </c>
      <c r="H5276" s="35" t="s">
        <v>115</v>
      </c>
    </row>
    <row r="5277" spans="1:8">
      <c r="A5277" s="37">
        <v>46021.15625</v>
      </c>
      <c r="B5277" s="35" t="s">
        <v>686</v>
      </c>
      <c r="C5277" s="35" t="s">
        <v>687</v>
      </c>
      <c r="D5277" s="39">
        <v>1654.9000244140625</v>
      </c>
      <c r="E5277" s="39">
        <v>1643.3466796875</v>
      </c>
      <c r="F5277" s="41">
        <v>8204848</v>
      </c>
      <c r="G5277" s="35" t="s">
        <v>692</v>
      </c>
      <c r="H5277" s="35" t="s">
        <v>115</v>
      </c>
    </row>
    <row r="5278" spans="1:8">
      <c r="A5278" s="37">
        <v>46022.15625</v>
      </c>
      <c r="B5278" s="35" t="s">
        <v>686</v>
      </c>
      <c r="C5278" s="35" t="s">
        <v>687</v>
      </c>
      <c r="D5278" s="39">
        <v>1663</v>
      </c>
      <c r="E5278" s="39">
        <v>1651.389892578125</v>
      </c>
      <c r="F5278" s="41">
        <v>2650044</v>
      </c>
      <c r="G5278" s="35" t="s">
        <v>692</v>
      </c>
      <c r="H5278" s="35" t="s">
        <v>115</v>
      </c>
    </row>
    <row r="5279" spans="1:8">
      <c r="A5279" s="37">
        <v>46023.15625</v>
      </c>
      <c r="B5279" s="35" t="s">
        <v>686</v>
      </c>
      <c r="C5279" s="35" t="s">
        <v>687</v>
      </c>
      <c r="D5279" s="39">
        <v>1655.800048828125</v>
      </c>
      <c r="E5279" s="39">
        <v>1644.2403564453125</v>
      </c>
      <c r="F5279" s="41">
        <v>1009599</v>
      </c>
      <c r="G5279" s="35" t="s">
        <v>692</v>
      </c>
      <c r="H5279" s="35" t="s">
        <v>115</v>
      </c>
    </row>
    <row r="5280" spans="1:8">
      <c r="A5280" s="37">
        <v>46024.15625</v>
      </c>
      <c r="B5280" s="35" t="s">
        <v>686</v>
      </c>
      <c r="C5280" s="35" t="s">
        <v>687</v>
      </c>
      <c r="D5280" s="39">
        <v>1650.300048828125</v>
      </c>
      <c r="E5280" s="39">
        <v>1638.7786865234375</v>
      </c>
      <c r="F5280" s="41">
        <v>2358220</v>
      </c>
      <c r="G5280" s="35" t="s">
        <v>692</v>
      </c>
      <c r="H5280" s="35" t="s">
        <v>115</v>
      </c>
    </row>
    <row r="5281" spans="1:8">
      <c r="A5281" s="37">
        <v>46027.15625</v>
      </c>
      <c r="B5281" s="35" t="s">
        <v>686</v>
      </c>
      <c r="C5281" s="35" t="s">
        <v>687</v>
      </c>
      <c r="D5281" s="39">
        <v>1642</v>
      </c>
      <c r="E5281" s="39">
        <v>1630.53662109375</v>
      </c>
      <c r="F5281" s="41">
        <v>1643132</v>
      </c>
      <c r="G5281" s="35" t="s">
        <v>692</v>
      </c>
      <c r="H5281" s="35" t="s">
        <v>115</v>
      </c>
    </row>
    <row r="5282" spans="1:8">
      <c r="A5282" s="37">
        <v>46028.15625</v>
      </c>
      <c r="B5282" s="35" t="s">
        <v>686</v>
      </c>
      <c r="C5282" s="35" t="s">
        <v>687</v>
      </c>
      <c r="D5282" s="39">
        <v>1657.0999755859375</v>
      </c>
      <c r="E5282" s="39">
        <v>1645.53125</v>
      </c>
      <c r="F5282" s="41">
        <v>1387735</v>
      </c>
      <c r="G5282" s="35" t="s">
        <v>692</v>
      </c>
      <c r="H5282" s="35" t="s">
        <v>115</v>
      </c>
    </row>
    <row r="5283" spans="1:8">
      <c r="A5283" s="37">
        <v>46029.15625</v>
      </c>
      <c r="B5283" s="35" t="s">
        <v>686</v>
      </c>
      <c r="C5283" s="35" t="s">
        <v>687</v>
      </c>
      <c r="D5283" s="39">
        <v>1701.5</v>
      </c>
      <c r="E5283" s="39">
        <v>1689.6212158203125</v>
      </c>
      <c r="F5283" s="41">
        <v>1845212</v>
      </c>
      <c r="G5283" s="35" t="s">
        <v>692</v>
      </c>
      <c r="H5283" s="35" t="s">
        <v>115</v>
      </c>
    </row>
    <row r="5284" spans="1:8">
      <c r="A5284" s="37">
        <v>46030.15625</v>
      </c>
      <c r="B5284" s="35" t="s">
        <v>686</v>
      </c>
      <c r="C5284" s="35" t="s">
        <v>687</v>
      </c>
      <c r="D5284" s="39">
        <v>1647</v>
      </c>
      <c r="E5284" s="39">
        <v>1635.501708984375</v>
      </c>
      <c r="F5284" s="41">
        <v>1508881</v>
      </c>
      <c r="G5284" s="35" t="s">
        <v>692</v>
      </c>
      <c r="H5284" s="35" t="s">
        <v>115</v>
      </c>
    </row>
    <row r="5285" spans="1:8">
      <c r="A5285" s="37">
        <v>46031.15625</v>
      </c>
      <c r="B5285" s="35" t="s">
        <v>686</v>
      </c>
      <c r="C5285" s="35" t="s">
        <v>687</v>
      </c>
      <c r="D5285" s="39">
        <v>1681.5999755859375</v>
      </c>
      <c r="E5285" s="39">
        <v>1669.860107421875</v>
      </c>
      <c r="F5285" s="41">
        <v>1700004</v>
      </c>
      <c r="G5285" s="35" t="s">
        <v>692</v>
      </c>
      <c r="H5285" s="35" t="s">
        <v>115</v>
      </c>
    </row>
    <row r="5286" spans="1:8">
      <c r="A5286" s="37">
        <v>46034.15625</v>
      </c>
      <c r="B5286" s="35" t="s">
        <v>686</v>
      </c>
      <c r="C5286" s="35" t="s">
        <v>687</v>
      </c>
      <c r="D5286" s="39">
        <v>1697.0999755859375</v>
      </c>
      <c r="E5286" s="39">
        <v>1685.251953125</v>
      </c>
      <c r="F5286" s="41">
        <v>1476570</v>
      </c>
      <c r="G5286" s="35" t="s">
        <v>692</v>
      </c>
      <c r="H5286" s="35" t="s">
        <v>115</v>
      </c>
    </row>
    <row r="5287" spans="1:8">
      <c r="A5287" s="37">
        <v>46035.15625</v>
      </c>
      <c r="B5287" s="35" t="s">
        <v>686</v>
      </c>
      <c r="C5287" s="35" t="s">
        <v>687</v>
      </c>
      <c r="D5287" s="39">
        <v>1708.5</v>
      </c>
      <c r="E5287" s="39">
        <v>1696.5723876953125</v>
      </c>
      <c r="F5287" s="41">
        <v>2425785</v>
      </c>
      <c r="G5287" s="35" t="s">
        <v>692</v>
      </c>
      <c r="H5287" s="35" t="s">
        <v>115</v>
      </c>
    </row>
    <row r="5288" spans="1:8">
      <c r="A5288" s="37">
        <v>46036.15625</v>
      </c>
      <c r="B5288" s="35" t="s">
        <v>686</v>
      </c>
      <c r="C5288" s="35" t="s">
        <v>687</v>
      </c>
      <c r="D5288" s="39">
        <v>1681.5999755859375</v>
      </c>
      <c r="E5288" s="39">
        <v>1669.860107421875</v>
      </c>
      <c r="F5288" s="41">
        <v>1903405</v>
      </c>
      <c r="G5288" s="35" t="s">
        <v>692</v>
      </c>
      <c r="H5288" s="35" t="s">
        <v>115</v>
      </c>
    </row>
    <row r="5289" spans="1:8">
      <c r="A5289" s="37">
        <v>46037.145833333336</v>
      </c>
      <c r="B5289" s="35" t="s">
        <v>686</v>
      </c>
      <c r="C5289" s="35" t="s">
        <v>687</v>
      </c>
      <c r="D5289" s="39">
        <v>1681.5999755859375</v>
      </c>
      <c r="E5289" s="39">
        <v>1669.860107421875</v>
      </c>
      <c r="F5289" s="41">
        <v>0</v>
      </c>
      <c r="G5289" s="35" t="s">
        <v>692</v>
      </c>
      <c r="H5289" s="35" t="s">
        <v>115</v>
      </c>
    </row>
    <row r="5290" spans="1:8">
      <c r="A5290" s="37">
        <v>46038.15625</v>
      </c>
      <c r="B5290" s="35" t="s">
        <v>686</v>
      </c>
      <c r="C5290" s="35" t="s">
        <v>687</v>
      </c>
      <c r="D5290" s="39">
        <v>1732.300048828125</v>
      </c>
      <c r="E5290" s="39">
        <v>1720.206298828125</v>
      </c>
      <c r="F5290" s="41">
        <v>3448276</v>
      </c>
      <c r="G5290" s="35" t="s">
        <v>692</v>
      </c>
      <c r="H5290" s="35" t="s">
        <v>115</v>
      </c>
    </row>
    <row r="5291" spans="1:8">
      <c r="A5291" s="37">
        <v>46041.15625</v>
      </c>
      <c r="B5291" s="35" t="s">
        <v>686</v>
      </c>
      <c r="C5291" s="35" t="s">
        <v>687</v>
      </c>
      <c r="D5291" s="39">
        <v>1728</v>
      </c>
      <c r="E5291" s="39">
        <v>1715.936279296875</v>
      </c>
      <c r="F5291" s="41">
        <v>1311096</v>
      </c>
      <c r="G5291" s="35" t="s">
        <v>692</v>
      </c>
      <c r="H5291" s="35" t="s">
        <v>115</v>
      </c>
    </row>
    <row r="5292" spans="1:8">
      <c r="A5292" s="37">
        <v>46042.15625</v>
      </c>
      <c r="B5292" s="35" t="s">
        <v>686</v>
      </c>
      <c r="C5292" s="35" t="s">
        <v>687</v>
      </c>
      <c r="D5292" s="39">
        <v>1693.699951171875</v>
      </c>
      <c r="E5292" s="39">
        <v>1681.875732421875</v>
      </c>
      <c r="F5292" s="41">
        <v>1719928</v>
      </c>
      <c r="G5292" s="35" t="s">
        <v>692</v>
      </c>
      <c r="H5292" s="35" t="s">
        <v>115</v>
      </c>
    </row>
    <row r="5293" spans="1:8">
      <c r="A5293" s="37">
        <v>46043.15625</v>
      </c>
      <c r="B5293" s="35" t="s">
        <v>686</v>
      </c>
      <c r="C5293" s="35" t="s">
        <v>687</v>
      </c>
      <c r="D5293" s="39">
        <v>1669.199951171875</v>
      </c>
      <c r="E5293" s="39">
        <v>1657.546630859375</v>
      </c>
      <c r="F5293" s="41">
        <v>3976423</v>
      </c>
      <c r="G5293" s="35" t="s">
        <v>692</v>
      </c>
      <c r="H5293" s="35" t="s">
        <v>115</v>
      </c>
    </row>
    <row r="5294" spans="1:8">
      <c r="A5294" s="37">
        <v>46044.15625</v>
      </c>
      <c r="B5294" s="35" t="s">
        <v>686</v>
      </c>
      <c r="C5294" s="35" t="s">
        <v>687</v>
      </c>
      <c r="D5294" s="39">
        <v>1687.699951171875</v>
      </c>
      <c r="E5294" s="39">
        <v>1675.91748046875</v>
      </c>
      <c r="F5294" s="41">
        <v>2134697</v>
      </c>
      <c r="G5294" s="35" t="s">
        <v>692</v>
      </c>
      <c r="H5294" s="35" t="s">
        <v>115</v>
      </c>
    </row>
    <row r="5295" spans="1:8">
      <c r="A5295" s="37">
        <v>46045.15625</v>
      </c>
      <c r="B5295" s="35" t="s">
        <v>686</v>
      </c>
      <c r="C5295" s="35" t="s">
        <v>687</v>
      </c>
      <c r="D5295" s="39">
        <v>1636.4000244140625</v>
      </c>
      <c r="E5295" s="39">
        <v>1624.975830078125</v>
      </c>
      <c r="F5295" s="41">
        <v>3575484</v>
      </c>
      <c r="G5295" s="35" t="s">
        <v>692</v>
      </c>
      <c r="H5295" s="35" t="s">
        <v>115</v>
      </c>
    </row>
    <row r="5296" spans="1:8">
      <c r="A5296" s="37">
        <v>46049.15625</v>
      </c>
      <c r="B5296" s="35" t="s">
        <v>686</v>
      </c>
      <c r="C5296" s="35" t="s">
        <v>687</v>
      </c>
      <c r="D5296" s="39">
        <v>1664.300048828125</v>
      </c>
      <c r="E5296" s="39">
        <v>1652.6810302734375</v>
      </c>
      <c r="F5296" s="41">
        <v>3017548</v>
      </c>
      <c r="G5296" s="35" t="s">
        <v>692</v>
      </c>
      <c r="H5296" s="35" t="s">
        <v>115</v>
      </c>
    </row>
    <row r="5297" spans="1:8">
      <c r="A5297" s="37">
        <v>46050.15625</v>
      </c>
      <c r="B5297" s="35" t="s">
        <v>686</v>
      </c>
      <c r="C5297" s="35" t="s">
        <v>687</v>
      </c>
      <c r="D5297" s="39">
        <v>1694.199951171875</v>
      </c>
      <c r="E5297" s="39">
        <v>1682.3720703125</v>
      </c>
      <c r="F5297" s="41">
        <v>1311827</v>
      </c>
      <c r="G5297" s="35" t="s">
        <v>692</v>
      </c>
      <c r="H5297" s="35" t="s">
        <v>115</v>
      </c>
    </row>
    <row r="5298" spans="1:8">
      <c r="A5298" s="37">
        <v>46051.15625</v>
      </c>
      <c r="B5298" s="35" t="s">
        <v>686</v>
      </c>
      <c r="C5298" s="35" t="s">
        <v>687</v>
      </c>
      <c r="D5298" s="39">
        <v>1678.0999755859375</v>
      </c>
      <c r="E5298" s="39">
        <v>1666.3846435546875</v>
      </c>
      <c r="F5298" s="41">
        <v>1643016</v>
      </c>
      <c r="G5298" s="35" t="s">
        <v>692</v>
      </c>
      <c r="H5298" s="35" t="s">
        <v>115</v>
      </c>
    </row>
    <row r="5299" spans="1:8">
      <c r="A5299" s="37">
        <v>46052.15625</v>
      </c>
      <c r="B5299" s="35" t="s">
        <v>686</v>
      </c>
      <c r="C5299" s="35" t="s">
        <v>687</v>
      </c>
      <c r="D5299" s="39">
        <v>1653.800048828125</v>
      </c>
      <c r="E5299" s="39">
        <v>1646.17822265625</v>
      </c>
      <c r="F5299" s="41">
        <v>1487848</v>
      </c>
      <c r="G5299" s="35" t="s">
        <v>692</v>
      </c>
      <c r="H5299" s="35" t="s">
        <v>115</v>
      </c>
    </row>
    <row r="5300" spans="1:8">
      <c r="A5300" s="37">
        <v>46055.15625</v>
      </c>
      <c r="B5300" s="35" t="s">
        <v>686</v>
      </c>
      <c r="C5300" s="35" t="s">
        <v>687</v>
      </c>
      <c r="D5300" s="39">
        <v>1668.199951171875</v>
      </c>
      <c r="E5300" s="39">
        <v>1660.51171875</v>
      </c>
      <c r="F5300" s="41">
        <v>790021</v>
      </c>
      <c r="G5300" s="35" t="s">
        <v>692</v>
      </c>
      <c r="H5300" s="35" t="s">
        <v>115</v>
      </c>
    </row>
    <row r="5301" spans="1:8">
      <c r="A5301" s="37">
        <v>46056.15625</v>
      </c>
      <c r="B5301" s="35" t="s">
        <v>686</v>
      </c>
      <c r="C5301" s="35" t="s">
        <v>687</v>
      </c>
      <c r="D5301" s="39">
        <v>1712.0999755859375</v>
      </c>
      <c r="E5301" s="39">
        <v>1704.20947265625</v>
      </c>
      <c r="F5301" s="41">
        <v>1260061</v>
      </c>
      <c r="G5301" s="35" t="s">
        <v>692</v>
      </c>
      <c r="H5301" s="35" t="s">
        <v>115</v>
      </c>
    </row>
    <row r="5302" spans="1:8">
      <c r="A5302" s="37">
        <v>46057.15625</v>
      </c>
      <c r="B5302" s="35" t="s">
        <v>686</v>
      </c>
      <c r="C5302" s="35" t="s">
        <v>687</v>
      </c>
      <c r="D5302" s="39">
        <v>1613.9000244140625</v>
      </c>
      <c r="E5302" s="39">
        <v>1606.4620361328125</v>
      </c>
      <c r="F5302" s="41">
        <v>4759330</v>
      </c>
      <c r="G5302" s="35" t="s">
        <v>692</v>
      </c>
      <c r="H5302" s="35" t="s">
        <v>115</v>
      </c>
    </row>
    <row r="5303" spans="1:8">
      <c r="A5303" s="37">
        <v>46058.15625</v>
      </c>
      <c r="B5303" s="35" t="s">
        <v>686</v>
      </c>
      <c r="C5303" s="35" t="s">
        <v>687</v>
      </c>
      <c r="D5303" s="39">
        <v>1599.800048828125</v>
      </c>
      <c r="E5303" s="39">
        <v>1592.4271240234375</v>
      </c>
      <c r="F5303" s="41">
        <v>1684388</v>
      </c>
      <c r="G5303" s="35" t="s">
        <v>692</v>
      </c>
      <c r="H5303" s="35" t="s">
        <v>115</v>
      </c>
    </row>
    <row r="5304" spans="1:8">
      <c r="A5304" s="37">
        <v>46059.15625</v>
      </c>
      <c r="B5304" s="35" t="s">
        <v>686</v>
      </c>
      <c r="C5304" s="35" t="s">
        <v>687</v>
      </c>
      <c r="D5304" s="39">
        <v>1546</v>
      </c>
      <c r="E5304" s="39">
        <v>1538.875</v>
      </c>
      <c r="F5304" s="41">
        <v>2751610</v>
      </c>
      <c r="G5304" s="35" t="s">
        <v>692</v>
      </c>
      <c r="H5304" s="35" t="s">
        <v>115</v>
      </c>
    </row>
    <row r="5305" spans="1:8">
      <c r="A5305" s="37">
        <v>46062.15625</v>
      </c>
      <c r="B5305" s="35" t="s">
        <v>686</v>
      </c>
      <c r="C5305" s="35" t="s">
        <v>687</v>
      </c>
      <c r="D5305" s="39">
        <v>1549.300048828125</v>
      </c>
      <c r="E5305" s="39">
        <v>1542.1597900390625</v>
      </c>
      <c r="F5305" s="41">
        <v>1542877</v>
      </c>
      <c r="G5305" s="35" t="s">
        <v>692</v>
      </c>
      <c r="H5305" s="35" t="s">
        <v>115</v>
      </c>
    </row>
    <row r="5306" spans="1:8">
      <c r="A5306" s="37">
        <v>46063.15625</v>
      </c>
      <c r="B5306" s="35" t="s">
        <v>686</v>
      </c>
      <c r="C5306" s="35" t="s">
        <v>687</v>
      </c>
      <c r="D5306" s="39">
        <v>1551</v>
      </c>
      <c r="E5306" s="39">
        <v>1543.8519287109375</v>
      </c>
      <c r="F5306" s="41">
        <v>3139868</v>
      </c>
      <c r="G5306" s="35" t="s">
        <v>692</v>
      </c>
      <c r="H5306" s="35" t="s">
        <v>115</v>
      </c>
    </row>
    <row r="5307" spans="1:8">
      <c r="A5307" s="37">
        <v>46064.15625</v>
      </c>
      <c r="B5307" s="35" t="s">
        <v>686</v>
      </c>
      <c r="C5307" s="35" t="s">
        <v>687</v>
      </c>
      <c r="D5307" s="39">
        <v>1520.4000244140625</v>
      </c>
      <c r="E5307" s="39">
        <v>1513.39306640625</v>
      </c>
      <c r="F5307" s="41">
        <v>1685032</v>
      </c>
      <c r="G5307" s="35" t="s">
        <v>692</v>
      </c>
      <c r="H5307" s="35" t="s">
        <v>115</v>
      </c>
    </row>
    <row r="5308" spans="1:8">
      <c r="A5308" s="37">
        <v>46065.15625</v>
      </c>
      <c r="B5308" s="35" t="s">
        <v>686</v>
      </c>
      <c r="C5308" s="35" t="s">
        <v>687</v>
      </c>
      <c r="D5308" s="39">
        <v>1421.5</v>
      </c>
      <c r="E5308" s="39">
        <v>1414.9488525390625</v>
      </c>
      <c r="F5308" s="41">
        <v>5303522</v>
      </c>
      <c r="G5308" s="35" t="s">
        <v>692</v>
      </c>
      <c r="H5308" s="35" t="s">
        <v>115</v>
      </c>
    </row>
    <row r="5309" spans="1:8">
      <c r="A5309" s="37">
        <v>46066.15625</v>
      </c>
      <c r="B5309" s="35" t="s">
        <v>686</v>
      </c>
      <c r="C5309" s="35" t="s">
        <v>687</v>
      </c>
      <c r="D5309" s="39">
        <v>1361.800048828125</v>
      </c>
      <c r="E5309" s="39">
        <v>1355.52392578125</v>
      </c>
      <c r="F5309" s="41">
        <v>12847607</v>
      </c>
      <c r="G5309" s="35" t="s">
        <v>692</v>
      </c>
      <c r="H5309" s="35" t="s">
        <v>115</v>
      </c>
    </row>
    <row r="5310" spans="1:8">
      <c r="A5310" s="37">
        <v>46069.15625</v>
      </c>
      <c r="B5310" s="35" t="s">
        <v>686</v>
      </c>
      <c r="C5310" s="35" t="s">
        <v>687</v>
      </c>
      <c r="D5310" s="39">
        <v>1392.5</v>
      </c>
      <c r="E5310" s="39">
        <v>1386.0823974609375</v>
      </c>
      <c r="F5310" s="41">
        <v>5116779</v>
      </c>
      <c r="G5310" s="35" t="s">
        <v>692</v>
      </c>
      <c r="H5310" s="35" t="s">
        <v>115</v>
      </c>
    </row>
    <row r="5311" spans="1:8">
      <c r="A5311" s="37">
        <v>46070.15625</v>
      </c>
      <c r="B5311" s="35" t="s">
        <v>686</v>
      </c>
      <c r="C5311" s="35" t="s">
        <v>687</v>
      </c>
      <c r="D5311" s="39">
        <v>1378.800048828125</v>
      </c>
      <c r="E5311" s="39">
        <v>1372.4456787109375</v>
      </c>
      <c r="F5311" s="41">
        <v>3467546</v>
      </c>
      <c r="G5311" s="35" t="s">
        <v>692</v>
      </c>
      <c r="H5311" s="35" t="s">
        <v>115</v>
      </c>
    </row>
    <row r="5312" spans="1:8">
      <c r="A5312" s="37">
        <v>46071.15625</v>
      </c>
      <c r="B5312" s="35" t="s">
        <v>686</v>
      </c>
      <c r="C5312" s="35" t="s">
        <v>687</v>
      </c>
      <c r="D5312" s="39">
        <v>1372.800048828125</v>
      </c>
      <c r="E5312" s="39">
        <v>1366.4732666015625</v>
      </c>
      <c r="F5312" s="41">
        <v>2353241</v>
      </c>
      <c r="G5312" s="35" t="s">
        <v>692</v>
      </c>
      <c r="H5312" s="35" t="s">
        <v>115</v>
      </c>
    </row>
    <row r="5313" spans="1:8">
      <c r="A5313" s="37">
        <v>46072.15625</v>
      </c>
      <c r="B5313" s="35" t="s">
        <v>686</v>
      </c>
      <c r="C5313" s="35" t="s">
        <v>687</v>
      </c>
      <c r="D5313" s="39">
        <v>1361</v>
      </c>
      <c r="E5313" s="39">
        <v>1354.7276611328125</v>
      </c>
      <c r="F5313" s="41">
        <v>3014508</v>
      </c>
      <c r="G5313" s="35" t="s">
        <v>692</v>
      </c>
      <c r="H5313" s="35" t="s">
        <v>115</v>
      </c>
    </row>
    <row r="5314" spans="1:8">
      <c r="A5314" s="37">
        <v>46073.15625</v>
      </c>
      <c r="B5314" s="35" t="s">
        <v>686</v>
      </c>
      <c r="C5314" s="35" t="s">
        <v>687</v>
      </c>
      <c r="D5314" s="39">
        <v>1340.5999755859375</v>
      </c>
      <c r="E5314" s="39">
        <v>1334.421630859375</v>
      </c>
      <c r="F5314" s="41">
        <v>2423179</v>
      </c>
      <c r="G5314" s="35" t="s">
        <v>692</v>
      </c>
      <c r="H5314" s="35" t="s">
        <v>115</v>
      </c>
    </row>
    <row r="5315" spans="1:8">
      <c r="A5315" s="37">
        <v>46076.15625</v>
      </c>
      <c r="B5315" s="35" t="s">
        <v>686</v>
      </c>
      <c r="C5315" s="35" t="s">
        <v>687</v>
      </c>
      <c r="D5315" s="39">
        <v>1289</v>
      </c>
      <c r="E5315" s="39">
        <v>1283.059326171875</v>
      </c>
      <c r="F5315" s="41">
        <v>4790112</v>
      </c>
      <c r="G5315" s="35" t="s">
        <v>692</v>
      </c>
      <c r="H5315" s="35" t="s">
        <v>115</v>
      </c>
    </row>
    <row r="5316" spans="1:8">
      <c r="A5316" s="37">
        <v>46077.15625</v>
      </c>
      <c r="B5316" s="35" t="s">
        <v>686</v>
      </c>
      <c r="C5316" s="35" t="s">
        <v>687</v>
      </c>
      <c r="D5316" s="39">
        <v>1212.199951171875</v>
      </c>
      <c r="E5316" s="39">
        <v>1206.6134033203125</v>
      </c>
      <c r="F5316" s="41">
        <v>10454471</v>
      </c>
      <c r="G5316" s="35" t="s">
        <v>692</v>
      </c>
      <c r="H5316" s="35" t="s">
        <v>115</v>
      </c>
    </row>
    <row r="5317" spans="1:8">
      <c r="A5317" s="37">
        <v>46078.15625</v>
      </c>
      <c r="B5317" s="35" t="s">
        <v>686</v>
      </c>
      <c r="C5317" s="35" t="s">
        <v>687</v>
      </c>
      <c r="D5317" s="39">
        <v>1212.9000244140625</v>
      </c>
      <c r="E5317" s="39">
        <v>1207.3101806640625</v>
      </c>
      <c r="F5317" s="41">
        <v>5227982</v>
      </c>
      <c r="G5317" s="35" t="s">
        <v>692</v>
      </c>
      <c r="H5317" s="35" t="s">
        <v>115</v>
      </c>
    </row>
    <row r="5318" spans="1:8">
      <c r="A5318" s="37">
        <v>46079.15625</v>
      </c>
      <c r="B5318" s="35" t="s">
        <v>686</v>
      </c>
      <c r="C5318" s="35" t="s">
        <v>687</v>
      </c>
      <c r="D5318" s="39">
        <v>1200.4000244140625</v>
      </c>
      <c r="E5318" s="39">
        <v>1194.86767578125</v>
      </c>
      <c r="F5318" s="41">
        <v>6063557</v>
      </c>
      <c r="G5318" s="35" t="s">
        <v>692</v>
      </c>
      <c r="H5318" s="35" t="s">
        <v>115</v>
      </c>
    </row>
    <row r="5319" spans="1:8">
      <c r="A5319" s="37">
        <v>46080.15625</v>
      </c>
      <c r="B5319" s="35" t="s">
        <v>686</v>
      </c>
      <c r="C5319" s="35" t="s">
        <v>687</v>
      </c>
      <c r="D5319" s="39">
        <v>1185.800048828125</v>
      </c>
      <c r="E5319" s="39">
        <v>1180.3350830078125</v>
      </c>
      <c r="F5319" s="41">
        <v>3210664</v>
      </c>
      <c r="G5319" s="35" t="s">
        <v>692</v>
      </c>
      <c r="H5319" s="35" t="s">
        <v>115</v>
      </c>
    </row>
    <row r="5320" spans="1:8">
      <c r="A5320" s="37">
        <v>46083.15625</v>
      </c>
      <c r="B5320" s="35" t="s">
        <v>686</v>
      </c>
      <c r="C5320" s="35" t="s">
        <v>687</v>
      </c>
      <c r="D5320" s="39">
        <v>1162.699951171875</v>
      </c>
      <c r="E5320" s="39">
        <v>1157.3414306640625</v>
      </c>
      <c r="F5320" s="41">
        <v>2447816</v>
      </c>
      <c r="G5320" s="35" t="s">
        <v>692</v>
      </c>
      <c r="H5320" s="35" t="s">
        <v>115</v>
      </c>
    </row>
    <row r="5321" spans="1:8">
      <c r="A5321" s="37">
        <v>46085.15625</v>
      </c>
      <c r="B5321" s="35" t="s">
        <v>686</v>
      </c>
      <c r="C5321" s="35" t="s">
        <v>687</v>
      </c>
      <c r="D5321" s="39">
        <v>1170</v>
      </c>
      <c r="E5321" s="39">
        <v>1164.6077880859375</v>
      </c>
      <c r="F5321" s="41">
        <v>3036423</v>
      </c>
      <c r="G5321" s="35" t="s">
        <v>692</v>
      </c>
      <c r="H5321" s="35" t="s">
        <v>115</v>
      </c>
    </row>
    <row r="5322" spans="1:8">
      <c r="A5322" s="37">
        <v>46086.15625</v>
      </c>
      <c r="B5322" s="35" t="s">
        <v>686</v>
      </c>
      <c r="C5322" s="35" t="s">
        <v>687</v>
      </c>
      <c r="D5322" s="39">
        <v>1152.699951171875</v>
      </c>
      <c r="E5322" s="39">
        <v>1147.3875732421875</v>
      </c>
      <c r="F5322" s="41">
        <v>3099614</v>
      </c>
      <c r="G5322" s="35" t="s">
        <v>692</v>
      </c>
      <c r="H5322" s="35" t="s">
        <v>115</v>
      </c>
    </row>
    <row r="5323" spans="1:8">
      <c r="A5323" s="37">
        <v>46087.15625</v>
      </c>
      <c r="B5323" s="35" t="s">
        <v>686</v>
      </c>
      <c r="C5323" s="35" t="s">
        <v>687</v>
      </c>
      <c r="D5323" s="39">
        <v>1162.9000244140625</v>
      </c>
      <c r="E5323" s="39">
        <v>1157.54052734375</v>
      </c>
      <c r="F5323" s="41">
        <v>1741522</v>
      </c>
      <c r="G5323" s="35" t="s">
        <v>692</v>
      </c>
      <c r="H5323" s="35" t="s">
        <v>115</v>
      </c>
    </row>
    <row r="5324" spans="1:8">
      <c r="A5324" s="37">
        <v>46090.15625</v>
      </c>
      <c r="B5324" s="35" t="s">
        <v>686</v>
      </c>
      <c r="C5324" s="35" t="s">
        <v>687</v>
      </c>
      <c r="D5324" s="39">
        <v>1168.5</v>
      </c>
      <c r="E5324" s="39">
        <v>1163.11474609375</v>
      </c>
      <c r="F5324" s="41">
        <v>2207760</v>
      </c>
      <c r="G5324" s="35" t="s">
        <v>692</v>
      </c>
      <c r="H5324" s="35" t="s">
        <v>115</v>
      </c>
    </row>
    <row r="5325" spans="1:8">
      <c r="A5325" s="37">
        <v>46091.15625</v>
      </c>
      <c r="B5325" s="35" t="s">
        <v>686</v>
      </c>
      <c r="C5325" s="35" t="s">
        <v>687</v>
      </c>
      <c r="D5325" s="39">
        <v>1139.199951171875</v>
      </c>
      <c r="E5325" s="39">
        <v>1133.9498291015625</v>
      </c>
      <c r="F5325" s="41">
        <v>2443222</v>
      </c>
      <c r="G5325" s="35" t="s">
        <v>692</v>
      </c>
      <c r="H5325" s="35" t="s">
        <v>115</v>
      </c>
    </row>
    <row r="5326" spans="1:8">
      <c r="A5326" s="37">
        <v>46092.15625</v>
      </c>
      <c r="B5326" s="35" t="s">
        <v>686</v>
      </c>
      <c r="C5326" s="35" t="s">
        <v>687</v>
      </c>
      <c r="D5326" s="39">
        <v>1108.800048828125</v>
      </c>
      <c r="E5326" s="39">
        <v>1103.68994140625</v>
      </c>
      <c r="F5326" s="41">
        <v>3030604</v>
      </c>
      <c r="G5326" s="35" t="s">
        <v>692</v>
      </c>
      <c r="H5326" s="35" t="s">
        <v>115</v>
      </c>
    </row>
    <row r="5327" spans="1:8">
      <c r="A5327" s="37">
        <v>46093.15625</v>
      </c>
      <c r="B5327" s="35" t="s">
        <v>686</v>
      </c>
      <c r="C5327" s="35" t="s">
        <v>687</v>
      </c>
      <c r="D5327" s="39">
        <v>1107.9000244140625</v>
      </c>
      <c r="E5327" s="39">
        <v>1102.794189453125</v>
      </c>
      <c r="F5327" s="41">
        <v>4181637</v>
      </c>
      <c r="G5327" s="35" t="s">
        <v>692</v>
      </c>
      <c r="H5327" s="35" t="s">
        <v>115</v>
      </c>
    </row>
    <row r="5328" spans="1:8">
      <c r="A5328" s="37">
        <v>46094.15625</v>
      </c>
      <c r="B5328" s="35" t="s">
        <v>686</v>
      </c>
      <c r="C5328" s="35" t="s">
        <v>687</v>
      </c>
      <c r="D5328" s="39">
        <v>1089.699951171875</v>
      </c>
      <c r="E5328" s="39">
        <v>1084.6778564453125</v>
      </c>
      <c r="F5328" s="41">
        <v>2704974</v>
      </c>
      <c r="G5328" s="35" t="s">
        <v>692</v>
      </c>
      <c r="H5328" s="35" t="s">
        <v>115</v>
      </c>
    </row>
    <row r="5329" spans="1:8">
      <c r="A5329" s="37">
        <v>46097.15625</v>
      </c>
      <c r="B5329" s="35" t="s">
        <v>686</v>
      </c>
      <c r="C5329" s="35" t="s">
        <v>687</v>
      </c>
      <c r="D5329" s="39">
        <v>1080.5999755859375</v>
      </c>
      <c r="E5329" s="39">
        <v>1075.6197509765625</v>
      </c>
      <c r="F5329" s="41">
        <v>3504696</v>
      </c>
      <c r="G5329" s="35" t="s">
        <v>692</v>
      </c>
      <c r="H5329" s="35" t="s">
        <v>115</v>
      </c>
    </row>
    <row r="5330" spans="1:8">
      <c r="A5330" s="37">
        <v>46098.15625</v>
      </c>
      <c r="B5330" s="35" t="s">
        <v>686</v>
      </c>
      <c r="C5330" s="35" t="s">
        <v>687</v>
      </c>
      <c r="D5330" s="39">
        <v>1073.9000244140625</v>
      </c>
      <c r="E5330" s="39">
        <v>1068.9508056640625</v>
      </c>
      <c r="F5330" s="41">
        <v>6318399</v>
      </c>
      <c r="G5330" s="35" t="s">
        <v>692</v>
      </c>
      <c r="H5330" s="35" t="s">
        <v>115</v>
      </c>
    </row>
    <row r="5331" spans="1:8">
      <c r="A5331" s="37">
        <v>46099.15625</v>
      </c>
      <c r="B5331" s="35" t="s">
        <v>686</v>
      </c>
      <c r="C5331" s="35" t="s">
        <v>687</v>
      </c>
      <c r="D5331" s="39">
        <v>1132</v>
      </c>
      <c r="E5331" s="39">
        <v>1126.7830810546875</v>
      </c>
      <c r="F5331" s="41">
        <v>6762954</v>
      </c>
      <c r="G5331" s="35" t="s">
        <v>692</v>
      </c>
      <c r="H5331" s="35" t="s">
        <v>115</v>
      </c>
    </row>
    <row r="5332" spans="1:8">
      <c r="A5332" s="37">
        <v>46100.15625</v>
      </c>
      <c r="B5332" s="35" t="s">
        <v>686</v>
      </c>
      <c r="C5332" s="35" t="s">
        <v>687</v>
      </c>
      <c r="D5332" s="39">
        <v>1092.300048828125</v>
      </c>
      <c r="E5332" s="39">
        <v>1087.2659912109375</v>
      </c>
      <c r="F5332" s="41">
        <v>2611603</v>
      </c>
      <c r="G5332" s="35" t="s">
        <v>692</v>
      </c>
      <c r="H5332" s="35" t="s">
        <v>115</v>
      </c>
    </row>
    <row r="5333" spans="1:8">
      <c r="A5333" s="37">
        <v>46101.15625</v>
      </c>
      <c r="B5333" s="35" t="s">
        <v>686</v>
      </c>
      <c r="C5333" s="35" t="s">
        <v>687</v>
      </c>
      <c r="D5333" s="39">
        <v>1089.300048828125</v>
      </c>
      <c r="E5333" s="39">
        <v>1084.2799072265625</v>
      </c>
      <c r="F5333" s="41">
        <v>2721237</v>
      </c>
      <c r="G5333" s="35" t="s">
        <v>692</v>
      </c>
      <c r="H5333" s="35" t="s">
        <v>115</v>
      </c>
    </row>
    <row r="5334" spans="1:8">
      <c r="A5334" s="37">
        <v>46104.15625</v>
      </c>
      <c r="B5334" s="35" t="s">
        <v>686</v>
      </c>
      <c r="C5334" s="35" t="s">
        <v>687</v>
      </c>
      <c r="D5334" s="39">
        <v>1100.4000244140625</v>
      </c>
      <c r="E5334" s="39">
        <v>1095.32861328125</v>
      </c>
      <c r="F5334" s="41">
        <v>3639224</v>
      </c>
      <c r="G5334" s="35" t="s">
        <v>692</v>
      </c>
      <c r="H5334" s="35" t="s">
        <v>115</v>
      </c>
    </row>
    <row r="5335" spans="1:8">
      <c r="A5335" s="37">
        <v>46105.15625</v>
      </c>
      <c r="B5335" s="35" t="s">
        <v>686</v>
      </c>
      <c r="C5335" s="35" t="s">
        <v>687</v>
      </c>
      <c r="D5335" s="39">
        <v>1110.0999755859375</v>
      </c>
      <c r="E5335" s="39">
        <v>1104.98388671875</v>
      </c>
      <c r="F5335" s="41">
        <v>3020611</v>
      </c>
      <c r="G5335" s="35" t="s">
        <v>692</v>
      </c>
      <c r="H5335" s="35" t="s">
        <v>115</v>
      </c>
    </row>
    <row r="5336" spans="1:8">
      <c r="A5336" s="37">
        <v>46106.15625</v>
      </c>
      <c r="B5336" s="35" t="s">
        <v>686</v>
      </c>
      <c r="C5336" s="35" t="s">
        <v>687</v>
      </c>
      <c r="D5336" s="39">
        <v>1163.0999755859375</v>
      </c>
      <c r="E5336" s="39">
        <v>1157.7396240234375</v>
      </c>
      <c r="F5336" s="41">
        <v>4460380</v>
      </c>
      <c r="G5336" s="35" t="s">
        <v>692</v>
      </c>
      <c r="H5336" s="35" t="s">
        <v>115</v>
      </c>
    </row>
    <row r="5337" spans="1:8">
      <c r="A5337" s="37">
        <v>46108.15625</v>
      </c>
      <c r="B5337" s="35" t="s">
        <v>686</v>
      </c>
      <c r="C5337" s="35" t="s">
        <v>687</v>
      </c>
      <c r="D5337" s="39">
        <v>1144.699951171875</v>
      </c>
      <c r="E5337" s="39">
        <v>1139.4244384765625</v>
      </c>
      <c r="F5337" s="41">
        <v>3106962</v>
      </c>
      <c r="G5337" s="35" t="s">
        <v>692</v>
      </c>
      <c r="H5337" s="35" t="s">
        <v>115</v>
      </c>
    </row>
    <row r="5338" spans="1:8">
      <c r="A5338" s="37">
        <v>46111.15625</v>
      </c>
      <c r="B5338" s="35" t="s">
        <v>686</v>
      </c>
      <c r="C5338" s="35" t="s">
        <v>687</v>
      </c>
      <c r="D5338" s="39">
        <v>1114.699951171875</v>
      </c>
      <c r="E5338" s="39">
        <v>1109.5626220703125</v>
      </c>
      <c r="F5338" s="41">
        <v>1568667</v>
      </c>
      <c r="G5338" s="35" t="s">
        <v>692</v>
      </c>
      <c r="H5338" s="35" t="s">
        <v>115</v>
      </c>
    </row>
    <row r="5339" spans="1:8">
      <c r="A5339" s="37">
        <v>46113.15625</v>
      </c>
      <c r="B5339" s="35" t="s">
        <v>686</v>
      </c>
      <c r="C5339" s="35" t="s">
        <v>687</v>
      </c>
      <c r="D5339" s="39">
        <v>1153.9000244140625</v>
      </c>
      <c r="E5339" s="39">
        <v>1148.5821533203125</v>
      </c>
      <c r="F5339" s="41">
        <v>1991196</v>
      </c>
      <c r="G5339" s="35" t="s">
        <v>693</v>
      </c>
      <c r="H5339" s="35" t="s">
        <v>115</v>
      </c>
    </row>
    <row r="5340" spans="1:8">
      <c r="A5340" s="37">
        <v>46114.15625</v>
      </c>
      <c r="B5340" s="35" t="s">
        <v>686</v>
      </c>
      <c r="C5340" s="35" t="s">
        <v>687</v>
      </c>
      <c r="D5340" s="39">
        <v>1213.4000244140625</v>
      </c>
      <c r="E5340" s="39">
        <v>1207.807861328125</v>
      </c>
      <c r="F5340" s="41">
        <v>6403645</v>
      </c>
      <c r="G5340" s="35" t="s">
        <v>693</v>
      </c>
      <c r="H5340" s="35" t="s">
        <v>115</v>
      </c>
    </row>
    <row r="5341" spans="1:8">
      <c r="A5341" s="37">
        <v>46118.15625</v>
      </c>
      <c r="B5341" s="35" t="s">
        <v>686</v>
      </c>
      <c r="C5341" s="35" t="s">
        <v>687</v>
      </c>
      <c r="D5341" s="39">
        <v>1220.199951171875</v>
      </c>
      <c r="E5341" s="39">
        <v>1214.576416015625</v>
      </c>
      <c r="F5341" s="41">
        <v>2994825</v>
      </c>
      <c r="G5341" s="35" t="s">
        <v>693</v>
      </c>
      <c r="H5341" s="35" t="s">
        <v>115</v>
      </c>
    </row>
    <row r="5342" spans="1:8">
      <c r="A5342" s="37">
        <v>46119.15625</v>
      </c>
      <c r="B5342" s="35" t="s">
        <v>686</v>
      </c>
      <c r="C5342" s="35" t="s">
        <v>687</v>
      </c>
      <c r="D5342" s="39">
        <v>1230.5999755859375</v>
      </c>
      <c r="E5342" s="39">
        <v>1224.928466796875</v>
      </c>
      <c r="F5342" s="41">
        <v>3163487</v>
      </c>
      <c r="G5342" s="35" t="s">
        <v>693</v>
      </c>
      <c r="H5342" s="35" t="s">
        <v>115</v>
      </c>
    </row>
    <row r="5343" spans="1:8">
      <c r="A5343" s="37">
        <v>46120.15625</v>
      </c>
      <c r="B5343" s="35" t="s">
        <v>686</v>
      </c>
      <c r="C5343" s="35" t="s">
        <v>687</v>
      </c>
      <c r="D5343" s="39">
        <v>1270.4000244140625</v>
      </c>
      <c r="E5343" s="39">
        <v>1264.545166015625</v>
      </c>
      <c r="F5343" s="41">
        <v>4123786</v>
      </c>
      <c r="G5343" s="35" t="s">
        <v>693</v>
      </c>
      <c r="H5343" s="35" t="s">
        <v>115</v>
      </c>
    </row>
    <row r="5344" spans="1:8">
      <c r="A5344" s="37">
        <v>46121.15625</v>
      </c>
      <c r="B5344" s="35" t="s">
        <v>686</v>
      </c>
      <c r="C5344" s="35" t="s">
        <v>687</v>
      </c>
      <c r="D5344" s="39">
        <v>1264.9000244140625</v>
      </c>
      <c r="E5344" s="39">
        <v>1259.0704345703125</v>
      </c>
      <c r="F5344" s="41">
        <v>4331623</v>
      </c>
      <c r="G5344" s="35" t="s">
        <v>693</v>
      </c>
      <c r="H5344" s="35" t="s">
        <v>115</v>
      </c>
    </row>
    <row r="5345" spans="1:8">
      <c r="A5345" s="37">
        <v>46122.15625</v>
      </c>
      <c r="B5345" s="35" t="s">
        <v>686</v>
      </c>
      <c r="C5345" s="35" t="s">
        <v>687</v>
      </c>
      <c r="D5345" s="39">
        <v>1224.300048828125</v>
      </c>
      <c r="E5345" s="39">
        <v>1218.6575927734375</v>
      </c>
      <c r="F5345" s="41">
        <v>4067185</v>
      </c>
      <c r="G5345" s="35" t="s">
        <v>693</v>
      </c>
      <c r="H5345" s="35" t="s">
        <v>115</v>
      </c>
    </row>
    <row r="5346" spans="1:8">
      <c r="A5346" s="37">
        <v>46125.15625</v>
      </c>
      <c r="B5346" s="35" t="s">
        <v>686</v>
      </c>
      <c r="C5346" s="35" t="s">
        <v>687</v>
      </c>
      <c r="D5346" s="39">
        <v>1231.300048828125</v>
      </c>
      <c r="E5346" s="39">
        <v>1225.6253662109375</v>
      </c>
      <c r="F5346" s="41">
        <v>2000659</v>
      </c>
      <c r="G5346" s="35" t="s">
        <v>693</v>
      </c>
      <c r="H5346" s="35" t="s">
        <v>115</v>
      </c>
    </row>
    <row r="5347" spans="1:8">
      <c r="A5347" s="37">
        <v>46127.15625</v>
      </c>
      <c r="B5347" s="35" t="s">
        <v>686</v>
      </c>
      <c r="C5347" s="35" t="s">
        <v>687</v>
      </c>
      <c r="D5347" s="39">
        <v>1282.699951171875</v>
      </c>
      <c r="E5347" s="39">
        <v>1276.788330078125</v>
      </c>
      <c r="F5347" s="41">
        <v>2626157</v>
      </c>
      <c r="G5347" s="35" t="s">
        <v>693</v>
      </c>
      <c r="H5347" s="35" t="s">
        <v>115</v>
      </c>
    </row>
    <row r="5348" spans="1:8">
      <c r="A5348" s="37">
        <v>46128.15625</v>
      </c>
      <c r="B5348" s="35" t="s">
        <v>686</v>
      </c>
      <c r="C5348" s="35" t="s">
        <v>687</v>
      </c>
      <c r="D5348" s="39">
        <v>1313.199951171875</v>
      </c>
      <c r="E5348" s="39">
        <v>1307.1478271484375</v>
      </c>
      <c r="F5348" s="41">
        <v>3695658</v>
      </c>
      <c r="G5348" s="35" t="s">
        <v>693</v>
      </c>
      <c r="H5348" s="35" t="s">
        <v>115</v>
      </c>
    </row>
    <row r="5349" spans="1:8">
      <c r="A5349" s="37">
        <v>46129.15625</v>
      </c>
      <c r="B5349" s="35" t="s">
        <v>686</v>
      </c>
      <c r="C5349" s="35" t="s">
        <v>687</v>
      </c>
      <c r="D5349" s="39">
        <v>1316.800048828125</v>
      </c>
      <c r="E5349" s="39">
        <v>1310.7313232421875</v>
      </c>
      <c r="F5349" s="41">
        <v>2822554</v>
      </c>
      <c r="G5349" s="35" t="s">
        <v>693</v>
      </c>
      <c r="H5349" s="35" t="s">
        <v>115</v>
      </c>
    </row>
    <row r="5350" spans="1:8">
      <c r="A5350" s="37">
        <v>46132.15625</v>
      </c>
      <c r="B5350" s="35" t="s">
        <v>686</v>
      </c>
      <c r="C5350" s="35" t="s">
        <v>687</v>
      </c>
      <c r="D5350" s="39">
        <v>1288.0999755859375</v>
      </c>
      <c r="E5350" s="39">
        <v>1282.16357421875</v>
      </c>
      <c r="F5350" s="41">
        <v>2018128</v>
      </c>
      <c r="G5350" s="35" t="s">
        <v>693</v>
      </c>
      <c r="H5350" s="35" t="s">
        <v>115</v>
      </c>
    </row>
    <row r="5351" spans="1:8">
      <c r="A5351" s="37">
        <v>46133.15625</v>
      </c>
      <c r="B5351" s="35" t="s">
        <v>686</v>
      </c>
      <c r="C5351" s="35" t="s">
        <v>687</v>
      </c>
      <c r="D5351" s="39">
        <v>1292.800048828125</v>
      </c>
      <c r="E5351" s="39">
        <v>1286.8419189453125</v>
      </c>
      <c r="F5351" s="41">
        <v>1636421</v>
      </c>
      <c r="G5351" s="35" t="s">
        <v>693</v>
      </c>
      <c r="H5351" s="35" t="s">
        <v>115</v>
      </c>
    </row>
    <row r="5352" spans="1:8">
      <c r="A5352" s="37">
        <v>46134.15625</v>
      </c>
      <c r="B5352" s="35" t="s">
        <v>686</v>
      </c>
      <c r="C5352" s="35" t="s">
        <v>687</v>
      </c>
      <c r="D5352" s="39">
        <v>1235.800048828125</v>
      </c>
      <c r="E5352" s="39">
        <v>1230.1046142578125</v>
      </c>
      <c r="F5352" s="41">
        <v>6289853</v>
      </c>
      <c r="G5352" s="35" t="s">
        <v>693</v>
      </c>
      <c r="H5352" s="35" t="s">
        <v>115</v>
      </c>
    </row>
    <row r="5353" spans="1:8">
      <c r="A5353" s="37">
        <v>46135.15625</v>
      </c>
      <c r="B5353" s="35" t="s">
        <v>686</v>
      </c>
      <c r="C5353" s="35" t="s">
        <v>687</v>
      </c>
      <c r="D5353" s="39">
        <v>1220.5999755859375</v>
      </c>
      <c r="E5353" s="39">
        <v>1214.974609375</v>
      </c>
      <c r="F5353" s="41">
        <v>2115050</v>
      </c>
      <c r="G5353" s="35" t="s">
        <v>693</v>
      </c>
      <c r="H5353" s="35" t="s">
        <v>115</v>
      </c>
    </row>
    <row r="5354" spans="1:8">
      <c r="A5354" s="37">
        <v>46136.15625</v>
      </c>
      <c r="B5354" s="35" t="s">
        <v>686</v>
      </c>
      <c r="C5354" s="35" t="s">
        <v>687</v>
      </c>
      <c r="D5354" s="39">
        <v>1150.9000244140625</v>
      </c>
      <c r="E5354" s="39">
        <v>1145.595947265625</v>
      </c>
      <c r="F5354" s="41">
        <v>5331848</v>
      </c>
      <c r="G5354" s="35" t="s">
        <v>693</v>
      </c>
      <c r="H5354" s="35" t="s">
        <v>115</v>
      </c>
    </row>
    <row r="5355" spans="1:8">
      <c r="A5355" s="37">
        <v>46139.15625</v>
      </c>
      <c r="B5355" s="35" t="s">
        <v>686</v>
      </c>
      <c r="C5355" s="35" t="s">
        <v>687</v>
      </c>
      <c r="D5355" s="39">
        <v>1202.4000244140625</v>
      </c>
      <c r="E5355" s="39">
        <v>1196.8585205078125</v>
      </c>
      <c r="F5355" s="41">
        <v>1701923</v>
      </c>
      <c r="G5355" s="35" t="s">
        <v>693</v>
      </c>
      <c r="H5355" s="35" t="s">
        <v>115</v>
      </c>
    </row>
    <row r="5356" spans="1:8">
      <c r="A5356" s="37">
        <v>46140.15625</v>
      </c>
      <c r="B5356" s="35" t="s">
        <v>686</v>
      </c>
      <c r="C5356" s="35" t="s">
        <v>687</v>
      </c>
      <c r="D5356" s="39">
        <v>1200.9000244140625</v>
      </c>
      <c r="E5356" s="39">
        <v>1195.365478515625</v>
      </c>
      <c r="F5356" s="41">
        <v>1325561</v>
      </c>
      <c r="G5356" s="35" t="s">
        <v>693</v>
      </c>
      <c r="H5356" s="35" t="s">
        <v>115</v>
      </c>
    </row>
    <row r="5357" spans="1:8">
      <c r="A5357" s="37">
        <v>46141.15625</v>
      </c>
      <c r="B5357" s="35" t="s">
        <v>686</v>
      </c>
      <c r="C5357" s="35" t="s">
        <v>687</v>
      </c>
      <c r="D5357" s="39">
        <v>1204</v>
      </c>
      <c r="E5357" s="39">
        <v>1198.451171875</v>
      </c>
      <c r="F5357" s="41">
        <v>1174935</v>
      </c>
      <c r="G5357" s="35" t="s">
        <v>693</v>
      </c>
      <c r="H5357" s="35" t="s">
        <v>115</v>
      </c>
    </row>
    <row r="5358" spans="1:8">
      <c r="A5358" s="37">
        <v>46142.15625</v>
      </c>
      <c r="B5358" s="35" t="s">
        <v>686</v>
      </c>
      <c r="C5358" s="35" t="s">
        <v>687</v>
      </c>
      <c r="D5358" s="39">
        <v>1195.9000244140625</v>
      </c>
      <c r="E5358" s="39">
        <v>1190.3885498046875</v>
      </c>
      <c r="F5358" s="41">
        <v>1424354</v>
      </c>
      <c r="G5358" s="35" t="s">
        <v>693</v>
      </c>
      <c r="H5358" s="35" t="s">
        <v>115</v>
      </c>
    </row>
    <row r="5359" spans="1:8">
      <c r="A5359" s="37">
        <v>46143.15625</v>
      </c>
      <c r="B5359" s="35" t="s">
        <v>686</v>
      </c>
      <c r="C5359" s="35" t="s">
        <v>687</v>
      </c>
      <c r="D5359" s="39">
        <v>1195.9000244140625</v>
      </c>
      <c r="E5359" s="39">
        <v>1190.3885498046875</v>
      </c>
      <c r="F5359" s="41">
        <v>0</v>
      </c>
      <c r="G5359" s="35" t="s">
        <v>693</v>
      </c>
      <c r="H5359" s="35" t="s">
        <v>115</v>
      </c>
    </row>
    <row r="5360" spans="1:8">
      <c r="A5360" s="37">
        <v>46146.15625</v>
      </c>
      <c r="B5360" s="35" t="s">
        <v>686</v>
      </c>
      <c r="C5360" s="35" t="s">
        <v>687</v>
      </c>
      <c r="D5360" s="39">
        <v>1151.5999755859375</v>
      </c>
      <c r="E5360" s="39">
        <v>1146.2926025390625</v>
      </c>
      <c r="F5360" s="41">
        <v>2133159</v>
      </c>
      <c r="G5360" s="35" t="s">
        <v>693</v>
      </c>
      <c r="H5360" s="35" t="s">
        <v>115</v>
      </c>
    </row>
    <row r="5361" spans="1:8">
      <c r="A5361" s="37">
        <v>46147.15625</v>
      </c>
      <c r="B5361" s="35" t="s">
        <v>686</v>
      </c>
      <c r="C5361" s="35" t="s">
        <v>687</v>
      </c>
      <c r="D5361" s="39">
        <v>1168.800048828125</v>
      </c>
      <c r="E5361" s="39">
        <v>1163.4134521484375</v>
      </c>
      <c r="F5361" s="41">
        <v>1607889</v>
      </c>
      <c r="G5361" s="35" t="s">
        <v>693</v>
      </c>
      <c r="H5361" s="35" t="s">
        <v>115</v>
      </c>
    </row>
    <row r="5362" spans="1:8">
      <c r="A5362" s="37">
        <v>46148.15625</v>
      </c>
      <c r="B5362" s="35" t="s">
        <v>686</v>
      </c>
      <c r="C5362" s="35" t="s">
        <v>687</v>
      </c>
      <c r="D5362" s="39">
        <v>1280.4000244140625</v>
      </c>
      <c r="E5362" s="39">
        <v>1274.4990234375</v>
      </c>
      <c r="F5362" s="41">
        <v>26656460</v>
      </c>
      <c r="G5362" s="35" t="s">
        <v>693</v>
      </c>
      <c r="H5362" s="35" t="s">
        <v>115</v>
      </c>
    </row>
    <row r="5363" spans="1:8">
      <c r="A5363" s="37">
        <v>46149.15625</v>
      </c>
      <c r="B5363" s="35" t="s">
        <v>686</v>
      </c>
      <c r="C5363" s="35" t="s">
        <v>687</v>
      </c>
      <c r="D5363" s="39">
        <v>1285.300048828125</v>
      </c>
      <c r="E5363" s="39">
        <v>1279.3765869140625</v>
      </c>
      <c r="F5363" s="41">
        <v>5846100</v>
      </c>
      <c r="G5363" s="35" t="s">
        <v>693</v>
      </c>
      <c r="H5363" s="35" t="s">
        <v>115</v>
      </c>
    </row>
    <row r="5364" spans="1:8">
      <c r="A5364" s="37">
        <v>46150.15625</v>
      </c>
      <c r="B5364" s="35" t="s">
        <v>686</v>
      </c>
      <c r="C5364" s="35" t="s">
        <v>687</v>
      </c>
      <c r="D5364" s="39">
        <v>1368.0999755859375</v>
      </c>
      <c r="E5364" s="39">
        <v>1361.7947998046875</v>
      </c>
      <c r="F5364" s="41">
        <v>9375709</v>
      </c>
      <c r="G5364" s="35" t="s">
        <v>693</v>
      </c>
      <c r="H5364" s="35" t="s">
        <v>115</v>
      </c>
    </row>
    <row r="5365" spans="1:8">
      <c r="A5365" s="37">
        <v>46153.15625</v>
      </c>
      <c r="B5365" s="35" t="s">
        <v>686</v>
      </c>
      <c r="C5365" s="35" t="s">
        <v>687</v>
      </c>
      <c r="D5365" s="39">
        <v>1375.199951171875</v>
      </c>
      <c r="E5365" s="39">
        <v>1368.862060546875</v>
      </c>
      <c r="F5365" s="41">
        <v>5641233</v>
      </c>
      <c r="G5365" s="35" t="s">
        <v>693</v>
      </c>
      <c r="H5365" s="35" t="s">
        <v>115</v>
      </c>
    </row>
    <row r="5366" spans="1:8">
      <c r="A5366" s="37">
        <v>46154.15625</v>
      </c>
      <c r="B5366" s="35" t="s">
        <v>686</v>
      </c>
      <c r="C5366" s="35" t="s">
        <v>687</v>
      </c>
      <c r="D5366" s="39">
        <v>1320.4000244140625</v>
      </c>
      <c r="E5366" s="39">
        <v>1314.3148193359375</v>
      </c>
      <c r="F5366" s="41">
        <v>4590660</v>
      </c>
      <c r="G5366" s="35" t="s">
        <v>693</v>
      </c>
      <c r="H5366" s="35" t="s">
        <v>115</v>
      </c>
    </row>
    <row r="5367" spans="1:8">
      <c r="A5367" s="37">
        <v>46155.15625</v>
      </c>
      <c r="B5367" s="35" t="s">
        <v>686</v>
      </c>
      <c r="C5367" s="35" t="s">
        <v>687</v>
      </c>
      <c r="D5367" s="39">
        <v>1297.0999755859375</v>
      </c>
      <c r="E5367" s="39">
        <v>1291.1220703125</v>
      </c>
      <c r="F5367" s="41">
        <v>2151407</v>
      </c>
      <c r="G5367" s="35" t="s">
        <v>693</v>
      </c>
      <c r="H5367" s="35" t="s">
        <v>115</v>
      </c>
    </row>
    <row r="5368" spans="1:8">
      <c r="A5368" s="37">
        <v>46156.15625</v>
      </c>
      <c r="B5368" s="35" t="s">
        <v>686</v>
      </c>
      <c r="C5368" s="35" t="s">
        <v>687</v>
      </c>
      <c r="D5368" s="39">
        <v>1274.5999755859375</v>
      </c>
      <c r="E5368" s="39">
        <v>1268.725830078125</v>
      </c>
      <c r="F5368" s="41">
        <v>3004315</v>
      </c>
      <c r="G5368" s="35" t="s">
        <v>693</v>
      </c>
      <c r="H5368" s="35" t="s">
        <v>115</v>
      </c>
    </row>
    <row r="5369" spans="1:8">
      <c r="A5369" s="37">
        <v>46157.15625</v>
      </c>
      <c r="B5369" s="35" t="s">
        <v>686</v>
      </c>
      <c r="C5369" s="35" t="s">
        <v>687</v>
      </c>
      <c r="D5369" s="39">
        <v>1282.0999755859375</v>
      </c>
      <c r="E5369" s="39">
        <v>1276.1912841796875</v>
      </c>
      <c r="F5369" s="41">
        <v>3346591</v>
      </c>
      <c r="G5369" s="35" t="s">
        <v>693</v>
      </c>
      <c r="H5369" s="35" t="s">
        <v>115</v>
      </c>
    </row>
    <row r="5370" spans="1:8">
      <c r="A5370" s="37">
        <v>46160.15625</v>
      </c>
      <c r="B5370" s="35" t="s">
        <v>686</v>
      </c>
      <c r="C5370" s="35" t="s">
        <v>687</v>
      </c>
      <c r="D5370" s="39">
        <v>1348.0999755859375</v>
      </c>
      <c r="E5370" s="39">
        <v>1341.886962890625</v>
      </c>
      <c r="F5370" s="41">
        <v>4392898</v>
      </c>
      <c r="G5370" s="35" t="s">
        <v>693</v>
      </c>
      <c r="H5370" s="35" t="s">
        <v>115</v>
      </c>
    </row>
    <row r="5371" spans="1:8">
      <c r="A5371" s="37">
        <v>46161.15625</v>
      </c>
      <c r="B5371" s="35" t="s">
        <v>686</v>
      </c>
      <c r="C5371" s="35" t="s">
        <v>687</v>
      </c>
      <c r="D5371" s="39">
        <v>1412</v>
      </c>
      <c r="E5371" s="39">
        <v>1405.4925537109375</v>
      </c>
      <c r="F5371" s="41">
        <v>8133656</v>
      </c>
      <c r="G5371" s="35" t="s">
        <v>693</v>
      </c>
      <c r="H5371" s="35" t="s">
        <v>115</v>
      </c>
    </row>
    <row r="5372" spans="1:8">
      <c r="A5372" s="37">
        <v>46162.15625</v>
      </c>
      <c r="B5372" s="35" t="s">
        <v>686</v>
      </c>
      <c r="C5372" s="35" t="s">
        <v>687</v>
      </c>
      <c r="D5372" s="39">
        <v>1402.300048828125</v>
      </c>
      <c r="E5372" s="39">
        <v>1395.8372802734375</v>
      </c>
      <c r="F5372" s="41">
        <v>4869095</v>
      </c>
      <c r="G5372" s="35" t="s">
        <v>693</v>
      </c>
      <c r="H5372" s="35" t="s">
        <v>115</v>
      </c>
    </row>
    <row r="5373" spans="1:8">
      <c r="A5373" s="37">
        <v>46163.15625</v>
      </c>
      <c r="B5373" s="35" t="s">
        <v>686</v>
      </c>
      <c r="C5373" s="35" t="s">
        <v>687</v>
      </c>
      <c r="D5373" s="39">
        <v>1377</v>
      </c>
      <c r="E5373" s="39">
        <v>1370.6539306640625</v>
      </c>
      <c r="F5373" s="41">
        <v>2273142</v>
      </c>
      <c r="G5373" s="35" t="s">
        <v>693</v>
      </c>
      <c r="H5373" s="35" t="s">
        <v>115</v>
      </c>
    </row>
    <row r="5374" spans="1:8">
      <c r="A5374" s="37">
        <v>46164.15625</v>
      </c>
      <c r="B5374" s="35" t="s">
        <v>686</v>
      </c>
      <c r="C5374" s="35" t="s">
        <v>687</v>
      </c>
      <c r="D5374" s="39">
        <v>1387.0999755859375</v>
      </c>
      <c r="E5374" s="39">
        <v>1380.7073974609375</v>
      </c>
      <c r="F5374" s="41">
        <v>2494600</v>
      </c>
      <c r="G5374" s="35" t="s">
        <v>693</v>
      </c>
      <c r="H5374" s="35" t="s">
        <v>115</v>
      </c>
    </row>
    <row r="5375" spans="1:8">
      <c r="A5375" s="37">
        <v>46167.15625</v>
      </c>
      <c r="B5375" s="35" t="s">
        <v>686</v>
      </c>
      <c r="C5375" s="35" t="s">
        <v>687</v>
      </c>
      <c r="D5375" s="39">
        <v>1398</v>
      </c>
      <c r="E5375" s="39">
        <v>1391.55712890625</v>
      </c>
      <c r="F5375" s="41">
        <v>1369562</v>
      </c>
      <c r="G5375" s="35" t="s">
        <v>693</v>
      </c>
      <c r="H5375" s="35" t="s">
        <v>115</v>
      </c>
    </row>
    <row r="5376" spans="1:8">
      <c r="A5376" s="37">
        <v>46168.15625</v>
      </c>
      <c r="B5376" s="35" t="s">
        <v>686</v>
      </c>
      <c r="C5376" s="35" t="s">
        <v>687</v>
      </c>
      <c r="D5376" s="39">
        <v>1422.800048828125</v>
      </c>
      <c r="E5376" s="39">
        <v>1416.2427978515625</v>
      </c>
      <c r="F5376" s="41">
        <v>1780000</v>
      </c>
      <c r="G5376" s="35" t="s">
        <v>693</v>
      </c>
      <c r="H5376" s="35" t="s">
        <v>115</v>
      </c>
    </row>
    <row r="5377" spans="1:8">
      <c r="A5377" s="37">
        <v>46169.15625</v>
      </c>
      <c r="B5377" s="35" t="s">
        <v>686</v>
      </c>
      <c r="C5377" s="35" t="s">
        <v>687</v>
      </c>
      <c r="D5377" s="39">
        <v>1388.4000244140625</v>
      </c>
      <c r="E5377" s="39">
        <v>1382.0013427734375</v>
      </c>
      <c r="F5377" s="41">
        <v>1709429</v>
      </c>
      <c r="G5377" s="35" t="s">
        <v>693</v>
      </c>
      <c r="H5377" s="35" t="s">
        <v>115</v>
      </c>
    </row>
    <row r="5378" spans="1:8">
      <c r="A5378" s="37">
        <v>46170.15625</v>
      </c>
      <c r="B5378" s="35" t="s">
        <v>686</v>
      </c>
      <c r="C5378" s="35" t="s">
        <v>687</v>
      </c>
      <c r="D5378" s="39">
        <v>1388.4000244140625</v>
      </c>
      <c r="E5378" s="39">
        <v>1382.0013427734375</v>
      </c>
      <c r="F5378" s="41">
        <v>0</v>
      </c>
      <c r="G5378" s="35" t="s">
        <v>693</v>
      </c>
      <c r="H5378" s="35" t="s">
        <v>115</v>
      </c>
    </row>
    <row r="5379" spans="1:8">
      <c r="A5379" s="37">
        <v>46171.15625</v>
      </c>
      <c r="B5379" s="35" t="s">
        <v>686</v>
      </c>
      <c r="C5379" s="35" t="s">
        <v>687</v>
      </c>
      <c r="D5379" s="39">
        <v>1421.800048828125</v>
      </c>
      <c r="E5379" s="39">
        <v>1415.2474365234375</v>
      </c>
      <c r="F5379" s="41">
        <v>3533060</v>
      </c>
      <c r="G5379" s="35" t="s">
        <v>693</v>
      </c>
      <c r="H5379" s="35" t="s">
        <v>115</v>
      </c>
    </row>
    <row r="5380" spans="1:8">
      <c r="A5380" s="37">
        <v>46174.15625</v>
      </c>
      <c r="B5380" s="35" t="s">
        <v>686</v>
      </c>
      <c r="C5380" s="35" t="s">
        <v>687</v>
      </c>
      <c r="D5380" s="39">
        <v>1461.199951171875</v>
      </c>
      <c r="E5380" s="39">
        <v>1454.4658203125</v>
      </c>
      <c r="F5380" s="41">
        <v>5877548</v>
      </c>
      <c r="G5380" s="35" t="s">
        <v>693</v>
      </c>
      <c r="H5380" s="35" t="s">
        <v>115</v>
      </c>
    </row>
    <row r="5381" spans="1:8">
      <c r="A5381" s="37">
        <v>46175.15625</v>
      </c>
      <c r="B5381" s="35" t="s">
        <v>686</v>
      </c>
      <c r="C5381" s="35" t="s">
        <v>687</v>
      </c>
      <c r="D5381" s="39">
        <v>1519.5</v>
      </c>
      <c r="E5381" s="39">
        <v>1512.4971923828125</v>
      </c>
      <c r="F5381" s="41">
        <v>10654328</v>
      </c>
      <c r="G5381" s="35" t="s">
        <v>693</v>
      </c>
      <c r="H5381" s="35" t="s">
        <v>115</v>
      </c>
    </row>
    <row r="5382" spans="1:8">
      <c r="A5382" s="37">
        <v>46176.15625</v>
      </c>
      <c r="B5382" s="35" t="s">
        <v>686</v>
      </c>
      <c r="C5382" s="35" t="s">
        <v>687</v>
      </c>
      <c r="D5382" s="39">
        <v>1420.9000244140625</v>
      </c>
      <c r="E5382" s="39">
        <v>1414.3515625</v>
      </c>
      <c r="F5382" s="41">
        <v>4844251</v>
      </c>
      <c r="G5382" s="35" t="s">
        <v>693</v>
      </c>
      <c r="H5382" s="35" t="s">
        <v>115</v>
      </c>
    </row>
    <row r="5383" spans="1:8">
      <c r="A5383" s="37">
        <v>46177.15625</v>
      </c>
      <c r="B5383" s="35" t="s">
        <v>686</v>
      </c>
      <c r="C5383" s="35" t="s">
        <v>687</v>
      </c>
      <c r="D5383" s="39">
        <v>1436.5</v>
      </c>
      <c r="E5383" s="39">
        <v>1429.879638671875</v>
      </c>
      <c r="F5383" s="41">
        <v>2111985</v>
      </c>
      <c r="G5383" s="35" t="s">
        <v>693</v>
      </c>
      <c r="H5383" s="35" t="s">
        <v>115</v>
      </c>
    </row>
    <row r="5384" spans="1:8">
      <c r="A5384" s="37">
        <v>46178.15625</v>
      </c>
      <c r="B5384" s="35" t="s">
        <v>686</v>
      </c>
      <c r="C5384" s="35" t="s">
        <v>687</v>
      </c>
      <c r="D5384" s="39">
        <v>1435.5</v>
      </c>
      <c r="E5384" s="39">
        <v>1428.88427734375</v>
      </c>
      <c r="F5384" s="41">
        <v>2525034</v>
      </c>
      <c r="G5384" s="35" t="s">
        <v>693</v>
      </c>
      <c r="H5384" s="35" t="s">
        <v>115</v>
      </c>
    </row>
    <row r="5385" spans="1:8">
      <c r="A5385" s="37">
        <v>46181.15625</v>
      </c>
      <c r="B5385" s="35" t="s">
        <v>686</v>
      </c>
      <c r="C5385" s="35" t="s">
        <v>687</v>
      </c>
      <c r="D5385" s="39">
        <v>1421.0999755859375</v>
      </c>
      <c r="E5385" s="39">
        <v>1414.550537109375</v>
      </c>
      <c r="F5385" s="41">
        <v>2143995</v>
      </c>
      <c r="G5385" s="35" t="s">
        <v>693</v>
      </c>
      <c r="H5385" s="35" t="s">
        <v>115</v>
      </c>
    </row>
    <row r="5386" spans="1:8">
      <c r="A5386" s="37">
        <v>46182.15625</v>
      </c>
      <c r="B5386" s="35" t="s">
        <v>686</v>
      </c>
      <c r="C5386" s="35" t="s">
        <v>687</v>
      </c>
      <c r="D5386" s="39">
        <v>1412</v>
      </c>
      <c r="E5386" s="39">
        <v>1405.4925537109375</v>
      </c>
      <c r="F5386" s="41">
        <v>1845056</v>
      </c>
      <c r="G5386" s="35" t="s">
        <v>693</v>
      </c>
      <c r="H5386" s="35" t="s">
        <v>115</v>
      </c>
    </row>
    <row r="5387" spans="1:8">
      <c r="A5387" s="37">
        <v>46183.15625</v>
      </c>
      <c r="B5387" s="35" t="s">
        <v>686</v>
      </c>
      <c r="C5387" s="35" t="s">
        <v>687</v>
      </c>
      <c r="D5387" s="39">
        <v>1402.699951171875</v>
      </c>
      <c r="E5387" s="39">
        <v>1396.2354736328125</v>
      </c>
      <c r="F5387" s="41">
        <v>1190652</v>
      </c>
      <c r="G5387" s="35" t="s">
        <v>693</v>
      </c>
      <c r="H5387" s="35" t="s">
        <v>115</v>
      </c>
    </row>
    <row r="5388" spans="1:8">
      <c r="A5388" s="37">
        <v>46184.15625</v>
      </c>
      <c r="B5388" s="35" t="s">
        <v>686</v>
      </c>
      <c r="C5388" s="35" t="s">
        <v>687</v>
      </c>
      <c r="D5388" s="39">
        <v>1393.800048828125</v>
      </c>
      <c r="E5388" s="39">
        <v>1387.37646484375</v>
      </c>
      <c r="F5388" s="41">
        <v>1646487</v>
      </c>
      <c r="G5388" s="35" t="s">
        <v>693</v>
      </c>
      <c r="H5388" s="35" t="s">
        <v>115</v>
      </c>
    </row>
    <row r="5389" spans="1:8">
      <c r="A5389" s="37">
        <v>46185.15625</v>
      </c>
      <c r="B5389" s="35" t="s">
        <v>686</v>
      </c>
      <c r="C5389" s="35" t="s">
        <v>687</v>
      </c>
      <c r="D5389" s="39">
        <v>1367.199951171875</v>
      </c>
      <c r="E5389" s="39">
        <v>1360.89892578125</v>
      </c>
      <c r="F5389" s="41">
        <v>2484998</v>
      </c>
      <c r="G5389" s="35" t="s">
        <v>693</v>
      </c>
      <c r="H5389" s="35" t="s">
        <v>115</v>
      </c>
    </row>
    <row r="5390" spans="1:8">
      <c r="A5390" s="37">
        <v>46188.15625</v>
      </c>
      <c r="B5390" s="35" t="s">
        <v>686</v>
      </c>
      <c r="C5390" s="35" t="s">
        <v>687</v>
      </c>
      <c r="D5390" s="39">
        <v>1402.5</v>
      </c>
      <c r="E5390" s="39">
        <v>1396.0362548828125</v>
      </c>
      <c r="F5390" s="41">
        <v>2234241</v>
      </c>
      <c r="G5390" s="35" t="s">
        <v>693</v>
      </c>
      <c r="H5390" s="35" t="s">
        <v>115</v>
      </c>
    </row>
    <row r="5391" spans="1:8">
      <c r="A5391" s="37">
        <v>46189.15625</v>
      </c>
      <c r="B5391" s="35" t="s">
        <v>686</v>
      </c>
      <c r="C5391" s="35" t="s">
        <v>687</v>
      </c>
      <c r="D5391" s="39">
        <v>1464.800048828125</v>
      </c>
      <c r="E5391" s="39">
        <v>1458.0491943359375</v>
      </c>
      <c r="F5391" s="41">
        <v>4085487</v>
      </c>
      <c r="G5391" s="35" t="s">
        <v>693</v>
      </c>
      <c r="H5391" s="35" t="s">
        <v>115</v>
      </c>
    </row>
    <row r="5392" spans="1:8">
      <c r="A5392" s="37">
        <v>46190.15625</v>
      </c>
      <c r="B5392" s="35" t="s">
        <v>686</v>
      </c>
      <c r="C5392" s="35" t="s">
        <v>687</v>
      </c>
      <c r="D5392" s="39">
        <v>1465.699951171875</v>
      </c>
      <c r="E5392" s="39">
        <v>1458.945068359375</v>
      </c>
      <c r="F5392" s="41">
        <v>4831921</v>
      </c>
      <c r="G5392" s="35" t="s">
        <v>693</v>
      </c>
      <c r="H5392" s="35" t="s">
        <v>115</v>
      </c>
    </row>
    <row r="5393" spans="1:8">
      <c r="A5393" s="37">
        <v>46191.15625</v>
      </c>
      <c r="B5393" s="35" t="s">
        <v>686</v>
      </c>
      <c r="C5393" s="35" t="s">
        <v>687</v>
      </c>
      <c r="D5393" s="39">
        <v>1483</v>
      </c>
      <c r="E5393" s="39">
        <v>1476.1654052734375</v>
      </c>
      <c r="F5393" s="41">
        <v>4808752</v>
      </c>
      <c r="G5393" s="35" t="s">
        <v>693</v>
      </c>
      <c r="H5393" s="35" t="s">
        <v>115</v>
      </c>
    </row>
    <row r="5394" spans="1:8">
      <c r="A5394" s="37">
        <v>46192.15625</v>
      </c>
      <c r="B5394" s="35" t="s">
        <v>686</v>
      </c>
      <c r="C5394" s="35" t="s">
        <v>687</v>
      </c>
      <c r="D5394" s="39">
        <v>1463.300048828125</v>
      </c>
      <c r="E5394" s="39">
        <v>1456.55615234375</v>
      </c>
      <c r="F5394" s="41">
        <v>8297808</v>
      </c>
      <c r="G5394" s="35" t="s">
        <v>693</v>
      </c>
      <c r="H5394" s="35" t="s">
        <v>115</v>
      </c>
    </row>
    <row r="5395" spans="1:8">
      <c r="A5395" s="37">
        <v>46195.15625</v>
      </c>
      <c r="B5395" s="35" t="s">
        <v>686</v>
      </c>
      <c r="C5395" s="35" t="s">
        <v>687</v>
      </c>
      <c r="D5395" s="39">
        <v>1483.9000244140625</v>
      </c>
      <c r="E5395" s="39">
        <v>1477.0611572265625</v>
      </c>
      <c r="F5395" s="41">
        <v>3965449</v>
      </c>
      <c r="G5395" s="35" t="s">
        <v>693</v>
      </c>
      <c r="H5395" s="35" t="s">
        <v>115</v>
      </c>
    </row>
    <row r="5396" spans="1:8">
      <c r="A5396" s="37">
        <v>46196.15625</v>
      </c>
      <c r="B5396" s="35" t="s">
        <v>686</v>
      </c>
      <c r="C5396" s="35" t="s">
        <v>687</v>
      </c>
      <c r="D5396" s="39">
        <v>1481.199951171875</v>
      </c>
      <c r="E5396" s="39">
        <v>1474.3736572265625</v>
      </c>
      <c r="F5396" s="41">
        <v>2646004</v>
      </c>
      <c r="G5396" s="35" t="s">
        <v>693</v>
      </c>
      <c r="H5396" s="35" t="s">
        <v>115</v>
      </c>
    </row>
    <row r="5397" spans="1:8">
      <c r="A5397" s="37">
        <v>46197.15625</v>
      </c>
      <c r="B5397" s="35" t="s">
        <v>686</v>
      </c>
      <c r="C5397" s="35" t="s">
        <v>687</v>
      </c>
      <c r="D5397" s="39">
        <v>1497.9000244140625</v>
      </c>
      <c r="E5397" s="39">
        <v>1490.9967041015625</v>
      </c>
      <c r="F5397" s="41">
        <v>2312701</v>
      </c>
      <c r="G5397" s="35" t="s">
        <v>693</v>
      </c>
      <c r="H5397" s="35" t="s">
        <v>115</v>
      </c>
    </row>
    <row r="5398" spans="1:8">
      <c r="A5398" s="37">
        <v>46198.15625</v>
      </c>
      <c r="B5398" s="35" t="s">
        <v>686</v>
      </c>
      <c r="C5398" s="35" t="s">
        <v>687</v>
      </c>
      <c r="D5398" s="39">
        <v>1492.9000244140625</v>
      </c>
      <c r="E5398" s="39">
        <v>1486.019775390625</v>
      </c>
      <c r="F5398" s="41">
        <v>2997232</v>
      </c>
      <c r="G5398" s="35" t="s">
        <v>693</v>
      </c>
      <c r="H5398" s="35" t="s">
        <v>115</v>
      </c>
    </row>
    <row r="5399" spans="1:8">
      <c r="A5399" s="37">
        <v>46199.15625</v>
      </c>
      <c r="B5399" s="35" t="s">
        <v>686</v>
      </c>
      <c r="C5399" s="35" t="s">
        <v>687</v>
      </c>
      <c r="D5399" s="39">
        <v>1492.9000244140625</v>
      </c>
      <c r="E5399" s="39">
        <v>1486.019775390625</v>
      </c>
      <c r="F5399" s="41">
        <v>0</v>
      </c>
      <c r="G5399" s="35" t="s">
        <v>693</v>
      </c>
      <c r="H5399" s="35" t="s">
        <v>115</v>
      </c>
    </row>
    <row r="5400" spans="1:8">
      <c r="A5400" s="37">
        <v>46202.15625</v>
      </c>
      <c r="B5400" s="35" t="s">
        <v>686</v>
      </c>
      <c r="C5400" s="35" t="s">
        <v>687</v>
      </c>
      <c r="D5400" s="39">
        <v>1491.4000244140625</v>
      </c>
      <c r="E5400" s="39">
        <v>1484.5267333984375</v>
      </c>
      <c r="F5400" s="41">
        <v>6361979</v>
      </c>
      <c r="G5400" s="35" t="s">
        <v>693</v>
      </c>
      <c r="H5400" s="35" t="s">
        <v>115</v>
      </c>
    </row>
    <row r="5401" spans="1:8">
      <c r="A5401" s="37">
        <v>46203.15625</v>
      </c>
      <c r="B5401" s="35" t="s">
        <v>686</v>
      </c>
      <c r="C5401" s="35" t="s">
        <v>687</v>
      </c>
      <c r="D5401" s="39">
        <v>1465.699951171875</v>
      </c>
      <c r="E5401" s="39">
        <v>1458.945068359375</v>
      </c>
      <c r="F5401" s="41">
        <v>4539593</v>
      </c>
      <c r="G5401" s="35" t="s">
        <v>693</v>
      </c>
      <c r="H5401" s="35" t="s">
        <v>115</v>
      </c>
    </row>
    <row r="5402" spans="1:8">
      <c r="A5402" s="37">
        <v>46204.15625</v>
      </c>
      <c r="B5402" s="35" t="s">
        <v>686</v>
      </c>
      <c r="C5402" s="35" t="s">
        <v>687</v>
      </c>
      <c r="D5402" s="39">
        <v>1370.699951171875</v>
      </c>
      <c r="E5402" s="39">
        <v>1364.3828125</v>
      </c>
      <c r="F5402" s="41">
        <v>4675747</v>
      </c>
      <c r="G5402" s="35" t="s">
        <v>693</v>
      </c>
      <c r="H5402" s="35" t="s">
        <v>115</v>
      </c>
    </row>
    <row r="5403" spans="1:8">
      <c r="A5403" s="37">
        <v>46205.15625</v>
      </c>
      <c r="B5403" s="35" t="s">
        <v>686</v>
      </c>
      <c r="C5403" s="35" t="s">
        <v>687</v>
      </c>
      <c r="D5403" s="39">
        <v>1441.9000244140625</v>
      </c>
      <c r="E5403" s="39">
        <v>1435.2547607421875</v>
      </c>
      <c r="F5403" s="41">
        <v>5761491</v>
      </c>
      <c r="G5403" s="35" t="s">
        <v>693</v>
      </c>
      <c r="H5403" s="35" t="s">
        <v>115</v>
      </c>
    </row>
    <row r="5404" spans="1:8">
      <c r="A5404" s="37">
        <v>46206.15625</v>
      </c>
      <c r="B5404" s="35" t="s">
        <v>686</v>
      </c>
      <c r="C5404" s="35" t="s">
        <v>687</v>
      </c>
      <c r="D5404" s="39">
        <v>1464</v>
      </c>
      <c r="E5404" s="39">
        <v>1457.2528076171875</v>
      </c>
      <c r="F5404" s="41">
        <v>4053069</v>
      </c>
      <c r="G5404" s="35" t="s">
        <v>693</v>
      </c>
      <c r="H5404" s="35" t="s">
        <v>115</v>
      </c>
    </row>
    <row r="5405" spans="1:8">
      <c r="A5405" s="37">
        <v>46209.15625</v>
      </c>
      <c r="B5405" s="35" t="s">
        <v>686</v>
      </c>
      <c r="C5405" s="35" t="s">
        <v>687</v>
      </c>
      <c r="D5405" s="39">
        <v>1481.9000244140625</v>
      </c>
      <c r="E5405" s="39">
        <v>1475.0704345703125</v>
      </c>
      <c r="F5405" s="41">
        <v>1513526</v>
      </c>
      <c r="G5405" s="35" t="s">
        <v>693</v>
      </c>
      <c r="H5405" s="35" t="s">
        <v>115</v>
      </c>
    </row>
    <row r="5406" spans="1:8">
      <c r="A5406" s="37">
        <v>46210.15625</v>
      </c>
      <c r="B5406" s="35" t="s">
        <v>686</v>
      </c>
      <c r="C5406" s="35" t="s">
        <v>687</v>
      </c>
      <c r="D5406" s="39">
        <v>1516.199951171875</v>
      </c>
      <c r="E5406" s="39">
        <v>1509.2122802734375</v>
      </c>
      <c r="F5406" s="41">
        <v>3465445</v>
      </c>
      <c r="G5406" s="35" t="s">
        <v>693</v>
      </c>
      <c r="H5406" s="35" t="s">
        <v>115</v>
      </c>
    </row>
    <row r="5407" spans="1:8">
      <c r="A5407" s="37">
        <v>46211.15625</v>
      </c>
      <c r="B5407" s="35" t="s">
        <v>686</v>
      </c>
      <c r="C5407" s="35" t="s">
        <v>687</v>
      </c>
      <c r="D5407" s="39">
        <v>1445.9000244140625</v>
      </c>
      <c r="E5407" s="39">
        <v>1439.236328125</v>
      </c>
      <c r="F5407" s="41">
        <v>2843349</v>
      </c>
      <c r="G5407" s="35" t="s">
        <v>693</v>
      </c>
      <c r="H5407" s="35" t="s">
        <v>115</v>
      </c>
    </row>
    <row r="5408" spans="1:8">
      <c r="A5408" s="37">
        <v>46212.15625</v>
      </c>
      <c r="B5408" s="35" t="s">
        <v>686</v>
      </c>
      <c r="C5408" s="35" t="s">
        <v>687</v>
      </c>
      <c r="D5408" s="39">
        <v>1468.5999755859375</v>
      </c>
      <c r="E5408" s="39">
        <v>1461.8316650390625</v>
      </c>
      <c r="F5408" s="41">
        <v>1647511</v>
      </c>
      <c r="G5408" s="35" t="s">
        <v>693</v>
      </c>
      <c r="H5408" s="35" t="s">
        <v>115</v>
      </c>
    </row>
    <row r="5409" spans="1:8">
      <c r="A5409" s="37">
        <v>46213.15625</v>
      </c>
      <c r="B5409" s="35" t="s">
        <v>686</v>
      </c>
      <c r="C5409" s="35" t="s">
        <v>687</v>
      </c>
      <c r="D5409" s="39">
        <v>1503.800048828125</v>
      </c>
      <c r="E5409" s="39">
        <v>1496.86962890625</v>
      </c>
      <c r="F5409" s="41">
        <v>2750522</v>
      </c>
      <c r="G5409" s="35" t="s">
        <v>693</v>
      </c>
      <c r="H5409" s="35" t="s">
        <v>115</v>
      </c>
    </row>
    <row r="5410" spans="1:8">
      <c r="A5410" s="37">
        <v>46216.15625</v>
      </c>
      <c r="B5410" s="35" t="s">
        <v>686</v>
      </c>
      <c r="C5410" s="35" t="s">
        <v>687</v>
      </c>
      <c r="D5410" s="39">
        <v>1540.9000244140625</v>
      </c>
      <c r="E5410" s="39">
        <v>1533.7984619140625</v>
      </c>
      <c r="F5410" s="41">
        <v>5132000</v>
      </c>
      <c r="G5410" s="35" t="s">
        <v>693</v>
      </c>
      <c r="H5410" s="35" t="s">
        <v>115</v>
      </c>
    </row>
    <row r="5411" spans="1:8">
      <c r="A5411" s="37">
        <v>46217.15625</v>
      </c>
      <c r="B5411" s="35" t="s">
        <v>686</v>
      </c>
      <c r="C5411" s="35" t="s">
        <v>687</v>
      </c>
      <c r="D5411" s="39">
        <v>1534.5</v>
      </c>
      <c r="E5411" s="39">
        <v>1527.427978515625</v>
      </c>
      <c r="F5411" s="41">
        <v>2837341</v>
      </c>
      <c r="G5411" s="35" t="s">
        <v>693</v>
      </c>
      <c r="H5411" s="35" t="s">
        <v>115</v>
      </c>
    </row>
    <row r="5412" spans="1:8">
      <c r="A5412" s="37">
        <v>46218.15625</v>
      </c>
      <c r="B5412" s="35" t="s">
        <v>686</v>
      </c>
      <c r="C5412" s="35" t="s">
        <v>687</v>
      </c>
      <c r="D5412" s="39">
        <v>1533.199951171875</v>
      </c>
      <c r="E5412" s="39">
        <v>1526.1339111328125</v>
      </c>
      <c r="F5412" s="41">
        <v>2948151</v>
      </c>
      <c r="G5412" s="35" t="s">
        <v>693</v>
      </c>
      <c r="H5412" s="35" t="s">
        <v>115</v>
      </c>
    </row>
    <row r="5413" spans="1:8">
      <c r="A5413" s="37">
        <v>46219.15625</v>
      </c>
      <c r="B5413" s="35" t="s">
        <v>686</v>
      </c>
      <c r="C5413" s="35" t="s">
        <v>687</v>
      </c>
      <c r="D5413" s="39">
        <v>1530.699951171875</v>
      </c>
      <c r="E5413" s="39">
        <v>1523.6453857421875</v>
      </c>
      <c r="F5413" s="41">
        <v>1803970</v>
      </c>
      <c r="G5413" s="35" t="s">
        <v>693</v>
      </c>
      <c r="H5413" s="35" t="s">
        <v>115</v>
      </c>
    </row>
    <row r="5414" spans="1:8">
      <c r="A5414" s="37">
        <v>46220.15625</v>
      </c>
      <c r="B5414" s="35" t="s">
        <v>686</v>
      </c>
      <c r="C5414" s="35" t="s">
        <v>687</v>
      </c>
      <c r="D5414" s="39">
        <v>1508.4000244140625</v>
      </c>
      <c r="E5414" s="39">
        <v>1501.4482421875</v>
      </c>
      <c r="F5414" s="41">
        <v>2927353</v>
      </c>
      <c r="G5414" s="35" t="s">
        <v>693</v>
      </c>
      <c r="H5414" s="35" t="s">
        <v>115</v>
      </c>
    </row>
    <row r="5415" spans="1:8">
      <c r="A5415" s="37">
        <v>46223.15625</v>
      </c>
      <c r="B5415" s="35" t="s">
        <v>686</v>
      </c>
      <c r="C5415" s="35" t="s">
        <v>687</v>
      </c>
      <c r="D5415" s="39">
        <v>1507.4000244140625</v>
      </c>
      <c r="E5415" s="39">
        <v>1500.452880859375</v>
      </c>
      <c r="F5415" s="41">
        <v>1208116</v>
      </c>
      <c r="G5415" s="35" t="s">
        <v>693</v>
      </c>
      <c r="H5415" s="35" t="s">
        <v>115</v>
      </c>
    </row>
    <row r="5416" spans="1:8">
      <c r="A5416" s="37">
        <v>46224.15625</v>
      </c>
      <c r="B5416" s="35" t="s">
        <v>686</v>
      </c>
      <c r="C5416" s="35" t="s">
        <v>687</v>
      </c>
      <c r="D5416" s="39">
        <v>1494</v>
      </c>
      <c r="E5416" s="39">
        <v>1487.1146240234375</v>
      </c>
      <c r="F5416" s="41">
        <v>1450155</v>
      </c>
      <c r="G5416" s="35" t="s">
        <v>693</v>
      </c>
      <c r="H5416" s="35" t="s">
        <v>115</v>
      </c>
    </row>
    <row r="5417" spans="1:8">
      <c r="A5417" s="37">
        <v>46225.15625</v>
      </c>
      <c r="B5417" s="35" t="s">
        <v>686</v>
      </c>
      <c r="C5417" s="35" t="s">
        <v>687</v>
      </c>
      <c r="D5417" s="39">
        <v>1471.4000244140625</v>
      </c>
      <c r="E5417" s="39">
        <v>1464.6187744140625</v>
      </c>
      <c r="F5417" s="41">
        <v>1016082</v>
      </c>
      <c r="G5417" s="35" t="s">
        <v>693</v>
      </c>
      <c r="H5417" s="35" t="s">
        <v>115</v>
      </c>
    </row>
    <row r="5418" spans="1:8">
      <c r="A5418" s="37">
        <v>46226.15625</v>
      </c>
      <c r="B5418" s="35" t="s">
        <v>686</v>
      </c>
      <c r="C5418" s="35" t="s">
        <v>687</v>
      </c>
      <c r="D5418" s="39">
        <v>1439.9000244140625</v>
      </c>
      <c r="E5418" s="39">
        <v>1433.263916015625</v>
      </c>
      <c r="F5418" s="41">
        <v>1075336</v>
      </c>
      <c r="G5418" s="35" t="s">
        <v>693</v>
      </c>
      <c r="H5418" s="35" t="s">
        <v>115</v>
      </c>
    </row>
    <row r="5419" spans="1:8">
      <c r="A5419" s="37">
        <v>46227.15625</v>
      </c>
      <c r="B5419" s="35" t="s">
        <v>686</v>
      </c>
      <c r="C5419" s="35" t="s">
        <v>687</v>
      </c>
      <c r="D5419" s="39">
        <v>1484.699951171875</v>
      </c>
      <c r="E5419" s="39">
        <v>1477.857421875</v>
      </c>
      <c r="F5419" s="41">
        <v>3441351</v>
      </c>
      <c r="G5419" s="35" t="s">
        <v>693</v>
      </c>
      <c r="H5419" s="35" t="s">
        <v>115</v>
      </c>
    </row>
    <row r="5420" spans="1:8">
      <c r="A5420" s="37">
        <v>46230.15625</v>
      </c>
      <c r="B5420" s="35" t="s">
        <v>686</v>
      </c>
      <c r="C5420" s="35" t="s">
        <v>687</v>
      </c>
      <c r="D5420" s="39">
        <v>1528.4000244140625</v>
      </c>
      <c r="E5420" s="39">
        <v>1521.3560791015625</v>
      </c>
      <c r="F5420" s="41">
        <v>3779933</v>
      </c>
      <c r="G5420" s="35" t="s">
        <v>693</v>
      </c>
      <c r="H5420" s="35" t="s">
        <v>115</v>
      </c>
    </row>
    <row r="5421" spans="1:8">
      <c r="A5421" s="37">
        <v>46231.15625</v>
      </c>
      <c r="B5421" s="35" t="s">
        <v>686</v>
      </c>
      <c r="C5421" s="35" t="s">
        <v>687</v>
      </c>
      <c r="D5421" s="39">
        <v>1686</v>
      </c>
      <c r="E5421" s="39">
        <v>1678.229736328125</v>
      </c>
      <c r="F5421" s="41">
        <v>15625771</v>
      </c>
      <c r="G5421" s="35" t="s">
        <v>693</v>
      </c>
      <c r="H5421" s="35" t="s">
        <v>115</v>
      </c>
    </row>
    <row r="5422" spans="1:8">
      <c r="A5422" s="37">
        <v>46232.15625</v>
      </c>
      <c r="B5422" s="35" t="s">
        <v>686</v>
      </c>
      <c r="C5422" s="35" t="s">
        <v>687</v>
      </c>
      <c r="D5422" s="39">
        <v>1714.9000244140625</v>
      </c>
      <c r="E5422" s="39">
        <v>1706.99658203125</v>
      </c>
      <c r="F5422" s="41">
        <v>8196676</v>
      </c>
      <c r="G5422" s="35" t="s">
        <v>693</v>
      </c>
      <c r="H5422" s="35" t="s">
        <v>115</v>
      </c>
    </row>
    <row r="5423" spans="1:8">
      <c r="A5423" s="37">
        <v>46233.15625</v>
      </c>
      <c r="B5423" s="35" t="s">
        <v>686</v>
      </c>
      <c r="C5423" s="35" t="s">
        <v>687</v>
      </c>
      <c r="D5423" s="39">
        <v>1746.9000244140625</v>
      </c>
      <c r="E5423" s="39">
        <v>1738.84912109375</v>
      </c>
      <c r="F5423" s="41">
        <v>5650262</v>
      </c>
      <c r="G5423" s="35" t="s">
        <v>693</v>
      </c>
      <c r="H5423" s="35" t="s">
        <v>115</v>
      </c>
    </row>
    <row r="5424" spans="1:8">
      <c r="A5424" s="37">
        <v>46234.15625</v>
      </c>
      <c r="B5424" s="35" t="s">
        <v>686</v>
      </c>
      <c r="C5424" s="35" t="s">
        <v>687</v>
      </c>
      <c r="D5424" s="39">
        <v>1721</v>
      </c>
      <c r="E5424" s="39">
        <v>1717</v>
      </c>
      <c r="F5424" s="41">
        <v>3381070</v>
      </c>
      <c r="G5424" s="35" t="s">
        <v>693</v>
      </c>
      <c r="H5424" s="35" t="s">
        <v>115</v>
      </c>
    </row>
    <row r="5425" spans="1:8">
      <c r="A5425" s="37">
        <v>46237.15625</v>
      </c>
      <c r="B5425" s="35" t="s">
        <v>686</v>
      </c>
      <c r="C5425" s="35" t="s">
        <v>687</v>
      </c>
      <c r="D5425" s="39">
        <v>1768</v>
      </c>
      <c r="E5425" s="39">
        <v>1768</v>
      </c>
      <c r="F5425" s="41">
        <v>2365023</v>
      </c>
      <c r="G5425" s="35" t="s">
        <v>693</v>
      </c>
      <c r="H5425" s="35" t="s">
        <v>115</v>
      </c>
    </row>
    <row r="5426" spans="1:8">
      <c r="A5426" s="37">
        <v>46238.15625</v>
      </c>
      <c r="B5426" s="35" t="s">
        <v>686</v>
      </c>
      <c r="C5426" s="35" t="s">
        <v>687</v>
      </c>
      <c r="D5426" s="39">
        <v>1749.9000244140625</v>
      </c>
      <c r="E5426" s="39">
        <v>1749.9000244140625</v>
      </c>
      <c r="F5426" s="41">
        <v>1189895</v>
      </c>
      <c r="G5426" s="35" t="s">
        <v>693</v>
      </c>
      <c r="H5426" s="35" t="s">
        <v>115</v>
      </c>
    </row>
    <row r="5427" spans="1:8">
      <c r="A5427" s="37">
        <v>46239.15625</v>
      </c>
      <c r="B5427" s="35" t="s">
        <v>686</v>
      </c>
      <c r="C5427" s="35" t="s">
        <v>687</v>
      </c>
      <c r="D5427" s="39">
        <v>1777</v>
      </c>
      <c r="E5427" s="39">
        <v>1777</v>
      </c>
      <c r="F5427" s="41">
        <v>2308375</v>
      </c>
      <c r="G5427" s="35" t="s">
        <v>693</v>
      </c>
      <c r="H5427" s="35" t="s">
        <v>115</v>
      </c>
    </row>
    <row r="5428" spans="1:8">
      <c r="A5428" s="37">
        <v>46240.15625</v>
      </c>
      <c r="B5428" s="35" t="s">
        <v>686</v>
      </c>
      <c r="C5428" s="35" t="s">
        <v>687</v>
      </c>
      <c r="D5428" s="39">
        <v>1772.800048828125</v>
      </c>
      <c r="E5428" s="39">
        <v>1772.800048828125</v>
      </c>
      <c r="F5428" s="41">
        <v>1606627</v>
      </c>
      <c r="G5428" s="35" t="s">
        <v>693</v>
      </c>
      <c r="H5428" s="35" t="s">
        <v>115</v>
      </c>
    </row>
    <row r="5429" spans="1:8">
      <c r="A5429" s="37">
        <v>46241.15625</v>
      </c>
      <c r="B5429" s="35" t="s">
        <v>686</v>
      </c>
      <c r="C5429" s="35" t="s">
        <v>687</v>
      </c>
      <c r="D5429" s="39">
        <v>1776</v>
      </c>
      <c r="E5429" s="39">
        <v>1776</v>
      </c>
      <c r="F5429" s="41">
        <v>2666057</v>
      </c>
      <c r="G5429" s="35" t="s">
        <v>693</v>
      </c>
      <c r="H5429" s="35" t="s">
        <v>115</v>
      </c>
    </row>
    <row r="5430" spans="1:8">
      <c r="A5430" s="37">
        <v>46244.15625</v>
      </c>
      <c r="B5430" s="35" t="s">
        <v>686</v>
      </c>
      <c r="C5430" s="35" t="s">
        <v>687</v>
      </c>
      <c r="D5430" s="39">
        <v>1810</v>
      </c>
      <c r="E5430" s="39">
        <v>1810</v>
      </c>
      <c r="F5430" s="41">
        <v>2623273</v>
      </c>
      <c r="G5430" s="35" t="s">
        <v>693</v>
      </c>
      <c r="H5430" s="35" t="s">
        <v>115</v>
      </c>
    </row>
    <row r="5431" spans="1:8">
      <c r="A5431" s="37">
        <v>46245.15625</v>
      </c>
      <c r="B5431" s="35" t="s">
        <v>686</v>
      </c>
      <c r="C5431" s="35" t="s">
        <v>687</v>
      </c>
      <c r="D5431" s="39">
        <v>1819</v>
      </c>
      <c r="E5431" s="39">
        <v>1819</v>
      </c>
      <c r="F5431" s="41">
        <v>1694152</v>
      </c>
      <c r="G5431" s="35" t="s">
        <v>693</v>
      </c>
      <c r="H5431" s="35" t="s">
        <v>115</v>
      </c>
    </row>
    <row r="5432" spans="1:8">
      <c r="A5432" s="37">
        <v>46246.15625</v>
      </c>
      <c r="B5432" s="35" t="s">
        <v>686</v>
      </c>
      <c r="C5432" s="35" t="s">
        <v>687</v>
      </c>
      <c r="D5432" s="39">
        <v>1801.5</v>
      </c>
      <c r="E5432" s="39">
        <v>1801.5</v>
      </c>
      <c r="F5432" s="41">
        <v>1592301</v>
      </c>
      <c r="G5432" s="35" t="s">
        <v>693</v>
      </c>
      <c r="H5432" s="35" t="s">
        <v>115</v>
      </c>
    </row>
    <row r="5433" spans="1:8">
      <c r="A5433" s="37">
        <v>46247.15625</v>
      </c>
      <c r="B5433" s="35" t="s">
        <v>686</v>
      </c>
      <c r="C5433" s="35" t="s">
        <v>687</v>
      </c>
      <c r="D5433" s="39">
        <v>1829</v>
      </c>
      <c r="E5433" s="39">
        <v>1829</v>
      </c>
      <c r="F5433" s="41">
        <v>1878214</v>
      </c>
      <c r="G5433" s="35" t="s">
        <v>693</v>
      </c>
      <c r="H5433" s="35" t="s">
        <v>115</v>
      </c>
    </row>
    <row r="5434" spans="1:8">
      <c r="A5434" s="37">
        <v>46248.15625</v>
      </c>
      <c r="B5434" s="35" t="s">
        <v>686</v>
      </c>
      <c r="C5434" s="35" t="s">
        <v>687</v>
      </c>
      <c r="D5434" s="39">
        <v>1812</v>
      </c>
      <c r="E5434" s="39">
        <v>1812</v>
      </c>
      <c r="F5434" s="41">
        <v>1580043</v>
      </c>
      <c r="G5434" s="35" t="s">
        <v>693</v>
      </c>
      <c r="H5434" s="35" t="s">
        <v>115</v>
      </c>
    </row>
    <row r="5435" spans="1:8">
      <c r="A5435" s="37">
        <v>46251.15625</v>
      </c>
      <c r="B5435" s="35" t="s">
        <v>686</v>
      </c>
      <c r="C5435" s="35" t="s">
        <v>687</v>
      </c>
      <c r="D5435" s="39">
        <v>1806</v>
      </c>
      <c r="E5435" s="39">
        <v>1806</v>
      </c>
      <c r="F5435" s="41">
        <v>1054940</v>
      </c>
      <c r="G5435" s="35" t="s">
        <v>693</v>
      </c>
      <c r="H5435" s="35" t="s">
        <v>115</v>
      </c>
    </row>
    <row r="5436" spans="1:8">
      <c r="A5436" s="37">
        <v>46252.15625</v>
      </c>
      <c r="B5436" s="35" t="s">
        <v>686</v>
      </c>
      <c r="C5436" s="35" t="s">
        <v>687</v>
      </c>
      <c r="D5436" s="39">
        <v>1773</v>
      </c>
      <c r="E5436" s="39">
        <v>1773</v>
      </c>
      <c r="F5436" s="41">
        <v>1572547</v>
      </c>
      <c r="G5436" s="35" t="s">
        <v>693</v>
      </c>
      <c r="H5436" s="35" t="s">
        <v>115</v>
      </c>
    </row>
    <row r="5437" spans="1:8">
      <c r="A5437" s="37">
        <v>46253.15625</v>
      </c>
      <c r="B5437" s="35" t="s">
        <v>686</v>
      </c>
      <c r="C5437" s="35" t="s">
        <v>687</v>
      </c>
      <c r="D5437" s="39">
        <v>1813.0999755859375</v>
      </c>
      <c r="E5437" s="39">
        <v>1813.0999755859375</v>
      </c>
      <c r="F5437" s="41">
        <v>2592917</v>
      </c>
      <c r="G5437" s="35" t="s">
        <v>693</v>
      </c>
      <c r="H5437" s="35" t="s">
        <v>115</v>
      </c>
    </row>
    <row r="5438" spans="1:8">
      <c r="A5438" s="37">
        <v>46254.15625</v>
      </c>
      <c r="B5438" s="35" t="s">
        <v>686</v>
      </c>
      <c r="C5438" s="35" t="s">
        <v>687</v>
      </c>
      <c r="D5438" s="39">
        <v>1882</v>
      </c>
      <c r="E5438" s="39">
        <v>1882</v>
      </c>
      <c r="F5438" s="41">
        <v>4002215</v>
      </c>
      <c r="G5438" s="35" t="s">
        <v>693</v>
      </c>
      <c r="H5438" s="35" t="s">
        <v>115</v>
      </c>
    </row>
    <row r="5439" spans="1:8">
      <c r="A5439" s="37">
        <v>46255.15625</v>
      </c>
      <c r="B5439" s="35" t="s">
        <v>686</v>
      </c>
      <c r="C5439" s="35" t="s">
        <v>687</v>
      </c>
      <c r="D5439" s="39">
        <v>1891.699951171875</v>
      </c>
      <c r="E5439" s="39">
        <v>1891.699951171875</v>
      </c>
      <c r="F5439" s="41">
        <v>1990336</v>
      </c>
      <c r="G5439" s="35" t="s">
        <v>693</v>
      </c>
      <c r="H5439" s="35" t="s">
        <v>115</v>
      </c>
    </row>
    <row r="5440" spans="1:8">
      <c r="A5440" s="37">
        <v>46258.15625</v>
      </c>
      <c r="B5440" s="35" t="s">
        <v>686</v>
      </c>
      <c r="C5440" s="35" t="s">
        <v>687</v>
      </c>
      <c r="D5440" s="39">
        <v>1873</v>
      </c>
      <c r="E5440" s="39">
        <v>1873</v>
      </c>
      <c r="F5440" s="41">
        <v>1507935</v>
      </c>
      <c r="G5440" s="35" t="s">
        <v>693</v>
      </c>
      <c r="H5440" s="35" t="s">
        <v>115</v>
      </c>
    </row>
    <row r="5441" spans="1:8">
      <c r="A5441" s="37">
        <v>46259.15625</v>
      </c>
      <c r="B5441" s="35" t="s">
        <v>686</v>
      </c>
      <c r="C5441" s="35" t="s">
        <v>687</v>
      </c>
      <c r="D5441" s="39">
        <v>1892.800048828125</v>
      </c>
      <c r="E5441" s="39">
        <v>1892.800048828125</v>
      </c>
      <c r="F5441" s="41">
        <v>1288356</v>
      </c>
      <c r="G5441" s="35" t="s">
        <v>693</v>
      </c>
      <c r="H5441" s="35" t="s">
        <v>115</v>
      </c>
    </row>
    <row r="5442" spans="1:8">
      <c r="A5442" s="37">
        <v>46260.15625</v>
      </c>
      <c r="B5442" s="35" t="s">
        <v>686</v>
      </c>
      <c r="C5442" s="35" t="s">
        <v>687</v>
      </c>
      <c r="D5442" s="39">
        <v>1880</v>
      </c>
      <c r="E5442" s="39">
        <v>1880</v>
      </c>
      <c r="F5442" s="41">
        <v>1622085</v>
      </c>
      <c r="G5442" s="35" t="s">
        <v>693</v>
      </c>
      <c r="H5442" s="35" t="s">
        <v>115</v>
      </c>
    </row>
    <row r="5443" spans="1:8">
      <c r="A5443" s="37">
        <v>46261.15625</v>
      </c>
      <c r="B5443" s="35" t="s">
        <v>686</v>
      </c>
      <c r="C5443" s="35" t="s">
        <v>687</v>
      </c>
      <c r="D5443" s="39">
        <v>1901.800048828125</v>
      </c>
      <c r="E5443" s="39">
        <v>1901.800048828125</v>
      </c>
      <c r="F5443" s="41">
        <v>1759661</v>
      </c>
      <c r="G5443" s="35" t="s">
        <v>693</v>
      </c>
      <c r="H5443" s="35" t="s">
        <v>115</v>
      </c>
    </row>
    <row r="5444" spans="1:8">
      <c r="A5444" s="37">
        <v>46262.15625</v>
      </c>
      <c r="B5444" s="35" t="s">
        <v>686</v>
      </c>
      <c r="C5444" s="35" t="s">
        <v>687</v>
      </c>
      <c r="D5444" s="39">
        <v>2014.5999755859375</v>
      </c>
      <c r="E5444" s="39">
        <v>2014.5999755859375</v>
      </c>
      <c r="F5444" s="41">
        <v>5516587</v>
      </c>
      <c r="G5444" s="35" t="s">
        <v>693</v>
      </c>
      <c r="H5444" s="35" t="s">
        <v>115</v>
      </c>
    </row>
    <row r="5445" spans="1:8">
      <c r="A5445" s="37">
        <v>46265.15625</v>
      </c>
      <c r="B5445" s="35" t="s">
        <v>686</v>
      </c>
      <c r="C5445" s="35" t="s">
        <v>687</v>
      </c>
      <c r="D5445" s="39">
        <v>1981.5</v>
      </c>
      <c r="E5445" s="39">
        <v>1981.5</v>
      </c>
      <c r="F5445" s="41">
        <v>1354247</v>
      </c>
      <c r="G5445" s="35" t="s">
        <v>693</v>
      </c>
      <c r="H5445" s="35" t="s">
        <v>115</v>
      </c>
    </row>
  </sheetData>
  <mergeCells count="3">
    <mergeCell ref="A1:M1"/>
    <mergeCell ref="A2:M2"/>
    <mergeCell ref="A3:M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U260"/>
  <sheetViews>
    <sheetView showGridLines="0" workbookViewId="0"/>
  </sheetViews>
  <sheetFormatPr defaultRowHeight="13.8"/>
  <cols>
    <col min="1" max="1" width="53" customWidth="1"/>
    <col min="2" max="2" width="12" customWidth="1"/>
    <col min="3" max="5" width="16" customWidth="1"/>
    <col min="6" max="6" width="12" customWidth="1"/>
  </cols>
  <sheetData>
    <row r="1" spans="1:47" ht="25.95" customHeight="1">
      <c r="A1" s="59" t="s">
        <v>694</v>
      </c>
      <c r="B1" s="59"/>
      <c r="C1" s="59"/>
      <c r="D1" s="59"/>
      <c r="E1" s="59"/>
      <c r="F1" s="5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60" t="s">
        <v>695</v>
      </c>
      <c r="B2" s="60"/>
      <c r="C2" s="60"/>
      <c r="D2" s="60"/>
      <c r="E2" s="60"/>
      <c r="F2" s="6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696</v>
      </c>
      <c r="B5" s="4" t="s">
        <v>84</v>
      </c>
      <c r="C5" s="4" t="s">
        <v>128</v>
      </c>
      <c r="D5" s="4" t="s">
        <v>697</v>
      </c>
      <c r="E5" s="4" t="s">
        <v>698</v>
      </c>
      <c r="F5" s="4" t="s">
        <v>699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9" t="s">
        <v>700</v>
      </c>
      <c r="B6" s="52" t="str">
        <f>IF(COUNTIF(B7:B74,"FAIL")=0,"OK","REVIEW")</f>
        <v>OK</v>
      </c>
      <c r="C6" s="9"/>
      <c r="D6" s="9"/>
      <c r="E6" s="9"/>
      <c r="F6" s="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701</v>
      </c>
      <c r="B7" s="1" t="str">
        <f t="shared" ref="B7:B38" si="0">IF(ABS(E7)&lt;=F7,"OK","FAIL")</f>
        <v>OK</v>
      </c>
      <c r="C7" s="18">
        <f>'Annual Balance Sheet'!C29</f>
        <v>22491.251733000001</v>
      </c>
      <c r="D7" s="18">
        <f>'Annual Balance Sheet'!C51</f>
        <v>22491.251732999997</v>
      </c>
      <c r="E7" s="18">
        <f t="shared" ref="E7:E38" si="1">C7-D7</f>
        <v>0</v>
      </c>
      <c r="F7" s="1">
        <v>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702</v>
      </c>
      <c r="B8" s="1" t="str">
        <f t="shared" si="0"/>
        <v>OK</v>
      </c>
      <c r="C8" s="18">
        <f>'Annual Cash Flow'!C41</f>
        <v>2878.627262</v>
      </c>
      <c r="D8" s="18">
        <f>'Annual Cash Flow'!C42</f>
        <v>2878.627262</v>
      </c>
      <c r="E8" s="18">
        <f t="shared" si="1"/>
        <v>0</v>
      </c>
      <c r="F8" s="1">
        <v>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703</v>
      </c>
      <c r="B9" s="1" t="str">
        <f t="shared" si="0"/>
        <v>OK</v>
      </c>
      <c r="C9" s="18">
        <f>'Annual Balance Sheet'!D29</f>
        <v>24648</v>
      </c>
      <c r="D9" s="18">
        <f>'Annual Balance Sheet'!D51</f>
        <v>24648</v>
      </c>
      <c r="E9" s="18">
        <f t="shared" si="1"/>
        <v>0</v>
      </c>
      <c r="F9" s="1">
        <v>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704</v>
      </c>
      <c r="B10" s="1" t="str">
        <f t="shared" si="0"/>
        <v>OK</v>
      </c>
      <c r="C10" s="18">
        <f>'Annual Cash Flow'!D41</f>
        <v>3502</v>
      </c>
      <c r="D10" s="18">
        <f>'Annual Cash Flow'!D42</f>
        <v>3502</v>
      </c>
      <c r="E10" s="18">
        <f t="shared" si="1"/>
        <v>0</v>
      </c>
      <c r="F10" s="1">
        <v>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705</v>
      </c>
      <c r="B11" s="1" t="str">
        <f t="shared" si="0"/>
        <v>OK</v>
      </c>
      <c r="C11" s="18">
        <f>'Annual Balance Sheet'!E29</f>
        <v>26698</v>
      </c>
      <c r="D11" s="18">
        <f>'Annual Balance Sheet'!E51</f>
        <v>26698</v>
      </c>
      <c r="E11" s="18">
        <f t="shared" si="1"/>
        <v>0</v>
      </c>
      <c r="F11" s="1">
        <v>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706</v>
      </c>
      <c r="B12" s="1" t="str">
        <f t="shared" si="0"/>
        <v>OK</v>
      </c>
      <c r="C12" s="18">
        <f>'Annual Cash Flow'!E41</f>
        <v>4102</v>
      </c>
      <c r="D12" s="18">
        <f>'Annual Cash Flow'!E42</f>
        <v>4102</v>
      </c>
      <c r="E12" s="18">
        <f t="shared" si="1"/>
        <v>0</v>
      </c>
      <c r="F12" s="1">
        <v>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707</v>
      </c>
      <c r="B13" s="1" t="str">
        <f t="shared" si="0"/>
        <v>OK</v>
      </c>
      <c r="C13" s="18">
        <f>'Annual Balance Sheet'!F29</f>
        <v>28734</v>
      </c>
      <c r="D13" s="18">
        <f>'Annual Balance Sheet'!F51</f>
        <v>28734</v>
      </c>
      <c r="E13" s="18">
        <f t="shared" si="1"/>
        <v>0</v>
      </c>
      <c r="F13" s="1">
        <v>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708</v>
      </c>
      <c r="B14" s="1" t="str">
        <f t="shared" si="0"/>
        <v>OK</v>
      </c>
      <c r="C14" s="18">
        <f>'Annual Cash Flow'!F41</f>
        <v>5194</v>
      </c>
      <c r="D14" s="18">
        <f>'Annual Cash Flow'!F42</f>
        <v>5194</v>
      </c>
      <c r="E14" s="18">
        <f t="shared" si="1"/>
        <v>0</v>
      </c>
      <c r="F14" s="1">
        <v>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709</v>
      </c>
      <c r="B15" s="1" t="str">
        <f t="shared" si="0"/>
        <v>OK</v>
      </c>
      <c r="C15" s="18">
        <f>'Annual Balance Sheet'!G29</f>
        <v>34398</v>
      </c>
      <c r="D15" s="18">
        <f>'Annual Balance Sheet'!G51</f>
        <v>34398</v>
      </c>
      <c r="E15" s="18">
        <f t="shared" si="1"/>
        <v>0</v>
      </c>
      <c r="F15" s="1">
        <v>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710</v>
      </c>
      <c r="B16" s="1" t="str">
        <f t="shared" si="0"/>
        <v>OK</v>
      </c>
      <c r="C16" s="18">
        <f>'Annual Cash Flow'!G41</f>
        <v>8195</v>
      </c>
      <c r="D16" s="18">
        <f>'Annual Cash Flow'!G42</f>
        <v>8195</v>
      </c>
      <c r="E16" s="18">
        <f t="shared" si="1"/>
        <v>0</v>
      </c>
      <c r="F16" s="1">
        <v>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711</v>
      </c>
      <c r="B17" s="1" t="str">
        <f t="shared" si="0"/>
        <v>OK</v>
      </c>
      <c r="C17" s="18">
        <f>'Annual Balance Sheet'!H29</f>
        <v>35134</v>
      </c>
      <c r="D17" s="18">
        <f>'Annual Balance Sheet'!H51</f>
        <v>35134</v>
      </c>
      <c r="E17" s="18">
        <f t="shared" si="1"/>
        <v>0</v>
      </c>
      <c r="F17" s="1">
        <v>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712</v>
      </c>
      <c r="B18" s="1" t="str">
        <f t="shared" si="0"/>
        <v>OK</v>
      </c>
      <c r="C18" s="18">
        <f>'Annual Cash Flow'!H41</f>
        <v>7999</v>
      </c>
      <c r="D18" s="18">
        <f>'Annual Cash Flow'!H42</f>
        <v>7999</v>
      </c>
      <c r="E18" s="18">
        <f t="shared" si="1"/>
        <v>0</v>
      </c>
      <c r="F18" s="1">
        <v>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713</v>
      </c>
      <c r="B19" s="1" t="str">
        <f t="shared" si="0"/>
        <v>OK</v>
      </c>
      <c r="C19" s="18">
        <f>'Annual Balance Sheet'!I29</f>
        <v>49544</v>
      </c>
      <c r="D19" s="18">
        <f>'Annual Balance Sheet'!I51</f>
        <v>49544</v>
      </c>
      <c r="E19" s="18">
        <f t="shared" si="1"/>
        <v>0</v>
      </c>
      <c r="F19" s="1">
        <v>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714</v>
      </c>
      <c r="B20" s="1" t="str">
        <f t="shared" si="0"/>
        <v>OK</v>
      </c>
      <c r="C20" s="18">
        <f>'Annual Cash Flow'!I41</f>
        <v>4468</v>
      </c>
      <c r="D20" s="18">
        <f>'Annual Cash Flow'!I42</f>
        <v>4468</v>
      </c>
      <c r="E20" s="18">
        <f t="shared" si="1"/>
        <v>0</v>
      </c>
      <c r="F20" s="1">
        <v>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715</v>
      </c>
      <c r="B21" s="1" t="str">
        <f t="shared" si="0"/>
        <v>OK</v>
      </c>
      <c r="C21" s="18">
        <f>'Annual Balance Sheet'!J29</f>
        <v>56834</v>
      </c>
      <c r="D21" s="18">
        <f>'Annual Balance Sheet'!J51</f>
        <v>56834</v>
      </c>
      <c r="E21" s="18">
        <f t="shared" si="1"/>
        <v>0</v>
      </c>
      <c r="F21" s="1">
        <v>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716</v>
      </c>
      <c r="B22" s="1" t="str">
        <f t="shared" si="0"/>
        <v>OK</v>
      </c>
      <c r="C22" s="18">
        <f>'Annual Cash Flow'!J41</f>
        <v>5699</v>
      </c>
      <c r="D22" s="18">
        <f>'Annual Cash Flow'!J42</f>
        <v>5699</v>
      </c>
      <c r="E22" s="18">
        <f t="shared" si="1"/>
        <v>0</v>
      </c>
      <c r="F22" s="1">
        <v>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717</v>
      </c>
      <c r="B23" s="1" t="str">
        <f t="shared" si="0"/>
        <v>OK</v>
      </c>
      <c r="C23" s="18">
        <f>'Annual Balance Sheet'!K29</f>
        <v>61077</v>
      </c>
      <c r="D23" s="18">
        <f>'Annual Balance Sheet'!K51</f>
        <v>61077</v>
      </c>
      <c r="E23" s="18">
        <f t="shared" si="1"/>
        <v>0</v>
      </c>
      <c r="F23" s="1">
        <v>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718</v>
      </c>
      <c r="B24" s="1" t="str">
        <f t="shared" si="0"/>
        <v>OK</v>
      </c>
      <c r="C24" s="18">
        <f>'Annual Cash Flow'!K41</f>
        <v>3213</v>
      </c>
      <c r="D24" s="18">
        <f>'Annual Cash Flow'!K42</f>
        <v>3213</v>
      </c>
      <c r="E24" s="18">
        <f t="shared" si="1"/>
        <v>0</v>
      </c>
      <c r="F24" s="1">
        <v>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719</v>
      </c>
      <c r="B25" s="1" t="str">
        <f t="shared" si="0"/>
        <v>OK</v>
      </c>
      <c r="C25" s="18">
        <f>'Annual Balance Sheet'!L29</f>
        <v>124907</v>
      </c>
      <c r="D25" s="18">
        <f>'Annual Balance Sheet'!L51</f>
        <v>124907</v>
      </c>
      <c r="E25" s="18">
        <f t="shared" si="1"/>
        <v>0</v>
      </c>
      <c r="F25" s="1">
        <v>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720</v>
      </c>
      <c r="B26" s="1" t="str">
        <f t="shared" si="0"/>
        <v>OK</v>
      </c>
      <c r="C26" s="18">
        <f>'Annual Cash Flow'!L41</f>
        <v>7956</v>
      </c>
      <c r="D26" s="18">
        <f>'Annual Cash Flow'!L42</f>
        <v>7956</v>
      </c>
      <c r="E26" s="18">
        <f t="shared" si="1"/>
        <v>0</v>
      </c>
      <c r="F26" s="1">
        <v>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721</v>
      </c>
      <c r="B27" s="1" t="str">
        <f t="shared" si="0"/>
        <v>OK</v>
      </c>
      <c r="C27" s="18">
        <f>'Annual Balance Sheet'!M29</f>
        <v>148814</v>
      </c>
      <c r="D27" s="18">
        <f>'Annual Balance Sheet'!M51</f>
        <v>148814</v>
      </c>
      <c r="E27" s="18">
        <f t="shared" si="1"/>
        <v>0</v>
      </c>
      <c r="F27" s="1">
        <v>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722</v>
      </c>
      <c r="B28" s="1" t="str">
        <f t="shared" si="0"/>
        <v>OK</v>
      </c>
      <c r="C28" s="18">
        <f>'Annual Cash Flow'!M41</f>
        <v>10936</v>
      </c>
      <c r="D28" s="18">
        <f>'Annual Cash Flow'!M42</f>
        <v>10936</v>
      </c>
      <c r="E28" s="18">
        <f t="shared" si="1"/>
        <v>0</v>
      </c>
      <c r="F28" s="1">
        <v>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723</v>
      </c>
      <c r="B29" s="1" t="str">
        <f t="shared" si="0"/>
        <v>OK</v>
      </c>
      <c r="C29" s="18">
        <f>'Annual Balance Sheet'!N29</f>
        <v>339314.66723630414</v>
      </c>
      <c r="D29" s="18">
        <f>'Annual Balance Sheet'!N51</f>
        <v>339314.66723630414</v>
      </c>
      <c r="E29" s="18">
        <f t="shared" si="1"/>
        <v>0</v>
      </c>
      <c r="F29" s="1">
        <v>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724</v>
      </c>
      <c r="B30" s="1" t="str">
        <f t="shared" si="0"/>
        <v>OK</v>
      </c>
      <c r="C30" s="18">
        <f>'Annual Cash Flow'!N41</f>
        <v>13436.218905427551</v>
      </c>
      <c r="D30" s="18">
        <f>'Annual Cash Flow'!N42</f>
        <v>13436.218905427551</v>
      </c>
      <c r="E30" s="18">
        <f t="shared" si="1"/>
        <v>0</v>
      </c>
      <c r="F30" s="1">
        <v>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725</v>
      </c>
      <c r="B31" s="1" t="str">
        <f t="shared" si="0"/>
        <v>OK</v>
      </c>
      <c r="C31" s="18">
        <f>'Annual Balance Sheet'!O29</f>
        <v>352361.46292332944</v>
      </c>
      <c r="D31" s="18">
        <f>'Annual Balance Sheet'!O51</f>
        <v>352361.4629233295</v>
      </c>
      <c r="E31" s="18">
        <f t="shared" si="1"/>
        <v>0</v>
      </c>
      <c r="F31" s="1">
        <v>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726</v>
      </c>
      <c r="B32" s="1" t="str">
        <f t="shared" si="0"/>
        <v>OK</v>
      </c>
      <c r="C32" s="18">
        <f>'Annual Cash Flow'!O41</f>
        <v>8327.861789081715</v>
      </c>
      <c r="D32" s="18">
        <f>'Annual Cash Flow'!O42</f>
        <v>8327.861789081715</v>
      </c>
      <c r="E32" s="18">
        <f t="shared" si="1"/>
        <v>0</v>
      </c>
      <c r="F32" s="1">
        <v>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727</v>
      </c>
      <c r="B33" s="1" t="str">
        <f t="shared" si="0"/>
        <v>OK</v>
      </c>
      <c r="C33" s="18">
        <f>'Annual Balance Sheet'!P29</f>
        <v>367297.93522646255</v>
      </c>
      <c r="D33" s="18">
        <f>'Annual Balance Sheet'!P51</f>
        <v>367297.93522646255</v>
      </c>
      <c r="E33" s="18">
        <f t="shared" si="1"/>
        <v>0</v>
      </c>
      <c r="F33" s="1">
        <v>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728</v>
      </c>
      <c r="B34" s="1" t="str">
        <f t="shared" si="0"/>
        <v>OK</v>
      </c>
      <c r="C34" s="18">
        <f>'Annual Cash Flow'!P41</f>
        <v>3716.7486665003271</v>
      </c>
      <c r="D34" s="18">
        <f>'Annual Cash Flow'!P42</f>
        <v>3716.7486665003271</v>
      </c>
      <c r="E34" s="18">
        <f t="shared" si="1"/>
        <v>0</v>
      </c>
      <c r="F34" s="1">
        <v>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729</v>
      </c>
      <c r="B35" s="1" t="str">
        <f t="shared" si="0"/>
        <v>OK</v>
      </c>
      <c r="C35" s="18">
        <f>'Annual Balance Sheet'!Q29</f>
        <v>415418.15976286895</v>
      </c>
      <c r="D35" s="18">
        <f>'Annual Balance Sheet'!Q51</f>
        <v>415418.15976286895</v>
      </c>
      <c r="E35" s="18">
        <f t="shared" si="1"/>
        <v>0</v>
      </c>
      <c r="F35" s="1">
        <v>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730</v>
      </c>
      <c r="B36" s="1" t="str">
        <f t="shared" si="0"/>
        <v>OK</v>
      </c>
      <c r="C36" s="18">
        <f>'Annual Cash Flow'!Q41</f>
        <v>29969.931113009337</v>
      </c>
      <c r="D36" s="18">
        <f>'Annual Cash Flow'!Q42</f>
        <v>29969.931113009337</v>
      </c>
      <c r="E36" s="18">
        <f t="shared" si="1"/>
        <v>0</v>
      </c>
      <c r="F36" s="1">
        <v>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731</v>
      </c>
      <c r="B37" s="1" t="str">
        <f t="shared" si="0"/>
        <v>OK</v>
      </c>
      <c r="C37" s="18">
        <f>'Quarterly P&amp;L'!AU6</f>
        <v>55277</v>
      </c>
      <c r="D37" s="18">
        <f>55277</f>
        <v>55277</v>
      </c>
      <c r="E37" s="18">
        <f t="shared" si="1"/>
        <v>0</v>
      </c>
      <c r="F37" s="1">
        <v>0.1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 t="s">
        <v>732</v>
      </c>
      <c r="B38" s="1" t="str">
        <f t="shared" si="0"/>
        <v>OK</v>
      </c>
      <c r="C38" s="18">
        <f>'Quarterly P&amp;L'!AU24</f>
        <v>7021</v>
      </c>
      <c r="D38" s="18">
        <f>7021</f>
        <v>7021</v>
      </c>
      <c r="E38" s="18">
        <f t="shared" si="1"/>
        <v>0</v>
      </c>
      <c r="F38" s="1">
        <v>0.1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 t="s">
        <v>733</v>
      </c>
      <c r="B39" s="1" t="str">
        <f t="shared" ref="B39:B71" si="2">IF(ABS(E39)&lt;=F39,"OK","FAIL")</f>
        <v>OK</v>
      </c>
      <c r="C39" s="18">
        <f>'Quarterly P&amp;L'!AU28</f>
        <v>5186</v>
      </c>
      <c r="D39" s="18">
        <f>5186</f>
        <v>5186</v>
      </c>
      <c r="E39" s="18">
        <f t="shared" ref="E39:E70" si="3">C39-D39</f>
        <v>0</v>
      </c>
      <c r="F39" s="1">
        <v>0.1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 t="s">
        <v>734</v>
      </c>
      <c r="B40" s="1" t="str">
        <f t="shared" si="2"/>
        <v>OK</v>
      </c>
      <c r="C40" s="18">
        <f>'Acquisition &amp; Debt'!C33</f>
        <v>335405</v>
      </c>
      <c r="D40" s="18">
        <f>'Acquisition &amp; Debt'!C44</f>
        <v>335405</v>
      </c>
      <c r="E40" s="18">
        <f t="shared" si="3"/>
        <v>0</v>
      </c>
      <c r="F40" s="1">
        <v>0.1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 t="s">
        <v>735</v>
      </c>
      <c r="B41" s="1" t="str">
        <f t="shared" si="2"/>
        <v>OK</v>
      </c>
      <c r="C41" s="18">
        <f>SUM('Quarterly P&amp;L'!C6:F6)</f>
        <v>26824</v>
      </c>
      <c r="D41" s="18">
        <f>'Annual P&amp;L'!C7</f>
        <v>26824.048783999999</v>
      </c>
      <c r="E41" s="18">
        <f t="shared" si="3"/>
        <v>-4.878399999870453E-2</v>
      </c>
      <c r="F41" s="1">
        <v>1500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 t="s">
        <v>736</v>
      </c>
      <c r="B42" s="1" t="str">
        <f t="shared" si="2"/>
        <v>OK</v>
      </c>
      <c r="C42" s="18">
        <f>SUM('Quarterly P&amp;L'!G6:J6)</f>
        <v>28021</v>
      </c>
      <c r="D42" s="18">
        <f>'Annual P&amp;L'!D7</f>
        <v>28021</v>
      </c>
      <c r="E42" s="18">
        <f t="shared" si="3"/>
        <v>0</v>
      </c>
      <c r="F42" s="1">
        <v>1500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 t="s">
        <v>737</v>
      </c>
      <c r="B43" s="1" t="str">
        <f t="shared" si="2"/>
        <v>OK</v>
      </c>
      <c r="C43" s="18">
        <f>SUM('Quarterly P&amp;L'!K6:N6)</f>
        <v>29914</v>
      </c>
      <c r="D43" s="18">
        <f>'Annual P&amp;L'!E7</f>
        <v>29914</v>
      </c>
      <c r="E43" s="18">
        <f t="shared" si="3"/>
        <v>0</v>
      </c>
      <c r="F43" s="1">
        <v>1500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 t="s">
        <v>738</v>
      </c>
      <c r="B44" s="1" t="str">
        <f t="shared" si="2"/>
        <v>OK</v>
      </c>
      <c r="C44" s="18">
        <f>SUM('Quarterly P&amp;L'!O6:R6)</f>
        <v>36762</v>
      </c>
      <c r="D44" s="18">
        <f>'Annual P&amp;L'!F7</f>
        <v>36762</v>
      </c>
      <c r="E44" s="18">
        <f t="shared" si="3"/>
        <v>0</v>
      </c>
      <c r="F44" s="1">
        <v>1500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 t="s">
        <v>739</v>
      </c>
      <c r="B45" s="1" t="str">
        <f t="shared" si="2"/>
        <v>OK</v>
      </c>
      <c r="C45" s="18">
        <f>SUM('Quarterly P&amp;L'!S6:V6)</f>
        <v>41809</v>
      </c>
      <c r="D45" s="18">
        <f>'Annual P&amp;L'!G7</f>
        <v>41839</v>
      </c>
      <c r="E45" s="18">
        <f t="shared" si="3"/>
        <v>-30</v>
      </c>
      <c r="F45" s="1">
        <v>1500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 t="s">
        <v>740</v>
      </c>
      <c r="B46" s="1" t="str">
        <f t="shared" si="2"/>
        <v>OK</v>
      </c>
      <c r="C46" s="18">
        <f>SUM('Quarterly P&amp;L'!W6:Z6)</f>
        <v>46628</v>
      </c>
      <c r="D46" s="18">
        <f>'Annual P&amp;L'!H7</f>
        <v>46628</v>
      </c>
      <c r="E46" s="18">
        <f t="shared" si="3"/>
        <v>0</v>
      </c>
      <c r="F46" s="1">
        <v>1500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 t="s">
        <v>741</v>
      </c>
      <c r="B47" s="1" t="str">
        <f t="shared" si="2"/>
        <v>OK</v>
      </c>
      <c r="C47" s="18">
        <f>SUM('Quarterly P&amp;L'!AA6:AD6)</f>
        <v>64320</v>
      </c>
      <c r="D47" s="18">
        <f>'Annual P&amp;L'!I7</f>
        <v>64320</v>
      </c>
      <c r="E47" s="18">
        <f t="shared" si="3"/>
        <v>0</v>
      </c>
      <c r="F47" s="1">
        <v>1500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 t="s">
        <v>742</v>
      </c>
      <c r="B48" s="1" t="str">
        <f t="shared" si="2"/>
        <v>OK</v>
      </c>
      <c r="C48" s="18">
        <f>SUM('Quarterly P&amp;L'!AE6:AH6)</f>
        <v>80146</v>
      </c>
      <c r="D48" s="18">
        <f>'Annual P&amp;L'!J7</f>
        <v>80146</v>
      </c>
      <c r="E48" s="18">
        <f t="shared" si="3"/>
        <v>0</v>
      </c>
      <c r="F48" s="1">
        <v>1500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 t="s">
        <v>743</v>
      </c>
      <c r="B49" s="1" t="str">
        <f t="shared" si="2"/>
        <v>OK</v>
      </c>
      <c r="C49" s="18">
        <f>SUM('Quarterly P&amp;L'!AI6:AL6)</f>
        <v>91790</v>
      </c>
      <c r="D49" s="18">
        <f>'Annual P&amp;L'!K7</f>
        <v>91790</v>
      </c>
      <c r="E49" s="18">
        <f t="shared" si="3"/>
        <v>0</v>
      </c>
      <c r="F49" s="1">
        <v>1500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 t="s">
        <v>744</v>
      </c>
      <c r="B50" s="1" t="str">
        <f t="shared" si="2"/>
        <v>OK</v>
      </c>
      <c r="C50" s="18">
        <f>SUM('Quarterly P&amp;L'!AM6:AP6)</f>
        <v>122035</v>
      </c>
      <c r="D50" s="18">
        <f>'Annual P&amp;L'!L7</f>
        <v>120733</v>
      </c>
      <c r="E50" s="18">
        <f t="shared" si="3"/>
        <v>1302</v>
      </c>
      <c r="F50" s="1">
        <v>1500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 t="s">
        <v>745</v>
      </c>
      <c r="B51" s="1" t="str">
        <f t="shared" si="2"/>
        <v>OK</v>
      </c>
      <c r="C51" s="18">
        <f>SUM('Quarterly P&amp;L'!AQ6:AT6)</f>
        <v>163128</v>
      </c>
      <c r="D51" s="18">
        <f>'Annual P&amp;L'!M7</f>
        <v>164027</v>
      </c>
      <c r="E51" s="18">
        <f t="shared" si="3"/>
        <v>-899</v>
      </c>
      <c r="F51" s="1">
        <v>1500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 t="s">
        <v>746</v>
      </c>
      <c r="B52" s="1" t="str">
        <f t="shared" si="2"/>
        <v>OK</v>
      </c>
      <c r="C52" s="18">
        <f>'Order Book &amp; Revenue'!N31</f>
        <v>228523.774026</v>
      </c>
      <c r="D52" s="18">
        <f>'Annual P&amp;L'!N7</f>
        <v>228523.774026</v>
      </c>
      <c r="E52" s="18">
        <f t="shared" si="3"/>
        <v>0</v>
      </c>
      <c r="F52" s="1">
        <v>0.1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 t="s">
        <v>747</v>
      </c>
      <c r="B53" s="1" t="str">
        <f t="shared" si="2"/>
        <v>OK</v>
      </c>
      <c r="C53" s="18">
        <f>'Geography &amp; Delivery'!N19</f>
        <v>1</v>
      </c>
      <c r="D53" s="18">
        <f>1</f>
        <v>1</v>
      </c>
      <c r="E53" s="18">
        <f t="shared" si="3"/>
        <v>0</v>
      </c>
      <c r="F53" s="1">
        <v>1E-3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 t="s">
        <v>748</v>
      </c>
      <c r="B54" s="1" t="str">
        <f t="shared" si="2"/>
        <v>OK</v>
      </c>
      <c r="C54" s="18">
        <f>MIN(0,'Annual Cash Flow'!N41)</f>
        <v>0</v>
      </c>
      <c r="D54" s="18">
        <f>0</f>
        <v>0</v>
      </c>
      <c r="E54" s="18">
        <f t="shared" si="3"/>
        <v>0</v>
      </c>
      <c r="F54" s="1">
        <v>0.1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 t="s">
        <v>749</v>
      </c>
      <c r="B55" s="1" t="str">
        <f t="shared" si="2"/>
        <v>OK</v>
      </c>
      <c r="C55" s="18">
        <f>'Annual Balance Sheet'!N42</f>
        <v>46060</v>
      </c>
      <c r="D55" s="18">
        <f>'Acquisition &amp; Debt'!C21</f>
        <v>46060</v>
      </c>
      <c r="E55" s="18">
        <f t="shared" si="3"/>
        <v>0</v>
      </c>
      <c r="F55" s="1">
        <v>0.1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 t="s">
        <v>750</v>
      </c>
      <c r="B56" s="1" t="str">
        <f t="shared" si="2"/>
        <v>OK</v>
      </c>
      <c r="C56" s="18">
        <f>SUM(Valuation!N29:N31)</f>
        <v>1</v>
      </c>
      <c r="D56" s="18">
        <f>1</f>
        <v>1</v>
      </c>
      <c r="E56" s="18">
        <f t="shared" si="3"/>
        <v>0</v>
      </c>
      <c r="F56" s="1">
        <v>1E-3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 t="s">
        <v>751</v>
      </c>
      <c r="B57" s="1" t="str">
        <f t="shared" si="2"/>
        <v>OK</v>
      </c>
      <c r="C57" s="18">
        <f>'Order Book &amp; Revenue'!O31</f>
        <v>293835.96054016938</v>
      </c>
      <c r="D57" s="18">
        <f>'Annual P&amp;L'!O7</f>
        <v>293835.96054016938</v>
      </c>
      <c r="E57" s="18">
        <f t="shared" si="3"/>
        <v>0</v>
      </c>
      <c r="F57" s="1">
        <v>0.1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 t="s">
        <v>752</v>
      </c>
      <c r="B58" s="1" t="str">
        <f t="shared" si="2"/>
        <v>OK</v>
      </c>
      <c r="C58" s="18">
        <f>'Geography &amp; Delivery'!O19</f>
        <v>1</v>
      </c>
      <c r="D58" s="18">
        <f>1</f>
        <v>1</v>
      </c>
      <c r="E58" s="18">
        <f t="shared" si="3"/>
        <v>0</v>
      </c>
      <c r="F58" s="1">
        <v>1E-3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 t="s">
        <v>753</v>
      </c>
      <c r="B59" s="1" t="str">
        <f t="shared" si="2"/>
        <v>OK</v>
      </c>
      <c r="C59" s="18">
        <f>MIN(0,'Annual Cash Flow'!O41)</f>
        <v>0</v>
      </c>
      <c r="D59" s="18">
        <f>0</f>
        <v>0</v>
      </c>
      <c r="E59" s="18">
        <f t="shared" si="3"/>
        <v>0</v>
      </c>
      <c r="F59" s="1">
        <v>0.1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 t="s">
        <v>754</v>
      </c>
      <c r="B60" s="1" t="str">
        <f t="shared" si="2"/>
        <v>OK</v>
      </c>
      <c r="C60" s="18">
        <f>'Annual Balance Sheet'!O42</f>
        <v>25650</v>
      </c>
      <c r="D60" s="18">
        <f>'Acquisition &amp; Debt'!D21</f>
        <v>25650</v>
      </c>
      <c r="E60" s="18">
        <f t="shared" si="3"/>
        <v>0</v>
      </c>
      <c r="F60" s="1">
        <v>0.1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 t="s">
        <v>755</v>
      </c>
      <c r="B61" s="1" t="str">
        <f t="shared" si="2"/>
        <v>OK</v>
      </c>
      <c r="C61" s="18">
        <f>SUM(Valuation!O29:O31)</f>
        <v>1</v>
      </c>
      <c r="D61" s="18">
        <f>1</f>
        <v>1</v>
      </c>
      <c r="E61" s="18">
        <f t="shared" si="3"/>
        <v>0</v>
      </c>
      <c r="F61" s="1">
        <v>1E-3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 t="s">
        <v>756</v>
      </c>
      <c r="B62" s="1" t="str">
        <f t="shared" si="2"/>
        <v>OK</v>
      </c>
      <c r="C62" s="18">
        <f>'Order Book &amp; Revenue'!P31</f>
        <v>369616.09205215255</v>
      </c>
      <c r="D62" s="18">
        <f>'Annual P&amp;L'!P7</f>
        <v>369616.09205215255</v>
      </c>
      <c r="E62" s="18">
        <f t="shared" si="3"/>
        <v>0</v>
      </c>
      <c r="F62" s="1">
        <v>0.1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 t="s">
        <v>757</v>
      </c>
      <c r="B63" s="1" t="str">
        <f t="shared" si="2"/>
        <v>OK</v>
      </c>
      <c r="C63" s="18">
        <f>'Geography &amp; Delivery'!P19</f>
        <v>1</v>
      </c>
      <c r="D63" s="18">
        <f>1</f>
        <v>1</v>
      </c>
      <c r="E63" s="18">
        <f t="shared" si="3"/>
        <v>0</v>
      </c>
      <c r="F63" s="1">
        <v>1E-3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 t="s">
        <v>758</v>
      </c>
      <c r="B64" s="1" t="str">
        <f t="shared" si="2"/>
        <v>OK</v>
      </c>
      <c r="C64" s="18">
        <f>MIN(0,'Annual Cash Flow'!P41)</f>
        <v>0</v>
      </c>
      <c r="D64" s="18">
        <f>0</f>
        <v>0</v>
      </c>
      <c r="E64" s="18">
        <f t="shared" si="3"/>
        <v>0</v>
      </c>
      <c r="F64" s="1">
        <v>0.1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 t="s">
        <v>759</v>
      </c>
      <c r="B65" s="1" t="str">
        <f t="shared" si="2"/>
        <v>OK</v>
      </c>
      <c r="C65" s="18">
        <f>'Annual Balance Sheet'!P42</f>
        <v>0</v>
      </c>
      <c r="D65" s="18">
        <f>'Acquisition &amp; Debt'!E21</f>
        <v>0</v>
      </c>
      <c r="E65" s="18">
        <f t="shared" si="3"/>
        <v>0</v>
      </c>
      <c r="F65" s="1">
        <v>0.1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 t="s">
        <v>760</v>
      </c>
      <c r="B66" s="1" t="str">
        <f t="shared" si="2"/>
        <v>OK</v>
      </c>
      <c r="C66" s="18">
        <f>SUM(Valuation!P29:P31)</f>
        <v>1</v>
      </c>
      <c r="D66" s="18">
        <f>1</f>
        <v>1</v>
      </c>
      <c r="E66" s="18">
        <f t="shared" si="3"/>
        <v>0</v>
      </c>
      <c r="F66" s="1">
        <v>1E-3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 t="s">
        <v>761</v>
      </c>
      <c r="B67" s="1" t="str">
        <f t="shared" si="2"/>
        <v>OK</v>
      </c>
      <c r="C67" s="18">
        <f>'Order Book &amp; Revenue'!Q31</f>
        <v>457101.52226333285</v>
      </c>
      <c r="D67" s="18">
        <f>'Annual P&amp;L'!Q7</f>
        <v>457101.52226333285</v>
      </c>
      <c r="E67" s="18">
        <f t="shared" si="3"/>
        <v>0</v>
      </c>
      <c r="F67" s="1">
        <v>0.1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 t="s">
        <v>762</v>
      </c>
      <c r="B68" s="1" t="str">
        <f t="shared" si="2"/>
        <v>OK</v>
      </c>
      <c r="C68" s="18">
        <f>'Geography &amp; Delivery'!Q19</f>
        <v>1</v>
      </c>
      <c r="D68" s="18">
        <f>1</f>
        <v>1</v>
      </c>
      <c r="E68" s="18">
        <f t="shared" si="3"/>
        <v>0</v>
      </c>
      <c r="F68" s="1">
        <v>1E-3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 t="s">
        <v>763</v>
      </c>
      <c r="B69" s="1" t="str">
        <f t="shared" si="2"/>
        <v>OK</v>
      </c>
      <c r="C69" s="18">
        <f>MIN(0,'Annual Cash Flow'!Q41)</f>
        <v>0</v>
      </c>
      <c r="D69" s="18">
        <f>0</f>
        <v>0</v>
      </c>
      <c r="E69" s="18">
        <f t="shared" si="3"/>
        <v>0</v>
      </c>
      <c r="F69" s="1">
        <v>0.1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 t="s">
        <v>764</v>
      </c>
      <c r="B70" s="1" t="str">
        <f t="shared" si="2"/>
        <v>OK</v>
      </c>
      <c r="C70" s="18">
        <f>'Annual Balance Sheet'!Q42</f>
        <v>0</v>
      </c>
      <c r="D70" s="18">
        <f>'Acquisition &amp; Debt'!F21</f>
        <v>0</v>
      </c>
      <c r="E70" s="18">
        <f t="shared" si="3"/>
        <v>0</v>
      </c>
      <c r="F70" s="1">
        <v>0.1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 t="s">
        <v>765</v>
      </c>
      <c r="B71" s="1" t="str">
        <f t="shared" si="2"/>
        <v>OK</v>
      </c>
      <c r="C71" s="18">
        <f>SUM(Valuation!Q29:Q31)</f>
        <v>1</v>
      </c>
      <c r="D71" s="18">
        <f>1</f>
        <v>1</v>
      </c>
      <c r="E71" s="18">
        <f t="shared" ref="E71:E102" si="4">C71-D71</f>
        <v>0</v>
      </c>
      <c r="F71" s="1">
        <v>1E-3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 t="s">
        <v>766</v>
      </c>
      <c r="B72" s="1" t="str">
        <f>IF(C72=0,"OK","FAIL")</f>
        <v>OK</v>
      </c>
      <c r="C72" s="16">
        <v>0</v>
      </c>
      <c r="D72" s="16">
        <v>0</v>
      </c>
      <c r="E72" s="22">
        <f t="shared" si="4"/>
        <v>0</v>
      </c>
      <c r="F72" s="16">
        <v>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 t="s">
        <v>767</v>
      </c>
      <c r="B73" s="1" t="str">
        <f>IF(C73=0,"OK","FAIL")</f>
        <v>OK</v>
      </c>
      <c r="C73" s="16">
        <v>0</v>
      </c>
      <c r="D73" s="16">
        <v>0</v>
      </c>
      <c r="E73" s="22">
        <f t="shared" si="4"/>
        <v>0</v>
      </c>
      <c r="F73" s="16">
        <v>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 t="s">
        <v>768</v>
      </c>
      <c r="B74" s="1" t="str">
        <f>IF(C74=0,"OK","FAIL")</f>
        <v>OK</v>
      </c>
      <c r="C74" s="16">
        <v>0</v>
      </c>
      <c r="D74" s="16">
        <v>0</v>
      </c>
      <c r="E74" s="22">
        <f t="shared" si="4"/>
        <v>0</v>
      </c>
      <c r="F74" s="16">
        <v>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Cover</vt:lpstr>
      <vt:lpstr>Summary</vt:lpstr>
      <vt:lpstr>Sources</vt:lpstr>
      <vt:lpstr>Assumptions</vt:lpstr>
      <vt:lpstr>Raw Financials</vt:lpstr>
      <vt:lpstr>Raw Operating</vt:lpstr>
      <vt:lpstr>Quarterly P&amp;L</vt:lpstr>
      <vt:lpstr>Annual P&amp;L</vt:lpstr>
      <vt:lpstr>Annual Balance Sheet</vt:lpstr>
      <vt:lpstr>Annual Cash Flow</vt:lpstr>
      <vt:lpstr>Acquisition &amp; Debt</vt:lpstr>
      <vt:lpstr>Order Book &amp; Revenue</vt:lpstr>
      <vt:lpstr>Vertical &amp; Services</vt:lpstr>
      <vt:lpstr>Geography &amp; Delivery</vt:lpstr>
      <vt:lpstr>Client Metrics</vt:lpstr>
      <vt:lpstr>People &amp; AI</vt:lpstr>
      <vt:lpstr>Valuation</vt:lpstr>
      <vt:lpstr>COFORGE Prices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Anusha Kumar</cp:lastModifiedBy>
  <dcterms:created xsi:type="dcterms:W3CDTF">2026-08-31T07:29:12Z</dcterms:created>
  <dcterms:modified xsi:type="dcterms:W3CDTF">2026-08-31T07:29:13Z</dcterms:modified>
</cp:coreProperties>
</file>