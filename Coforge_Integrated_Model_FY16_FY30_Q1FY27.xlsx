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4B23C34-1C37-4329-93F1-65E55F4F7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Summary" sheetId="2" r:id="rId2"/>
    <sheet name="Sources" sheetId="3" r:id="rId3"/>
    <sheet name="Assumptions" sheetId="4" r:id="rId4"/>
    <sheet name="Raw Financials" sheetId="5" r:id="rId5"/>
    <sheet name="Raw Operating" sheetId="6" r:id="rId6"/>
    <sheet name="Quarterly P&amp;L" sheetId="7" r:id="rId7"/>
    <sheet name="Annual P&amp;L" sheetId="8" r:id="rId8"/>
    <sheet name="Annual Balance Sheet" sheetId="9" r:id="rId9"/>
    <sheet name="Annual Cash Flow" sheetId="10" r:id="rId10"/>
    <sheet name="Acquisition &amp; Debt" sheetId="11" r:id="rId11"/>
    <sheet name="Order Book &amp; Revenue" sheetId="12" r:id="rId12"/>
    <sheet name="Vertical &amp; Services" sheetId="13" r:id="rId13"/>
    <sheet name="Geography &amp; Delivery" sheetId="14" r:id="rId14"/>
    <sheet name="Client Metrics" sheetId="15" r:id="rId15"/>
    <sheet name="People &amp; AI" sheetId="16" r:id="rId16"/>
    <sheet name="Valuation" sheetId="17" r:id="rId17"/>
    <sheet name="COFORGE Prices" sheetId="18" r:id="rId18"/>
    <sheet name="Check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4" i="19" l="1"/>
  <c r="B74" i="19"/>
  <c r="E73" i="19"/>
  <c r="B73" i="19"/>
  <c r="E72" i="19"/>
  <c r="B72" i="19"/>
  <c r="D71" i="19"/>
  <c r="D69" i="19"/>
  <c r="D68" i="19"/>
  <c r="D66" i="19"/>
  <c r="D64" i="19"/>
  <c r="D63" i="19"/>
  <c r="D61" i="19"/>
  <c r="C61" i="19"/>
  <c r="E61" i="19" s="1"/>
  <c r="B61" i="19" s="1"/>
  <c r="D59" i="19"/>
  <c r="D58" i="19"/>
  <c r="D56" i="19"/>
  <c r="D54" i="19"/>
  <c r="D53" i="19"/>
  <c r="D40" i="19"/>
  <c r="C40" i="19"/>
  <c r="E40" i="19" s="1"/>
  <c r="B40" i="19" s="1"/>
  <c r="D39" i="19"/>
  <c r="D38" i="19"/>
  <c r="D37" i="19"/>
  <c r="Q31" i="17"/>
  <c r="P31" i="17"/>
  <c r="O31" i="17"/>
  <c r="N31" i="17"/>
  <c r="Q30" i="17"/>
  <c r="C71" i="19" s="1"/>
  <c r="E71" i="19" s="1"/>
  <c r="B71" i="19" s="1"/>
  <c r="P30" i="17"/>
  <c r="O30" i="17"/>
  <c r="N30" i="17"/>
  <c r="Q29" i="17"/>
  <c r="P29" i="17"/>
  <c r="C66" i="19" s="1"/>
  <c r="E66" i="19" s="1"/>
  <c r="B66" i="19" s="1"/>
  <c r="O29" i="17"/>
  <c r="N29" i="17"/>
  <c r="C56" i="19" s="1"/>
  <c r="E56" i="19" s="1"/>
  <c r="B56" i="19" s="1"/>
  <c r="Q26" i="17"/>
  <c r="P26" i="17"/>
  <c r="O26" i="17"/>
  <c r="N26" i="17"/>
  <c r="Q25" i="17"/>
  <c r="P25" i="17"/>
  <c r="O25" i="17"/>
  <c r="N25" i="17"/>
  <c r="Q21" i="17"/>
  <c r="P21" i="17"/>
  <c r="O21" i="17"/>
  <c r="N21" i="17"/>
  <c r="Q19" i="17"/>
  <c r="P19" i="17"/>
  <c r="O19" i="17"/>
  <c r="N19" i="17"/>
  <c r="L8" i="17"/>
  <c r="L9" i="17" s="1"/>
  <c r="M23" i="16"/>
  <c r="L23" i="16"/>
  <c r="K23" i="16"/>
  <c r="J23" i="16"/>
  <c r="I23" i="16"/>
  <c r="H23" i="16"/>
  <c r="G23" i="16"/>
  <c r="F23" i="16"/>
  <c r="E23" i="16"/>
  <c r="D23" i="16"/>
  <c r="C23" i="16"/>
  <c r="D22" i="16"/>
  <c r="M21" i="16"/>
  <c r="L21" i="16"/>
  <c r="K21" i="16"/>
  <c r="J21" i="16"/>
  <c r="I21" i="16"/>
  <c r="H21" i="16"/>
  <c r="G21" i="16"/>
  <c r="F21" i="16"/>
  <c r="E21" i="16"/>
  <c r="D21" i="16"/>
  <c r="C21" i="16"/>
  <c r="M20" i="16"/>
  <c r="M22" i="16" s="1"/>
  <c r="L20" i="16"/>
  <c r="L22" i="16" s="1"/>
  <c r="K20" i="16"/>
  <c r="K22" i="16" s="1"/>
  <c r="J20" i="16"/>
  <c r="J22" i="16" s="1"/>
  <c r="I20" i="16"/>
  <c r="I22" i="16" s="1"/>
  <c r="H20" i="16"/>
  <c r="H22" i="16" s="1"/>
  <c r="G20" i="16"/>
  <c r="G22" i="16" s="1"/>
  <c r="F20" i="16"/>
  <c r="F22" i="16" s="1"/>
  <c r="E20" i="16"/>
  <c r="E22" i="16" s="1"/>
  <c r="D20" i="16"/>
  <c r="C20" i="16"/>
  <c r="C22" i="16" s="1"/>
  <c r="M19" i="16"/>
  <c r="L19" i="16"/>
  <c r="K19" i="16"/>
  <c r="J19" i="16"/>
  <c r="I19" i="16"/>
  <c r="H19" i="16"/>
  <c r="G19" i="16"/>
  <c r="F19" i="16"/>
  <c r="E19" i="16"/>
  <c r="D19" i="16"/>
  <c r="C19" i="16"/>
  <c r="L16" i="16"/>
  <c r="I16" i="16"/>
  <c r="E16" i="16"/>
  <c r="M14" i="16"/>
  <c r="L14" i="16"/>
  <c r="K14" i="16"/>
  <c r="J14" i="16"/>
  <c r="I14" i="16"/>
  <c r="H14" i="16"/>
  <c r="G14" i="16"/>
  <c r="F14" i="16"/>
  <c r="E14" i="16"/>
  <c r="D14" i="16"/>
  <c r="C14" i="16"/>
  <c r="M13" i="16"/>
  <c r="N13" i="16" s="1"/>
  <c r="O13" i="16" s="1"/>
  <c r="P13" i="16" s="1"/>
  <c r="Q13" i="16" s="1"/>
  <c r="L13" i="16"/>
  <c r="K13" i="16"/>
  <c r="J13" i="16"/>
  <c r="I13" i="16"/>
  <c r="H13" i="16"/>
  <c r="G13" i="16"/>
  <c r="F13" i="16"/>
  <c r="E13" i="16"/>
  <c r="D13" i="16"/>
  <c r="C13" i="16"/>
  <c r="N12" i="16"/>
  <c r="O12" i="16" s="1"/>
  <c r="P12" i="16" s="1"/>
  <c r="Q12" i="16" s="1"/>
  <c r="M12" i="16"/>
  <c r="L12" i="16"/>
  <c r="K12" i="16"/>
  <c r="J12" i="16"/>
  <c r="I12" i="16"/>
  <c r="H12" i="16"/>
  <c r="G12" i="16"/>
  <c r="F12" i="16"/>
  <c r="E12" i="16"/>
  <c r="D12" i="16"/>
  <c r="C12" i="16"/>
  <c r="G11" i="16"/>
  <c r="E11" i="16"/>
  <c r="M10" i="16"/>
  <c r="M11" i="16" s="1"/>
  <c r="L10" i="16"/>
  <c r="K10" i="16"/>
  <c r="J10" i="16"/>
  <c r="I10" i="16"/>
  <c r="I11" i="16" s="1"/>
  <c r="H10" i="16"/>
  <c r="H11" i="16" s="1"/>
  <c r="G10" i="16"/>
  <c r="F10" i="16"/>
  <c r="E10" i="16"/>
  <c r="D10" i="16"/>
  <c r="D11" i="16" s="1"/>
  <c r="C10" i="16"/>
  <c r="C11" i="16" s="1"/>
  <c r="M9" i="16"/>
  <c r="L9" i="16"/>
  <c r="K9" i="16"/>
  <c r="J9" i="16"/>
  <c r="I9" i="16"/>
  <c r="H9" i="16"/>
  <c r="G9" i="16"/>
  <c r="F9" i="16"/>
  <c r="E9" i="16"/>
  <c r="D9" i="16"/>
  <c r="C9" i="16"/>
  <c r="M8" i="16"/>
  <c r="L8" i="16"/>
  <c r="K8" i="16"/>
  <c r="J8" i="16"/>
  <c r="I8" i="16"/>
  <c r="H8" i="16"/>
  <c r="G8" i="16"/>
  <c r="F8" i="16"/>
  <c r="E8" i="16"/>
  <c r="D8" i="16"/>
  <c r="C8" i="16"/>
  <c r="M7" i="16"/>
  <c r="L7" i="16"/>
  <c r="L11" i="16" s="1"/>
  <c r="K7" i="16"/>
  <c r="J7" i="16"/>
  <c r="J16" i="16" s="1"/>
  <c r="I7" i="16"/>
  <c r="H7" i="16"/>
  <c r="H16" i="16" s="1"/>
  <c r="G7" i="16"/>
  <c r="G16" i="16" s="1"/>
  <c r="F7" i="16"/>
  <c r="E7" i="16"/>
  <c r="D7" i="16"/>
  <c r="D16" i="16" s="1"/>
  <c r="C7" i="16"/>
  <c r="J22" i="15"/>
  <c r="D20" i="15"/>
  <c r="J19" i="15"/>
  <c r="M18" i="15"/>
  <c r="L18" i="15"/>
  <c r="K18" i="15"/>
  <c r="J18" i="15"/>
  <c r="I18" i="15"/>
  <c r="H18" i="15"/>
  <c r="G18" i="15"/>
  <c r="F18" i="15"/>
  <c r="E18" i="15"/>
  <c r="D18" i="15"/>
  <c r="C18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N16" i="15"/>
  <c r="O16" i="15" s="1"/>
  <c r="P16" i="15" s="1"/>
  <c r="Q16" i="15" s="1"/>
  <c r="M16" i="15"/>
  <c r="L16" i="15"/>
  <c r="K16" i="15"/>
  <c r="J16" i="15"/>
  <c r="I16" i="15"/>
  <c r="H16" i="15"/>
  <c r="G16" i="15"/>
  <c r="F16" i="15"/>
  <c r="E16" i="15"/>
  <c r="D16" i="15"/>
  <c r="C16" i="15"/>
  <c r="M15" i="15"/>
  <c r="N15" i="15" s="1"/>
  <c r="O15" i="15" s="1"/>
  <c r="P15" i="15" s="1"/>
  <c r="Q15" i="15" s="1"/>
  <c r="L15" i="15"/>
  <c r="K15" i="15"/>
  <c r="J15" i="15"/>
  <c r="I15" i="15"/>
  <c r="H15" i="15"/>
  <c r="G15" i="15"/>
  <c r="F15" i="15"/>
  <c r="E15" i="15"/>
  <c r="D15" i="15"/>
  <c r="C15" i="15"/>
  <c r="C14" i="15"/>
  <c r="M13" i="15"/>
  <c r="L13" i="15"/>
  <c r="K13" i="15"/>
  <c r="J13" i="15"/>
  <c r="I13" i="15"/>
  <c r="H13" i="15"/>
  <c r="G13" i="15"/>
  <c r="F13" i="15"/>
  <c r="E13" i="15"/>
  <c r="D13" i="15"/>
  <c r="C13" i="15"/>
  <c r="M12" i="15"/>
  <c r="L12" i="15"/>
  <c r="K12" i="15"/>
  <c r="J12" i="15"/>
  <c r="I12" i="15"/>
  <c r="H12" i="15"/>
  <c r="G12" i="15"/>
  <c r="F12" i="15"/>
  <c r="E12" i="15"/>
  <c r="D12" i="15"/>
  <c r="C12" i="15"/>
  <c r="M11" i="15"/>
  <c r="L11" i="15"/>
  <c r="K11" i="15"/>
  <c r="J11" i="15"/>
  <c r="I11" i="15"/>
  <c r="H11" i="15"/>
  <c r="G11" i="15"/>
  <c r="F11" i="15"/>
  <c r="E11" i="15"/>
  <c r="D11" i="15"/>
  <c r="C11" i="15"/>
  <c r="M10" i="15"/>
  <c r="L10" i="15"/>
  <c r="K10" i="15"/>
  <c r="J10" i="15"/>
  <c r="I10" i="15"/>
  <c r="H10" i="15"/>
  <c r="G10" i="15"/>
  <c r="F10" i="15"/>
  <c r="E10" i="15"/>
  <c r="D10" i="15"/>
  <c r="C10" i="15"/>
  <c r="M9" i="15"/>
  <c r="L9" i="15"/>
  <c r="K9" i="15"/>
  <c r="J9" i="15"/>
  <c r="J14" i="15" s="1"/>
  <c r="I9" i="15"/>
  <c r="H9" i="15"/>
  <c r="G9" i="15"/>
  <c r="F9" i="15"/>
  <c r="E9" i="15"/>
  <c r="D9" i="15"/>
  <c r="D14" i="15" s="1"/>
  <c r="C9" i="15"/>
  <c r="M8" i="15"/>
  <c r="L8" i="15"/>
  <c r="K8" i="15"/>
  <c r="J8" i="15"/>
  <c r="I8" i="15"/>
  <c r="I14" i="15" s="1"/>
  <c r="H8" i="15"/>
  <c r="G8" i="15"/>
  <c r="F8" i="15"/>
  <c r="E8" i="15"/>
  <c r="D8" i="15"/>
  <c r="C8" i="15"/>
  <c r="M7" i="15"/>
  <c r="L7" i="15"/>
  <c r="K7" i="15"/>
  <c r="J7" i="15"/>
  <c r="I7" i="15"/>
  <c r="H7" i="15"/>
  <c r="G7" i="15"/>
  <c r="F7" i="15"/>
  <c r="E7" i="15"/>
  <c r="D7" i="15"/>
  <c r="C7" i="15"/>
  <c r="I19" i="14"/>
  <c r="H19" i="14"/>
  <c r="Q18" i="14"/>
  <c r="Q17" i="14" s="1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D19" i="14" s="1"/>
  <c r="C18" i="14"/>
  <c r="O17" i="14"/>
  <c r="O19" i="14" s="1"/>
  <c r="C58" i="19" s="1"/>
  <c r="E58" i="19" s="1"/>
  <c r="B58" i="19" s="1"/>
  <c r="N17" i="14"/>
  <c r="N19" i="14" s="1"/>
  <c r="C53" i="19" s="1"/>
  <c r="E53" i="19" s="1"/>
  <c r="B53" i="19" s="1"/>
  <c r="M17" i="14"/>
  <c r="L17" i="14"/>
  <c r="K17" i="14"/>
  <c r="J17" i="14"/>
  <c r="I17" i="14"/>
  <c r="H17" i="14"/>
  <c r="G17" i="14"/>
  <c r="G19" i="14" s="1"/>
  <c r="F17" i="14"/>
  <c r="E17" i="14"/>
  <c r="D17" i="14"/>
  <c r="C17" i="14"/>
  <c r="M16" i="14"/>
  <c r="L16" i="14"/>
  <c r="E16" i="14"/>
  <c r="D16" i="14"/>
  <c r="M15" i="14"/>
  <c r="L15" i="14"/>
  <c r="K15" i="14"/>
  <c r="J15" i="14"/>
  <c r="I15" i="14"/>
  <c r="H15" i="14"/>
  <c r="G15" i="14"/>
  <c r="F15" i="14"/>
  <c r="E15" i="14"/>
  <c r="D15" i="14"/>
  <c r="C15" i="14"/>
  <c r="M14" i="14"/>
  <c r="N14" i="14" s="1"/>
  <c r="L14" i="14"/>
  <c r="K14" i="14"/>
  <c r="K16" i="14" s="1"/>
  <c r="J14" i="14"/>
  <c r="J16" i="14" s="1"/>
  <c r="I14" i="14"/>
  <c r="H14" i="14"/>
  <c r="H16" i="14" s="1"/>
  <c r="G14" i="14"/>
  <c r="G16" i="14" s="1"/>
  <c r="F14" i="14"/>
  <c r="F16" i="14" s="1"/>
  <c r="E14" i="14"/>
  <c r="D14" i="14"/>
  <c r="C14" i="14"/>
  <c r="H13" i="14"/>
  <c r="G13" i="14"/>
  <c r="D13" i="14"/>
  <c r="M11" i="14"/>
  <c r="N11" i="14" s="1"/>
  <c r="L11" i="14"/>
  <c r="K11" i="14"/>
  <c r="J11" i="14"/>
  <c r="I11" i="14"/>
  <c r="H11" i="14"/>
  <c r="G11" i="14"/>
  <c r="F11" i="14"/>
  <c r="E11" i="14"/>
  <c r="D11" i="14"/>
  <c r="C11" i="14"/>
  <c r="M9" i="14"/>
  <c r="N9" i="14" s="1"/>
  <c r="L9" i="14"/>
  <c r="K9" i="14"/>
  <c r="J9" i="14"/>
  <c r="I9" i="14"/>
  <c r="H9" i="14"/>
  <c r="G9" i="14"/>
  <c r="F9" i="14"/>
  <c r="E9" i="14"/>
  <c r="D9" i="14"/>
  <c r="C9" i="14"/>
  <c r="M7" i="14"/>
  <c r="M13" i="14" s="1"/>
  <c r="L7" i="14"/>
  <c r="L13" i="14" s="1"/>
  <c r="K7" i="14"/>
  <c r="K13" i="14" s="1"/>
  <c r="J7" i="14"/>
  <c r="I7" i="14"/>
  <c r="I13" i="14" s="1"/>
  <c r="H7" i="14"/>
  <c r="G7" i="14"/>
  <c r="F7" i="14"/>
  <c r="F13" i="14" s="1"/>
  <c r="E7" i="14"/>
  <c r="E13" i="14" s="1"/>
  <c r="D7" i="14"/>
  <c r="C7" i="14"/>
  <c r="H41" i="13"/>
  <c r="L38" i="13"/>
  <c r="H38" i="13"/>
  <c r="M37" i="13"/>
  <c r="N37" i="13" s="1"/>
  <c r="L37" i="13"/>
  <c r="K37" i="13"/>
  <c r="J37" i="13"/>
  <c r="I37" i="13"/>
  <c r="H37" i="13"/>
  <c r="G37" i="13"/>
  <c r="F37" i="13"/>
  <c r="E37" i="13"/>
  <c r="D37" i="13"/>
  <c r="C37" i="13"/>
  <c r="M35" i="13"/>
  <c r="N35" i="13" s="1"/>
  <c r="O35" i="13" s="1"/>
  <c r="L35" i="13"/>
  <c r="K35" i="13"/>
  <c r="J35" i="13"/>
  <c r="I35" i="13"/>
  <c r="H35" i="13"/>
  <c r="G35" i="13"/>
  <c r="F35" i="13"/>
  <c r="E35" i="13"/>
  <c r="D35" i="13"/>
  <c r="C35" i="13"/>
  <c r="F34" i="13"/>
  <c r="P33" i="13"/>
  <c r="O33" i="13"/>
  <c r="M33" i="13"/>
  <c r="N33" i="13" s="1"/>
  <c r="L33" i="13"/>
  <c r="K33" i="13"/>
  <c r="J33" i="13"/>
  <c r="I33" i="13"/>
  <c r="H33" i="13"/>
  <c r="G33" i="13"/>
  <c r="F33" i="13"/>
  <c r="E33" i="13"/>
  <c r="D33" i="13"/>
  <c r="C33" i="13"/>
  <c r="O31" i="13"/>
  <c r="M31" i="13"/>
  <c r="N31" i="13" s="1"/>
  <c r="L31" i="13"/>
  <c r="K31" i="13"/>
  <c r="J31" i="13"/>
  <c r="I31" i="13"/>
  <c r="H31" i="13"/>
  <c r="G31" i="13"/>
  <c r="F31" i="13"/>
  <c r="E31" i="13"/>
  <c r="D31" i="13"/>
  <c r="C31" i="13"/>
  <c r="M29" i="13"/>
  <c r="N29" i="13" s="1"/>
  <c r="L29" i="13"/>
  <c r="L39" i="13" s="1"/>
  <c r="K29" i="13"/>
  <c r="J29" i="13"/>
  <c r="I29" i="13"/>
  <c r="H29" i="13"/>
  <c r="H39" i="13" s="1"/>
  <c r="G29" i="13"/>
  <c r="G39" i="13" s="1"/>
  <c r="F29" i="13"/>
  <c r="F39" i="13" s="1"/>
  <c r="E29" i="13"/>
  <c r="D29" i="13"/>
  <c r="C29" i="13"/>
  <c r="M22" i="13"/>
  <c r="G22" i="13"/>
  <c r="N20" i="13"/>
  <c r="M20" i="13"/>
  <c r="L20" i="13"/>
  <c r="K20" i="13"/>
  <c r="J20" i="13"/>
  <c r="I20" i="13"/>
  <c r="I21" i="13" s="1"/>
  <c r="H20" i="13"/>
  <c r="H21" i="13" s="1"/>
  <c r="G20" i="13"/>
  <c r="F20" i="13"/>
  <c r="E20" i="13"/>
  <c r="D20" i="13"/>
  <c r="C20" i="13"/>
  <c r="C21" i="13" s="1"/>
  <c r="N18" i="13"/>
  <c r="M18" i="13"/>
  <c r="L18" i="13"/>
  <c r="K18" i="13"/>
  <c r="J18" i="13"/>
  <c r="I18" i="13"/>
  <c r="I19" i="13" s="1"/>
  <c r="H18" i="13"/>
  <c r="H19" i="13" s="1"/>
  <c r="G18" i="13"/>
  <c r="F18" i="13"/>
  <c r="E18" i="13"/>
  <c r="D18" i="13"/>
  <c r="C18" i="13"/>
  <c r="C19" i="13" s="1"/>
  <c r="N16" i="13"/>
  <c r="M16" i="13"/>
  <c r="L16" i="13"/>
  <c r="K16" i="13"/>
  <c r="J16" i="13"/>
  <c r="I16" i="13"/>
  <c r="I17" i="13" s="1"/>
  <c r="H16" i="13"/>
  <c r="H17" i="13" s="1"/>
  <c r="G16" i="13"/>
  <c r="F16" i="13"/>
  <c r="E16" i="13"/>
  <c r="D16" i="13"/>
  <c r="C16" i="13"/>
  <c r="C17" i="13" s="1"/>
  <c r="N14" i="13"/>
  <c r="M14" i="13"/>
  <c r="L14" i="13"/>
  <c r="K14" i="13"/>
  <c r="J14" i="13"/>
  <c r="I14" i="13"/>
  <c r="I15" i="13" s="1"/>
  <c r="H14" i="13"/>
  <c r="H15" i="13" s="1"/>
  <c r="G14" i="13"/>
  <c r="F14" i="13"/>
  <c r="E14" i="13"/>
  <c r="D14" i="13"/>
  <c r="C14" i="13"/>
  <c r="C15" i="13" s="1"/>
  <c r="N12" i="13"/>
  <c r="M12" i="13"/>
  <c r="L12" i="13"/>
  <c r="K12" i="13"/>
  <c r="J12" i="13"/>
  <c r="I12" i="13"/>
  <c r="I13" i="13" s="1"/>
  <c r="H12" i="13"/>
  <c r="H13" i="13" s="1"/>
  <c r="G12" i="13"/>
  <c r="F12" i="13"/>
  <c r="E12" i="13"/>
  <c r="D12" i="13"/>
  <c r="C12" i="13"/>
  <c r="C13" i="13" s="1"/>
  <c r="N10" i="13"/>
  <c r="M10" i="13"/>
  <c r="L10" i="13"/>
  <c r="K10" i="13"/>
  <c r="J10" i="13"/>
  <c r="I10" i="13"/>
  <c r="I11" i="13" s="1"/>
  <c r="H10" i="13"/>
  <c r="H11" i="13" s="1"/>
  <c r="G10" i="13"/>
  <c r="F10" i="13"/>
  <c r="E10" i="13"/>
  <c r="D10" i="13"/>
  <c r="C10" i="13"/>
  <c r="C11" i="13" s="1"/>
  <c r="N8" i="13"/>
  <c r="M8" i="13"/>
  <c r="L8" i="13"/>
  <c r="L22" i="13" s="1"/>
  <c r="K8" i="13"/>
  <c r="K22" i="13" s="1"/>
  <c r="J8" i="13"/>
  <c r="J22" i="13" s="1"/>
  <c r="I8" i="13"/>
  <c r="I9" i="13" s="1"/>
  <c r="H8" i="13"/>
  <c r="G8" i="13"/>
  <c r="F8" i="13"/>
  <c r="F22" i="13" s="1"/>
  <c r="E8" i="13"/>
  <c r="E22" i="13" s="1"/>
  <c r="D8" i="13"/>
  <c r="D22" i="13" s="1"/>
  <c r="C8" i="13"/>
  <c r="C9" i="13" s="1"/>
  <c r="M35" i="12"/>
  <c r="G35" i="12"/>
  <c r="Q34" i="12"/>
  <c r="P34" i="12"/>
  <c r="O34" i="12"/>
  <c r="N34" i="12"/>
  <c r="M33" i="12"/>
  <c r="L33" i="12"/>
  <c r="K33" i="12"/>
  <c r="J33" i="12"/>
  <c r="J20" i="15" s="1"/>
  <c r="I33" i="12"/>
  <c r="I35" i="12" s="1"/>
  <c r="H33" i="12"/>
  <c r="H35" i="12" s="1"/>
  <c r="G33" i="12"/>
  <c r="F33" i="12"/>
  <c r="E33" i="12"/>
  <c r="F35" i="12" s="1"/>
  <c r="D33" i="12"/>
  <c r="C33" i="12"/>
  <c r="M32" i="12"/>
  <c r="L32" i="12"/>
  <c r="K32" i="12"/>
  <c r="J32" i="12"/>
  <c r="I32" i="12"/>
  <c r="H32" i="12"/>
  <c r="G32" i="12"/>
  <c r="F32" i="12"/>
  <c r="E32" i="12"/>
  <c r="D32" i="12"/>
  <c r="C32" i="12"/>
  <c r="Q30" i="12"/>
  <c r="P30" i="12"/>
  <c r="O30" i="12"/>
  <c r="N30" i="12"/>
  <c r="Q27" i="12"/>
  <c r="P27" i="12"/>
  <c r="O27" i="12"/>
  <c r="N27" i="12"/>
  <c r="Q25" i="12"/>
  <c r="P25" i="12"/>
  <c r="O25" i="12"/>
  <c r="N25" i="12"/>
  <c r="Q23" i="12"/>
  <c r="P23" i="12"/>
  <c r="O23" i="12"/>
  <c r="N23" i="12"/>
  <c r="Q22" i="12"/>
  <c r="P22" i="12"/>
  <c r="O22" i="12"/>
  <c r="N22" i="12"/>
  <c r="N21" i="12"/>
  <c r="Q20" i="12"/>
  <c r="P20" i="12"/>
  <c r="O20" i="12"/>
  <c r="N20" i="12"/>
  <c r="Q18" i="12"/>
  <c r="P18" i="12"/>
  <c r="O18" i="12"/>
  <c r="N18" i="12"/>
  <c r="Q16" i="12"/>
  <c r="P16" i="12"/>
  <c r="O16" i="12"/>
  <c r="N16" i="12"/>
  <c r="O15" i="12"/>
  <c r="N15" i="12"/>
  <c r="M15" i="12"/>
  <c r="M21" i="15" s="1"/>
  <c r="M22" i="15" s="1"/>
  <c r="L15" i="12"/>
  <c r="L21" i="15" s="1"/>
  <c r="K15" i="12"/>
  <c r="K21" i="15" s="1"/>
  <c r="J15" i="12"/>
  <c r="J21" i="15" s="1"/>
  <c r="I15" i="12"/>
  <c r="I21" i="15" s="1"/>
  <c r="I22" i="15" s="1"/>
  <c r="H15" i="12"/>
  <c r="H21" i="15" s="1"/>
  <c r="H22" i="15" s="1"/>
  <c r="G15" i="12"/>
  <c r="G21" i="15" s="1"/>
  <c r="G22" i="15" s="1"/>
  <c r="F15" i="12"/>
  <c r="F21" i="15" s="1"/>
  <c r="E15" i="12"/>
  <c r="E21" i="15" s="1"/>
  <c r="D15" i="12"/>
  <c r="D21" i="15" s="1"/>
  <c r="D22" i="15" s="1"/>
  <c r="C15" i="12"/>
  <c r="C21" i="15" s="1"/>
  <c r="C22" i="15" s="1"/>
  <c r="Q13" i="12"/>
  <c r="P13" i="12"/>
  <c r="O13" i="12"/>
  <c r="N13" i="12"/>
  <c r="Q11" i="12"/>
  <c r="P11" i="12"/>
  <c r="O11" i="12"/>
  <c r="N11" i="12"/>
  <c r="M10" i="12"/>
  <c r="M23" i="15" s="1"/>
  <c r="M24" i="15" s="1"/>
  <c r="L10" i="12"/>
  <c r="L23" i="15" s="1"/>
  <c r="K10" i="12"/>
  <c r="K23" i="15" s="1"/>
  <c r="J10" i="12"/>
  <c r="J23" i="15" s="1"/>
  <c r="J24" i="15" s="1"/>
  <c r="I10" i="12"/>
  <c r="I23" i="15" s="1"/>
  <c r="I24" i="15" s="1"/>
  <c r="H10" i="12"/>
  <c r="H23" i="15" s="1"/>
  <c r="H24" i="15" s="1"/>
  <c r="G10" i="12"/>
  <c r="G23" i="15" s="1"/>
  <c r="G24" i="15" s="1"/>
  <c r="F10" i="12"/>
  <c r="F23" i="15" s="1"/>
  <c r="E10" i="12"/>
  <c r="E23" i="15" s="1"/>
  <c r="E24" i="15" s="1"/>
  <c r="D10" i="12"/>
  <c r="D23" i="15" s="1"/>
  <c r="D24" i="15" s="1"/>
  <c r="C10" i="12"/>
  <c r="C23" i="15" s="1"/>
  <c r="C24" i="15" s="1"/>
  <c r="N9" i="12"/>
  <c r="Q8" i="12"/>
  <c r="P8" i="12"/>
  <c r="O8" i="12"/>
  <c r="N8" i="12"/>
  <c r="N7" i="12"/>
  <c r="C45" i="11"/>
  <c r="F22" i="11"/>
  <c r="Q22" i="8" s="1"/>
  <c r="Q10" i="10" s="1"/>
  <c r="D22" i="11"/>
  <c r="F20" i="11"/>
  <c r="E20" i="11"/>
  <c r="P29" i="10" s="1"/>
  <c r="D20" i="11"/>
  <c r="F19" i="11"/>
  <c r="E19" i="11"/>
  <c r="E22" i="11" s="1"/>
  <c r="D19" i="11"/>
  <c r="C19" i="11"/>
  <c r="C17" i="11"/>
  <c r="C7" i="11"/>
  <c r="C8" i="11" s="1"/>
  <c r="D8" i="11" s="1"/>
  <c r="I44" i="10"/>
  <c r="I45" i="10" s="1"/>
  <c r="H44" i="10"/>
  <c r="H45" i="10" s="1"/>
  <c r="C44" i="10"/>
  <c r="C45" i="10" s="1"/>
  <c r="H42" i="10"/>
  <c r="D18" i="19" s="1"/>
  <c r="M41" i="10"/>
  <c r="C28" i="19" s="1"/>
  <c r="L41" i="10"/>
  <c r="K41" i="10"/>
  <c r="K39" i="10" s="1"/>
  <c r="K38" i="10" s="1"/>
  <c r="J41" i="10"/>
  <c r="C22" i="19" s="1"/>
  <c r="I41" i="10"/>
  <c r="C20" i="19" s="1"/>
  <c r="H41" i="10"/>
  <c r="C18" i="19" s="1"/>
  <c r="G41" i="10"/>
  <c r="C16" i="19" s="1"/>
  <c r="F41" i="10"/>
  <c r="E41" i="10"/>
  <c r="D41" i="10"/>
  <c r="C10" i="19" s="1"/>
  <c r="C41" i="10"/>
  <c r="C8" i="19" s="1"/>
  <c r="N40" i="10"/>
  <c r="K40" i="10"/>
  <c r="I40" i="10"/>
  <c r="I39" i="10" s="1"/>
  <c r="H40" i="10"/>
  <c r="H39" i="10" s="1"/>
  <c r="C40" i="10"/>
  <c r="Q38" i="10"/>
  <c r="P38" i="10"/>
  <c r="O38" i="10"/>
  <c r="N38" i="10"/>
  <c r="I38" i="10"/>
  <c r="C38" i="10"/>
  <c r="L37" i="10"/>
  <c r="K37" i="10"/>
  <c r="F37" i="10"/>
  <c r="M36" i="10"/>
  <c r="L36" i="10"/>
  <c r="K36" i="10"/>
  <c r="J36" i="10"/>
  <c r="I36" i="10"/>
  <c r="H36" i="10"/>
  <c r="G36" i="10"/>
  <c r="F36" i="10"/>
  <c r="E36" i="10"/>
  <c r="D36" i="10"/>
  <c r="C36" i="10"/>
  <c r="Q35" i="10"/>
  <c r="P35" i="10"/>
  <c r="O35" i="10"/>
  <c r="N35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M33" i="10"/>
  <c r="L33" i="10"/>
  <c r="K33" i="10"/>
  <c r="J33" i="10"/>
  <c r="I33" i="10"/>
  <c r="H33" i="10"/>
  <c r="G33" i="10"/>
  <c r="F33" i="10"/>
  <c r="E33" i="10"/>
  <c r="D33" i="10"/>
  <c r="C33" i="10"/>
  <c r="M32" i="10"/>
  <c r="L32" i="10"/>
  <c r="K32" i="10"/>
  <c r="J32" i="10"/>
  <c r="I32" i="10"/>
  <c r="H32" i="10"/>
  <c r="G32" i="10"/>
  <c r="F32" i="10"/>
  <c r="E32" i="10"/>
  <c r="D32" i="10"/>
  <c r="C32" i="10"/>
  <c r="M31" i="10"/>
  <c r="L31" i="10"/>
  <c r="K31" i="10"/>
  <c r="J31" i="10"/>
  <c r="I31" i="10"/>
  <c r="H31" i="10"/>
  <c r="G31" i="10"/>
  <c r="F31" i="10"/>
  <c r="E31" i="10"/>
  <c r="D31" i="10"/>
  <c r="C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Q29" i="10"/>
  <c r="O29" i="10"/>
  <c r="M29" i="10"/>
  <c r="L29" i="10"/>
  <c r="K29" i="10"/>
  <c r="J29" i="10"/>
  <c r="I29" i="10"/>
  <c r="H29" i="10"/>
  <c r="G29" i="10"/>
  <c r="F29" i="10"/>
  <c r="E29" i="10"/>
  <c r="D29" i="10"/>
  <c r="C29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Q27" i="10"/>
  <c r="P27" i="10"/>
  <c r="O27" i="10"/>
  <c r="N27" i="10"/>
  <c r="M27" i="10"/>
  <c r="M35" i="10" s="1"/>
  <c r="L27" i="10"/>
  <c r="L35" i="10" s="1"/>
  <c r="K27" i="10"/>
  <c r="K35" i="10" s="1"/>
  <c r="J27" i="10"/>
  <c r="J35" i="10" s="1"/>
  <c r="I27" i="10"/>
  <c r="H27" i="10"/>
  <c r="G27" i="10"/>
  <c r="G35" i="10" s="1"/>
  <c r="F27" i="10"/>
  <c r="F35" i="10" s="1"/>
  <c r="E27" i="10"/>
  <c r="E35" i="10" s="1"/>
  <c r="D27" i="10"/>
  <c r="D35" i="10" s="1"/>
  <c r="C27" i="10"/>
  <c r="M26" i="10"/>
  <c r="L26" i="10"/>
  <c r="K26" i="10"/>
  <c r="J26" i="10"/>
  <c r="I26" i="10"/>
  <c r="H26" i="10"/>
  <c r="G26" i="10"/>
  <c r="F26" i="10"/>
  <c r="E26" i="10"/>
  <c r="D26" i="10"/>
  <c r="C26" i="10"/>
  <c r="Q25" i="10"/>
  <c r="P25" i="10"/>
  <c r="O25" i="10"/>
  <c r="N25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M23" i="10"/>
  <c r="L23" i="10"/>
  <c r="K23" i="10"/>
  <c r="J23" i="10"/>
  <c r="I23" i="10"/>
  <c r="H23" i="10"/>
  <c r="G23" i="10"/>
  <c r="F23" i="10"/>
  <c r="F25" i="10" s="1"/>
  <c r="E23" i="10"/>
  <c r="E25" i="10" s="1"/>
  <c r="D23" i="10"/>
  <c r="C23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M21" i="10"/>
  <c r="M25" i="10" s="1"/>
  <c r="L21" i="10"/>
  <c r="L25" i="10" s="1"/>
  <c r="K21" i="10"/>
  <c r="K25" i="10" s="1"/>
  <c r="J21" i="10"/>
  <c r="J25" i="10" s="1"/>
  <c r="I21" i="10"/>
  <c r="H21" i="10"/>
  <c r="H25" i="10" s="1"/>
  <c r="G21" i="10"/>
  <c r="G25" i="10" s="1"/>
  <c r="F21" i="10"/>
  <c r="E21" i="10"/>
  <c r="D21" i="10"/>
  <c r="D25" i="10" s="1"/>
  <c r="C21" i="10"/>
  <c r="C25" i="10" s="1"/>
  <c r="M19" i="10"/>
  <c r="M44" i="10" s="1"/>
  <c r="M45" i="10" s="1"/>
  <c r="L19" i="10"/>
  <c r="K19" i="10"/>
  <c r="J19" i="10"/>
  <c r="J37" i="10" s="1"/>
  <c r="I19" i="10"/>
  <c r="I37" i="10" s="1"/>
  <c r="H19" i="10"/>
  <c r="H37" i="10" s="1"/>
  <c r="H38" i="10" s="1"/>
  <c r="G19" i="10"/>
  <c r="G44" i="10" s="1"/>
  <c r="G45" i="10" s="1"/>
  <c r="F19" i="10"/>
  <c r="E19" i="10"/>
  <c r="D19" i="10"/>
  <c r="D37" i="10" s="1"/>
  <c r="C19" i="10"/>
  <c r="C37" i="10" s="1"/>
  <c r="C39" i="10" s="1"/>
  <c r="M17" i="10"/>
  <c r="L17" i="10"/>
  <c r="K17" i="10"/>
  <c r="J17" i="10"/>
  <c r="I17" i="10"/>
  <c r="H17" i="10"/>
  <c r="G17" i="10"/>
  <c r="F17" i="10"/>
  <c r="E17" i="10"/>
  <c r="D17" i="10"/>
  <c r="C17" i="10"/>
  <c r="M16" i="10"/>
  <c r="L16" i="10"/>
  <c r="K16" i="10"/>
  <c r="J16" i="10"/>
  <c r="I16" i="10"/>
  <c r="H16" i="10"/>
  <c r="G16" i="10"/>
  <c r="F16" i="10"/>
  <c r="E16" i="10"/>
  <c r="D16" i="10"/>
  <c r="C16" i="10"/>
  <c r="M15" i="10"/>
  <c r="L15" i="10"/>
  <c r="K15" i="10"/>
  <c r="J15" i="10"/>
  <c r="I15" i="10"/>
  <c r="H15" i="10"/>
  <c r="G15" i="10"/>
  <c r="F15" i="10"/>
  <c r="E15" i="10"/>
  <c r="D15" i="10"/>
  <c r="C15" i="10"/>
  <c r="M14" i="10"/>
  <c r="L14" i="10"/>
  <c r="K14" i="10"/>
  <c r="J14" i="10"/>
  <c r="I14" i="10"/>
  <c r="H14" i="10"/>
  <c r="G14" i="10"/>
  <c r="F14" i="10"/>
  <c r="E14" i="10"/>
  <c r="D14" i="10"/>
  <c r="C14" i="10"/>
  <c r="M13" i="10"/>
  <c r="L13" i="10"/>
  <c r="K13" i="10"/>
  <c r="J13" i="10"/>
  <c r="I13" i="10"/>
  <c r="H13" i="10"/>
  <c r="G13" i="10"/>
  <c r="F13" i="10"/>
  <c r="E13" i="10"/>
  <c r="D13" i="10"/>
  <c r="C13" i="10"/>
  <c r="M12" i="10"/>
  <c r="L12" i="10"/>
  <c r="K12" i="10"/>
  <c r="J12" i="10"/>
  <c r="I12" i="10"/>
  <c r="H12" i="10"/>
  <c r="G12" i="10"/>
  <c r="F12" i="10"/>
  <c r="E12" i="10"/>
  <c r="D12" i="10"/>
  <c r="C12" i="10"/>
  <c r="M11" i="10"/>
  <c r="L11" i="10"/>
  <c r="K11" i="10"/>
  <c r="J11" i="10"/>
  <c r="I11" i="10"/>
  <c r="H11" i="10"/>
  <c r="G11" i="10"/>
  <c r="F11" i="10"/>
  <c r="E11" i="10"/>
  <c r="D11" i="10"/>
  <c r="C11" i="10"/>
  <c r="M10" i="10"/>
  <c r="L10" i="10"/>
  <c r="K10" i="10"/>
  <c r="J10" i="10"/>
  <c r="I10" i="10"/>
  <c r="H10" i="10"/>
  <c r="G10" i="10"/>
  <c r="F10" i="10"/>
  <c r="E10" i="10"/>
  <c r="D10" i="10"/>
  <c r="C10" i="10"/>
  <c r="M9" i="10"/>
  <c r="L9" i="10"/>
  <c r="K9" i="10"/>
  <c r="J9" i="10"/>
  <c r="I9" i="10"/>
  <c r="H9" i="10"/>
  <c r="G9" i="10"/>
  <c r="F9" i="10"/>
  <c r="E9" i="10"/>
  <c r="D9" i="10"/>
  <c r="C9" i="10"/>
  <c r="M8" i="10"/>
  <c r="L8" i="10"/>
  <c r="K8" i="10"/>
  <c r="J8" i="10"/>
  <c r="I8" i="10"/>
  <c r="H8" i="10"/>
  <c r="G8" i="10"/>
  <c r="F8" i="10"/>
  <c r="E8" i="10"/>
  <c r="D8" i="10"/>
  <c r="C8" i="10"/>
  <c r="L7" i="10"/>
  <c r="K7" i="10"/>
  <c r="K18" i="10" s="1"/>
  <c r="F7" i="10"/>
  <c r="F18" i="10" s="1"/>
  <c r="E7" i="10"/>
  <c r="H53" i="9"/>
  <c r="I51" i="9"/>
  <c r="D19" i="19" s="1"/>
  <c r="H51" i="9"/>
  <c r="D17" i="19" s="1"/>
  <c r="C51" i="9"/>
  <c r="D7" i="19" s="1"/>
  <c r="M50" i="9"/>
  <c r="L50" i="9"/>
  <c r="K50" i="9"/>
  <c r="J50" i="9"/>
  <c r="I50" i="9"/>
  <c r="H50" i="9"/>
  <c r="G50" i="9"/>
  <c r="F50" i="9"/>
  <c r="E50" i="9"/>
  <c r="D50" i="9"/>
  <c r="C50" i="9"/>
  <c r="M49" i="9"/>
  <c r="L49" i="9"/>
  <c r="K49" i="9"/>
  <c r="J49" i="9"/>
  <c r="I49" i="9"/>
  <c r="H49" i="9"/>
  <c r="G49" i="9"/>
  <c r="F49" i="9"/>
  <c r="E49" i="9"/>
  <c r="D49" i="9"/>
  <c r="C49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M47" i="9"/>
  <c r="L47" i="9"/>
  <c r="K47" i="9"/>
  <c r="J47" i="9"/>
  <c r="I47" i="9"/>
  <c r="H47" i="9"/>
  <c r="G47" i="9"/>
  <c r="F47" i="9"/>
  <c r="E47" i="9"/>
  <c r="D47" i="9"/>
  <c r="C47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M45" i="9"/>
  <c r="L45" i="9"/>
  <c r="K45" i="9"/>
  <c r="J45" i="9"/>
  <c r="I45" i="9"/>
  <c r="H45" i="9"/>
  <c r="G45" i="9"/>
  <c r="F45" i="9"/>
  <c r="E45" i="9"/>
  <c r="D45" i="9"/>
  <c r="C45" i="9"/>
  <c r="M44" i="9"/>
  <c r="L44" i="9"/>
  <c r="K44" i="9"/>
  <c r="J44" i="9"/>
  <c r="I44" i="9"/>
  <c r="H44" i="9"/>
  <c r="G44" i="9"/>
  <c r="F44" i="9"/>
  <c r="E44" i="9"/>
  <c r="D44" i="9"/>
  <c r="C44" i="9"/>
  <c r="M43" i="9"/>
  <c r="L43" i="9"/>
  <c r="K43" i="9"/>
  <c r="J43" i="9"/>
  <c r="I43" i="9"/>
  <c r="H43" i="9"/>
  <c r="G43" i="9"/>
  <c r="F43" i="9"/>
  <c r="E43" i="9"/>
  <c r="D43" i="9"/>
  <c r="C43" i="9"/>
  <c r="M42" i="9"/>
  <c r="L42" i="9"/>
  <c r="K42" i="9"/>
  <c r="J42" i="9"/>
  <c r="I42" i="9"/>
  <c r="H42" i="9"/>
  <c r="G42" i="9"/>
  <c r="F42" i="9"/>
  <c r="E42" i="9"/>
  <c r="D42" i="9"/>
  <c r="C42" i="9"/>
  <c r="M41" i="9"/>
  <c r="L41" i="9"/>
  <c r="K41" i="9"/>
  <c r="J41" i="9"/>
  <c r="I41" i="9"/>
  <c r="H41" i="9"/>
  <c r="G41" i="9"/>
  <c r="F41" i="9"/>
  <c r="E41" i="9"/>
  <c r="D41" i="9"/>
  <c r="C41" i="9"/>
  <c r="N40" i="9"/>
  <c r="O40" i="9" s="1"/>
  <c r="O34" i="10" s="1"/>
  <c r="M40" i="9"/>
  <c r="L40" i="9"/>
  <c r="K40" i="9"/>
  <c r="J40" i="9"/>
  <c r="I40" i="9"/>
  <c r="H40" i="9"/>
  <c r="G40" i="9"/>
  <c r="F40" i="9"/>
  <c r="E40" i="9"/>
  <c r="D40" i="9"/>
  <c r="C40" i="9"/>
  <c r="M39" i="9"/>
  <c r="L39" i="9"/>
  <c r="K39" i="9"/>
  <c r="J39" i="9"/>
  <c r="I39" i="9"/>
  <c r="H39" i="9"/>
  <c r="G39" i="9"/>
  <c r="F39" i="9"/>
  <c r="E39" i="9"/>
  <c r="D39" i="9"/>
  <c r="C39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Q35" i="9"/>
  <c r="P35" i="9"/>
  <c r="O35" i="9"/>
  <c r="N35" i="9"/>
  <c r="M35" i="9"/>
  <c r="M11" i="17" s="1"/>
  <c r="L35" i="9"/>
  <c r="K35" i="9"/>
  <c r="J35" i="9"/>
  <c r="I35" i="9"/>
  <c r="I11" i="17" s="1"/>
  <c r="H35" i="9"/>
  <c r="H11" i="17" s="1"/>
  <c r="G35" i="9"/>
  <c r="G11" i="17" s="1"/>
  <c r="F35" i="9"/>
  <c r="E35" i="9"/>
  <c r="D35" i="9"/>
  <c r="C35" i="9"/>
  <c r="C11" i="17" s="1"/>
  <c r="M34" i="9"/>
  <c r="M51" i="9" s="1"/>
  <c r="D27" i="19" s="1"/>
  <c r="L34" i="9"/>
  <c r="K34" i="9"/>
  <c r="J34" i="9"/>
  <c r="J51" i="9" s="1"/>
  <c r="D21" i="19" s="1"/>
  <c r="I34" i="9"/>
  <c r="H34" i="9"/>
  <c r="G34" i="9"/>
  <c r="G51" i="9" s="1"/>
  <c r="D15" i="19" s="1"/>
  <c r="F34" i="9"/>
  <c r="E34" i="9"/>
  <c r="D34" i="9"/>
  <c r="D51" i="9" s="1"/>
  <c r="D9" i="19" s="1"/>
  <c r="C34" i="9"/>
  <c r="M33" i="9"/>
  <c r="L33" i="9"/>
  <c r="K33" i="9"/>
  <c r="J33" i="9"/>
  <c r="I33" i="9"/>
  <c r="H33" i="9"/>
  <c r="G33" i="9"/>
  <c r="F33" i="9"/>
  <c r="E33" i="9"/>
  <c r="D33" i="9"/>
  <c r="C33" i="9"/>
  <c r="M32" i="9"/>
  <c r="L32" i="9"/>
  <c r="K32" i="9"/>
  <c r="J32" i="9"/>
  <c r="I32" i="9"/>
  <c r="H32" i="9"/>
  <c r="G32" i="9"/>
  <c r="F32" i="9"/>
  <c r="E32" i="9"/>
  <c r="D32" i="9"/>
  <c r="C32" i="9"/>
  <c r="M31" i="9"/>
  <c r="L31" i="9"/>
  <c r="K31" i="9"/>
  <c r="J31" i="9"/>
  <c r="I31" i="9"/>
  <c r="H31" i="9"/>
  <c r="G31" i="9"/>
  <c r="F31" i="9"/>
  <c r="E31" i="9"/>
  <c r="D31" i="9"/>
  <c r="C31" i="9"/>
  <c r="N30" i="9"/>
  <c r="O30" i="9" s="1"/>
  <c r="M30" i="9"/>
  <c r="L30" i="9"/>
  <c r="K30" i="9"/>
  <c r="J30" i="9"/>
  <c r="I30" i="9"/>
  <c r="H30" i="9"/>
  <c r="G30" i="9"/>
  <c r="F30" i="9"/>
  <c r="E30" i="9"/>
  <c r="D30" i="9"/>
  <c r="C30" i="9"/>
  <c r="M29" i="9"/>
  <c r="C27" i="19" s="1"/>
  <c r="L29" i="9"/>
  <c r="C25" i="19" s="1"/>
  <c r="K29" i="9"/>
  <c r="C23" i="19" s="1"/>
  <c r="J29" i="9"/>
  <c r="C21" i="19" s="1"/>
  <c r="I29" i="9"/>
  <c r="H29" i="9"/>
  <c r="G29" i="9"/>
  <c r="C15" i="19" s="1"/>
  <c r="F29" i="9"/>
  <c r="C13" i="19" s="1"/>
  <c r="E29" i="9"/>
  <c r="C11" i="19" s="1"/>
  <c r="D29" i="9"/>
  <c r="C9" i="19" s="1"/>
  <c r="C29" i="9"/>
  <c r="M28" i="9"/>
  <c r="L28" i="9"/>
  <c r="K28" i="9"/>
  <c r="J28" i="9"/>
  <c r="I28" i="9"/>
  <c r="H28" i="9"/>
  <c r="G28" i="9"/>
  <c r="F28" i="9"/>
  <c r="E28" i="9"/>
  <c r="D28" i="9"/>
  <c r="C28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M26" i="9"/>
  <c r="L26" i="9"/>
  <c r="K26" i="9"/>
  <c r="J26" i="9"/>
  <c r="I26" i="9"/>
  <c r="H26" i="9"/>
  <c r="G26" i="9"/>
  <c r="F26" i="9"/>
  <c r="E26" i="9"/>
  <c r="D26" i="9"/>
  <c r="C26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M23" i="9"/>
  <c r="L23" i="9"/>
  <c r="K23" i="9"/>
  <c r="J23" i="9"/>
  <c r="I23" i="9"/>
  <c r="H23" i="9"/>
  <c r="G23" i="9"/>
  <c r="F23" i="9"/>
  <c r="E23" i="9"/>
  <c r="D23" i="9"/>
  <c r="C23" i="9"/>
  <c r="Q22" i="9"/>
  <c r="P22" i="9"/>
  <c r="O22" i="9"/>
  <c r="N22" i="9"/>
  <c r="M21" i="9"/>
  <c r="M10" i="17" s="1"/>
  <c r="L21" i="9"/>
  <c r="L10" i="17" s="1"/>
  <c r="K21" i="9"/>
  <c r="J21" i="9"/>
  <c r="I21" i="9"/>
  <c r="I10" i="17" s="1"/>
  <c r="H21" i="9"/>
  <c r="G21" i="9"/>
  <c r="G10" i="17" s="1"/>
  <c r="F21" i="9"/>
  <c r="F10" i="17" s="1"/>
  <c r="E21" i="9"/>
  <c r="D21" i="9"/>
  <c r="C21" i="9"/>
  <c r="C10" i="17" s="1"/>
  <c r="M20" i="9"/>
  <c r="L20" i="9"/>
  <c r="K20" i="9"/>
  <c r="J20" i="9"/>
  <c r="I20" i="9"/>
  <c r="H20" i="9"/>
  <c r="G20" i="9"/>
  <c r="F20" i="9"/>
  <c r="E20" i="9"/>
  <c r="D20" i="9"/>
  <c r="C20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M18" i="9"/>
  <c r="L18" i="9"/>
  <c r="K18" i="9"/>
  <c r="J18" i="9"/>
  <c r="I18" i="9"/>
  <c r="H18" i="9"/>
  <c r="G18" i="9"/>
  <c r="F18" i="9"/>
  <c r="E18" i="9"/>
  <c r="D18" i="9"/>
  <c r="C18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M16" i="9"/>
  <c r="L16" i="9"/>
  <c r="K16" i="9"/>
  <c r="J16" i="9"/>
  <c r="I16" i="9"/>
  <c r="H16" i="9"/>
  <c r="G16" i="9"/>
  <c r="F16" i="9"/>
  <c r="E16" i="9"/>
  <c r="D16" i="9"/>
  <c r="C16" i="9"/>
  <c r="M15" i="9"/>
  <c r="L15" i="9"/>
  <c r="K15" i="9"/>
  <c r="J15" i="9"/>
  <c r="I15" i="9"/>
  <c r="H15" i="9"/>
  <c r="G15" i="9"/>
  <c r="F15" i="9"/>
  <c r="E15" i="9"/>
  <c r="D15" i="9"/>
  <c r="C15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M13" i="9"/>
  <c r="L13" i="9"/>
  <c r="K13" i="9"/>
  <c r="J13" i="9"/>
  <c r="I13" i="9"/>
  <c r="H13" i="9"/>
  <c r="G13" i="9"/>
  <c r="F13" i="9"/>
  <c r="E13" i="9"/>
  <c r="D13" i="9"/>
  <c r="C13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M11" i="9"/>
  <c r="L11" i="9"/>
  <c r="K11" i="9"/>
  <c r="J11" i="9"/>
  <c r="I11" i="9"/>
  <c r="H11" i="9"/>
  <c r="G11" i="9"/>
  <c r="F11" i="9"/>
  <c r="E11" i="9"/>
  <c r="D11" i="9"/>
  <c r="C11" i="9"/>
  <c r="O10" i="9"/>
  <c r="P10" i="9" s="1"/>
  <c r="Q10" i="9" s="1"/>
  <c r="N10" i="9"/>
  <c r="M10" i="9"/>
  <c r="L10" i="9"/>
  <c r="K10" i="9"/>
  <c r="J10" i="9"/>
  <c r="I10" i="9"/>
  <c r="H10" i="9"/>
  <c r="G10" i="9"/>
  <c r="F10" i="9"/>
  <c r="E10" i="9"/>
  <c r="D10" i="9"/>
  <c r="C10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M7" i="9"/>
  <c r="L7" i="9"/>
  <c r="K7" i="9"/>
  <c r="J7" i="9"/>
  <c r="I7" i="9"/>
  <c r="H7" i="9"/>
  <c r="G7" i="9"/>
  <c r="F7" i="9"/>
  <c r="E7" i="9"/>
  <c r="D7" i="9"/>
  <c r="C7" i="9"/>
  <c r="L37" i="8"/>
  <c r="L17" i="17" s="1"/>
  <c r="L18" i="17" s="1"/>
  <c r="G37" i="8"/>
  <c r="G17" i="17" s="1"/>
  <c r="G18" i="17" s="1"/>
  <c r="F37" i="8"/>
  <c r="F17" i="17" s="1"/>
  <c r="F18" i="17" s="1"/>
  <c r="M36" i="8"/>
  <c r="L36" i="8"/>
  <c r="K36" i="8"/>
  <c r="J36" i="8"/>
  <c r="I36" i="8"/>
  <c r="H36" i="8"/>
  <c r="G36" i="8"/>
  <c r="F36" i="8"/>
  <c r="E36" i="8"/>
  <c r="D36" i="8"/>
  <c r="C36" i="8"/>
  <c r="M35" i="8"/>
  <c r="M13" i="17" s="1"/>
  <c r="M14" i="17" s="1"/>
  <c r="L35" i="8"/>
  <c r="L13" i="17" s="1"/>
  <c r="L14" i="17" s="1"/>
  <c r="K35" i="8"/>
  <c r="K13" i="17" s="1"/>
  <c r="K14" i="17" s="1"/>
  <c r="J35" i="8"/>
  <c r="J13" i="17" s="1"/>
  <c r="J14" i="17" s="1"/>
  <c r="I35" i="8"/>
  <c r="I13" i="17" s="1"/>
  <c r="I14" i="17" s="1"/>
  <c r="H35" i="8"/>
  <c r="H13" i="17" s="1"/>
  <c r="H14" i="17" s="1"/>
  <c r="G35" i="8"/>
  <c r="G13" i="17" s="1"/>
  <c r="G14" i="17" s="1"/>
  <c r="F35" i="8"/>
  <c r="F13" i="17" s="1"/>
  <c r="F14" i="17" s="1"/>
  <c r="E35" i="8"/>
  <c r="E13" i="17" s="1"/>
  <c r="E14" i="17" s="1"/>
  <c r="D35" i="8"/>
  <c r="D13" i="17" s="1"/>
  <c r="D14" i="17" s="1"/>
  <c r="C35" i="8"/>
  <c r="C13" i="17" s="1"/>
  <c r="C14" i="17" s="1"/>
  <c r="M34" i="8"/>
  <c r="L34" i="8"/>
  <c r="K34" i="8"/>
  <c r="J34" i="8"/>
  <c r="I34" i="8"/>
  <c r="H34" i="8"/>
  <c r="G34" i="8"/>
  <c r="F34" i="8"/>
  <c r="E34" i="8"/>
  <c r="D34" i="8"/>
  <c r="D32" i="8" s="1"/>
  <c r="C34" i="8"/>
  <c r="Q33" i="8"/>
  <c r="Q8" i="17" s="1"/>
  <c r="P33" i="8"/>
  <c r="P8" i="17" s="1"/>
  <c r="O33" i="8"/>
  <c r="O8" i="17" s="1"/>
  <c r="N33" i="8"/>
  <c r="N8" i="17" s="1"/>
  <c r="M33" i="8"/>
  <c r="M8" i="17" s="1"/>
  <c r="M9" i="17" s="1"/>
  <c r="M12" i="17" s="1"/>
  <c r="L33" i="8"/>
  <c r="K33" i="8"/>
  <c r="K8" i="17" s="1"/>
  <c r="K9" i="17" s="1"/>
  <c r="G33" i="8"/>
  <c r="G8" i="17" s="1"/>
  <c r="G9" i="17" s="1"/>
  <c r="G12" i="17" s="1"/>
  <c r="F33" i="8"/>
  <c r="F8" i="17" s="1"/>
  <c r="F9" i="17" s="1"/>
  <c r="E33" i="8"/>
  <c r="E8" i="17" s="1"/>
  <c r="E9" i="17" s="1"/>
  <c r="P32" i="8"/>
  <c r="O32" i="8"/>
  <c r="N32" i="8"/>
  <c r="C32" i="8"/>
  <c r="M31" i="8"/>
  <c r="G31" i="8"/>
  <c r="M30" i="8"/>
  <c r="M32" i="8" s="1"/>
  <c r="M37" i="8" s="1"/>
  <c r="M17" i="17" s="1"/>
  <c r="M18" i="17" s="1"/>
  <c r="L30" i="8"/>
  <c r="L32" i="8" s="1"/>
  <c r="K30" i="8"/>
  <c r="K32" i="8" s="1"/>
  <c r="K37" i="8" s="1"/>
  <c r="K17" i="17" s="1"/>
  <c r="K18" i="17" s="1"/>
  <c r="J30" i="8"/>
  <c r="I30" i="8"/>
  <c r="H30" i="8"/>
  <c r="H32" i="8" s="1"/>
  <c r="G30" i="8"/>
  <c r="G32" i="8" s="1"/>
  <c r="F30" i="8"/>
  <c r="F32" i="8" s="1"/>
  <c r="E30" i="8"/>
  <c r="E32" i="8" s="1"/>
  <c r="E37" i="8" s="1"/>
  <c r="E17" i="17" s="1"/>
  <c r="E18" i="17" s="1"/>
  <c r="D30" i="8"/>
  <c r="C30" i="8"/>
  <c r="M29" i="8"/>
  <c r="L29" i="8"/>
  <c r="K29" i="8"/>
  <c r="J29" i="8"/>
  <c r="I29" i="8"/>
  <c r="H29" i="8"/>
  <c r="G29" i="8"/>
  <c r="F29" i="8"/>
  <c r="E29" i="8"/>
  <c r="D29" i="8"/>
  <c r="C29" i="8"/>
  <c r="M28" i="8"/>
  <c r="M7" i="10" s="1"/>
  <c r="L28" i="8"/>
  <c r="K28" i="8"/>
  <c r="J28" i="8"/>
  <c r="J7" i="10" s="1"/>
  <c r="J18" i="10" s="1"/>
  <c r="I28" i="8"/>
  <c r="I7" i="10" s="1"/>
  <c r="I18" i="10" s="1"/>
  <c r="H28" i="8"/>
  <c r="H7" i="10" s="1"/>
  <c r="H18" i="10" s="1"/>
  <c r="G28" i="8"/>
  <c r="G7" i="10" s="1"/>
  <c r="F28" i="8"/>
  <c r="E28" i="8"/>
  <c r="D28" i="8"/>
  <c r="D7" i="10" s="1"/>
  <c r="D18" i="10" s="1"/>
  <c r="C28" i="8"/>
  <c r="C7" i="10" s="1"/>
  <c r="C18" i="10" s="1"/>
  <c r="M27" i="8"/>
  <c r="M26" i="8"/>
  <c r="L26" i="8"/>
  <c r="K26" i="8"/>
  <c r="J26" i="8"/>
  <c r="J27" i="8" s="1"/>
  <c r="I26" i="8"/>
  <c r="I27" i="8" s="1"/>
  <c r="H26" i="8"/>
  <c r="H27" i="8" s="1"/>
  <c r="G26" i="8"/>
  <c r="F26" i="8"/>
  <c r="E26" i="8"/>
  <c r="D26" i="8"/>
  <c r="D27" i="8" s="1"/>
  <c r="C26" i="8"/>
  <c r="C27" i="8" s="1"/>
  <c r="M25" i="8"/>
  <c r="L25" i="8"/>
  <c r="L27" i="8" s="1"/>
  <c r="K25" i="8"/>
  <c r="K27" i="8" s="1"/>
  <c r="J25" i="8"/>
  <c r="I25" i="8"/>
  <c r="H25" i="8"/>
  <c r="G25" i="8"/>
  <c r="G27" i="8" s="1"/>
  <c r="F25" i="8"/>
  <c r="F27" i="8" s="1"/>
  <c r="E25" i="8"/>
  <c r="E27" i="8" s="1"/>
  <c r="D25" i="8"/>
  <c r="C25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M23" i="8"/>
  <c r="L23" i="8"/>
  <c r="K23" i="8"/>
  <c r="J23" i="8"/>
  <c r="I23" i="8"/>
  <c r="H23" i="8"/>
  <c r="G23" i="8"/>
  <c r="F23" i="8"/>
  <c r="E23" i="8"/>
  <c r="D23" i="8"/>
  <c r="C23" i="8"/>
  <c r="P22" i="8"/>
  <c r="O22" i="8"/>
  <c r="O31" i="10" s="1"/>
  <c r="M22" i="8"/>
  <c r="L22" i="8"/>
  <c r="K22" i="8"/>
  <c r="J22" i="8"/>
  <c r="I22" i="8"/>
  <c r="H22" i="8"/>
  <c r="G22" i="8"/>
  <c r="F22" i="8"/>
  <c r="E22" i="8"/>
  <c r="D22" i="8"/>
  <c r="C22" i="8"/>
  <c r="M21" i="8"/>
  <c r="L21" i="8"/>
  <c r="K21" i="8"/>
  <c r="J21" i="8"/>
  <c r="I21" i="8"/>
  <c r="H21" i="8"/>
  <c r="G21" i="8"/>
  <c r="F21" i="8"/>
  <c r="E21" i="8"/>
  <c r="D21" i="8"/>
  <c r="C21" i="8"/>
  <c r="M18" i="8"/>
  <c r="L18" i="8"/>
  <c r="K18" i="8"/>
  <c r="J18" i="8"/>
  <c r="I18" i="8"/>
  <c r="H18" i="8"/>
  <c r="G18" i="8"/>
  <c r="F18" i="8"/>
  <c r="E18" i="8"/>
  <c r="D18" i="8"/>
  <c r="C18" i="8"/>
  <c r="M15" i="8"/>
  <c r="L15" i="8"/>
  <c r="K15" i="8"/>
  <c r="J15" i="8"/>
  <c r="I15" i="8"/>
  <c r="H15" i="8"/>
  <c r="G15" i="8"/>
  <c r="F15" i="8"/>
  <c r="E15" i="8"/>
  <c r="D15" i="8"/>
  <c r="C15" i="8"/>
  <c r="M13" i="8"/>
  <c r="J12" i="8"/>
  <c r="I12" i="8"/>
  <c r="H12" i="8"/>
  <c r="G12" i="8"/>
  <c r="F12" i="8"/>
  <c r="E12" i="8"/>
  <c r="D12" i="8"/>
  <c r="C12" i="8"/>
  <c r="I10" i="8"/>
  <c r="H10" i="8"/>
  <c r="H13" i="8" s="1"/>
  <c r="C10" i="8"/>
  <c r="J9" i="8"/>
  <c r="I9" i="8"/>
  <c r="H9" i="8"/>
  <c r="G9" i="8"/>
  <c r="F9" i="8"/>
  <c r="E9" i="8"/>
  <c r="D9" i="8"/>
  <c r="C9" i="8"/>
  <c r="I8" i="8"/>
  <c r="I17" i="16" s="1"/>
  <c r="I18" i="16" s="1"/>
  <c r="H8" i="8"/>
  <c r="H17" i="16" s="1"/>
  <c r="H18" i="16" s="1"/>
  <c r="M7" i="8"/>
  <c r="L7" i="8"/>
  <c r="K7" i="8"/>
  <c r="J7" i="8"/>
  <c r="J10" i="8" s="1"/>
  <c r="I7" i="8"/>
  <c r="I24" i="13" s="1"/>
  <c r="H7" i="8"/>
  <c r="G7" i="8"/>
  <c r="F7" i="8"/>
  <c r="E7" i="8"/>
  <c r="D7" i="8"/>
  <c r="D21" i="13" s="1"/>
  <c r="C7" i="8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U29" i="7"/>
  <c r="AT29" i="7"/>
  <c r="AJ29" i="7"/>
  <c r="AI29" i="7"/>
  <c r="AH29" i="7"/>
  <c r="X29" i="7"/>
  <c r="W29" i="7"/>
  <c r="V29" i="7"/>
  <c r="F29" i="7"/>
  <c r="AU28" i="7"/>
  <c r="C39" i="19" s="1"/>
  <c r="E39" i="19" s="1"/>
  <c r="B39" i="19" s="1"/>
  <c r="AT28" i="7"/>
  <c r="AS28" i="7"/>
  <c r="AS29" i="7" s="1"/>
  <c r="AR28" i="7"/>
  <c r="AQ28" i="7"/>
  <c r="AP28" i="7"/>
  <c r="AO28" i="7"/>
  <c r="AO29" i="7" s="1"/>
  <c r="AN28" i="7"/>
  <c r="AM28" i="7"/>
  <c r="AM29" i="7" s="1"/>
  <c r="AL28" i="7"/>
  <c r="AK28" i="7"/>
  <c r="AJ28" i="7"/>
  <c r="AI28" i="7"/>
  <c r="AH28" i="7"/>
  <c r="AG28" i="7"/>
  <c r="AG29" i="7" s="1"/>
  <c r="AF28" i="7"/>
  <c r="AE28" i="7"/>
  <c r="AD28" i="7"/>
  <c r="AC28" i="7"/>
  <c r="AC29" i="7" s="1"/>
  <c r="AB28" i="7"/>
  <c r="AA28" i="7"/>
  <c r="AA29" i="7" s="1"/>
  <c r="Z28" i="7"/>
  <c r="Y28" i="7"/>
  <c r="X28" i="7"/>
  <c r="W28" i="7"/>
  <c r="V28" i="7"/>
  <c r="U28" i="7"/>
  <c r="U29" i="7" s="1"/>
  <c r="T28" i="7"/>
  <c r="T29" i="7" s="1"/>
  <c r="S28" i="7"/>
  <c r="R28" i="7"/>
  <c r="R29" i="7" s="1"/>
  <c r="Q28" i="7"/>
  <c r="Q29" i="7" s="1"/>
  <c r="P28" i="7"/>
  <c r="O28" i="7"/>
  <c r="O29" i="7" s="1"/>
  <c r="N28" i="7"/>
  <c r="M28" i="7"/>
  <c r="L28" i="7"/>
  <c r="K28" i="7"/>
  <c r="K29" i="7" s="1"/>
  <c r="J28" i="7"/>
  <c r="I28" i="7"/>
  <c r="I29" i="7" s="1"/>
  <c r="H28" i="7"/>
  <c r="G28" i="7"/>
  <c r="F28" i="7"/>
  <c r="E28" i="7"/>
  <c r="E29" i="7" s="1"/>
  <c r="D28" i="7"/>
  <c r="C28" i="7"/>
  <c r="C29" i="7" s="1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U24" i="7"/>
  <c r="C38" i="19" s="1"/>
  <c r="E38" i="19" s="1"/>
  <c r="B38" i="19" s="1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Q19" i="7"/>
  <c r="AP19" i="7"/>
  <c r="AK19" i="7"/>
  <c r="AJ19" i="7"/>
  <c r="AE19" i="7"/>
  <c r="AD19" i="7"/>
  <c r="Y19" i="7"/>
  <c r="X19" i="7"/>
  <c r="S19" i="7"/>
  <c r="R19" i="7"/>
  <c r="M19" i="7"/>
  <c r="L19" i="7"/>
  <c r="G19" i="7"/>
  <c r="F19" i="7"/>
  <c r="AU18" i="7"/>
  <c r="AU19" i="7" s="1"/>
  <c r="AT18" i="7"/>
  <c r="AT19" i="7" s="1"/>
  <c r="AS18" i="7"/>
  <c r="AS19" i="7" s="1"/>
  <c r="AR18" i="7"/>
  <c r="AQ18" i="7"/>
  <c r="AP18" i="7"/>
  <c r="AO18" i="7"/>
  <c r="AO19" i="7" s="1"/>
  <c r="AN18" i="7"/>
  <c r="AN19" i="7" s="1"/>
  <c r="AM18" i="7"/>
  <c r="AM19" i="7" s="1"/>
  <c r="AL18" i="7"/>
  <c r="AK18" i="7"/>
  <c r="AJ18" i="7"/>
  <c r="AI18" i="7"/>
  <c r="AI19" i="7" s="1"/>
  <c r="AH18" i="7"/>
  <c r="AH19" i="7" s="1"/>
  <c r="AG18" i="7"/>
  <c r="AG19" i="7" s="1"/>
  <c r="AF18" i="7"/>
  <c r="AE18" i="7"/>
  <c r="AD18" i="7"/>
  <c r="AC18" i="7"/>
  <c r="AC19" i="7" s="1"/>
  <c r="AB18" i="7"/>
  <c r="AB19" i="7" s="1"/>
  <c r="AA18" i="7"/>
  <c r="AA19" i="7" s="1"/>
  <c r="Z18" i="7"/>
  <c r="Y18" i="7"/>
  <c r="X18" i="7"/>
  <c r="W18" i="7"/>
  <c r="W19" i="7" s="1"/>
  <c r="V18" i="7"/>
  <c r="V19" i="7" s="1"/>
  <c r="U18" i="7"/>
  <c r="U19" i="7" s="1"/>
  <c r="T18" i="7"/>
  <c r="S18" i="7"/>
  <c r="R18" i="7"/>
  <c r="Q18" i="7"/>
  <c r="Q19" i="7" s="1"/>
  <c r="P18" i="7"/>
  <c r="P19" i="7" s="1"/>
  <c r="O18" i="7"/>
  <c r="O19" i="7" s="1"/>
  <c r="N18" i="7"/>
  <c r="M18" i="7"/>
  <c r="L18" i="7"/>
  <c r="K18" i="7"/>
  <c r="K19" i="7" s="1"/>
  <c r="J18" i="7"/>
  <c r="J19" i="7" s="1"/>
  <c r="I18" i="7"/>
  <c r="I19" i="7" s="1"/>
  <c r="H18" i="7"/>
  <c r="G18" i="7"/>
  <c r="F18" i="7"/>
  <c r="E18" i="7"/>
  <c r="E19" i="7" s="1"/>
  <c r="D18" i="7"/>
  <c r="D19" i="7" s="1"/>
  <c r="C18" i="7"/>
  <c r="C19" i="7" s="1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U16" i="7"/>
  <c r="AT16" i="7"/>
  <c r="AS16" i="7"/>
  <c r="AO16" i="7"/>
  <c r="AN16" i="7"/>
  <c r="AM16" i="7"/>
  <c r="AI16" i="7"/>
  <c r="AH16" i="7"/>
  <c r="AG16" i="7"/>
  <c r="AC16" i="7"/>
  <c r="AB16" i="7"/>
  <c r="AA16" i="7"/>
  <c r="W16" i="7"/>
  <c r="V16" i="7"/>
  <c r="U16" i="7"/>
  <c r="Q16" i="7"/>
  <c r="P16" i="7"/>
  <c r="O16" i="7"/>
  <c r="K16" i="7"/>
  <c r="J16" i="7"/>
  <c r="I16" i="7"/>
  <c r="E16" i="7"/>
  <c r="D16" i="7"/>
  <c r="C16" i="7"/>
  <c r="AU15" i="7"/>
  <c r="AT15" i="7"/>
  <c r="AS15" i="7"/>
  <c r="AR15" i="7"/>
  <c r="AR16" i="7" s="1"/>
  <c r="AQ15" i="7"/>
  <c r="AQ16" i="7" s="1"/>
  <c r="AP15" i="7"/>
  <c r="AP16" i="7" s="1"/>
  <c r="AO15" i="7"/>
  <c r="AN15" i="7"/>
  <c r="AM15" i="7"/>
  <c r="AL15" i="7"/>
  <c r="AL16" i="7" s="1"/>
  <c r="AK15" i="7"/>
  <c r="AK16" i="7" s="1"/>
  <c r="AJ15" i="7"/>
  <c r="AJ16" i="7" s="1"/>
  <c r="AI15" i="7"/>
  <c r="AH15" i="7"/>
  <c r="AG15" i="7"/>
  <c r="AF15" i="7"/>
  <c r="AF16" i="7" s="1"/>
  <c r="AE15" i="7"/>
  <c r="AE16" i="7" s="1"/>
  <c r="AD15" i="7"/>
  <c r="AD16" i="7" s="1"/>
  <c r="AC15" i="7"/>
  <c r="AB15" i="7"/>
  <c r="AA15" i="7"/>
  <c r="Z15" i="7"/>
  <c r="Z16" i="7" s="1"/>
  <c r="Y15" i="7"/>
  <c r="Y16" i="7" s="1"/>
  <c r="X15" i="7"/>
  <c r="X16" i="7" s="1"/>
  <c r="W15" i="7"/>
  <c r="V15" i="7"/>
  <c r="U15" i="7"/>
  <c r="T15" i="7"/>
  <c r="T16" i="7" s="1"/>
  <c r="S15" i="7"/>
  <c r="S16" i="7" s="1"/>
  <c r="R15" i="7"/>
  <c r="R16" i="7" s="1"/>
  <c r="Q15" i="7"/>
  <c r="P15" i="7"/>
  <c r="O15" i="7"/>
  <c r="N15" i="7"/>
  <c r="N16" i="7" s="1"/>
  <c r="M15" i="7"/>
  <c r="M16" i="7" s="1"/>
  <c r="L15" i="7"/>
  <c r="L16" i="7" s="1"/>
  <c r="K15" i="7"/>
  <c r="J15" i="7"/>
  <c r="I15" i="7"/>
  <c r="H15" i="7"/>
  <c r="H16" i="7" s="1"/>
  <c r="G15" i="7"/>
  <c r="G16" i="7" s="1"/>
  <c r="F15" i="7"/>
  <c r="F16" i="7" s="1"/>
  <c r="E15" i="7"/>
  <c r="D15" i="7"/>
  <c r="C15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Q13" i="7"/>
  <c r="AP13" i="7"/>
  <c r="AK13" i="7"/>
  <c r="AJ13" i="7"/>
  <c r="AE13" i="7"/>
  <c r="AD13" i="7"/>
  <c r="Y13" i="7"/>
  <c r="X13" i="7"/>
  <c r="S13" i="7"/>
  <c r="R13" i="7"/>
  <c r="M13" i="7"/>
  <c r="L13" i="7"/>
  <c r="G13" i="7"/>
  <c r="F13" i="7"/>
  <c r="AU12" i="7"/>
  <c r="AU13" i="7" s="1"/>
  <c r="AT12" i="7"/>
  <c r="AT13" i="7" s="1"/>
  <c r="AS12" i="7"/>
  <c r="AS13" i="7" s="1"/>
  <c r="AR12" i="7"/>
  <c r="AQ12" i="7"/>
  <c r="AP12" i="7"/>
  <c r="AO12" i="7"/>
  <c r="AO13" i="7" s="1"/>
  <c r="AN12" i="7"/>
  <c r="AN13" i="7" s="1"/>
  <c r="AM12" i="7"/>
  <c r="AM13" i="7" s="1"/>
  <c r="AL12" i="7"/>
  <c r="AK12" i="7"/>
  <c r="AJ12" i="7"/>
  <c r="AI12" i="7"/>
  <c r="AI13" i="7" s="1"/>
  <c r="AH12" i="7"/>
  <c r="AH13" i="7" s="1"/>
  <c r="AG12" i="7"/>
  <c r="AG13" i="7" s="1"/>
  <c r="AF12" i="7"/>
  <c r="AE12" i="7"/>
  <c r="AD12" i="7"/>
  <c r="AC12" i="7"/>
  <c r="AC13" i="7" s="1"/>
  <c r="AB12" i="7"/>
  <c r="AB13" i="7" s="1"/>
  <c r="AA12" i="7"/>
  <c r="AA13" i="7" s="1"/>
  <c r="Z12" i="7"/>
  <c r="Y12" i="7"/>
  <c r="X12" i="7"/>
  <c r="W12" i="7"/>
  <c r="W13" i="7" s="1"/>
  <c r="V12" i="7"/>
  <c r="V13" i="7" s="1"/>
  <c r="U12" i="7"/>
  <c r="U13" i="7" s="1"/>
  <c r="T12" i="7"/>
  <c r="S12" i="7"/>
  <c r="R12" i="7"/>
  <c r="Q12" i="7"/>
  <c r="Q13" i="7" s="1"/>
  <c r="P12" i="7"/>
  <c r="P13" i="7" s="1"/>
  <c r="O12" i="7"/>
  <c r="O13" i="7" s="1"/>
  <c r="N12" i="7"/>
  <c r="M12" i="7"/>
  <c r="L12" i="7"/>
  <c r="K12" i="7"/>
  <c r="K13" i="7" s="1"/>
  <c r="J12" i="7"/>
  <c r="J13" i="7" s="1"/>
  <c r="I12" i="7"/>
  <c r="I13" i="7" s="1"/>
  <c r="H12" i="7"/>
  <c r="G12" i="7"/>
  <c r="F12" i="7"/>
  <c r="E12" i="7"/>
  <c r="E13" i="7" s="1"/>
  <c r="D12" i="7"/>
  <c r="D13" i="7" s="1"/>
  <c r="C12" i="7"/>
  <c r="C13" i="7" s="1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Q7" i="7"/>
  <c r="AP7" i="7"/>
  <c r="AK7" i="7"/>
  <c r="AJ7" i="7"/>
  <c r="AE7" i="7"/>
  <c r="AD7" i="7"/>
  <c r="Y7" i="7"/>
  <c r="X7" i="7"/>
  <c r="S7" i="7"/>
  <c r="R7" i="7"/>
  <c r="M7" i="7"/>
  <c r="L7" i="7"/>
  <c r="G7" i="7"/>
  <c r="F7" i="7"/>
  <c r="AU6" i="7"/>
  <c r="C37" i="19" s="1"/>
  <c r="E37" i="19" s="1"/>
  <c r="B37" i="19" s="1"/>
  <c r="AT6" i="7"/>
  <c r="AT7" i="7" s="1"/>
  <c r="AS6" i="7"/>
  <c r="AS7" i="7" s="1"/>
  <c r="AR6" i="7"/>
  <c r="AR19" i="7" s="1"/>
  <c r="AQ6" i="7"/>
  <c r="AP6" i="7"/>
  <c r="AP29" i="7" s="1"/>
  <c r="AO6" i="7"/>
  <c r="AO7" i="7" s="1"/>
  <c r="AN6" i="7"/>
  <c r="AN7" i="7" s="1"/>
  <c r="AM6" i="7"/>
  <c r="C50" i="19" s="1"/>
  <c r="AL6" i="7"/>
  <c r="AL19" i="7" s="1"/>
  <c r="AK6" i="7"/>
  <c r="AJ6" i="7"/>
  <c r="AI6" i="7"/>
  <c r="AH6" i="7"/>
  <c r="AH7" i="7" s="1"/>
  <c r="AG6" i="7"/>
  <c r="AG7" i="7" s="1"/>
  <c r="AF6" i="7"/>
  <c r="AF19" i="7" s="1"/>
  <c r="AE6" i="7"/>
  <c r="AD6" i="7"/>
  <c r="AD29" i="7" s="1"/>
  <c r="AC6" i="7"/>
  <c r="AC7" i="7" s="1"/>
  <c r="AB6" i="7"/>
  <c r="AB7" i="7" s="1"/>
  <c r="AA6" i="7"/>
  <c r="C47" i="19" s="1"/>
  <c r="Z6" i="7"/>
  <c r="Z19" i="7" s="1"/>
  <c r="Y6" i="7"/>
  <c r="X6" i="7"/>
  <c r="W6" i="7"/>
  <c r="V6" i="7"/>
  <c r="V7" i="7" s="1"/>
  <c r="U6" i="7"/>
  <c r="U7" i="7" s="1"/>
  <c r="T6" i="7"/>
  <c r="T19" i="7" s="1"/>
  <c r="S6" i="7"/>
  <c r="R6" i="7"/>
  <c r="Q6" i="7"/>
  <c r="Q7" i="7" s="1"/>
  <c r="P6" i="7"/>
  <c r="P7" i="7" s="1"/>
  <c r="O6" i="7"/>
  <c r="C44" i="19" s="1"/>
  <c r="N6" i="7"/>
  <c r="N29" i="7" s="1"/>
  <c r="M6" i="7"/>
  <c r="L6" i="7"/>
  <c r="L29" i="7" s="1"/>
  <c r="K6" i="7"/>
  <c r="J6" i="7"/>
  <c r="J7" i="7" s="1"/>
  <c r="I6" i="7"/>
  <c r="I7" i="7" s="1"/>
  <c r="H6" i="7"/>
  <c r="H29" i="7" s="1"/>
  <c r="G6" i="7"/>
  <c r="F6" i="7"/>
  <c r="E6" i="7"/>
  <c r="E7" i="7" s="1"/>
  <c r="D6" i="7"/>
  <c r="D29" i="7" s="1"/>
  <c r="C6" i="7"/>
  <c r="C41" i="19" s="1"/>
  <c r="F55" i="4"/>
  <c r="Q7" i="17" s="1"/>
  <c r="E55" i="4"/>
  <c r="P7" i="17" s="1"/>
  <c r="P27" i="2" s="1"/>
  <c r="D55" i="4"/>
  <c r="O7" i="17" s="1"/>
  <c r="C55" i="4"/>
  <c r="N7" i="17" s="1"/>
  <c r="M32" i="2"/>
  <c r="L32" i="2"/>
  <c r="K32" i="2"/>
  <c r="J32" i="2"/>
  <c r="I32" i="2"/>
  <c r="H32" i="2"/>
  <c r="G32" i="2"/>
  <c r="F32" i="2"/>
  <c r="E32" i="2"/>
  <c r="D32" i="2"/>
  <c r="C32" i="2"/>
  <c r="M31" i="2"/>
  <c r="L31" i="2"/>
  <c r="K31" i="2"/>
  <c r="J31" i="2"/>
  <c r="I31" i="2"/>
  <c r="H31" i="2"/>
  <c r="G31" i="2"/>
  <c r="F31" i="2"/>
  <c r="E31" i="2"/>
  <c r="D31" i="2"/>
  <c r="C31" i="2"/>
  <c r="M30" i="2"/>
  <c r="L30" i="2"/>
  <c r="K30" i="2"/>
  <c r="J30" i="2"/>
  <c r="I30" i="2"/>
  <c r="H30" i="2"/>
  <c r="G30" i="2"/>
  <c r="F30" i="2"/>
  <c r="E30" i="2"/>
  <c r="D30" i="2"/>
  <c r="C30" i="2"/>
  <c r="M28" i="2"/>
  <c r="L28" i="2"/>
  <c r="K28" i="2"/>
  <c r="J28" i="2"/>
  <c r="I28" i="2"/>
  <c r="H28" i="2"/>
  <c r="G28" i="2"/>
  <c r="F28" i="2"/>
  <c r="E28" i="2"/>
  <c r="D28" i="2"/>
  <c r="C28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M26" i="2"/>
  <c r="L26" i="2"/>
  <c r="K26" i="2"/>
  <c r="J26" i="2"/>
  <c r="I26" i="2"/>
  <c r="H26" i="2"/>
  <c r="G26" i="2"/>
  <c r="F26" i="2"/>
  <c r="E26" i="2"/>
  <c r="D26" i="2"/>
  <c r="C26" i="2"/>
  <c r="M25" i="2"/>
  <c r="L25" i="2"/>
  <c r="K25" i="2"/>
  <c r="J25" i="2"/>
  <c r="I25" i="2"/>
  <c r="H25" i="2"/>
  <c r="G25" i="2"/>
  <c r="F25" i="2"/>
  <c r="E25" i="2"/>
  <c r="D25" i="2"/>
  <c r="C25" i="2"/>
  <c r="M24" i="2"/>
  <c r="L24" i="2"/>
  <c r="K24" i="2"/>
  <c r="J24" i="2"/>
  <c r="I24" i="2"/>
  <c r="H24" i="2"/>
  <c r="G24" i="2"/>
  <c r="F24" i="2"/>
  <c r="E24" i="2"/>
  <c r="D24" i="2"/>
  <c r="C24" i="2"/>
  <c r="M23" i="2"/>
  <c r="L23" i="2"/>
  <c r="K23" i="2"/>
  <c r="J23" i="2"/>
  <c r="I23" i="2"/>
  <c r="H23" i="2"/>
  <c r="G23" i="2"/>
  <c r="F23" i="2"/>
  <c r="E23" i="2"/>
  <c r="D23" i="2"/>
  <c r="C23" i="2"/>
  <c r="M22" i="2"/>
  <c r="L22" i="2"/>
  <c r="K22" i="2"/>
  <c r="J22" i="2"/>
  <c r="I22" i="2"/>
  <c r="H22" i="2"/>
  <c r="G22" i="2"/>
  <c r="F22" i="2"/>
  <c r="E22" i="2"/>
  <c r="D22" i="2"/>
  <c r="C22" i="2"/>
  <c r="N21" i="2"/>
  <c r="M20" i="2"/>
  <c r="J20" i="2"/>
  <c r="I20" i="2"/>
  <c r="H20" i="2"/>
  <c r="G20" i="2"/>
  <c r="D20" i="2"/>
  <c r="C20" i="2"/>
  <c r="M19" i="2"/>
  <c r="I19" i="2"/>
  <c r="H19" i="2"/>
  <c r="G19" i="2"/>
  <c r="C19" i="2"/>
  <c r="M18" i="2"/>
  <c r="L18" i="2"/>
  <c r="K18" i="2"/>
  <c r="J18" i="2"/>
  <c r="I18" i="2"/>
  <c r="H18" i="2"/>
  <c r="G18" i="2"/>
  <c r="F18" i="2"/>
  <c r="E18" i="2"/>
  <c r="D18" i="2"/>
  <c r="C18" i="2"/>
  <c r="M17" i="2"/>
  <c r="L17" i="2"/>
  <c r="K17" i="2"/>
  <c r="J17" i="2"/>
  <c r="I17" i="2"/>
  <c r="H17" i="2"/>
  <c r="G17" i="2"/>
  <c r="F17" i="2"/>
  <c r="E17" i="2"/>
  <c r="D17" i="2"/>
  <c r="C17" i="2"/>
  <c r="M16" i="2"/>
  <c r="L16" i="2"/>
  <c r="K16" i="2"/>
  <c r="J16" i="2"/>
  <c r="H16" i="2"/>
  <c r="G16" i="2"/>
  <c r="F16" i="2"/>
  <c r="E16" i="2"/>
  <c r="D16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M10" i="2"/>
  <c r="L10" i="2"/>
  <c r="K10" i="2"/>
  <c r="J10" i="2"/>
  <c r="I10" i="2"/>
  <c r="H10" i="2"/>
  <c r="G10" i="2"/>
  <c r="F10" i="2"/>
  <c r="E10" i="2"/>
  <c r="D10" i="2"/>
  <c r="C10" i="2"/>
  <c r="M9" i="2"/>
  <c r="L9" i="2"/>
  <c r="K9" i="2"/>
  <c r="J9" i="2"/>
  <c r="I9" i="2"/>
  <c r="H9" i="2"/>
  <c r="G9" i="2"/>
  <c r="F9" i="2"/>
  <c r="E9" i="2"/>
  <c r="D9" i="2"/>
  <c r="C9" i="2"/>
  <c r="I8" i="2"/>
  <c r="H8" i="2"/>
  <c r="C8" i="2"/>
  <c r="M7" i="2"/>
  <c r="L7" i="2"/>
  <c r="I7" i="2"/>
  <c r="H7" i="2"/>
  <c r="G7" i="2"/>
  <c r="F7" i="2"/>
  <c r="C7" i="2"/>
  <c r="J13" i="8" l="1"/>
  <c r="J11" i="8"/>
  <c r="J12" i="2" s="1"/>
  <c r="E43" i="10"/>
  <c r="O29" i="12"/>
  <c r="E7" i="11"/>
  <c r="E8" i="11"/>
  <c r="Q9" i="17"/>
  <c r="D8" i="8"/>
  <c r="H16" i="8"/>
  <c r="H14" i="8"/>
  <c r="H13" i="2" s="1"/>
  <c r="O12" i="13"/>
  <c r="O18" i="13"/>
  <c r="D43" i="19"/>
  <c r="E41" i="13"/>
  <c r="E12" i="14"/>
  <c r="E10" i="14"/>
  <c r="E8" i="14"/>
  <c r="E24" i="13"/>
  <c r="E31" i="8"/>
  <c r="E21" i="13"/>
  <c r="E19" i="13"/>
  <c r="E17" i="13"/>
  <c r="E15" i="13"/>
  <c r="E13" i="13"/>
  <c r="E11" i="13"/>
  <c r="E9" i="13"/>
  <c r="E31" i="12"/>
  <c r="E10" i="8"/>
  <c r="E8" i="8"/>
  <c r="I25" i="10"/>
  <c r="C14" i="19"/>
  <c r="G40" i="10"/>
  <c r="G39" i="10" s="1"/>
  <c r="D13" i="13"/>
  <c r="D19" i="13"/>
  <c r="D49" i="19"/>
  <c r="K41" i="13"/>
  <c r="K12" i="14"/>
  <c r="K8" i="14"/>
  <c r="K20" i="14"/>
  <c r="K10" i="14"/>
  <c r="K24" i="13"/>
  <c r="K31" i="8"/>
  <c r="K13" i="8"/>
  <c r="K21" i="13"/>
  <c r="K19" i="13"/>
  <c r="K17" i="13"/>
  <c r="K15" i="13"/>
  <c r="K13" i="13"/>
  <c r="K11" i="13"/>
  <c r="K9" i="13"/>
  <c r="K31" i="12"/>
  <c r="K10" i="8"/>
  <c r="K8" i="8"/>
  <c r="I13" i="8"/>
  <c r="I11" i="8"/>
  <c r="I12" i="2" s="1"/>
  <c r="C33" i="8"/>
  <c r="C8" i="17" s="1"/>
  <c r="C9" i="17" s="1"/>
  <c r="C12" i="17" s="1"/>
  <c r="C31" i="8"/>
  <c r="I33" i="8"/>
  <c r="I8" i="17" s="1"/>
  <c r="I9" i="17" s="1"/>
  <c r="I12" i="17" s="1"/>
  <c r="I31" i="8"/>
  <c r="D10" i="17"/>
  <c r="D42" i="10"/>
  <c r="D10" i="19" s="1"/>
  <c r="D53" i="9"/>
  <c r="J10" i="17"/>
  <c r="J42" i="10"/>
  <c r="D22" i="19" s="1"/>
  <c r="J53" i="9"/>
  <c r="P40" i="9"/>
  <c r="P34" i="10" s="1"/>
  <c r="C26" i="19"/>
  <c r="M40" i="10"/>
  <c r="M39" i="10" s="1"/>
  <c r="F20" i="2"/>
  <c r="L20" i="2"/>
  <c r="H7" i="7"/>
  <c r="N7" i="7"/>
  <c r="T7" i="7"/>
  <c r="Z7" i="7"/>
  <c r="AF7" i="7"/>
  <c r="AL7" i="7"/>
  <c r="AR7" i="7"/>
  <c r="H13" i="7"/>
  <c r="N13" i="7"/>
  <c r="T13" i="7"/>
  <c r="Z13" i="7"/>
  <c r="AF13" i="7"/>
  <c r="AL13" i="7"/>
  <c r="AR13" i="7"/>
  <c r="H19" i="7"/>
  <c r="N19" i="7"/>
  <c r="P29" i="7"/>
  <c r="D44" i="19"/>
  <c r="F41" i="13"/>
  <c r="F12" i="14"/>
  <c r="F10" i="14"/>
  <c r="F8" i="14"/>
  <c r="F24" i="13"/>
  <c r="F38" i="13"/>
  <c r="F32" i="13"/>
  <c r="F36" i="13"/>
  <c r="F30" i="13"/>
  <c r="F40" i="13" s="1"/>
  <c r="F42" i="13" s="1"/>
  <c r="F21" i="13"/>
  <c r="F19" i="13"/>
  <c r="F17" i="13"/>
  <c r="F15" i="13"/>
  <c r="F13" i="13"/>
  <c r="F11" i="13"/>
  <c r="F9" i="13"/>
  <c r="G8" i="8"/>
  <c r="F31" i="12"/>
  <c r="F10" i="8"/>
  <c r="F8" i="8"/>
  <c r="D50" i="19"/>
  <c r="E50" i="19" s="1"/>
  <c r="B50" i="19" s="1"/>
  <c r="L41" i="13"/>
  <c r="L24" i="13"/>
  <c r="L20" i="14"/>
  <c r="L36" i="13"/>
  <c r="L30" i="13"/>
  <c r="L10" i="14"/>
  <c r="L34" i="13"/>
  <c r="L21" i="13"/>
  <c r="L19" i="13"/>
  <c r="L17" i="13"/>
  <c r="L15" i="13"/>
  <c r="L13" i="13"/>
  <c r="L11" i="13"/>
  <c r="L9" i="13"/>
  <c r="L32" i="13"/>
  <c r="L31" i="12"/>
  <c r="L12" i="14"/>
  <c r="M8" i="8"/>
  <c r="L8" i="14"/>
  <c r="L10" i="8"/>
  <c r="L8" i="8"/>
  <c r="L9" i="8"/>
  <c r="D33" i="8"/>
  <c r="D8" i="17" s="1"/>
  <c r="D9" i="17" s="1"/>
  <c r="D31" i="8"/>
  <c r="J33" i="8"/>
  <c r="J8" i="17" s="1"/>
  <c r="J9" i="17" s="1"/>
  <c r="J31" i="8"/>
  <c r="F31" i="8"/>
  <c r="I32" i="8"/>
  <c r="C17" i="19"/>
  <c r="E17" i="19" s="1"/>
  <c r="B17" i="19" s="1"/>
  <c r="H52" i="9"/>
  <c r="I53" i="9"/>
  <c r="L18" i="10"/>
  <c r="C20" i="10"/>
  <c r="H9" i="13"/>
  <c r="H23" i="13" s="1"/>
  <c r="H22" i="13"/>
  <c r="O8" i="13"/>
  <c r="N22" i="13"/>
  <c r="O14" i="13"/>
  <c r="O20" i="13"/>
  <c r="D48" i="19"/>
  <c r="J21" i="14"/>
  <c r="J31" i="12"/>
  <c r="J41" i="13"/>
  <c r="J24" i="13"/>
  <c r="J21" i="13"/>
  <c r="J19" i="13"/>
  <c r="J17" i="13"/>
  <c r="J15" i="13"/>
  <c r="J13" i="13"/>
  <c r="J11" i="13"/>
  <c r="J9" i="13"/>
  <c r="D37" i="8"/>
  <c r="D17" i="17" s="1"/>
  <c r="D18" i="17" s="1"/>
  <c r="C53" i="9"/>
  <c r="I42" i="10"/>
  <c r="D20" i="19" s="1"/>
  <c r="E20" i="2"/>
  <c r="E44" i="19"/>
  <c r="B44" i="19" s="1"/>
  <c r="D7" i="2"/>
  <c r="J7" i="2"/>
  <c r="N9" i="17"/>
  <c r="C43" i="19"/>
  <c r="E43" i="19" s="1"/>
  <c r="B43" i="19" s="1"/>
  <c r="C46" i="19"/>
  <c r="E46" i="19" s="1"/>
  <c r="B46" i="19" s="1"/>
  <c r="C49" i="19"/>
  <c r="O7" i="7"/>
  <c r="AA7" i="7"/>
  <c r="AM7" i="7"/>
  <c r="J29" i="7"/>
  <c r="AB29" i="7"/>
  <c r="AN29" i="7"/>
  <c r="J8" i="8"/>
  <c r="L13" i="8"/>
  <c r="J32" i="8"/>
  <c r="J37" i="8" s="1"/>
  <c r="J17" i="17" s="1"/>
  <c r="J18" i="17" s="1"/>
  <c r="C7" i="19"/>
  <c r="E7" i="19" s="1"/>
  <c r="B7" i="19" s="1"/>
  <c r="C52" i="9"/>
  <c r="C19" i="19"/>
  <c r="E19" i="19" s="1"/>
  <c r="B19" i="19" s="1"/>
  <c r="I52" i="9"/>
  <c r="P30" i="9"/>
  <c r="E51" i="9"/>
  <c r="K51" i="9"/>
  <c r="H20" i="10"/>
  <c r="H35" i="10"/>
  <c r="C23" i="13"/>
  <c r="I23" i="13"/>
  <c r="D9" i="13"/>
  <c r="D15" i="13"/>
  <c r="C24" i="19"/>
  <c r="L40" i="10"/>
  <c r="L39" i="10" s="1"/>
  <c r="L38" i="10" s="1"/>
  <c r="K20" i="2"/>
  <c r="E7" i="2"/>
  <c r="K7" i="2"/>
  <c r="O9" i="17"/>
  <c r="D7" i="7"/>
  <c r="G29" i="7"/>
  <c r="M29" i="7"/>
  <c r="S29" i="7"/>
  <c r="Y29" i="7"/>
  <c r="AE29" i="7"/>
  <c r="AK29" i="7"/>
  <c r="AQ29" i="7"/>
  <c r="C13" i="8"/>
  <c r="C11" i="8"/>
  <c r="C12" i="2" s="1"/>
  <c r="M16" i="8"/>
  <c r="M14" i="8"/>
  <c r="M13" i="2" s="1"/>
  <c r="L31" i="8"/>
  <c r="H37" i="8"/>
  <c r="H17" i="17" s="1"/>
  <c r="H18" i="17" s="1"/>
  <c r="F51" i="9"/>
  <c r="L51" i="9"/>
  <c r="E44" i="10"/>
  <c r="E20" i="10"/>
  <c r="K44" i="10"/>
  <c r="K20" i="10"/>
  <c r="I20" i="10"/>
  <c r="C35" i="10"/>
  <c r="I35" i="10"/>
  <c r="C42" i="10"/>
  <c r="D8" i="19" s="1"/>
  <c r="E8" i="19" s="1"/>
  <c r="B8" i="19" s="1"/>
  <c r="O10" i="13"/>
  <c r="O16" i="13"/>
  <c r="C30" i="13"/>
  <c r="C39" i="13"/>
  <c r="I30" i="13"/>
  <c r="I39" i="13"/>
  <c r="D42" i="19"/>
  <c r="D41" i="13"/>
  <c r="D31" i="12"/>
  <c r="D12" i="14"/>
  <c r="D8" i="14"/>
  <c r="D24" i="13"/>
  <c r="D20" i="14"/>
  <c r="D21" i="14"/>
  <c r="D10" i="14"/>
  <c r="P31" i="10"/>
  <c r="P10" i="10"/>
  <c r="C12" i="19"/>
  <c r="F40" i="10"/>
  <c r="F39" i="10" s="1"/>
  <c r="F38" i="10" s="1"/>
  <c r="N29" i="12"/>
  <c r="D7" i="11"/>
  <c r="C16" i="2"/>
  <c r="I16" i="2"/>
  <c r="Q27" i="2"/>
  <c r="P9" i="17"/>
  <c r="C42" i="19"/>
  <c r="C45" i="19"/>
  <c r="C48" i="19"/>
  <c r="C51" i="19"/>
  <c r="K7" i="7"/>
  <c r="W7" i="7"/>
  <c r="AI7" i="7"/>
  <c r="AU7" i="7"/>
  <c r="Z29" i="7"/>
  <c r="AF29" i="7"/>
  <c r="AL29" i="7"/>
  <c r="AR29" i="7"/>
  <c r="D10" i="8"/>
  <c r="G20" i="10"/>
  <c r="G18" i="10"/>
  <c r="M20" i="10"/>
  <c r="M18" i="10"/>
  <c r="C37" i="8"/>
  <c r="C17" i="17" s="1"/>
  <c r="C18" i="17" s="1"/>
  <c r="I37" i="8"/>
  <c r="I17" i="17" s="1"/>
  <c r="I18" i="17" s="1"/>
  <c r="E18" i="10"/>
  <c r="O10" i="10"/>
  <c r="F44" i="10"/>
  <c r="F20" i="10"/>
  <c r="L44" i="10"/>
  <c r="L20" i="10"/>
  <c r="Q31" i="10"/>
  <c r="E37" i="10"/>
  <c r="E39" i="10"/>
  <c r="C20" i="11"/>
  <c r="N29" i="10" s="1"/>
  <c r="C22" i="11"/>
  <c r="N22" i="8" s="1"/>
  <c r="D11" i="13"/>
  <c r="D17" i="13"/>
  <c r="P35" i="13"/>
  <c r="D45" i="19"/>
  <c r="G41" i="13"/>
  <c r="G24" i="13"/>
  <c r="G38" i="13"/>
  <c r="G32" i="13"/>
  <c r="G36" i="13"/>
  <c r="G30" i="13"/>
  <c r="G31" i="12"/>
  <c r="D51" i="19"/>
  <c r="M24" i="13"/>
  <c r="M41" i="13"/>
  <c r="M20" i="14"/>
  <c r="M12" i="14"/>
  <c r="M10" i="14"/>
  <c r="M8" i="14"/>
  <c r="M34" i="13"/>
  <c r="M38" i="13"/>
  <c r="M32" i="13"/>
  <c r="M31" i="12"/>
  <c r="H11" i="8"/>
  <c r="H12" i="2" s="1"/>
  <c r="H31" i="8"/>
  <c r="Q32" i="8"/>
  <c r="H33" i="8"/>
  <c r="H8" i="17" s="1"/>
  <c r="H9" i="17" s="1"/>
  <c r="E10" i="17"/>
  <c r="K10" i="17"/>
  <c r="E9" i="19"/>
  <c r="B9" i="19" s="1"/>
  <c r="E21" i="19"/>
  <c r="B21" i="19" s="1"/>
  <c r="D11" i="17"/>
  <c r="J11" i="17"/>
  <c r="G52" i="9"/>
  <c r="M52" i="9"/>
  <c r="D20" i="10"/>
  <c r="J20" i="10"/>
  <c r="G37" i="10"/>
  <c r="M37" i="10"/>
  <c r="D40" i="10"/>
  <c r="D39" i="10" s="1"/>
  <c r="D38" i="10" s="1"/>
  <c r="J40" i="10"/>
  <c r="J39" i="10" s="1"/>
  <c r="J38" i="10" s="1"/>
  <c r="E16" i="19"/>
  <c r="B16" i="19" s="1"/>
  <c r="D44" i="10"/>
  <c r="J44" i="10"/>
  <c r="N21" i="15"/>
  <c r="N17" i="12"/>
  <c r="N19" i="12" s="1"/>
  <c r="D30" i="13"/>
  <c r="D39" i="13"/>
  <c r="J30" i="13"/>
  <c r="J39" i="13"/>
  <c r="M30" i="13"/>
  <c r="E34" i="13"/>
  <c r="K34" i="13"/>
  <c r="G34" i="13"/>
  <c r="E39" i="13"/>
  <c r="M21" i="14"/>
  <c r="F20" i="14"/>
  <c r="M14" i="15"/>
  <c r="M19" i="15" s="1"/>
  <c r="D46" i="19"/>
  <c r="H24" i="13"/>
  <c r="H21" i="14"/>
  <c r="H36" i="13"/>
  <c r="H30" i="13"/>
  <c r="H31" i="12"/>
  <c r="H34" i="13"/>
  <c r="E11" i="17"/>
  <c r="E12" i="17" s="1"/>
  <c r="K11" i="17"/>
  <c r="K12" i="17" s="1"/>
  <c r="E53" i="9"/>
  <c r="K53" i="9"/>
  <c r="E40" i="10"/>
  <c r="E18" i="19"/>
  <c r="B18" i="19" s="1"/>
  <c r="E42" i="10"/>
  <c r="D12" i="19" s="1"/>
  <c r="K42" i="10"/>
  <c r="D24" i="19" s="1"/>
  <c r="H43" i="10"/>
  <c r="N10" i="12"/>
  <c r="C21" i="11"/>
  <c r="N19" i="16"/>
  <c r="N28" i="12"/>
  <c r="N21" i="16" s="1"/>
  <c r="N25" i="2" s="1"/>
  <c r="N26" i="12"/>
  <c r="O21" i="15"/>
  <c r="O17" i="12"/>
  <c r="O19" i="12" s="1"/>
  <c r="P15" i="12"/>
  <c r="P31" i="13"/>
  <c r="C36" i="13"/>
  <c r="I36" i="13"/>
  <c r="G20" i="14"/>
  <c r="F14" i="15"/>
  <c r="L14" i="15"/>
  <c r="D41" i="19"/>
  <c r="E41" i="19" s="1"/>
  <c r="B41" i="19" s="1"/>
  <c r="C41" i="13"/>
  <c r="C31" i="12"/>
  <c r="C34" i="12" s="1"/>
  <c r="C24" i="13"/>
  <c r="D47" i="19"/>
  <c r="E47" i="19" s="1"/>
  <c r="B47" i="19" s="1"/>
  <c r="I31" i="12"/>
  <c r="I41" i="13"/>
  <c r="G10" i="8"/>
  <c r="M10" i="8"/>
  <c r="F11" i="17"/>
  <c r="F12" i="17" s="1"/>
  <c r="L11" i="17"/>
  <c r="L12" i="17" s="1"/>
  <c r="F53" i="9"/>
  <c r="L53" i="9"/>
  <c r="E20" i="19"/>
  <c r="B20" i="19" s="1"/>
  <c r="F42" i="10"/>
  <c r="D14" i="19" s="1"/>
  <c r="L42" i="10"/>
  <c r="I43" i="10"/>
  <c r="D17" i="11"/>
  <c r="N24" i="12"/>
  <c r="N20" i="16" s="1"/>
  <c r="E20" i="15"/>
  <c r="E15" i="16"/>
  <c r="E19" i="15"/>
  <c r="E35" i="12"/>
  <c r="K20" i="15"/>
  <c r="K15" i="16"/>
  <c r="K35" i="12"/>
  <c r="H32" i="13"/>
  <c r="D36" i="13"/>
  <c r="J36" i="13"/>
  <c r="M36" i="13"/>
  <c r="H10" i="17"/>
  <c r="E15" i="19"/>
  <c r="B15" i="19" s="1"/>
  <c r="E27" i="19"/>
  <c r="B27" i="19" s="1"/>
  <c r="D52" i="9"/>
  <c r="J52" i="9"/>
  <c r="G53" i="9"/>
  <c r="M53" i="9"/>
  <c r="E10" i="19"/>
  <c r="B10" i="19" s="1"/>
  <c r="E22" i="19"/>
  <c r="B22" i="19" s="1"/>
  <c r="G42" i="10"/>
  <c r="D16" i="19" s="1"/>
  <c r="M42" i="10"/>
  <c r="D28" i="19" s="1"/>
  <c r="E28" i="19" s="1"/>
  <c r="B28" i="19" s="1"/>
  <c r="D43" i="10"/>
  <c r="J43" i="10"/>
  <c r="F20" i="15"/>
  <c r="F15" i="16"/>
  <c r="F19" i="15"/>
  <c r="L20" i="15"/>
  <c r="L15" i="16"/>
  <c r="L19" i="15"/>
  <c r="L35" i="12"/>
  <c r="G9" i="13"/>
  <c r="M9" i="13"/>
  <c r="G11" i="13"/>
  <c r="M11" i="13"/>
  <c r="G13" i="13"/>
  <c r="M13" i="13"/>
  <c r="G15" i="13"/>
  <c r="M15" i="13"/>
  <c r="G17" i="13"/>
  <c r="M17" i="13"/>
  <c r="G19" i="13"/>
  <c r="M19" i="13"/>
  <c r="G21" i="13"/>
  <c r="M21" i="13"/>
  <c r="O37" i="13"/>
  <c r="G21" i="14"/>
  <c r="K24" i="15"/>
  <c r="M20" i="15"/>
  <c r="M15" i="16"/>
  <c r="C22" i="13"/>
  <c r="I22" i="13"/>
  <c r="I25" i="13" s="1"/>
  <c r="E30" i="13"/>
  <c r="K30" i="13"/>
  <c r="C32" i="13"/>
  <c r="I32" i="13"/>
  <c r="E36" i="13"/>
  <c r="K36" i="13"/>
  <c r="C38" i="13"/>
  <c r="I38" i="13"/>
  <c r="G8" i="14"/>
  <c r="J10" i="14"/>
  <c r="G12" i="14"/>
  <c r="O11" i="14"/>
  <c r="C21" i="14"/>
  <c r="I21" i="14"/>
  <c r="G14" i="15"/>
  <c r="G19" i="15" s="1"/>
  <c r="H14" i="15"/>
  <c r="G20" i="15"/>
  <c r="F24" i="15"/>
  <c r="L24" i="15"/>
  <c r="E22" i="15"/>
  <c r="K22" i="15"/>
  <c r="H15" i="16"/>
  <c r="H19" i="15"/>
  <c r="H20" i="15"/>
  <c r="D32" i="13"/>
  <c r="J32" i="13"/>
  <c r="D38" i="13"/>
  <c r="J38" i="13"/>
  <c r="K39" i="13"/>
  <c r="C20" i="14"/>
  <c r="I20" i="14"/>
  <c r="F22" i="15"/>
  <c r="L22" i="15"/>
  <c r="C15" i="16"/>
  <c r="C19" i="15"/>
  <c r="C20" i="15"/>
  <c r="I15" i="16"/>
  <c r="I19" i="15"/>
  <c r="I20" i="15"/>
  <c r="D35" i="12"/>
  <c r="J35" i="12"/>
  <c r="N23" i="16"/>
  <c r="N39" i="13"/>
  <c r="E32" i="13"/>
  <c r="K32" i="13"/>
  <c r="C34" i="13"/>
  <c r="I34" i="13"/>
  <c r="E38" i="13"/>
  <c r="K38" i="13"/>
  <c r="O14" i="14"/>
  <c r="N16" i="14"/>
  <c r="N15" i="14"/>
  <c r="E21" i="14"/>
  <c r="K21" i="14"/>
  <c r="J20" i="14"/>
  <c r="J19" i="14"/>
  <c r="P17" i="14"/>
  <c r="G15" i="16"/>
  <c r="D15" i="16"/>
  <c r="D19" i="15"/>
  <c r="O29" i="13"/>
  <c r="D34" i="13"/>
  <c r="J34" i="13"/>
  <c r="Q33" i="13"/>
  <c r="J8" i="14"/>
  <c r="J13" i="14"/>
  <c r="G10" i="14"/>
  <c r="O9" i="14"/>
  <c r="J12" i="14"/>
  <c r="F21" i="14"/>
  <c r="L21" i="14"/>
  <c r="E20" i="14"/>
  <c r="J15" i="16"/>
  <c r="Q19" i="14"/>
  <c r="C68" i="19" s="1"/>
  <c r="E68" i="19" s="1"/>
  <c r="B68" i="19" s="1"/>
  <c r="J11" i="16"/>
  <c r="C16" i="14"/>
  <c r="I16" i="14"/>
  <c r="C19" i="14"/>
  <c r="M19" i="14"/>
  <c r="K16" i="16"/>
  <c r="K11" i="16"/>
  <c r="M39" i="13"/>
  <c r="H8" i="14"/>
  <c r="N7" i="14"/>
  <c r="H10" i="14"/>
  <c r="H12" i="14"/>
  <c r="F16" i="16"/>
  <c r="C8" i="14"/>
  <c r="I8" i="14"/>
  <c r="C10" i="14"/>
  <c r="I10" i="14"/>
  <c r="C12" i="14"/>
  <c r="I12" i="14"/>
  <c r="C13" i="14"/>
  <c r="H20" i="14"/>
  <c r="E14" i="15"/>
  <c r="K14" i="15"/>
  <c r="K19" i="15" s="1"/>
  <c r="M16" i="16"/>
  <c r="F11" i="16"/>
  <c r="E19" i="14"/>
  <c r="K19" i="14"/>
  <c r="F19" i="14"/>
  <c r="L19" i="14"/>
  <c r="H36" i="12" l="1"/>
  <c r="H34" i="12"/>
  <c r="J45" i="10"/>
  <c r="J19" i="2"/>
  <c r="M17" i="16"/>
  <c r="M18" i="16" s="1"/>
  <c r="M8" i="2"/>
  <c r="P9" i="14"/>
  <c r="P11" i="14"/>
  <c r="E40" i="13"/>
  <c r="I36" i="12"/>
  <c r="I34" i="12"/>
  <c r="Q31" i="13"/>
  <c r="D55" i="19"/>
  <c r="N42" i="9"/>
  <c r="H40" i="13"/>
  <c r="H42" i="13" s="1"/>
  <c r="D40" i="13"/>
  <c r="D45" i="10"/>
  <c r="D19" i="2"/>
  <c r="G34" i="12"/>
  <c r="G36" i="12"/>
  <c r="E48" i="19"/>
  <c r="B48" i="19" s="1"/>
  <c r="P16" i="13"/>
  <c r="E19" i="2"/>
  <c r="E45" i="10"/>
  <c r="M15" i="17"/>
  <c r="M16" i="17" s="1"/>
  <c r="M29" i="2" s="1"/>
  <c r="M14" i="2"/>
  <c r="M17" i="8"/>
  <c r="M19" i="8"/>
  <c r="M20" i="8" s="1"/>
  <c r="M15" i="2" s="1"/>
  <c r="Q30" i="9"/>
  <c r="J23" i="13"/>
  <c r="J25" i="13" s="1"/>
  <c r="P20" i="13"/>
  <c r="D12" i="17"/>
  <c r="L40" i="13"/>
  <c r="L42" i="13" s="1"/>
  <c r="F17" i="16"/>
  <c r="F18" i="16" s="1"/>
  <c r="F8" i="2"/>
  <c r="K34" i="12"/>
  <c r="K36" i="12"/>
  <c r="E17" i="16"/>
  <c r="E18" i="16" s="1"/>
  <c r="E8" i="2"/>
  <c r="P18" i="13"/>
  <c r="K40" i="13"/>
  <c r="F19" i="2"/>
  <c r="F45" i="10"/>
  <c r="C40" i="13"/>
  <c r="K11" i="8"/>
  <c r="K12" i="2" s="1"/>
  <c r="K12" i="8"/>
  <c r="O7" i="14"/>
  <c r="N13" i="14"/>
  <c r="N22" i="16"/>
  <c r="N26" i="2"/>
  <c r="N23" i="15"/>
  <c r="N12" i="12"/>
  <c r="N14" i="12" s="1"/>
  <c r="N33" i="12" s="1"/>
  <c r="O10" i="12"/>
  <c r="N10" i="2"/>
  <c r="M43" i="10"/>
  <c r="M34" i="12"/>
  <c r="M36" i="12"/>
  <c r="G40" i="13"/>
  <c r="G42" i="13" s="1"/>
  <c r="N31" i="10"/>
  <c r="N10" i="10"/>
  <c r="E45" i="19"/>
  <c r="B45" i="19" s="1"/>
  <c r="E12" i="19"/>
  <c r="B12" i="19" s="1"/>
  <c r="D25" i="19"/>
  <c r="E25" i="19" s="1"/>
  <c r="B25" i="19" s="1"/>
  <c r="L52" i="9"/>
  <c r="E24" i="19"/>
  <c r="B24" i="19" s="1"/>
  <c r="H25" i="13"/>
  <c r="L34" i="12"/>
  <c r="L36" i="12"/>
  <c r="F11" i="8"/>
  <c r="F12" i="2" s="1"/>
  <c r="F13" i="8"/>
  <c r="Q40" i="9"/>
  <c r="Q34" i="10" s="1"/>
  <c r="K23" i="13"/>
  <c r="K25" i="13" s="1"/>
  <c r="E13" i="8"/>
  <c r="E11" i="8"/>
  <c r="E12" i="2" s="1"/>
  <c r="J14" i="8"/>
  <c r="J13" i="2" s="1"/>
  <c r="J16" i="8"/>
  <c r="P17" i="12"/>
  <c r="P19" i="12" s="1"/>
  <c r="Q15" i="12"/>
  <c r="P21" i="15"/>
  <c r="P11" i="2"/>
  <c r="D42" i="13"/>
  <c r="P8" i="13"/>
  <c r="O22" i="13"/>
  <c r="O23" i="16"/>
  <c r="O39" i="13"/>
  <c r="P29" i="13"/>
  <c r="C25" i="13"/>
  <c r="P37" i="13"/>
  <c r="E17" i="11"/>
  <c r="D21" i="11"/>
  <c r="O21" i="2"/>
  <c r="M40" i="13"/>
  <c r="G43" i="10"/>
  <c r="Q35" i="13"/>
  <c r="D13" i="8"/>
  <c r="D11" i="8"/>
  <c r="D12" i="2" s="1"/>
  <c r="E42" i="19"/>
  <c r="B42" i="19" s="1"/>
  <c r="P10" i="13"/>
  <c r="D13" i="19"/>
  <c r="E13" i="19" s="1"/>
  <c r="B13" i="19" s="1"/>
  <c r="F52" i="9"/>
  <c r="C14" i="8"/>
  <c r="C13" i="2" s="1"/>
  <c r="C16" i="8"/>
  <c r="L16" i="8"/>
  <c r="L14" i="8"/>
  <c r="L13" i="2" s="1"/>
  <c r="P14" i="13"/>
  <c r="L17" i="16"/>
  <c r="L18" i="16" s="1"/>
  <c r="L8" i="2"/>
  <c r="F34" i="12"/>
  <c r="F36" i="12"/>
  <c r="K9" i="8"/>
  <c r="E34" i="12"/>
  <c r="E36" i="12"/>
  <c r="P12" i="13"/>
  <c r="P29" i="12"/>
  <c r="F7" i="11"/>
  <c r="F8" i="11"/>
  <c r="Q29" i="12" s="1"/>
  <c r="D26" i="19"/>
  <c r="E26" i="19" s="1"/>
  <c r="B26" i="19" s="1"/>
  <c r="L43" i="10"/>
  <c r="E51" i="19"/>
  <c r="B51" i="19" s="1"/>
  <c r="M42" i="13"/>
  <c r="P19" i="14"/>
  <c r="C63" i="19" s="1"/>
  <c r="E63" i="19" s="1"/>
  <c r="B63" i="19" s="1"/>
  <c r="M23" i="13"/>
  <c r="M25" i="13" s="1"/>
  <c r="M12" i="8"/>
  <c r="M9" i="8"/>
  <c r="M11" i="8"/>
  <c r="M12" i="2" s="1"/>
  <c r="E42" i="13"/>
  <c r="H12" i="17"/>
  <c r="H16" i="17" s="1"/>
  <c r="H29" i="2" s="1"/>
  <c r="K43" i="10"/>
  <c r="L19" i="2"/>
  <c r="L45" i="10"/>
  <c r="I40" i="13"/>
  <c r="I42" i="13" s="1"/>
  <c r="D23" i="13"/>
  <c r="D25" i="13" s="1"/>
  <c r="D23" i="19"/>
  <c r="E23" i="19" s="1"/>
  <c r="B23" i="19" s="1"/>
  <c r="K52" i="9"/>
  <c r="J17" i="16"/>
  <c r="J18" i="16" s="1"/>
  <c r="J8" i="2"/>
  <c r="J34" i="12"/>
  <c r="J36" i="12"/>
  <c r="L12" i="8"/>
  <c r="L11" i="8"/>
  <c r="L12" i="2" s="1"/>
  <c r="L23" i="13"/>
  <c r="L25" i="13" s="1"/>
  <c r="G17" i="16"/>
  <c r="G18" i="16" s="1"/>
  <c r="G8" i="2"/>
  <c r="I16" i="8"/>
  <c r="I14" i="8"/>
  <c r="I13" i="2" s="1"/>
  <c r="K16" i="8"/>
  <c r="K14" i="8"/>
  <c r="K13" i="2" s="1"/>
  <c r="G38" i="10"/>
  <c r="E23" i="13"/>
  <c r="E25" i="13" s="1"/>
  <c r="H15" i="17"/>
  <c r="H19" i="8"/>
  <c r="H20" i="8" s="1"/>
  <c r="H15" i="2" s="1"/>
  <c r="H17" i="8"/>
  <c r="H14" i="2"/>
  <c r="O15" i="14"/>
  <c r="O16" i="14" s="1"/>
  <c r="P14" i="14"/>
  <c r="K42" i="13"/>
  <c r="G23" i="13"/>
  <c r="G25" i="13" s="1"/>
  <c r="C43" i="10"/>
  <c r="G11" i="8"/>
  <c r="G12" i="2" s="1"/>
  <c r="G13" i="8"/>
  <c r="J40" i="13"/>
  <c r="J42" i="13" s="1"/>
  <c r="N22" i="15"/>
  <c r="E38" i="10"/>
  <c r="D34" i="12"/>
  <c r="D36" i="12"/>
  <c r="C42" i="13"/>
  <c r="F43" i="10"/>
  <c r="K19" i="2"/>
  <c r="K45" i="10"/>
  <c r="D11" i="19"/>
  <c r="E11" i="19" s="1"/>
  <c r="B11" i="19" s="1"/>
  <c r="E52" i="9"/>
  <c r="E49" i="19"/>
  <c r="B49" i="19" s="1"/>
  <c r="J12" i="17"/>
  <c r="F23" i="13"/>
  <c r="F25" i="13" s="1"/>
  <c r="M38" i="10"/>
  <c r="K17" i="16"/>
  <c r="K18" i="16" s="1"/>
  <c r="K8" i="2"/>
  <c r="E14" i="19"/>
  <c r="B14" i="19" s="1"/>
  <c r="D17" i="16"/>
  <c r="D18" i="16" s="1"/>
  <c r="D8" i="2"/>
  <c r="Q11" i="14" l="1"/>
  <c r="Q12" i="13"/>
  <c r="L15" i="17"/>
  <c r="L16" i="17" s="1"/>
  <c r="L29" i="2" s="1"/>
  <c r="L19" i="8"/>
  <c r="L20" i="8" s="1"/>
  <c r="L15" i="2" s="1"/>
  <c r="L17" i="8"/>
  <c r="L14" i="2"/>
  <c r="Q37" i="13"/>
  <c r="C15" i="17"/>
  <c r="C16" i="17" s="1"/>
  <c r="C29" i="2" s="1"/>
  <c r="C19" i="8"/>
  <c r="C20" i="8" s="1"/>
  <c r="C15" i="2" s="1"/>
  <c r="C17" i="8"/>
  <c r="C14" i="2"/>
  <c r="P15" i="14"/>
  <c r="Q14" i="14"/>
  <c r="P16" i="14"/>
  <c r="I15" i="17"/>
  <c r="I16" i="17" s="1"/>
  <c r="I29" i="2" s="1"/>
  <c r="I19" i="8"/>
  <c r="I20" i="8" s="1"/>
  <c r="I15" i="2" s="1"/>
  <c r="I17" i="8"/>
  <c r="I14" i="2"/>
  <c r="F16" i="8"/>
  <c r="F14" i="8"/>
  <c r="F13" i="2" s="1"/>
  <c r="O23" i="15"/>
  <c r="O12" i="12"/>
  <c r="O14" i="12" s="1"/>
  <c r="P10" i="12"/>
  <c r="O10" i="2"/>
  <c r="Q16" i="13"/>
  <c r="K15" i="17"/>
  <c r="K16" i="17" s="1"/>
  <c r="K29" i="2" s="1"/>
  <c r="K19" i="8"/>
  <c r="K20" i="8" s="1"/>
  <c r="K15" i="2" s="1"/>
  <c r="K17" i="8"/>
  <c r="K14" i="2"/>
  <c r="Q14" i="13"/>
  <c r="P23" i="16"/>
  <c r="P39" i="13"/>
  <c r="Q29" i="13"/>
  <c r="Q8" i="13"/>
  <c r="P22" i="13"/>
  <c r="Q21" i="15"/>
  <c r="Q17" i="12"/>
  <c r="Q19" i="12" s="1"/>
  <c r="Q11" i="2"/>
  <c r="E16" i="8"/>
  <c r="E14" i="8"/>
  <c r="E13" i="2" s="1"/>
  <c r="N31" i="12"/>
  <c r="N35" i="12"/>
  <c r="O7" i="12"/>
  <c r="O9" i="12" s="1"/>
  <c r="N9" i="2"/>
  <c r="O13" i="14"/>
  <c r="P7" i="14"/>
  <c r="Q20" i="13"/>
  <c r="Q9" i="14"/>
  <c r="G16" i="8"/>
  <c r="G14" i="8"/>
  <c r="G13" i="2" s="1"/>
  <c r="D16" i="8"/>
  <c r="D14" i="8"/>
  <c r="D13" i="2" s="1"/>
  <c r="D60" i="19"/>
  <c r="O42" i="9"/>
  <c r="N24" i="15"/>
  <c r="J16" i="17"/>
  <c r="J29" i="2" s="1"/>
  <c r="Q10" i="13"/>
  <c r="E21" i="11"/>
  <c r="F17" i="11"/>
  <c r="P21" i="2"/>
  <c r="J15" i="17"/>
  <c r="J19" i="8"/>
  <c r="J20" i="8" s="1"/>
  <c r="J15" i="2" s="1"/>
  <c r="J17" i="8"/>
  <c r="J14" i="2"/>
  <c r="Q18" i="13"/>
  <c r="C55" i="19"/>
  <c r="E55" i="19" s="1"/>
  <c r="B55" i="19" s="1"/>
  <c r="Q7" i="14" l="1"/>
  <c r="P13" i="14"/>
  <c r="E15" i="17"/>
  <c r="E16" i="17" s="1"/>
  <c r="E29" i="2" s="1"/>
  <c r="E19" i="8"/>
  <c r="E20" i="8" s="1"/>
  <c r="E15" i="2" s="1"/>
  <c r="E17" i="8"/>
  <c r="E14" i="2"/>
  <c r="Q22" i="13"/>
  <c r="F21" i="11"/>
  <c r="Q21" i="2"/>
  <c r="C52" i="19"/>
  <c r="N36" i="12"/>
  <c r="N7" i="8"/>
  <c r="N32" i="12"/>
  <c r="D65" i="19"/>
  <c r="P42" i="9"/>
  <c r="G15" i="17"/>
  <c r="G16" i="17" s="1"/>
  <c r="G29" i="2" s="1"/>
  <c r="G17" i="8"/>
  <c r="G19" i="8"/>
  <c r="G20" i="8" s="1"/>
  <c r="G15" i="2" s="1"/>
  <c r="G14" i="2"/>
  <c r="Q23" i="16"/>
  <c r="Q39" i="13"/>
  <c r="F15" i="17"/>
  <c r="F16" i="17" s="1"/>
  <c r="F29" i="2" s="1"/>
  <c r="F17" i="8"/>
  <c r="F19" i="8"/>
  <c r="F20" i="8" s="1"/>
  <c r="F15" i="2" s="1"/>
  <c r="F14" i="2"/>
  <c r="C60" i="19"/>
  <c r="E60" i="19" s="1"/>
  <c r="B60" i="19" s="1"/>
  <c r="P23" i="15"/>
  <c r="P12" i="12"/>
  <c r="P14" i="12" s="1"/>
  <c r="Q10" i="12"/>
  <c r="P10" i="2"/>
  <c r="Q15" i="14"/>
  <c r="Q16" i="14"/>
  <c r="D15" i="17"/>
  <c r="D16" i="17" s="1"/>
  <c r="D29" i="2" s="1"/>
  <c r="D19" i="8"/>
  <c r="D20" i="8" s="1"/>
  <c r="D15" i="2" s="1"/>
  <c r="D17" i="8"/>
  <c r="D14" i="2"/>
  <c r="O19" i="16"/>
  <c r="O28" i="12"/>
  <c r="O21" i="16" s="1"/>
  <c r="O25" i="2" s="1"/>
  <c r="O26" i="12"/>
  <c r="O24" i="12"/>
  <c r="O20" i="16" s="1"/>
  <c r="O21" i="12"/>
  <c r="O33" i="12" s="1"/>
  <c r="O31" i="12" l="1"/>
  <c r="O35" i="12"/>
  <c r="P7" i="12"/>
  <c r="P9" i="12" s="1"/>
  <c r="O9" i="2"/>
  <c r="O22" i="15"/>
  <c r="O24" i="15"/>
  <c r="E52" i="19"/>
  <c r="B52" i="19" s="1"/>
  <c r="O22" i="16"/>
  <c r="O26" i="2"/>
  <c r="C65" i="19"/>
  <c r="E65" i="19" s="1"/>
  <c r="B65" i="19" s="1"/>
  <c r="Q23" i="15"/>
  <c r="Q12" i="12"/>
  <c r="Q14" i="12" s="1"/>
  <c r="Q10" i="2"/>
  <c r="D70" i="19"/>
  <c r="Q42" i="9"/>
  <c r="D52" i="19"/>
  <c r="N24" i="13"/>
  <c r="N41" i="13"/>
  <c r="N21" i="14"/>
  <c r="N36" i="13"/>
  <c r="N15" i="9"/>
  <c r="N14" i="10" s="1"/>
  <c r="N13" i="9"/>
  <c r="N7" i="9"/>
  <c r="N18" i="8"/>
  <c r="N8" i="10" s="1"/>
  <c r="N12" i="8"/>
  <c r="N10" i="8"/>
  <c r="N8" i="8"/>
  <c r="N30" i="13"/>
  <c r="N21" i="10"/>
  <c r="N26" i="10" s="1"/>
  <c r="N44" i="9"/>
  <c r="N17" i="10" s="1"/>
  <c r="N26" i="9"/>
  <c r="N20" i="9"/>
  <c r="N12" i="10" s="1"/>
  <c r="N18" i="9"/>
  <c r="N21" i="8"/>
  <c r="N15" i="8"/>
  <c r="N9" i="10" s="1"/>
  <c r="N7" i="2"/>
  <c r="N39" i="9"/>
  <c r="N41" i="9" s="1"/>
  <c r="N45" i="9"/>
  <c r="N16" i="10" s="1"/>
  <c r="N23" i="9"/>
  <c r="N23" i="10" s="1"/>
  <c r="N43" i="9"/>
  <c r="N47" i="9"/>
  <c r="N15" i="10" s="1"/>
  <c r="N20" i="14"/>
  <c r="N13" i="13"/>
  <c r="N15" i="13"/>
  <c r="N11" i="13"/>
  <c r="N38" i="13"/>
  <c r="N19" i="13"/>
  <c r="N21" i="13"/>
  <c r="N17" i="13"/>
  <c r="N32" i="13"/>
  <c r="N34" i="13"/>
  <c r="N12" i="14"/>
  <c r="N10" i="14"/>
  <c r="N9" i="13"/>
  <c r="N8" i="14"/>
  <c r="Q13" i="14"/>
  <c r="N23" i="13" l="1"/>
  <c r="N25" i="13" s="1"/>
  <c r="C57" i="19"/>
  <c r="O36" i="12"/>
  <c r="O7" i="8"/>
  <c r="O32" i="12"/>
  <c r="N13" i="8"/>
  <c r="N11" i="8"/>
  <c r="N12" i="2" s="1"/>
  <c r="N9" i="8"/>
  <c r="C70" i="19"/>
  <c r="E70" i="19" s="1"/>
  <c r="B70" i="19" s="1"/>
  <c r="O30" i="10"/>
  <c r="O43" i="9"/>
  <c r="N49" i="9"/>
  <c r="N11" i="17"/>
  <c r="N40" i="13"/>
  <c r="N42" i="13" s="1"/>
  <c r="N11" i="9"/>
  <c r="N16" i="9" s="1"/>
  <c r="N50" i="9"/>
  <c r="N13" i="10"/>
  <c r="N17" i="16"/>
  <c r="N10" i="15"/>
  <c r="N8" i="2"/>
  <c r="N9" i="15"/>
  <c r="N7" i="15"/>
  <c r="N13" i="15"/>
  <c r="N12" i="15"/>
  <c r="N18" i="15"/>
  <c r="N11" i="15"/>
  <c r="N8" i="15"/>
  <c r="N7" i="16"/>
  <c r="N11" i="10"/>
  <c r="P19" i="16"/>
  <c r="P33" i="12"/>
  <c r="P26" i="12"/>
  <c r="P24" i="12"/>
  <c r="P20" i="16" s="1"/>
  <c r="P21" i="12"/>
  <c r="P28" i="12"/>
  <c r="P21" i="16" s="1"/>
  <c r="P25" i="2" s="1"/>
  <c r="P31" i="12" l="1"/>
  <c r="P35" i="12"/>
  <c r="Q7" i="12"/>
  <c r="Q9" i="12" s="1"/>
  <c r="P9" i="2"/>
  <c r="P22" i="15"/>
  <c r="P24" i="15"/>
  <c r="O12" i="15"/>
  <c r="O13" i="15"/>
  <c r="N20" i="15"/>
  <c r="D57" i="19"/>
  <c r="O41" i="13"/>
  <c r="O21" i="14"/>
  <c r="O24" i="13"/>
  <c r="O21" i="10"/>
  <c r="O44" i="9"/>
  <c r="O17" i="10" s="1"/>
  <c r="O26" i="9"/>
  <c r="O20" i="9"/>
  <c r="O12" i="10" s="1"/>
  <c r="O18" i="9"/>
  <c r="O21" i="8"/>
  <c r="O15" i="8"/>
  <c r="O9" i="10" s="1"/>
  <c r="O45" i="9"/>
  <c r="O16" i="10" s="1"/>
  <c r="O23" i="9"/>
  <c r="O23" i="10" s="1"/>
  <c r="O12" i="8"/>
  <c r="O8" i="8"/>
  <c r="O47" i="9"/>
  <c r="O15" i="10" s="1"/>
  <c r="O13" i="9"/>
  <c r="O11" i="10" s="1"/>
  <c r="O10" i="8"/>
  <c r="O7" i="2"/>
  <c r="O39" i="9"/>
  <c r="O41" i="9" s="1"/>
  <c r="O15" i="9"/>
  <c r="O18" i="8"/>
  <c r="O36" i="13"/>
  <c r="O32" i="13"/>
  <c r="O34" i="13"/>
  <c r="O20" i="14"/>
  <c r="O30" i="13"/>
  <c r="O10" i="14"/>
  <c r="O21" i="13"/>
  <c r="O9" i="13"/>
  <c r="O15" i="13"/>
  <c r="O17" i="13"/>
  <c r="O11" i="13"/>
  <c r="O12" i="14"/>
  <c r="O38" i="13"/>
  <c r="O13" i="13"/>
  <c r="O19" i="13"/>
  <c r="O8" i="14"/>
  <c r="O7" i="16"/>
  <c r="N16" i="16"/>
  <c r="N18" i="16" s="1"/>
  <c r="N10" i="16"/>
  <c r="N22" i="2"/>
  <c r="O7" i="15"/>
  <c r="N14" i="15"/>
  <c r="N19" i="15" s="1"/>
  <c r="P22" i="16"/>
  <c r="P26" i="2"/>
  <c r="O8" i="15"/>
  <c r="O9" i="15"/>
  <c r="E57" i="19"/>
  <c r="B57" i="19" s="1"/>
  <c r="P30" i="10"/>
  <c r="O49" i="9"/>
  <c r="O11" i="17"/>
  <c r="N16" i="8"/>
  <c r="N14" i="8"/>
  <c r="N13" i="2" s="1"/>
  <c r="O23" i="13" l="1"/>
  <c r="O25" i="13" s="1"/>
  <c r="O13" i="8"/>
  <c r="O11" i="8"/>
  <c r="O12" i="2" s="1"/>
  <c r="N11" i="16"/>
  <c r="N9" i="16"/>
  <c r="N8" i="16"/>
  <c r="N14" i="16" s="1"/>
  <c r="N24" i="2" s="1"/>
  <c r="N23" i="2"/>
  <c r="N15" i="16"/>
  <c r="O9" i="8"/>
  <c r="N15" i="17"/>
  <c r="N19" i="8"/>
  <c r="N17" i="8"/>
  <c r="N14" i="2"/>
  <c r="O17" i="16"/>
  <c r="O18" i="16" s="1"/>
  <c r="O8" i="2"/>
  <c r="Q19" i="16"/>
  <c r="Q26" i="12"/>
  <c r="Q24" i="12"/>
  <c r="Q20" i="16" s="1"/>
  <c r="Q21" i="12"/>
  <c r="Q28" i="12"/>
  <c r="Q21" i="16" s="1"/>
  <c r="Q25" i="2" s="1"/>
  <c r="Q33" i="12"/>
  <c r="C62" i="19"/>
  <c r="P32" i="12"/>
  <c r="P36" i="12"/>
  <c r="P7" i="8"/>
  <c r="O8" i="10"/>
  <c r="O7" i="9"/>
  <c r="O26" i="10"/>
  <c r="O20" i="15"/>
  <c r="O11" i="9"/>
  <c r="O16" i="16"/>
  <c r="O10" i="16"/>
  <c r="O22" i="2"/>
  <c r="O40" i="13"/>
  <c r="O42" i="13" s="1"/>
  <c r="O14" i="10"/>
  <c r="O18" i="15"/>
  <c r="O10" i="15"/>
  <c r="O11" i="15"/>
  <c r="O50" i="9"/>
  <c r="O13" i="10"/>
  <c r="Q35" i="12" l="1"/>
  <c r="Q31" i="12"/>
  <c r="Q9" i="2"/>
  <c r="Q22" i="15"/>
  <c r="Q24" i="15"/>
  <c r="O14" i="8"/>
  <c r="O13" i="2" s="1"/>
  <c r="O16" i="8"/>
  <c r="P11" i="15"/>
  <c r="Q22" i="16"/>
  <c r="Q26" i="2"/>
  <c r="O11" i="16"/>
  <c r="O8" i="16"/>
  <c r="O14" i="16" s="1"/>
  <c r="O24" i="2" s="1"/>
  <c r="O23" i="2"/>
  <c r="O15" i="16"/>
  <c r="O16" i="9"/>
  <c r="P7" i="9"/>
  <c r="E62" i="19"/>
  <c r="B62" i="19" s="1"/>
  <c r="N20" i="8"/>
  <c r="N15" i="2" s="1"/>
  <c r="N23" i="8"/>
  <c r="N25" i="8" s="1"/>
  <c r="D62" i="19"/>
  <c r="P41" i="13"/>
  <c r="P24" i="13"/>
  <c r="P21" i="10"/>
  <c r="P44" i="9"/>
  <c r="P17" i="10" s="1"/>
  <c r="P26" i="9"/>
  <c r="P20" i="9"/>
  <c r="P12" i="10" s="1"/>
  <c r="P18" i="9"/>
  <c r="P21" i="8"/>
  <c r="P15" i="8"/>
  <c r="P9" i="10" s="1"/>
  <c r="P47" i="9"/>
  <c r="P15" i="10" s="1"/>
  <c r="P45" i="9"/>
  <c r="P16" i="10" s="1"/>
  <c r="P39" i="9"/>
  <c r="P41" i="9" s="1"/>
  <c r="P23" i="9"/>
  <c r="P23" i="10" s="1"/>
  <c r="P8" i="8"/>
  <c r="P10" i="15" s="1"/>
  <c r="P13" i="9"/>
  <c r="P11" i="10" s="1"/>
  <c r="P10" i="8"/>
  <c r="P12" i="8"/>
  <c r="P7" i="2"/>
  <c r="P15" i="9"/>
  <c r="P14" i="10" s="1"/>
  <c r="P18" i="8"/>
  <c r="P8" i="10" s="1"/>
  <c r="P20" i="14"/>
  <c r="P34" i="13"/>
  <c r="P21" i="14"/>
  <c r="P36" i="13"/>
  <c r="P32" i="13"/>
  <c r="P13" i="13"/>
  <c r="P9" i="13"/>
  <c r="P21" i="13"/>
  <c r="P30" i="13"/>
  <c r="P11" i="13"/>
  <c r="P17" i="13"/>
  <c r="P10" i="14"/>
  <c r="P38" i="13"/>
  <c r="P12" i="14"/>
  <c r="P15" i="13"/>
  <c r="P19" i="13"/>
  <c r="P8" i="14"/>
  <c r="P43" i="9"/>
  <c r="P11" i="9"/>
  <c r="O14" i="15"/>
  <c r="O19" i="15" s="1"/>
  <c r="C67" i="19" l="1"/>
  <c r="Q32" i="12"/>
  <c r="Q7" i="8"/>
  <c r="Q36" i="12"/>
  <c r="P13" i="10"/>
  <c r="P18" i="15"/>
  <c r="O9" i="16"/>
  <c r="O15" i="17"/>
  <c r="O19" i="8"/>
  <c r="O17" i="8"/>
  <c r="O14" i="2"/>
  <c r="P40" i="13"/>
  <c r="P42" i="13" s="1"/>
  <c r="P16" i="9"/>
  <c r="P13" i="8"/>
  <c r="P11" i="8"/>
  <c r="P12" i="2" s="1"/>
  <c r="N26" i="8"/>
  <c r="N27" i="8" s="1"/>
  <c r="N24" i="17" s="1"/>
  <c r="P23" i="13"/>
  <c r="P25" i="13" s="1"/>
  <c r="P9" i="8"/>
  <c r="Q30" i="10"/>
  <c r="Q43" i="9"/>
  <c r="P49" i="9"/>
  <c r="P50" i="9" s="1"/>
  <c r="P11" i="17"/>
  <c r="P17" i="16"/>
  <c r="P8" i="2"/>
  <c r="P9" i="15"/>
  <c r="P8" i="15"/>
  <c r="P7" i="15"/>
  <c r="P13" i="15"/>
  <c r="P12" i="15"/>
  <c r="P7" i="16"/>
  <c r="P26" i="10"/>
  <c r="P14" i="15" l="1"/>
  <c r="P19" i="15" s="1"/>
  <c r="D67" i="19"/>
  <c r="E67" i="19" s="1"/>
  <c r="B67" i="19" s="1"/>
  <c r="Q41" i="13"/>
  <c r="Q24" i="13"/>
  <c r="Q20" i="9"/>
  <c r="Q12" i="10" s="1"/>
  <c r="Q18" i="9"/>
  <c r="Q21" i="8"/>
  <c r="Q15" i="8"/>
  <c r="Q9" i="10" s="1"/>
  <c r="Q9" i="8"/>
  <c r="Q47" i="9"/>
  <c r="Q15" i="10" s="1"/>
  <c r="Q45" i="9"/>
  <c r="Q16" i="10" s="1"/>
  <c r="Q39" i="9"/>
  <c r="Q41" i="9" s="1"/>
  <c r="Q23" i="9"/>
  <c r="Q23" i="10" s="1"/>
  <c r="Q15" i="9"/>
  <c r="Q14" i="10" s="1"/>
  <c r="Q13" i="9"/>
  <c r="Q11" i="10" s="1"/>
  <c r="Q18" i="8"/>
  <c r="Q12" i="8"/>
  <c r="Q10" i="8"/>
  <c r="Q8" i="8"/>
  <c r="Q26" i="9"/>
  <c r="Q44" i="9"/>
  <c r="Q17" i="10" s="1"/>
  <c r="Q7" i="2"/>
  <c r="Q21" i="10"/>
  <c r="Q20" i="14"/>
  <c r="Q21" i="14"/>
  <c r="Q34" i="13"/>
  <c r="Q36" i="13"/>
  <c r="Q32" i="13"/>
  <c r="Q13" i="13"/>
  <c r="Q30" i="13"/>
  <c r="Q11" i="13"/>
  <c r="Q19" i="13"/>
  <c r="Q9" i="13"/>
  <c r="Q23" i="13" s="1"/>
  <c r="Q25" i="13" s="1"/>
  <c r="Q12" i="14"/>
  <c r="Q15" i="13"/>
  <c r="Q21" i="13"/>
  <c r="Q38" i="13"/>
  <c r="Q17" i="13"/>
  <c r="Q10" i="14"/>
  <c r="Q8" i="14"/>
  <c r="Q13" i="15"/>
  <c r="Q20" i="15" s="1"/>
  <c r="P20" i="15"/>
  <c r="Q9" i="15"/>
  <c r="N28" i="8"/>
  <c r="Q11" i="17"/>
  <c r="P16" i="16"/>
  <c r="P10" i="16"/>
  <c r="Q7" i="16"/>
  <c r="P22" i="2"/>
  <c r="Q8" i="15"/>
  <c r="Q12" i="15"/>
  <c r="P18" i="16"/>
  <c r="P14" i="8"/>
  <c r="P13" i="2" s="1"/>
  <c r="P16" i="8"/>
  <c r="O23" i="8"/>
  <c r="O25" i="8" s="1"/>
  <c r="O20" i="8"/>
  <c r="O15" i="2" s="1"/>
  <c r="Q17" i="16" l="1"/>
  <c r="Q8" i="2"/>
  <c r="Q10" i="15"/>
  <c r="Q11" i="15"/>
  <c r="Q49" i="9"/>
  <c r="Q50" i="9" s="1"/>
  <c r="Q18" i="15"/>
  <c r="Q40" i="13"/>
  <c r="Q42" i="13" s="1"/>
  <c r="Q13" i="8"/>
  <c r="Q11" i="8"/>
  <c r="Q12" i="2" s="1"/>
  <c r="Q13" i="10"/>
  <c r="Q7" i="15"/>
  <c r="P15" i="17"/>
  <c r="P19" i="8"/>
  <c r="P17" i="8"/>
  <c r="P14" i="2"/>
  <c r="Q16" i="16"/>
  <c r="Q22" i="2"/>
  <c r="N7" i="10"/>
  <c r="N29" i="8"/>
  <c r="N30" i="8" s="1"/>
  <c r="Q26" i="10"/>
  <c r="O26" i="8"/>
  <c r="O27" i="8" s="1"/>
  <c r="O24" i="17" s="1"/>
  <c r="P11" i="16"/>
  <c r="Q10" i="16" s="1"/>
  <c r="P8" i="16"/>
  <c r="P14" i="16" s="1"/>
  <c r="P24" i="2" s="1"/>
  <c r="P23" i="2"/>
  <c r="P15" i="16"/>
  <c r="Q8" i="10"/>
  <c r="Q11" i="9"/>
  <c r="Q7" i="9"/>
  <c r="Q16" i="9" s="1"/>
  <c r="Q8" i="16" l="1"/>
  <c r="Q14" i="16" s="1"/>
  <c r="Q24" i="2" s="1"/>
  <c r="Q9" i="16"/>
  <c r="Q11" i="16"/>
  <c r="Q23" i="2"/>
  <c r="Q15" i="16"/>
  <c r="N36" i="8"/>
  <c r="N31" i="9" s="1"/>
  <c r="N34" i="8"/>
  <c r="N35" i="8"/>
  <c r="N31" i="8"/>
  <c r="N16" i="2"/>
  <c r="P9" i="16"/>
  <c r="Q16" i="8"/>
  <c r="Q14" i="8"/>
  <c r="Q13" i="2" s="1"/>
  <c r="N33" i="10"/>
  <c r="N33" i="9"/>
  <c r="P23" i="8"/>
  <c r="P25" i="8" s="1"/>
  <c r="P20" i="8"/>
  <c r="P15" i="2" s="1"/>
  <c r="O28" i="8"/>
  <c r="Q14" i="15"/>
  <c r="Q19" i="15" s="1"/>
  <c r="Q18" i="16"/>
  <c r="N32" i="9" l="1"/>
  <c r="N34" i="9" s="1"/>
  <c r="N51" i="9" s="1"/>
  <c r="Q15" i="17"/>
  <c r="Q19" i="8"/>
  <c r="Q17" i="8"/>
  <c r="Q14" i="2"/>
  <c r="N37" i="8"/>
  <c r="N17" i="17" s="1"/>
  <c r="N18" i="17" s="1"/>
  <c r="N32" i="10"/>
  <c r="N36" i="10" s="1"/>
  <c r="P26" i="8"/>
  <c r="P27" i="8" s="1"/>
  <c r="P24" i="17" s="1"/>
  <c r="P28" i="8"/>
  <c r="O7" i="10"/>
  <c r="O29" i="8"/>
  <c r="O33" i="10" s="1"/>
  <c r="O30" i="8"/>
  <c r="N13" i="17"/>
  <c r="N17" i="2"/>
  <c r="O33" i="9"/>
  <c r="Q23" i="8" l="1"/>
  <c r="Q25" i="8" s="1"/>
  <c r="Q20" i="8"/>
  <c r="Q15" i="2" s="1"/>
  <c r="P7" i="10"/>
  <c r="P29" i="8"/>
  <c r="P33" i="10" s="1"/>
  <c r="P30" i="8"/>
  <c r="O35" i="8"/>
  <c r="O31" i="8"/>
  <c r="O16" i="2"/>
  <c r="O36" i="8"/>
  <c r="O31" i="9" s="1"/>
  <c r="O34" i="8"/>
  <c r="D29" i="19"/>
  <c r="N18" i="10"/>
  <c r="N19" i="10" s="1"/>
  <c r="P33" i="9"/>
  <c r="N20" i="17"/>
  <c r="N14" i="17"/>
  <c r="N28" i="2" s="1"/>
  <c r="O32" i="9" l="1"/>
  <c r="O34" i="9" s="1"/>
  <c r="O51" i="9" s="1"/>
  <c r="N39" i="10"/>
  <c r="N41" i="10" s="1"/>
  <c r="N37" i="10"/>
  <c r="N44" i="10"/>
  <c r="N20" i="10"/>
  <c r="N18" i="2"/>
  <c r="O13" i="17"/>
  <c r="O17" i="2"/>
  <c r="Q26" i="8"/>
  <c r="Q27" i="8" s="1"/>
  <c r="Q24" i="17" s="1"/>
  <c r="P35" i="8"/>
  <c r="P31" i="8"/>
  <c r="P36" i="8"/>
  <c r="P34" i="8"/>
  <c r="P16" i="2"/>
  <c r="O37" i="8"/>
  <c r="O17" i="17" s="1"/>
  <c r="O18" i="17" s="1"/>
  <c r="O32" i="10"/>
  <c r="O36" i="10" s="1"/>
  <c r="Q27" i="17" l="1"/>
  <c r="N27" i="17"/>
  <c r="O27" i="17"/>
  <c r="P27" i="17"/>
  <c r="C54" i="19"/>
  <c r="E54" i="19" s="1"/>
  <c r="B54" i="19" s="1"/>
  <c r="C30" i="19"/>
  <c r="N21" i="9"/>
  <c r="N20" i="2"/>
  <c r="O40" i="10"/>
  <c r="N45" i="10"/>
  <c r="N19" i="2"/>
  <c r="P37" i="8"/>
  <c r="P17" i="17" s="1"/>
  <c r="P18" i="17" s="1"/>
  <c r="P32" i="10"/>
  <c r="P36" i="10" s="1"/>
  <c r="Q28" i="8"/>
  <c r="P13" i="17"/>
  <c r="P17" i="2"/>
  <c r="O20" i="17"/>
  <c r="O14" i="17"/>
  <c r="O28" i="2" s="1"/>
  <c r="D31" i="19"/>
  <c r="P31" i="9"/>
  <c r="P32" i="9" l="1"/>
  <c r="P34" i="9" s="1"/>
  <c r="P51" i="9" s="1"/>
  <c r="Q29" i="8"/>
  <c r="Q30" i="8"/>
  <c r="Q7" i="10"/>
  <c r="N10" i="17"/>
  <c r="N53" i="9"/>
  <c r="N42" i="10"/>
  <c r="N28" i="9"/>
  <c r="N29" i="9" s="1"/>
  <c r="P20" i="17"/>
  <c r="P14" i="17"/>
  <c r="P28" i="2" s="1"/>
  <c r="O18" i="10"/>
  <c r="O19" i="10" s="1"/>
  <c r="N28" i="17"/>
  <c r="O37" i="10" l="1"/>
  <c r="O39" i="10" s="1"/>
  <c r="O41" i="10" s="1"/>
  <c r="O18" i="2"/>
  <c r="O44" i="10"/>
  <c r="O20" i="10"/>
  <c r="D33" i="19"/>
  <c r="Q35" i="8"/>
  <c r="Q31" i="8"/>
  <c r="Q36" i="8"/>
  <c r="Q34" i="8"/>
  <c r="Q16" i="2"/>
  <c r="C29" i="19"/>
  <c r="E29" i="19" s="1"/>
  <c r="B29" i="19" s="1"/>
  <c r="N52" i="9"/>
  <c r="Q33" i="10"/>
  <c r="Q33" i="9"/>
  <c r="D30" i="19"/>
  <c r="E30" i="19" s="1"/>
  <c r="B30" i="19" s="1"/>
  <c r="N43" i="10"/>
  <c r="N12" i="17"/>
  <c r="N16" i="17" s="1"/>
  <c r="N29" i="2" s="1"/>
  <c r="N22" i="17"/>
  <c r="N32" i="17" s="1"/>
  <c r="Q31" i="9"/>
  <c r="Q32" i="9" s="1"/>
  <c r="Q34" i="9" s="1"/>
  <c r="Q51" i="9" s="1"/>
  <c r="D35" i="19" l="1"/>
  <c r="Q37" i="8"/>
  <c r="Q17" i="17" s="1"/>
  <c r="Q18" i="17" s="1"/>
  <c r="Q32" i="10"/>
  <c r="Q36" i="10" s="1"/>
  <c r="N33" i="17"/>
  <c r="N30" i="2"/>
  <c r="O45" i="10"/>
  <c r="O19" i="2"/>
  <c r="Q13" i="17"/>
  <c r="Q17" i="2"/>
  <c r="C59" i="19"/>
  <c r="E59" i="19" s="1"/>
  <c r="B59" i="19" s="1"/>
  <c r="C32" i="19"/>
  <c r="P40" i="10"/>
  <c r="O21" i="9"/>
  <c r="O20" i="2"/>
  <c r="N31" i="2" l="1"/>
  <c r="N34" i="17"/>
  <c r="N32" i="2" s="1"/>
  <c r="O10" i="17"/>
  <c r="O53" i="9"/>
  <c r="O42" i="10"/>
  <c r="O28" i="9"/>
  <c r="O29" i="9" s="1"/>
  <c r="P18" i="10"/>
  <c r="P19" i="10" s="1"/>
  <c r="Q20" i="17"/>
  <c r="Q14" i="17"/>
  <c r="Q28" i="2" s="1"/>
  <c r="C31" i="19" l="1"/>
  <c r="E31" i="19" s="1"/>
  <c r="B31" i="19" s="1"/>
  <c r="O52" i="9"/>
  <c r="O12" i="17"/>
  <c r="O16" i="17" s="1"/>
  <c r="O29" i="2" s="1"/>
  <c r="O22" i="17"/>
  <c r="O32" i="17" s="1"/>
  <c r="O28" i="17"/>
  <c r="D32" i="19"/>
  <c r="E32" i="19" s="1"/>
  <c r="B32" i="19" s="1"/>
  <c r="O43" i="10"/>
  <c r="P37" i="10"/>
  <c r="P39" i="10" s="1"/>
  <c r="P41" i="10" s="1"/>
  <c r="P44" i="10"/>
  <c r="P20" i="10"/>
  <c r="P18" i="2"/>
  <c r="O33" i="17" l="1"/>
  <c r="O30" i="2"/>
  <c r="C64" i="19"/>
  <c r="E64" i="19" s="1"/>
  <c r="B64" i="19" s="1"/>
  <c r="C34" i="19"/>
  <c r="Q40" i="10"/>
  <c r="P21" i="9"/>
  <c r="P20" i="2"/>
  <c r="P45" i="10"/>
  <c r="P19" i="2"/>
  <c r="Q18" i="10" l="1"/>
  <c r="Q19" i="10" s="1"/>
  <c r="P10" i="17"/>
  <c r="P42" i="10"/>
  <c r="P53" i="9"/>
  <c r="P28" i="9"/>
  <c r="P29" i="9" s="1"/>
  <c r="O31" i="2"/>
  <c r="O34" i="17"/>
  <c r="O32" i="2" s="1"/>
  <c r="P12" i="17" l="1"/>
  <c r="P16" i="17" s="1"/>
  <c r="P29" i="2" s="1"/>
  <c r="P22" i="17"/>
  <c r="P28" i="17"/>
  <c r="D34" i="19"/>
  <c r="E34" i="19" s="1"/>
  <c r="B34" i="19" s="1"/>
  <c r="P43" i="10"/>
  <c r="Q44" i="10"/>
  <c r="Q20" i="10"/>
  <c r="Q18" i="2"/>
  <c r="Q37" i="10"/>
  <c r="Q39" i="10" s="1"/>
  <c r="Q41" i="10" s="1"/>
  <c r="C33" i="19"/>
  <c r="E33" i="19" s="1"/>
  <c r="B33" i="19" s="1"/>
  <c r="P52" i="9"/>
  <c r="P32" i="17" l="1"/>
  <c r="Q45" i="10"/>
  <c r="Q19" i="2"/>
  <c r="C69" i="19"/>
  <c r="E69" i="19" s="1"/>
  <c r="B69" i="19" s="1"/>
  <c r="C36" i="19"/>
  <c r="Q21" i="9"/>
  <c r="Q20" i="2"/>
  <c r="Q10" i="17" l="1"/>
  <c r="Q42" i="10"/>
  <c r="Q53" i="9"/>
  <c r="Q28" i="9"/>
  <c r="Q29" i="9" s="1"/>
  <c r="P33" i="17"/>
  <c r="P30" i="2"/>
  <c r="C35" i="19" l="1"/>
  <c r="E35" i="19" s="1"/>
  <c r="B35" i="19" s="1"/>
  <c r="B6" i="19" s="1"/>
  <c r="B17" i="1" s="1"/>
  <c r="Q52" i="9"/>
  <c r="D36" i="19"/>
  <c r="E36" i="19" s="1"/>
  <c r="B36" i="19" s="1"/>
  <c r="Q43" i="10"/>
  <c r="Q12" i="17"/>
  <c r="Q16" i="17" s="1"/>
  <c r="Q29" i="2" s="1"/>
  <c r="Q22" i="17"/>
  <c r="Q28" i="17"/>
  <c r="P31" i="2"/>
  <c r="P34" i="17"/>
  <c r="P32" i="2" s="1"/>
  <c r="Q32" i="17" l="1"/>
  <c r="Q33" i="17" l="1"/>
  <c r="Q30" i="2"/>
  <c r="Q31" i="2" l="1"/>
  <c r="Q34" i="17"/>
  <c r="Q32" i="2" s="1"/>
</calcChain>
</file>

<file path=xl/sharedStrings.xml><?xml version="1.0" encoding="utf-8"?>
<sst xmlns="http://schemas.openxmlformats.org/spreadsheetml/2006/main" count="7432" uniqueCount="735">
  <si>
    <t>Coforge Integrated Financial Model</t>
  </si>
  <si>
    <t>Official-source build | Quarterly P&amp;L FY16–Q1FY27 | Annual three statements FY16–FY30E | INR million unless stated</t>
  </si>
  <si>
    <t>OUTPERFORM framework: order-book conversion, Encora, client mining, people productivity, AI uplift and acquisition deleveraging</t>
  </si>
  <si>
    <t>Model scope</t>
  </si>
  <si>
    <t>Quarterly P&amp;L only; annual P&amp;L, detailed balance sheet and cash flow</t>
  </si>
  <si>
    <t>Historical period</t>
  </si>
  <si>
    <t>FY16–FY26 plus Q1 FY27 actual</t>
  </si>
  <si>
    <t>Forecast period</t>
  </si>
  <si>
    <t>FY27E–FY30E</t>
  </si>
  <si>
    <t>Source policy</t>
  </si>
  <si>
    <t>Official Coforge annual reports, quarterly factsheets and investor presentations</t>
  </si>
  <si>
    <t>Revenue architecture</t>
  </si>
  <si>
    <t>Retained base + executable-order-book conversion + fresh-order realization + client farming + AI uplift − T&amp;M deflation + Encora − portfolio exits</t>
  </si>
  <si>
    <t>AI policy</t>
  </si>
  <si>
    <t>Service category “AI-led Engineering” is not treated as pure AI revenue; only incremental scenario uplift is modeled as AI revenue</t>
  </si>
  <si>
    <t>Acquisition policy</t>
  </si>
  <si>
    <t>Encora revenue, PPA, share consideration, acquisition debt, interest and principal are separated</t>
  </si>
  <si>
    <t>Cash policy</t>
  </si>
  <si>
    <t>Historical closing cash is anchored to the reported balance sheet; forecast cash is CFO + CFI + CFF</t>
  </si>
  <si>
    <t>Circularity policy</t>
  </si>
  <si>
    <t>One-way flow: assumptions / drivers → P&amp;L → non-cash BS schedules → cash flow → cash → balance sheet</t>
  </si>
  <si>
    <t>Formatting</t>
  </si>
  <si>
    <t>Aptos Narrow 10; hardcoded actuals medium blue; formulas black; forecast columns pale green</t>
  </si>
  <si>
    <t>House view</t>
  </si>
  <si>
    <t>OUTPERFORM</t>
  </si>
  <si>
    <t>Model status</t>
  </si>
  <si>
    <t>Coforge Financial Summary</t>
  </si>
  <si>
    <t>OUTPERFORM: operating momentum, Encora integration, cash generation, deleveraging and valuation</t>
  </si>
  <si>
    <t>Metric</t>
  </si>
  <si>
    <t>Units</t>
  </si>
  <si>
    <t>FY16A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</si>
  <si>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</si>
  <si>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</si>
  <si>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</si>
  <si>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</si>
  <si>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</si>
  <si>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</si>
  <si>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</si>
  <si>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</si>
  <si>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</si>
  <si>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</si>
  <si>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</si>
  <si>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</si>
  <si>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</si>
  <si>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</si>
  <si>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Revenue</t>
  </si>
  <si>
    <t>₹m</t>
  </si>
  <si>
    <t>Revenue growth</t>
  </si>
  <si>
    <t>%</t>
  </si>
  <si>
    <t>$m</t>
  </si>
  <si>
    <t>Executable order book</t>
  </si>
  <si>
    <t>Fresh order intake</t>
  </si>
  <si>
    <t>Gross margin</t>
  </si>
  <si>
    <t>Adjusted EBITDA margin</t>
  </si>
  <si>
    <t>EBITDA</t>
  </si>
  <si>
    <t>EBIT margin</t>
  </si>
  <si>
    <t>Net income</t>
  </si>
  <si>
    <t>Diluted EPS</t>
  </si>
  <si>
    <t>₹ / share</t>
  </si>
  <si>
    <t>CFO</t>
  </si>
  <si>
    <t>Free cash flow</t>
  </si>
  <si>
    <t>Closing cash</t>
  </si>
  <si>
    <t>Acquisition debt</t>
  </si>
  <si>
    <t>Headcount</t>
  </si>
  <si>
    <t>#</t>
  </si>
  <si>
    <t>Billable headcount</t>
  </si>
  <si>
    <t>Revenue / IT billable</t>
  </si>
  <si>
    <t>$ / FTE</t>
  </si>
  <si>
    <t>Incremental AI revenue</t>
  </si>
  <si>
    <t>T&amp;M AI deflation drag</t>
  </si>
  <si>
    <t>Reference market price</t>
  </si>
  <si>
    <t>P/E</t>
  </si>
  <si>
    <t>x</t>
  </si>
  <si>
    <t>EV / EBITDA</t>
  </si>
  <si>
    <t>Blended target price</t>
  </si>
  <si>
    <t>Upside / (downside)</t>
  </si>
  <si>
    <t>Rating</t>
  </si>
  <si>
    <t>text</t>
  </si>
  <si>
    <t>Sources &amp; Data Conventions</t>
  </si>
  <si>
    <t>Primary-source register; non-disclosed metrics remain blank and forecast assumptions are visibly editable</t>
  </si>
  <si>
    <t>ID</t>
  </si>
  <si>
    <t>Data / period</t>
  </si>
  <si>
    <t>Primary source</t>
  </si>
  <si>
    <t>Model use</t>
  </si>
  <si>
    <t>Status</t>
  </si>
  <si>
    <t>Notes</t>
  </si>
  <si>
    <t>S1</t>
  </si>
  <si>
    <t>Annual reports FY16–FY26</t>
  </si>
  <si>
    <t>https://investors.coforge.com/annual-report</t>
  </si>
  <si>
    <t>Audited P&amp;L, balance sheet and cash flow</t>
  </si>
  <si>
    <t>Loaded</t>
  </si>
  <si>
    <t>Latest comparative presentation used where applicable</t>
  </si>
  <si>
    <t>S2</t>
  </si>
  <si>
    <t>Quarterly factsheets FY16–FY25</t>
  </si>
  <si>
    <t>₹m / $m / % / #</t>
  </si>
  <si>
    <t>https://investors.coforge.com/quarter-reports</t>
  </si>
  <si>
    <t>Quarterly P&amp;L and operating KPI history</t>
  </si>
  <si>
    <t>Reported figures retained; annual restatement bridge shown separately</t>
  </si>
  <si>
    <t>S3</t>
  </si>
  <si>
    <t>Q4 FY26 presentation</t>
  </si>
  <si>
    <t>$m / ₹m / % / #</t>
  </si>
  <si>
    <t>https://investors.coforge.com/hubfs/Investor-Presentation-and-Factsheet-Q4FY26.pdf</t>
  </si>
  <si>
    <t>FY26 operations, order intake, order book, clients, people and mix</t>
  </si>
  <si>
    <t>FY26 revenue ₹164,027m / $1,870m</t>
  </si>
  <si>
    <t>S4</t>
  </si>
  <si>
    <t>Q1 FY27 presentation</t>
  </si>
  <si>
    <t>https://investors.coforge.com/hubfs/Investor-Presentation-Q1-FY27.pdf</t>
  </si>
  <si>
    <t>Q1 actuals, Encora, PPA, debt, operating metrics</t>
  </si>
  <si>
    <t>Encora consolidated from 1 May 2026</t>
  </si>
  <si>
    <t>S5</t>
  </si>
  <si>
    <t>Q1 FY27 results</t>
  </si>
  <si>
    <t>Q1 reported P&amp;L</t>
  </si>
  <si>
    <t>Revenue ₹55,277m; attributable PAT ₹5,186m</t>
  </si>
  <si>
    <t>S6</t>
  </si>
  <si>
    <t>Daily market prices FY16 onward</t>
  </si>
  <si>
    <t>https://finance.yahoo.com/quote/COFORGE.NS/history/</t>
  </si>
  <si>
    <t>Daily price history, FY-end prices and valuation reference price</t>
  </si>
  <si>
    <t>COFORGE.NS; unadjusted close is used for price-based valuation and adjusted close is retained separately</t>
  </si>
  <si>
    <t>S7</t>
  </si>
  <si>
    <t>Historical AI revenue</t>
  </si>
  <si>
    <t>n/a</t>
  </si>
  <si>
    <t>Forecast policy</t>
  </si>
  <si>
    <t>Not disclosed</t>
  </si>
  <si>
    <t>AI-led Engineering mix is not equated to pure AI revenue</t>
  </si>
  <si>
    <t>S8</t>
  </si>
  <si>
    <t>Historical cash-flow residuals</t>
  </si>
  <si>
    <t>Audited CFS totals</t>
  </si>
  <si>
    <t>Line-by-line reconciliation</t>
  </si>
  <si>
    <t>Calculated</t>
  </si>
  <si>
    <t>Reported residual/reclassification is formula-derived; forecast residual is zero</t>
  </si>
  <si>
    <t>S9</t>
  </si>
  <si>
    <t>Assets / liabilities held for sale</t>
  </si>
  <si>
    <t>Audited balance-sheet totals</t>
  </si>
  <si>
    <t>Historical classification bridge</t>
  </si>
  <si>
    <t>Derived from reported subtotals when PDF extraction obscures the row</t>
  </si>
  <si>
    <t>Forecast Assumptions</t>
  </si>
  <si>
    <t>Blue text on yellow = editable; all forecast financials and valuations are calculated</t>
  </si>
  <si>
    <t>Driver</t>
  </si>
  <si>
    <t>Logic / interpretation</t>
  </si>
  <si>
    <t>Repeat / retained base</t>
  </si>
  <si>
    <t>Prior-year revenue retained before incremental drivers</t>
  </si>
  <si>
    <t>Executable order book growth</t>
  </si>
  <si>
    <t>Next-12-month executable order book</t>
  </si>
  <si>
    <t>Incremental order-book realization</t>
  </si>
  <si>
    <t>Current-year revenue from EOB expansion</t>
  </si>
  <si>
    <t>Fresh order intake growth</t>
  </si>
  <si>
    <t>Annual order-intake scenario</t>
  </si>
  <si>
    <t>Fresh order first-year realization</t>
  </si>
  <si>
    <t>Current-year revenue from incremental order intake</t>
  </si>
  <si>
    <t>Client farming / pricing uplift</t>
  </si>
  <si>
    <t>Mining, pricing and cross-sell uplift on retained base</t>
  </si>
  <si>
    <t>T&amp;M mix</t>
  </si>
  <si>
    <t>Q1 FY27 actual is 57%</t>
  </si>
  <si>
    <t>AI deflation on T&amp;M revenue</t>
  </si>
  <si>
    <t>Productivity / rate drag on the T&amp;M pool</t>
  </si>
  <si>
    <t>Outcome-pricing offset</t>
  </si>
  <si>
    <t>Value capture from fixed/outcome pricing</t>
  </si>
  <si>
    <t>Incremental AI uplift</t>
  </si>
  <si>
    <t>Incremental AI-led revenue; not a historical disclosure</t>
  </si>
  <si>
    <t>Portfolio exits</t>
  </si>
  <si>
    <t>$15m India Government portfolio + $4m data-center impact</t>
  </si>
  <si>
    <t>Encora monthly run-rate</t>
  </si>
  <si>
    <t>Q1 FY27 disclosed $100.7m for two months</t>
  </si>
  <si>
    <t>Encora growth</t>
  </si>
  <si>
    <t>Separate acquired-revenue growth</t>
  </si>
  <si>
    <t>Average INR / USD</t>
  </si>
  <si>
    <t>₹ / $</t>
  </si>
  <si>
    <t>Forecast translation rate</t>
  </si>
  <si>
    <t>Scale, offshore and portfolio mix</t>
  </si>
  <si>
    <t>SG&amp;A / revenue</t>
  </si>
  <si>
    <t>Selling / general administration</t>
  </si>
  <si>
    <t>SBC / revenue</t>
  </si>
  <si>
    <t>Share-based compensation</t>
  </si>
  <si>
    <t>D&amp;A / revenue</t>
  </si>
  <si>
    <t>Includes Encora intangible amortization</t>
  </si>
  <si>
    <t>Other income / revenue</t>
  </si>
  <si>
    <t>Non-operating income excluding financing cost</t>
  </si>
  <si>
    <t>Effective tax rate</t>
  </si>
  <si>
    <t>P&amp;L tax rate</t>
  </si>
  <si>
    <t>NCI share of post-tax profit</t>
  </si>
  <si>
    <t>Minority share</t>
  </si>
  <si>
    <t>Billed receivable days</t>
  </si>
  <si>
    <t>days</t>
  </si>
  <si>
    <t>Closing billed receivables</t>
  </si>
  <si>
    <t>Unbilled + contract asset days</t>
  </si>
  <si>
    <t>Q1 FY27: 24 unbilled + 15 contract asset days</t>
  </si>
  <si>
    <t>Contract cost / revenue</t>
  </si>
  <si>
    <t>Capitalized contract acquisition / fulfilment costs</t>
  </si>
  <si>
    <t>Other current assets / revenue</t>
  </si>
  <si>
    <t>Excludes cash, receivables and contract costs</t>
  </si>
  <si>
    <t>Other bank balances / revenue</t>
  </si>
  <si>
    <t>Deposits are transferred into reported cash in the forecast</t>
  </si>
  <si>
    <t>Other non-current assets / revenue</t>
  </si>
  <si>
    <t>Excludes fixed assets, goodwill, intangibles and DTA</t>
  </si>
  <si>
    <t>Deferred tax asset / revenue</t>
  </si>
  <si>
    <t>Closing balance</t>
  </si>
  <si>
    <t>Deferred revenue / revenue</t>
  </si>
  <si>
    <t>Contract liabilities, anchored to Q1 FY27</t>
  </si>
  <si>
    <t>Employee benefits / revenue</t>
  </si>
  <si>
    <t>Employee benefit obligations, anchored to Q1 FY27</t>
  </si>
  <si>
    <t>Trade and other liabilities / revenue</t>
  </si>
  <si>
    <t>Payables and operating liabilities, anchored to Q1 FY27</t>
  </si>
  <si>
    <t>Deferred tax liability / revenue</t>
  </si>
  <si>
    <t>Closing DTL after PPA</t>
  </si>
  <si>
    <t>Capex / revenue</t>
  </si>
  <si>
    <t>PPE and software additions</t>
  </si>
  <si>
    <t>Intangible share of capex</t>
  </si>
  <si>
    <t>Capex allocation</t>
  </si>
  <si>
    <t>PPE share of D&amp;A</t>
  </si>
  <si>
    <t>D&amp;A allocation</t>
  </si>
  <si>
    <t>Intangible share of D&amp;A</t>
  </si>
  <si>
    <t>Lease principal / opening lease</t>
  </si>
  <si>
    <t>Cash lease principal</t>
  </si>
  <si>
    <t>Lease additions / revenue</t>
  </si>
  <si>
    <t>Non-cash lease additions</t>
  </si>
  <si>
    <t>Dividend payout</t>
  </si>
  <si>
    <t>Dividend paid / attributable PAT</t>
  </si>
  <si>
    <t>NCI dividend payout</t>
  </si>
  <si>
    <t>Minority distribution</t>
  </si>
  <si>
    <t>Acquisition liability settlement</t>
  </si>
  <si>
    <t>Settlement of future acquisition consideration</t>
  </si>
  <si>
    <t>Diluted shares</t>
  </si>
  <si>
    <t>m</t>
  </si>
  <si>
    <t>Post-Encora diluted share count</t>
  </si>
  <si>
    <t>Target P/E</t>
  </si>
  <si>
    <t>Premium forward multiple consistent with the OUTPERFORM house view; target price remains EPS-driven</t>
  </si>
  <si>
    <t>Target EV / EBITDA</t>
  </si>
  <si>
    <t>Forward enterprise valuation</t>
  </si>
  <si>
    <t>WACC</t>
  </si>
  <si>
    <t>DCF discount rate</t>
  </si>
  <si>
    <t>Terminal growth</t>
  </si>
  <si>
    <t>DCF perpetual growth</t>
  </si>
  <si>
    <t>P/E valuation weight</t>
  </si>
  <si>
    <t>Blended target weight</t>
  </si>
  <si>
    <t>EV / EBITDA valuation weight</t>
  </si>
  <si>
    <t>DCF valuation weight</t>
  </si>
  <si>
    <t>User input; FY27–FY30 carried unless explicitly changed</t>
  </si>
  <si>
    <t>FY27 Q1 actual net cash change</t>
  </si>
  <si>
    <t>Reported balance-sheet cash movement: ₹13,883m − ₹10,936m</t>
  </si>
  <si>
    <t>FY27 Q1 actual CFO</t>
  </si>
  <si>
    <t>$57.6m translated at Q1 average rate</t>
  </si>
  <si>
    <t>FY27 Q1 acquisition cash flow</t>
  </si>
  <si>
    <t>$503.1m translated at Q1 average rate</t>
  </si>
  <si>
    <t>FY27 Q1 debt / credit-line inflow</t>
  </si>
  <si>
    <t>$498.9m translated at Q1 average rate</t>
  </si>
  <si>
    <t>FY27 Q1 lease principal</t>
  </si>
  <si>
    <t>$3.4m translated</t>
  </si>
  <si>
    <t>FY27 Q1 interest paid</t>
  </si>
  <si>
    <t>$7.8m translated</t>
  </si>
  <si>
    <t>FY27 Q1 capex</t>
  </si>
  <si>
    <t>$4.7m translated</t>
  </si>
  <si>
    <t>OCI / other reserve movement</t>
  </si>
  <si>
    <t>Editable reserve movement</t>
  </si>
  <si>
    <t>Raw Reported Financials — Source Layer</t>
  </si>
  <si>
    <t>Hardcoded official reported inputs only; calculations live downstream</t>
  </si>
  <si>
    <t>Annual reported P&amp;L</t>
  </si>
  <si>
    <t>Other income</t>
  </si>
  <si>
    <t>Total income</t>
  </si>
  <si>
    <t>Purchases / stock</t>
  </si>
  <si>
    <t>Employee benefits</t>
  </si>
  <si>
    <t>Professional charges</t>
  </si>
  <si>
    <t>Other production expenses</t>
  </si>
  <si>
    <t>Other expenses</t>
  </si>
  <si>
    <t>Finance costs</t>
  </si>
  <si>
    <t>D&amp;A</t>
  </si>
  <si>
    <t>PBT pre-exceptional</t>
  </si>
  <si>
    <t>Exceptional items</t>
  </si>
  <si>
    <t>PBT</t>
  </si>
  <si>
    <t>Current tax</t>
  </si>
  <si>
    <t>Deferred tax</t>
  </si>
  <si>
    <t>Tax</t>
  </si>
  <si>
    <t>Profit incl. NCI</t>
  </si>
  <si>
    <t>NCI</t>
  </si>
  <si>
    <t>Net income attributable</t>
  </si>
  <si>
    <t>Basic EPS</t>
  </si>
  <si>
    <t>Quarterly reported P&amp;L</t>
  </si>
  <si>
    <t>Q1 FY16A</t>
  </si>
  <si>
    <t>Q2 FY16A</t>
  </si>
  <si>
    <t>Q3 FY16A</t>
  </si>
  <si>
    <t>Q4 FY16A</t>
  </si>
  <si>
    <t>Q1 FY17A</t>
  </si>
  <si>
    <t>Q2 FY17A</t>
  </si>
  <si>
    <t>Q3 FY17A</t>
  </si>
  <si>
    <t>Q4 FY17A</t>
  </si>
  <si>
    <t>Q1 FY18A</t>
  </si>
  <si>
    <t>Q2 FY18A</t>
  </si>
  <si>
    <t>Q3 FY18A</t>
  </si>
  <si>
    <t>Q4 FY18A</t>
  </si>
  <si>
    <t>Q1 FY19A</t>
  </si>
  <si>
    <t>Q2 FY19A</t>
  </si>
  <si>
    <t>Q3 FY19A</t>
  </si>
  <si>
    <t>Q4 FY19A</t>
  </si>
  <si>
    <t>Q1 FY20A</t>
  </si>
  <si>
    <t>Q2 FY20A</t>
  </si>
  <si>
    <t>Q3 FY20A</t>
  </si>
  <si>
    <t>Q4 FY20A</t>
  </si>
  <si>
    <t>Q1 FY21A</t>
  </si>
  <si>
    <t>Q2 FY21A</t>
  </si>
  <si>
    <t>Q3 FY21A</t>
  </si>
  <si>
    <t>Q4 FY21A</t>
  </si>
  <si>
    <t>Q1 FY22A</t>
  </si>
  <si>
    <t>Q2 FY22A</t>
  </si>
  <si>
    <t>Q3 FY22A</t>
  </si>
  <si>
    <t>Q4 FY22A</t>
  </si>
  <si>
    <t>Q1 FY23A</t>
  </si>
  <si>
    <t>Q2 FY23A</t>
  </si>
  <si>
    <t>Q3 FY23A</t>
  </si>
  <si>
    <t>Q4 FY23A</t>
  </si>
  <si>
    <t>Q1 FY24A</t>
  </si>
  <si>
    <t>Q2 FY24A</t>
  </si>
  <si>
    <t>Q3 FY24A</t>
  </si>
  <si>
    <t>Q4 FY24A</t>
  </si>
  <si>
    <t>Q1 FY25A</t>
  </si>
  <si>
    <t>Q2 FY25A</t>
  </si>
  <si>
    <t>Q3 FY25A</t>
  </si>
  <si>
    <t>Q4 FY25A</t>
  </si>
  <si>
    <t>Q1 FY26A</t>
  </si>
  <si>
    <t>Q2 FY26A</t>
  </si>
  <si>
    <t>Q3 FY26A</t>
  </si>
  <si>
    <t>Q4 FY26A</t>
  </si>
  <si>
    <t>Q1 FY27A</t>
  </si>
  <si>
    <t>Cost of revenue</t>
  </si>
  <si>
    <t>Gross profit</t>
  </si>
  <si>
    <t>SG&amp;A</t>
  </si>
  <si>
    <t>Adjusted EBITDA</t>
  </si>
  <si>
    <t>ESOP</t>
  </si>
  <si>
    <t>EBIT</t>
  </si>
  <si>
    <t>Other income, net</t>
  </si>
  <si>
    <t>FX gain / loss</t>
  </si>
  <si>
    <t>Annual reported balance sheet</t>
  </si>
  <si>
    <t>PPE</t>
  </si>
  <si>
    <t>ROU assets</t>
  </si>
  <si>
    <t>CWIP</t>
  </si>
  <si>
    <t>Goodwill</t>
  </si>
  <si>
    <t>Intangibles</t>
  </si>
  <si>
    <t>Non-current investments</t>
  </si>
  <si>
    <t>Non-current receivables</t>
  </si>
  <si>
    <t>Other non-current financial assets</t>
  </si>
  <si>
    <t>Deferred tax assets</t>
  </si>
  <si>
    <t>Non-current tax assets</t>
  </si>
  <si>
    <t>Other non-current assets</t>
  </si>
  <si>
    <t>Total non-current assets</t>
  </si>
  <si>
    <t>Inventories</t>
  </si>
  <si>
    <t>Contract assets</t>
  </si>
  <si>
    <t>Current investments</t>
  </si>
  <si>
    <t>Trade receivables</t>
  </si>
  <si>
    <t>Cash &amp; equivalents</t>
  </si>
  <si>
    <t>Other bank balances</t>
  </si>
  <si>
    <t>Other current financial assets</t>
  </si>
  <si>
    <t>Current tax assets</t>
  </si>
  <si>
    <t>Other current assets</t>
  </si>
  <si>
    <t>Total current assets</t>
  </si>
  <si>
    <t>Assets held for sale</t>
  </si>
  <si>
    <t>Total assets</t>
  </si>
  <si>
    <t>Share capital</t>
  </si>
  <si>
    <t>Other equity</t>
  </si>
  <si>
    <t>Equity attributable</t>
  </si>
  <si>
    <t>Total equity</t>
  </si>
  <si>
    <t>Long-term borrowings</t>
  </si>
  <si>
    <t>Non-current lease liabilities</t>
  </si>
  <si>
    <t>Non-current trade payables</t>
  </si>
  <si>
    <t>Other NC financial liabilities</t>
  </si>
  <si>
    <t>Non-current provisions</t>
  </si>
  <si>
    <t>Deferred tax liabilities</t>
  </si>
  <si>
    <t>Other NC liabilities</t>
  </si>
  <si>
    <t>Total non-current liabilities</t>
  </si>
  <si>
    <t>Short-term borrowings</t>
  </si>
  <si>
    <t>Current lease liabilities</t>
  </si>
  <si>
    <t>Trade payables</t>
  </si>
  <si>
    <t>Other current financial liabilities</t>
  </si>
  <si>
    <t>Current provisions</t>
  </si>
  <si>
    <t>Current tax liabilities</t>
  </si>
  <si>
    <t>Other current liabilities</t>
  </si>
  <si>
    <t>Total current liabilities</t>
  </si>
  <si>
    <t>Liabilities held for sale</t>
  </si>
  <si>
    <t>Total liabilities</t>
  </si>
  <si>
    <t>Annual reported cash flow</t>
  </si>
  <si>
    <t>Share-based payments</t>
  </si>
  <si>
    <t>Finance cost adjustment</t>
  </si>
  <si>
    <t>Interest income adjustment</t>
  </si>
  <si>
    <t>Change in receivables</t>
  </si>
  <si>
    <t>Change in other assets</t>
  </si>
  <si>
    <t>Change in payables</t>
  </si>
  <si>
    <t>Change in other liabilities</t>
  </si>
  <si>
    <t>Tax paid</t>
  </si>
  <si>
    <t>Capex</t>
  </si>
  <si>
    <t>PPE proceeds</t>
  </si>
  <si>
    <t>Acquisitions</t>
  </si>
  <si>
    <t>Purchase of investments</t>
  </si>
  <si>
    <t>Sale of investments</t>
  </si>
  <si>
    <t>Interest received</t>
  </si>
  <si>
    <t>Dividends received</t>
  </si>
  <si>
    <t>CFI</t>
  </si>
  <si>
    <t>Equity issuance</t>
  </si>
  <si>
    <t>Borrowing proceeds</t>
  </si>
  <si>
    <t>Borrowing repayments</t>
  </si>
  <si>
    <t>Lease principal</t>
  </si>
  <si>
    <t>Interest paid</t>
  </si>
  <si>
    <t>Dividends paid</t>
  </si>
  <si>
    <t>NCI dividends</t>
  </si>
  <si>
    <t>CFF</t>
  </si>
  <si>
    <t>Net cash change</t>
  </si>
  <si>
    <t>Opening cash</t>
  </si>
  <si>
    <t>FX effect</t>
  </si>
  <si>
    <t>Raw Reported Operating KPIs</t>
  </si>
  <si>
    <t>Official disclosures; blanks mean the KPI was not disclosed in that period</t>
  </si>
  <si>
    <t>Executable order book (next 12m)</t>
  </si>
  <si>
    <t>BFS mix</t>
  </si>
  <si>
    <t>Insurance mix</t>
  </si>
  <si>
    <t>TTH mix</t>
  </si>
  <si>
    <t>Government mix</t>
  </si>
  <si>
    <t>Healthcare &amp; HiTech mix</t>
  </si>
  <si>
    <t>Manufacturing mix</t>
  </si>
  <si>
    <t>Others mix</t>
  </si>
  <si>
    <t>Americas mix</t>
  </si>
  <si>
    <t>EMEA mix</t>
  </si>
  <si>
    <t>ROW mix</t>
  </si>
  <si>
    <t>Onsite mix</t>
  </si>
  <si>
    <t>Offshore mix</t>
  </si>
  <si>
    <t>Fixed-price mix</t>
  </si>
  <si>
    <t>Repeat business</t>
  </si>
  <si>
    <t>Top 5 clients</t>
  </si>
  <si>
    <t>Top 10 clients</t>
  </si>
  <si>
    <t>New clients</t>
  </si>
  <si>
    <t>AI-led Engineering / Engineering mix</t>
  </si>
  <si>
    <t>Intelligent Automation mix</t>
  </si>
  <si>
    <t>Data mix</t>
  </si>
  <si>
    <t>Cloud mix</t>
  </si>
  <si>
    <t>BPM mix</t>
  </si>
  <si>
    <t>ADM mix</t>
  </si>
  <si>
    <t>IP Assets mix</t>
  </si>
  <si>
    <t>Managed Services mix</t>
  </si>
  <si>
    <t>SI &amp; PI mix</t>
  </si>
  <si>
    <t>Product Engineering mix</t>
  </si>
  <si>
    <t>Software Engineering mix</t>
  </si>
  <si>
    <t>IT billable</t>
  </si>
  <si>
    <t>BPS billable</t>
  </si>
  <si>
    <t>Total billable</t>
  </si>
  <si>
    <t>Revenue per IT billable</t>
  </si>
  <si>
    <t>Utilization</t>
  </si>
  <si>
    <t>Attrition</t>
  </si>
  <si>
    <t>Billed DSO</t>
  </si>
  <si>
    <t>Unbilled DSO</t>
  </si>
  <si>
    <t>Contract-asset DSO</t>
  </si>
  <si>
    <t>Clients $1–5m</t>
  </si>
  <si>
    <t>Clients $5–10m</t>
  </si>
  <si>
    <t>Clients $10–20m</t>
  </si>
  <si>
    <t>Clients $20–50m</t>
  </si>
  <si>
    <t>Clients $50–100m</t>
  </si>
  <si>
    <t>Clients &gt;$100m</t>
  </si>
  <si>
    <t>Clients &gt;$10m</t>
  </si>
  <si>
    <t>Quarterly Profit &amp; Loss</t>
  </si>
  <si>
    <t>Reported quarters only; annual restatement / classification differences are shown as a bridge, not forced into Q4</t>
  </si>
  <si>
    <t>Revenue growth QoQ</t>
  </si>
  <si>
    <t>EBITDA margin</t>
  </si>
  <si>
    <t>Net margin</t>
  </si>
  <si>
    <t>Annual Profit &amp; Loss</t>
  </si>
  <si>
    <t>Audited history and formula-driven FY27E–FY30E forecast</t>
  </si>
  <si>
    <t>Basic weighted shares</t>
  </si>
  <si>
    <t>Diluted weighted shares</t>
  </si>
  <si>
    <t>Dividend paid</t>
  </si>
  <si>
    <t>Dividend per share</t>
  </si>
  <si>
    <t>Annual Balance Sheet</t>
  </si>
  <si>
    <t>Historical reported statement; forecast rolls from the Q1 FY27 acquisition anchor with cash linked only from the cash flow statement</t>
  </si>
  <si>
    <t>PPE / fixed assets</t>
  </si>
  <si>
    <t>Non-current investments / receivables</t>
  </si>
  <si>
    <t>Contract / unbilled assets</t>
  </si>
  <si>
    <t>Cash held for sale</t>
  </si>
  <si>
    <t>Contract costs and other current assets</t>
  </si>
  <si>
    <t>Held for sale / reported classification residual</t>
  </si>
  <si>
    <t>Other equity / reserves</t>
  </si>
  <si>
    <t>Other non-current financial / trade liabilities</t>
  </si>
  <si>
    <t>Other non-current liabilities / acquisition consideration</t>
  </si>
  <si>
    <t>Trade payables and other financial liabilities</t>
  </si>
  <si>
    <t>Deferred revenue / other current liabilities</t>
  </si>
  <si>
    <t>Total equity &amp; liabilities</t>
  </si>
  <si>
    <t>Balance check</t>
  </si>
  <si>
    <t>Closing cash check</t>
  </si>
  <si>
    <t>Annual Cash Flow Statement</t>
  </si>
  <si>
    <t>Historical totals reconciled line by line; forecast cash rolls mechanically and anchors the balance sheet</t>
  </si>
  <si>
    <t>Net income incl. NCI</t>
  </si>
  <si>
    <t>Finance cost add-back</t>
  </si>
  <si>
    <t>Deferred tax / other non-cash</t>
  </si>
  <si>
    <t>Change in trade receivables</t>
  </si>
  <si>
    <t>Change in contract / unbilled assets</t>
  </si>
  <si>
    <t>Change in contract costs / other assets</t>
  </si>
  <si>
    <t>Change in deferred revenue</t>
  </si>
  <si>
    <t>Change in employee benefits</t>
  </si>
  <si>
    <t>Change in trade / other liabilities</t>
  </si>
  <si>
    <t>Other operating / integration / classification</t>
  </si>
  <si>
    <t>Cash flow from operations</t>
  </si>
  <si>
    <t>CFO / net income</t>
  </si>
  <si>
    <t>Change in investments / bank balances</t>
  </si>
  <si>
    <t>PPE sale / interest / dividends received</t>
  </si>
  <si>
    <t>Historical investing residual / reclassification</t>
  </si>
  <si>
    <t>Cash flow from investing</t>
  </si>
  <si>
    <t>Borrowing repayment</t>
  </si>
  <si>
    <t>Historical financing residual / reclassification</t>
  </si>
  <si>
    <t>Cash flow from financing</t>
  </si>
  <si>
    <t>Net cash change before FX</t>
  </si>
  <si>
    <t>Balance-sheet cash + held-for-sale cash</t>
  </si>
  <si>
    <t>Cash check</t>
  </si>
  <si>
    <t>FCF margin</t>
  </si>
  <si>
    <t>Encora Acquisition &amp; Debt Schedule</t>
  </si>
  <si>
    <t>Encora PPA, Q1 FY27 balance-sheet anchor and disclosed principal / interest repayment schedule</t>
  </si>
  <si>
    <t>Source / logic</t>
  </si>
  <si>
    <t>Encora two-month Q1 revenue</t>
  </si>
  <si>
    <t>Q1 FY27 investor presentation / disclosed schedule</t>
  </si>
  <si>
    <t>Encora annual contribution</t>
  </si>
  <si>
    <t>Share-swap consideration</t>
  </si>
  <si>
    <t>Cash consideration</t>
  </si>
  <si>
    <t>Total consideration</t>
  </si>
  <si>
    <t>Customer intangibles recognized</t>
  </si>
  <si>
    <t>Deferred tax liability recognized</t>
  </si>
  <si>
    <t>Goodwill recognized</t>
  </si>
  <si>
    <t>Acquisition debt principal</t>
  </si>
  <si>
    <t>Principal repayment</t>
  </si>
  <si>
    <t>Closing acquisition debt</t>
  </si>
  <si>
    <t>Interest payment</t>
  </si>
  <si>
    <t>Interest / finance cost</t>
  </si>
  <si>
    <t>Q1 FY27 fixed assets</t>
  </si>
  <si>
    <t>Q1 FY27 goodwill</t>
  </si>
  <si>
    <t>Q1 FY27 acquired intangibles</t>
  </si>
  <si>
    <t>Q1 FY27 cash</t>
  </si>
  <si>
    <t>Q1 FY27 other bank balances</t>
  </si>
  <si>
    <t>Q1 FY27 debtors</t>
  </si>
  <si>
    <t>Q1 FY27 unbilled / contract assets</t>
  </si>
  <si>
    <t>Q1 FY27 contract cost</t>
  </si>
  <si>
    <t>Q1 FY27 deferred tax asset</t>
  </si>
  <si>
    <t>Q1 FY27 other assets</t>
  </si>
  <si>
    <t>Q1 FY27 total assets</t>
  </si>
  <si>
    <t>Q1 FY27 share capital</t>
  </si>
  <si>
    <t>Q1 FY27 reserves</t>
  </si>
  <si>
    <t>Q1 FY27 NCI</t>
  </si>
  <si>
    <t>Q1 FY27 borrowings</t>
  </si>
  <si>
    <t>Q1 FY27 deferred revenue</t>
  </si>
  <si>
    <t>Q1 FY27 deferred tax liability</t>
  </si>
  <si>
    <t>Q1 FY27 future acquisition liability</t>
  </si>
  <si>
    <t>Q1 FY27 lease liabilities</t>
  </si>
  <si>
    <t>Q1 FY27 employee benefits</t>
  </si>
  <si>
    <t>Q1 FY27 trade payables / other</t>
  </si>
  <si>
    <t>Q1 FY27 total funding</t>
  </si>
  <si>
    <t>Q1 FY27 balance check</t>
  </si>
  <si>
    <t>Order Book &amp; Revenue Drivers</t>
  </si>
  <si>
    <t>Coforge-specific bridge: order-book conversion, fresh intake, mining, AI, T&amp;M deflation, outcome pricing, Encora and portfolio exits</t>
  </si>
  <si>
    <t>Prior-year revenue</t>
  </si>
  <si>
    <t>Retained organic revenue</t>
  </si>
  <si>
    <t>EOB expansion</t>
  </si>
  <si>
    <t>EOB expansion realization</t>
  </si>
  <si>
    <t>Revenue from EOB expansion</t>
  </si>
  <si>
    <t>Incremental fresh order intake</t>
  </si>
  <si>
    <t>First-year realization</t>
  </si>
  <si>
    <t>Revenue from fresh orders</t>
  </si>
  <si>
    <t>Client farming / pricing revenue</t>
  </si>
  <si>
    <t>AI deflation on T&amp;M</t>
  </si>
  <si>
    <t>Outcome-pricing uplift</t>
  </si>
  <si>
    <t>Encora revenue contribution</t>
  </si>
  <si>
    <t>Forecast / reported revenue</t>
  </si>
  <si>
    <t>Revenue-driver check</t>
  </si>
  <si>
    <t>Vertical and Service Mix</t>
  </si>
  <si>
    <t>Revenue absolutes are calculated from reported / forecast mix; taxonomy changes remain visible</t>
  </si>
  <si>
    <t>Industry verticals</t>
  </si>
  <si>
    <t>BFS revenue</t>
  </si>
  <si>
    <t>Insurance revenue</t>
  </si>
  <si>
    <t>Travel, Transport &amp; Hospitality mix</t>
  </si>
  <si>
    <t>Travel, Transport &amp; Hospitality revenue</t>
  </si>
  <si>
    <t>Healthcare &amp; HiTech revenue</t>
  </si>
  <si>
    <t>Government outside India mix</t>
  </si>
  <si>
    <t>Government outside India revenue</t>
  </si>
  <si>
    <t>Manufacturing revenue</t>
  </si>
  <si>
    <t>Others revenue</t>
  </si>
  <si>
    <t>Mix check</t>
  </si>
  <si>
    <t>Calculated vertical revenue</t>
  </si>
  <si>
    <t>Annual revenue</t>
  </si>
  <si>
    <t>Revenue check</t>
  </si>
  <si>
    <t>Service lines — disclosed taxonomy</t>
  </si>
  <si>
    <t>AI-led Engineering / Engineering revenue</t>
  </si>
  <si>
    <t>Intelligent Automation revenue</t>
  </si>
  <si>
    <t>Data revenue</t>
  </si>
  <si>
    <t>Cloud revenue</t>
  </si>
  <si>
    <t>BPM revenue</t>
  </si>
  <si>
    <t>Service mix check</t>
  </si>
  <si>
    <t>Calculated service revenue</t>
  </si>
  <si>
    <t>Important AI note</t>
  </si>
  <si>
    <t>“AI-led Engineering” is a company service classification, not disclosed pure AI revenue; incremental AI revenue is modeled only in People &amp; AI / Order Book &amp; Revenue.</t>
  </si>
  <si>
    <t>Geography, Delivery and Contract Mix</t>
  </si>
  <si>
    <t>Revenue is calculated from mix; delivery / contract mix drives the AI deflation and outcome-pricing scenario</t>
  </si>
  <si>
    <t>Americas revenue</t>
  </si>
  <si>
    <t>EMEA revenue</t>
  </si>
  <si>
    <t>Rest of World mix</t>
  </si>
  <si>
    <t>Rest of World revenue</t>
  </si>
  <si>
    <t>Geography mix check</t>
  </si>
  <si>
    <t>Delivery mix check</t>
  </si>
  <si>
    <t>Contract mix check</t>
  </si>
  <si>
    <t>T&amp;M revenue</t>
  </si>
  <si>
    <t>Fixed / outcome revenue</t>
  </si>
  <si>
    <t>Client Metrics</t>
  </si>
  <si>
    <t>Revenue-band disclosures, concentration, client farming and revenue per client</t>
  </si>
  <si>
    <t>Total disclosed band clients</t>
  </si>
  <si>
    <t>Top 5 contribution</t>
  </si>
  <si>
    <t>Top 10 contribution</t>
  </si>
  <si>
    <t>Revenue per disclosed client</t>
  </si>
  <si>
    <t>Revenue per &gt;$10m client</t>
  </si>
  <si>
    <t>Order intake</t>
  </si>
  <si>
    <t>Order intake / revenue</t>
  </si>
  <si>
    <t>EOB / revenue</t>
  </si>
  <si>
    <t>People, Productivity and AI</t>
  </si>
  <si>
    <t>Headcount is a capacity / margin constraint, not the sole revenue driver; AI uplift is separated from T&amp;M deflation</t>
  </si>
  <si>
    <t>Total headcount</t>
  </si>
  <si>
    <t>Billable / headcount</t>
  </si>
  <si>
    <t>Revenue per total billable</t>
  </si>
  <si>
    <t>Headcount growth</t>
  </si>
  <si>
    <t>Revenue growth less headcount growth</t>
  </si>
  <si>
    <t>ppt</t>
  </si>
  <si>
    <t>Net AI / productivity contribution</t>
  </si>
  <si>
    <t>AI-led Engineering service mix</t>
  </si>
  <si>
    <t>AI Mod Squad accounts in rollout</t>
  </si>
  <si>
    <t>AI Mod Squad programs</t>
  </si>
  <si>
    <t>AI agents live / in build</t>
  </si>
  <si>
    <t>Measured productivity gains</t>
  </si>
  <si>
    <t>range</t>
  </si>
  <si>
    <t>22%–50%</t>
  </si>
  <si>
    <t>Interpretation</t>
  </si>
  <si>
    <t>Coforge disclosed 40+ rollout accounts, 50+ programs and 150+ agents live / in build. These activity KPIs support the forecast AI uplift assumption; they are not booked as historical AI revenue.</t>
  </si>
  <si>
    <t>Valuation</t>
  </si>
  <si>
    <t>FY-end and latest market prices; forward P/E, EV/EBITDA and DCF calculate independently and blend into an OUTPERFORM target</t>
  </si>
  <si>
    <t>Market capitalization</t>
  </si>
  <si>
    <t>Cash + bank balances</t>
  </si>
  <si>
    <t>Debt + lease liabilities</t>
  </si>
  <si>
    <t>Enterprise value</t>
  </si>
  <si>
    <t>Dividend yield</t>
  </si>
  <si>
    <t>P/E implied equity value / share</t>
  </si>
  <si>
    <t>EV / EBITDA implied equity value / share</t>
  </si>
  <si>
    <t>FCFF</t>
  </si>
  <si>
    <t>DCF enterprise value</t>
  </si>
  <si>
    <t>DCF equity value / share</t>
  </si>
  <si>
    <t>P/E weight</t>
  </si>
  <si>
    <t>EV / EBITDA weight</t>
  </si>
  <si>
    <t>DCF weight</t>
  </si>
  <si>
    <t>Implied rating</t>
  </si>
  <si>
    <t>COFORGE Prices</t>
  </si>
  <si>
    <t>Daily COFORGE.NS market history from FY16 onward; close drives FY-end and reference-price valuation</t>
  </si>
  <si>
    <t>Date</t>
  </si>
  <si>
    <t>Close</t>
  </si>
  <si>
    <t>Adjusted close</t>
  </si>
  <si>
    <t>Volume</t>
  </si>
  <si>
    <t>Fiscal year</t>
  </si>
  <si>
    <t>Source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</si>
  <si>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</si>
  <si>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</si>
  <si>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</si>
  <si>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</si>
  <si>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</si>
  <si>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</si>
  <si>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</si>
  <si>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</si>
  <si>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</si>
  <si>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</si>
  <si>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</si>
  <si>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</si>
  <si>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Model Checks</t>
  </si>
  <si>
    <t>Accounting, cash, spot-check, mix, forecast-driver, valuation and static circular-reference controls</t>
  </si>
  <si>
    <t>Check</t>
  </si>
  <si>
    <t>Control</t>
  </si>
  <si>
    <t>Difference</t>
  </si>
  <si>
    <t>Tolerance</t>
  </si>
  <si>
    <t>OVERALL MODEL STATUS</t>
  </si>
  <si>
    <t>FY16A balance sheet</t>
  </si>
  <si>
    <t>FY16A cash tie</t>
  </si>
  <si>
    <t>FY17A balance sheet</t>
  </si>
  <si>
    <t>FY17A cash tie</t>
  </si>
  <si>
    <t>FY18A balance sheet</t>
  </si>
  <si>
    <t>FY18A cash tie</t>
  </si>
  <si>
    <t>FY19A balance sheet</t>
  </si>
  <si>
    <t>FY19A cash tie</t>
  </si>
  <si>
    <t>FY20A balance sheet</t>
  </si>
  <si>
    <t>FY20A cash tie</t>
  </si>
  <si>
    <t>FY21A balance sheet</t>
  </si>
  <si>
    <t>FY21A cash tie</t>
  </si>
  <si>
    <t>FY22A balance sheet</t>
  </si>
  <si>
    <t>FY22A cash tie</t>
  </si>
  <si>
    <t>FY23A balance sheet</t>
  </si>
  <si>
    <t>FY23A cash tie</t>
  </si>
  <si>
    <t>FY24A balance sheet</t>
  </si>
  <si>
    <t>FY24A cash tie</t>
  </si>
  <si>
    <t>FY25A balance sheet</t>
  </si>
  <si>
    <t>FY25A cash tie</t>
  </si>
  <si>
    <t>FY26A balance sheet</t>
  </si>
  <si>
    <t>FY26A cash tie</t>
  </si>
  <si>
    <t>FY27E balance sheet</t>
  </si>
  <si>
    <t>FY27E cash tie</t>
  </si>
  <si>
    <t>FY28E balance sheet</t>
  </si>
  <si>
    <t>FY28E cash tie</t>
  </si>
  <si>
    <t>FY29E balance sheet</t>
  </si>
  <si>
    <t>FY29E cash tie</t>
  </si>
  <si>
    <t>FY30E balance sheet</t>
  </si>
  <si>
    <t>FY30E cash tie</t>
  </si>
  <si>
    <t>Q1 FY27 revenue spot check</t>
  </si>
  <si>
    <t>Q1 FY27 PBT spot check</t>
  </si>
  <si>
    <t>Q1 FY27 attributable NI spot check</t>
  </si>
  <si>
    <t>Q1 FY27 balance-sheet anchor</t>
  </si>
  <si>
    <t>FY16 quarterly revenue vs audited annual bridge</t>
  </si>
  <si>
    <t>FY17 quarterly revenue vs audited annual bridge</t>
  </si>
  <si>
    <t>FY18 quarterly revenue vs audited annual bridge</t>
  </si>
  <si>
    <t>FY19 quarterly revenue vs audited annual bridge</t>
  </si>
  <si>
    <t>FY20 quarterly revenue vs audited annual bridge</t>
  </si>
  <si>
    <t>FY21 quarterly revenue vs audited annual bridge</t>
  </si>
  <si>
    <t>FY22 quarterly revenue vs audited annual bridge</t>
  </si>
  <si>
    <t>FY23 quarterly revenue vs audited annual bridge</t>
  </si>
  <si>
    <t>FY24 quarterly revenue vs audited annual bridge</t>
  </si>
  <si>
    <t>FY25 quarterly revenue vs audited annual bridge</t>
  </si>
  <si>
    <t>FY26 quarterly revenue vs audited annual bridge</t>
  </si>
  <si>
    <t>FY27E revenue-driver tie</t>
  </si>
  <si>
    <t>FY27E contract mix</t>
  </si>
  <si>
    <t>FY27E non-negative cash</t>
  </si>
  <si>
    <t>FY27E debt schedule</t>
  </si>
  <si>
    <t>FY27E valuation weights</t>
  </si>
  <si>
    <t>FY28E revenue-driver tie</t>
  </si>
  <si>
    <t>FY28E contract mix</t>
  </si>
  <si>
    <t>FY28E non-negative cash</t>
  </si>
  <si>
    <t>FY28E debt schedule</t>
  </si>
  <si>
    <t>FY28E valuation weights</t>
  </si>
  <si>
    <t>FY29E revenue-driver tie</t>
  </si>
  <si>
    <t>FY29E contract mix</t>
  </si>
  <si>
    <t>FY29E non-negative cash</t>
  </si>
  <si>
    <t>FY29E debt schedule</t>
  </si>
  <si>
    <t>FY29E valuation weights</t>
  </si>
  <si>
    <t>FY30E revenue-driver tie</t>
  </si>
  <si>
    <t>FY30E contract mix</t>
  </si>
  <si>
    <t>FY30E non-negative cash</t>
  </si>
  <si>
    <t>FY30E debt schedule</t>
  </si>
  <si>
    <t>FY30E valuation weights</t>
  </si>
  <si>
    <t>Static circular-reference count</t>
  </si>
  <si>
    <t>INDIRECT / OFFSET formula count</t>
  </si>
  <si>
    <t>Formula error token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</si>
</sst>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;[Red]\(0.0%\);\-"/>
    <numFmt numFmtId="165" formatCode="\$#,##0.0;[Red]\(\$#,##0.0\);\-"/>
    <numFmt numFmtId="166" formatCode="#,##0.0;[Red]\(#,##0.0\);\-"/>
    <numFmt numFmtId="167" formatCode="0.0\x;[Red]\(0.0\x\);\-"/>
    <numFmt numFmtId="168" formatCode="0.00;[Red]\(0.00\);\-"/>
    <numFmt numFmtId="169" formatCode="#,##0;[Red]\(#,##0\);\-"/>
    <numFmt numFmtId="170" formatCode="yyyy\-mm\-dd"/>
  </numFmts>
  <fonts count="10">
    <font>
      <sz val="11"/>
      <name val="Carlito"/>
    </font>
    <font>
      <sz val="10"/>
      <color rgb="FF000000"/>
      <name val="Aptos Narrow"/>
    </font>
    <font>
      <b/>
      <sz val="16"/>
      <color rgb="FFFFFFFF"/>
      <name val="Aptos Narrow"/>
    </font>
    <font>
      <i/>
      <sz val="10"/>
      <color rgb="FF666666"/>
      <name val="Aptos Narrow"/>
    </font>
    <font>
      <b/>
      <sz val="13"/>
      <color rgb="FF000000"/>
      <name val="Aptos Narrow"/>
    </font>
    <font>
      <b/>
      <sz val="10"/>
      <color rgb="FF000000"/>
      <name val="Aptos Narrow"/>
    </font>
    <font>
      <b/>
      <sz val="10"/>
      <color rgb="FFFFFFFF"/>
      <name val="Aptos Narrow"/>
    </font>
    <font>
      <sz val="10"/>
      <color rgb="FF4472C4"/>
      <name val="Aptos Narrow"/>
    </font>
    <font>
      <i/>
      <sz val="10"/>
      <color rgb="FF4472C4"/>
      <name val="Aptos Narrow"/>
    </font>
    <font>
      <sz val="11"/>
      <color rgb="FF4472C4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6" fillId="4" borderId="0" xfId="0" applyFont="1" applyFill="1" applyAlignment="1">
      <alignment horizontal="center"/>
    </xf>
    <xf numFmtId="164" fontId="7" fillId="5" borderId="0" xfId="0" applyNumberFormat="1" applyFont="1" applyFill="1"/>
    <xf numFmtId="165" fontId="7" fillId="5" borderId="0" xfId="0" applyNumberFormat="1" applyFont="1" applyFill="1"/>
    <xf numFmtId="166" fontId="7" fillId="5" borderId="0" xfId="0" applyNumberFormat="1" applyFont="1" applyFill="1"/>
    <xf numFmtId="167" fontId="7" fillId="5" borderId="0" xfId="0" applyNumberFormat="1" applyFont="1" applyFill="1"/>
    <xf numFmtId="0" fontId="6" fillId="2" borderId="0" xfId="0" applyFont="1" applyFill="1"/>
    <xf numFmtId="0" fontId="7" fillId="0" borderId="0" xfId="0" applyFont="1"/>
    <xf numFmtId="169" fontId="7" fillId="0" borderId="0" xfId="0" applyNumberFormat="1" applyFont="1"/>
    <xf numFmtId="168" fontId="7" fillId="0" borderId="0" xfId="0" applyNumberFormat="1" applyFont="1"/>
    <xf numFmtId="164" fontId="7" fillId="0" borderId="0" xfId="0" applyNumberFormat="1" applyFont="1"/>
    <xf numFmtId="0" fontId="6" fillId="6" borderId="0" xfId="0" applyFont="1" applyFill="1" applyAlignment="1">
      <alignment horizontal="center"/>
    </xf>
    <xf numFmtId="165" fontId="7" fillId="0" borderId="0" xfId="0" applyNumberFormat="1" applyFont="1"/>
    <xf numFmtId="166" fontId="7" fillId="0" borderId="0" xfId="0" applyNumberFormat="1" applyFont="1"/>
    <xf numFmtId="0" fontId="1" fillId="6" borderId="0" xfId="0" applyFont="1" applyFill="1"/>
    <xf numFmtId="169" fontId="1" fillId="0" borderId="0" xfId="0" applyNumberFormat="1" applyFont="1"/>
    <xf numFmtId="164" fontId="1" fillId="0" borderId="0" xfId="0" applyNumberFormat="1" applyFont="1"/>
    <xf numFmtId="168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5" fontId="1" fillId="6" borderId="0" xfId="0" applyNumberFormat="1" applyFont="1" applyFill="1"/>
    <xf numFmtId="164" fontId="1" fillId="6" borderId="0" xfId="0" applyNumberFormat="1" applyFont="1" applyFill="1"/>
    <xf numFmtId="169" fontId="1" fillId="6" borderId="0" xfId="0" applyNumberFormat="1" applyFont="1" applyFill="1"/>
    <xf numFmtId="166" fontId="1" fillId="6" borderId="0" xfId="0" applyNumberFormat="1" applyFont="1" applyFill="1"/>
    <xf numFmtId="0" fontId="1" fillId="0" borderId="1" xfId="0" applyFont="1" applyBorder="1"/>
    <xf numFmtId="169" fontId="1" fillId="0" borderId="1" xfId="0" applyNumberFormat="1" applyFont="1" applyBorder="1"/>
    <xf numFmtId="0" fontId="5" fillId="0" borderId="1" xfId="0" applyFont="1" applyBorder="1"/>
    <xf numFmtId="169" fontId="1" fillId="6" borderId="1" xfId="0" applyNumberFormat="1" applyFont="1" applyFill="1" applyBorder="1"/>
    <xf numFmtId="168" fontId="1" fillId="6" borderId="0" xfId="0" applyNumberFormat="1" applyFont="1" applyFill="1"/>
    <xf numFmtId="167" fontId="1" fillId="0" borderId="0" xfId="0" applyNumberFormat="1" applyFont="1"/>
    <xf numFmtId="167" fontId="1" fillId="6" borderId="0" xfId="0" applyNumberFormat="1" applyFont="1" applyFill="1"/>
    <xf numFmtId="0" fontId="7" fillId="7" borderId="0" xfId="0" applyFont="1" applyFill="1"/>
    <xf numFmtId="168" fontId="7" fillId="7" borderId="0" xfId="0" applyNumberFormat="1" applyFont="1" applyFill="1"/>
    <xf numFmtId="0" fontId="9" fillId="7" borderId="0" xfId="0" applyFont="1" applyFill="1"/>
    <xf numFmtId="170" fontId="7" fillId="7" borderId="0" xfId="0" applyNumberFormat="1" applyFont="1" applyFill="1"/>
    <xf numFmtId="170" fontId="9" fillId="7" borderId="0" xfId="0" applyNumberFormat="1" applyFont="1" applyFill="1"/>
    <xf numFmtId="168" fontId="9" fillId="7" borderId="0" xfId="0" applyNumberFormat="1" applyFont="1" applyFill="1"/>
    <xf numFmtId="3" fontId="7" fillId="7" borderId="0" xfId="0" applyNumberFormat="1" applyFont="1" applyFill="1"/>
    <xf numFmtId="3" fontId="9" fillId="7" borderId="0" xfId="0" applyNumberFormat="1" applyFont="1" applyFill="1"/>
    <xf numFmtId="168" fontId="1" fillId="5" borderId="0" xfId="0" applyNumberFormat="1" applyFont="1" applyFill="1"/>
    <xf numFmtId="165" fontId="1" fillId="0" borderId="1" xfId="0" applyNumberFormat="1" applyFont="1" applyBorder="1"/>
    <xf numFmtId="164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165" fontId="1" fillId="6" borderId="1" xfId="0" applyNumberFormat="1" applyFont="1" applyFill="1" applyBorder="1"/>
    <xf numFmtId="164" fontId="1" fillId="6" borderId="1" xfId="0" applyNumberFormat="1" applyFont="1" applyFill="1" applyBorder="1"/>
    <xf numFmtId="166" fontId="1" fillId="6" borderId="1" xfId="0" applyNumberFormat="1" applyFont="1" applyFill="1" applyBorder="1"/>
    <xf numFmtId="168" fontId="1" fillId="6" borderId="1" xfId="0" applyNumberFormat="1" applyFont="1" applyFill="1" applyBorder="1"/>
    <xf numFmtId="0" fontId="5" fillId="2" borderId="0" xfId="0" applyFont="1" applyFill="1"/>
    <xf numFmtId="0" fontId="1" fillId="0" borderId="2" xfId="0" applyFont="1" applyBorder="1"/>
    <xf numFmtId="0" fontId="1" fillId="6" borderId="2" xfId="0" applyFont="1" applyFill="1" applyBorder="1"/>
    <xf numFmtId="164" fontId="1" fillId="0" borderId="2" xfId="0" applyNumberFormat="1" applyFont="1" applyBorder="1"/>
    <xf numFmtId="164" fontId="1" fillId="6" borderId="2" xfId="0" applyNumberFormat="1" applyFont="1" applyFill="1" applyBorder="1"/>
    <xf numFmtId="169" fontId="1" fillId="0" borderId="2" xfId="0" applyNumberFormat="1" applyFont="1" applyBorder="1"/>
    <xf numFmtId="169" fontId="1" fillId="6" borderId="2" xfId="0" applyNumberFormat="1" applyFont="1" applyFill="1" applyBorder="1"/>
    <xf numFmtId="0" fontId="2" fillId="2" borderId="0" xfId="0" applyFont="1" applyFill="1"/>
    <xf numFmtId="0" fontId="3" fillId="0" borderId="0" xfId="0" applyFont="1" applyAlignment="1">
      <alignment wrapText="1"/>
    </xf>
    <xf numFmtId="0" fontId="4" fillId="3" borderId="0" xfId="0" applyFont="1" applyFill="1"/>
    <xf numFmtId="0" fontId="6" fillId="2" borderId="0" xfId="0" applyFont="1" applyFill="1"/>
    <xf numFmtId="0" fontId="6" fillId="6" borderId="0" xfId="0" applyFont="1" applyFill="1"/>
    <xf numFmtId="0" fontId="8" fillId="5" borderId="0" xfId="0" applyFont="1" applyFill="1" applyAlignment="1">
      <alignment wrapText="1"/>
    </xf>
    <xf numFmtId="0" fontId="8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0"/>
  <sheetViews>
    <sheetView showGridLines="0" tabSelected="1" workbookViewId="0">
      <selection sqref="A1:H1"/>
    </sheetView>
  </sheetViews>
  <sheetFormatPr defaultRowHeight="13.8"/>
  <cols>
    <col min="1" max="1" width="28" customWidth="1"/>
    <col min="2" max="2" width="86" customWidth="1"/>
  </cols>
  <sheetData>
    <row r="1" spans="1:47" ht="25.95" customHeight="1">
      <c r="A1" s="58" t="s">
        <v>0</v>
      </c>
      <c r="B1" s="58"/>
      <c r="C1" s="58"/>
      <c r="D1" s="58"/>
      <c r="E1" s="58"/>
      <c r="F1" s="58"/>
      <c r="G1" s="58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1</v>
      </c>
      <c r="B2" s="59"/>
      <c r="C2" s="59"/>
      <c r="D2" s="59"/>
      <c r="E2" s="59"/>
      <c r="F2" s="59"/>
      <c r="G2" s="59"/>
      <c r="H2" s="5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7.399999999999999">
      <c r="A4" s="60" t="s">
        <v>2</v>
      </c>
      <c r="B4" s="60"/>
      <c r="C4" s="60"/>
      <c r="D4" s="60"/>
      <c r="E4" s="60"/>
      <c r="F4" s="60"/>
      <c r="G4" s="60"/>
      <c r="H4" s="6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2" t="s">
        <v>3</v>
      </c>
      <c r="B6" s="3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2" t="s">
        <v>5</v>
      </c>
      <c r="B7" s="3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2" t="s">
        <v>7</v>
      </c>
      <c r="B8" s="3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2" t="s">
        <v>9</v>
      </c>
      <c r="B9" s="3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27.6">
      <c r="A10" s="2" t="s">
        <v>11</v>
      </c>
      <c r="B10" s="3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27.6">
      <c r="A11" s="2" t="s">
        <v>13</v>
      </c>
      <c r="B11" s="3" t="s">
        <v>14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2" t="s">
        <v>15</v>
      </c>
      <c r="B12" s="3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2" t="s">
        <v>17</v>
      </c>
      <c r="B13" s="3" t="s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2" t="s">
        <v>19</v>
      </c>
      <c r="B14" s="3" t="s">
        <v>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2" t="s">
        <v>21</v>
      </c>
      <c r="B15" s="3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2" t="s">
        <v>23</v>
      </c>
      <c r="B16" s="3" t="s">
        <v>24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2" t="s">
        <v>25</v>
      </c>
      <c r="B17" s="3" t="str">
        <f>Checks!B6</f>
        <v>OK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3">
    <mergeCell ref="A1:H1"/>
    <mergeCell ref="A2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8" t="s">
        <v>26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27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29" t="s">
        <v>45</v>
      </c>
      <c r="B7" s="27" t="s">
        <v>46</v>
      </c>
      <c r="C7" s="28">
        <f>'Annual P&amp;L'!C7</f>
        <v>26824.048783999999</v>
      </c>
      <c r="D7" s="28">
        <f>'Annual P&amp;L'!D7</f>
        <v>28021</v>
      </c>
      <c r="E7" s="28">
        <f>'Annual P&amp;L'!E7</f>
        <v>29914</v>
      </c>
      <c r="F7" s="28">
        <f>'Annual P&amp;L'!F7</f>
        <v>36762</v>
      </c>
      <c r="G7" s="28">
        <f>'Annual P&amp;L'!G7</f>
        <v>41839</v>
      </c>
      <c r="H7" s="28">
        <f>'Annual P&amp;L'!H7</f>
        <v>46628</v>
      </c>
      <c r="I7" s="28">
        <f>'Annual P&amp;L'!I7</f>
        <v>64320</v>
      </c>
      <c r="J7" s="28">
        <f>'Annual P&amp;L'!J7</f>
        <v>80146</v>
      </c>
      <c r="K7" s="28">
        <f>'Annual P&amp;L'!K7</f>
        <v>91790</v>
      </c>
      <c r="L7" s="28">
        <f>'Annual P&amp;L'!L7</f>
        <v>120733</v>
      </c>
      <c r="M7" s="28">
        <f>'Annual P&amp;L'!M7</f>
        <v>164027</v>
      </c>
      <c r="N7" s="30">
        <f>'Annual P&amp;L'!N7</f>
        <v>228523.774026</v>
      </c>
      <c r="O7" s="30">
        <f>'Annual P&amp;L'!O7</f>
        <v>293835.96054016938</v>
      </c>
      <c r="P7" s="30">
        <f>'Annual P&amp;L'!P7</f>
        <v>369616.09205215255</v>
      </c>
      <c r="Q7" s="30">
        <f>'Annual P&amp;L'!Q7</f>
        <v>457101.52226333285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47</v>
      </c>
      <c r="B8" s="1" t="s">
        <v>48</v>
      </c>
      <c r="C8" s="19">
        <f>'Annual P&amp;L'!C8</f>
        <v>0</v>
      </c>
      <c r="D8" s="19">
        <f>'Annual P&amp;L'!D8</f>
        <v>4.462231729588706E-2</v>
      </c>
      <c r="E8" s="19">
        <f>'Annual P&amp;L'!E8</f>
        <v>6.7556475500517577E-2</v>
      </c>
      <c r="F8" s="19">
        <f>'Annual P&amp;L'!F8</f>
        <v>0.22892291234873308</v>
      </c>
      <c r="G8" s="19">
        <f>'Annual P&amp;L'!G8</f>
        <v>0.13810456449594688</v>
      </c>
      <c r="H8" s="19">
        <f>'Annual P&amp;L'!H8</f>
        <v>0.11446258275771415</v>
      </c>
      <c r="I8" s="19">
        <f>'Annual P&amp;L'!I8</f>
        <v>0.37942866946898857</v>
      </c>
      <c r="J8" s="19">
        <f>'Annual P&amp;L'!J8</f>
        <v>0.24605099502487571</v>
      </c>
      <c r="K8" s="19">
        <f>'Annual P&amp;L'!K8</f>
        <v>0.14528485513937062</v>
      </c>
      <c r="L8" s="19">
        <f>'Annual P&amp;L'!L8</f>
        <v>0.31531757272033989</v>
      </c>
      <c r="M8" s="19">
        <f>'Annual P&amp;L'!M8</f>
        <v>0.35859292819693045</v>
      </c>
      <c r="N8" s="24">
        <f>'Annual P&amp;L'!N8</f>
        <v>0.39320827684466586</v>
      </c>
      <c r="O8" s="24">
        <f>'Annual P&amp;L'!O8</f>
        <v>0.28580040213557201</v>
      </c>
      <c r="P8" s="24">
        <f>'Annual P&amp;L'!P8</f>
        <v>0.25789944625114569</v>
      </c>
      <c r="Q8" s="24">
        <f>'Annual P&amp;L'!Q8</f>
        <v>0.23669269843055463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45</v>
      </c>
      <c r="B9" s="1" t="s">
        <v>49</v>
      </c>
      <c r="C9" s="21">
        <f>'Order Book &amp; Revenue'!C33</f>
        <v>0</v>
      </c>
      <c r="D9" s="21">
        <f>'Order Book &amp; Revenue'!D33</f>
        <v>0</v>
      </c>
      <c r="E9" s="21">
        <f>'Order Book &amp; Revenue'!E33</f>
        <v>0</v>
      </c>
      <c r="F9" s="21">
        <f>'Order Book &amp; Revenue'!F33</f>
        <v>0</v>
      </c>
      <c r="G9" s="21">
        <f>'Order Book &amp; Revenue'!G33</f>
        <v>0</v>
      </c>
      <c r="H9" s="21">
        <f>'Order Book &amp; Revenue'!H33</f>
        <v>0</v>
      </c>
      <c r="I9" s="21">
        <f>'Order Book &amp; Revenue'!I33</f>
        <v>866.5</v>
      </c>
      <c r="J9" s="21">
        <f>'Order Book &amp; Revenue'!J33</f>
        <v>1001.7</v>
      </c>
      <c r="K9" s="21">
        <f>'Order Book &amp; Revenue'!K33</f>
        <v>1118.7</v>
      </c>
      <c r="L9" s="21">
        <f>'Order Book &amp; Revenue'!L33</f>
        <v>1448</v>
      </c>
      <c r="M9" s="21">
        <f>'Order Book &amp; Revenue'!M33</f>
        <v>1870</v>
      </c>
      <c r="N9" s="23">
        <f>'Order Book &amp; Revenue'!N33</f>
        <v>2431.103979</v>
      </c>
      <c r="O9" s="23">
        <f>'Order Book &amp; Revenue'!O33</f>
        <v>3093.0101109491516</v>
      </c>
      <c r="P9" s="23">
        <f>'Order Book &amp; Revenue'!P33</f>
        <v>3850.1676255432558</v>
      </c>
      <c r="Q9" s="23">
        <f>'Order Book &amp; Revenue'!Q33</f>
        <v>4712.3868274570395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29" t="s">
        <v>50</v>
      </c>
      <c r="B10" s="27" t="s">
        <v>49</v>
      </c>
      <c r="C10" s="43">
        <f>'Order Book &amp; Revenue'!C10</f>
        <v>301</v>
      </c>
      <c r="D10" s="43">
        <f>'Order Book &amp; Revenue'!D10</f>
        <v>320</v>
      </c>
      <c r="E10" s="43">
        <f>'Order Book &amp; Revenue'!E10</f>
        <v>339</v>
      </c>
      <c r="F10" s="43">
        <f>'Order Book &amp; Revenue'!F10</f>
        <v>390</v>
      </c>
      <c r="G10" s="43">
        <f>'Order Book &amp; Revenue'!G10</f>
        <v>468</v>
      </c>
      <c r="H10" s="43">
        <f>'Order Book &amp; Revenue'!H10</f>
        <v>520</v>
      </c>
      <c r="I10" s="43">
        <f>'Order Book &amp; Revenue'!I10</f>
        <v>720</v>
      </c>
      <c r="J10" s="43">
        <f>'Order Book &amp; Revenue'!J10</f>
        <v>869</v>
      </c>
      <c r="K10" s="43">
        <f>'Order Book &amp; Revenue'!K10</f>
        <v>1019</v>
      </c>
      <c r="L10" s="43">
        <f>'Order Book &amp; Revenue'!L10</f>
        <v>1505</v>
      </c>
      <c r="M10" s="43">
        <f>'Order Book &amp; Revenue'!M10</f>
        <v>1752</v>
      </c>
      <c r="N10" s="47">
        <f>'Order Book &amp; Revenue'!N10</f>
        <v>2242</v>
      </c>
      <c r="O10" s="47">
        <f>'Order Book &amp; Revenue'!O10</f>
        <v>2466.2000000000003</v>
      </c>
      <c r="P10" s="47">
        <f>'Order Book &amp; Revenue'!P10</f>
        <v>2688.1580000000004</v>
      </c>
      <c r="Q10" s="47">
        <f>'Order Book &amp; Revenue'!Q10</f>
        <v>2903.2106400000007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51</v>
      </c>
      <c r="B11" s="1" t="s">
        <v>49</v>
      </c>
      <c r="C11" s="21">
        <f>'Order Book &amp; Revenue'!C15</f>
        <v>420</v>
      </c>
      <c r="D11" s="21">
        <f>'Order Book &amp; Revenue'!D15</f>
        <v>457</v>
      </c>
      <c r="E11" s="21">
        <f>'Order Book &amp; Revenue'!E15</f>
        <v>507</v>
      </c>
      <c r="F11" s="21">
        <f>'Order Book &amp; Revenue'!F15</f>
        <v>646</v>
      </c>
      <c r="G11" s="21">
        <f>'Order Book &amp; Revenue'!G15</f>
        <v>748</v>
      </c>
      <c r="H11" s="21">
        <f>'Order Book &amp; Revenue'!H15</f>
        <v>781</v>
      </c>
      <c r="I11" s="21">
        <f>'Order Book &amp; Revenue'!I15</f>
        <v>1151</v>
      </c>
      <c r="J11" s="21">
        <f>'Order Book &amp; Revenue'!J15</f>
        <v>1265</v>
      </c>
      <c r="K11" s="21">
        <f>'Order Book &amp; Revenue'!K15</f>
        <v>1973</v>
      </c>
      <c r="L11" s="21">
        <f>'Order Book &amp; Revenue'!L15</f>
        <v>3456</v>
      </c>
      <c r="M11" s="21">
        <f>'Order Book &amp; Revenue'!M15</f>
        <v>2262</v>
      </c>
      <c r="N11" s="23">
        <f>'Order Book &amp; Revenue'!N15</f>
        <v>2488.2000000000003</v>
      </c>
      <c r="O11" s="23">
        <f>'Order Book &amp; Revenue'!O15</f>
        <v>2737.0200000000004</v>
      </c>
      <c r="P11" s="23">
        <f>'Order Book &amp; Revenue'!P15</f>
        <v>2983.3518000000008</v>
      </c>
      <c r="Q11" s="23">
        <f>'Order Book &amp; Revenue'!Q15</f>
        <v>3222.019944000001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29" t="s">
        <v>52</v>
      </c>
      <c r="B12" s="27" t="s">
        <v>48</v>
      </c>
      <c r="C12" s="44">
        <f>'Annual P&amp;L'!C11</f>
        <v>0.41489825389962642</v>
      </c>
      <c r="D12" s="44">
        <f>'Annual P&amp;L'!D11</f>
        <v>0.40566004068377287</v>
      </c>
      <c r="E12" s="44">
        <f>'Annual P&amp;L'!E11</f>
        <v>0.4010162465735107</v>
      </c>
      <c r="F12" s="44">
        <f>'Annual P&amp;L'!F11</f>
        <v>0.40637070888417387</v>
      </c>
      <c r="G12" s="44">
        <f>'Annual P&amp;L'!G11</f>
        <v>0.37517627094337819</v>
      </c>
      <c r="H12" s="44">
        <f>'Annual P&amp;L'!H11</f>
        <v>0.35461525263789995</v>
      </c>
      <c r="I12" s="44">
        <f>'Annual P&amp;L'!I11</f>
        <v>0.37702114427860695</v>
      </c>
      <c r="J12" s="44">
        <f>'Annual P&amp;L'!J11</f>
        <v>0.39072442791904771</v>
      </c>
      <c r="K12" s="44">
        <f>'Annual P&amp;L'!K11</f>
        <v>0.32600000000000001</v>
      </c>
      <c r="L12" s="44">
        <f>'Annual P&amp;L'!L11</f>
        <v>0.33700000000000002</v>
      </c>
      <c r="M12" s="44">
        <f>'Annual P&amp;L'!M11</f>
        <v>0.33800000000000002</v>
      </c>
      <c r="N12" s="48">
        <f>'Annual P&amp;L'!N11</f>
        <v>0.34300000000000003</v>
      </c>
      <c r="O12" s="48">
        <f>'Annual P&amp;L'!O11</f>
        <v>0.34699999999999998</v>
      </c>
      <c r="P12" s="48">
        <f>'Annual P&amp;L'!P11</f>
        <v>0.35</v>
      </c>
      <c r="Q12" s="48">
        <f>'Annual P&amp;L'!Q11</f>
        <v>0.35299999999999998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53</v>
      </c>
      <c r="B13" s="1" t="s">
        <v>48</v>
      </c>
      <c r="C13" s="19">
        <f>'Annual P&amp;L'!C14</f>
        <v>0.18049929453185259</v>
      </c>
      <c r="D13" s="19">
        <f>'Annual P&amp;L'!D14</f>
        <v>0.17108597123585881</v>
      </c>
      <c r="E13" s="19">
        <f>'Annual P&amp;L'!E14</f>
        <v>0.16758039713846359</v>
      </c>
      <c r="F13" s="19">
        <f>'Annual P&amp;L'!F14</f>
        <v>0.17640498340677874</v>
      </c>
      <c r="G13" s="19">
        <f>'Annual P&amp;L'!G14</f>
        <v>0.17287698080738068</v>
      </c>
      <c r="H13" s="19">
        <f>'Annual P&amp;L'!H14</f>
        <v>0.16717423007634896</v>
      </c>
      <c r="I13" s="19">
        <f>'Annual P&amp;L'!I14</f>
        <v>0.17131529850746269</v>
      </c>
      <c r="J13" s="19">
        <f>'Annual P&amp;L'!J14</f>
        <v>0.15979587253262795</v>
      </c>
      <c r="K13" s="19">
        <f>'Annual P&amp;L'!K14</f>
        <v>0.17599999999999999</v>
      </c>
      <c r="L13" s="19">
        <f>'Annual P&amp;L'!L14</f>
        <v>0.14299999999999999</v>
      </c>
      <c r="M13" s="19">
        <f>'Annual P&amp;L'!M14</f>
        <v>0.186</v>
      </c>
      <c r="N13" s="24">
        <f>'Annual P&amp;L'!N14</f>
        <v>0.20500000000000002</v>
      </c>
      <c r="O13" s="24">
        <f>'Annual P&amp;L'!O14</f>
        <v>0.21199999999999997</v>
      </c>
      <c r="P13" s="24">
        <f>'Annual P&amp;L'!P14</f>
        <v>0.21799999999999997</v>
      </c>
      <c r="Q13" s="24">
        <f>'Annual P&amp;L'!Q14</f>
        <v>0.22299999999999995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29" t="s">
        <v>54</v>
      </c>
      <c r="B14" s="27" t="s">
        <v>46</v>
      </c>
      <c r="C14" s="28">
        <f>'Annual P&amp;L'!C16</f>
        <v>4841.721881999998</v>
      </c>
      <c r="D14" s="28">
        <f>'Annual P&amp;L'!D16</f>
        <v>4794</v>
      </c>
      <c r="E14" s="28">
        <f>'Annual P&amp;L'!E16</f>
        <v>5013</v>
      </c>
      <c r="F14" s="28">
        <f>'Annual P&amp;L'!F16</f>
        <v>6485</v>
      </c>
      <c r="G14" s="28">
        <f>'Annual P&amp;L'!G16</f>
        <v>7233</v>
      </c>
      <c r="H14" s="28">
        <f>'Annual P&amp;L'!H16</f>
        <v>7795</v>
      </c>
      <c r="I14" s="28">
        <f>'Annual P&amp;L'!I16</f>
        <v>11019</v>
      </c>
      <c r="J14" s="28">
        <f>'Annual P&amp;L'!J16</f>
        <v>12807</v>
      </c>
      <c r="K14" s="28">
        <f>'Annual P&amp;L'!K16</f>
        <v>16155.039999999999</v>
      </c>
      <c r="L14" s="28">
        <f>'Annual P&amp;L'!L16</f>
        <v>17264.819</v>
      </c>
      <c r="M14" s="28">
        <f>'Annual P&amp;L'!M16</f>
        <v>30509.022000000001</v>
      </c>
      <c r="N14" s="30">
        <f>'Annual P&amp;L'!N16</f>
        <v>45476.231031174</v>
      </c>
      <c r="O14" s="30">
        <f>'Annual P&amp;L'!O16</f>
        <v>60530.207871274884</v>
      </c>
      <c r="P14" s="30">
        <f>'Annual P&amp;L'!P16</f>
        <v>78358.611515056327</v>
      </c>
      <c r="Q14" s="30">
        <f>'Annual P&amp;L'!Q16</f>
        <v>99191.030331143207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55</v>
      </c>
      <c r="B15" s="1" t="s">
        <v>48</v>
      </c>
      <c r="C15" s="19">
        <f>'Annual P&amp;L'!C20</f>
        <v>0.13944309317805476</v>
      </c>
      <c r="D15" s="19">
        <f>'Annual P&amp;L'!D20</f>
        <v>0.12551300810106705</v>
      </c>
      <c r="E15" s="19">
        <f>'Annual P&amp;L'!E20</f>
        <v>0.12499164270909942</v>
      </c>
      <c r="F15" s="19">
        <f>'Annual P&amp;L'!F20</f>
        <v>0.14245688482672325</v>
      </c>
      <c r="G15" s="19">
        <f>'Annual P&amp;L'!G20</f>
        <v>0.13152800019120917</v>
      </c>
      <c r="H15" s="19">
        <f>'Annual P&amp;L'!H20</f>
        <v>0.12779874753367076</v>
      </c>
      <c r="I15" s="19">
        <f>'Annual P&amp;L'!I20</f>
        <v>0.13599191542288558</v>
      </c>
      <c r="J15" s="19">
        <f>'Annual P&amp;L'!J20</f>
        <v>0.12754223542035784</v>
      </c>
      <c r="K15" s="19">
        <f>'Annual P&amp;L'!K20</f>
        <v>0.14129033663797799</v>
      </c>
      <c r="L15" s="19">
        <f>'Annual P&amp;L'!L20</f>
        <v>0.10758300547489087</v>
      </c>
      <c r="M15" s="19">
        <f>'Annual P&amp;L'!M20</f>
        <v>0.14442757594786224</v>
      </c>
      <c r="N15" s="24">
        <f>'Annual P&amp;L'!N20</f>
        <v>0.15</v>
      </c>
      <c r="O15" s="24">
        <f>'Annual P&amp;L'!O20</f>
        <v>0.15999999999999998</v>
      </c>
      <c r="P15" s="24">
        <f>'Annual P&amp;L'!P20</f>
        <v>0.16899999999999996</v>
      </c>
      <c r="Q15" s="24">
        <f>'Annual P&amp;L'!Q20</f>
        <v>0.17699999999999994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29" t="s">
        <v>56</v>
      </c>
      <c r="B16" s="27" t="s">
        <v>46</v>
      </c>
      <c r="C16" s="28">
        <f>'Annual P&amp;L'!C30</f>
        <v>2799.6307740000002</v>
      </c>
      <c r="D16" s="28">
        <f>'Annual P&amp;L'!D30</f>
        <v>2501</v>
      </c>
      <c r="E16" s="28">
        <f>'Annual P&amp;L'!E30</f>
        <v>2802</v>
      </c>
      <c r="F16" s="28">
        <f>'Annual P&amp;L'!F30</f>
        <v>4033</v>
      </c>
      <c r="G16" s="28">
        <f>'Annual P&amp;L'!G30</f>
        <v>4440</v>
      </c>
      <c r="H16" s="28">
        <f>'Annual P&amp;L'!H30</f>
        <v>4556</v>
      </c>
      <c r="I16" s="28">
        <f>'Annual P&amp;L'!I30</f>
        <v>6617</v>
      </c>
      <c r="J16" s="28">
        <f>'Annual P&amp;L'!J30</f>
        <v>6938</v>
      </c>
      <c r="K16" s="28">
        <f>'Annual P&amp;L'!K30</f>
        <v>8080</v>
      </c>
      <c r="L16" s="28">
        <f>'Annual P&amp;L'!L30</f>
        <v>8121</v>
      </c>
      <c r="M16" s="28">
        <f>'Annual P&amp;L'!M30</f>
        <v>15557</v>
      </c>
      <c r="N16" s="30">
        <f>'Annual P&amp;L'!N30</f>
        <v>24404.046955912047</v>
      </c>
      <c r="O16" s="30">
        <f>'Annual P&amp;L'!O30</f>
        <v>34476.305240093265</v>
      </c>
      <c r="P16" s="30">
        <f>'Annual P&amp;L'!P30</f>
        <v>47203.695012677847</v>
      </c>
      <c r="Q16" s="30">
        <f>'Annual P&amp;L'!Q30</f>
        <v>61734.402961055457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57</v>
      </c>
      <c r="B17" s="1" t="s">
        <v>58</v>
      </c>
      <c r="C17" s="20">
        <f>'Annual P&amp;L'!C35</f>
        <v>9.11</v>
      </c>
      <c r="D17" s="20">
        <f>'Annual P&amp;L'!D35</f>
        <v>8.1419999999999995</v>
      </c>
      <c r="E17" s="20">
        <f>'Annual P&amp;L'!E35</f>
        <v>9.0680000000000014</v>
      </c>
      <c r="F17" s="20">
        <f>'Annual P&amp;L'!F35</f>
        <v>12.946000000000002</v>
      </c>
      <c r="G17" s="20">
        <f>'Annual P&amp;L'!G35</f>
        <v>14.193999999999999</v>
      </c>
      <c r="H17" s="20">
        <f>'Annual P&amp;L'!H35</f>
        <v>14.658000000000001</v>
      </c>
      <c r="I17" s="20">
        <f>'Annual P&amp;L'!I35</f>
        <v>21.303999999999998</v>
      </c>
      <c r="J17" s="20">
        <f>'Annual P&amp;L'!J35</f>
        <v>22.306000000000001</v>
      </c>
      <c r="K17" s="20">
        <f>'Annual P&amp;L'!K35</f>
        <v>25.917999999999999</v>
      </c>
      <c r="L17" s="20">
        <f>'Annual P&amp;L'!L35</f>
        <v>24.41</v>
      </c>
      <c r="M17" s="20">
        <f>'Annual P&amp;L'!M35</f>
        <v>45.9</v>
      </c>
      <c r="N17" s="31">
        <f>'Annual P&amp;L'!N35</f>
        <v>57.421286955087169</v>
      </c>
      <c r="O17" s="31">
        <f>'Annual P&amp;L'!O35</f>
        <v>81.120718211984155</v>
      </c>
      <c r="P17" s="31">
        <f>'Annual P&amp;L'!P35</f>
        <v>111.06751767688905</v>
      </c>
      <c r="Q17" s="31">
        <f>'Annual P&amp;L'!Q35</f>
        <v>145.2574187318952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29" t="s">
        <v>59</v>
      </c>
      <c r="B18" s="27" t="s">
        <v>46</v>
      </c>
      <c r="C18" s="28">
        <f>'Annual Cash Flow'!C19</f>
        <v>3602.9215859999999</v>
      </c>
      <c r="D18" s="28">
        <f>'Annual Cash Flow'!D19</f>
        <v>4723</v>
      </c>
      <c r="E18" s="28">
        <f>'Annual Cash Flow'!E19</f>
        <v>3824</v>
      </c>
      <c r="F18" s="28">
        <f>'Annual Cash Flow'!F19</f>
        <v>4527</v>
      </c>
      <c r="G18" s="28">
        <f>'Annual Cash Flow'!G19</f>
        <v>2969</v>
      </c>
      <c r="H18" s="28">
        <f>'Annual Cash Flow'!H19</f>
        <v>7623</v>
      </c>
      <c r="I18" s="28">
        <f>'Annual Cash Flow'!I19</f>
        <v>7656</v>
      </c>
      <c r="J18" s="28">
        <f>'Annual Cash Flow'!J19</f>
        <v>9505</v>
      </c>
      <c r="K18" s="28">
        <f>'Annual Cash Flow'!K19</f>
        <v>9034</v>
      </c>
      <c r="L18" s="28">
        <f>'Annual Cash Flow'!L19</f>
        <v>12371</v>
      </c>
      <c r="M18" s="28">
        <f>'Annual Cash Flow'!M19</f>
        <v>17917</v>
      </c>
      <c r="N18" s="30">
        <f>'Annual Cash Flow'!N19</f>
        <v>24789.334963289901</v>
      </c>
      <c r="O18" s="30">
        <f>'Annual Cash Flow'!O19</f>
        <v>41518.649740332396</v>
      </c>
      <c r="P18" s="30">
        <f>'Annual Cash Flow'!P19</f>
        <v>53291.130057790557</v>
      </c>
      <c r="Q18" s="30">
        <f>'Annual Cash Flow'!Q19</f>
        <v>67071.39738513164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60</v>
      </c>
      <c r="B19" s="1" t="s">
        <v>46</v>
      </c>
      <c r="C19" s="18">
        <f>'Annual Cash Flow'!C44</f>
        <v>1993.8050479999999</v>
      </c>
      <c r="D19" s="18">
        <f>'Annual Cash Flow'!D44</f>
        <v>4723</v>
      </c>
      <c r="E19" s="18">
        <f>'Annual Cash Flow'!E44</f>
        <v>3824</v>
      </c>
      <c r="F19" s="18">
        <f>'Annual Cash Flow'!F44</f>
        <v>4527</v>
      </c>
      <c r="G19" s="18">
        <f>'Annual Cash Flow'!G44</f>
        <v>2969</v>
      </c>
      <c r="H19" s="18">
        <f>'Annual Cash Flow'!H44</f>
        <v>7623</v>
      </c>
      <c r="I19" s="18">
        <f>'Annual Cash Flow'!I44</f>
        <v>6115</v>
      </c>
      <c r="J19" s="18">
        <f>'Annual Cash Flow'!J44</f>
        <v>7923</v>
      </c>
      <c r="K19" s="18">
        <f>'Annual Cash Flow'!K44</f>
        <v>6379</v>
      </c>
      <c r="L19" s="18">
        <f>'Annual Cash Flow'!L44</f>
        <v>6227</v>
      </c>
      <c r="M19" s="18">
        <f>'Annual Cash Flow'!M44</f>
        <v>10492</v>
      </c>
      <c r="N19" s="25">
        <f>'Annual Cash Flow'!N44</f>
        <v>18287.6978723799</v>
      </c>
      <c r="O19" s="25">
        <f>'Annual Cash Flow'!O44</f>
        <v>32115.899003046976</v>
      </c>
      <c r="P19" s="25">
        <f>'Annual Cash Flow'!P44</f>
        <v>42202.64729622598</v>
      </c>
      <c r="Q19" s="25">
        <f>'Annual Cash Flow'!Q44</f>
        <v>53358.351717231657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29" t="s">
        <v>61</v>
      </c>
      <c r="B20" s="27" t="s">
        <v>46</v>
      </c>
      <c r="C20" s="28">
        <f>'Annual Cash Flow'!C41</f>
        <v>2878.627262</v>
      </c>
      <c r="D20" s="28">
        <f>'Annual Cash Flow'!D41</f>
        <v>3502</v>
      </c>
      <c r="E20" s="28">
        <f>'Annual Cash Flow'!E41</f>
        <v>4102</v>
      </c>
      <c r="F20" s="28">
        <f>'Annual Cash Flow'!F41</f>
        <v>5194</v>
      </c>
      <c r="G20" s="28">
        <f>'Annual Cash Flow'!G41</f>
        <v>8195</v>
      </c>
      <c r="H20" s="28">
        <f>'Annual Cash Flow'!H41</f>
        <v>7999</v>
      </c>
      <c r="I20" s="28">
        <f>'Annual Cash Flow'!I41</f>
        <v>4468</v>
      </c>
      <c r="J20" s="28">
        <f>'Annual Cash Flow'!J41</f>
        <v>5699</v>
      </c>
      <c r="K20" s="28">
        <f>'Annual Cash Flow'!K41</f>
        <v>3213</v>
      </c>
      <c r="L20" s="28">
        <f>'Annual Cash Flow'!L41</f>
        <v>7956</v>
      </c>
      <c r="M20" s="28">
        <f>'Annual Cash Flow'!M41</f>
        <v>10936</v>
      </c>
      <c r="N20" s="30">
        <f>'Annual Cash Flow'!N41</f>
        <v>13436.218905427551</v>
      </c>
      <c r="O20" s="30">
        <f>'Annual Cash Flow'!O41</f>
        <v>8327.861789081715</v>
      </c>
      <c r="P20" s="30">
        <f>'Annual Cash Flow'!P41</f>
        <v>3716.7486665003271</v>
      </c>
      <c r="Q20" s="30">
        <f>'Annual Cash Flow'!Q41</f>
        <v>29969.931113009337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62</v>
      </c>
      <c r="B21" s="1" t="s">
        <v>49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3">
        <f>'Acquisition &amp; Debt'!C17</f>
        <v>490</v>
      </c>
      <c r="O21" s="23">
        <f>'Acquisition &amp; Debt'!D17</f>
        <v>270</v>
      </c>
      <c r="P21" s="23">
        <f>'Acquisition &amp; Debt'!E17</f>
        <v>0</v>
      </c>
      <c r="Q21" s="23">
        <f>'Acquisition &amp; Debt'!F17</f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29" t="s">
        <v>63</v>
      </c>
      <c r="B22" s="27" t="s">
        <v>64</v>
      </c>
      <c r="C22" s="45">
        <f>'People &amp; AI'!C7</f>
        <v>9476</v>
      </c>
      <c r="D22" s="45">
        <f>'People &amp; AI'!D7</f>
        <v>8853</v>
      </c>
      <c r="E22" s="45">
        <f>'People &amp; AI'!E7</f>
        <v>9423</v>
      </c>
      <c r="F22" s="45">
        <f>'People &amp; AI'!F7</f>
        <v>10263</v>
      </c>
      <c r="G22" s="45">
        <f>'People &amp; AI'!G7</f>
        <v>11156</v>
      </c>
      <c r="H22" s="45">
        <f>'People &amp; AI'!H7</f>
        <v>12391</v>
      </c>
      <c r="I22" s="45">
        <f>'People &amp; AI'!I7</f>
        <v>22500</v>
      </c>
      <c r="J22" s="45">
        <f>'People &amp; AI'!J7</f>
        <v>23224</v>
      </c>
      <c r="K22" s="45">
        <f>'People &amp; AI'!K7</f>
        <v>24726</v>
      </c>
      <c r="L22" s="45">
        <f>'People &amp; AI'!L7</f>
        <v>33497</v>
      </c>
      <c r="M22" s="45">
        <f>'People &amp; AI'!M7</f>
        <v>35777</v>
      </c>
      <c r="N22" s="49">
        <f>'People &amp; AI'!N7</f>
        <v>42107.515634302224</v>
      </c>
      <c r="O22" s="49">
        <f>'People &amp; AI'!O7</f>
        <v>47522.970839848284</v>
      </c>
      <c r="P22" s="49">
        <f>'People &amp; AI'!P7</f>
        <v>53038.237378561083</v>
      </c>
      <c r="Q22" s="49">
        <f>'People &amp; AI'!Q7</f>
        <v>58687.430964870444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65</v>
      </c>
      <c r="B23" s="1" t="s">
        <v>64</v>
      </c>
      <c r="C23" s="22">
        <f>'People &amp; AI'!C10</f>
        <v>8743</v>
      </c>
      <c r="D23" s="22">
        <f>'People &amp; AI'!D10</f>
        <v>8066</v>
      </c>
      <c r="E23" s="22">
        <f>'People &amp; AI'!E10</f>
        <v>8588</v>
      </c>
      <c r="F23" s="22">
        <f>'People &amp; AI'!F10</f>
        <v>9363</v>
      </c>
      <c r="G23" s="22">
        <f>'People &amp; AI'!G10</f>
        <v>10274</v>
      </c>
      <c r="H23" s="22">
        <f>'People &amp; AI'!H10</f>
        <v>11469</v>
      </c>
      <c r="I23" s="22">
        <f>'People &amp; AI'!I10</f>
        <v>21294</v>
      </c>
      <c r="J23" s="22">
        <f>'People &amp; AI'!J10</f>
        <v>21815</v>
      </c>
      <c r="K23" s="22">
        <f>'People &amp; AI'!K10</f>
        <v>23243</v>
      </c>
      <c r="L23" s="22">
        <f>'People &amp; AI'!L10</f>
        <v>31354</v>
      </c>
      <c r="M23" s="22">
        <f>'People &amp; AI'!M10</f>
        <v>33643</v>
      </c>
      <c r="N23" s="26">
        <f>'People &amp; AI'!N10</f>
        <v>39595.91772604829</v>
      </c>
      <c r="O23" s="26">
        <f>'People &amp; AI'!O10</f>
        <v>44688.355870112522</v>
      </c>
      <c r="P23" s="26">
        <f>'People &amp; AI'!P10</f>
        <v>49874.651874861796</v>
      </c>
      <c r="Q23" s="26">
        <f>'People &amp; AI'!Q10</f>
        <v>55186.886545857291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66</v>
      </c>
      <c r="B24" s="1" t="s">
        <v>67</v>
      </c>
      <c r="C24" s="22">
        <f>'People &amp; AI'!C14</f>
        <v>0</v>
      </c>
      <c r="D24" s="22">
        <f>'People &amp; AI'!D14</f>
        <v>0</v>
      </c>
      <c r="E24" s="22">
        <f>'People &amp; AI'!E14</f>
        <v>0</v>
      </c>
      <c r="F24" s="22">
        <f>'People &amp; AI'!F14</f>
        <v>0</v>
      </c>
      <c r="G24" s="22">
        <f>'People &amp; AI'!G14</f>
        <v>0</v>
      </c>
      <c r="H24" s="22">
        <f>'People &amp; AI'!H14</f>
        <v>0</v>
      </c>
      <c r="I24" s="22">
        <f>'People &amp; AI'!I14</f>
        <v>0</v>
      </c>
      <c r="J24" s="22">
        <f>'People &amp; AI'!J14</f>
        <v>0</v>
      </c>
      <c r="K24" s="22">
        <f>'People &amp; AI'!K14</f>
        <v>0</v>
      </c>
      <c r="L24" s="22">
        <f>'People &amp; AI'!L14</f>
        <v>0</v>
      </c>
      <c r="M24" s="22">
        <f>'People &amp; AI'!M14</f>
        <v>71795</v>
      </c>
      <c r="N24" s="26">
        <f>'People &amp; AI'!N14</f>
        <v>81863.791980444192</v>
      </c>
      <c r="O24" s="26">
        <f>'People &amp; AI'!O14</f>
        <v>92283.848912500864</v>
      </c>
      <c r="P24" s="26">
        <f>'People &amp; AI'!P14</f>
        <v>102929.17626649399</v>
      </c>
      <c r="Q24" s="26">
        <f>'People &amp; AI'!Q14</f>
        <v>113852.81594728859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29" t="s">
        <v>68</v>
      </c>
      <c r="B25" s="27" t="s">
        <v>49</v>
      </c>
      <c r="C25" s="43">
        <f>'People &amp; AI'!C21</f>
        <v>0</v>
      </c>
      <c r="D25" s="43">
        <f>'People &amp; AI'!D21</f>
        <v>0</v>
      </c>
      <c r="E25" s="43">
        <f>'People &amp; AI'!E21</f>
        <v>0</v>
      </c>
      <c r="F25" s="43">
        <f>'People &amp; AI'!F21</f>
        <v>0</v>
      </c>
      <c r="G25" s="43">
        <f>'People &amp; AI'!G21</f>
        <v>0</v>
      </c>
      <c r="H25" s="43">
        <f>'People &amp; AI'!H21</f>
        <v>0</v>
      </c>
      <c r="I25" s="43">
        <f>'People &amp; AI'!I21</f>
        <v>0</v>
      </c>
      <c r="J25" s="43">
        <f>'People &amp; AI'!J21</f>
        <v>0</v>
      </c>
      <c r="K25" s="43">
        <f>'People &amp; AI'!K21</f>
        <v>0</v>
      </c>
      <c r="L25" s="43">
        <f>'People &amp; AI'!L21</f>
        <v>0</v>
      </c>
      <c r="M25" s="43">
        <f>'People &amp; AI'!M21</f>
        <v>0</v>
      </c>
      <c r="N25" s="47">
        <f>'People &amp; AI'!N21</f>
        <v>35.716999999999999</v>
      </c>
      <c r="O25" s="47">
        <f>'People &amp; AI'!O21</f>
        <v>69.796995237090002</v>
      </c>
      <c r="P25" s="47">
        <f>'People &amp; AI'!P21</f>
        <v>103.92513972789151</v>
      </c>
      <c r="Q25" s="47">
        <f>'People &amp; AI'!Q21</f>
        <v>148.15445023090447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69</v>
      </c>
      <c r="B26" s="1" t="s">
        <v>49</v>
      </c>
      <c r="C26" s="21">
        <f>'People &amp; AI'!C20</f>
        <v>0</v>
      </c>
      <c r="D26" s="21">
        <f>'People &amp; AI'!D20</f>
        <v>0</v>
      </c>
      <c r="E26" s="21">
        <f>'People &amp; AI'!E20</f>
        <v>0</v>
      </c>
      <c r="F26" s="21">
        <f>'People &amp; AI'!F20</f>
        <v>0</v>
      </c>
      <c r="G26" s="21">
        <f>'People &amp; AI'!G20</f>
        <v>0</v>
      </c>
      <c r="H26" s="21">
        <f>'People &amp; AI'!H20</f>
        <v>0</v>
      </c>
      <c r="I26" s="21">
        <f>'People &amp; AI'!I20</f>
        <v>0</v>
      </c>
      <c r="J26" s="21">
        <f>'People &amp; AI'!J20</f>
        <v>0</v>
      </c>
      <c r="K26" s="21">
        <f>'People &amp; AI'!K20</f>
        <v>0</v>
      </c>
      <c r="L26" s="21">
        <f>'People &amp; AI'!L20</f>
        <v>0</v>
      </c>
      <c r="M26" s="21">
        <f>'People &amp; AI'!M20</f>
        <v>0</v>
      </c>
      <c r="N26" s="23">
        <f>'People &amp; AI'!N20</f>
        <v>-10.179344999999998</v>
      </c>
      <c r="O26" s="23">
        <f>'People &amp; AI'!O20</f>
        <v>-13.028772444256802</v>
      </c>
      <c r="P26" s="23">
        <f>'People &amp; AI'!P20</f>
        <v>-13.064874708649219</v>
      </c>
      <c r="Q26" s="23">
        <f>'People &amp; AI'!Q20</f>
        <v>-10.000425390586052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29" t="s">
        <v>70</v>
      </c>
      <c r="B27" s="27" t="s">
        <v>58</v>
      </c>
      <c r="C27" s="46">
        <f>Valuation!C7</f>
        <v>99.339996337890625</v>
      </c>
      <c r="D27" s="46">
        <f>Valuation!D7</f>
        <v>87.120002746582031</v>
      </c>
      <c r="E27" s="46">
        <f>Valuation!E7</f>
        <v>173</v>
      </c>
      <c r="F27" s="46">
        <f>Valuation!F7</f>
        <v>266.79000854492188</v>
      </c>
      <c r="G27" s="46">
        <f>Valuation!G7</f>
        <v>229.55000305175781</v>
      </c>
      <c r="H27" s="46">
        <f>Valuation!H7</f>
        <v>585.3900146484375</v>
      </c>
      <c r="I27" s="46">
        <f>Valuation!I7</f>
        <v>891.5</v>
      </c>
      <c r="J27" s="46">
        <f>Valuation!J7</f>
        <v>762.82000732421875</v>
      </c>
      <c r="K27" s="46">
        <f>Valuation!K7</f>
        <v>1100.489990234375</v>
      </c>
      <c r="L27" s="46">
        <f>Valuation!L7</f>
        <v>1621.8399658203125</v>
      </c>
      <c r="M27" s="46">
        <f>Valuation!M7</f>
        <v>1114.699951171875</v>
      </c>
      <c r="N27" s="50">
        <f>Valuation!N7</f>
        <v>2014.5999755859375</v>
      </c>
      <c r="O27" s="50">
        <f>Valuation!O7</f>
        <v>2014.5999755859375</v>
      </c>
      <c r="P27" s="50">
        <f>Valuation!P7</f>
        <v>2014.5999755859375</v>
      </c>
      <c r="Q27" s="50">
        <f>Valuation!Q7</f>
        <v>2014.5999755859375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71</v>
      </c>
      <c r="B28" s="1" t="s">
        <v>72</v>
      </c>
      <c r="C28" s="32">
        <f>Valuation!C14</f>
        <v>10.904500146859565</v>
      </c>
      <c r="D28" s="32">
        <f>Valuation!D14</f>
        <v>10.700074029302632</v>
      </c>
      <c r="E28" s="32">
        <f>Valuation!E14</f>
        <v>19.07807675341861</v>
      </c>
      <c r="F28" s="32">
        <f>Valuation!F14</f>
        <v>20.607910439125742</v>
      </c>
      <c r="G28" s="32">
        <f>Valuation!G14</f>
        <v>16.172326550074526</v>
      </c>
      <c r="H28" s="32">
        <f>Valuation!H14</f>
        <v>39.936554417276398</v>
      </c>
      <c r="I28" s="32">
        <f>Valuation!I14</f>
        <v>41.846601577168613</v>
      </c>
      <c r="J28" s="32">
        <f>Valuation!J14</f>
        <v>34.197973967731492</v>
      </c>
      <c r="K28" s="32">
        <f>Valuation!K14</f>
        <v>42.460451818596148</v>
      </c>
      <c r="L28" s="32">
        <f>Valuation!L14</f>
        <v>66.44162088571538</v>
      </c>
      <c r="M28" s="32">
        <f>Valuation!M14</f>
        <v>24.28540198631536</v>
      </c>
      <c r="N28" s="33">
        <f>Valuation!N14</f>
        <v>35.084549344247264</v>
      </c>
      <c r="O28" s="33">
        <f>Valuation!O14</f>
        <v>24.834592444329665</v>
      </c>
      <c r="P28" s="33">
        <f>Valuation!P14</f>
        <v>18.1385162622135</v>
      </c>
      <c r="Q28" s="33">
        <f>Valuation!Q14</f>
        <v>13.869170973665234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73</v>
      </c>
      <c r="B29" s="1" t="s">
        <v>72</v>
      </c>
      <c r="C29" s="32">
        <f>Valuation!C16</f>
        <v>5.624117799799631</v>
      </c>
      <c r="D29" s="32">
        <f>Valuation!D16</f>
        <v>4.7475772105310572</v>
      </c>
      <c r="E29" s="32">
        <f>Valuation!E16</f>
        <v>9.8649054584238876</v>
      </c>
      <c r="F29" s="32">
        <f>Valuation!F16</f>
        <v>11.971581002466325</v>
      </c>
      <c r="G29" s="32">
        <f>Valuation!G16</f>
        <v>8.6850725677216793</v>
      </c>
      <c r="H29" s="32">
        <f>Valuation!H16</f>
        <v>22.30069813022595</v>
      </c>
      <c r="I29" s="32">
        <f>Valuation!I16</f>
        <v>25.039383123343743</v>
      </c>
      <c r="J29" s="32">
        <f>Valuation!J16</f>
        <v>18.339466181628886</v>
      </c>
      <c r="K29" s="32">
        <f>Valuation!K16</f>
        <v>21.41959727083665</v>
      </c>
      <c r="L29" s="32">
        <f>Valuation!L16</f>
        <v>31.361139853994107</v>
      </c>
      <c r="M29" s="32">
        <f>Valuation!M16</f>
        <v>12.261749940758772</v>
      </c>
      <c r="N29" s="33">
        <f>Valuation!N16</f>
        <v>19.635458333752641</v>
      </c>
      <c r="O29" s="33">
        <f>Valuation!O16</f>
        <v>14.506553672467108</v>
      </c>
      <c r="P29" s="33">
        <f>Valuation!P16</f>
        <v>10.946525096918585</v>
      </c>
      <c r="Q29" s="33">
        <f>Valuation!Q16</f>
        <v>8.3925962181961449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29" t="s">
        <v>74</v>
      </c>
      <c r="B30" s="27" t="s">
        <v>58</v>
      </c>
      <c r="C30" s="46">
        <f>Valuation!C32</f>
        <v>0</v>
      </c>
      <c r="D30" s="46">
        <f>Valuation!D32</f>
        <v>0</v>
      </c>
      <c r="E30" s="46">
        <f>Valuation!E32</f>
        <v>0</v>
      </c>
      <c r="F30" s="46">
        <f>Valuation!F32</f>
        <v>0</v>
      </c>
      <c r="G30" s="46">
        <f>Valuation!G32</f>
        <v>0</v>
      </c>
      <c r="H30" s="46">
        <f>Valuation!H32</f>
        <v>0</v>
      </c>
      <c r="I30" s="46">
        <f>Valuation!I32</f>
        <v>0</v>
      </c>
      <c r="J30" s="46">
        <f>Valuation!J32</f>
        <v>0</v>
      </c>
      <c r="K30" s="46">
        <f>Valuation!K32</f>
        <v>0</v>
      </c>
      <c r="L30" s="46">
        <f>Valuation!L32</f>
        <v>0</v>
      </c>
      <c r="M30" s="46">
        <f>Valuation!M32</f>
        <v>0</v>
      </c>
      <c r="N30" s="50">
        <f>Valuation!N32</f>
        <v>2302.0838514176858</v>
      </c>
      <c r="O30" s="50">
        <f>Valuation!O32</f>
        <v>2801.2504787605658</v>
      </c>
      <c r="P30" s="50">
        <f>Valuation!P32</f>
        <v>3353.8315642135781</v>
      </c>
      <c r="Q30" s="50">
        <f>Valuation!Q32</f>
        <v>3981.1948092396919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75</v>
      </c>
      <c r="B31" s="1" t="s">
        <v>48</v>
      </c>
      <c r="C31" s="19">
        <f>Valuation!C33</f>
        <v>0</v>
      </c>
      <c r="D31" s="19">
        <f>Valuation!D33</f>
        <v>0</v>
      </c>
      <c r="E31" s="19">
        <f>Valuation!E33</f>
        <v>0</v>
      </c>
      <c r="F31" s="19">
        <f>Valuation!F33</f>
        <v>0</v>
      </c>
      <c r="G31" s="19">
        <f>Valuation!G33</f>
        <v>0</v>
      </c>
      <c r="H31" s="19">
        <f>Valuation!H33</f>
        <v>0</v>
      </c>
      <c r="I31" s="19">
        <f>Valuation!I33</f>
        <v>0</v>
      </c>
      <c r="J31" s="19">
        <f>Valuation!J33</f>
        <v>0</v>
      </c>
      <c r="K31" s="19">
        <f>Valuation!K33</f>
        <v>0</v>
      </c>
      <c r="L31" s="19">
        <f>Valuation!L33</f>
        <v>0</v>
      </c>
      <c r="M31" s="19">
        <f>Valuation!M33</f>
        <v>0</v>
      </c>
      <c r="N31" s="24">
        <f>Valuation!N33</f>
        <v>0.14270022799346793</v>
      </c>
      <c r="O31" s="24">
        <f>Valuation!O33</f>
        <v>0.39047479038404864</v>
      </c>
      <c r="P31" s="24">
        <f>Valuation!P33</f>
        <v>0.66476303229286549</v>
      </c>
      <c r="Q31" s="24">
        <f>Valuation!Q33</f>
        <v>0.97617137768592444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76</v>
      </c>
      <c r="B32" s="1" t="s">
        <v>77</v>
      </c>
      <c r="C32" s="1">
        <f>Valuation!C34</f>
        <v>0</v>
      </c>
      <c r="D32" s="1">
        <f>Valuation!D34</f>
        <v>0</v>
      </c>
      <c r="E32" s="1">
        <f>Valuation!E34</f>
        <v>0</v>
      </c>
      <c r="F32" s="1">
        <f>Valuation!F34</f>
        <v>0</v>
      </c>
      <c r="G32" s="1">
        <f>Valuation!G34</f>
        <v>0</v>
      </c>
      <c r="H32" s="1">
        <f>Valuation!H34</f>
        <v>0</v>
      </c>
      <c r="I32" s="1">
        <f>Valuation!I34</f>
        <v>0</v>
      </c>
      <c r="J32" s="1">
        <f>Valuation!J34</f>
        <v>0</v>
      </c>
      <c r="K32" s="1">
        <f>Valuation!K34</f>
        <v>0</v>
      </c>
      <c r="L32" s="1">
        <f>Valuation!L34</f>
        <v>0</v>
      </c>
      <c r="M32" s="1">
        <f>Valuation!M34</f>
        <v>0</v>
      </c>
      <c r="N32" s="17" t="str">
        <f>Valuation!N34</f>
        <v>NEUTRAL</v>
      </c>
      <c r="O32" s="17" t="str">
        <f>Valuation!O34</f>
        <v>OUTPERFORM</v>
      </c>
      <c r="P32" s="17" t="str">
        <f>Valuation!P34</f>
        <v>OUTPERFORM</v>
      </c>
      <c r="Q32" s="17" t="str">
        <f>Valuation!Q34</f>
        <v>OUTPERFORM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  <c r="O33" s="17"/>
      <c r="P33" s="17"/>
      <c r="Q33" s="1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  <c r="O34" s="17"/>
      <c r="P34" s="17"/>
      <c r="Q34" s="1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60"/>
  <sheetViews>
    <sheetView showGridLines="0" workbookViewId="0"/>
  </sheetViews>
  <sheetFormatPr defaultRowHeight="13.8"/>
  <cols>
    <col min="1" max="1" width="8" customWidth="1"/>
    <col min="2" max="2" width="29" customWidth="1"/>
    <col min="3" max="3" width="15" customWidth="1"/>
    <col min="4" max="4" width="68" customWidth="1"/>
    <col min="5" max="5" width="37" customWidth="1"/>
    <col min="6" max="6" width="14" customWidth="1"/>
    <col min="7" max="7" width="55" customWidth="1"/>
  </cols>
  <sheetData>
    <row r="1" spans="1:47" ht="25.95" customHeight="1">
      <c r="A1" s="58" t="s">
        <v>78</v>
      </c>
      <c r="B1" s="58"/>
      <c r="C1" s="58"/>
      <c r="D1" s="58"/>
      <c r="E1" s="58"/>
      <c r="F1" s="58"/>
      <c r="G1" s="5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79</v>
      </c>
      <c r="B2" s="59"/>
      <c r="C2" s="59"/>
      <c r="D2" s="59"/>
      <c r="E2" s="59"/>
      <c r="F2" s="59"/>
      <c r="G2" s="5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80</v>
      </c>
      <c r="B5" s="4" t="s">
        <v>81</v>
      </c>
      <c r="C5" s="4" t="s">
        <v>29</v>
      </c>
      <c r="D5" s="4" t="s">
        <v>82</v>
      </c>
      <c r="E5" s="4" t="s">
        <v>83</v>
      </c>
      <c r="F5" s="4" t="s">
        <v>84</v>
      </c>
      <c r="G5" s="4" t="s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37.950000000000003" customHeight="1">
      <c r="A6" s="3" t="s">
        <v>86</v>
      </c>
      <c r="B6" s="3" t="s">
        <v>87</v>
      </c>
      <c r="C6" s="3" t="s">
        <v>46</v>
      </c>
      <c r="D6" s="3" t="s">
        <v>88</v>
      </c>
      <c r="E6" s="3" t="s">
        <v>89</v>
      </c>
      <c r="F6" s="3" t="s">
        <v>90</v>
      </c>
      <c r="G6" s="3" t="s">
        <v>91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37.950000000000003" customHeight="1">
      <c r="A7" s="3" t="s">
        <v>92</v>
      </c>
      <c r="B7" s="3" t="s">
        <v>93</v>
      </c>
      <c r="C7" s="3" t="s">
        <v>94</v>
      </c>
      <c r="D7" s="3" t="s">
        <v>95</v>
      </c>
      <c r="E7" s="3" t="s">
        <v>96</v>
      </c>
      <c r="F7" s="3" t="s">
        <v>90</v>
      </c>
      <c r="G7" s="3" t="s">
        <v>97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37.950000000000003" customHeight="1">
      <c r="A8" s="3" t="s">
        <v>98</v>
      </c>
      <c r="B8" s="3" t="s">
        <v>99</v>
      </c>
      <c r="C8" s="3" t="s">
        <v>100</v>
      </c>
      <c r="D8" s="3" t="s">
        <v>101</v>
      </c>
      <c r="E8" s="3" t="s">
        <v>102</v>
      </c>
      <c r="F8" s="3" t="s">
        <v>90</v>
      </c>
      <c r="G8" s="3" t="s">
        <v>103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37.950000000000003" customHeight="1">
      <c r="A9" s="3" t="s">
        <v>104</v>
      </c>
      <c r="B9" s="3" t="s">
        <v>105</v>
      </c>
      <c r="C9" s="3" t="s">
        <v>100</v>
      </c>
      <c r="D9" s="3" t="s">
        <v>106</v>
      </c>
      <c r="E9" s="3" t="s">
        <v>107</v>
      </c>
      <c r="F9" s="3" t="s">
        <v>90</v>
      </c>
      <c r="G9" s="3" t="s">
        <v>108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37.950000000000003" customHeight="1">
      <c r="A10" s="3" t="s">
        <v>109</v>
      </c>
      <c r="B10" s="3" t="s">
        <v>110</v>
      </c>
      <c r="C10" s="3" t="s">
        <v>46</v>
      </c>
      <c r="D10" s="3" t="s">
        <v>95</v>
      </c>
      <c r="E10" s="3" t="s">
        <v>111</v>
      </c>
      <c r="F10" s="3" t="s">
        <v>90</v>
      </c>
      <c r="G10" s="3" t="s">
        <v>112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37.950000000000003" customHeight="1">
      <c r="A11" s="3" t="s">
        <v>113</v>
      </c>
      <c r="B11" s="3" t="s">
        <v>114</v>
      </c>
      <c r="C11" s="3" t="s">
        <v>58</v>
      </c>
      <c r="D11" s="3" t="s">
        <v>115</v>
      </c>
      <c r="E11" s="3" t="s">
        <v>116</v>
      </c>
      <c r="F11" s="3" t="s">
        <v>90</v>
      </c>
      <c r="G11" s="3" t="s">
        <v>117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37.950000000000003" customHeight="1">
      <c r="A12" s="3" t="s">
        <v>118</v>
      </c>
      <c r="B12" s="3" t="s">
        <v>119</v>
      </c>
      <c r="C12" s="3" t="s">
        <v>120</v>
      </c>
      <c r="D12" s="3" t="s">
        <v>120</v>
      </c>
      <c r="E12" s="3" t="s">
        <v>121</v>
      </c>
      <c r="F12" s="3" t="s">
        <v>122</v>
      </c>
      <c r="G12" s="3" t="s">
        <v>123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37.950000000000003" customHeight="1">
      <c r="A13" s="3" t="s">
        <v>124</v>
      </c>
      <c r="B13" s="3" t="s">
        <v>125</v>
      </c>
      <c r="C13" s="3" t="s">
        <v>46</v>
      </c>
      <c r="D13" s="3" t="s">
        <v>126</v>
      </c>
      <c r="E13" s="3" t="s">
        <v>127</v>
      </c>
      <c r="F13" s="3" t="s">
        <v>128</v>
      </c>
      <c r="G13" s="3" t="s">
        <v>129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37.950000000000003" customHeight="1">
      <c r="A14" s="3" t="s">
        <v>130</v>
      </c>
      <c r="B14" s="3" t="s">
        <v>131</v>
      </c>
      <c r="C14" s="3" t="s">
        <v>46</v>
      </c>
      <c r="D14" s="3" t="s">
        <v>132</v>
      </c>
      <c r="E14" s="3" t="s">
        <v>133</v>
      </c>
      <c r="F14" s="3" t="s">
        <v>128</v>
      </c>
      <c r="G14" s="3" t="s">
        <v>134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260"/>
  <sheetViews>
    <sheetView showGridLines="0" workbookViewId="0"/>
  </sheetViews>
  <sheetFormatPr defaultRowHeight="13.8"/>
  <cols>
    <col min="1" max="1" width="52" customWidth="1"/>
    <col min="2" max="6" width="13" customWidth="1"/>
    <col min="7" max="7" width="52" customWidth="1"/>
  </cols>
  <sheetData>
    <row r="1" spans="1:47" ht="25.95" customHeight="1">
      <c r="A1" s="58" t="s">
        <v>135</v>
      </c>
      <c r="B1" s="58"/>
      <c r="C1" s="58"/>
      <c r="D1" s="58"/>
      <c r="E1" s="58"/>
      <c r="F1" s="58"/>
      <c r="G1" s="5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136</v>
      </c>
      <c r="B2" s="59"/>
      <c r="C2" s="59"/>
      <c r="D2" s="59"/>
      <c r="E2" s="59"/>
      <c r="F2" s="59"/>
      <c r="G2" s="5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137</v>
      </c>
      <c r="B5" s="4" t="s">
        <v>29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138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 t="s">
        <v>139</v>
      </c>
      <c r="B6" s="1" t="s">
        <v>48</v>
      </c>
      <c r="C6" s="5">
        <v>0.95499999999999996</v>
      </c>
      <c r="D6" s="5">
        <v>0.95699999999999996</v>
      </c>
      <c r="E6" s="5">
        <v>0.96</v>
      </c>
      <c r="F6" s="5">
        <v>0.96199999999999997</v>
      </c>
      <c r="G6" s="3" t="s">
        <v>140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141</v>
      </c>
      <c r="B7" s="1" t="s">
        <v>48</v>
      </c>
      <c r="C7" s="5">
        <v>0.12</v>
      </c>
      <c r="D7" s="5">
        <v>0.1</v>
      </c>
      <c r="E7" s="5">
        <v>0.09</v>
      </c>
      <c r="F7" s="5">
        <v>0.08</v>
      </c>
      <c r="G7" s="3" t="s">
        <v>142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143</v>
      </c>
      <c r="B8" s="1" t="s">
        <v>48</v>
      </c>
      <c r="C8" s="5">
        <v>0.04</v>
      </c>
      <c r="D8" s="5">
        <v>4.2000000000000003E-2</v>
      </c>
      <c r="E8" s="5">
        <v>4.3999999999999997E-2</v>
      </c>
      <c r="F8" s="5">
        <v>4.4999999999999998E-2</v>
      </c>
      <c r="G8" s="3" t="s">
        <v>144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145</v>
      </c>
      <c r="B9" s="1" t="s">
        <v>48</v>
      </c>
      <c r="C9" s="5">
        <v>0.1</v>
      </c>
      <c r="D9" s="5">
        <v>0.1</v>
      </c>
      <c r="E9" s="5">
        <v>0.09</v>
      </c>
      <c r="F9" s="5">
        <v>0.08</v>
      </c>
      <c r="G9" s="3" t="s">
        <v>146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147</v>
      </c>
      <c r="B10" s="1" t="s">
        <v>48</v>
      </c>
      <c r="C10" s="5">
        <v>0.06</v>
      </c>
      <c r="D10" s="5">
        <v>6.2E-2</v>
      </c>
      <c r="E10" s="5">
        <v>6.5000000000000002E-2</v>
      </c>
      <c r="F10" s="5">
        <v>6.7000000000000004E-2</v>
      </c>
      <c r="G10" s="3" t="s">
        <v>148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149</v>
      </c>
      <c r="B11" s="1" t="s">
        <v>48</v>
      </c>
      <c r="C11" s="5">
        <v>0.01</v>
      </c>
      <c r="D11" s="5">
        <v>1.4999999999999999E-2</v>
      </c>
      <c r="E11" s="5">
        <v>1.4999999999999999E-2</v>
      </c>
      <c r="F11" s="5">
        <v>1.4999999999999999E-2</v>
      </c>
      <c r="G11" s="3" t="s">
        <v>150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151</v>
      </c>
      <c r="B12" s="1" t="s">
        <v>48</v>
      </c>
      <c r="C12" s="5">
        <v>0.56999999999999995</v>
      </c>
      <c r="D12" s="5">
        <v>0.56000000000000005</v>
      </c>
      <c r="E12" s="5">
        <v>0.55000000000000004</v>
      </c>
      <c r="F12" s="5">
        <v>0.54</v>
      </c>
      <c r="G12" s="3" t="s">
        <v>152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153</v>
      </c>
      <c r="B13" s="1" t="s">
        <v>48</v>
      </c>
      <c r="C13" s="5">
        <v>0.01</v>
      </c>
      <c r="D13" s="5">
        <v>0.01</v>
      </c>
      <c r="E13" s="5">
        <v>8.0000000000000002E-3</v>
      </c>
      <c r="F13" s="5">
        <v>5.0000000000000001E-3</v>
      </c>
      <c r="G13" s="3" t="s">
        <v>154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155</v>
      </c>
      <c r="B14" s="1" t="s">
        <v>48</v>
      </c>
      <c r="C14" s="5">
        <v>8.0000000000000002E-3</v>
      </c>
      <c r="D14" s="5">
        <v>0.01</v>
      </c>
      <c r="E14" s="5">
        <v>1.2E-2</v>
      </c>
      <c r="F14" s="5">
        <v>1.2999999999999999E-2</v>
      </c>
      <c r="G14" s="3" t="s">
        <v>156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157</v>
      </c>
      <c r="B15" s="1" t="s">
        <v>48</v>
      </c>
      <c r="C15" s="5">
        <v>0.02</v>
      </c>
      <c r="D15" s="5">
        <v>0.03</v>
      </c>
      <c r="E15" s="5">
        <v>3.5000000000000003E-2</v>
      </c>
      <c r="F15" s="5">
        <v>0.04</v>
      </c>
      <c r="G15" s="3" t="s">
        <v>158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159</v>
      </c>
      <c r="B16" s="1" t="s">
        <v>49</v>
      </c>
      <c r="C16" s="6">
        <v>19</v>
      </c>
      <c r="D16" s="6">
        <v>0</v>
      </c>
      <c r="E16" s="6">
        <v>0</v>
      </c>
      <c r="F16" s="6">
        <v>0</v>
      </c>
      <c r="G16" s="3" t="s">
        <v>160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161</v>
      </c>
      <c r="B17" s="1" t="s">
        <v>49</v>
      </c>
      <c r="C17" s="6">
        <v>50.35</v>
      </c>
      <c r="D17" s="6"/>
      <c r="E17" s="6"/>
      <c r="F17" s="6"/>
      <c r="G17" s="3" t="s">
        <v>162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163</v>
      </c>
      <c r="B18" s="1" t="s">
        <v>48</v>
      </c>
      <c r="C18" s="5">
        <v>0.05</v>
      </c>
      <c r="D18" s="5">
        <v>0.1</v>
      </c>
      <c r="E18" s="5">
        <v>0.1</v>
      </c>
      <c r="F18" s="5">
        <v>0.09</v>
      </c>
      <c r="G18" s="3" t="s">
        <v>164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165</v>
      </c>
      <c r="B19" s="1" t="s">
        <v>166</v>
      </c>
      <c r="C19" s="7">
        <v>94</v>
      </c>
      <c r="D19" s="7">
        <v>95</v>
      </c>
      <c r="E19" s="7">
        <v>96</v>
      </c>
      <c r="F19" s="7">
        <v>97</v>
      </c>
      <c r="G19" s="3" t="s">
        <v>167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52</v>
      </c>
      <c r="B20" s="1" t="s">
        <v>48</v>
      </c>
      <c r="C20" s="5">
        <v>0.34300000000000003</v>
      </c>
      <c r="D20" s="5">
        <v>0.34699999999999998</v>
      </c>
      <c r="E20" s="5">
        <v>0.35</v>
      </c>
      <c r="F20" s="5">
        <v>0.35299999999999998</v>
      </c>
      <c r="G20" s="3" t="s">
        <v>168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169</v>
      </c>
      <c r="B21" s="1" t="s">
        <v>48</v>
      </c>
      <c r="C21" s="5">
        <v>0.13800000000000001</v>
      </c>
      <c r="D21" s="5">
        <v>0.13500000000000001</v>
      </c>
      <c r="E21" s="5">
        <v>0.13200000000000001</v>
      </c>
      <c r="F21" s="5">
        <v>0.13</v>
      </c>
      <c r="G21" s="3" t="s">
        <v>170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171</v>
      </c>
      <c r="B22" s="1" t="s">
        <v>48</v>
      </c>
      <c r="C22" s="5">
        <v>6.0000000000000001E-3</v>
      </c>
      <c r="D22" s="5">
        <v>6.0000000000000001E-3</v>
      </c>
      <c r="E22" s="5">
        <v>6.0000000000000001E-3</v>
      </c>
      <c r="F22" s="5">
        <v>6.0000000000000001E-3</v>
      </c>
      <c r="G22" s="3" t="s">
        <v>172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173</v>
      </c>
      <c r="B23" s="1" t="s">
        <v>48</v>
      </c>
      <c r="C23" s="5">
        <v>4.9000000000000002E-2</v>
      </c>
      <c r="D23" s="5">
        <v>4.5999999999999999E-2</v>
      </c>
      <c r="E23" s="5">
        <v>4.2999999999999997E-2</v>
      </c>
      <c r="F23" s="5">
        <v>0.04</v>
      </c>
      <c r="G23" s="3" t="s">
        <v>174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175</v>
      </c>
      <c r="B24" s="1" t="s">
        <v>48</v>
      </c>
      <c r="C24" s="5">
        <v>5.0000000000000001E-3</v>
      </c>
      <c r="D24" s="5">
        <v>5.0000000000000001E-3</v>
      </c>
      <c r="E24" s="5">
        <v>5.0000000000000001E-3</v>
      </c>
      <c r="F24" s="5">
        <v>5.0000000000000001E-3</v>
      </c>
      <c r="G24" s="3" t="s">
        <v>176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177</v>
      </c>
      <c r="B25" s="1" t="s">
        <v>48</v>
      </c>
      <c r="C25" s="5">
        <v>0.25</v>
      </c>
      <c r="D25" s="5">
        <v>0.25</v>
      </c>
      <c r="E25" s="5">
        <v>0.25</v>
      </c>
      <c r="F25" s="5">
        <v>0.25</v>
      </c>
      <c r="G25" s="3" t="s">
        <v>178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179</v>
      </c>
      <c r="B26" s="1" t="s">
        <v>48</v>
      </c>
      <c r="C26" s="5">
        <v>0.02</v>
      </c>
      <c r="D26" s="5">
        <v>1.4999999999999999E-2</v>
      </c>
      <c r="E26" s="5">
        <v>0.01</v>
      </c>
      <c r="F26" s="5">
        <v>0.01</v>
      </c>
      <c r="G26" s="3" t="s">
        <v>180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181</v>
      </c>
      <c r="B27" s="1" t="s">
        <v>182</v>
      </c>
      <c r="C27" s="7">
        <v>65</v>
      </c>
      <c r="D27" s="7">
        <v>64</v>
      </c>
      <c r="E27" s="7">
        <v>63</v>
      </c>
      <c r="F27" s="7">
        <v>62</v>
      </c>
      <c r="G27" s="3" t="s">
        <v>183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184</v>
      </c>
      <c r="B28" s="1" t="s">
        <v>182</v>
      </c>
      <c r="C28" s="7">
        <v>39</v>
      </c>
      <c r="D28" s="7">
        <v>37</v>
      </c>
      <c r="E28" s="7">
        <v>35</v>
      </c>
      <c r="F28" s="7">
        <v>33</v>
      </c>
      <c r="G28" s="3" t="s">
        <v>185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186</v>
      </c>
      <c r="B29" s="1" t="s">
        <v>48</v>
      </c>
      <c r="C29" s="5">
        <v>0.03</v>
      </c>
      <c r="D29" s="5">
        <v>2.8000000000000001E-2</v>
      </c>
      <c r="E29" s="5">
        <v>2.5999999999999999E-2</v>
      </c>
      <c r="F29" s="5">
        <v>2.4E-2</v>
      </c>
      <c r="G29" s="3" t="s">
        <v>187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188</v>
      </c>
      <c r="B30" s="1" t="s">
        <v>48</v>
      </c>
      <c r="C30" s="5">
        <v>2.5000000000000001E-2</v>
      </c>
      <c r="D30" s="5">
        <v>2.4E-2</v>
      </c>
      <c r="E30" s="5">
        <v>2.3E-2</v>
      </c>
      <c r="F30" s="5">
        <v>2.1999999999999999E-2</v>
      </c>
      <c r="G30" s="3" t="s">
        <v>189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190</v>
      </c>
      <c r="B31" s="1" t="s">
        <v>48</v>
      </c>
      <c r="C31" s="5">
        <v>0</v>
      </c>
      <c r="D31" s="5">
        <v>0</v>
      </c>
      <c r="E31" s="5">
        <v>0</v>
      </c>
      <c r="F31" s="5">
        <v>0</v>
      </c>
      <c r="G31" s="3" t="s">
        <v>191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192</v>
      </c>
      <c r="B32" s="1" t="s">
        <v>48</v>
      </c>
      <c r="C32" s="5">
        <v>2.5000000000000001E-2</v>
      </c>
      <c r="D32" s="5">
        <v>2.4E-2</v>
      </c>
      <c r="E32" s="5">
        <v>2.3E-2</v>
      </c>
      <c r="F32" s="5">
        <v>2.1999999999999999E-2</v>
      </c>
      <c r="G32" s="3" t="s">
        <v>193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194</v>
      </c>
      <c r="B33" s="1" t="s">
        <v>48</v>
      </c>
      <c r="C33" s="5">
        <v>0.04</v>
      </c>
      <c r="D33" s="5">
        <v>3.7999999999999999E-2</v>
      </c>
      <c r="E33" s="5">
        <v>3.5999999999999997E-2</v>
      </c>
      <c r="F33" s="5">
        <v>3.4000000000000002E-2</v>
      </c>
      <c r="G33" s="3" t="s">
        <v>195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196</v>
      </c>
      <c r="B34" s="1" t="s">
        <v>48</v>
      </c>
      <c r="C34" s="5">
        <v>2.3E-2</v>
      </c>
      <c r="D34" s="5">
        <v>2.1999999999999999E-2</v>
      </c>
      <c r="E34" s="5">
        <v>2.1000000000000001E-2</v>
      </c>
      <c r="F34" s="5">
        <v>0.02</v>
      </c>
      <c r="G34" s="3" t="s">
        <v>197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198</v>
      </c>
      <c r="B35" s="1" t="s">
        <v>48</v>
      </c>
      <c r="C35" s="5">
        <v>2.8000000000000001E-2</v>
      </c>
      <c r="D35" s="5">
        <v>2.5999999999999999E-2</v>
      </c>
      <c r="E35" s="5">
        <v>2.4E-2</v>
      </c>
      <c r="F35" s="5">
        <v>2.1999999999999999E-2</v>
      </c>
      <c r="G35" s="3" t="s">
        <v>199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200</v>
      </c>
      <c r="B36" s="1" t="s">
        <v>48</v>
      </c>
      <c r="C36" s="5">
        <v>0.155</v>
      </c>
      <c r="D36" s="5">
        <v>0.14000000000000001</v>
      </c>
      <c r="E36" s="5">
        <v>0.125</v>
      </c>
      <c r="F36" s="5">
        <v>0.11</v>
      </c>
      <c r="G36" s="3" t="s">
        <v>201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202</v>
      </c>
      <c r="B37" s="1" t="s">
        <v>48</v>
      </c>
      <c r="C37" s="5">
        <v>4.2000000000000003E-2</v>
      </c>
      <c r="D37" s="5">
        <v>3.7999999999999999E-2</v>
      </c>
      <c r="E37" s="5">
        <v>3.4000000000000002E-2</v>
      </c>
      <c r="F37" s="5">
        <v>0.03</v>
      </c>
      <c r="G37" s="3" t="s">
        <v>203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204</v>
      </c>
      <c r="B38" s="1" t="s">
        <v>48</v>
      </c>
      <c r="C38" s="5">
        <v>3.5000000000000003E-2</v>
      </c>
      <c r="D38" s="5">
        <v>3.2000000000000001E-2</v>
      </c>
      <c r="E38" s="5">
        <v>0.03</v>
      </c>
      <c r="F38" s="5">
        <v>0.03</v>
      </c>
      <c r="G38" s="3" t="s">
        <v>205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206</v>
      </c>
      <c r="B39" s="1" t="s">
        <v>48</v>
      </c>
      <c r="C39" s="5">
        <v>0.2</v>
      </c>
      <c r="D39" s="5">
        <v>0.2</v>
      </c>
      <c r="E39" s="5">
        <v>0.2</v>
      </c>
      <c r="F39" s="5">
        <v>0.2</v>
      </c>
      <c r="G39" s="3" t="s">
        <v>207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208</v>
      </c>
      <c r="B40" s="1" t="s">
        <v>48</v>
      </c>
      <c r="C40" s="5">
        <v>0.45</v>
      </c>
      <c r="D40" s="5">
        <v>0.45</v>
      </c>
      <c r="E40" s="5">
        <v>0.45</v>
      </c>
      <c r="F40" s="5">
        <v>0.45</v>
      </c>
      <c r="G40" s="3" t="s">
        <v>209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210</v>
      </c>
      <c r="B41" s="1" t="s">
        <v>48</v>
      </c>
      <c r="C41" s="5">
        <v>0.55000000000000004</v>
      </c>
      <c r="D41" s="5">
        <v>0.55000000000000004</v>
      </c>
      <c r="E41" s="5">
        <v>0.55000000000000004</v>
      </c>
      <c r="F41" s="5">
        <v>0.55000000000000004</v>
      </c>
      <c r="G41" s="3" t="s">
        <v>209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211</v>
      </c>
      <c r="B42" s="1" t="s">
        <v>48</v>
      </c>
      <c r="C42" s="5">
        <v>0.25</v>
      </c>
      <c r="D42" s="5">
        <v>0.25</v>
      </c>
      <c r="E42" s="5">
        <v>0.25</v>
      </c>
      <c r="F42" s="5">
        <v>0.25</v>
      </c>
      <c r="G42" s="3" t="s">
        <v>212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213</v>
      </c>
      <c r="B43" s="1" t="s">
        <v>48</v>
      </c>
      <c r="C43" s="5">
        <v>5.0000000000000001E-3</v>
      </c>
      <c r="D43" s="5">
        <v>5.0000000000000001E-3</v>
      </c>
      <c r="E43" s="5">
        <v>5.0000000000000001E-3</v>
      </c>
      <c r="F43" s="5">
        <v>5.0000000000000001E-3</v>
      </c>
      <c r="G43" s="3" t="s">
        <v>214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215</v>
      </c>
      <c r="B44" s="1" t="s">
        <v>48</v>
      </c>
      <c r="C44" s="5">
        <v>0.35</v>
      </c>
      <c r="D44" s="5">
        <v>0.37</v>
      </c>
      <c r="E44" s="5">
        <v>0.39</v>
      </c>
      <c r="F44" s="5">
        <v>0.4</v>
      </c>
      <c r="G44" s="3" t="s">
        <v>216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217</v>
      </c>
      <c r="B45" s="1" t="s">
        <v>48</v>
      </c>
      <c r="C45" s="5">
        <v>0.3</v>
      </c>
      <c r="D45" s="5">
        <v>0.3</v>
      </c>
      <c r="E45" s="5">
        <v>0.3</v>
      </c>
      <c r="F45" s="5">
        <v>0.3</v>
      </c>
      <c r="G45" s="3" t="s">
        <v>218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219</v>
      </c>
      <c r="B46" s="1" t="s">
        <v>48</v>
      </c>
      <c r="C46" s="5">
        <v>0.25</v>
      </c>
      <c r="D46" s="5">
        <v>0.3</v>
      </c>
      <c r="E46" s="5">
        <v>0.35</v>
      </c>
      <c r="F46" s="5">
        <v>1</v>
      </c>
      <c r="G46" s="3" t="s">
        <v>220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221</v>
      </c>
      <c r="B47" s="1" t="s">
        <v>222</v>
      </c>
      <c r="C47" s="7">
        <v>425</v>
      </c>
      <c r="D47" s="7">
        <v>425</v>
      </c>
      <c r="E47" s="7">
        <v>425</v>
      </c>
      <c r="F47" s="7">
        <v>425</v>
      </c>
      <c r="G47" s="3" t="s">
        <v>223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27.6">
      <c r="A48" s="1" t="s">
        <v>224</v>
      </c>
      <c r="B48" s="1" t="s">
        <v>72</v>
      </c>
      <c r="C48" s="8">
        <v>39</v>
      </c>
      <c r="D48" s="8">
        <v>36</v>
      </c>
      <c r="E48" s="8">
        <v>33</v>
      </c>
      <c r="F48" s="8">
        <v>31</v>
      </c>
      <c r="G48" s="3" t="s">
        <v>225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226</v>
      </c>
      <c r="B49" s="1" t="s">
        <v>72</v>
      </c>
      <c r="C49" s="8">
        <v>22</v>
      </c>
      <c r="D49" s="8">
        <v>20</v>
      </c>
      <c r="E49" s="8">
        <v>18.5</v>
      </c>
      <c r="F49" s="8">
        <v>17.5</v>
      </c>
      <c r="G49" s="3" t="s">
        <v>227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228</v>
      </c>
      <c r="B50" s="1" t="s">
        <v>48</v>
      </c>
      <c r="C50" s="5">
        <v>0.105</v>
      </c>
      <c r="D50" s="5">
        <v>0.105</v>
      </c>
      <c r="E50" s="5">
        <v>0.105</v>
      </c>
      <c r="F50" s="5">
        <v>0.105</v>
      </c>
      <c r="G50" s="3" t="s">
        <v>229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 t="s">
        <v>230</v>
      </c>
      <c r="B51" s="1" t="s">
        <v>48</v>
      </c>
      <c r="C51" s="5">
        <v>5.5E-2</v>
      </c>
      <c r="D51" s="5">
        <v>5.5E-2</v>
      </c>
      <c r="E51" s="5">
        <v>5.5E-2</v>
      </c>
      <c r="F51" s="5">
        <v>5.5E-2</v>
      </c>
      <c r="G51" s="3" t="s">
        <v>231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232</v>
      </c>
      <c r="B52" s="1" t="s">
        <v>48</v>
      </c>
      <c r="C52" s="5">
        <v>0.4</v>
      </c>
      <c r="D52" s="5">
        <v>0.4</v>
      </c>
      <c r="E52" s="5">
        <v>0.4</v>
      </c>
      <c r="F52" s="5">
        <v>0.4</v>
      </c>
      <c r="G52" s="3" t="s">
        <v>233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234</v>
      </c>
      <c r="B53" s="1" t="s">
        <v>48</v>
      </c>
      <c r="C53" s="5">
        <v>0.3</v>
      </c>
      <c r="D53" s="5">
        <v>0.3</v>
      </c>
      <c r="E53" s="5">
        <v>0.3</v>
      </c>
      <c r="F53" s="5">
        <v>0.3</v>
      </c>
      <c r="G53" s="3" t="s">
        <v>233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235</v>
      </c>
      <c r="B54" s="1" t="s">
        <v>48</v>
      </c>
      <c r="C54" s="5">
        <v>0.3</v>
      </c>
      <c r="D54" s="5">
        <v>0.3</v>
      </c>
      <c r="E54" s="5">
        <v>0.3</v>
      </c>
      <c r="F54" s="5">
        <v>0.3</v>
      </c>
      <c r="G54" s="3" t="s">
        <v>233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70</v>
      </c>
      <c r="B55" s="1" t="s">
        <v>58</v>
      </c>
      <c r="C55" s="42">
        <f>'COFORGE Prices'!B2826</f>
        <v>2014.5999755859375</v>
      </c>
      <c r="D55" s="42">
        <f>'COFORGE Prices'!B2826</f>
        <v>2014.5999755859375</v>
      </c>
      <c r="E55" s="42">
        <f>'COFORGE Prices'!B2826</f>
        <v>2014.5999755859375</v>
      </c>
      <c r="F55" s="42">
        <f>'COFORGE Prices'!B2826</f>
        <v>2014.5999755859375</v>
      </c>
      <c r="G55" s="3" t="s">
        <v>236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237</v>
      </c>
      <c r="B56" s="1" t="s">
        <v>46</v>
      </c>
      <c r="C56" s="7">
        <v>2947</v>
      </c>
      <c r="D56" s="7"/>
      <c r="E56" s="7"/>
      <c r="F56" s="7"/>
      <c r="G56" s="3" t="s">
        <v>238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239</v>
      </c>
      <c r="B57" s="1" t="s">
        <v>46</v>
      </c>
      <c r="C57" s="7">
        <v>5374</v>
      </c>
      <c r="D57" s="7"/>
      <c r="E57" s="7"/>
      <c r="F57" s="7"/>
      <c r="G57" s="3" t="s">
        <v>240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241</v>
      </c>
      <c r="B58" s="1" t="s">
        <v>46</v>
      </c>
      <c r="C58" s="7">
        <v>-46939</v>
      </c>
      <c r="D58" s="7"/>
      <c r="E58" s="7"/>
      <c r="F58" s="7"/>
      <c r="G58" s="3" t="s">
        <v>242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243</v>
      </c>
      <c r="B59" s="1" t="s">
        <v>46</v>
      </c>
      <c r="C59" s="7">
        <v>46547</v>
      </c>
      <c r="D59" s="7"/>
      <c r="E59" s="7"/>
      <c r="F59" s="7"/>
      <c r="G59" s="3" t="s">
        <v>244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 t="s">
        <v>245</v>
      </c>
      <c r="B60" s="1" t="s">
        <v>46</v>
      </c>
      <c r="C60" s="7">
        <v>-317</v>
      </c>
      <c r="D60" s="7"/>
      <c r="E60" s="7"/>
      <c r="F60" s="7"/>
      <c r="G60" s="3" t="s">
        <v>246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 t="s">
        <v>247</v>
      </c>
      <c r="B61" s="1" t="s">
        <v>46</v>
      </c>
      <c r="C61" s="7">
        <v>-728</v>
      </c>
      <c r="D61" s="7"/>
      <c r="E61" s="7"/>
      <c r="F61" s="7"/>
      <c r="G61" s="3" t="s">
        <v>248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 t="s">
        <v>249</v>
      </c>
      <c r="B62" s="1" t="s">
        <v>46</v>
      </c>
      <c r="C62" s="7">
        <v>-438</v>
      </c>
      <c r="D62" s="7"/>
      <c r="E62" s="7"/>
      <c r="F62" s="7"/>
      <c r="G62" s="3" t="s">
        <v>250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 t="s">
        <v>251</v>
      </c>
      <c r="B63" s="1" t="s">
        <v>46</v>
      </c>
      <c r="C63" s="7">
        <v>0</v>
      </c>
      <c r="D63" s="7">
        <v>0</v>
      </c>
      <c r="E63" s="7">
        <v>0</v>
      </c>
      <c r="F63" s="7">
        <v>0</v>
      </c>
      <c r="G63" s="3" t="s">
        <v>252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60"/>
  <sheetViews>
    <sheetView showGridLines="0" workbookViewId="0"/>
  </sheetViews>
  <sheetFormatPr defaultRowHeight="13.8"/>
  <cols>
    <col min="1" max="1" width="40" customWidth="1"/>
    <col min="2" max="2" width="11" customWidth="1"/>
    <col min="3" max="47" width="10.5" customWidth="1"/>
  </cols>
  <sheetData>
    <row r="1" spans="1:47" ht="25.95" customHeight="1">
      <c r="A1" s="58" t="s">
        <v>253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</row>
    <row r="2" spans="1:47" ht="18" customHeight="1">
      <c r="A2" s="59" t="s">
        <v>254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8" customHeight="1">
      <c r="A4" s="61" t="s">
        <v>255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 t="s">
        <v>45</v>
      </c>
      <c r="B6" s="1" t="s">
        <v>46</v>
      </c>
      <c r="C6" s="11">
        <v>26824.048783999999</v>
      </c>
      <c r="D6" s="11">
        <v>28021</v>
      </c>
      <c r="E6" s="11">
        <v>29914</v>
      </c>
      <c r="F6" s="11">
        <v>36762</v>
      </c>
      <c r="G6" s="11">
        <v>41839</v>
      </c>
      <c r="H6" s="11">
        <v>46628</v>
      </c>
      <c r="I6" s="11">
        <v>64320</v>
      </c>
      <c r="J6" s="11">
        <v>80146</v>
      </c>
      <c r="K6" s="11">
        <v>91790</v>
      </c>
      <c r="L6" s="11">
        <v>120733</v>
      </c>
      <c r="M6" s="11">
        <v>164027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256</v>
      </c>
      <c r="B7" s="1" t="s">
        <v>46</v>
      </c>
      <c r="C7" s="11">
        <v>205.4828</v>
      </c>
      <c r="D7" s="11">
        <v>269</v>
      </c>
      <c r="E7" s="11">
        <v>391</v>
      </c>
      <c r="F7" s="11">
        <v>535</v>
      </c>
      <c r="G7" s="11">
        <v>677</v>
      </c>
      <c r="H7" s="11">
        <v>326</v>
      </c>
      <c r="I7" s="11">
        <v>518</v>
      </c>
      <c r="J7" s="11">
        <v>619</v>
      </c>
      <c r="K7" s="11">
        <v>614</v>
      </c>
      <c r="L7" s="11">
        <v>1647</v>
      </c>
      <c r="M7" s="11">
        <v>732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257</v>
      </c>
      <c r="B8" s="1" t="s">
        <v>46</v>
      </c>
      <c r="C8" s="11">
        <v>27029.531584</v>
      </c>
      <c r="D8" s="11">
        <v>28290</v>
      </c>
      <c r="E8" s="11">
        <v>30305</v>
      </c>
      <c r="F8" s="11">
        <v>37297</v>
      </c>
      <c r="G8" s="11">
        <v>42516</v>
      </c>
      <c r="H8" s="11">
        <v>46954</v>
      </c>
      <c r="I8" s="11">
        <v>64838</v>
      </c>
      <c r="J8" s="11">
        <v>80765</v>
      </c>
      <c r="K8" s="11">
        <v>92404</v>
      </c>
      <c r="L8" s="11">
        <v>122380</v>
      </c>
      <c r="M8" s="11">
        <v>164759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258</v>
      </c>
      <c r="B9" s="1" t="s">
        <v>46</v>
      </c>
      <c r="C9" s="11">
        <v>308.69553000000002</v>
      </c>
      <c r="D9" s="11">
        <v>141</v>
      </c>
      <c r="E9" s="11">
        <v>317</v>
      </c>
      <c r="F9" s="11">
        <v>291</v>
      </c>
      <c r="G9" s="11">
        <v>844</v>
      </c>
      <c r="H9" s="11">
        <v>1935</v>
      </c>
      <c r="I9" s="11">
        <v>1724</v>
      </c>
      <c r="J9" s="11">
        <v>551</v>
      </c>
      <c r="K9" s="11">
        <v>94</v>
      </c>
      <c r="L9" s="11">
        <v>101</v>
      </c>
      <c r="M9" s="11">
        <v>65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259</v>
      </c>
      <c r="B10" s="1" t="s">
        <v>46</v>
      </c>
      <c r="C10" s="11">
        <v>15386.102251</v>
      </c>
      <c r="D10" s="11">
        <v>16513</v>
      </c>
      <c r="E10" s="11">
        <v>17601</v>
      </c>
      <c r="F10" s="11">
        <v>21532</v>
      </c>
      <c r="G10" s="11">
        <v>25298</v>
      </c>
      <c r="H10" s="11">
        <v>28158</v>
      </c>
      <c r="I10" s="11">
        <v>38346</v>
      </c>
      <c r="J10" s="11">
        <v>48280</v>
      </c>
      <c r="K10" s="11">
        <v>55069</v>
      </c>
      <c r="L10" s="11">
        <v>72241</v>
      </c>
      <c r="M10" s="11">
        <v>92161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260</v>
      </c>
      <c r="B11" s="1" t="s">
        <v>46</v>
      </c>
      <c r="C11" s="11"/>
      <c r="D11" s="11"/>
      <c r="E11" s="11"/>
      <c r="F11" s="11"/>
      <c r="G11" s="11"/>
      <c r="H11" s="11"/>
      <c r="I11" s="11"/>
      <c r="J11" s="11"/>
      <c r="K11" s="11"/>
      <c r="L11" s="11">
        <v>13902</v>
      </c>
      <c r="M11" s="11">
        <v>21918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261</v>
      </c>
      <c r="B12" s="1" t="s">
        <v>46</v>
      </c>
      <c r="C12" s="11"/>
      <c r="D12" s="11"/>
      <c r="E12" s="11"/>
      <c r="F12" s="11"/>
      <c r="G12" s="11"/>
      <c r="H12" s="11"/>
      <c r="I12" s="11"/>
      <c r="J12" s="11"/>
      <c r="K12" s="11"/>
      <c r="L12" s="11">
        <v>9149</v>
      </c>
      <c r="M12" s="11">
        <v>12045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262</v>
      </c>
      <c r="B13" s="1" t="s">
        <v>46</v>
      </c>
      <c r="C13" s="11">
        <v>6287.5291209999996</v>
      </c>
      <c r="D13" s="11">
        <v>6573</v>
      </c>
      <c r="E13" s="11">
        <v>6983</v>
      </c>
      <c r="F13" s="11">
        <v>8454</v>
      </c>
      <c r="G13" s="11">
        <v>8464</v>
      </c>
      <c r="H13" s="11">
        <v>8740</v>
      </c>
      <c r="I13" s="11">
        <v>13231</v>
      </c>
      <c r="J13" s="11">
        <v>18508</v>
      </c>
      <c r="K13" s="11">
        <v>22350</v>
      </c>
      <c r="L13" s="11">
        <v>8122</v>
      </c>
      <c r="M13" s="11">
        <v>7374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263</v>
      </c>
      <c r="B14" s="1" t="s">
        <v>46</v>
      </c>
      <c r="C14" s="11">
        <v>48.795223</v>
      </c>
      <c r="D14" s="11">
        <v>60</v>
      </c>
      <c r="E14" s="11">
        <v>94</v>
      </c>
      <c r="F14" s="11">
        <v>92</v>
      </c>
      <c r="G14" s="11">
        <v>155</v>
      </c>
      <c r="H14" s="11">
        <v>143</v>
      </c>
      <c r="I14" s="11">
        <v>650</v>
      </c>
      <c r="J14" s="11">
        <v>806</v>
      </c>
      <c r="K14" s="11">
        <v>1256</v>
      </c>
      <c r="L14" s="11">
        <v>1347</v>
      </c>
      <c r="M14" s="11">
        <v>1686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264</v>
      </c>
      <c r="B15" s="1" t="s">
        <v>46</v>
      </c>
      <c r="C15" s="11">
        <v>1101.2935480000001</v>
      </c>
      <c r="D15" s="11">
        <v>1277</v>
      </c>
      <c r="E15" s="11">
        <v>1274</v>
      </c>
      <c r="F15" s="11">
        <v>1248</v>
      </c>
      <c r="G15" s="11">
        <v>1730</v>
      </c>
      <c r="H15" s="11">
        <v>1836</v>
      </c>
      <c r="I15" s="11">
        <v>2272</v>
      </c>
      <c r="J15" s="11">
        <v>2585</v>
      </c>
      <c r="K15" s="11">
        <v>3186</v>
      </c>
      <c r="L15" s="11">
        <v>4276</v>
      </c>
      <c r="M15" s="11">
        <v>6819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265</v>
      </c>
      <c r="B16" s="1" t="s">
        <v>46</v>
      </c>
      <c r="C16" s="11">
        <v>3814.532385</v>
      </c>
      <c r="D16" s="11">
        <v>3727</v>
      </c>
      <c r="E16" s="11">
        <v>4036</v>
      </c>
      <c r="F16" s="11">
        <v>5680</v>
      </c>
      <c r="G16" s="11">
        <v>6025</v>
      </c>
      <c r="H16" s="11">
        <v>6142</v>
      </c>
      <c r="I16" s="11">
        <v>8615</v>
      </c>
      <c r="J16" s="11">
        <v>10035</v>
      </c>
      <c r="K16" s="11">
        <v>10449</v>
      </c>
      <c r="L16" s="11">
        <v>12961</v>
      </c>
      <c r="M16" s="11">
        <v>21588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266</v>
      </c>
      <c r="B17" s="1" t="s">
        <v>46</v>
      </c>
      <c r="C17" s="11">
        <v>13.156528</v>
      </c>
      <c r="D17" s="11">
        <v>221</v>
      </c>
      <c r="E17" s="11">
        <v>0</v>
      </c>
      <c r="F17" s="11">
        <v>56</v>
      </c>
      <c r="G17" s="11">
        <v>71</v>
      </c>
      <c r="H17" s="11">
        <v>180</v>
      </c>
      <c r="I17" s="11">
        <v>0</v>
      </c>
      <c r="J17" s="11">
        <v>523</v>
      </c>
      <c r="K17" s="11">
        <v>0</v>
      </c>
      <c r="L17" s="11">
        <v>0</v>
      </c>
      <c r="M17" s="11">
        <v>2260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267</v>
      </c>
      <c r="B18" s="1" t="s">
        <v>46</v>
      </c>
      <c r="C18" s="11">
        <v>3801.375857</v>
      </c>
      <c r="D18" s="11">
        <v>3506</v>
      </c>
      <c r="E18" s="11">
        <v>4036</v>
      </c>
      <c r="F18" s="11">
        <v>5624</v>
      </c>
      <c r="G18" s="11">
        <v>5954</v>
      </c>
      <c r="H18" s="11">
        <v>5962</v>
      </c>
      <c r="I18" s="11">
        <v>8615</v>
      </c>
      <c r="J18" s="11">
        <v>9512</v>
      </c>
      <c r="K18" s="11">
        <v>10449</v>
      </c>
      <c r="L18" s="11">
        <v>12961</v>
      </c>
      <c r="M18" s="11">
        <v>19328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268</v>
      </c>
      <c r="B19" s="1" t="s">
        <v>46</v>
      </c>
      <c r="C19" s="11">
        <v>872.66633200000001</v>
      </c>
      <c r="D19" s="11">
        <v>922</v>
      </c>
      <c r="E19" s="11">
        <v>1084</v>
      </c>
      <c r="F19" s="11">
        <v>1387</v>
      </c>
      <c r="G19" s="11">
        <v>1551</v>
      </c>
      <c r="H19" s="11">
        <v>1608</v>
      </c>
      <c r="I19" s="11">
        <v>1774</v>
      </c>
      <c r="J19" s="11">
        <v>2492</v>
      </c>
      <c r="K19" s="11">
        <v>2493</v>
      </c>
      <c r="L19" s="11">
        <v>4033</v>
      </c>
      <c r="M19" s="11">
        <v>5024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269</v>
      </c>
      <c r="B20" s="1" t="s">
        <v>46</v>
      </c>
      <c r="C20" s="11">
        <v>-40.98601</v>
      </c>
      <c r="D20" s="11">
        <v>-137</v>
      </c>
      <c r="E20" s="11">
        <v>-135</v>
      </c>
      <c r="F20" s="11">
        <v>16</v>
      </c>
      <c r="G20" s="11">
        <v>-273</v>
      </c>
      <c r="H20" s="11">
        <v>-306</v>
      </c>
      <c r="I20" s="11">
        <v>-306</v>
      </c>
      <c r="J20" s="11">
        <v>-431</v>
      </c>
      <c r="K20" s="11">
        <v>-400</v>
      </c>
      <c r="L20" s="11">
        <v>-707</v>
      </c>
      <c r="M20" s="11">
        <v>-2441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270</v>
      </c>
      <c r="B21" s="1" t="s">
        <v>46</v>
      </c>
      <c r="C21" s="11">
        <v>831.68032200000005</v>
      </c>
      <c r="D21" s="11">
        <v>785</v>
      </c>
      <c r="E21" s="11">
        <v>949</v>
      </c>
      <c r="F21" s="11">
        <v>1403</v>
      </c>
      <c r="G21" s="11">
        <v>1278</v>
      </c>
      <c r="H21" s="11">
        <v>1302</v>
      </c>
      <c r="I21" s="11">
        <v>1468</v>
      </c>
      <c r="J21" s="11">
        <v>2061</v>
      </c>
      <c r="K21" s="11">
        <v>2093</v>
      </c>
      <c r="L21" s="11">
        <v>3326</v>
      </c>
      <c r="M21" s="11">
        <v>2583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271</v>
      </c>
      <c r="B22" s="1" t="s">
        <v>46</v>
      </c>
      <c r="C22" s="11">
        <v>2969.6955349999998</v>
      </c>
      <c r="D22" s="11">
        <v>2721</v>
      </c>
      <c r="E22" s="11">
        <v>3087</v>
      </c>
      <c r="F22" s="11">
        <v>4221</v>
      </c>
      <c r="G22" s="11">
        <v>4676</v>
      </c>
      <c r="H22" s="11">
        <v>4660</v>
      </c>
      <c r="I22" s="11">
        <v>7147</v>
      </c>
      <c r="J22" s="11">
        <v>7451</v>
      </c>
      <c r="K22" s="11">
        <v>8356</v>
      </c>
      <c r="L22" s="11">
        <v>9361</v>
      </c>
      <c r="M22" s="11">
        <v>17447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272</v>
      </c>
      <c r="B23" s="1" t="s">
        <v>46</v>
      </c>
      <c r="C23" s="11">
        <v>170.064761</v>
      </c>
      <c r="D23" s="11">
        <v>220</v>
      </c>
      <c r="E23" s="11">
        <v>285</v>
      </c>
      <c r="F23" s="11">
        <v>188</v>
      </c>
      <c r="G23" s="11">
        <v>236</v>
      </c>
      <c r="H23" s="11">
        <v>104</v>
      </c>
      <c r="I23" s="11">
        <v>530</v>
      </c>
      <c r="J23" s="11">
        <v>513</v>
      </c>
      <c r="K23" s="11">
        <v>276</v>
      </c>
      <c r="L23" s="11">
        <v>1240</v>
      </c>
      <c r="M23" s="11">
        <v>1890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273</v>
      </c>
      <c r="B24" s="1" t="s">
        <v>46</v>
      </c>
      <c r="C24" s="11">
        <v>2799.6307740000002</v>
      </c>
      <c r="D24" s="11">
        <v>2501</v>
      </c>
      <c r="E24" s="11">
        <v>2802</v>
      </c>
      <c r="F24" s="11">
        <v>4033</v>
      </c>
      <c r="G24" s="11">
        <v>4440</v>
      </c>
      <c r="H24" s="11">
        <v>4556</v>
      </c>
      <c r="I24" s="11">
        <v>6617</v>
      </c>
      <c r="J24" s="11">
        <v>6938</v>
      </c>
      <c r="K24" s="11">
        <v>8080</v>
      </c>
      <c r="L24" s="11">
        <v>8121</v>
      </c>
      <c r="M24" s="11">
        <v>15557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274</v>
      </c>
      <c r="B25" s="1" t="s">
        <v>58</v>
      </c>
      <c r="C25" s="12">
        <v>9.1639999999999997</v>
      </c>
      <c r="D25" s="12">
        <v>8.16</v>
      </c>
      <c r="E25" s="12">
        <v>9.1260000000000012</v>
      </c>
      <c r="F25" s="12">
        <v>13.097999999999999</v>
      </c>
      <c r="G25" s="12">
        <v>14.278</v>
      </c>
      <c r="H25" s="12">
        <v>14.936000000000002</v>
      </c>
      <c r="I25" s="12">
        <v>21.803999999999998</v>
      </c>
      <c r="J25" s="12">
        <v>22.753999999999998</v>
      </c>
      <c r="K25" s="12">
        <v>26.312000000000001</v>
      </c>
      <c r="L25" s="12">
        <v>24.6</v>
      </c>
      <c r="M25" s="12">
        <v>46.44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57</v>
      </c>
      <c r="B26" s="1" t="s">
        <v>58</v>
      </c>
      <c r="C26" s="12">
        <v>9.11</v>
      </c>
      <c r="D26" s="12">
        <v>8.1419999999999995</v>
      </c>
      <c r="E26" s="12">
        <v>9.0680000000000014</v>
      </c>
      <c r="F26" s="12">
        <v>12.946000000000002</v>
      </c>
      <c r="G26" s="12">
        <v>14.193999999999999</v>
      </c>
      <c r="H26" s="12">
        <v>14.658000000000001</v>
      </c>
      <c r="I26" s="12">
        <v>21.303999999999998</v>
      </c>
      <c r="J26" s="12">
        <v>22.306000000000001</v>
      </c>
      <c r="K26" s="12">
        <v>25.917999999999999</v>
      </c>
      <c r="L26" s="12">
        <v>24.41</v>
      </c>
      <c r="M26" s="12">
        <v>45.9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8" customHeight="1">
      <c r="A30" s="61" t="s">
        <v>275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</row>
    <row r="31" spans="1:47" ht="19.95" customHeight="1">
      <c r="A31" s="4" t="s">
        <v>28</v>
      </c>
      <c r="B31" s="4" t="s">
        <v>29</v>
      </c>
      <c r="C31" s="4" t="s">
        <v>276</v>
      </c>
      <c r="D31" s="4" t="s">
        <v>277</v>
      </c>
      <c r="E31" s="4" t="s">
        <v>278</v>
      </c>
      <c r="F31" s="4" t="s">
        <v>279</v>
      </c>
      <c r="G31" s="4" t="s">
        <v>280</v>
      </c>
      <c r="H31" s="4" t="s">
        <v>281</v>
      </c>
      <c r="I31" s="4" t="s">
        <v>282</v>
      </c>
      <c r="J31" s="4" t="s">
        <v>283</v>
      </c>
      <c r="K31" s="4" t="s">
        <v>284</v>
      </c>
      <c r="L31" s="4" t="s">
        <v>285</v>
      </c>
      <c r="M31" s="4" t="s">
        <v>286</v>
      </c>
      <c r="N31" s="4" t="s">
        <v>287</v>
      </c>
      <c r="O31" s="4" t="s">
        <v>288</v>
      </c>
      <c r="P31" s="4" t="s">
        <v>289</v>
      </c>
      <c r="Q31" s="4" t="s">
        <v>290</v>
      </c>
      <c r="R31" s="4" t="s">
        <v>291</v>
      </c>
      <c r="S31" s="4" t="s">
        <v>292</v>
      </c>
      <c r="T31" s="4" t="s">
        <v>293</v>
      </c>
      <c r="U31" s="4" t="s">
        <v>294</v>
      </c>
      <c r="V31" s="4" t="s">
        <v>295</v>
      </c>
      <c r="W31" s="4" t="s">
        <v>296</v>
      </c>
      <c r="X31" s="4" t="s">
        <v>297</v>
      </c>
      <c r="Y31" s="4" t="s">
        <v>298</v>
      </c>
      <c r="Z31" s="4" t="s">
        <v>299</v>
      </c>
      <c r="AA31" s="4" t="s">
        <v>300</v>
      </c>
      <c r="AB31" s="4" t="s">
        <v>301</v>
      </c>
      <c r="AC31" s="4" t="s">
        <v>302</v>
      </c>
      <c r="AD31" s="4" t="s">
        <v>303</v>
      </c>
      <c r="AE31" s="4" t="s">
        <v>304</v>
      </c>
      <c r="AF31" s="4" t="s">
        <v>305</v>
      </c>
      <c r="AG31" s="4" t="s">
        <v>306</v>
      </c>
      <c r="AH31" s="4" t="s">
        <v>307</v>
      </c>
      <c r="AI31" s="4" t="s">
        <v>308</v>
      </c>
      <c r="AJ31" s="4" t="s">
        <v>309</v>
      </c>
      <c r="AK31" s="4" t="s">
        <v>310</v>
      </c>
      <c r="AL31" s="4" t="s">
        <v>311</v>
      </c>
      <c r="AM31" s="4" t="s">
        <v>312</v>
      </c>
      <c r="AN31" s="4" t="s">
        <v>313</v>
      </c>
      <c r="AO31" s="4" t="s">
        <v>314</v>
      </c>
      <c r="AP31" s="4" t="s">
        <v>315</v>
      </c>
      <c r="AQ31" s="4" t="s">
        <v>316</v>
      </c>
      <c r="AR31" s="4" t="s">
        <v>317</v>
      </c>
      <c r="AS31" s="4" t="s">
        <v>318</v>
      </c>
      <c r="AT31" s="4" t="s">
        <v>319</v>
      </c>
      <c r="AU31" s="4" t="s">
        <v>320</v>
      </c>
    </row>
    <row r="32" spans="1:47" ht="14.4">
      <c r="A32" s="1" t="s">
        <v>45</v>
      </c>
      <c r="B32" s="1" t="s">
        <v>46</v>
      </c>
      <c r="C32" s="11">
        <v>6411</v>
      </c>
      <c r="D32" s="11">
        <v>6779</v>
      </c>
      <c r="E32" s="11">
        <v>6787</v>
      </c>
      <c r="F32" s="11">
        <v>6847</v>
      </c>
      <c r="G32" s="11">
        <v>6707</v>
      </c>
      <c r="H32" s="11">
        <v>6929</v>
      </c>
      <c r="I32" s="11">
        <v>6938</v>
      </c>
      <c r="J32" s="11">
        <v>7447</v>
      </c>
      <c r="K32" s="11">
        <v>7089</v>
      </c>
      <c r="L32" s="11">
        <v>7372</v>
      </c>
      <c r="M32" s="11">
        <v>7565</v>
      </c>
      <c r="N32" s="11">
        <v>7888</v>
      </c>
      <c r="O32" s="11">
        <v>8249</v>
      </c>
      <c r="P32" s="11">
        <v>9074</v>
      </c>
      <c r="Q32" s="11">
        <v>9717</v>
      </c>
      <c r="R32" s="11">
        <v>9722</v>
      </c>
      <c r="S32" s="11">
        <v>9597</v>
      </c>
      <c r="T32" s="11">
        <v>10385</v>
      </c>
      <c r="U32" s="11">
        <v>10734</v>
      </c>
      <c r="V32" s="11">
        <v>11093</v>
      </c>
      <c r="W32" s="11">
        <v>10570</v>
      </c>
      <c r="X32" s="11">
        <v>11537</v>
      </c>
      <c r="Y32" s="11">
        <v>11906</v>
      </c>
      <c r="Z32" s="11">
        <v>12615</v>
      </c>
      <c r="AA32" s="11">
        <v>14616</v>
      </c>
      <c r="AB32" s="11">
        <v>15694</v>
      </c>
      <c r="AC32" s="11">
        <v>16581</v>
      </c>
      <c r="AD32" s="11">
        <v>17429</v>
      </c>
      <c r="AE32" s="11">
        <v>18294</v>
      </c>
      <c r="AF32" s="11">
        <v>19594</v>
      </c>
      <c r="AG32" s="11">
        <v>20558</v>
      </c>
      <c r="AH32" s="11">
        <v>21700</v>
      </c>
      <c r="AI32" s="11">
        <v>22210</v>
      </c>
      <c r="AJ32" s="11">
        <v>22762</v>
      </c>
      <c r="AK32" s="11">
        <v>23233</v>
      </c>
      <c r="AL32" s="11">
        <v>23585</v>
      </c>
      <c r="AM32" s="11">
        <v>24008</v>
      </c>
      <c r="AN32" s="11">
        <v>30623</v>
      </c>
      <c r="AO32" s="11">
        <v>33182</v>
      </c>
      <c r="AP32" s="11">
        <v>34222</v>
      </c>
      <c r="AQ32" s="11">
        <v>36886</v>
      </c>
      <c r="AR32" s="11">
        <v>39857</v>
      </c>
      <c r="AS32" s="11">
        <v>41881</v>
      </c>
      <c r="AT32" s="11">
        <v>44504</v>
      </c>
      <c r="AU32" s="11">
        <v>55277</v>
      </c>
    </row>
    <row r="33" spans="1:47" ht="14.4">
      <c r="A33" s="1" t="s">
        <v>321</v>
      </c>
      <c r="B33" s="1" t="s">
        <v>46</v>
      </c>
      <c r="C33" s="11">
        <v>4081</v>
      </c>
      <c r="D33" s="11">
        <v>4256</v>
      </c>
      <c r="E33" s="11">
        <v>4255</v>
      </c>
      <c r="F33" s="11">
        <v>4304</v>
      </c>
      <c r="G33" s="11">
        <v>4356</v>
      </c>
      <c r="H33" s="11">
        <v>4481</v>
      </c>
      <c r="I33" s="11">
        <v>4441</v>
      </c>
      <c r="J33" s="11">
        <v>4625</v>
      </c>
      <c r="K33" s="11">
        <v>4577</v>
      </c>
      <c r="L33" s="11">
        <v>4790</v>
      </c>
      <c r="M33" s="11">
        <v>4812</v>
      </c>
      <c r="N33" s="11">
        <v>5000</v>
      </c>
      <c r="O33" s="11">
        <v>5438</v>
      </c>
      <c r="P33" s="11">
        <v>5897</v>
      </c>
      <c r="Q33" s="11">
        <v>6280</v>
      </c>
      <c r="R33" s="11">
        <v>6294</v>
      </c>
      <c r="S33" s="11">
        <v>6348</v>
      </c>
      <c r="T33" s="11">
        <v>6796</v>
      </c>
      <c r="U33" s="11">
        <v>7068</v>
      </c>
      <c r="V33" s="11">
        <v>7289</v>
      </c>
      <c r="W33" s="11">
        <v>7241</v>
      </c>
      <c r="X33" s="11">
        <v>7776</v>
      </c>
      <c r="Y33" s="11">
        <v>8096</v>
      </c>
      <c r="Z33" s="11">
        <v>8580</v>
      </c>
      <c r="AA33" s="11">
        <v>10250</v>
      </c>
      <c r="AB33" s="11">
        <v>10656</v>
      </c>
      <c r="AC33" s="11">
        <v>11210</v>
      </c>
      <c r="AD33" s="11">
        <v>11620</v>
      </c>
      <c r="AE33" s="11">
        <v>12739</v>
      </c>
      <c r="AF33" s="11">
        <v>13317</v>
      </c>
      <c r="AG33" s="11">
        <v>13698</v>
      </c>
      <c r="AH33" s="11">
        <v>14306</v>
      </c>
      <c r="AI33" s="11">
        <v>15391.529999999999</v>
      </c>
      <c r="AJ33" s="11">
        <v>15374</v>
      </c>
      <c r="AK33" s="11">
        <v>15542.877</v>
      </c>
      <c r="AL33" s="11">
        <v>15545</v>
      </c>
      <c r="AM33" s="11">
        <v>16097</v>
      </c>
      <c r="AN33" s="11">
        <v>20701.148000000001</v>
      </c>
      <c r="AO33" s="11">
        <v>22165.576000000001</v>
      </c>
      <c r="AP33" s="11">
        <v>22483</v>
      </c>
      <c r="AQ33" s="11">
        <v>24326</v>
      </c>
      <c r="AR33" s="11">
        <v>26299</v>
      </c>
      <c r="AS33" s="11">
        <v>28112</v>
      </c>
      <c r="AT33" s="11">
        <v>29204</v>
      </c>
      <c r="AU33" s="11">
        <v>36343</v>
      </c>
    </row>
    <row r="34" spans="1:47" ht="14.4">
      <c r="A34" s="1" t="s">
        <v>322</v>
      </c>
      <c r="B34" s="1" t="s">
        <v>46</v>
      </c>
      <c r="C34" s="11">
        <v>2330</v>
      </c>
      <c r="D34" s="11">
        <v>2523</v>
      </c>
      <c r="E34" s="11">
        <v>2532</v>
      </c>
      <c r="F34" s="11">
        <v>2543</v>
      </c>
      <c r="G34" s="11">
        <v>2351</v>
      </c>
      <c r="H34" s="11">
        <v>2448</v>
      </c>
      <c r="I34" s="11">
        <v>2497</v>
      </c>
      <c r="J34" s="11">
        <v>2822</v>
      </c>
      <c r="K34" s="11">
        <v>2512</v>
      </c>
      <c r="L34" s="11">
        <v>2582</v>
      </c>
      <c r="M34" s="11">
        <v>2753</v>
      </c>
      <c r="N34" s="11">
        <v>2888</v>
      </c>
      <c r="O34" s="11">
        <v>2811</v>
      </c>
      <c r="P34" s="11">
        <v>3177</v>
      </c>
      <c r="Q34" s="11">
        <v>3437</v>
      </c>
      <c r="R34" s="11">
        <v>3428</v>
      </c>
      <c r="S34" s="11">
        <v>3249</v>
      </c>
      <c r="T34" s="11">
        <v>3589</v>
      </c>
      <c r="U34" s="11">
        <v>3666</v>
      </c>
      <c r="V34" s="11">
        <v>3804</v>
      </c>
      <c r="W34" s="11">
        <v>3329</v>
      </c>
      <c r="X34" s="11">
        <v>3761</v>
      </c>
      <c r="Y34" s="11">
        <v>3810</v>
      </c>
      <c r="Z34" s="11">
        <v>4035</v>
      </c>
      <c r="AA34" s="11">
        <v>4366</v>
      </c>
      <c r="AB34" s="11">
        <v>5038</v>
      </c>
      <c r="AC34" s="11">
        <v>5371</v>
      </c>
      <c r="AD34" s="11">
        <v>5809</v>
      </c>
      <c r="AE34" s="11">
        <v>5555</v>
      </c>
      <c r="AF34" s="11">
        <v>6277</v>
      </c>
      <c r="AG34" s="11">
        <v>6860</v>
      </c>
      <c r="AH34" s="11">
        <v>7394</v>
      </c>
      <c r="AI34" s="11">
        <v>6818.47</v>
      </c>
      <c r="AJ34" s="11">
        <v>7388</v>
      </c>
      <c r="AK34" s="11">
        <v>7690.1230000000005</v>
      </c>
      <c r="AL34" s="11">
        <v>8040</v>
      </c>
      <c r="AM34" s="11">
        <v>7911</v>
      </c>
      <c r="AN34" s="11">
        <v>9921.8520000000008</v>
      </c>
      <c r="AO34" s="11">
        <v>11016.424000000001</v>
      </c>
      <c r="AP34" s="11">
        <v>11739</v>
      </c>
      <c r="AQ34" s="11">
        <v>12560</v>
      </c>
      <c r="AR34" s="11">
        <v>13558</v>
      </c>
      <c r="AS34" s="11">
        <v>13769</v>
      </c>
      <c r="AT34" s="11">
        <v>15300</v>
      </c>
      <c r="AU34" s="11">
        <v>18934</v>
      </c>
    </row>
    <row r="35" spans="1:47" ht="14.4">
      <c r="A35" s="1" t="s">
        <v>52</v>
      </c>
      <c r="B35" s="1" t="s">
        <v>48</v>
      </c>
      <c r="C35" s="13">
        <v>0.36399999999999999</v>
      </c>
      <c r="D35" s="13">
        <v>0.37200000000000005</v>
      </c>
      <c r="E35" s="13">
        <v>0.373</v>
      </c>
      <c r="F35" s="13">
        <v>0.371</v>
      </c>
      <c r="G35" s="13">
        <v>0.35100000000000003</v>
      </c>
      <c r="H35" s="13">
        <v>0.35299999999999998</v>
      </c>
      <c r="I35" s="13">
        <v>0.36</v>
      </c>
      <c r="J35" s="13">
        <v>0.379</v>
      </c>
      <c r="K35" s="13">
        <v>0.35399999999999998</v>
      </c>
      <c r="L35" s="13">
        <v>0.35</v>
      </c>
      <c r="M35" s="13">
        <v>0.36399999999999999</v>
      </c>
      <c r="N35" s="13">
        <v>0.36599999999999999</v>
      </c>
      <c r="O35" s="13">
        <v>0.34100000000000003</v>
      </c>
      <c r="P35" s="13">
        <v>0.35</v>
      </c>
      <c r="Q35" s="13">
        <v>0.35399999999999998</v>
      </c>
      <c r="R35" s="13">
        <v>0.35299999999999998</v>
      </c>
      <c r="S35" s="13">
        <v>0.33899999999999997</v>
      </c>
      <c r="T35" s="13">
        <v>0.34600000000000003</v>
      </c>
      <c r="U35" s="13">
        <v>0.34100000000000003</v>
      </c>
      <c r="V35" s="13">
        <v>0.34299999999999997</v>
      </c>
      <c r="W35" s="13">
        <v>0.315</v>
      </c>
      <c r="X35" s="13">
        <v>0.32600000000000001</v>
      </c>
      <c r="Y35" s="13">
        <v>0.32</v>
      </c>
      <c r="Z35" s="13">
        <v>0.32</v>
      </c>
      <c r="AA35" s="13">
        <v>0.29899999999999999</v>
      </c>
      <c r="AB35" s="13">
        <v>0.32100000000000001</v>
      </c>
      <c r="AC35" s="13">
        <v>0.32400000000000001</v>
      </c>
      <c r="AD35" s="13">
        <v>0.33299999999999996</v>
      </c>
      <c r="AE35" s="13">
        <v>0.30399999999999999</v>
      </c>
      <c r="AF35" s="13">
        <v>0.32</v>
      </c>
      <c r="AG35" s="13">
        <v>0.33399999999999996</v>
      </c>
      <c r="AH35" s="13">
        <v>0.34100000000000003</v>
      </c>
      <c r="AI35" s="13">
        <v>0.307</v>
      </c>
      <c r="AJ35" s="13">
        <v>0.32500000000000001</v>
      </c>
      <c r="AK35" s="13">
        <v>0.33100000000000002</v>
      </c>
      <c r="AL35" s="13">
        <v>0.34100000000000003</v>
      </c>
      <c r="AM35" s="13">
        <v>0.32951516161279576</v>
      </c>
      <c r="AN35" s="13">
        <v>0.32400000000000001</v>
      </c>
      <c r="AO35" s="13">
        <v>0.33200000000000002</v>
      </c>
      <c r="AP35" s="13">
        <v>0.34300000000000003</v>
      </c>
      <c r="AQ35" s="13">
        <v>0.34100000000000003</v>
      </c>
      <c r="AR35" s="13">
        <v>0.34</v>
      </c>
      <c r="AS35" s="13">
        <v>0.32899999999999996</v>
      </c>
      <c r="AT35" s="13">
        <v>0.34399999999999997</v>
      </c>
      <c r="AU35" s="13">
        <v>0.34299999999999997</v>
      </c>
    </row>
    <row r="36" spans="1:47" ht="14.4">
      <c r="A36" s="1" t="s">
        <v>323</v>
      </c>
      <c r="B36" s="1" t="s">
        <v>46</v>
      </c>
      <c r="C36" s="11">
        <v>1288</v>
      </c>
      <c r="D36" s="11">
        <v>1329</v>
      </c>
      <c r="E36" s="11">
        <v>1296</v>
      </c>
      <c r="F36" s="11">
        <v>1282</v>
      </c>
      <c r="G36" s="11">
        <v>1336</v>
      </c>
      <c r="H36" s="11">
        <v>1303</v>
      </c>
      <c r="I36" s="11">
        <v>1335</v>
      </c>
      <c r="J36" s="11">
        <v>1298</v>
      </c>
      <c r="K36" s="11">
        <v>1404</v>
      </c>
      <c r="L36" s="11">
        <v>1391</v>
      </c>
      <c r="M36" s="11">
        <v>1458</v>
      </c>
      <c r="N36" s="11">
        <v>1470</v>
      </c>
      <c r="O36" s="11">
        <v>1505</v>
      </c>
      <c r="P36" s="11">
        <v>1543</v>
      </c>
      <c r="Q36" s="11">
        <v>1632</v>
      </c>
      <c r="R36" s="11">
        <v>1722</v>
      </c>
      <c r="S36" s="11">
        <v>1843</v>
      </c>
      <c r="T36" s="11">
        <v>1691</v>
      </c>
      <c r="U36" s="11">
        <v>1725</v>
      </c>
      <c r="V36" s="11">
        <v>1816</v>
      </c>
      <c r="W36" s="11">
        <v>1523</v>
      </c>
      <c r="X36" s="11">
        <v>1589</v>
      </c>
      <c r="Y36" s="11">
        <v>1665</v>
      </c>
      <c r="Z36" s="11">
        <v>1767</v>
      </c>
      <c r="AA36" s="11">
        <v>2007</v>
      </c>
      <c r="AB36" s="11">
        <v>2115</v>
      </c>
      <c r="AC36" s="11">
        <v>2145</v>
      </c>
      <c r="AD36" s="11">
        <v>2260</v>
      </c>
      <c r="AE36" s="11">
        <v>2543</v>
      </c>
      <c r="AF36" s="11">
        <v>2682</v>
      </c>
      <c r="AG36" s="11">
        <v>3063</v>
      </c>
      <c r="AH36" s="11">
        <v>3150</v>
      </c>
      <c r="AI36" s="11">
        <v>3264</v>
      </c>
      <c r="AJ36" s="11">
        <v>3392</v>
      </c>
      <c r="AK36" s="11">
        <v>3508</v>
      </c>
      <c r="AL36" s="11">
        <v>3561</v>
      </c>
      <c r="AM36" s="11">
        <v>3625</v>
      </c>
      <c r="AN36" s="11">
        <v>4858.8520000000008</v>
      </c>
      <c r="AO36" s="11">
        <v>5126.4240000000009</v>
      </c>
      <c r="AP36" s="11">
        <v>5868</v>
      </c>
      <c r="AQ36" s="11">
        <v>6118</v>
      </c>
      <c r="AR36" s="11">
        <v>6276</v>
      </c>
      <c r="AS36" s="11">
        <v>6468</v>
      </c>
      <c r="AT36" s="11">
        <v>6132</v>
      </c>
      <c r="AU36" s="11">
        <v>7701</v>
      </c>
    </row>
    <row r="37" spans="1:47" ht="14.4">
      <c r="A37" s="1" t="s">
        <v>324</v>
      </c>
      <c r="B37" s="1" t="s">
        <v>46</v>
      </c>
      <c r="C37" s="11">
        <v>1042</v>
      </c>
      <c r="D37" s="11">
        <v>1194</v>
      </c>
      <c r="E37" s="11">
        <v>1236</v>
      </c>
      <c r="F37" s="11">
        <v>1261</v>
      </c>
      <c r="G37" s="11">
        <v>1015</v>
      </c>
      <c r="H37" s="11">
        <v>1145</v>
      </c>
      <c r="I37" s="11">
        <v>1162</v>
      </c>
      <c r="J37" s="11">
        <v>1523</v>
      </c>
      <c r="K37" s="11">
        <v>1108</v>
      </c>
      <c r="L37" s="11">
        <v>1191</v>
      </c>
      <c r="M37" s="11">
        <v>1295</v>
      </c>
      <c r="N37" s="11">
        <v>1417</v>
      </c>
      <c r="O37" s="11">
        <v>1306</v>
      </c>
      <c r="P37" s="11">
        <v>1634</v>
      </c>
      <c r="Q37" s="11">
        <v>1805</v>
      </c>
      <c r="R37" s="11">
        <v>1706</v>
      </c>
      <c r="S37" s="11">
        <v>1406</v>
      </c>
      <c r="T37" s="11">
        <v>1898</v>
      </c>
      <c r="U37" s="11">
        <v>1941</v>
      </c>
      <c r="V37" s="11">
        <v>1988</v>
      </c>
      <c r="W37" s="11">
        <v>1806</v>
      </c>
      <c r="X37" s="11">
        <v>2172</v>
      </c>
      <c r="Y37" s="11">
        <v>2145</v>
      </c>
      <c r="Z37" s="11">
        <v>2268</v>
      </c>
      <c r="AA37" s="11">
        <v>2359</v>
      </c>
      <c r="AB37" s="11">
        <v>2923</v>
      </c>
      <c r="AC37" s="11">
        <v>3226</v>
      </c>
      <c r="AD37" s="11">
        <v>3549</v>
      </c>
      <c r="AE37" s="11">
        <v>3012</v>
      </c>
      <c r="AF37" s="11">
        <v>3596</v>
      </c>
      <c r="AG37" s="11">
        <v>3797</v>
      </c>
      <c r="AH37" s="11">
        <v>4244</v>
      </c>
      <c r="AI37" s="11">
        <v>3545</v>
      </c>
      <c r="AJ37" s="11">
        <v>3997</v>
      </c>
      <c r="AK37" s="11">
        <v>4170</v>
      </c>
      <c r="AL37" s="11">
        <v>4473</v>
      </c>
      <c r="AM37" s="11">
        <v>4286</v>
      </c>
      <c r="AN37" s="11">
        <v>5063</v>
      </c>
      <c r="AO37" s="11">
        <v>5890</v>
      </c>
      <c r="AP37" s="11">
        <v>5871</v>
      </c>
      <c r="AQ37" s="11">
        <v>6442</v>
      </c>
      <c r="AR37" s="11">
        <v>7282</v>
      </c>
      <c r="AS37" s="11">
        <v>7301</v>
      </c>
      <c r="AT37" s="11">
        <v>9168</v>
      </c>
      <c r="AU37" s="11">
        <v>11233</v>
      </c>
    </row>
    <row r="38" spans="1:47" ht="14.4">
      <c r="A38" s="1" t="s">
        <v>325</v>
      </c>
      <c r="B38" s="1" t="s">
        <v>46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17</v>
      </c>
      <c r="W38" s="11">
        <v>120</v>
      </c>
      <c r="X38" s="11">
        <v>124</v>
      </c>
      <c r="Y38" s="11">
        <v>136</v>
      </c>
      <c r="Z38" s="11">
        <v>100</v>
      </c>
      <c r="AA38" s="11">
        <v>159</v>
      </c>
      <c r="AB38" s="11">
        <v>135</v>
      </c>
      <c r="AC38" s="11">
        <v>158</v>
      </c>
      <c r="AD38" s="11">
        <v>210</v>
      </c>
      <c r="AE38" s="11">
        <v>90</v>
      </c>
      <c r="AF38" s="11">
        <v>147</v>
      </c>
      <c r="AG38" s="11">
        <v>182</v>
      </c>
      <c r="AH38" s="11">
        <v>168</v>
      </c>
      <c r="AI38" s="11">
        <v>216</v>
      </c>
      <c r="AJ38" s="11">
        <v>519</v>
      </c>
      <c r="AK38" s="11">
        <v>0</v>
      </c>
      <c r="AL38" s="11">
        <v>222</v>
      </c>
      <c r="AM38" s="11">
        <v>199</v>
      </c>
      <c r="AN38" s="11">
        <v>222</v>
      </c>
      <c r="AO38" s="11">
        <v>700</v>
      </c>
      <c r="AP38" s="11">
        <v>616</v>
      </c>
      <c r="AQ38" s="11">
        <v>593</v>
      </c>
      <c r="AR38" s="11">
        <v>561</v>
      </c>
      <c r="AS38" s="11">
        <v>444</v>
      </c>
      <c r="AT38" s="11">
        <v>381</v>
      </c>
      <c r="AU38" s="11">
        <v>457</v>
      </c>
    </row>
    <row r="39" spans="1:47" ht="14.4">
      <c r="A39" s="1" t="s">
        <v>54</v>
      </c>
      <c r="B39" s="1" t="s">
        <v>46</v>
      </c>
      <c r="C39" s="11">
        <v>1042</v>
      </c>
      <c r="D39" s="11">
        <v>1194</v>
      </c>
      <c r="E39" s="11">
        <v>1236</v>
      </c>
      <c r="F39" s="11">
        <v>1261</v>
      </c>
      <c r="G39" s="11">
        <v>1015</v>
      </c>
      <c r="H39" s="11">
        <v>1145</v>
      </c>
      <c r="I39" s="11">
        <v>1162</v>
      </c>
      <c r="J39" s="11">
        <v>1523</v>
      </c>
      <c r="K39" s="11">
        <v>1108</v>
      </c>
      <c r="L39" s="11">
        <v>1191</v>
      </c>
      <c r="M39" s="11">
        <v>1295</v>
      </c>
      <c r="N39" s="11">
        <v>1417</v>
      </c>
      <c r="O39" s="11">
        <v>1306</v>
      </c>
      <c r="P39" s="11">
        <v>1634</v>
      </c>
      <c r="Q39" s="11">
        <v>1805</v>
      </c>
      <c r="R39" s="11">
        <v>1706</v>
      </c>
      <c r="S39" s="11">
        <v>1406</v>
      </c>
      <c r="T39" s="11">
        <v>1898</v>
      </c>
      <c r="U39" s="11">
        <v>1940</v>
      </c>
      <c r="V39" s="11">
        <v>1988</v>
      </c>
      <c r="W39" s="11">
        <v>1806</v>
      </c>
      <c r="X39" s="11">
        <v>2172</v>
      </c>
      <c r="Y39" s="11">
        <v>2145</v>
      </c>
      <c r="Z39" s="11">
        <v>2268</v>
      </c>
      <c r="AA39" s="11">
        <v>2359</v>
      </c>
      <c r="AB39" s="11">
        <v>2923</v>
      </c>
      <c r="AC39" s="11">
        <v>3020</v>
      </c>
      <c r="AD39" s="11">
        <v>3293</v>
      </c>
      <c r="AE39" s="11">
        <v>2918</v>
      </c>
      <c r="AF39" s="11">
        <v>3444</v>
      </c>
      <c r="AG39" s="11">
        <v>3615</v>
      </c>
      <c r="AH39" s="11">
        <v>4076</v>
      </c>
      <c r="AI39" s="11">
        <v>3316</v>
      </c>
      <c r="AJ39" s="11">
        <v>3474</v>
      </c>
      <c r="AK39" s="11">
        <v>4012</v>
      </c>
      <c r="AL39" s="11">
        <v>4251</v>
      </c>
      <c r="AM39" s="11">
        <v>4087</v>
      </c>
      <c r="AN39" s="11">
        <v>4841</v>
      </c>
      <c r="AO39" s="11">
        <v>5190</v>
      </c>
      <c r="AP39" s="11">
        <v>5871</v>
      </c>
      <c r="AQ39" s="11">
        <v>6442</v>
      </c>
      <c r="AR39" s="11">
        <v>7282</v>
      </c>
      <c r="AS39" s="11">
        <v>7302</v>
      </c>
      <c r="AT39" s="11">
        <v>9168</v>
      </c>
      <c r="AU39" s="11">
        <v>11233</v>
      </c>
    </row>
    <row r="40" spans="1:47" ht="14.4">
      <c r="A40" s="1" t="s">
        <v>264</v>
      </c>
      <c r="B40" s="1" t="s">
        <v>46</v>
      </c>
      <c r="C40" s="11">
        <v>276</v>
      </c>
      <c r="D40" s="11">
        <v>265</v>
      </c>
      <c r="E40" s="11">
        <v>273</v>
      </c>
      <c r="F40" s="11">
        <v>287</v>
      </c>
      <c r="G40" s="11">
        <v>326</v>
      </c>
      <c r="H40" s="11">
        <v>317</v>
      </c>
      <c r="I40" s="11">
        <v>321</v>
      </c>
      <c r="J40" s="11">
        <v>312</v>
      </c>
      <c r="K40" s="11">
        <v>316</v>
      </c>
      <c r="L40" s="11">
        <v>341</v>
      </c>
      <c r="M40" s="11">
        <v>311</v>
      </c>
      <c r="N40" s="11">
        <v>305</v>
      </c>
      <c r="O40" s="11">
        <v>312</v>
      </c>
      <c r="P40" s="11">
        <v>319</v>
      </c>
      <c r="Q40" s="11">
        <v>314</v>
      </c>
      <c r="R40" s="11">
        <v>303</v>
      </c>
      <c r="S40" s="11">
        <v>401</v>
      </c>
      <c r="T40" s="11">
        <v>447</v>
      </c>
      <c r="U40" s="11">
        <v>449</v>
      </c>
      <c r="V40" s="11">
        <v>433</v>
      </c>
      <c r="W40" s="11">
        <v>465</v>
      </c>
      <c r="X40" s="11">
        <v>460</v>
      </c>
      <c r="Y40" s="11">
        <v>462</v>
      </c>
      <c r="Z40" s="11">
        <v>449</v>
      </c>
      <c r="AA40" s="11">
        <v>524</v>
      </c>
      <c r="AB40" s="11">
        <v>598</v>
      </c>
      <c r="AC40" s="11">
        <v>566</v>
      </c>
      <c r="AD40" s="11">
        <v>584</v>
      </c>
      <c r="AE40" s="11">
        <v>630</v>
      </c>
      <c r="AF40" s="11">
        <v>614</v>
      </c>
      <c r="AG40" s="11">
        <v>624</v>
      </c>
      <c r="AH40" s="11">
        <v>717</v>
      </c>
      <c r="AI40" s="11">
        <v>757</v>
      </c>
      <c r="AJ40" s="11">
        <v>772</v>
      </c>
      <c r="AK40" s="11">
        <v>811</v>
      </c>
      <c r="AL40" s="11">
        <v>846</v>
      </c>
      <c r="AM40" s="11">
        <v>815</v>
      </c>
      <c r="AN40" s="11">
        <v>0</v>
      </c>
      <c r="AO40" s="11">
        <v>0</v>
      </c>
      <c r="AP40" s="11">
        <v>1254</v>
      </c>
      <c r="AQ40" s="11">
        <v>1592</v>
      </c>
      <c r="AR40" s="11">
        <v>1719</v>
      </c>
      <c r="AS40" s="11">
        <v>1708</v>
      </c>
      <c r="AT40" s="11">
        <v>1800</v>
      </c>
      <c r="AU40" s="11">
        <v>2411</v>
      </c>
    </row>
    <row r="41" spans="1:47" ht="14.4">
      <c r="A41" s="1" t="s">
        <v>326</v>
      </c>
      <c r="B41" s="1" t="s">
        <v>46</v>
      </c>
      <c r="C41" s="11">
        <v>766</v>
      </c>
      <c r="D41" s="11">
        <v>929</v>
      </c>
      <c r="E41" s="11">
        <v>963</v>
      </c>
      <c r="F41" s="11">
        <v>974</v>
      </c>
      <c r="G41" s="11">
        <v>689</v>
      </c>
      <c r="H41" s="11">
        <v>828</v>
      </c>
      <c r="I41" s="11">
        <v>841</v>
      </c>
      <c r="J41" s="11">
        <v>1211</v>
      </c>
      <c r="K41" s="11">
        <v>792</v>
      </c>
      <c r="L41" s="11">
        <v>850</v>
      </c>
      <c r="M41" s="11">
        <v>984</v>
      </c>
      <c r="N41" s="11">
        <v>1112</v>
      </c>
      <c r="O41" s="11">
        <v>994</v>
      </c>
      <c r="P41" s="11">
        <v>1315</v>
      </c>
      <c r="Q41" s="11">
        <v>1491</v>
      </c>
      <c r="R41" s="11">
        <v>1403</v>
      </c>
      <c r="S41" s="11">
        <v>1005</v>
      </c>
      <c r="T41" s="11">
        <v>1451</v>
      </c>
      <c r="U41" s="11">
        <v>1491</v>
      </c>
      <c r="V41" s="11">
        <v>1555</v>
      </c>
      <c r="W41" s="11">
        <v>1341</v>
      </c>
      <c r="X41" s="11">
        <v>1712</v>
      </c>
      <c r="Y41" s="11">
        <v>1683</v>
      </c>
      <c r="Z41" s="11">
        <v>1819</v>
      </c>
      <c r="AA41" s="11">
        <v>1835</v>
      </c>
      <c r="AB41" s="11">
        <v>2325</v>
      </c>
      <c r="AC41" s="11">
        <v>2454</v>
      </c>
      <c r="AD41" s="11">
        <v>2709</v>
      </c>
      <c r="AE41" s="11">
        <v>2288</v>
      </c>
      <c r="AF41" s="11">
        <v>2830</v>
      </c>
      <c r="AG41" s="11">
        <v>2991</v>
      </c>
      <c r="AH41" s="11">
        <v>3359</v>
      </c>
      <c r="AI41" s="11">
        <v>2559</v>
      </c>
      <c r="AJ41" s="11">
        <v>2702</v>
      </c>
      <c r="AK41" s="11">
        <v>3201</v>
      </c>
      <c r="AL41" s="11">
        <v>3405</v>
      </c>
      <c r="AM41" s="11">
        <v>3272</v>
      </c>
      <c r="AN41" s="11">
        <v>3598</v>
      </c>
      <c r="AO41" s="11">
        <v>3922</v>
      </c>
      <c r="AP41" s="11">
        <v>4195</v>
      </c>
      <c r="AQ41" s="11">
        <v>4858</v>
      </c>
      <c r="AR41" s="11">
        <v>5563</v>
      </c>
      <c r="AS41" s="11">
        <v>5594</v>
      </c>
      <c r="AT41" s="11">
        <v>7368</v>
      </c>
      <c r="AU41" s="11">
        <v>8822</v>
      </c>
    </row>
    <row r="42" spans="1:47" ht="14.4">
      <c r="A42" s="1" t="s">
        <v>327</v>
      </c>
      <c r="B42" s="1" t="s">
        <v>46</v>
      </c>
      <c r="C42" s="11">
        <v>79</v>
      </c>
      <c r="D42" s="11">
        <v>13</v>
      </c>
      <c r="E42" s="11">
        <v>52</v>
      </c>
      <c r="F42" s="11">
        <v>39</v>
      </c>
      <c r="G42" s="11">
        <v>83</v>
      </c>
      <c r="H42" s="11">
        <v>29</v>
      </c>
      <c r="I42" s="11">
        <v>59</v>
      </c>
      <c r="J42" s="11">
        <v>-12</v>
      </c>
      <c r="K42" s="11">
        <v>58</v>
      </c>
      <c r="L42" s="11">
        <v>87</v>
      </c>
      <c r="M42" s="11">
        <v>5</v>
      </c>
      <c r="N42" s="11">
        <v>148</v>
      </c>
      <c r="O42" s="11">
        <v>209</v>
      </c>
      <c r="P42" s="11">
        <v>215</v>
      </c>
      <c r="Q42" s="11">
        <v>5</v>
      </c>
      <c r="R42" s="11">
        <v>47</v>
      </c>
      <c r="S42" s="11">
        <v>171</v>
      </c>
      <c r="T42" s="11">
        <v>76</v>
      </c>
      <c r="U42" s="11">
        <v>130</v>
      </c>
      <c r="V42" s="11">
        <v>180</v>
      </c>
      <c r="W42" s="11">
        <v>48</v>
      </c>
      <c r="X42" s="11">
        <v>-63</v>
      </c>
      <c r="Y42" s="11">
        <v>19</v>
      </c>
      <c r="Z42" s="11">
        <v>109</v>
      </c>
      <c r="AA42" s="11">
        <v>52</v>
      </c>
      <c r="AB42" s="11">
        <v>-77</v>
      </c>
      <c r="AC42" s="11">
        <v>-122</v>
      </c>
      <c r="AD42" s="11">
        <v>-119</v>
      </c>
      <c r="AE42" s="11">
        <v>-76</v>
      </c>
      <c r="AF42" s="11">
        <v>-150</v>
      </c>
      <c r="AG42" s="11">
        <v>83</v>
      </c>
      <c r="AH42" s="11">
        <v>-487</v>
      </c>
      <c r="AI42" s="11">
        <v>-152</v>
      </c>
      <c r="AJ42" s="11">
        <v>-295</v>
      </c>
      <c r="AK42" s="11">
        <v>-257</v>
      </c>
      <c r="AL42" s="11">
        <v>-452</v>
      </c>
      <c r="AM42" s="11">
        <v>-272</v>
      </c>
      <c r="AN42" s="11"/>
      <c r="AO42" s="11">
        <v>-327</v>
      </c>
      <c r="AP42" s="11">
        <v>-92</v>
      </c>
      <c r="AQ42" s="11"/>
      <c r="AR42" s="11">
        <v>-292</v>
      </c>
      <c r="AS42" s="11">
        <v>-208</v>
      </c>
      <c r="AT42" s="11">
        <v>-179</v>
      </c>
      <c r="AU42" s="11">
        <v>-598</v>
      </c>
    </row>
    <row r="43" spans="1:47" ht="14.4">
      <c r="A43" s="1" t="s">
        <v>328</v>
      </c>
      <c r="B43" s="1" t="s">
        <v>46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>
        <v>-170</v>
      </c>
      <c r="AQ43" s="11">
        <v>-44</v>
      </c>
      <c r="AR43" s="11">
        <v>310</v>
      </c>
      <c r="AS43" s="11">
        <v>-68</v>
      </c>
      <c r="AT43" s="11">
        <v>-403</v>
      </c>
      <c r="AU43" s="11">
        <v>-653</v>
      </c>
    </row>
    <row r="44" spans="1:47" ht="14.4">
      <c r="A44" s="1" t="s">
        <v>265</v>
      </c>
      <c r="B44" s="1" t="s">
        <v>46</v>
      </c>
      <c r="C44" s="11">
        <v>845</v>
      </c>
      <c r="D44" s="11">
        <v>942</v>
      </c>
      <c r="E44" s="11">
        <v>1015</v>
      </c>
      <c r="F44" s="11">
        <v>1013</v>
      </c>
      <c r="G44" s="11">
        <v>772</v>
      </c>
      <c r="H44" s="11">
        <v>857</v>
      </c>
      <c r="I44" s="11">
        <v>900</v>
      </c>
      <c r="J44" s="11">
        <v>1199</v>
      </c>
      <c r="K44" s="11">
        <v>849</v>
      </c>
      <c r="L44" s="11">
        <v>937</v>
      </c>
      <c r="M44" s="11">
        <v>989</v>
      </c>
      <c r="N44" s="11">
        <v>1261</v>
      </c>
      <c r="O44" s="11">
        <v>1203</v>
      </c>
      <c r="P44" s="11">
        <v>1530</v>
      </c>
      <c r="Q44" s="11">
        <v>1496</v>
      </c>
      <c r="R44" s="11">
        <v>1451</v>
      </c>
      <c r="S44" s="11">
        <v>1176</v>
      </c>
      <c r="T44" s="11">
        <v>1527</v>
      </c>
      <c r="U44" s="11">
        <v>1621</v>
      </c>
      <c r="V44" s="11">
        <v>1718</v>
      </c>
      <c r="W44" s="11">
        <v>1269</v>
      </c>
      <c r="X44" s="11">
        <v>1525</v>
      </c>
      <c r="Y44" s="11">
        <v>1566</v>
      </c>
      <c r="Z44" s="11">
        <v>1782</v>
      </c>
      <c r="AA44" s="11">
        <v>1632</v>
      </c>
      <c r="AB44" s="11">
        <v>2248</v>
      </c>
      <c r="AC44" s="11">
        <v>2332</v>
      </c>
      <c r="AD44" s="11">
        <v>2590</v>
      </c>
      <c r="AE44" s="11">
        <v>2212</v>
      </c>
      <c r="AF44" s="11">
        <v>2680</v>
      </c>
      <c r="AG44" s="11">
        <v>3074</v>
      </c>
      <c r="AH44" s="11">
        <v>2872</v>
      </c>
      <c r="AI44" s="11">
        <v>2407</v>
      </c>
      <c r="AJ44" s="11">
        <v>2407</v>
      </c>
      <c r="AK44" s="11">
        <v>2944</v>
      </c>
      <c r="AL44" s="11">
        <v>2953</v>
      </c>
      <c r="AM44" s="11">
        <v>3000</v>
      </c>
      <c r="AN44" s="11">
        <v>3598</v>
      </c>
      <c r="AO44" s="11">
        <v>3595</v>
      </c>
      <c r="AP44" s="11">
        <v>3933</v>
      </c>
      <c r="AQ44" s="11">
        <v>4402</v>
      </c>
      <c r="AR44" s="11">
        <v>5582</v>
      </c>
      <c r="AS44" s="11">
        <v>5318</v>
      </c>
      <c r="AT44" s="11">
        <v>6786</v>
      </c>
      <c r="AU44" s="11">
        <v>7571</v>
      </c>
    </row>
    <row r="45" spans="1:47" ht="14.4">
      <c r="A45" s="1" t="s">
        <v>266</v>
      </c>
      <c r="B45" s="1" t="s">
        <v>46</v>
      </c>
      <c r="C45" s="11">
        <v>800</v>
      </c>
      <c r="D45" s="11">
        <v>0</v>
      </c>
      <c r="E45" s="11">
        <v>13</v>
      </c>
      <c r="F45" s="11">
        <v>13</v>
      </c>
      <c r="G45" s="11">
        <v>361</v>
      </c>
      <c r="H45" s="11">
        <v>361</v>
      </c>
      <c r="I45" s="11">
        <v>13</v>
      </c>
      <c r="J45" s="11">
        <v>-140</v>
      </c>
      <c r="K45" s="11">
        <v>-140</v>
      </c>
      <c r="L45" s="11">
        <v>0</v>
      </c>
      <c r="M45" s="11">
        <v>0</v>
      </c>
      <c r="N45" s="11">
        <v>-140</v>
      </c>
      <c r="O45" s="11">
        <v>0</v>
      </c>
      <c r="P45" s="11">
        <v>0</v>
      </c>
      <c r="Q45" s="11">
        <v>0</v>
      </c>
      <c r="R45" s="11">
        <v>56</v>
      </c>
      <c r="S45" s="11">
        <v>-57</v>
      </c>
      <c r="T45" s="11">
        <v>-57</v>
      </c>
      <c r="U45" s="11">
        <v>0</v>
      </c>
      <c r="V45" s="11">
        <v>128</v>
      </c>
      <c r="W45" s="11">
        <v>180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97</v>
      </c>
      <c r="AM45" s="11">
        <v>953</v>
      </c>
      <c r="AN45" s="11">
        <v>201</v>
      </c>
      <c r="AO45" s="11">
        <v>0</v>
      </c>
      <c r="AP45" s="11">
        <v>0</v>
      </c>
      <c r="AQ45" s="11">
        <v>248</v>
      </c>
      <c r="AR45" s="11">
        <v>0</v>
      </c>
      <c r="AS45" s="11">
        <v>1476</v>
      </c>
      <c r="AT45" s="11">
        <v>536</v>
      </c>
      <c r="AU45" s="11">
        <v>550</v>
      </c>
    </row>
    <row r="46" spans="1:47" ht="14.4">
      <c r="A46" s="1" t="s">
        <v>267</v>
      </c>
      <c r="B46" s="1" t="s">
        <v>46</v>
      </c>
      <c r="C46" s="11">
        <v>844</v>
      </c>
      <c r="D46" s="11">
        <v>942</v>
      </c>
      <c r="E46" s="11">
        <v>1002</v>
      </c>
      <c r="F46" s="11">
        <v>1013</v>
      </c>
      <c r="G46" s="11">
        <v>411</v>
      </c>
      <c r="H46" s="11">
        <v>856</v>
      </c>
      <c r="I46" s="11">
        <v>900</v>
      </c>
      <c r="J46" s="11">
        <v>1339</v>
      </c>
      <c r="K46" s="11">
        <v>849</v>
      </c>
      <c r="L46" s="11">
        <v>937</v>
      </c>
      <c r="M46" s="11">
        <v>989</v>
      </c>
      <c r="N46" s="11">
        <v>1261</v>
      </c>
      <c r="O46" s="11">
        <v>1203</v>
      </c>
      <c r="P46" s="11">
        <v>1530</v>
      </c>
      <c r="Q46" s="11">
        <v>1496</v>
      </c>
      <c r="R46" s="11">
        <v>1395</v>
      </c>
      <c r="S46" s="11">
        <v>1233</v>
      </c>
      <c r="T46" s="11">
        <v>1527</v>
      </c>
      <c r="U46" s="11">
        <v>1621</v>
      </c>
      <c r="V46" s="11">
        <v>1590</v>
      </c>
      <c r="W46" s="11">
        <v>1089</v>
      </c>
      <c r="X46" s="11">
        <v>1525</v>
      </c>
      <c r="Y46" s="11">
        <v>1566</v>
      </c>
      <c r="Z46" s="11">
        <v>1782</v>
      </c>
      <c r="AA46" s="11">
        <v>1632</v>
      </c>
      <c r="AB46" s="11">
        <v>2061</v>
      </c>
      <c r="AC46" s="11">
        <v>2332</v>
      </c>
      <c r="AD46" s="11">
        <v>2590</v>
      </c>
      <c r="AE46" s="11">
        <v>2212</v>
      </c>
      <c r="AF46" s="11">
        <v>2680</v>
      </c>
      <c r="AG46" s="11">
        <v>3074</v>
      </c>
      <c r="AH46" s="11">
        <v>2872</v>
      </c>
      <c r="AI46" s="11">
        <v>2242</v>
      </c>
      <c r="AJ46" s="11">
        <v>2407</v>
      </c>
      <c r="AK46" s="11">
        <v>2944</v>
      </c>
      <c r="AL46" s="11">
        <v>2856</v>
      </c>
      <c r="AM46" s="11">
        <v>2047</v>
      </c>
      <c r="AN46" s="11">
        <v>3135</v>
      </c>
      <c r="AO46" s="11">
        <v>3433</v>
      </c>
      <c r="AP46" s="11">
        <v>3933</v>
      </c>
      <c r="AQ46" s="11">
        <v>3654</v>
      </c>
      <c r="AR46" s="11">
        <v>5582</v>
      </c>
      <c r="AS46" s="11">
        <v>3842</v>
      </c>
      <c r="AT46" s="11">
        <v>6250</v>
      </c>
      <c r="AU46" s="11">
        <v>7021</v>
      </c>
    </row>
    <row r="47" spans="1:47" ht="14.4">
      <c r="A47" s="1" t="s">
        <v>270</v>
      </c>
      <c r="B47" s="1" t="s">
        <v>46</v>
      </c>
      <c r="C47" s="11">
        <v>219</v>
      </c>
      <c r="D47" s="11">
        <v>216</v>
      </c>
      <c r="E47" s="11">
        <v>212</v>
      </c>
      <c r="F47" s="11">
        <v>184</v>
      </c>
      <c r="G47" s="11">
        <v>80</v>
      </c>
      <c r="H47" s="11">
        <v>213</v>
      </c>
      <c r="I47" s="11">
        <v>228</v>
      </c>
      <c r="J47" s="11">
        <v>265</v>
      </c>
      <c r="K47" s="11">
        <v>295</v>
      </c>
      <c r="L47" s="11">
        <v>204</v>
      </c>
      <c r="M47" s="11">
        <v>163</v>
      </c>
      <c r="N47" s="11">
        <v>288</v>
      </c>
      <c r="O47" s="11">
        <v>300</v>
      </c>
      <c r="P47" s="11">
        <v>363</v>
      </c>
      <c r="Q47" s="11">
        <v>445</v>
      </c>
      <c r="R47" s="11">
        <v>296</v>
      </c>
      <c r="S47" s="11">
        <v>318</v>
      </c>
      <c r="T47" s="11">
        <v>276</v>
      </c>
      <c r="U47" s="11">
        <v>336</v>
      </c>
      <c r="V47" s="11">
        <v>348</v>
      </c>
      <c r="W47" s="11">
        <v>260</v>
      </c>
      <c r="X47" s="11">
        <v>303</v>
      </c>
      <c r="Y47" s="11">
        <v>331</v>
      </c>
      <c r="Z47" s="11">
        <v>408</v>
      </c>
      <c r="AA47" s="11">
        <v>320</v>
      </c>
      <c r="AB47" s="11">
        <v>446</v>
      </c>
      <c r="AC47" s="11">
        <v>360</v>
      </c>
      <c r="AD47" s="11">
        <v>342</v>
      </c>
      <c r="AE47" s="11">
        <v>493</v>
      </c>
      <c r="AF47" s="11">
        <v>474</v>
      </c>
      <c r="AG47" s="11">
        <v>715</v>
      </c>
      <c r="AH47" s="11">
        <v>526</v>
      </c>
      <c r="AI47" s="11">
        <v>485</v>
      </c>
      <c r="AJ47" s="11">
        <v>528</v>
      </c>
      <c r="AK47" s="11">
        <v>516</v>
      </c>
      <c r="AL47" s="11">
        <v>564</v>
      </c>
      <c r="AM47" s="11">
        <v>654</v>
      </c>
      <c r="AN47" s="11"/>
      <c r="AO47" s="11">
        <v>874</v>
      </c>
      <c r="AP47" s="11">
        <v>874</v>
      </c>
      <c r="AQ47" s="11">
        <v>792</v>
      </c>
      <c r="AR47" s="11">
        <v>1328</v>
      </c>
      <c r="AS47" s="11">
        <v>875</v>
      </c>
      <c r="AT47" s="11">
        <v>-412</v>
      </c>
      <c r="AU47" s="11">
        <v>1704</v>
      </c>
    </row>
    <row r="48" spans="1:47" ht="14.4">
      <c r="A48" s="1" t="s">
        <v>271</v>
      </c>
      <c r="B48" s="1" t="s">
        <v>46</v>
      </c>
      <c r="C48" s="11">
        <v>625</v>
      </c>
      <c r="D48" s="11">
        <v>726</v>
      </c>
      <c r="E48" s="11">
        <v>790</v>
      </c>
      <c r="F48" s="11">
        <v>829</v>
      </c>
      <c r="G48" s="11">
        <v>331</v>
      </c>
      <c r="H48" s="11">
        <v>643</v>
      </c>
      <c r="I48" s="11">
        <v>672</v>
      </c>
      <c r="J48" s="11">
        <v>1075</v>
      </c>
      <c r="K48" s="11">
        <v>555</v>
      </c>
      <c r="L48" s="11">
        <v>733</v>
      </c>
      <c r="M48" s="11">
        <v>826</v>
      </c>
      <c r="N48" s="11">
        <v>973</v>
      </c>
      <c r="O48" s="11">
        <v>904</v>
      </c>
      <c r="P48" s="11">
        <v>1167</v>
      </c>
      <c r="Q48" s="11">
        <v>1051</v>
      </c>
      <c r="R48" s="11">
        <v>1099</v>
      </c>
      <c r="S48" s="11">
        <v>914</v>
      </c>
      <c r="T48" s="11">
        <v>1251</v>
      </c>
      <c r="U48" s="11">
        <v>1285</v>
      </c>
      <c r="V48" s="11">
        <v>1242</v>
      </c>
      <c r="W48" s="11">
        <v>829</v>
      </c>
      <c r="X48" s="11">
        <v>1222</v>
      </c>
      <c r="Y48" s="11">
        <v>1235</v>
      </c>
      <c r="Z48" s="11">
        <v>1374</v>
      </c>
      <c r="AA48" s="11">
        <v>1312</v>
      </c>
      <c r="AB48" s="11">
        <v>1615</v>
      </c>
      <c r="AC48" s="11">
        <v>1972</v>
      </c>
      <c r="AD48" s="11">
        <v>2248</v>
      </c>
      <c r="AE48" s="11">
        <v>1719</v>
      </c>
      <c r="AF48" s="11">
        <v>2206</v>
      </c>
      <c r="AG48" s="11">
        <v>2359</v>
      </c>
      <c r="AH48" s="11">
        <v>2346</v>
      </c>
      <c r="AI48" s="11">
        <v>1757</v>
      </c>
      <c r="AJ48" s="11">
        <v>1879</v>
      </c>
      <c r="AK48" s="11">
        <v>2428</v>
      </c>
      <c r="AL48" s="11">
        <v>2292</v>
      </c>
      <c r="AM48" s="11">
        <v>1393</v>
      </c>
      <c r="AN48" s="11"/>
      <c r="AO48" s="11">
        <v>2559</v>
      </c>
      <c r="AP48" s="11">
        <v>3073</v>
      </c>
      <c r="AQ48" s="11">
        <v>3564</v>
      </c>
      <c r="AR48" s="11">
        <v>4254</v>
      </c>
      <c r="AS48" s="11">
        <v>2967</v>
      </c>
      <c r="AT48" s="11">
        <v>6662</v>
      </c>
      <c r="AU48" s="11">
        <v>5317</v>
      </c>
    </row>
    <row r="49" spans="1:47" ht="14.4">
      <c r="A49" s="1" t="s">
        <v>272</v>
      </c>
      <c r="B49" s="1" t="s">
        <v>46</v>
      </c>
      <c r="C49" s="11">
        <v>40</v>
      </c>
      <c r="D49" s="11">
        <v>43</v>
      </c>
      <c r="E49" s="11">
        <v>48</v>
      </c>
      <c r="F49" s="11">
        <v>39</v>
      </c>
      <c r="G49" s="11">
        <v>46</v>
      </c>
      <c r="H49" s="11">
        <v>54</v>
      </c>
      <c r="I49" s="11">
        <v>48</v>
      </c>
      <c r="J49" s="11">
        <v>72</v>
      </c>
      <c r="K49" s="11">
        <v>42</v>
      </c>
      <c r="L49" s="11">
        <v>61</v>
      </c>
      <c r="M49" s="11">
        <v>70</v>
      </c>
      <c r="N49" s="11">
        <v>112</v>
      </c>
      <c r="O49" s="11">
        <v>46</v>
      </c>
      <c r="P49" s="11">
        <v>49</v>
      </c>
      <c r="Q49" s="11">
        <v>49</v>
      </c>
      <c r="R49" s="11">
        <v>44</v>
      </c>
      <c r="S49" s="11">
        <v>24</v>
      </c>
      <c r="T49" s="11">
        <v>56</v>
      </c>
      <c r="U49" s="11">
        <v>52</v>
      </c>
      <c r="V49" s="11">
        <v>106</v>
      </c>
      <c r="W49" s="11">
        <v>30</v>
      </c>
      <c r="X49" s="11">
        <v>15</v>
      </c>
      <c r="Y49" s="11">
        <v>15</v>
      </c>
      <c r="Z49" s="11">
        <v>44</v>
      </c>
      <c r="AA49" s="11">
        <v>76</v>
      </c>
      <c r="AB49" s="11">
        <v>148</v>
      </c>
      <c r="AC49" s="11">
        <v>135</v>
      </c>
      <c r="AD49" s="11">
        <v>171</v>
      </c>
      <c r="AE49" s="11">
        <v>222</v>
      </c>
      <c r="AF49" s="11">
        <v>195</v>
      </c>
      <c r="AG49" s="11">
        <v>77</v>
      </c>
      <c r="AH49" s="11">
        <v>19</v>
      </c>
      <c r="AI49" s="11">
        <v>104</v>
      </c>
      <c r="AJ49" s="11">
        <v>69</v>
      </c>
      <c r="AK49" s="11">
        <v>48</v>
      </c>
      <c r="AL49" s="11">
        <v>55</v>
      </c>
      <c r="AM49" s="11">
        <v>61</v>
      </c>
      <c r="AN49" s="11">
        <v>314</v>
      </c>
      <c r="AO49" s="11">
        <v>404</v>
      </c>
      <c r="AP49" s="11">
        <v>461</v>
      </c>
      <c r="AQ49" s="11">
        <v>390</v>
      </c>
      <c r="AR49" s="11">
        <v>496</v>
      </c>
      <c r="AS49" s="11">
        <v>465</v>
      </c>
      <c r="AT49" s="11">
        <v>539</v>
      </c>
      <c r="AU49" s="11">
        <v>131</v>
      </c>
    </row>
    <row r="50" spans="1:47" ht="14.4">
      <c r="A50" s="1" t="s">
        <v>273</v>
      </c>
      <c r="B50" s="1" t="s">
        <v>46</v>
      </c>
      <c r="C50" s="11">
        <v>585</v>
      </c>
      <c r="D50" s="11">
        <v>683</v>
      </c>
      <c r="E50" s="11">
        <v>742</v>
      </c>
      <c r="F50" s="11">
        <v>790</v>
      </c>
      <c r="G50" s="11">
        <v>285</v>
      </c>
      <c r="H50" s="11">
        <v>589</v>
      </c>
      <c r="I50" s="11">
        <v>624</v>
      </c>
      <c r="J50" s="11">
        <v>1003</v>
      </c>
      <c r="K50" s="11">
        <v>513</v>
      </c>
      <c r="L50" s="11">
        <v>672</v>
      </c>
      <c r="M50" s="11">
        <v>756</v>
      </c>
      <c r="N50" s="11">
        <v>861</v>
      </c>
      <c r="O50" s="11">
        <v>858</v>
      </c>
      <c r="P50" s="11">
        <v>1118</v>
      </c>
      <c r="Q50" s="11">
        <v>1002</v>
      </c>
      <c r="R50" s="11">
        <v>1055</v>
      </c>
      <c r="S50" s="11">
        <v>890</v>
      </c>
      <c r="T50" s="11">
        <v>1195</v>
      </c>
      <c r="U50" s="11">
        <v>1233</v>
      </c>
      <c r="V50" s="11">
        <v>1136</v>
      </c>
      <c r="W50" s="11">
        <v>799</v>
      </c>
      <c r="X50" s="11">
        <v>1207</v>
      </c>
      <c r="Y50" s="11">
        <v>1220</v>
      </c>
      <c r="Z50" s="11">
        <v>1330</v>
      </c>
      <c r="AA50" s="11">
        <v>1236</v>
      </c>
      <c r="AB50" s="11">
        <v>1467</v>
      </c>
      <c r="AC50" s="11">
        <v>1837</v>
      </c>
      <c r="AD50" s="11">
        <v>2077</v>
      </c>
      <c r="AE50" s="11">
        <v>1497</v>
      </c>
      <c r="AF50" s="11">
        <v>2011</v>
      </c>
      <c r="AG50" s="11">
        <v>2282</v>
      </c>
      <c r="AH50" s="11">
        <v>2327</v>
      </c>
      <c r="AI50" s="11">
        <v>1653</v>
      </c>
      <c r="AJ50" s="11">
        <v>1810</v>
      </c>
      <c r="AK50" s="11">
        <v>2380</v>
      </c>
      <c r="AL50" s="11">
        <v>2237</v>
      </c>
      <c r="AM50" s="11">
        <v>1332</v>
      </c>
      <c r="AN50" s="11"/>
      <c r="AO50" s="11">
        <v>2155</v>
      </c>
      <c r="AP50" s="11">
        <v>2612</v>
      </c>
      <c r="AQ50" s="11">
        <v>3174</v>
      </c>
      <c r="AR50" s="11">
        <v>3758</v>
      </c>
      <c r="AS50" s="11">
        <v>2502</v>
      </c>
      <c r="AT50" s="11">
        <v>6123</v>
      </c>
      <c r="AU50" s="11">
        <v>5186</v>
      </c>
    </row>
    <row r="51" spans="1:47" ht="14.4">
      <c r="A51" s="1" t="s">
        <v>274</v>
      </c>
      <c r="B51" s="1" t="s">
        <v>58</v>
      </c>
      <c r="C51" s="12">
        <v>9.6</v>
      </c>
      <c r="D51" s="12">
        <v>11.2</v>
      </c>
      <c r="E51" s="12">
        <v>12.1</v>
      </c>
      <c r="F51" s="12">
        <v>12.9</v>
      </c>
      <c r="G51" s="12">
        <v>4.7</v>
      </c>
      <c r="H51" s="12">
        <v>9.6</v>
      </c>
      <c r="I51" s="12">
        <v>10.1</v>
      </c>
      <c r="J51" s="12">
        <v>16.3</v>
      </c>
      <c r="K51" s="12">
        <v>8.4</v>
      </c>
      <c r="L51" s="12">
        <v>11</v>
      </c>
      <c r="M51" s="12">
        <v>12.3</v>
      </c>
      <c r="N51" s="12">
        <v>14</v>
      </c>
      <c r="O51" s="12">
        <v>14</v>
      </c>
      <c r="P51" s="12">
        <v>18.2</v>
      </c>
      <c r="Q51" s="12">
        <v>16.3</v>
      </c>
      <c r="R51" s="12">
        <v>17.100000000000001</v>
      </c>
      <c r="S51" s="12">
        <v>14.4</v>
      </c>
      <c r="T51" s="12">
        <v>19.3</v>
      </c>
      <c r="U51" s="12">
        <v>19.8</v>
      </c>
      <c r="V51" s="12">
        <v>18.2</v>
      </c>
      <c r="W51" s="12">
        <v>12.8</v>
      </c>
      <c r="X51" s="12">
        <v>19.899999999999999</v>
      </c>
      <c r="Y51" s="12">
        <v>20.100000000000001</v>
      </c>
      <c r="Z51" s="12">
        <v>21.9</v>
      </c>
      <c r="AA51" s="12">
        <v>20.399999999999999</v>
      </c>
      <c r="AB51" s="12">
        <v>24.2</v>
      </c>
      <c r="AC51" s="12">
        <v>30.3</v>
      </c>
      <c r="AD51" s="12">
        <v>34.1</v>
      </c>
      <c r="AE51" s="12">
        <v>24.6</v>
      </c>
      <c r="AF51" s="12">
        <v>33</v>
      </c>
      <c r="AG51" s="12">
        <v>37.4</v>
      </c>
      <c r="AH51" s="12">
        <v>38.1</v>
      </c>
      <c r="AI51" s="12">
        <v>27</v>
      </c>
      <c r="AJ51" s="12">
        <v>29.6</v>
      </c>
      <c r="AK51" s="12">
        <v>38.6</v>
      </c>
      <c r="AL51" s="12">
        <v>36.200000000000003</v>
      </c>
      <c r="AM51" s="12">
        <v>20.9</v>
      </c>
      <c r="AN51" s="12">
        <v>30.3</v>
      </c>
      <c r="AO51" s="12">
        <v>32.299999999999997</v>
      </c>
      <c r="AP51" s="12">
        <v>7.5</v>
      </c>
      <c r="AQ51" s="12">
        <v>7.4</v>
      </c>
      <c r="AR51" s="12">
        <v>11.2</v>
      </c>
      <c r="AS51" s="12">
        <v>7.5</v>
      </c>
      <c r="AT51" s="12">
        <v>18.2</v>
      </c>
      <c r="AU51" s="12">
        <v>12.3</v>
      </c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8" customHeight="1">
      <c r="A55" s="61" t="s">
        <v>329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9.95" customHeight="1">
      <c r="A56" s="4" t="s">
        <v>28</v>
      </c>
      <c r="B56" s="4" t="s">
        <v>29</v>
      </c>
      <c r="C56" s="4" t="s">
        <v>30</v>
      </c>
      <c r="D56" s="4" t="s">
        <v>31</v>
      </c>
      <c r="E56" s="4" t="s">
        <v>32</v>
      </c>
      <c r="F56" s="4" t="s">
        <v>33</v>
      </c>
      <c r="G56" s="4" t="s">
        <v>34</v>
      </c>
      <c r="H56" s="4" t="s">
        <v>35</v>
      </c>
      <c r="I56" s="4" t="s">
        <v>36</v>
      </c>
      <c r="J56" s="4" t="s">
        <v>37</v>
      </c>
      <c r="K56" s="4" t="s">
        <v>38</v>
      </c>
      <c r="L56" s="4" t="s">
        <v>39</v>
      </c>
      <c r="M56" s="4" t="s">
        <v>40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330</v>
      </c>
      <c r="B57" s="1" t="s">
        <v>46</v>
      </c>
      <c r="C57" s="11">
        <v>5067.2474819999998</v>
      </c>
      <c r="D57" s="11">
        <v>4802</v>
      </c>
      <c r="E57" s="11">
        <v>4500</v>
      </c>
      <c r="F57" s="11">
        <v>4191</v>
      </c>
      <c r="G57" s="11">
        <v>4013</v>
      </c>
      <c r="H57" s="11"/>
      <c r="I57" s="11">
        <v>4452</v>
      </c>
      <c r="J57" s="11">
        <v>4455</v>
      </c>
      <c r="K57" s="11">
        <v>4470</v>
      </c>
      <c r="L57" s="11">
        <v>7682</v>
      </c>
      <c r="M57" s="11">
        <v>9425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331</v>
      </c>
      <c r="B58" s="1" t="s">
        <v>46</v>
      </c>
      <c r="C58" s="11"/>
      <c r="D58" s="11">
        <v>0</v>
      </c>
      <c r="E58" s="11"/>
      <c r="F58" s="11"/>
      <c r="G58" s="11">
        <v>37</v>
      </c>
      <c r="H58" s="11">
        <v>614</v>
      </c>
      <c r="I58" s="11">
        <v>1476</v>
      </c>
      <c r="J58" s="11">
        <v>2365</v>
      </c>
      <c r="K58" s="11">
        <v>2927</v>
      </c>
      <c r="L58" s="11">
        <v>3554</v>
      </c>
      <c r="M58" s="11">
        <v>3056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332</v>
      </c>
      <c r="B59" s="1" t="s">
        <v>46</v>
      </c>
      <c r="C59" s="11">
        <v>167.30215100000001</v>
      </c>
      <c r="D59" s="11">
        <v>0</v>
      </c>
      <c r="E59" s="11">
        <v>3</v>
      </c>
      <c r="F59" s="11">
        <v>14</v>
      </c>
      <c r="G59" s="11">
        <v>3</v>
      </c>
      <c r="H59" s="11">
        <v>2</v>
      </c>
      <c r="I59" s="11">
        <v>86</v>
      </c>
      <c r="J59" s="11">
        <v>46</v>
      </c>
      <c r="K59" s="11">
        <v>232</v>
      </c>
      <c r="L59" s="11">
        <v>24</v>
      </c>
      <c r="M59" s="11">
        <v>33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 t="s">
        <v>333</v>
      </c>
      <c r="B60" s="1" t="s">
        <v>46</v>
      </c>
      <c r="C60" s="11">
        <v>0</v>
      </c>
      <c r="D60" s="11">
        <v>1848</v>
      </c>
      <c r="E60" s="11">
        <v>2430</v>
      </c>
      <c r="F60" s="11">
        <v>2448</v>
      </c>
      <c r="G60" s="11">
        <v>4091</v>
      </c>
      <c r="H60" s="11">
        <v>4226</v>
      </c>
      <c r="I60" s="11">
        <v>10708</v>
      </c>
      <c r="J60" s="11">
        <v>11665</v>
      </c>
      <c r="K60" s="11">
        <v>11738</v>
      </c>
      <c r="L60" s="11">
        <v>38430</v>
      </c>
      <c r="M60" s="11">
        <v>41671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 t="s">
        <v>334</v>
      </c>
      <c r="B61" s="1" t="s">
        <v>46</v>
      </c>
      <c r="C61" s="11">
        <v>3137.310309</v>
      </c>
      <c r="D61" s="11">
        <v>1826</v>
      </c>
      <c r="E61" s="11">
        <v>1863</v>
      </c>
      <c r="F61" s="11">
        <v>1548</v>
      </c>
      <c r="G61" s="11">
        <v>1897</v>
      </c>
      <c r="H61" s="11">
        <v>1464</v>
      </c>
      <c r="I61" s="11">
        <v>4031</v>
      </c>
      <c r="J61" s="11">
        <v>4634</v>
      </c>
      <c r="K61" s="11">
        <v>4395</v>
      </c>
      <c r="L61" s="11">
        <v>11296</v>
      </c>
      <c r="M61" s="11">
        <v>13443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 t="s">
        <v>335</v>
      </c>
      <c r="B62" s="1" t="s">
        <v>46</v>
      </c>
      <c r="C62" s="11">
        <v>1.2E-4</v>
      </c>
      <c r="D62" s="11">
        <v>0</v>
      </c>
      <c r="E62" s="11">
        <v>0</v>
      </c>
      <c r="F62" s="11">
        <v>0</v>
      </c>
      <c r="G62" s="11">
        <v>5</v>
      </c>
      <c r="H62" s="11">
        <v>0</v>
      </c>
      <c r="I62" s="11">
        <v>5</v>
      </c>
      <c r="J62" s="11">
        <v>0</v>
      </c>
      <c r="K62" s="11">
        <v>0</v>
      </c>
      <c r="L62" s="11"/>
      <c r="M62" s="1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 t="s">
        <v>336</v>
      </c>
      <c r="B63" s="1" t="s">
        <v>46</v>
      </c>
      <c r="C63" s="11"/>
      <c r="D63" s="11"/>
      <c r="E63" s="11">
        <v>53</v>
      </c>
      <c r="F63" s="11">
        <v>45</v>
      </c>
      <c r="G63" s="11">
        <v>5</v>
      </c>
      <c r="H63" s="11"/>
      <c r="I63" s="11">
        <v>1691</v>
      </c>
      <c r="J63" s="11">
        <v>1772</v>
      </c>
      <c r="K63" s="11">
        <v>1464</v>
      </c>
      <c r="L63" s="11">
        <v>3911</v>
      </c>
      <c r="M63" s="11">
        <v>8477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 t="s">
        <v>337</v>
      </c>
      <c r="B64" s="1" t="s">
        <v>46</v>
      </c>
      <c r="C64" s="11"/>
      <c r="D64" s="11">
        <v>205</v>
      </c>
      <c r="E64" s="11">
        <v>301</v>
      </c>
      <c r="F64" s="11">
        <v>243</v>
      </c>
      <c r="G64" s="11">
        <v>650</v>
      </c>
      <c r="H64" s="11">
        <v>1829</v>
      </c>
      <c r="I64" s="11">
        <v>421</v>
      </c>
      <c r="J64" s="11">
        <v>479</v>
      </c>
      <c r="K64" s="11">
        <v>590</v>
      </c>
      <c r="L64" s="11">
        <v>893</v>
      </c>
      <c r="M64" s="11">
        <v>980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 t="s">
        <v>338</v>
      </c>
      <c r="B65" s="1" t="s">
        <v>46</v>
      </c>
      <c r="C65" s="11">
        <v>258.73942499999998</v>
      </c>
      <c r="D65" s="11">
        <v>971</v>
      </c>
      <c r="E65" s="11">
        <v>1231</v>
      </c>
      <c r="F65" s="11">
        <v>1032</v>
      </c>
      <c r="G65" s="11">
        <v>1302</v>
      </c>
      <c r="H65" s="11"/>
      <c r="I65" s="11">
        <v>2736</v>
      </c>
      <c r="J65" s="11">
        <v>3757</v>
      </c>
      <c r="K65" s="11">
        <v>5583</v>
      </c>
      <c r="L65" s="11">
        <v>5470</v>
      </c>
      <c r="M65" s="11">
        <v>6870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 t="s">
        <v>339</v>
      </c>
      <c r="B66" s="1" t="s">
        <v>46</v>
      </c>
      <c r="C66" s="11"/>
      <c r="D66" s="11"/>
      <c r="E66" s="11"/>
      <c r="F66" s="11"/>
      <c r="G66" s="11"/>
      <c r="H66" s="11"/>
      <c r="I66" s="11">
        <v>607</v>
      </c>
      <c r="J66" s="11">
        <v>233</v>
      </c>
      <c r="K66" s="11">
        <v>285</v>
      </c>
      <c r="L66" s="11">
        <v>119</v>
      </c>
      <c r="M66" s="11">
        <v>7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 t="s">
        <v>340</v>
      </c>
      <c r="B67" s="1" t="s">
        <v>46</v>
      </c>
      <c r="C67" s="11">
        <v>1086.302533</v>
      </c>
      <c r="D67" s="11">
        <v>120</v>
      </c>
      <c r="E67" s="11">
        <v>134</v>
      </c>
      <c r="F67" s="11">
        <v>77</v>
      </c>
      <c r="G67" s="11">
        <v>140</v>
      </c>
      <c r="H67" s="11">
        <v>254</v>
      </c>
      <c r="I67" s="11">
        <v>1045</v>
      </c>
      <c r="J67" s="11">
        <v>1364</v>
      </c>
      <c r="K67" s="11">
        <v>3368</v>
      </c>
      <c r="L67" s="11">
        <v>5913</v>
      </c>
      <c r="M67" s="11">
        <v>5801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 t="s">
        <v>341</v>
      </c>
      <c r="B68" s="1" t="s">
        <v>46</v>
      </c>
      <c r="C68" s="11">
        <v>9716.9019000000008</v>
      </c>
      <c r="D68" s="11">
        <v>9772</v>
      </c>
      <c r="E68" s="11">
        <v>10519</v>
      </c>
      <c r="F68" s="11">
        <v>9598</v>
      </c>
      <c r="G68" s="11">
        <v>12888</v>
      </c>
      <c r="H68" s="11">
        <v>13839</v>
      </c>
      <c r="I68" s="11">
        <v>27335</v>
      </c>
      <c r="J68" s="11">
        <v>30770</v>
      </c>
      <c r="K68" s="11">
        <v>35052</v>
      </c>
      <c r="L68" s="11">
        <v>77292</v>
      </c>
      <c r="M68" s="11">
        <v>89756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 t="s">
        <v>342</v>
      </c>
      <c r="B69" s="1" t="s">
        <v>46</v>
      </c>
      <c r="C69" s="11">
        <v>2.5472130000000002</v>
      </c>
      <c r="D69" s="11">
        <v>3</v>
      </c>
      <c r="E69" s="11">
        <v>3</v>
      </c>
      <c r="F69" s="11">
        <v>8</v>
      </c>
      <c r="G69" s="11"/>
      <c r="H69" s="11"/>
      <c r="I69" s="11"/>
      <c r="J69" s="11"/>
      <c r="K69" s="11"/>
      <c r="L69" s="11"/>
      <c r="M69" s="1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 t="s">
        <v>343</v>
      </c>
      <c r="B70" s="1" t="s">
        <v>46</v>
      </c>
      <c r="C70" s="11"/>
      <c r="D70" s="11"/>
      <c r="E70" s="11"/>
      <c r="F70" s="11"/>
      <c r="G70" s="11"/>
      <c r="H70" s="11"/>
      <c r="I70" s="11">
        <v>1184</v>
      </c>
      <c r="J70" s="11">
        <v>1512</v>
      </c>
      <c r="K70" s="11">
        <v>1791</v>
      </c>
      <c r="L70" s="11">
        <v>2426</v>
      </c>
      <c r="M70" s="11">
        <v>3339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 t="s">
        <v>344</v>
      </c>
      <c r="B71" s="1" t="s">
        <v>46</v>
      </c>
      <c r="C71" s="11">
        <v>740</v>
      </c>
      <c r="D71" s="11">
        <v>3158</v>
      </c>
      <c r="E71" s="11">
        <v>3652</v>
      </c>
      <c r="F71" s="11">
        <v>3651</v>
      </c>
      <c r="G71" s="11">
        <v>137</v>
      </c>
      <c r="H71" s="11">
        <v>124</v>
      </c>
      <c r="I71" s="11">
        <v>5</v>
      </c>
      <c r="J71" s="11"/>
      <c r="K71" s="11"/>
      <c r="L71" s="11">
        <v>5</v>
      </c>
      <c r="M71" s="11">
        <v>5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 t="s">
        <v>345</v>
      </c>
      <c r="B72" s="1" t="s">
        <v>46</v>
      </c>
      <c r="C72" s="11">
        <v>5900.595542</v>
      </c>
      <c r="D72" s="11">
        <v>4903</v>
      </c>
      <c r="E72" s="11">
        <v>5858</v>
      </c>
      <c r="F72" s="11">
        <v>5877</v>
      </c>
      <c r="G72" s="11">
        <v>8565</v>
      </c>
      <c r="H72" s="11">
        <v>8895</v>
      </c>
      <c r="I72" s="11">
        <v>13894</v>
      </c>
      <c r="J72" s="11">
        <v>16131</v>
      </c>
      <c r="K72" s="11">
        <v>18039</v>
      </c>
      <c r="L72" s="11">
        <v>25771</v>
      </c>
      <c r="M72" s="11">
        <v>39700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 t="s">
        <v>346</v>
      </c>
      <c r="B73" s="1" t="s">
        <v>46</v>
      </c>
      <c r="C73" s="11">
        <v>2878.627262</v>
      </c>
      <c r="D73" s="11">
        <v>3502</v>
      </c>
      <c r="E73" s="11">
        <v>4102</v>
      </c>
      <c r="F73" s="11">
        <v>5079</v>
      </c>
      <c r="G73" s="11">
        <v>8195</v>
      </c>
      <c r="H73" s="11">
        <v>7999</v>
      </c>
      <c r="I73" s="11">
        <v>4468</v>
      </c>
      <c r="J73" s="11">
        <v>5699</v>
      </c>
      <c r="K73" s="11">
        <v>3213</v>
      </c>
      <c r="L73" s="11">
        <v>7956</v>
      </c>
      <c r="M73" s="11">
        <v>10936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 t="s">
        <v>347</v>
      </c>
      <c r="B74" s="1" t="s">
        <v>46</v>
      </c>
      <c r="C74" s="11">
        <v>483.324412</v>
      </c>
      <c r="D74" s="11">
        <v>573</v>
      </c>
      <c r="E74" s="11">
        <v>81</v>
      </c>
      <c r="F74" s="11">
        <v>497</v>
      </c>
      <c r="G74" s="11">
        <v>839</v>
      </c>
      <c r="H74" s="11">
        <v>123</v>
      </c>
      <c r="I74" s="11">
        <v>67</v>
      </c>
      <c r="J74" s="11">
        <v>88</v>
      </c>
      <c r="K74" s="11">
        <v>139</v>
      </c>
      <c r="L74" s="11">
        <v>876</v>
      </c>
      <c r="M74" s="11">
        <v>56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 t="s">
        <v>348</v>
      </c>
      <c r="B75" s="1" t="s">
        <v>46</v>
      </c>
      <c r="C75" s="11"/>
      <c r="D75" s="11">
        <v>1155</v>
      </c>
      <c r="E75" s="11">
        <v>828</v>
      </c>
      <c r="F75" s="11">
        <v>1549</v>
      </c>
      <c r="G75" s="11">
        <v>2427</v>
      </c>
      <c r="H75" s="11">
        <v>2717</v>
      </c>
      <c r="I75" s="11">
        <v>662</v>
      </c>
      <c r="J75" s="11">
        <v>187</v>
      </c>
      <c r="K75" s="11">
        <v>178</v>
      </c>
      <c r="L75" s="11">
        <v>535</v>
      </c>
      <c r="M75" s="11">
        <v>118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 t="s">
        <v>349</v>
      </c>
      <c r="B76" s="1" t="s">
        <v>46</v>
      </c>
      <c r="C76" s="11"/>
      <c r="D76" s="11">
        <v>624</v>
      </c>
      <c r="E76" s="11">
        <v>650</v>
      </c>
      <c r="F76" s="11">
        <v>203</v>
      </c>
      <c r="G76" s="11">
        <v>411</v>
      </c>
      <c r="H76" s="11">
        <v>358</v>
      </c>
      <c r="I76" s="11"/>
      <c r="J76" s="11"/>
      <c r="K76" s="11"/>
      <c r="L76" s="11"/>
      <c r="M76" s="1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 t="s">
        <v>350</v>
      </c>
      <c r="B77" s="1" t="s">
        <v>46</v>
      </c>
      <c r="C77" s="11">
        <v>2769.2552839999998</v>
      </c>
      <c r="D77" s="11">
        <v>958</v>
      </c>
      <c r="E77" s="11">
        <v>1005</v>
      </c>
      <c r="F77" s="11">
        <v>1136</v>
      </c>
      <c r="G77" s="11">
        <v>936</v>
      </c>
      <c r="H77" s="11">
        <v>1079</v>
      </c>
      <c r="I77" s="11">
        <v>1934</v>
      </c>
      <c r="J77" s="11">
        <v>2447</v>
      </c>
      <c r="K77" s="11">
        <v>2665</v>
      </c>
      <c r="L77" s="11">
        <v>4487</v>
      </c>
      <c r="M77" s="11">
        <v>4909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 t="s">
        <v>351</v>
      </c>
      <c r="B78" s="1" t="s">
        <v>46</v>
      </c>
      <c r="C78" s="11">
        <v>12774.349713</v>
      </c>
      <c r="D78" s="11">
        <v>14876</v>
      </c>
      <c r="E78" s="11">
        <v>16179</v>
      </c>
      <c r="F78" s="11">
        <v>17992</v>
      </c>
      <c r="G78" s="11">
        <v>21510</v>
      </c>
      <c r="H78" s="11">
        <v>21295</v>
      </c>
      <c r="I78" s="11">
        <v>22209</v>
      </c>
      <c r="J78" s="11">
        <v>26064</v>
      </c>
      <c r="K78" s="11">
        <v>26025</v>
      </c>
      <c r="L78" s="11">
        <v>43508</v>
      </c>
      <c r="M78" s="11">
        <v>59058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 t="s">
        <v>352</v>
      </c>
      <c r="B79" s="1" t="s">
        <v>46</v>
      </c>
      <c r="C79" s="11"/>
      <c r="D79" s="11"/>
      <c r="E79" s="11"/>
      <c r="F79" s="11">
        <v>34</v>
      </c>
      <c r="G79" s="11">
        <v>34</v>
      </c>
      <c r="H79" s="11"/>
      <c r="I79" s="11"/>
      <c r="J79" s="11"/>
      <c r="K79" s="11"/>
      <c r="L79" s="11">
        <v>32</v>
      </c>
      <c r="M79" s="11">
        <v>36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 t="s">
        <v>353</v>
      </c>
      <c r="B80" s="1" t="s">
        <v>46</v>
      </c>
      <c r="C80" s="11">
        <v>22491.251733000001</v>
      </c>
      <c r="D80" s="11">
        <v>24648</v>
      </c>
      <c r="E80" s="11">
        <v>26698</v>
      </c>
      <c r="F80" s="11">
        <v>28734</v>
      </c>
      <c r="G80" s="11">
        <v>34398</v>
      </c>
      <c r="H80" s="11">
        <v>35134</v>
      </c>
      <c r="I80" s="11">
        <v>49544</v>
      </c>
      <c r="J80" s="11">
        <v>56834</v>
      </c>
      <c r="K80" s="11">
        <v>61077</v>
      </c>
      <c r="L80" s="11">
        <v>124907</v>
      </c>
      <c r="M80" s="11">
        <v>148814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 t="s">
        <v>354</v>
      </c>
      <c r="B81" s="1" t="s">
        <v>46</v>
      </c>
      <c r="C81" s="11">
        <v>611.86523999999997</v>
      </c>
      <c r="D81" s="11">
        <v>614</v>
      </c>
      <c r="E81" s="11">
        <v>615</v>
      </c>
      <c r="F81" s="11">
        <v>618</v>
      </c>
      <c r="G81" s="11">
        <v>625</v>
      </c>
      <c r="H81" s="11">
        <v>606</v>
      </c>
      <c r="I81" s="11">
        <v>609</v>
      </c>
      <c r="J81" s="11">
        <v>611</v>
      </c>
      <c r="K81" s="11">
        <v>618</v>
      </c>
      <c r="L81" s="11">
        <v>669</v>
      </c>
      <c r="M81" s="11">
        <v>672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 t="s">
        <v>355</v>
      </c>
      <c r="B82" s="1" t="s">
        <v>46</v>
      </c>
      <c r="C82" s="11">
        <v>15295.606687</v>
      </c>
      <c r="D82" s="11">
        <v>16251</v>
      </c>
      <c r="E82" s="11">
        <v>17125</v>
      </c>
      <c r="F82" s="11">
        <v>105</v>
      </c>
      <c r="G82" s="11">
        <v>23340</v>
      </c>
      <c r="H82" s="11">
        <v>24041</v>
      </c>
      <c r="I82" s="11">
        <v>26722</v>
      </c>
      <c r="J82" s="11">
        <v>30214</v>
      </c>
      <c r="K82" s="11">
        <v>35648</v>
      </c>
      <c r="L82" s="11">
        <v>63123</v>
      </c>
      <c r="M82" s="11">
        <v>94704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 t="s">
        <v>356</v>
      </c>
      <c r="B83" s="1" t="s">
        <v>46</v>
      </c>
      <c r="C83" s="11">
        <v>15907.471927000001</v>
      </c>
      <c r="D83" s="11">
        <v>16865</v>
      </c>
      <c r="E83" s="11">
        <v>17740</v>
      </c>
      <c r="F83" s="11">
        <v>723</v>
      </c>
      <c r="G83" s="11">
        <v>23965</v>
      </c>
      <c r="H83" s="11">
        <v>24647</v>
      </c>
      <c r="I83" s="11">
        <v>27331</v>
      </c>
      <c r="J83" s="11">
        <v>30825</v>
      </c>
      <c r="K83" s="11">
        <v>36266</v>
      </c>
      <c r="L83" s="11">
        <v>63792</v>
      </c>
      <c r="M83" s="11">
        <v>95376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 t="s">
        <v>272</v>
      </c>
      <c r="B84" s="1" t="s">
        <v>46</v>
      </c>
      <c r="C84" s="11">
        <v>645.16793099999995</v>
      </c>
      <c r="D84" s="11">
        <v>237</v>
      </c>
      <c r="E84" s="11">
        <v>222</v>
      </c>
      <c r="F84" s="11">
        <v>75</v>
      </c>
      <c r="G84" s="11">
        <v>14</v>
      </c>
      <c r="H84" s="11">
        <v>14</v>
      </c>
      <c r="I84" s="11">
        <v>12</v>
      </c>
      <c r="J84" s="11">
        <v>874</v>
      </c>
      <c r="K84" s="11">
        <v>1003</v>
      </c>
      <c r="L84" s="11">
        <v>19498</v>
      </c>
      <c r="M84" s="11">
        <v>1430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 t="s">
        <v>357</v>
      </c>
      <c r="B85" s="1" t="s">
        <v>46</v>
      </c>
      <c r="C85" s="11">
        <v>16552.639857999999</v>
      </c>
      <c r="D85" s="11">
        <v>17102</v>
      </c>
      <c r="E85" s="11">
        <v>17962</v>
      </c>
      <c r="F85" s="11">
        <v>20798</v>
      </c>
      <c r="G85" s="11">
        <v>23965</v>
      </c>
      <c r="H85" s="11">
        <v>24661</v>
      </c>
      <c r="I85" s="11">
        <v>28314</v>
      </c>
      <c r="J85" s="11">
        <v>31699</v>
      </c>
      <c r="K85" s="11">
        <v>37269</v>
      </c>
      <c r="L85" s="11">
        <v>83290</v>
      </c>
      <c r="M85" s="11">
        <v>96806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 t="s">
        <v>358</v>
      </c>
      <c r="B86" s="1" t="s">
        <v>46</v>
      </c>
      <c r="C86" s="11">
        <v>63.791705999999998</v>
      </c>
      <c r="D86" s="11">
        <v>74</v>
      </c>
      <c r="E86" s="11">
        <v>179</v>
      </c>
      <c r="F86" s="11">
        <v>100</v>
      </c>
      <c r="G86" s="11">
        <v>48</v>
      </c>
      <c r="H86" s="11">
        <v>5</v>
      </c>
      <c r="I86" s="11">
        <v>3365</v>
      </c>
      <c r="J86" s="11">
        <v>3382</v>
      </c>
      <c r="K86" s="11">
        <v>3399</v>
      </c>
      <c r="L86" s="11">
        <v>67</v>
      </c>
      <c r="M86" s="11">
        <v>1167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 t="s">
        <v>359</v>
      </c>
      <c r="B87" s="1" t="s">
        <v>46</v>
      </c>
      <c r="C87" s="11"/>
      <c r="D87" s="11"/>
      <c r="E87" s="11"/>
      <c r="F87" s="11"/>
      <c r="G87" s="11"/>
      <c r="H87" s="11"/>
      <c r="I87" s="11"/>
      <c r="J87" s="11"/>
      <c r="K87" s="11">
        <v>2317</v>
      </c>
      <c r="L87" s="11">
        <v>2735</v>
      </c>
      <c r="M87" s="11">
        <v>2187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 t="s">
        <v>360</v>
      </c>
      <c r="B88" s="1" t="s">
        <v>46</v>
      </c>
      <c r="C88" s="11"/>
      <c r="D88" s="11">
        <v>140</v>
      </c>
      <c r="E88" s="11"/>
      <c r="F88" s="11"/>
      <c r="G88" s="11">
        <v>15</v>
      </c>
      <c r="H88" s="11">
        <v>325</v>
      </c>
      <c r="I88" s="11">
        <v>364</v>
      </c>
      <c r="J88" s="11">
        <v>332</v>
      </c>
      <c r="K88" s="11">
        <v>627</v>
      </c>
      <c r="L88" s="11">
        <v>1844</v>
      </c>
      <c r="M88" s="11">
        <v>2040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 t="s">
        <v>361</v>
      </c>
      <c r="B89" s="1" t="s">
        <v>46</v>
      </c>
      <c r="C89" s="11"/>
      <c r="D89" s="11">
        <v>1416</v>
      </c>
      <c r="E89" s="11">
        <v>1483</v>
      </c>
      <c r="F89" s="11">
        <v>538</v>
      </c>
      <c r="G89" s="11">
        <v>1247</v>
      </c>
      <c r="H89" s="11">
        <v>546</v>
      </c>
      <c r="I89" s="11">
        <v>13</v>
      </c>
      <c r="J89" s="11">
        <v>324</v>
      </c>
      <c r="K89" s="11">
        <v>253</v>
      </c>
      <c r="L89" s="11">
        <v>3653</v>
      </c>
      <c r="M89" s="11">
        <v>4534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 t="s">
        <v>362</v>
      </c>
      <c r="B90" s="1" t="s">
        <v>46</v>
      </c>
      <c r="C90" s="11"/>
      <c r="D90" s="11">
        <v>858</v>
      </c>
      <c r="E90" s="11">
        <v>741</v>
      </c>
      <c r="F90" s="11">
        <v>725</v>
      </c>
      <c r="G90" s="11">
        <v>593</v>
      </c>
      <c r="H90" s="11">
        <v>696</v>
      </c>
      <c r="I90" s="11">
        <v>14</v>
      </c>
      <c r="J90" s="11">
        <v>1276</v>
      </c>
      <c r="K90" s="11">
        <v>1304</v>
      </c>
      <c r="L90" s="11">
        <v>1743</v>
      </c>
      <c r="M90" s="11">
        <v>3189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 t="s">
        <v>363</v>
      </c>
      <c r="B91" s="1" t="s">
        <v>46</v>
      </c>
      <c r="C91" s="11"/>
      <c r="D91" s="11">
        <v>387</v>
      </c>
      <c r="E91" s="11">
        <v>455</v>
      </c>
      <c r="F91" s="11">
        <v>395</v>
      </c>
      <c r="G91" s="11">
        <v>397</v>
      </c>
      <c r="H91" s="11"/>
      <c r="I91" s="11">
        <v>766</v>
      </c>
      <c r="J91" s="11">
        <v>583</v>
      </c>
      <c r="K91" s="11">
        <v>466</v>
      </c>
      <c r="L91" s="11">
        <v>2184</v>
      </c>
      <c r="M91" s="11">
        <v>353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 t="s">
        <v>364</v>
      </c>
      <c r="B92" s="1" t="s">
        <v>46</v>
      </c>
      <c r="C92" s="11"/>
      <c r="D92" s="11">
        <v>82</v>
      </c>
      <c r="E92" s="11">
        <v>17</v>
      </c>
      <c r="F92" s="11">
        <v>12</v>
      </c>
      <c r="G92" s="11">
        <v>17</v>
      </c>
      <c r="H92" s="11">
        <v>17</v>
      </c>
      <c r="I92" s="11">
        <v>51</v>
      </c>
      <c r="J92" s="11">
        <v>59</v>
      </c>
      <c r="K92" s="11">
        <v>127</v>
      </c>
      <c r="L92" s="11">
        <v>1591</v>
      </c>
      <c r="M92" s="11">
        <v>1844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 t="s">
        <v>365</v>
      </c>
      <c r="B93" s="1" t="s">
        <v>46</v>
      </c>
      <c r="C93" s="11">
        <v>911.72297000000003</v>
      </c>
      <c r="D93" s="11">
        <v>2957</v>
      </c>
      <c r="E93" s="11">
        <v>2889</v>
      </c>
      <c r="F93" s="11">
        <v>1770</v>
      </c>
      <c r="G93" s="11">
        <v>2491</v>
      </c>
      <c r="H93" s="11">
        <v>2048</v>
      </c>
      <c r="I93" s="11">
        <v>9438</v>
      </c>
      <c r="J93" s="11">
        <v>7742</v>
      </c>
      <c r="K93" s="11">
        <v>8493</v>
      </c>
      <c r="L93" s="11">
        <v>13817</v>
      </c>
      <c r="M93" s="11">
        <v>15314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 t="s">
        <v>366</v>
      </c>
      <c r="B94" s="1" t="s">
        <v>46</v>
      </c>
      <c r="C94" s="11"/>
      <c r="D94" s="11">
        <v>0</v>
      </c>
      <c r="E94" s="11"/>
      <c r="F94" s="11"/>
      <c r="G94" s="11"/>
      <c r="H94" s="11"/>
      <c r="I94" s="11">
        <v>180</v>
      </c>
      <c r="J94" s="11">
        <v>13</v>
      </c>
      <c r="K94" s="11">
        <v>13</v>
      </c>
      <c r="L94" s="11">
        <v>6938</v>
      </c>
      <c r="M94" s="11">
        <v>2830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 t="s">
        <v>367</v>
      </c>
      <c r="B95" s="1" t="s">
        <v>46</v>
      </c>
      <c r="C95" s="11"/>
      <c r="D95" s="11"/>
      <c r="E95" s="11"/>
      <c r="F95" s="11"/>
      <c r="G95" s="11"/>
      <c r="H95" s="11"/>
      <c r="I95" s="11"/>
      <c r="J95" s="11"/>
      <c r="K95" s="11">
        <v>577</v>
      </c>
      <c r="L95" s="11">
        <v>964</v>
      </c>
      <c r="M95" s="11">
        <v>1094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 t="s">
        <v>368</v>
      </c>
      <c r="B96" s="1" t="s">
        <v>46</v>
      </c>
      <c r="C96" s="11">
        <v>1654.2020170000001</v>
      </c>
      <c r="D96" s="11">
        <v>1237</v>
      </c>
      <c r="E96" s="11">
        <v>1453</v>
      </c>
      <c r="F96" s="11">
        <v>1647</v>
      </c>
      <c r="G96" s="11">
        <v>2634</v>
      </c>
      <c r="H96" s="11">
        <v>3398</v>
      </c>
      <c r="I96" s="11">
        <v>6160</v>
      </c>
      <c r="J96" s="11">
        <v>6481</v>
      </c>
      <c r="K96" s="11">
        <v>8062</v>
      </c>
      <c r="L96" s="11">
        <v>9883</v>
      </c>
      <c r="M96" s="11">
        <v>17754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 t="s">
        <v>369</v>
      </c>
      <c r="B97" s="1" t="s">
        <v>46</v>
      </c>
      <c r="C97" s="11"/>
      <c r="D97" s="11">
        <v>1034</v>
      </c>
      <c r="E97" s="11">
        <v>1733</v>
      </c>
      <c r="F97" s="11">
        <v>1587</v>
      </c>
      <c r="G97" s="11">
        <v>2406</v>
      </c>
      <c r="H97" s="11">
        <v>1195</v>
      </c>
      <c r="I97" s="11">
        <v>2398</v>
      </c>
      <c r="J97" s="11">
        <v>7377</v>
      </c>
      <c r="K97" s="11">
        <v>2375</v>
      </c>
      <c r="L97" s="11">
        <v>4554</v>
      </c>
      <c r="M97" s="11">
        <v>7188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 t="s">
        <v>370</v>
      </c>
      <c r="B98" s="1" t="s">
        <v>46</v>
      </c>
      <c r="C98" s="11">
        <v>1340.9938830000001</v>
      </c>
      <c r="D98" s="11">
        <v>642</v>
      </c>
      <c r="E98" s="11">
        <v>709</v>
      </c>
      <c r="F98" s="11">
        <v>334</v>
      </c>
      <c r="G98" s="11">
        <v>329</v>
      </c>
      <c r="H98" s="11">
        <v>225</v>
      </c>
      <c r="I98" s="11">
        <v>14</v>
      </c>
      <c r="J98" s="11">
        <v>360</v>
      </c>
      <c r="K98" s="11">
        <v>417</v>
      </c>
      <c r="L98" s="11">
        <v>706</v>
      </c>
      <c r="M98" s="11">
        <v>987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 t="s">
        <v>371</v>
      </c>
      <c r="B99" s="1" t="s">
        <v>46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>
        <v>14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 t="s">
        <v>372</v>
      </c>
      <c r="B100" s="1" t="s">
        <v>46</v>
      </c>
      <c r="C100" s="11">
        <v>2031.6930050000001</v>
      </c>
      <c r="D100" s="11">
        <v>1676</v>
      </c>
      <c r="E100" s="11">
        <v>1952</v>
      </c>
      <c r="F100" s="11">
        <v>2265</v>
      </c>
      <c r="G100" s="11">
        <v>2573</v>
      </c>
      <c r="H100" s="11">
        <v>3607</v>
      </c>
      <c r="I100" s="11">
        <v>2324</v>
      </c>
      <c r="J100" s="11">
        <v>2721</v>
      </c>
      <c r="K100" s="11">
        <v>2917</v>
      </c>
      <c r="L100" s="11">
        <v>4330</v>
      </c>
      <c r="M100" s="11">
        <v>6077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 t="s">
        <v>373</v>
      </c>
      <c r="B101" s="1" t="s">
        <v>46</v>
      </c>
      <c r="C101" s="11">
        <v>5026.8889049999998</v>
      </c>
      <c r="D101" s="11">
        <v>4589</v>
      </c>
      <c r="E101" s="11">
        <v>5847</v>
      </c>
      <c r="F101" s="11">
        <v>5833</v>
      </c>
      <c r="G101" s="11">
        <v>7942</v>
      </c>
      <c r="H101" s="11">
        <v>8425</v>
      </c>
      <c r="I101" s="11">
        <v>11792</v>
      </c>
      <c r="J101" s="11">
        <v>17393</v>
      </c>
      <c r="K101" s="11">
        <v>15315</v>
      </c>
      <c r="L101" s="11">
        <v>27375</v>
      </c>
      <c r="M101" s="11">
        <v>36694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 t="s">
        <v>374</v>
      </c>
      <c r="B102" s="1" t="s">
        <v>46</v>
      </c>
      <c r="C102" s="11"/>
      <c r="D102" s="11"/>
      <c r="E102" s="11"/>
      <c r="F102" s="11">
        <v>34</v>
      </c>
      <c r="G102" s="11">
        <v>34</v>
      </c>
      <c r="H102" s="11"/>
      <c r="I102" s="11"/>
      <c r="J102" s="11"/>
      <c r="K102" s="11"/>
      <c r="L102" s="11">
        <v>32</v>
      </c>
      <c r="M102" s="11">
        <v>36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 t="s">
        <v>375</v>
      </c>
      <c r="B103" s="1" t="s">
        <v>46</v>
      </c>
      <c r="C103" s="11">
        <v>5938.6118749999996</v>
      </c>
      <c r="D103" s="11">
        <v>7546</v>
      </c>
      <c r="E103" s="11">
        <v>8736</v>
      </c>
      <c r="F103" s="11">
        <v>7603</v>
      </c>
      <c r="G103" s="11">
        <v>10433</v>
      </c>
      <c r="H103" s="11">
        <v>10473</v>
      </c>
      <c r="I103" s="11">
        <v>21230</v>
      </c>
      <c r="J103" s="11">
        <v>25135</v>
      </c>
      <c r="K103" s="11">
        <v>23808</v>
      </c>
      <c r="L103" s="11">
        <v>41192</v>
      </c>
      <c r="M103" s="11">
        <v>52008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8" customHeight="1">
      <c r="A107" s="61" t="s">
        <v>376</v>
      </c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9.95" customHeight="1">
      <c r="A108" s="4" t="s">
        <v>28</v>
      </c>
      <c r="B108" s="4" t="s">
        <v>29</v>
      </c>
      <c r="C108" s="4" t="s">
        <v>30</v>
      </c>
      <c r="D108" s="4" t="s">
        <v>31</v>
      </c>
      <c r="E108" s="4" t="s">
        <v>32</v>
      </c>
      <c r="F108" s="4" t="s">
        <v>33</v>
      </c>
      <c r="G108" s="4" t="s">
        <v>34</v>
      </c>
      <c r="H108" s="4" t="s">
        <v>35</v>
      </c>
      <c r="I108" s="4" t="s">
        <v>36</v>
      </c>
      <c r="J108" s="4" t="s">
        <v>37</v>
      </c>
      <c r="K108" s="4" t="s">
        <v>38</v>
      </c>
      <c r="L108" s="4" t="s">
        <v>39</v>
      </c>
      <c r="M108" s="4" t="s">
        <v>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 t="s">
        <v>267</v>
      </c>
      <c r="B109" s="1" t="s">
        <v>46</v>
      </c>
      <c r="C109" s="11">
        <v>3814.532385</v>
      </c>
      <c r="D109" s="11"/>
      <c r="E109" s="11">
        <v>4036</v>
      </c>
      <c r="F109" s="11"/>
      <c r="G109" s="11"/>
      <c r="H109" s="11">
        <v>5962</v>
      </c>
      <c r="I109" s="11">
        <v>8615</v>
      </c>
      <c r="J109" s="11">
        <v>9512</v>
      </c>
      <c r="K109" s="11">
        <v>10449</v>
      </c>
      <c r="L109" s="11"/>
      <c r="M109" s="1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 t="s">
        <v>264</v>
      </c>
      <c r="B110" s="1" t="s">
        <v>46</v>
      </c>
      <c r="C110" s="11">
        <v>1101.2935480000001</v>
      </c>
      <c r="D110" s="11"/>
      <c r="E110" s="11">
        <v>1274</v>
      </c>
      <c r="F110" s="11"/>
      <c r="G110" s="11"/>
      <c r="H110" s="11"/>
      <c r="I110" s="11">
        <v>2272</v>
      </c>
      <c r="J110" s="11">
        <v>2585</v>
      </c>
      <c r="K110" s="11">
        <v>3186</v>
      </c>
      <c r="L110" s="11">
        <v>4683</v>
      </c>
      <c r="M110" s="11">
        <v>6819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 t="s">
        <v>377</v>
      </c>
      <c r="B111" s="1" t="s">
        <v>46</v>
      </c>
      <c r="C111" s="11">
        <v>17.546337000000001</v>
      </c>
      <c r="D111" s="11"/>
      <c r="E111" s="11">
        <v>97</v>
      </c>
      <c r="F111" s="11"/>
      <c r="G111" s="11"/>
      <c r="H111" s="11"/>
      <c r="I111" s="11">
        <v>355</v>
      </c>
      <c r="J111" s="11">
        <v>544</v>
      </c>
      <c r="K111" s="11">
        <v>810</v>
      </c>
      <c r="L111" s="11">
        <v>1700</v>
      </c>
      <c r="M111" s="11">
        <v>1909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 t="s">
        <v>378</v>
      </c>
      <c r="B112" s="1" t="s">
        <v>46</v>
      </c>
      <c r="C112" s="11">
        <v>23.123342999999998</v>
      </c>
      <c r="D112" s="11"/>
      <c r="E112" s="11">
        <v>13</v>
      </c>
      <c r="F112" s="11"/>
      <c r="G112" s="11"/>
      <c r="H112" s="11"/>
      <c r="I112" s="11">
        <v>609</v>
      </c>
      <c r="J112" s="11">
        <v>768</v>
      </c>
      <c r="K112" s="11">
        <v>1205</v>
      </c>
      <c r="L112" s="11">
        <v>1305</v>
      </c>
      <c r="M112" s="11">
        <v>1581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 t="s">
        <v>379</v>
      </c>
      <c r="B113" s="1" t="s">
        <v>46</v>
      </c>
      <c r="C113" s="11">
        <v>-74.255047000000005</v>
      </c>
      <c r="D113" s="11"/>
      <c r="E113" s="11">
        <v>-47</v>
      </c>
      <c r="F113" s="11"/>
      <c r="G113" s="11"/>
      <c r="H113" s="11"/>
      <c r="I113" s="11"/>
      <c r="J113" s="11"/>
      <c r="K113" s="11"/>
      <c r="L113" s="11"/>
      <c r="M113" s="11">
        <v>-334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 t="s">
        <v>380</v>
      </c>
      <c r="B114" s="1" t="s">
        <v>46</v>
      </c>
      <c r="C114" s="11">
        <v>267.87401399999999</v>
      </c>
      <c r="D114" s="11"/>
      <c r="E114" s="11">
        <v>-832</v>
      </c>
      <c r="F114" s="11"/>
      <c r="G114" s="11"/>
      <c r="H114" s="11"/>
      <c r="I114" s="11">
        <v>-3152</v>
      </c>
      <c r="J114" s="11">
        <v>-2126</v>
      </c>
      <c r="K114" s="11">
        <v>-1668</v>
      </c>
      <c r="L114" s="11">
        <v>-7425</v>
      </c>
      <c r="M114" s="11">
        <v>-15516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 t="s">
        <v>381</v>
      </c>
      <c r="B115" s="1" t="s">
        <v>46</v>
      </c>
      <c r="C115" s="11"/>
      <c r="D115" s="11"/>
      <c r="E115" s="11">
        <v>-84</v>
      </c>
      <c r="F115" s="11"/>
      <c r="G115" s="11"/>
      <c r="H115" s="11"/>
      <c r="I115" s="11">
        <v>-1276</v>
      </c>
      <c r="J115" s="11">
        <v>-769</v>
      </c>
      <c r="K115" s="11">
        <v>-2024</v>
      </c>
      <c r="L115" s="11">
        <v>-3733</v>
      </c>
      <c r="M115" s="11">
        <v>685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 t="s">
        <v>382</v>
      </c>
      <c r="B116" s="1" t="s">
        <v>46</v>
      </c>
      <c r="C116" s="11">
        <v>-490.59606000000002</v>
      </c>
      <c r="D116" s="11"/>
      <c r="E116" s="11">
        <v>217</v>
      </c>
      <c r="F116" s="11"/>
      <c r="G116" s="11"/>
      <c r="H116" s="11"/>
      <c r="I116" s="11">
        <v>2153</v>
      </c>
      <c r="J116" s="11">
        <v>175</v>
      </c>
      <c r="K116" s="11">
        <v>1725</v>
      </c>
      <c r="L116" s="11">
        <v>1680</v>
      </c>
      <c r="M116" s="11">
        <v>6097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 t="s">
        <v>383</v>
      </c>
      <c r="B117" s="1" t="s">
        <v>46</v>
      </c>
      <c r="C117" s="11">
        <v>-348.39083099999999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>
        <v>-430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 t="s">
        <v>384</v>
      </c>
      <c r="B118" s="1" t="s">
        <v>46</v>
      </c>
      <c r="C118" s="11">
        <v>-987.07835399999999</v>
      </c>
      <c r="D118" s="11"/>
      <c r="E118" s="11">
        <v>-1111</v>
      </c>
      <c r="F118" s="11"/>
      <c r="G118" s="11"/>
      <c r="H118" s="11"/>
      <c r="I118" s="11">
        <v>-2646</v>
      </c>
      <c r="J118" s="11">
        <v>-2800</v>
      </c>
      <c r="K118" s="11">
        <v>-3661</v>
      </c>
      <c r="L118" s="11">
        <v>-3959</v>
      </c>
      <c r="M118" s="11">
        <v>-4385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 t="s">
        <v>59</v>
      </c>
      <c r="B119" s="1" t="s">
        <v>46</v>
      </c>
      <c r="C119" s="11">
        <v>3602.9215859999999</v>
      </c>
      <c r="D119" s="11">
        <v>4723</v>
      </c>
      <c r="E119" s="11">
        <v>3824</v>
      </c>
      <c r="F119" s="11">
        <v>4527</v>
      </c>
      <c r="G119" s="11">
        <v>2969</v>
      </c>
      <c r="H119" s="11">
        <v>7623</v>
      </c>
      <c r="I119" s="11">
        <v>7656</v>
      </c>
      <c r="J119" s="11">
        <v>9505</v>
      </c>
      <c r="K119" s="11">
        <v>9034</v>
      </c>
      <c r="L119" s="11">
        <v>12371</v>
      </c>
      <c r="M119" s="11">
        <v>17917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 t="s">
        <v>385</v>
      </c>
      <c r="B120" s="1" t="s">
        <v>46</v>
      </c>
      <c r="C120" s="11">
        <v>-1609.116538</v>
      </c>
      <c r="D120" s="11"/>
      <c r="E120" s="11"/>
      <c r="F120" s="11"/>
      <c r="G120" s="11"/>
      <c r="H120" s="11"/>
      <c r="I120" s="11">
        <v>-1541</v>
      </c>
      <c r="J120" s="11">
        <v>-1582</v>
      </c>
      <c r="K120" s="11">
        <v>-2655</v>
      </c>
      <c r="L120" s="11">
        <v>-6144</v>
      </c>
      <c r="M120" s="11">
        <v>-7425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 t="s">
        <v>386</v>
      </c>
      <c r="B121" s="1" t="s">
        <v>46</v>
      </c>
      <c r="C121" s="11">
        <v>12.656834999999999</v>
      </c>
      <c r="D121" s="11"/>
      <c r="E121" s="11"/>
      <c r="F121" s="11"/>
      <c r="G121" s="11"/>
      <c r="H121" s="11"/>
      <c r="I121" s="11">
        <v>66</v>
      </c>
      <c r="J121" s="11">
        <v>45</v>
      </c>
      <c r="K121" s="11">
        <v>57</v>
      </c>
      <c r="L121" s="11">
        <v>572</v>
      </c>
      <c r="M121" s="11">
        <v>1474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 t="s">
        <v>387</v>
      </c>
      <c r="B122" s="1" t="s">
        <v>46</v>
      </c>
      <c r="C122" s="11"/>
      <c r="D122" s="11"/>
      <c r="E122" s="11"/>
      <c r="F122" s="11"/>
      <c r="G122" s="11"/>
      <c r="H122" s="11"/>
      <c r="I122" s="11">
        <v>-8557</v>
      </c>
      <c r="J122" s="11">
        <v>-1222</v>
      </c>
      <c r="K122" s="11">
        <v>0</v>
      </c>
      <c r="L122" s="11">
        <v>-20810</v>
      </c>
      <c r="M122" s="11">
        <v>-3206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 t="s">
        <v>388</v>
      </c>
      <c r="B123" s="1" t="s">
        <v>46</v>
      </c>
      <c r="C123" s="11"/>
      <c r="D123" s="11"/>
      <c r="E123" s="11">
        <v>-5608</v>
      </c>
      <c r="F123" s="11"/>
      <c r="G123" s="11"/>
      <c r="H123" s="11"/>
      <c r="I123" s="11"/>
      <c r="J123" s="11"/>
      <c r="K123" s="11"/>
      <c r="L123" s="11"/>
      <c r="M123" s="1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 t="s">
        <v>389</v>
      </c>
      <c r="B124" s="1" t="s">
        <v>46</v>
      </c>
      <c r="C124" s="11"/>
      <c r="D124" s="11"/>
      <c r="E124" s="11">
        <v>5277</v>
      </c>
      <c r="F124" s="11"/>
      <c r="G124" s="11"/>
      <c r="H124" s="11"/>
      <c r="I124" s="11">
        <v>450</v>
      </c>
      <c r="J124" s="11">
        <v>450</v>
      </c>
      <c r="K124" s="11"/>
      <c r="L124" s="11">
        <v>1185</v>
      </c>
      <c r="M124" s="11">
        <v>1551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 t="s">
        <v>390</v>
      </c>
      <c r="B125" s="1" t="s">
        <v>46</v>
      </c>
      <c r="C125" s="11">
        <v>55.626525999999998</v>
      </c>
      <c r="D125" s="11"/>
      <c r="E125" s="11">
        <v>64</v>
      </c>
      <c r="F125" s="11"/>
      <c r="G125" s="11"/>
      <c r="H125" s="11"/>
      <c r="I125" s="11">
        <v>18</v>
      </c>
      <c r="J125" s="11">
        <v>43</v>
      </c>
      <c r="K125" s="11">
        <v>120</v>
      </c>
      <c r="L125" s="11">
        <v>714</v>
      </c>
      <c r="M125" s="11">
        <v>260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 t="s">
        <v>391</v>
      </c>
      <c r="B126" s="1" t="s">
        <v>46</v>
      </c>
      <c r="C126" s="11">
        <v>-3.0670120000000001</v>
      </c>
      <c r="D126" s="11"/>
      <c r="E126" s="11">
        <v>40</v>
      </c>
      <c r="F126" s="11"/>
      <c r="G126" s="11"/>
      <c r="H126" s="11"/>
      <c r="I126" s="11"/>
      <c r="J126" s="11"/>
      <c r="K126" s="11"/>
      <c r="L126" s="11"/>
      <c r="M126" s="1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 t="s">
        <v>392</v>
      </c>
      <c r="B127" s="1" t="s">
        <v>46</v>
      </c>
      <c r="C127" s="11">
        <v>-3040.5642120000002</v>
      </c>
      <c r="D127" s="11">
        <v>-3063</v>
      </c>
      <c r="E127" s="11">
        <v>-2704</v>
      </c>
      <c r="F127" s="11">
        <v>-2300</v>
      </c>
      <c r="G127" s="11">
        <v>1123</v>
      </c>
      <c r="H127" s="11">
        <v>-2354</v>
      </c>
      <c r="I127" s="11">
        <v>-9564</v>
      </c>
      <c r="J127" s="11">
        <v>-2716</v>
      </c>
      <c r="K127" s="11">
        <v>-2478</v>
      </c>
      <c r="L127" s="11">
        <v>-24483</v>
      </c>
      <c r="M127" s="11">
        <v>-4348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 t="s">
        <v>393</v>
      </c>
      <c r="B128" s="1" t="s">
        <v>46</v>
      </c>
      <c r="C128" s="11">
        <v>14.599244000000001</v>
      </c>
      <c r="D128" s="11"/>
      <c r="E128" s="11"/>
      <c r="F128" s="11"/>
      <c r="G128" s="11"/>
      <c r="H128" s="11">
        <v>18</v>
      </c>
      <c r="I128" s="11">
        <v>51</v>
      </c>
      <c r="J128" s="11">
        <v>18</v>
      </c>
      <c r="K128" s="11">
        <v>7</v>
      </c>
      <c r="L128" s="11">
        <v>22015</v>
      </c>
      <c r="M128" s="11">
        <v>3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 t="s">
        <v>394</v>
      </c>
      <c r="B129" s="1" t="s">
        <v>46</v>
      </c>
      <c r="C129" s="11">
        <v>62.461007000000002</v>
      </c>
      <c r="D129" s="11"/>
      <c r="E129" s="11"/>
      <c r="F129" s="11"/>
      <c r="G129" s="11"/>
      <c r="H129" s="11">
        <v>281</v>
      </c>
      <c r="I129" s="11">
        <v>3578</v>
      </c>
      <c r="J129" s="11">
        <v>3578</v>
      </c>
      <c r="K129" s="11">
        <v>967</v>
      </c>
      <c r="L129" s="11">
        <v>6039</v>
      </c>
      <c r="M129" s="11">
        <v>1976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 t="s">
        <v>395</v>
      </c>
      <c r="B130" s="1" t="s">
        <v>46</v>
      </c>
      <c r="C130" s="11">
        <v>-48.009765999999999</v>
      </c>
      <c r="D130" s="11"/>
      <c r="E130" s="11"/>
      <c r="F130" s="11"/>
      <c r="G130" s="11"/>
      <c r="H130" s="11">
        <v>-306</v>
      </c>
      <c r="I130" s="11">
        <v>-59</v>
      </c>
      <c r="J130" s="11">
        <v>-180</v>
      </c>
      <c r="K130" s="11">
        <v>-180</v>
      </c>
      <c r="L130" s="11">
        <v>-3716</v>
      </c>
      <c r="M130" s="11">
        <v>-5154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 t="s">
        <v>396</v>
      </c>
      <c r="B131" s="1" t="s">
        <v>46</v>
      </c>
      <c r="C131" s="11"/>
      <c r="D131" s="11"/>
      <c r="E131" s="11"/>
      <c r="F131" s="11"/>
      <c r="G131" s="11"/>
      <c r="H131" s="11"/>
      <c r="I131" s="11">
        <v>-386</v>
      </c>
      <c r="J131" s="11">
        <v>-421</v>
      </c>
      <c r="K131" s="11">
        <v>-480</v>
      </c>
      <c r="L131" s="11">
        <v>-866</v>
      </c>
      <c r="M131" s="11">
        <v>-1048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 t="s">
        <v>397</v>
      </c>
      <c r="B132" s="1" t="s">
        <v>46</v>
      </c>
      <c r="C132" s="11">
        <v>-28.391908999999998</v>
      </c>
      <c r="D132" s="11"/>
      <c r="E132" s="11">
        <v>-13</v>
      </c>
      <c r="F132" s="11"/>
      <c r="G132" s="11"/>
      <c r="H132" s="11">
        <v>-79</v>
      </c>
      <c r="I132" s="11">
        <v>-265</v>
      </c>
      <c r="J132" s="11">
        <v>-714</v>
      </c>
      <c r="K132" s="11">
        <v>-1060</v>
      </c>
      <c r="L132" s="11">
        <v>-1438</v>
      </c>
      <c r="M132" s="11">
        <v>-1169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 t="s">
        <v>398</v>
      </c>
      <c r="B133" s="1" t="s">
        <v>46</v>
      </c>
      <c r="C133" s="11">
        <v>-731.36613199999999</v>
      </c>
      <c r="D133" s="11"/>
      <c r="E133" s="11">
        <v>-613</v>
      </c>
      <c r="F133" s="11"/>
      <c r="G133" s="11"/>
      <c r="H133" s="11">
        <v>-686</v>
      </c>
      <c r="I133" s="11">
        <v>-3152</v>
      </c>
      <c r="J133" s="11">
        <v>-3534</v>
      </c>
      <c r="K133" s="11">
        <v>-4664</v>
      </c>
      <c r="L133" s="11">
        <v>-4976</v>
      </c>
      <c r="M133" s="11">
        <v>-5277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 t="s">
        <v>399</v>
      </c>
      <c r="B134" s="1" t="s">
        <v>46</v>
      </c>
      <c r="C134" s="11"/>
      <c r="D134" s="11"/>
      <c r="E134" s="11"/>
      <c r="F134" s="11"/>
      <c r="G134" s="11"/>
      <c r="H134" s="11"/>
      <c r="I134" s="11">
        <v>-596</v>
      </c>
      <c r="J134" s="11">
        <v>-751</v>
      </c>
      <c r="K134" s="11">
        <v>-117</v>
      </c>
      <c r="L134" s="11">
        <v>-121</v>
      </c>
      <c r="M134" s="11">
        <v>-154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 t="s">
        <v>400</v>
      </c>
      <c r="B135" s="1" t="s">
        <v>46</v>
      </c>
      <c r="C135" s="11">
        <v>-726.98609599999997</v>
      </c>
      <c r="D135" s="11">
        <v>-669</v>
      </c>
      <c r="E135" s="11">
        <v>-744</v>
      </c>
      <c r="F135" s="11">
        <v>-1063</v>
      </c>
      <c r="G135" s="11">
        <v>-1327</v>
      </c>
      <c r="H135" s="11">
        <v>-5531</v>
      </c>
      <c r="I135" s="11">
        <v>-1558</v>
      </c>
      <c r="J135" s="11">
        <v>-5582</v>
      </c>
      <c r="K135" s="11">
        <v>-8870</v>
      </c>
      <c r="L135" s="11">
        <v>16753</v>
      </c>
      <c r="M135" s="11">
        <v>-10937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 t="s">
        <v>401</v>
      </c>
      <c r="B136" s="1" t="s">
        <v>46</v>
      </c>
      <c r="C136" s="11"/>
      <c r="D136" s="11">
        <v>-11</v>
      </c>
      <c r="E136" s="11"/>
      <c r="F136" s="11"/>
      <c r="G136" s="11"/>
      <c r="H136" s="11"/>
      <c r="I136" s="11"/>
      <c r="J136" s="11"/>
      <c r="K136" s="11"/>
      <c r="L136" s="11"/>
      <c r="M136" s="11">
        <v>2632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 t="s">
        <v>402</v>
      </c>
      <c r="B137" s="1" t="s">
        <v>46</v>
      </c>
      <c r="C137" s="11">
        <v>2237.7961460000001</v>
      </c>
      <c r="D137" s="11"/>
      <c r="E137" s="11">
        <v>3502</v>
      </c>
      <c r="F137" s="11"/>
      <c r="G137" s="11"/>
      <c r="H137" s="11">
        <v>8195</v>
      </c>
      <c r="I137" s="11">
        <v>7999</v>
      </c>
      <c r="J137" s="11">
        <v>4468</v>
      </c>
      <c r="K137" s="11">
        <v>5699</v>
      </c>
      <c r="L137" s="11">
        <v>3213</v>
      </c>
      <c r="M137" s="11">
        <v>7956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 t="s">
        <v>403</v>
      </c>
      <c r="B138" s="1" t="s">
        <v>46</v>
      </c>
      <c r="C138" s="11">
        <v>155.10373200000001</v>
      </c>
      <c r="D138" s="11"/>
      <c r="E138" s="11">
        <v>172</v>
      </c>
      <c r="F138" s="11"/>
      <c r="G138" s="11"/>
      <c r="H138" s="11">
        <v>66</v>
      </c>
      <c r="I138" s="11">
        <v>-65</v>
      </c>
      <c r="J138" s="11">
        <v>24</v>
      </c>
      <c r="K138" s="11">
        <v>-172</v>
      </c>
      <c r="L138" s="11">
        <v>102</v>
      </c>
      <c r="M138" s="11">
        <v>348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 t="s">
        <v>61</v>
      </c>
      <c r="B139" s="1" t="s">
        <v>46</v>
      </c>
      <c r="C139" s="11">
        <v>2878.627262</v>
      </c>
      <c r="D139" s="11">
        <v>3502</v>
      </c>
      <c r="E139" s="11">
        <v>4102</v>
      </c>
      <c r="F139" s="11">
        <v>5194</v>
      </c>
      <c r="G139" s="11">
        <v>8195</v>
      </c>
      <c r="H139" s="11">
        <v>7999</v>
      </c>
      <c r="I139" s="11">
        <v>4468</v>
      </c>
      <c r="J139" s="11">
        <v>5699</v>
      </c>
      <c r="K139" s="11">
        <v>3213</v>
      </c>
      <c r="L139" s="11">
        <v>7956</v>
      </c>
      <c r="M139" s="11">
        <v>10936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6">
    <mergeCell ref="A107:M107"/>
    <mergeCell ref="A1:AU1"/>
    <mergeCell ref="A2:AU2"/>
    <mergeCell ref="A4:M4"/>
    <mergeCell ref="A30:AU30"/>
    <mergeCell ref="A55:M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8" t="s">
        <v>404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405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45</v>
      </c>
      <c r="B7" s="1" t="s">
        <v>49</v>
      </c>
      <c r="C7" s="15"/>
      <c r="D7" s="15"/>
      <c r="E7" s="15"/>
      <c r="F7" s="15"/>
      <c r="G7" s="15"/>
      <c r="H7" s="15"/>
      <c r="I7" s="15">
        <v>866.5</v>
      </c>
      <c r="J7" s="15">
        <v>1001.7</v>
      </c>
      <c r="K7" s="15">
        <v>1118.7</v>
      </c>
      <c r="L7" s="15">
        <v>1448</v>
      </c>
      <c r="M7" s="15">
        <v>1870</v>
      </c>
      <c r="N7" s="17"/>
      <c r="O7" s="17"/>
      <c r="P7" s="17"/>
      <c r="Q7" s="17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45</v>
      </c>
      <c r="B8" s="1" t="s">
        <v>46</v>
      </c>
      <c r="C8" s="16"/>
      <c r="D8" s="16"/>
      <c r="E8" s="16"/>
      <c r="F8" s="16"/>
      <c r="G8" s="16"/>
      <c r="H8" s="16"/>
      <c r="I8" s="16">
        <v>64320</v>
      </c>
      <c r="J8" s="16">
        <v>80146</v>
      </c>
      <c r="K8" s="16">
        <v>91790</v>
      </c>
      <c r="L8" s="16">
        <v>120733</v>
      </c>
      <c r="M8" s="16">
        <v>164027</v>
      </c>
      <c r="N8" s="17"/>
      <c r="O8" s="17"/>
      <c r="P8" s="17"/>
      <c r="Q8" s="17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51</v>
      </c>
      <c r="B9" s="1" t="s">
        <v>49</v>
      </c>
      <c r="C9" s="15">
        <v>420</v>
      </c>
      <c r="D9" s="15">
        <v>457</v>
      </c>
      <c r="E9" s="15">
        <v>507</v>
      </c>
      <c r="F9" s="15">
        <v>646</v>
      </c>
      <c r="G9" s="15">
        <v>748</v>
      </c>
      <c r="H9" s="15">
        <v>781</v>
      </c>
      <c r="I9" s="15">
        <v>1151</v>
      </c>
      <c r="J9" s="15">
        <v>1265</v>
      </c>
      <c r="K9" s="15">
        <v>1973</v>
      </c>
      <c r="L9" s="15">
        <v>3456</v>
      </c>
      <c r="M9" s="15">
        <v>2262</v>
      </c>
      <c r="N9" s="17"/>
      <c r="O9" s="17"/>
      <c r="P9" s="17"/>
      <c r="Q9" s="17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406</v>
      </c>
      <c r="B10" s="1" t="s">
        <v>49</v>
      </c>
      <c r="C10" s="15">
        <v>301</v>
      </c>
      <c r="D10" s="15">
        <v>320</v>
      </c>
      <c r="E10" s="15">
        <v>339</v>
      </c>
      <c r="F10" s="15">
        <v>390</v>
      </c>
      <c r="G10" s="15">
        <v>468</v>
      </c>
      <c r="H10" s="15">
        <v>520</v>
      </c>
      <c r="I10" s="15">
        <v>720</v>
      </c>
      <c r="J10" s="15">
        <v>869</v>
      </c>
      <c r="K10" s="15">
        <v>1019</v>
      </c>
      <c r="L10" s="15">
        <v>1505</v>
      </c>
      <c r="M10" s="15">
        <v>1752</v>
      </c>
      <c r="N10" s="17"/>
      <c r="O10" s="17"/>
      <c r="P10" s="17"/>
      <c r="Q10" s="17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407</v>
      </c>
      <c r="B11" s="1" t="s">
        <v>48</v>
      </c>
      <c r="C11" s="13">
        <v>0.17</v>
      </c>
      <c r="D11" s="13">
        <v>0.19</v>
      </c>
      <c r="E11" s="13">
        <v>0.17</v>
      </c>
      <c r="F11" s="13">
        <v>0.16</v>
      </c>
      <c r="G11" s="13">
        <v>0.16</v>
      </c>
      <c r="H11" s="13">
        <v>0.17</v>
      </c>
      <c r="I11" s="13">
        <v>0.255</v>
      </c>
      <c r="J11" s="13">
        <v>0.307</v>
      </c>
      <c r="K11" s="13">
        <v>0.32200000000000001</v>
      </c>
      <c r="L11" s="13">
        <v>0.30499999999999999</v>
      </c>
      <c r="M11" s="13">
        <v>0.26500000000000001</v>
      </c>
      <c r="N11" s="17"/>
      <c r="O11" s="17"/>
      <c r="P11" s="17"/>
      <c r="Q11" s="17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408</v>
      </c>
      <c r="B12" s="1" t="s">
        <v>48</v>
      </c>
      <c r="C12" s="13">
        <v>0.21</v>
      </c>
      <c r="D12" s="13">
        <v>0.23</v>
      </c>
      <c r="E12" s="13">
        <v>0.26</v>
      </c>
      <c r="F12" s="13">
        <v>0.28999999999999998</v>
      </c>
      <c r="G12" s="13">
        <v>0.3</v>
      </c>
      <c r="H12" s="13">
        <v>0.32</v>
      </c>
      <c r="I12" s="13">
        <v>0.28300000000000003</v>
      </c>
      <c r="J12" s="13">
        <v>0.22600000000000001</v>
      </c>
      <c r="K12" s="13">
        <v>0.222</v>
      </c>
      <c r="L12" s="13">
        <v>0.185</v>
      </c>
      <c r="M12" s="13">
        <v>0.15</v>
      </c>
      <c r="N12" s="17"/>
      <c r="O12" s="17"/>
      <c r="P12" s="17"/>
      <c r="Q12" s="17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409</v>
      </c>
      <c r="B13" s="1" t="s">
        <v>48</v>
      </c>
      <c r="C13" s="13">
        <v>0.35</v>
      </c>
      <c r="D13" s="13">
        <v>0.32</v>
      </c>
      <c r="E13" s="13">
        <v>0.27</v>
      </c>
      <c r="F13" s="13">
        <v>0.27</v>
      </c>
      <c r="G13" s="13">
        <v>0.28000000000000003</v>
      </c>
      <c r="H13" s="13">
        <v>0.19</v>
      </c>
      <c r="I13" s="13">
        <v>0.19</v>
      </c>
      <c r="J13" s="13">
        <v>0.191</v>
      </c>
      <c r="K13" s="13">
        <v>0.18</v>
      </c>
      <c r="L13" s="13">
        <v>0.183</v>
      </c>
      <c r="M13" s="13">
        <v>0.23</v>
      </c>
      <c r="N13" s="17"/>
      <c r="O13" s="17"/>
      <c r="P13" s="17"/>
      <c r="Q13" s="17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410</v>
      </c>
      <c r="B14" s="1" t="s">
        <v>48</v>
      </c>
      <c r="C14" s="13">
        <v>0.04</v>
      </c>
      <c r="D14" s="13">
        <v>0.03</v>
      </c>
      <c r="E14" s="13">
        <v>0.01</v>
      </c>
      <c r="F14" s="13"/>
      <c r="G14" s="13"/>
      <c r="H14" s="13"/>
      <c r="I14" s="13"/>
      <c r="J14" s="13"/>
      <c r="K14" s="13"/>
      <c r="L14" s="13">
        <v>7.6999999999999999E-2</v>
      </c>
      <c r="M14" s="13">
        <v>7.0000000000000007E-2</v>
      </c>
      <c r="N14" s="17"/>
      <c r="O14" s="17"/>
      <c r="P14" s="17"/>
      <c r="Q14" s="17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411</v>
      </c>
      <c r="B15" s="1" t="s">
        <v>48</v>
      </c>
      <c r="C15" s="13"/>
      <c r="D15" s="13"/>
      <c r="E15" s="13"/>
      <c r="F15" s="13"/>
      <c r="G15" s="13"/>
      <c r="H15" s="13"/>
      <c r="I15" s="13"/>
      <c r="J15" s="13"/>
      <c r="K15" s="13"/>
      <c r="L15" s="13">
        <v>7.0000000000000007E-2</v>
      </c>
      <c r="M15" s="13">
        <v>0.10800000000000001</v>
      </c>
      <c r="N15" s="17"/>
      <c r="O15" s="17"/>
      <c r="P15" s="17"/>
      <c r="Q15" s="17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412</v>
      </c>
      <c r="B16" s="1" t="s">
        <v>48</v>
      </c>
      <c r="C16" s="13">
        <v>0.08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7"/>
      <c r="O16" s="17"/>
      <c r="P16" s="17"/>
      <c r="Q16" s="17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413</v>
      </c>
      <c r="B17" s="1" t="s">
        <v>48</v>
      </c>
      <c r="C17" s="13">
        <v>0.15</v>
      </c>
      <c r="D17" s="13"/>
      <c r="E17" s="13"/>
      <c r="F17" s="13">
        <v>0.28000000000000003</v>
      </c>
      <c r="G17" s="13">
        <v>0.26</v>
      </c>
      <c r="H17" s="13">
        <v>0.31</v>
      </c>
      <c r="I17" s="13"/>
      <c r="J17" s="13">
        <v>0.27500000000000002</v>
      </c>
      <c r="K17" s="13">
        <v>0.27600000000000002</v>
      </c>
      <c r="L17" s="13">
        <v>0.17899999999999999</v>
      </c>
      <c r="M17" s="13">
        <v>0.17699999999999999</v>
      </c>
      <c r="N17" s="17"/>
      <c r="O17" s="17"/>
      <c r="P17" s="17"/>
      <c r="Q17" s="17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414</v>
      </c>
      <c r="B18" s="1" t="s">
        <v>48</v>
      </c>
      <c r="C18" s="13">
        <v>0.46</v>
      </c>
      <c r="D18" s="13">
        <v>0.48</v>
      </c>
      <c r="E18" s="13">
        <v>0.49</v>
      </c>
      <c r="F18" s="13">
        <v>0.49</v>
      </c>
      <c r="G18" s="13">
        <v>0.48</v>
      </c>
      <c r="H18" s="13">
        <v>0.48</v>
      </c>
      <c r="I18" s="13">
        <v>0.51800000000000002</v>
      </c>
      <c r="J18" s="13">
        <v>0.499</v>
      </c>
      <c r="K18" s="13">
        <v>0.48299999999999998</v>
      </c>
      <c r="L18" s="13">
        <v>0.54799999999999993</v>
      </c>
      <c r="M18" s="13">
        <v>0.56899999999999995</v>
      </c>
      <c r="N18" s="17"/>
      <c r="O18" s="17"/>
      <c r="P18" s="17"/>
      <c r="Q18" s="17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415</v>
      </c>
      <c r="B19" s="1" t="s">
        <v>48</v>
      </c>
      <c r="C19" s="13">
        <v>0.34</v>
      </c>
      <c r="D19" s="13">
        <v>0.33</v>
      </c>
      <c r="E19" s="13">
        <v>0.31</v>
      </c>
      <c r="F19" s="13">
        <v>0.33</v>
      </c>
      <c r="G19" s="13">
        <v>0.37</v>
      </c>
      <c r="H19" s="13">
        <v>0.37</v>
      </c>
      <c r="I19" s="13">
        <v>0.35399999999999998</v>
      </c>
      <c r="J19" s="13">
        <v>0.38900000000000001</v>
      </c>
      <c r="K19" s="13">
        <v>0.39399999999999996</v>
      </c>
      <c r="L19" s="13">
        <v>0.33700000000000002</v>
      </c>
      <c r="M19" s="13">
        <v>0.28899999999999998</v>
      </c>
      <c r="N19" s="17"/>
      <c r="O19" s="17"/>
      <c r="P19" s="17"/>
      <c r="Q19" s="17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416</v>
      </c>
      <c r="B20" s="1" t="s">
        <v>48</v>
      </c>
      <c r="C20" s="13">
        <v>0.2</v>
      </c>
      <c r="D20" s="13">
        <v>0.19</v>
      </c>
      <c r="E20" s="13">
        <v>0.2</v>
      </c>
      <c r="F20" s="13">
        <v>0.18</v>
      </c>
      <c r="G20" s="13">
        <v>0.15</v>
      </c>
      <c r="H20" s="13">
        <v>0.15</v>
      </c>
      <c r="I20" s="13">
        <v>0.128</v>
      </c>
      <c r="J20" s="13">
        <v>0.11199999999999999</v>
      </c>
      <c r="K20" s="13">
        <v>0.12300000000000001</v>
      </c>
      <c r="L20" s="13">
        <v>0.115</v>
      </c>
      <c r="M20" s="13">
        <v>0.14199999999999999</v>
      </c>
      <c r="N20" s="17"/>
      <c r="O20" s="17"/>
      <c r="P20" s="17"/>
      <c r="Q20" s="17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417</v>
      </c>
      <c r="B21" s="1" t="s">
        <v>48</v>
      </c>
      <c r="C21" s="13">
        <v>0.59</v>
      </c>
      <c r="D21" s="13">
        <v>0.6</v>
      </c>
      <c r="E21" s="13">
        <v>0.61</v>
      </c>
      <c r="F21" s="13">
        <v>0.65</v>
      </c>
      <c r="G21" s="13">
        <v>0.64</v>
      </c>
      <c r="H21" s="13">
        <v>0.62</v>
      </c>
      <c r="I21" s="13">
        <v>0.56000000000000005</v>
      </c>
      <c r="J21" s="13">
        <v>0.501</v>
      </c>
      <c r="K21" s="13">
        <v>0.48299999999999998</v>
      </c>
      <c r="L21" s="13">
        <v>0.46799999999999997</v>
      </c>
      <c r="M21" s="13">
        <v>0.47600000000000003</v>
      </c>
      <c r="N21" s="17"/>
      <c r="O21" s="17"/>
      <c r="P21" s="17"/>
      <c r="Q21" s="17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418</v>
      </c>
      <c r="B22" s="1" t="s">
        <v>48</v>
      </c>
      <c r="C22" s="13">
        <v>0.41</v>
      </c>
      <c r="D22" s="13">
        <v>0.4</v>
      </c>
      <c r="E22" s="13">
        <v>0.39</v>
      </c>
      <c r="F22" s="13">
        <v>0.35</v>
      </c>
      <c r="G22" s="13">
        <v>0.36</v>
      </c>
      <c r="H22" s="13">
        <v>0.38</v>
      </c>
      <c r="I22" s="13">
        <v>0.44</v>
      </c>
      <c r="J22" s="13">
        <v>0.499</v>
      </c>
      <c r="K22" s="13">
        <v>0.51700000000000002</v>
      </c>
      <c r="L22" s="13">
        <v>0.53200000000000003</v>
      </c>
      <c r="M22" s="13">
        <v>0.52400000000000002</v>
      </c>
      <c r="N22" s="17"/>
      <c r="O22" s="17"/>
      <c r="P22" s="17"/>
      <c r="Q22" s="17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419</v>
      </c>
      <c r="B23" s="1" t="s">
        <v>48</v>
      </c>
      <c r="C23" s="13">
        <v>0.45</v>
      </c>
      <c r="D23" s="13">
        <v>0.48</v>
      </c>
      <c r="E23" s="13">
        <v>0.46</v>
      </c>
      <c r="F23" s="13">
        <v>0.47</v>
      </c>
      <c r="G23" s="13">
        <v>0.48</v>
      </c>
      <c r="H23" s="13">
        <v>0.54</v>
      </c>
      <c r="I23" s="13">
        <v>0.54</v>
      </c>
      <c r="J23" s="13">
        <v>0.52</v>
      </c>
      <c r="K23" s="13">
        <v>0.504</v>
      </c>
      <c r="L23" s="13">
        <v>0.46200000000000002</v>
      </c>
      <c r="M23" s="13">
        <v>0.46899999999999997</v>
      </c>
      <c r="N23" s="17"/>
      <c r="O23" s="17"/>
      <c r="P23" s="17"/>
      <c r="Q23" s="17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151</v>
      </c>
      <c r="B24" s="1" t="s">
        <v>48</v>
      </c>
      <c r="C24" s="13">
        <v>0.55000000000000004</v>
      </c>
      <c r="D24" s="13">
        <v>0.52</v>
      </c>
      <c r="E24" s="13">
        <v>0.54</v>
      </c>
      <c r="F24" s="13">
        <v>0.53</v>
      </c>
      <c r="G24" s="13">
        <v>0.52</v>
      </c>
      <c r="H24" s="13">
        <v>0.46</v>
      </c>
      <c r="I24" s="13">
        <v>0.46</v>
      </c>
      <c r="J24" s="13">
        <v>0.48</v>
      </c>
      <c r="K24" s="13">
        <v>0.496</v>
      </c>
      <c r="L24" s="13">
        <v>0.53799999999999992</v>
      </c>
      <c r="M24" s="13">
        <v>0.53100000000000003</v>
      </c>
      <c r="N24" s="17"/>
      <c r="O24" s="17"/>
      <c r="P24" s="17"/>
      <c r="Q24" s="1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420</v>
      </c>
      <c r="B25" s="1" t="s">
        <v>48</v>
      </c>
      <c r="C25" s="13">
        <v>0.91</v>
      </c>
      <c r="D25" s="13">
        <v>0.91</v>
      </c>
      <c r="E25" s="13">
        <v>0.89</v>
      </c>
      <c r="F25" s="13">
        <v>0.9</v>
      </c>
      <c r="G25" s="13">
        <v>0.89</v>
      </c>
      <c r="H25" s="13">
        <v>0.89</v>
      </c>
      <c r="I25" s="13">
        <v>0.93</v>
      </c>
      <c r="J25" s="13">
        <v>0.92</v>
      </c>
      <c r="K25" s="13">
        <v>0.92</v>
      </c>
      <c r="L25" s="13">
        <v>0.94</v>
      </c>
      <c r="M25" s="13">
        <v>0.95499999999999996</v>
      </c>
      <c r="N25" s="17"/>
      <c r="O25" s="17"/>
      <c r="P25" s="17"/>
      <c r="Q25" s="1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421</v>
      </c>
      <c r="B26" s="1" t="s">
        <v>48</v>
      </c>
      <c r="C26" s="13">
        <v>0.32</v>
      </c>
      <c r="D26" s="13">
        <v>0.33</v>
      </c>
      <c r="E26" s="13">
        <v>0.3</v>
      </c>
      <c r="F26" s="13">
        <v>0.28000000000000003</v>
      </c>
      <c r="G26" s="13">
        <v>0.28000000000000003</v>
      </c>
      <c r="H26" s="13">
        <v>0.24</v>
      </c>
      <c r="I26" s="13">
        <v>0.22899999999999998</v>
      </c>
      <c r="J26" s="13">
        <v>0.23199999999999998</v>
      </c>
      <c r="K26" s="13">
        <v>0.23499999999999999</v>
      </c>
      <c r="L26" s="13">
        <v>0.18600000000000003</v>
      </c>
      <c r="M26" s="13">
        <v>0.21</v>
      </c>
      <c r="N26" s="17"/>
      <c r="O26" s="17"/>
      <c r="P26" s="17"/>
      <c r="Q26" s="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422</v>
      </c>
      <c r="B27" s="1" t="s">
        <v>48</v>
      </c>
      <c r="C27" s="13">
        <v>0.44</v>
      </c>
      <c r="D27" s="13">
        <v>0.45</v>
      </c>
      <c r="E27" s="13">
        <v>0.42</v>
      </c>
      <c r="F27" s="13">
        <v>0.39</v>
      </c>
      <c r="G27" s="13">
        <v>0.38</v>
      </c>
      <c r="H27" s="13">
        <v>0.34</v>
      </c>
      <c r="I27" s="13">
        <v>0.34</v>
      </c>
      <c r="J27" s="13">
        <v>0.35499999999999998</v>
      </c>
      <c r="K27" s="13">
        <v>0.34499999999999997</v>
      </c>
      <c r="L27" s="13">
        <v>0.28399999999999997</v>
      </c>
      <c r="M27" s="13">
        <v>0.308</v>
      </c>
      <c r="N27" s="17"/>
      <c r="O27" s="17"/>
      <c r="P27" s="17"/>
      <c r="Q27" s="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423</v>
      </c>
      <c r="B28" s="1" t="s">
        <v>64</v>
      </c>
      <c r="C28" s="16">
        <v>28</v>
      </c>
      <c r="D28" s="16">
        <v>15</v>
      </c>
      <c r="E28" s="16">
        <v>31</v>
      </c>
      <c r="F28" s="16">
        <v>40</v>
      </c>
      <c r="G28" s="16">
        <v>41</v>
      </c>
      <c r="H28" s="16">
        <v>45</v>
      </c>
      <c r="I28" s="16">
        <v>47</v>
      </c>
      <c r="J28" s="16">
        <v>44</v>
      </c>
      <c r="K28" s="16">
        <v>29</v>
      </c>
      <c r="L28" s="16">
        <v>47</v>
      </c>
      <c r="M28" s="16">
        <v>31</v>
      </c>
      <c r="N28" s="17"/>
      <c r="O28" s="17"/>
      <c r="P28" s="17"/>
      <c r="Q28" s="1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165</v>
      </c>
      <c r="B29" s="1" t="s">
        <v>166</v>
      </c>
      <c r="C29" s="15">
        <v>65.319999999999993</v>
      </c>
      <c r="D29" s="15">
        <v>67.08</v>
      </c>
      <c r="E29" s="15">
        <v>64.540000000000006</v>
      </c>
      <c r="F29" s="15">
        <v>69.55</v>
      </c>
      <c r="G29" s="15">
        <v>70.540000000000006</v>
      </c>
      <c r="H29" s="15">
        <v>74.319999999999993</v>
      </c>
      <c r="I29" s="15">
        <v>74.180000000000007</v>
      </c>
      <c r="J29" s="15">
        <v>80.05</v>
      </c>
      <c r="K29" s="15">
        <v>82.78</v>
      </c>
      <c r="L29" s="15">
        <v>86.6</v>
      </c>
      <c r="M29" s="15">
        <v>87.8</v>
      </c>
      <c r="N29" s="17"/>
      <c r="O29" s="17"/>
      <c r="P29" s="17"/>
      <c r="Q29" s="1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424</v>
      </c>
      <c r="B30" s="1" t="s">
        <v>48</v>
      </c>
      <c r="C30" s="13"/>
      <c r="D30" s="13"/>
      <c r="E30" s="13"/>
      <c r="F30" s="13"/>
      <c r="G30" s="13"/>
      <c r="H30" s="13"/>
      <c r="I30" s="13"/>
      <c r="J30" s="13">
        <v>0.36299999999999999</v>
      </c>
      <c r="K30" s="13">
        <v>0.35200000000000004</v>
      </c>
      <c r="L30" s="13">
        <v>0.41299999999999998</v>
      </c>
      <c r="M30" s="13">
        <v>0.441</v>
      </c>
      <c r="N30" s="17"/>
      <c r="O30" s="17"/>
      <c r="P30" s="17"/>
      <c r="Q30" s="1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425</v>
      </c>
      <c r="B31" s="1" t="s">
        <v>48</v>
      </c>
      <c r="C31" s="13"/>
      <c r="D31" s="13"/>
      <c r="E31" s="13"/>
      <c r="F31" s="13"/>
      <c r="G31" s="13"/>
      <c r="H31" s="13">
        <v>0.15</v>
      </c>
      <c r="I31" s="13">
        <v>0.13800000000000001</v>
      </c>
      <c r="J31" s="13">
        <v>0.12</v>
      </c>
      <c r="K31" s="13">
        <v>0.115</v>
      </c>
      <c r="L31" s="13">
        <v>9.1999999999999998E-2</v>
      </c>
      <c r="M31" s="13">
        <v>8.199999999999999E-2</v>
      </c>
      <c r="N31" s="17"/>
      <c r="O31" s="17"/>
      <c r="P31" s="17"/>
      <c r="Q31" s="1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426</v>
      </c>
      <c r="B32" s="1" t="s">
        <v>48</v>
      </c>
      <c r="C32" s="13"/>
      <c r="D32" s="13"/>
      <c r="E32" s="13"/>
      <c r="F32" s="13"/>
      <c r="G32" s="13"/>
      <c r="H32" s="13"/>
      <c r="I32" s="13">
        <v>0.20800000000000002</v>
      </c>
      <c r="J32" s="13">
        <v>0.23499999999999999</v>
      </c>
      <c r="K32" s="13">
        <v>0.249</v>
      </c>
      <c r="L32" s="13">
        <v>0.23499999999999999</v>
      </c>
      <c r="M32" s="13">
        <v>0.215</v>
      </c>
      <c r="N32" s="17"/>
      <c r="O32" s="17"/>
      <c r="P32" s="17"/>
      <c r="Q32" s="1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427</v>
      </c>
      <c r="B33" s="1" t="s">
        <v>48</v>
      </c>
      <c r="C33" s="13"/>
      <c r="D33" s="13"/>
      <c r="E33" s="13"/>
      <c r="F33" s="13"/>
      <c r="G33" s="13"/>
      <c r="H33" s="13"/>
      <c r="I33" s="13">
        <v>0.17899999999999999</v>
      </c>
      <c r="J33" s="13">
        <v>0.183</v>
      </c>
      <c r="K33" s="13">
        <v>0.191</v>
      </c>
      <c r="L33" s="13">
        <v>0.17899999999999999</v>
      </c>
      <c r="M33" s="13">
        <v>0.184</v>
      </c>
      <c r="N33" s="17"/>
      <c r="O33" s="17"/>
      <c r="P33" s="17"/>
      <c r="Q33" s="1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428</v>
      </c>
      <c r="B34" s="1" t="s">
        <v>48</v>
      </c>
      <c r="C34" s="13">
        <v>0.05</v>
      </c>
      <c r="D34" s="13">
        <v>0.05</v>
      </c>
      <c r="E34" s="13">
        <v>0.04</v>
      </c>
      <c r="F34" s="13">
        <v>0.04</v>
      </c>
      <c r="G34" s="13">
        <v>0.03</v>
      </c>
      <c r="H34" s="13">
        <v>0.03</v>
      </c>
      <c r="I34" s="13">
        <v>0.107</v>
      </c>
      <c r="J34" s="13">
        <v>9.9000000000000005E-2</v>
      </c>
      <c r="K34" s="13">
        <v>9.4E-2</v>
      </c>
      <c r="L34" s="13">
        <v>8.1000000000000003E-2</v>
      </c>
      <c r="M34" s="13">
        <v>7.9000000000000001E-2</v>
      </c>
      <c r="N34" s="17"/>
      <c r="O34" s="17"/>
      <c r="P34" s="17"/>
      <c r="Q34" s="1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429</v>
      </c>
      <c r="B35" s="1" t="s">
        <v>48</v>
      </c>
      <c r="C35" s="13">
        <v>0.65</v>
      </c>
      <c r="D35" s="13">
        <v>0.67</v>
      </c>
      <c r="E35" s="13">
        <v>0.66</v>
      </c>
      <c r="F35" s="13">
        <v>0.69</v>
      </c>
      <c r="G35" s="13">
        <v>0.73</v>
      </c>
      <c r="H35" s="13">
        <v>0.7</v>
      </c>
      <c r="I35" s="13"/>
      <c r="J35" s="13"/>
      <c r="K35" s="13"/>
      <c r="L35" s="13"/>
      <c r="M35" s="13"/>
      <c r="N35" s="17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430</v>
      </c>
      <c r="B36" s="1" t="s">
        <v>48</v>
      </c>
      <c r="C36" s="13">
        <v>0.08</v>
      </c>
      <c r="D36" s="13">
        <v>7.0000000000000007E-2</v>
      </c>
      <c r="E36" s="13">
        <v>7.0000000000000007E-2</v>
      </c>
      <c r="F36" s="13">
        <v>0.06</v>
      </c>
      <c r="G36" s="13">
        <v>0.06</v>
      </c>
      <c r="H36" s="13">
        <v>7.0000000000000007E-2</v>
      </c>
      <c r="I36" s="13"/>
      <c r="J36" s="13"/>
      <c r="K36" s="13"/>
      <c r="L36" s="13"/>
      <c r="M36" s="13"/>
      <c r="N36" s="17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431</v>
      </c>
      <c r="B37" s="1" t="s">
        <v>48</v>
      </c>
      <c r="C37" s="13">
        <v>0.17</v>
      </c>
      <c r="D37" s="13">
        <v>0.18</v>
      </c>
      <c r="E37" s="13">
        <v>0.19</v>
      </c>
      <c r="F37" s="13">
        <v>0.18</v>
      </c>
      <c r="G37" s="13">
        <v>0.17</v>
      </c>
      <c r="H37" s="13">
        <v>0.17</v>
      </c>
      <c r="I37" s="13"/>
      <c r="J37" s="13"/>
      <c r="K37" s="13"/>
      <c r="L37" s="13"/>
      <c r="M37" s="13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432</v>
      </c>
      <c r="B38" s="1" t="s">
        <v>48</v>
      </c>
      <c r="C38" s="13">
        <v>0.05</v>
      </c>
      <c r="D38" s="13">
        <v>0.04</v>
      </c>
      <c r="E38" s="13">
        <v>0.04</v>
      </c>
      <c r="F38" s="13">
        <v>0.04</v>
      </c>
      <c r="G38" s="13">
        <v>0.01</v>
      </c>
      <c r="H38" s="13">
        <v>0.04</v>
      </c>
      <c r="I38" s="13"/>
      <c r="J38" s="13"/>
      <c r="K38" s="13"/>
      <c r="L38" s="13"/>
      <c r="M38" s="13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433</v>
      </c>
      <c r="B39" s="1" t="s">
        <v>48</v>
      </c>
      <c r="C39" s="13"/>
      <c r="D39" s="13"/>
      <c r="E39" s="13"/>
      <c r="F39" s="13"/>
      <c r="G39" s="13"/>
      <c r="H39" s="13">
        <v>0.16</v>
      </c>
      <c r="I39" s="13">
        <v>0.12</v>
      </c>
      <c r="J39" s="13">
        <v>0.10099999999999999</v>
      </c>
      <c r="K39" s="13">
        <v>8.5000000000000006E-2</v>
      </c>
      <c r="L39" s="13"/>
      <c r="M39" s="13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434</v>
      </c>
      <c r="B40" s="1" t="s">
        <v>48</v>
      </c>
      <c r="C40" s="13"/>
      <c r="D40" s="13"/>
      <c r="E40" s="13"/>
      <c r="F40" s="13"/>
      <c r="G40" s="13"/>
      <c r="H40" s="13"/>
      <c r="I40" s="13"/>
      <c r="J40" s="13">
        <v>0.26200000000000001</v>
      </c>
      <c r="K40" s="13">
        <v>0.26700000000000002</v>
      </c>
      <c r="L40" s="13"/>
      <c r="M40" s="13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52</v>
      </c>
      <c r="B41" s="1" t="s">
        <v>48</v>
      </c>
      <c r="C41" s="13">
        <v>0.35700000000000004</v>
      </c>
      <c r="D41" s="13">
        <v>44</v>
      </c>
      <c r="E41" s="13">
        <v>0.379</v>
      </c>
      <c r="F41" s="13">
        <v>-36</v>
      </c>
      <c r="G41" s="13">
        <v>0.34399999999999997</v>
      </c>
      <c r="H41" s="13">
        <v>-218</v>
      </c>
      <c r="I41" s="13">
        <v>0.32</v>
      </c>
      <c r="J41" s="13">
        <v>71</v>
      </c>
      <c r="K41" s="13">
        <v>0.32600000000000001</v>
      </c>
      <c r="L41" s="13">
        <v>0.33700000000000002</v>
      </c>
      <c r="M41" s="13">
        <v>0.33800000000000002</v>
      </c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53</v>
      </c>
      <c r="B42" s="1" t="s">
        <v>48</v>
      </c>
      <c r="C42" s="13">
        <v>0.16300000000000001</v>
      </c>
      <c r="D42" s="13">
        <v>106</v>
      </c>
      <c r="E42" s="13">
        <v>0.20499999999999999</v>
      </c>
      <c r="F42" s="13">
        <v>-112</v>
      </c>
      <c r="G42" s="13"/>
      <c r="H42" s="13"/>
      <c r="I42" s="13">
        <v>0.187</v>
      </c>
      <c r="J42" s="13">
        <v>109</v>
      </c>
      <c r="K42" s="13">
        <v>0.17599999999999999</v>
      </c>
      <c r="L42" s="13">
        <v>0.14299999999999999</v>
      </c>
      <c r="M42" s="13">
        <v>0.186</v>
      </c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63</v>
      </c>
      <c r="B43" s="1" t="s">
        <v>64</v>
      </c>
      <c r="C43" s="16">
        <v>9476</v>
      </c>
      <c r="D43" s="16">
        <v>8853</v>
      </c>
      <c r="E43" s="16">
        <v>9423</v>
      </c>
      <c r="F43" s="16">
        <v>10263</v>
      </c>
      <c r="G43" s="16">
        <v>11156</v>
      </c>
      <c r="H43" s="16">
        <v>12391</v>
      </c>
      <c r="I43" s="16">
        <v>22500</v>
      </c>
      <c r="J43" s="16">
        <v>23224</v>
      </c>
      <c r="K43" s="16">
        <v>24726</v>
      </c>
      <c r="L43" s="16">
        <v>33497</v>
      </c>
      <c r="M43" s="16">
        <v>35777</v>
      </c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435</v>
      </c>
      <c r="B44" s="1" t="s">
        <v>64</v>
      </c>
      <c r="C44" s="16"/>
      <c r="D44" s="16"/>
      <c r="E44" s="16"/>
      <c r="F44" s="16"/>
      <c r="G44" s="16"/>
      <c r="H44" s="16"/>
      <c r="I44" s="16">
        <v>14903</v>
      </c>
      <c r="J44" s="16">
        <v>16182</v>
      </c>
      <c r="K44" s="16">
        <v>16930</v>
      </c>
      <c r="L44" s="16">
        <v>23510</v>
      </c>
      <c r="M44" s="16">
        <v>25062</v>
      </c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436</v>
      </c>
      <c r="B45" s="1" t="s">
        <v>64</v>
      </c>
      <c r="C45" s="16"/>
      <c r="D45" s="16"/>
      <c r="E45" s="16"/>
      <c r="F45" s="16"/>
      <c r="G45" s="16"/>
      <c r="H45" s="16"/>
      <c r="I45" s="16">
        <v>6391</v>
      </c>
      <c r="J45" s="16">
        <v>5633</v>
      </c>
      <c r="K45" s="16">
        <v>6313</v>
      </c>
      <c r="L45" s="16">
        <v>7844</v>
      </c>
      <c r="M45" s="16">
        <v>8581</v>
      </c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437</v>
      </c>
      <c r="B46" s="1" t="s">
        <v>64</v>
      </c>
      <c r="C46" s="16">
        <v>8743</v>
      </c>
      <c r="D46" s="16">
        <v>8066</v>
      </c>
      <c r="E46" s="16">
        <v>8588</v>
      </c>
      <c r="F46" s="16">
        <v>9363</v>
      </c>
      <c r="G46" s="16">
        <v>10274</v>
      </c>
      <c r="H46" s="16">
        <v>11469</v>
      </c>
      <c r="I46" s="16">
        <v>21294</v>
      </c>
      <c r="J46" s="16">
        <v>21815</v>
      </c>
      <c r="K46" s="16">
        <v>23243</v>
      </c>
      <c r="L46" s="16">
        <v>31354</v>
      </c>
      <c r="M46" s="16">
        <v>33643</v>
      </c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438</v>
      </c>
      <c r="B47" s="1" t="s">
        <v>67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>
        <v>71795</v>
      </c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439</v>
      </c>
      <c r="B48" s="1" t="s">
        <v>48</v>
      </c>
      <c r="C48" s="13">
        <v>0.79</v>
      </c>
      <c r="D48" s="13">
        <v>0.81</v>
      </c>
      <c r="E48" s="13">
        <v>0.79500000000000004</v>
      </c>
      <c r="F48" s="13">
        <v>0.79299999999999993</v>
      </c>
      <c r="G48" s="13">
        <v>0.78099999999999992</v>
      </c>
      <c r="H48" s="13">
        <v>0.81</v>
      </c>
      <c r="I48" s="13">
        <v>0.7609999999999999</v>
      </c>
      <c r="J48" s="13">
        <v>0.81499999999999995</v>
      </c>
      <c r="K48" s="13">
        <v>0.81700000000000006</v>
      </c>
      <c r="L48" s="13">
        <v>0.82</v>
      </c>
      <c r="M48" s="13">
        <v>0.82499999999999996</v>
      </c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440</v>
      </c>
      <c r="B49" s="1" t="s">
        <v>48</v>
      </c>
      <c r="C49" s="13">
        <v>0.127</v>
      </c>
      <c r="D49" s="13">
        <v>0.127</v>
      </c>
      <c r="E49" s="13">
        <v>0.105</v>
      </c>
      <c r="F49" s="13">
        <v>0.122</v>
      </c>
      <c r="G49" s="13">
        <v>0.11800000000000001</v>
      </c>
      <c r="H49" s="13">
        <v>0.105</v>
      </c>
      <c r="I49" s="13">
        <v>0.17699999999999999</v>
      </c>
      <c r="J49" s="13">
        <v>0.14099999999999999</v>
      </c>
      <c r="K49" s="13">
        <v>0.115</v>
      </c>
      <c r="L49" s="13">
        <v>0.109</v>
      </c>
      <c r="M49" s="13">
        <v>0.10800000000000001</v>
      </c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441</v>
      </c>
      <c r="B50" s="1" t="s">
        <v>182</v>
      </c>
      <c r="C50" s="16">
        <v>80</v>
      </c>
      <c r="D50" s="16">
        <v>64</v>
      </c>
      <c r="E50" s="16">
        <v>70</v>
      </c>
      <c r="F50" s="16">
        <v>62</v>
      </c>
      <c r="G50" s="16">
        <v>74</v>
      </c>
      <c r="H50" s="16">
        <v>70</v>
      </c>
      <c r="I50" s="16">
        <v>63</v>
      </c>
      <c r="J50" s="16">
        <v>61</v>
      </c>
      <c r="K50" s="16">
        <v>56</v>
      </c>
      <c r="L50" s="16">
        <v>60</v>
      </c>
      <c r="M50" s="16">
        <v>69</v>
      </c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 t="s">
        <v>442</v>
      </c>
      <c r="B51" s="1" t="s">
        <v>182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>
        <v>25</v>
      </c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443</v>
      </c>
      <c r="B52" s="1" t="s">
        <v>182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>
        <v>13</v>
      </c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444</v>
      </c>
      <c r="B53" s="1" t="s">
        <v>64</v>
      </c>
      <c r="C53" s="16">
        <v>51</v>
      </c>
      <c r="D53" s="16">
        <v>55</v>
      </c>
      <c r="E53" s="16">
        <v>60</v>
      </c>
      <c r="F53" s="16">
        <v>66</v>
      </c>
      <c r="G53" s="16">
        <v>80</v>
      </c>
      <c r="H53" s="16">
        <v>88</v>
      </c>
      <c r="I53" s="16">
        <v>100</v>
      </c>
      <c r="J53" s="16">
        <v>101</v>
      </c>
      <c r="K53" s="16">
        <v>112</v>
      </c>
      <c r="L53" s="16">
        <v>173</v>
      </c>
      <c r="M53" s="16">
        <v>167</v>
      </c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445</v>
      </c>
      <c r="B54" s="1" t="s">
        <v>64</v>
      </c>
      <c r="C54" s="16">
        <v>16</v>
      </c>
      <c r="D54" s="16">
        <v>10</v>
      </c>
      <c r="E54" s="16">
        <v>13</v>
      </c>
      <c r="F54" s="16">
        <v>16</v>
      </c>
      <c r="G54" s="16">
        <v>15</v>
      </c>
      <c r="H54" s="16">
        <v>16</v>
      </c>
      <c r="I54" s="16">
        <v>19</v>
      </c>
      <c r="J54" s="16">
        <v>23</v>
      </c>
      <c r="K54" s="16">
        <v>24</v>
      </c>
      <c r="L54" s="16">
        <v>35</v>
      </c>
      <c r="M54" s="16">
        <v>42</v>
      </c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446</v>
      </c>
      <c r="B55" s="1" t="s">
        <v>64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>
        <v>23</v>
      </c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447</v>
      </c>
      <c r="B56" s="1" t="s">
        <v>64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>
        <v>9</v>
      </c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448</v>
      </c>
      <c r="B57" s="1" t="s">
        <v>64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>
        <v>3</v>
      </c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449</v>
      </c>
      <c r="B58" s="1" t="s">
        <v>64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>
        <v>1</v>
      </c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450</v>
      </c>
      <c r="B59" s="1" t="s">
        <v>64</v>
      </c>
      <c r="C59" s="16">
        <v>6</v>
      </c>
      <c r="D59" s="16">
        <v>8</v>
      </c>
      <c r="E59" s="16">
        <v>7</v>
      </c>
      <c r="F59" s="16">
        <v>8</v>
      </c>
      <c r="G59" s="16"/>
      <c r="H59" s="16"/>
      <c r="I59" s="16">
        <v>18</v>
      </c>
      <c r="J59" s="16">
        <v>21</v>
      </c>
      <c r="K59" s="16">
        <v>24</v>
      </c>
      <c r="L59" s="16">
        <v>31</v>
      </c>
      <c r="M59" s="16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260"/>
  <sheetViews>
    <sheetView showGridLines="0" workbookViewId="0"/>
  </sheetViews>
  <sheetFormatPr defaultRowHeight="13.8"/>
  <cols>
    <col min="1" max="1" width="35" customWidth="1"/>
    <col min="2" max="2" width="11" customWidth="1"/>
    <col min="3" max="47" width="10.5" customWidth="1"/>
  </cols>
  <sheetData>
    <row r="1" spans="1:47" ht="25.95" customHeight="1">
      <c r="A1" s="58" t="s">
        <v>451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</row>
    <row r="2" spans="1:47" ht="18" customHeight="1">
      <c r="A2" s="59" t="s">
        <v>452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276</v>
      </c>
      <c r="D5" s="4" t="s">
        <v>277</v>
      </c>
      <c r="E5" s="4" t="s">
        <v>278</v>
      </c>
      <c r="F5" s="4" t="s">
        <v>279</v>
      </c>
      <c r="G5" s="4" t="s">
        <v>280</v>
      </c>
      <c r="H5" s="4" t="s">
        <v>281</v>
      </c>
      <c r="I5" s="4" t="s">
        <v>282</v>
      </c>
      <c r="J5" s="4" t="s">
        <v>283</v>
      </c>
      <c r="K5" s="4" t="s">
        <v>284</v>
      </c>
      <c r="L5" s="4" t="s">
        <v>285</v>
      </c>
      <c r="M5" s="4" t="s">
        <v>286</v>
      </c>
      <c r="N5" s="4" t="s">
        <v>287</v>
      </c>
      <c r="O5" s="4" t="s">
        <v>288</v>
      </c>
      <c r="P5" s="4" t="s">
        <v>289</v>
      </c>
      <c r="Q5" s="4" t="s">
        <v>290</v>
      </c>
      <c r="R5" s="4" t="s">
        <v>291</v>
      </c>
      <c r="S5" s="4" t="s">
        <v>292</v>
      </c>
      <c r="T5" s="4" t="s">
        <v>293</v>
      </c>
      <c r="U5" s="4" t="s">
        <v>294</v>
      </c>
      <c r="V5" s="4" t="s">
        <v>295</v>
      </c>
      <c r="W5" s="4" t="s">
        <v>296</v>
      </c>
      <c r="X5" s="4" t="s">
        <v>297</v>
      </c>
      <c r="Y5" s="4" t="s">
        <v>298</v>
      </c>
      <c r="Z5" s="4" t="s">
        <v>299</v>
      </c>
      <c r="AA5" s="4" t="s">
        <v>300</v>
      </c>
      <c r="AB5" s="4" t="s">
        <v>301</v>
      </c>
      <c r="AC5" s="4" t="s">
        <v>302</v>
      </c>
      <c r="AD5" s="4" t="s">
        <v>303</v>
      </c>
      <c r="AE5" s="4" t="s">
        <v>304</v>
      </c>
      <c r="AF5" s="4" t="s">
        <v>305</v>
      </c>
      <c r="AG5" s="4" t="s">
        <v>306</v>
      </c>
      <c r="AH5" s="4" t="s">
        <v>307</v>
      </c>
      <c r="AI5" s="4" t="s">
        <v>308</v>
      </c>
      <c r="AJ5" s="4" t="s">
        <v>309</v>
      </c>
      <c r="AK5" s="4" t="s">
        <v>310</v>
      </c>
      <c r="AL5" s="4" t="s">
        <v>311</v>
      </c>
      <c r="AM5" s="4" t="s">
        <v>312</v>
      </c>
      <c r="AN5" s="4" t="s">
        <v>313</v>
      </c>
      <c r="AO5" s="4" t="s">
        <v>314</v>
      </c>
      <c r="AP5" s="4" t="s">
        <v>315</v>
      </c>
      <c r="AQ5" s="4" t="s">
        <v>316</v>
      </c>
      <c r="AR5" s="4" t="s">
        <v>317</v>
      </c>
      <c r="AS5" s="4" t="s">
        <v>318</v>
      </c>
      <c r="AT5" s="4" t="s">
        <v>319</v>
      </c>
      <c r="AU5" s="4" t="s">
        <v>320</v>
      </c>
    </row>
    <row r="6" spans="1:47" ht="14.4">
      <c r="A6" s="1" t="s">
        <v>45</v>
      </c>
      <c r="B6" s="1" t="s">
        <v>46</v>
      </c>
      <c r="C6" s="18">
        <f>'Raw Financials'!C32</f>
        <v>6411</v>
      </c>
      <c r="D6" s="18">
        <f>'Raw Financials'!D32</f>
        <v>6779</v>
      </c>
      <c r="E6" s="18">
        <f>'Raw Financials'!E32</f>
        <v>6787</v>
      </c>
      <c r="F6" s="18">
        <f>'Raw Financials'!F32</f>
        <v>6847</v>
      </c>
      <c r="G6" s="18">
        <f>'Raw Financials'!G32</f>
        <v>6707</v>
      </c>
      <c r="H6" s="18">
        <f>'Raw Financials'!H32</f>
        <v>6929</v>
      </c>
      <c r="I6" s="18">
        <f>'Raw Financials'!I32</f>
        <v>6938</v>
      </c>
      <c r="J6" s="18">
        <f>'Raw Financials'!J32</f>
        <v>7447</v>
      </c>
      <c r="K6" s="18">
        <f>'Raw Financials'!K32</f>
        <v>7089</v>
      </c>
      <c r="L6" s="18">
        <f>'Raw Financials'!L32</f>
        <v>7372</v>
      </c>
      <c r="M6" s="18">
        <f>'Raw Financials'!M32</f>
        <v>7565</v>
      </c>
      <c r="N6" s="18">
        <f>'Raw Financials'!N32</f>
        <v>7888</v>
      </c>
      <c r="O6" s="18">
        <f>'Raw Financials'!O32</f>
        <v>8249</v>
      </c>
      <c r="P6" s="18">
        <f>'Raw Financials'!P32</f>
        <v>9074</v>
      </c>
      <c r="Q6" s="18">
        <f>'Raw Financials'!Q32</f>
        <v>9717</v>
      </c>
      <c r="R6" s="18">
        <f>'Raw Financials'!R32</f>
        <v>9722</v>
      </c>
      <c r="S6" s="18">
        <f>'Raw Financials'!S32</f>
        <v>9597</v>
      </c>
      <c r="T6" s="18">
        <f>'Raw Financials'!T32</f>
        <v>10385</v>
      </c>
      <c r="U6" s="18">
        <f>'Raw Financials'!U32</f>
        <v>10734</v>
      </c>
      <c r="V6" s="18">
        <f>'Raw Financials'!V32</f>
        <v>11093</v>
      </c>
      <c r="W6" s="18">
        <f>'Raw Financials'!W32</f>
        <v>10570</v>
      </c>
      <c r="X6" s="18">
        <f>'Raw Financials'!X32</f>
        <v>11537</v>
      </c>
      <c r="Y6" s="18">
        <f>'Raw Financials'!Y32</f>
        <v>11906</v>
      </c>
      <c r="Z6" s="18">
        <f>'Raw Financials'!Z32</f>
        <v>12615</v>
      </c>
      <c r="AA6" s="18">
        <f>'Raw Financials'!AA32</f>
        <v>14616</v>
      </c>
      <c r="AB6" s="18">
        <f>'Raw Financials'!AB32</f>
        <v>15694</v>
      </c>
      <c r="AC6" s="18">
        <f>'Raw Financials'!AC32</f>
        <v>16581</v>
      </c>
      <c r="AD6" s="18">
        <f>'Raw Financials'!AD32</f>
        <v>17429</v>
      </c>
      <c r="AE6" s="18">
        <f>'Raw Financials'!AE32</f>
        <v>18294</v>
      </c>
      <c r="AF6" s="18">
        <f>'Raw Financials'!AF32</f>
        <v>19594</v>
      </c>
      <c r="AG6" s="18">
        <f>'Raw Financials'!AG32</f>
        <v>20558</v>
      </c>
      <c r="AH6" s="18">
        <f>'Raw Financials'!AH32</f>
        <v>21700</v>
      </c>
      <c r="AI6" s="18">
        <f>'Raw Financials'!AI32</f>
        <v>22210</v>
      </c>
      <c r="AJ6" s="18">
        <f>'Raw Financials'!AJ32</f>
        <v>22762</v>
      </c>
      <c r="AK6" s="18">
        <f>'Raw Financials'!AK32</f>
        <v>23233</v>
      </c>
      <c r="AL6" s="18">
        <f>'Raw Financials'!AL32</f>
        <v>23585</v>
      </c>
      <c r="AM6" s="18">
        <f>'Raw Financials'!AM32</f>
        <v>24008</v>
      </c>
      <c r="AN6" s="18">
        <f>'Raw Financials'!AN32</f>
        <v>30623</v>
      </c>
      <c r="AO6" s="18">
        <f>'Raw Financials'!AO32</f>
        <v>33182</v>
      </c>
      <c r="AP6" s="18">
        <f>'Raw Financials'!AP32</f>
        <v>34222</v>
      </c>
      <c r="AQ6" s="18">
        <f>'Raw Financials'!AQ32</f>
        <v>36886</v>
      </c>
      <c r="AR6" s="18">
        <f>'Raw Financials'!AR32</f>
        <v>39857</v>
      </c>
      <c r="AS6" s="18">
        <f>'Raw Financials'!AS32</f>
        <v>41881</v>
      </c>
      <c r="AT6" s="18">
        <f>'Raw Financials'!AT32</f>
        <v>44504</v>
      </c>
      <c r="AU6" s="18">
        <f>'Raw Financials'!AU32</f>
        <v>55277</v>
      </c>
    </row>
    <row r="7" spans="1:47" ht="14.4">
      <c r="A7" s="1" t="s">
        <v>453</v>
      </c>
      <c r="B7" s="1" t="s">
        <v>48</v>
      </c>
      <c r="C7" s="1"/>
      <c r="D7" s="19">
        <f t="shared" ref="D7:AU7" si="0">IFERROR(D6/C6-1,"")</f>
        <v>5.7401341444392351E-2</v>
      </c>
      <c r="E7" s="19">
        <f t="shared" si="0"/>
        <v>1.1801150612185118E-3</v>
      </c>
      <c r="F7" s="19">
        <f t="shared" si="0"/>
        <v>8.8404302342715013E-3</v>
      </c>
      <c r="G7" s="19">
        <f t="shared" si="0"/>
        <v>-2.0446911055936878E-2</v>
      </c>
      <c r="H7" s="19">
        <f t="shared" si="0"/>
        <v>3.3099746533472585E-2</v>
      </c>
      <c r="I7" s="19">
        <f t="shared" si="0"/>
        <v>1.2988887285323436E-3</v>
      </c>
      <c r="J7" s="19">
        <f t="shared" si="0"/>
        <v>7.3364081867973496E-2</v>
      </c>
      <c r="K7" s="19">
        <f t="shared" si="0"/>
        <v>-4.8073049550154456E-2</v>
      </c>
      <c r="L7" s="19">
        <f t="shared" si="0"/>
        <v>3.9921004372972302E-2</v>
      </c>
      <c r="M7" s="19">
        <f t="shared" si="0"/>
        <v>2.6180141074335417E-2</v>
      </c>
      <c r="N7" s="19">
        <f t="shared" si="0"/>
        <v>4.2696629213483162E-2</v>
      </c>
      <c r="O7" s="19">
        <f t="shared" si="0"/>
        <v>4.5765720081135886E-2</v>
      </c>
      <c r="P7" s="19">
        <f t="shared" si="0"/>
        <v>0.10001212268153714</v>
      </c>
      <c r="Q7" s="19">
        <f t="shared" si="0"/>
        <v>7.0861802953493536E-2</v>
      </c>
      <c r="R7" s="19">
        <f t="shared" si="0"/>
        <v>5.1456210764633248E-4</v>
      </c>
      <c r="S7" s="19">
        <f t="shared" si="0"/>
        <v>-1.2857436741411266E-2</v>
      </c>
      <c r="T7" s="19">
        <f t="shared" si="0"/>
        <v>8.210899239345637E-2</v>
      </c>
      <c r="U7" s="19">
        <f t="shared" si="0"/>
        <v>3.3606162734713507E-2</v>
      </c>
      <c r="V7" s="19">
        <f t="shared" si="0"/>
        <v>3.3445127631824167E-2</v>
      </c>
      <c r="W7" s="19">
        <f t="shared" si="0"/>
        <v>-4.7146849364464116E-2</v>
      </c>
      <c r="X7" s="19">
        <f t="shared" si="0"/>
        <v>9.1485335856196892E-2</v>
      </c>
      <c r="Y7" s="19">
        <f t="shared" si="0"/>
        <v>3.1984051313166395E-2</v>
      </c>
      <c r="Z7" s="19">
        <f t="shared" si="0"/>
        <v>5.9549806820090811E-2</v>
      </c>
      <c r="AA7" s="19">
        <f t="shared" si="0"/>
        <v>0.15862068965517251</v>
      </c>
      <c r="AB7" s="19">
        <f t="shared" si="0"/>
        <v>7.3754789272030719E-2</v>
      </c>
      <c r="AC7" s="19">
        <f t="shared" si="0"/>
        <v>5.6518414680769791E-2</v>
      </c>
      <c r="AD7" s="19">
        <f t="shared" si="0"/>
        <v>5.1142874374283886E-2</v>
      </c>
      <c r="AE7" s="19">
        <f t="shared" si="0"/>
        <v>4.9629927132939455E-2</v>
      </c>
      <c r="AF7" s="19">
        <f t="shared" si="0"/>
        <v>7.1061550235049786E-2</v>
      </c>
      <c r="AG7" s="19">
        <f t="shared" si="0"/>
        <v>4.9198734306420411E-2</v>
      </c>
      <c r="AH7" s="19">
        <f t="shared" si="0"/>
        <v>5.5550150792878616E-2</v>
      </c>
      <c r="AI7" s="19">
        <f t="shared" si="0"/>
        <v>2.3502304147465347E-2</v>
      </c>
      <c r="AJ7" s="19">
        <f t="shared" si="0"/>
        <v>2.4853669518235089E-2</v>
      </c>
      <c r="AK7" s="19">
        <f t="shared" si="0"/>
        <v>2.0692382040242485E-2</v>
      </c>
      <c r="AL7" s="19">
        <f t="shared" si="0"/>
        <v>1.5150862996599734E-2</v>
      </c>
      <c r="AM7" s="19">
        <f t="shared" si="0"/>
        <v>1.7935128259487065E-2</v>
      </c>
      <c r="AN7" s="19">
        <f t="shared" si="0"/>
        <v>0.27553315561479508</v>
      </c>
      <c r="AO7" s="19">
        <f t="shared" si="0"/>
        <v>8.3564640956144132E-2</v>
      </c>
      <c r="AP7" s="19">
        <f t="shared" si="0"/>
        <v>3.1342294014827354E-2</v>
      </c>
      <c r="AQ7" s="19">
        <f t="shared" si="0"/>
        <v>7.7844661328969611E-2</v>
      </c>
      <c r="AR7" s="19">
        <f t="shared" si="0"/>
        <v>8.0545464403838807E-2</v>
      </c>
      <c r="AS7" s="19">
        <f t="shared" si="0"/>
        <v>5.0781544019871117E-2</v>
      </c>
      <c r="AT7" s="19">
        <f t="shared" si="0"/>
        <v>6.2629832143453967E-2</v>
      </c>
      <c r="AU7" s="19">
        <f t="shared" si="0"/>
        <v>0.24206812870753192</v>
      </c>
    </row>
    <row r="8" spans="1:47" ht="14.4">
      <c r="A8" s="1" t="s">
        <v>321</v>
      </c>
      <c r="B8" s="1" t="s">
        <v>46</v>
      </c>
      <c r="C8" s="18">
        <f>'Raw Financials'!C33</f>
        <v>4081</v>
      </c>
      <c r="D8" s="18">
        <f>'Raw Financials'!D33</f>
        <v>4256</v>
      </c>
      <c r="E8" s="18">
        <f>'Raw Financials'!E33</f>
        <v>4255</v>
      </c>
      <c r="F8" s="18">
        <f>'Raw Financials'!F33</f>
        <v>4304</v>
      </c>
      <c r="G8" s="18">
        <f>'Raw Financials'!G33</f>
        <v>4356</v>
      </c>
      <c r="H8" s="18">
        <f>'Raw Financials'!H33</f>
        <v>4481</v>
      </c>
      <c r="I8" s="18">
        <f>'Raw Financials'!I33</f>
        <v>4441</v>
      </c>
      <c r="J8" s="18">
        <f>'Raw Financials'!J33</f>
        <v>4625</v>
      </c>
      <c r="K8" s="18">
        <f>'Raw Financials'!K33</f>
        <v>4577</v>
      </c>
      <c r="L8" s="18">
        <f>'Raw Financials'!L33</f>
        <v>4790</v>
      </c>
      <c r="M8" s="18">
        <f>'Raw Financials'!M33</f>
        <v>4812</v>
      </c>
      <c r="N8" s="18">
        <f>'Raw Financials'!N33</f>
        <v>5000</v>
      </c>
      <c r="O8" s="18">
        <f>'Raw Financials'!O33</f>
        <v>5438</v>
      </c>
      <c r="P8" s="18">
        <f>'Raw Financials'!P33</f>
        <v>5897</v>
      </c>
      <c r="Q8" s="18">
        <f>'Raw Financials'!Q33</f>
        <v>6280</v>
      </c>
      <c r="R8" s="18">
        <f>'Raw Financials'!R33</f>
        <v>6294</v>
      </c>
      <c r="S8" s="18">
        <f>'Raw Financials'!S33</f>
        <v>6348</v>
      </c>
      <c r="T8" s="18">
        <f>'Raw Financials'!T33</f>
        <v>6796</v>
      </c>
      <c r="U8" s="18">
        <f>'Raw Financials'!U33</f>
        <v>7068</v>
      </c>
      <c r="V8" s="18">
        <f>'Raw Financials'!V33</f>
        <v>7289</v>
      </c>
      <c r="W8" s="18">
        <f>'Raw Financials'!W33</f>
        <v>7241</v>
      </c>
      <c r="X8" s="18">
        <f>'Raw Financials'!X33</f>
        <v>7776</v>
      </c>
      <c r="Y8" s="18">
        <f>'Raw Financials'!Y33</f>
        <v>8096</v>
      </c>
      <c r="Z8" s="18">
        <f>'Raw Financials'!Z33</f>
        <v>8580</v>
      </c>
      <c r="AA8" s="18">
        <f>'Raw Financials'!AA33</f>
        <v>10250</v>
      </c>
      <c r="AB8" s="18">
        <f>'Raw Financials'!AB33</f>
        <v>10656</v>
      </c>
      <c r="AC8" s="18">
        <f>'Raw Financials'!AC33</f>
        <v>11210</v>
      </c>
      <c r="AD8" s="18">
        <f>'Raw Financials'!AD33</f>
        <v>11620</v>
      </c>
      <c r="AE8" s="18">
        <f>'Raw Financials'!AE33</f>
        <v>12739</v>
      </c>
      <c r="AF8" s="18">
        <f>'Raw Financials'!AF33</f>
        <v>13317</v>
      </c>
      <c r="AG8" s="18">
        <f>'Raw Financials'!AG33</f>
        <v>13698</v>
      </c>
      <c r="AH8" s="18">
        <f>'Raw Financials'!AH33</f>
        <v>14306</v>
      </c>
      <c r="AI8" s="18">
        <f>'Raw Financials'!AI33</f>
        <v>15391.529999999999</v>
      </c>
      <c r="AJ8" s="18">
        <f>'Raw Financials'!AJ33</f>
        <v>15374</v>
      </c>
      <c r="AK8" s="18">
        <f>'Raw Financials'!AK33</f>
        <v>15542.877</v>
      </c>
      <c r="AL8" s="18">
        <f>'Raw Financials'!AL33</f>
        <v>15545</v>
      </c>
      <c r="AM8" s="18">
        <f>'Raw Financials'!AM33</f>
        <v>16097</v>
      </c>
      <c r="AN8" s="18">
        <f>'Raw Financials'!AN33</f>
        <v>20701.148000000001</v>
      </c>
      <c r="AO8" s="18">
        <f>'Raw Financials'!AO33</f>
        <v>22165.576000000001</v>
      </c>
      <c r="AP8" s="18">
        <f>'Raw Financials'!AP33</f>
        <v>22483</v>
      </c>
      <c r="AQ8" s="18">
        <f>'Raw Financials'!AQ33</f>
        <v>24326</v>
      </c>
      <c r="AR8" s="18">
        <f>'Raw Financials'!AR33</f>
        <v>26299</v>
      </c>
      <c r="AS8" s="18">
        <f>'Raw Financials'!AS33</f>
        <v>28112</v>
      </c>
      <c r="AT8" s="18">
        <f>'Raw Financials'!AT33</f>
        <v>29204</v>
      </c>
      <c r="AU8" s="18">
        <f>'Raw Financials'!AU33</f>
        <v>36343</v>
      </c>
    </row>
    <row r="9" spans="1:47" ht="14.4">
      <c r="A9" s="1" t="s">
        <v>322</v>
      </c>
      <c r="B9" s="1" t="s">
        <v>46</v>
      </c>
      <c r="C9" s="18">
        <f>'Raw Financials'!C34</f>
        <v>2330</v>
      </c>
      <c r="D9" s="18">
        <f>'Raw Financials'!D34</f>
        <v>2523</v>
      </c>
      <c r="E9" s="18">
        <f>'Raw Financials'!E34</f>
        <v>2532</v>
      </c>
      <c r="F9" s="18">
        <f>'Raw Financials'!F34</f>
        <v>2543</v>
      </c>
      <c r="G9" s="18">
        <f>'Raw Financials'!G34</f>
        <v>2351</v>
      </c>
      <c r="H9" s="18">
        <f>'Raw Financials'!H34</f>
        <v>2448</v>
      </c>
      <c r="I9" s="18">
        <f>'Raw Financials'!I34</f>
        <v>2497</v>
      </c>
      <c r="J9" s="18">
        <f>'Raw Financials'!J34</f>
        <v>2822</v>
      </c>
      <c r="K9" s="18">
        <f>'Raw Financials'!K34</f>
        <v>2512</v>
      </c>
      <c r="L9" s="18">
        <f>'Raw Financials'!L34</f>
        <v>2582</v>
      </c>
      <c r="M9" s="18">
        <f>'Raw Financials'!M34</f>
        <v>2753</v>
      </c>
      <c r="N9" s="18">
        <f>'Raw Financials'!N34</f>
        <v>2888</v>
      </c>
      <c r="O9" s="18">
        <f>'Raw Financials'!O34</f>
        <v>2811</v>
      </c>
      <c r="P9" s="18">
        <f>'Raw Financials'!P34</f>
        <v>3177</v>
      </c>
      <c r="Q9" s="18">
        <f>'Raw Financials'!Q34</f>
        <v>3437</v>
      </c>
      <c r="R9" s="18">
        <f>'Raw Financials'!R34</f>
        <v>3428</v>
      </c>
      <c r="S9" s="18">
        <f>'Raw Financials'!S34</f>
        <v>3249</v>
      </c>
      <c r="T9" s="18">
        <f>'Raw Financials'!T34</f>
        <v>3589</v>
      </c>
      <c r="U9" s="18">
        <f>'Raw Financials'!U34</f>
        <v>3666</v>
      </c>
      <c r="V9" s="18">
        <f>'Raw Financials'!V34</f>
        <v>3804</v>
      </c>
      <c r="W9" s="18">
        <f>'Raw Financials'!W34</f>
        <v>3329</v>
      </c>
      <c r="X9" s="18">
        <f>'Raw Financials'!X34</f>
        <v>3761</v>
      </c>
      <c r="Y9" s="18">
        <f>'Raw Financials'!Y34</f>
        <v>3810</v>
      </c>
      <c r="Z9" s="18">
        <f>'Raw Financials'!Z34</f>
        <v>4035</v>
      </c>
      <c r="AA9" s="18">
        <f>'Raw Financials'!AA34</f>
        <v>4366</v>
      </c>
      <c r="AB9" s="18">
        <f>'Raw Financials'!AB34</f>
        <v>5038</v>
      </c>
      <c r="AC9" s="18">
        <f>'Raw Financials'!AC34</f>
        <v>5371</v>
      </c>
      <c r="AD9" s="18">
        <f>'Raw Financials'!AD34</f>
        <v>5809</v>
      </c>
      <c r="AE9" s="18">
        <f>'Raw Financials'!AE34</f>
        <v>5555</v>
      </c>
      <c r="AF9" s="18">
        <f>'Raw Financials'!AF34</f>
        <v>6277</v>
      </c>
      <c r="AG9" s="18">
        <f>'Raw Financials'!AG34</f>
        <v>6860</v>
      </c>
      <c r="AH9" s="18">
        <f>'Raw Financials'!AH34</f>
        <v>7394</v>
      </c>
      <c r="AI9" s="18">
        <f>'Raw Financials'!AI34</f>
        <v>6818.47</v>
      </c>
      <c r="AJ9" s="18">
        <f>'Raw Financials'!AJ34</f>
        <v>7388</v>
      </c>
      <c r="AK9" s="18">
        <f>'Raw Financials'!AK34</f>
        <v>7690.1230000000005</v>
      </c>
      <c r="AL9" s="18">
        <f>'Raw Financials'!AL34</f>
        <v>8040</v>
      </c>
      <c r="AM9" s="18">
        <f>'Raw Financials'!AM34</f>
        <v>7911</v>
      </c>
      <c r="AN9" s="18">
        <f>'Raw Financials'!AN34</f>
        <v>9921.8520000000008</v>
      </c>
      <c r="AO9" s="18">
        <f>'Raw Financials'!AO34</f>
        <v>11016.424000000001</v>
      </c>
      <c r="AP9" s="18">
        <f>'Raw Financials'!AP34</f>
        <v>11739</v>
      </c>
      <c r="AQ9" s="18">
        <f>'Raw Financials'!AQ34</f>
        <v>12560</v>
      </c>
      <c r="AR9" s="18">
        <f>'Raw Financials'!AR34</f>
        <v>13558</v>
      </c>
      <c r="AS9" s="18">
        <f>'Raw Financials'!AS34</f>
        <v>13769</v>
      </c>
      <c r="AT9" s="18">
        <f>'Raw Financials'!AT34</f>
        <v>15300</v>
      </c>
      <c r="AU9" s="18">
        <f>'Raw Financials'!AU34</f>
        <v>18934</v>
      </c>
    </row>
    <row r="10" spans="1:47" ht="14.4">
      <c r="A10" s="1" t="s">
        <v>52</v>
      </c>
      <c r="B10" s="1" t="s">
        <v>48</v>
      </c>
      <c r="C10" s="19">
        <f>'Raw Financials'!C35</f>
        <v>0.36399999999999999</v>
      </c>
      <c r="D10" s="19">
        <f>'Raw Financials'!D35</f>
        <v>0.37200000000000005</v>
      </c>
      <c r="E10" s="19">
        <f>'Raw Financials'!E35</f>
        <v>0.373</v>
      </c>
      <c r="F10" s="19">
        <f>'Raw Financials'!F35</f>
        <v>0.371</v>
      </c>
      <c r="G10" s="19">
        <f>'Raw Financials'!G35</f>
        <v>0.35100000000000003</v>
      </c>
      <c r="H10" s="19">
        <f>'Raw Financials'!H35</f>
        <v>0.35299999999999998</v>
      </c>
      <c r="I10" s="19">
        <f>'Raw Financials'!I35</f>
        <v>0.36</v>
      </c>
      <c r="J10" s="19">
        <f>'Raw Financials'!J35</f>
        <v>0.379</v>
      </c>
      <c r="K10" s="19">
        <f>'Raw Financials'!K35</f>
        <v>0.35399999999999998</v>
      </c>
      <c r="L10" s="19">
        <f>'Raw Financials'!L35</f>
        <v>0.35</v>
      </c>
      <c r="M10" s="19">
        <f>'Raw Financials'!M35</f>
        <v>0.36399999999999999</v>
      </c>
      <c r="N10" s="19">
        <f>'Raw Financials'!N35</f>
        <v>0.36599999999999999</v>
      </c>
      <c r="O10" s="19">
        <f>'Raw Financials'!O35</f>
        <v>0.34100000000000003</v>
      </c>
      <c r="P10" s="19">
        <f>'Raw Financials'!P35</f>
        <v>0.35</v>
      </c>
      <c r="Q10" s="19">
        <f>'Raw Financials'!Q35</f>
        <v>0.35399999999999998</v>
      </c>
      <c r="R10" s="19">
        <f>'Raw Financials'!R35</f>
        <v>0.35299999999999998</v>
      </c>
      <c r="S10" s="19">
        <f>'Raw Financials'!S35</f>
        <v>0.33899999999999997</v>
      </c>
      <c r="T10" s="19">
        <f>'Raw Financials'!T35</f>
        <v>0.34600000000000003</v>
      </c>
      <c r="U10" s="19">
        <f>'Raw Financials'!U35</f>
        <v>0.34100000000000003</v>
      </c>
      <c r="V10" s="19">
        <f>'Raw Financials'!V35</f>
        <v>0.34299999999999997</v>
      </c>
      <c r="W10" s="19">
        <f>'Raw Financials'!W35</f>
        <v>0.315</v>
      </c>
      <c r="X10" s="19">
        <f>'Raw Financials'!X35</f>
        <v>0.32600000000000001</v>
      </c>
      <c r="Y10" s="19">
        <f>'Raw Financials'!Y35</f>
        <v>0.32</v>
      </c>
      <c r="Z10" s="19">
        <f>'Raw Financials'!Z35</f>
        <v>0.32</v>
      </c>
      <c r="AA10" s="19">
        <f>'Raw Financials'!AA35</f>
        <v>0.29899999999999999</v>
      </c>
      <c r="AB10" s="19">
        <f>'Raw Financials'!AB35</f>
        <v>0.32100000000000001</v>
      </c>
      <c r="AC10" s="19">
        <f>'Raw Financials'!AC35</f>
        <v>0.32400000000000001</v>
      </c>
      <c r="AD10" s="19">
        <f>'Raw Financials'!AD35</f>
        <v>0.33299999999999996</v>
      </c>
      <c r="AE10" s="19">
        <f>'Raw Financials'!AE35</f>
        <v>0.30399999999999999</v>
      </c>
      <c r="AF10" s="19">
        <f>'Raw Financials'!AF35</f>
        <v>0.32</v>
      </c>
      <c r="AG10" s="19">
        <f>'Raw Financials'!AG35</f>
        <v>0.33399999999999996</v>
      </c>
      <c r="AH10" s="19">
        <f>'Raw Financials'!AH35</f>
        <v>0.34100000000000003</v>
      </c>
      <c r="AI10" s="19">
        <f>'Raw Financials'!AI35</f>
        <v>0.307</v>
      </c>
      <c r="AJ10" s="19">
        <f>'Raw Financials'!AJ35</f>
        <v>0.32500000000000001</v>
      </c>
      <c r="AK10" s="19">
        <f>'Raw Financials'!AK35</f>
        <v>0.33100000000000002</v>
      </c>
      <c r="AL10" s="19">
        <f>'Raw Financials'!AL35</f>
        <v>0.34100000000000003</v>
      </c>
      <c r="AM10" s="19">
        <f>'Raw Financials'!AM35</f>
        <v>0.32951516161279576</v>
      </c>
      <c r="AN10" s="19">
        <f>'Raw Financials'!AN35</f>
        <v>0.32400000000000001</v>
      </c>
      <c r="AO10" s="19">
        <f>'Raw Financials'!AO35</f>
        <v>0.33200000000000002</v>
      </c>
      <c r="AP10" s="19">
        <f>'Raw Financials'!AP35</f>
        <v>0.34300000000000003</v>
      </c>
      <c r="AQ10" s="19">
        <f>'Raw Financials'!AQ35</f>
        <v>0.34100000000000003</v>
      </c>
      <c r="AR10" s="19">
        <f>'Raw Financials'!AR35</f>
        <v>0.34</v>
      </c>
      <c r="AS10" s="19">
        <f>'Raw Financials'!AS35</f>
        <v>0.32899999999999996</v>
      </c>
      <c r="AT10" s="19">
        <f>'Raw Financials'!AT35</f>
        <v>0.34399999999999997</v>
      </c>
      <c r="AU10" s="19">
        <f>'Raw Financials'!AU35</f>
        <v>0.34299999999999997</v>
      </c>
    </row>
    <row r="11" spans="1:47" ht="14.4">
      <c r="A11" s="1" t="s">
        <v>323</v>
      </c>
      <c r="B11" s="1" t="s">
        <v>46</v>
      </c>
      <c r="C11" s="18">
        <f>'Raw Financials'!C36</f>
        <v>1288</v>
      </c>
      <c r="D11" s="18">
        <f>'Raw Financials'!D36</f>
        <v>1329</v>
      </c>
      <c r="E11" s="18">
        <f>'Raw Financials'!E36</f>
        <v>1296</v>
      </c>
      <c r="F11" s="18">
        <f>'Raw Financials'!F36</f>
        <v>1282</v>
      </c>
      <c r="G11" s="18">
        <f>'Raw Financials'!G36</f>
        <v>1336</v>
      </c>
      <c r="H11" s="18">
        <f>'Raw Financials'!H36</f>
        <v>1303</v>
      </c>
      <c r="I11" s="18">
        <f>'Raw Financials'!I36</f>
        <v>1335</v>
      </c>
      <c r="J11" s="18">
        <f>'Raw Financials'!J36</f>
        <v>1298</v>
      </c>
      <c r="K11" s="18">
        <f>'Raw Financials'!K36</f>
        <v>1404</v>
      </c>
      <c r="L11" s="18">
        <f>'Raw Financials'!L36</f>
        <v>1391</v>
      </c>
      <c r="M11" s="18">
        <f>'Raw Financials'!M36</f>
        <v>1458</v>
      </c>
      <c r="N11" s="18">
        <f>'Raw Financials'!N36</f>
        <v>1470</v>
      </c>
      <c r="O11" s="18">
        <f>'Raw Financials'!O36</f>
        <v>1505</v>
      </c>
      <c r="P11" s="18">
        <f>'Raw Financials'!P36</f>
        <v>1543</v>
      </c>
      <c r="Q11" s="18">
        <f>'Raw Financials'!Q36</f>
        <v>1632</v>
      </c>
      <c r="R11" s="18">
        <f>'Raw Financials'!R36</f>
        <v>1722</v>
      </c>
      <c r="S11" s="18">
        <f>'Raw Financials'!S36</f>
        <v>1843</v>
      </c>
      <c r="T11" s="18">
        <f>'Raw Financials'!T36</f>
        <v>1691</v>
      </c>
      <c r="U11" s="18">
        <f>'Raw Financials'!U36</f>
        <v>1725</v>
      </c>
      <c r="V11" s="18">
        <f>'Raw Financials'!V36</f>
        <v>1816</v>
      </c>
      <c r="W11" s="18">
        <f>'Raw Financials'!W36</f>
        <v>1523</v>
      </c>
      <c r="X11" s="18">
        <f>'Raw Financials'!X36</f>
        <v>1589</v>
      </c>
      <c r="Y11" s="18">
        <f>'Raw Financials'!Y36</f>
        <v>1665</v>
      </c>
      <c r="Z11" s="18">
        <f>'Raw Financials'!Z36</f>
        <v>1767</v>
      </c>
      <c r="AA11" s="18">
        <f>'Raw Financials'!AA36</f>
        <v>2007</v>
      </c>
      <c r="AB11" s="18">
        <f>'Raw Financials'!AB36</f>
        <v>2115</v>
      </c>
      <c r="AC11" s="18">
        <f>'Raw Financials'!AC36</f>
        <v>2145</v>
      </c>
      <c r="AD11" s="18">
        <f>'Raw Financials'!AD36</f>
        <v>2260</v>
      </c>
      <c r="AE11" s="18">
        <f>'Raw Financials'!AE36</f>
        <v>2543</v>
      </c>
      <c r="AF11" s="18">
        <f>'Raw Financials'!AF36</f>
        <v>2682</v>
      </c>
      <c r="AG11" s="18">
        <f>'Raw Financials'!AG36</f>
        <v>3063</v>
      </c>
      <c r="AH11" s="18">
        <f>'Raw Financials'!AH36</f>
        <v>3150</v>
      </c>
      <c r="AI11" s="18">
        <f>'Raw Financials'!AI36</f>
        <v>3264</v>
      </c>
      <c r="AJ11" s="18">
        <f>'Raw Financials'!AJ36</f>
        <v>3392</v>
      </c>
      <c r="AK11" s="18">
        <f>'Raw Financials'!AK36</f>
        <v>3508</v>
      </c>
      <c r="AL11" s="18">
        <f>'Raw Financials'!AL36</f>
        <v>3561</v>
      </c>
      <c r="AM11" s="18">
        <f>'Raw Financials'!AM36</f>
        <v>3625</v>
      </c>
      <c r="AN11" s="18">
        <f>'Raw Financials'!AN36</f>
        <v>4858.8520000000008</v>
      </c>
      <c r="AO11" s="18">
        <f>'Raw Financials'!AO36</f>
        <v>5126.4240000000009</v>
      </c>
      <c r="AP11" s="18">
        <f>'Raw Financials'!AP36</f>
        <v>5868</v>
      </c>
      <c r="AQ11" s="18">
        <f>'Raw Financials'!AQ36</f>
        <v>6118</v>
      </c>
      <c r="AR11" s="18">
        <f>'Raw Financials'!AR36</f>
        <v>6276</v>
      </c>
      <c r="AS11" s="18">
        <f>'Raw Financials'!AS36</f>
        <v>6468</v>
      </c>
      <c r="AT11" s="18">
        <f>'Raw Financials'!AT36</f>
        <v>6132</v>
      </c>
      <c r="AU11" s="18">
        <f>'Raw Financials'!AU36</f>
        <v>7701</v>
      </c>
    </row>
    <row r="12" spans="1:47" ht="14.4">
      <c r="A12" s="1" t="s">
        <v>324</v>
      </c>
      <c r="B12" s="1" t="s">
        <v>46</v>
      </c>
      <c r="C12" s="18">
        <f>'Raw Financials'!C37</f>
        <v>1042</v>
      </c>
      <c r="D12" s="18">
        <f>'Raw Financials'!D37</f>
        <v>1194</v>
      </c>
      <c r="E12" s="18">
        <f>'Raw Financials'!E37</f>
        <v>1236</v>
      </c>
      <c r="F12" s="18">
        <f>'Raw Financials'!F37</f>
        <v>1261</v>
      </c>
      <c r="G12" s="18">
        <f>'Raw Financials'!G37</f>
        <v>1015</v>
      </c>
      <c r="H12" s="18">
        <f>'Raw Financials'!H37</f>
        <v>1145</v>
      </c>
      <c r="I12" s="18">
        <f>'Raw Financials'!I37</f>
        <v>1162</v>
      </c>
      <c r="J12" s="18">
        <f>'Raw Financials'!J37</f>
        <v>1523</v>
      </c>
      <c r="K12" s="18">
        <f>'Raw Financials'!K37</f>
        <v>1108</v>
      </c>
      <c r="L12" s="18">
        <f>'Raw Financials'!L37</f>
        <v>1191</v>
      </c>
      <c r="M12" s="18">
        <f>'Raw Financials'!M37</f>
        <v>1295</v>
      </c>
      <c r="N12" s="18">
        <f>'Raw Financials'!N37</f>
        <v>1417</v>
      </c>
      <c r="O12" s="18">
        <f>'Raw Financials'!O37</f>
        <v>1306</v>
      </c>
      <c r="P12" s="18">
        <f>'Raw Financials'!P37</f>
        <v>1634</v>
      </c>
      <c r="Q12" s="18">
        <f>'Raw Financials'!Q37</f>
        <v>1805</v>
      </c>
      <c r="R12" s="18">
        <f>'Raw Financials'!R37</f>
        <v>1706</v>
      </c>
      <c r="S12" s="18">
        <f>'Raw Financials'!S37</f>
        <v>1406</v>
      </c>
      <c r="T12" s="18">
        <f>'Raw Financials'!T37</f>
        <v>1898</v>
      </c>
      <c r="U12" s="18">
        <f>'Raw Financials'!U37</f>
        <v>1941</v>
      </c>
      <c r="V12" s="18">
        <f>'Raw Financials'!V37</f>
        <v>1988</v>
      </c>
      <c r="W12" s="18">
        <f>'Raw Financials'!W37</f>
        <v>1806</v>
      </c>
      <c r="X12" s="18">
        <f>'Raw Financials'!X37</f>
        <v>2172</v>
      </c>
      <c r="Y12" s="18">
        <f>'Raw Financials'!Y37</f>
        <v>2145</v>
      </c>
      <c r="Z12" s="18">
        <f>'Raw Financials'!Z37</f>
        <v>2268</v>
      </c>
      <c r="AA12" s="18">
        <f>'Raw Financials'!AA37</f>
        <v>2359</v>
      </c>
      <c r="AB12" s="18">
        <f>'Raw Financials'!AB37</f>
        <v>2923</v>
      </c>
      <c r="AC12" s="18">
        <f>'Raw Financials'!AC37</f>
        <v>3226</v>
      </c>
      <c r="AD12" s="18">
        <f>'Raw Financials'!AD37</f>
        <v>3549</v>
      </c>
      <c r="AE12" s="18">
        <f>'Raw Financials'!AE37</f>
        <v>3012</v>
      </c>
      <c r="AF12" s="18">
        <f>'Raw Financials'!AF37</f>
        <v>3596</v>
      </c>
      <c r="AG12" s="18">
        <f>'Raw Financials'!AG37</f>
        <v>3797</v>
      </c>
      <c r="AH12" s="18">
        <f>'Raw Financials'!AH37</f>
        <v>4244</v>
      </c>
      <c r="AI12" s="18">
        <f>'Raw Financials'!AI37</f>
        <v>3545</v>
      </c>
      <c r="AJ12" s="18">
        <f>'Raw Financials'!AJ37</f>
        <v>3997</v>
      </c>
      <c r="AK12" s="18">
        <f>'Raw Financials'!AK37</f>
        <v>4170</v>
      </c>
      <c r="AL12" s="18">
        <f>'Raw Financials'!AL37</f>
        <v>4473</v>
      </c>
      <c r="AM12" s="18">
        <f>'Raw Financials'!AM37</f>
        <v>4286</v>
      </c>
      <c r="AN12" s="18">
        <f>'Raw Financials'!AN37</f>
        <v>5063</v>
      </c>
      <c r="AO12" s="18">
        <f>'Raw Financials'!AO37</f>
        <v>5890</v>
      </c>
      <c r="AP12" s="18">
        <f>'Raw Financials'!AP37</f>
        <v>5871</v>
      </c>
      <c r="AQ12" s="18">
        <f>'Raw Financials'!AQ37</f>
        <v>6442</v>
      </c>
      <c r="AR12" s="18">
        <f>'Raw Financials'!AR37</f>
        <v>7282</v>
      </c>
      <c r="AS12" s="18">
        <f>'Raw Financials'!AS37</f>
        <v>7301</v>
      </c>
      <c r="AT12" s="18">
        <f>'Raw Financials'!AT37</f>
        <v>9168</v>
      </c>
      <c r="AU12" s="18">
        <f>'Raw Financials'!AU37</f>
        <v>11233</v>
      </c>
    </row>
    <row r="13" spans="1:47" ht="14.4">
      <c r="A13" s="1" t="s">
        <v>53</v>
      </c>
      <c r="B13" s="1" t="s">
        <v>48</v>
      </c>
      <c r="C13" s="19">
        <f t="shared" ref="C13:AU13" si="1">IFERROR(C12/C6,"")</f>
        <v>0.16253314615504602</v>
      </c>
      <c r="D13" s="19">
        <f t="shared" si="1"/>
        <v>0.17613217288685648</v>
      </c>
      <c r="E13" s="19">
        <f t="shared" si="1"/>
        <v>0.18211286282599087</v>
      </c>
      <c r="F13" s="19">
        <f t="shared" si="1"/>
        <v>0.18416824886811742</v>
      </c>
      <c r="G13" s="19">
        <f t="shared" si="1"/>
        <v>0.15133442671835395</v>
      </c>
      <c r="H13" s="19">
        <f t="shared" si="1"/>
        <v>0.16524751046327033</v>
      </c>
      <c r="I13" s="19">
        <f t="shared" si="1"/>
        <v>0.16748342461804555</v>
      </c>
      <c r="J13" s="19">
        <f t="shared" si="1"/>
        <v>0.20451188398012624</v>
      </c>
      <c r="K13" s="19">
        <f t="shared" si="1"/>
        <v>0.15629849061926929</v>
      </c>
      <c r="L13" s="19">
        <f t="shared" si="1"/>
        <v>0.16155724362452523</v>
      </c>
      <c r="M13" s="19">
        <f t="shared" si="1"/>
        <v>0.17118307997356247</v>
      </c>
      <c r="N13" s="19">
        <f t="shared" si="1"/>
        <v>0.17963995943204869</v>
      </c>
      <c r="O13" s="19">
        <f t="shared" si="1"/>
        <v>0.1583222208752576</v>
      </c>
      <c r="P13" s="19">
        <f t="shared" si="1"/>
        <v>0.1800749393872603</v>
      </c>
      <c r="Q13" s="19">
        <f t="shared" si="1"/>
        <v>0.18575692086034784</v>
      </c>
      <c r="R13" s="19">
        <f t="shared" si="1"/>
        <v>0.1754782966467805</v>
      </c>
      <c r="S13" s="19">
        <f t="shared" si="1"/>
        <v>0.14650411586954257</v>
      </c>
      <c r="T13" s="19">
        <f t="shared" si="1"/>
        <v>0.18276360134809821</v>
      </c>
      <c r="U13" s="19">
        <f t="shared" si="1"/>
        <v>0.18082727780883176</v>
      </c>
      <c r="V13" s="19">
        <f t="shared" si="1"/>
        <v>0.17921211574867033</v>
      </c>
      <c r="W13" s="19">
        <f t="shared" si="1"/>
        <v>0.17086092715231788</v>
      </c>
      <c r="X13" s="19">
        <f t="shared" si="1"/>
        <v>0.18826384675392216</v>
      </c>
      <c r="Y13" s="19">
        <f t="shared" si="1"/>
        <v>0.18016126322862422</v>
      </c>
      <c r="Z13" s="19">
        <f t="shared" si="1"/>
        <v>0.17978596908442332</v>
      </c>
      <c r="AA13" s="19">
        <f t="shared" si="1"/>
        <v>0.16139846743295019</v>
      </c>
      <c r="AB13" s="19">
        <f t="shared" si="1"/>
        <v>0.18624952211036064</v>
      </c>
      <c r="AC13" s="19">
        <f t="shared" si="1"/>
        <v>0.19456003859839574</v>
      </c>
      <c r="AD13" s="19">
        <f t="shared" si="1"/>
        <v>0.20362614034081128</v>
      </c>
      <c r="AE13" s="19">
        <f t="shared" si="1"/>
        <v>0.16464414562151525</v>
      </c>
      <c r="AF13" s="19">
        <f t="shared" si="1"/>
        <v>0.18352556905175055</v>
      </c>
      <c r="AG13" s="19">
        <f t="shared" si="1"/>
        <v>0.18469695495670785</v>
      </c>
      <c r="AH13" s="19">
        <f t="shared" si="1"/>
        <v>0.19557603686635944</v>
      </c>
      <c r="AI13" s="19">
        <f t="shared" si="1"/>
        <v>0.15961278703286808</v>
      </c>
      <c r="AJ13" s="19">
        <f t="shared" si="1"/>
        <v>0.17559968368333187</v>
      </c>
      <c r="AK13" s="19">
        <f t="shared" si="1"/>
        <v>0.17948607584039944</v>
      </c>
      <c r="AL13" s="19">
        <f t="shared" si="1"/>
        <v>0.18965444138223447</v>
      </c>
      <c r="AM13" s="19">
        <f t="shared" si="1"/>
        <v>0.17852382539153616</v>
      </c>
      <c r="AN13" s="19">
        <f t="shared" si="1"/>
        <v>0.16533324625281651</v>
      </c>
      <c r="AO13" s="19">
        <f t="shared" si="1"/>
        <v>0.17750587668012777</v>
      </c>
      <c r="AP13" s="19">
        <f t="shared" si="1"/>
        <v>0.17155630880720005</v>
      </c>
      <c r="AQ13" s="19">
        <f t="shared" si="1"/>
        <v>0.17464620723309657</v>
      </c>
      <c r="AR13" s="19">
        <f t="shared" si="1"/>
        <v>0.18270316381062299</v>
      </c>
      <c r="AS13" s="19">
        <f t="shared" si="1"/>
        <v>0.1743272605716196</v>
      </c>
      <c r="AT13" s="19">
        <f t="shared" si="1"/>
        <v>0.20600395470070107</v>
      </c>
      <c r="AU13" s="19">
        <f t="shared" si="1"/>
        <v>0.20321290952837529</v>
      </c>
    </row>
    <row r="14" spans="1:47" ht="14.4">
      <c r="A14" s="1" t="s">
        <v>325</v>
      </c>
      <c r="B14" s="1" t="s">
        <v>46</v>
      </c>
      <c r="C14" s="18">
        <f>'Raw Financials'!C38</f>
        <v>0</v>
      </c>
      <c r="D14" s="18">
        <f>'Raw Financials'!D38</f>
        <v>0</v>
      </c>
      <c r="E14" s="18">
        <f>'Raw Financials'!E38</f>
        <v>0</v>
      </c>
      <c r="F14" s="18">
        <f>'Raw Financials'!F38</f>
        <v>0</v>
      </c>
      <c r="G14" s="18">
        <f>'Raw Financials'!G38</f>
        <v>0</v>
      </c>
      <c r="H14" s="18">
        <f>'Raw Financials'!H38</f>
        <v>0</v>
      </c>
      <c r="I14" s="18">
        <f>'Raw Financials'!I38</f>
        <v>0</v>
      </c>
      <c r="J14" s="18">
        <f>'Raw Financials'!J38</f>
        <v>0</v>
      </c>
      <c r="K14" s="18">
        <f>'Raw Financials'!K38</f>
        <v>0</v>
      </c>
      <c r="L14" s="18">
        <f>'Raw Financials'!L38</f>
        <v>0</v>
      </c>
      <c r="M14" s="18">
        <f>'Raw Financials'!M38</f>
        <v>0</v>
      </c>
      <c r="N14" s="18">
        <f>'Raw Financials'!N38</f>
        <v>0</v>
      </c>
      <c r="O14" s="18">
        <f>'Raw Financials'!O38</f>
        <v>0</v>
      </c>
      <c r="P14" s="18">
        <f>'Raw Financials'!P38</f>
        <v>0</v>
      </c>
      <c r="Q14" s="18">
        <f>'Raw Financials'!Q38</f>
        <v>0</v>
      </c>
      <c r="R14" s="18">
        <f>'Raw Financials'!R38</f>
        <v>0</v>
      </c>
      <c r="S14" s="18">
        <f>'Raw Financials'!S38</f>
        <v>0</v>
      </c>
      <c r="T14" s="18">
        <f>'Raw Financials'!T38</f>
        <v>0</v>
      </c>
      <c r="U14" s="18">
        <f>'Raw Financials'!U38</f>
        <v>0</v>
      </c>
      <c r="V14" s="18">
        <f>'Raw Financials'!V38</f>
        <v>17</v>
      </c>
      <c r="W14" s="18">
        <f>'Raw Financials'!W38</f>
        <v>120</v>
      </c>
      <c r="X14" s="18">
        <f>'Raw Financials'!X38</f>
        <v>124</v>
      </c>
      <c r="Y14" s="18">
        <f>'Raw Financials'!Y38</f>
        <v>136</v>
      </c>
      <c r="Z14" s="18">
        <f>'Raw Financials'!Z38</f>
        <v>100</v>
      </c>
      <c r="AA14" s="18">
        <f>'Raw Financials'!AA38</f>
        <v>159</v>
      </c>
      <c r="AB14" s="18">
        <f>'Raw Financials'!AB38</f>
        <v>135</v>
      </c>
      <c r="AC14" s="18">
        <f>'Raw Financials'!AC38</f>
        <v>158</v>
      </c>
      <c r="AD14" s="18">
        <f>'Raw Financials'!AD38</f>
        <v>210</v>
      </c>
      <c r="AE14" s="18">
        <f>'Raw Financials'!AE38</f>
        <v>90</v>
      </c>
      <c r="AF14" s="18">
        <f>'Raw Financials'!AF38</f>
        <v>147</v>
      </c>
      <c r="AG14" s="18">
        <f>'Raw Financials'!AG38</f>
        <v>182</v>
      </c>
      <c r="AH14" s="18">
        <f>'Raw Financials'!AH38</f>
        <v>168</v>
      </c>
      <c r="AI14" s="18">
        <f>'Raw Financials'!AI38</f>
        <v>216</v>
      </c>
      <c r="AJ14" s="18">
        <f>'Raw Financials'!AJ38</f>
        <v>519</v>
      </c>
      <c r="AK14" s="18">
        <f>'Raw Financials'!AK38</f>
        <v>0</v>
      </c>
      <c r="AL14" s="18">
        <f>'Raw Financials'!AL38</f>
        <v>222</v>
      </c>
      <c r="AM14" s="18">
        <f>'Raw Financials'!AM38</f>
        <v>199</v>
      </c>
      <c r="AN14" s="18">
        <f>'Raw Financials'!AN38</f>
        <v>222</v>
      </c>
      <c r="AO14" s="18">
        <f>'Raw Financials'!AO38</f>
        <v>700</v>
      </c>
      <c r="AP14" s="18">
        <f>'Raw Financials'!AP38</f>
        <v>616</v>
      </c>
      <c r="AQ14" s="18">
        <f>'Raw Financials'!AQ38</f>
        <v>593</v>
      </c>
      <c r="AR14" s="18">
        <f>'Raw Financials'!AR38</f>
        <v>561</v>
      </c>
      <c r="AS14" s="18">
        <f>'Raw Financials'!AS38</f>
        <v>444</v>
      </c>
      <c r="AT14" s="18">
        <f>'Raw Financials'!AT38</f>
        <v>381</v>
      </c>
      <c r="AU14" s="18">
        <f>'Raw Financials'!AU38</f>
        <v>457</v>
      </c>
    </row>
    <row r="15" spans="1:47" ht="14.4">
      <c r="A15" s="1" t="s">
        <v>54</v>
      </c>
      <c r="B15" s="1" t="s">
        <v>46</v>
      </c>
      <c r="C15" s="18">
        <f>'Raw Financials'!C39</f>
        <v>1042</v>
      </c>
      <c r="D15" s="18">
        <f>'Raw Financials'!D39</f>
        <v>1194</v>
      </c>
      <c r="E15" s="18">
        <f>'Raw Financials'!E39</f>
        <v>1236</v>
      </c>
      <c r="F15" s="18">
        <f>'Raw Financials'!F39</f>
        <v>1261</v>
      </c>
      <c r="G15" s="18">
        <f>'Raw Financials'!G39</f>
        <v>1015</v>
      </c>
      <c r="H15" s="18">
        <f>'Raw Financials'!H39</f>
        <v>1145</v>
      </c>
      <c r="I15" s="18">
        <f>'Raw Financials'!I39</f>
        <v>1162</v>
      </c>
      <c r="J15" s="18">
        <f>'Raw Financials'!J39</f>
        <v>1523</v>
      </c>
      <c r="K15" s="18">
        <f>'Raw Financials'!K39</f>
        <v>1108</v>
      </c>
      <c r="L15" s="18">
        <f>'Raw Financials'!L39</f>
        <v>1191</v>
      </c>
      <c r="M15" s="18">
        <f>'Raw Financials'!M39</f>
        <v>1295</v>
      </c>
      <c r="N15" s="18">
        <f>'Raw Financials'!N39</f>
        <v>1417</v>
      </c>
      <c r="O15" s="18">
        <f>'Raw Financials'!O39</f>
        <v>1306</v>
      </c>
      <c r="P15" s="18">
        <f>'Raw Financials'!P39</f>
        <v>1634</v>
      </c>
      <c r="Q15" s="18">
        <f>'Raw Financials'!Q39</f>
        <v>1805</v>
      </c>
      <c r="R15" s="18">
        <f>'Raw Financials'!R39</f>
        <v>1706</v>
      </c>
      <c r="S15" s="18">
        <f>'Raw Financials'!S39</f>
        <v>1406</v>
      </c>
      <c r="T15" s="18">
        <f>'Raw Financials'!T39</f>
        <v>1898</v>
      </c>
      <c r="U15" s="18">
        <f>'Raw Financials'!U39</f>
        <v>1940</v>
      </c>
      <c r="V15" s="18">
        <f>'Raw Financials'!V39</f>
        <v>1988</v>
      </c>
      <c r="W15" s="18">
        <f>'Raw Financials'!W39</f>
        <v>1806</v>
      </c>
      <c r="X15" s="18">
        <f>'Raw Financials'!X39</f>
        <v>2172</v>
      </c>
      <c r="Y15" s="18">
        <f>'Raw Financials'!Y39</f>
        <v>2145</v>
      </c>
      <c r="Z15" s="18">
        <f>'Raw Financials'!Z39</f>
        <v>2268</v>
      </c>
      <c r="AA15" s="18">
        <f>'Raw Financials'!AA39</f>
        <v>2359</v>
      </c>
      <c r="AB15" s="18">
        <f>'Raw Financials'!AB39</f>
        <v>2923</v>
      </c>
      <c r="AC15" s="18">
        <f>'Raw Financials'!AC39</f>
        <v>3020</v>
      </c>
      <c r="AD15" s="18">
        <f>'Raw Financials'!AD39</f>
        <v>3293</v>
      </c>
      <c r="AE15" s="18">
        <f>'Raw Financials'!AE39</f>
        <v>2918</v>
      </c>
      <c r="AF15" s="18">
        <f>'Raw Financials'!AF39</f>
        <v>3444</v>
      </c>
      <c r="AG15" s="18">
        <f>'Raw Financials'!AG39</f>
        <v>3615</v>
      </c>
      <c r="AH15" s="18">
        <f>'Raw Financials'!AH39</f>
        <v>4076</v>
      </c>
      <c r="AI15" s="18">
        <f>'Raw Financials'!AI39</f>
        <v>3316</v>
      </c>
      <c r="AJ15" s="18">
        <f>'Raw Financials'!AJ39</f>
        <v>3474</v>
      </c>
      <c r="AK15" s="18">
        <f>'Raw Financials'!AK39</f>
        <v>4012</v>
      </c>
      <c r="AL15" s="18">
        <f>'Raw Financials'!AL39</f>
        <v>4251</v>
      </c>
      <c r="AM15" s="18">
        <f>'Raw Financials'!AM39</f>
        <v>4087</v>
      </c>
      <c r="AN15" s="18">
        <f>'Raw Financials'!AN39</f>
        <v>4841</v>
      </c>
      <c r="AO15" s="18">
        <f>'Raw Financials'!AO39</f>
        <v>5190</v>
      </c>
      <c r="AP15" s="18">
        <f>'Raw Financials'!AP39</f>
        <v>5871</v>
      </c>
      <c r="AQ15" s="18">
        <f>'Raw Financials'!AQ39</f>
        <v>6442</v>
      </c>
      <c r="AR15" s="18">
        <f>'Raw Financials'!AR39</f>
        <v>7282</v>
      </c>
      <c r="AS15" s="18">
        <f>'Raw Financials'!AS39</f>
        <v>7302</v>
      </c>
      <c r="AT15" s="18">
        <f>'Raw Financials'!AT39</f>
        <v>9168</v>
      </c>
      <c r="AU15" s="18">
        <f>'Raw Financials'!AU39</f>
        <v>11233</v>
      </c>
    </row>
    <row r="16" spans="1:47" ht="14.4">
      <c r="A16" s="1" t="s">
        <v>454</v>
      </c>
      <c r="B16" s="1" t="s">
        <v>48</v>
      </c>
      <c r="C16" s="19">
        <f t="shared" ref="C16:AU16" si="2">IFERROR(C15/C6,"")</f>
        <v>0.16253314615504602</v>
      </c>
      <c r="D16" s="19">
        <f t="shared" si="2"/>
        <v>0.17613217288685648</v>
      </c>
      <c r="E16" s="19">
        <f t="shared" si="2"/>
        <v>0.18211286282599087</v>
      </c>
      <c r="F16" s="19">
        <f t="shared" si="2"/>
        <v>0.18416824886811742</v>
      </c>
      <c r="G16" s="19">
        <f t="shared" si="2"/>
        <v>0.15133442671835395</v>
      </c>
      <c r="H16" s="19">
        <f t="shared" si="2"/>
        <v>0.16524751046327033</v>
      </c>
      <c r="I16" s="19">
        <f t="shared" si="2"/>
        <v>0.16748342461804555</v>
      </c>
      <c r="J16" s="19">
        <f t="shared" si="2"/>
        <v>0.20451188398012624</v>
      </c>
      <c r="K16" s="19">
        <f t="shared" si="2"/>
        <v>0.15629849061926929</v>
      </c>
      <c r="L16" s="19">
        <f t="shared" si="2"/>
        <v>0.16155724362452523</v>
      </c>
      <c r="M16" s="19">
        <f t="shared" si="2"/>
        <v>0.17118307997356247</v>
      </c>
      <c r="N16" s="19">
        <f t="shared" si="2"/>
        <v>0.17963995943204869</v>
      </c>
      <c r="O16" s="19">
        <f t="shared" si="2"/>
        <v>0.1583222208752576</v>
      </c>
      <c r="P16" s="19">
        <f t="shared" si="2"/>
        <v>0.1800749393872603</v>
      </c>
      <c r="Q16" s="19">
        <f t="shared" si="2"/>
        <v>0.18575692086034784</v>
      </c>
      <c r="R16" s="19">
        <f t="shared" si="2"/>
        <v>0.1754782966467805</v>
      </c>
      <c r="S16" s="19">
        <f t="shared" si="2"/>
        <v>0.14650411586954257</v>
      </c>
      <c r="T16" s="19">
        <f t="shared" si="2"/>
        <v>0.18276360134809821</v>
      </c>
      <c r="U16" s="19">
        <f t="shared" si="2"/>
        <v>0.18073411589342278</v>
      </c>
      <c r="V16" s="19">
        <f t="shared" si="2"/>
        <v>0.17921211574867033</v>
      </c>
      <c r="W16" s="19">
        <f t="shared" si="2"/>
        <v>0.17086092715231788</v>
      </c>
      <c r="X16" s="19">
        <f t="shared" si="2"/>
        <v>0.18826384675392216</v>
      </c>
      <c r="Y16" s="19">
        <f t="shared" si="2"/>
        <v>0.18016126322862422</v>
      </c>
      <c r="Z16" s="19">
        <f t="shared" si="2"/>
        <v>0.17978596908442332</v>
      </c>
      <c r="AA16" s="19">
        <f t="shared" si="2"/>
        <v>0.16139846743295019</v>
      </c>
      <c r="AB16" s="19">
        <f t="shared" si="2"/>
        <v>0.18624952211036064</v>
      </c>
      <c r="AC16" s="19">
        <f t="shared" si="2"/>
        <v>0.18213617996502021</v>
      </c>
      <c r="AD16" s="19">
        <f t="shared" si="2"/>
        <v>0.1889379769349934</v>
      </c>
      <c r="AE16" s="19">
        <f t="shared" si="2"/>
        <v>0.15950584891221165</v>
      </c>
      <c r="AF16" s="19">
        <f t="shared" si="2"/>
        <v>0.17576809227314483</v>
      </c>
      <c r="AG16" s="19">
        <f t="shared" si="2"/>
        <v>0.17584395369199338</v>
      </c>
      <c r="AH16" s="19">
        <f t="shared" si="2"/>
        <v>0.18783410138248849</v>
      </c>
      <c r="AI16" s="19">
        <f t="shared" si="2"/>
        <v>0.14930211616389014</v>
      </c>
      <c r="AJ16" s="19">
        <f t="shared" si="2"/>
        <v>0.15262279237325366</v>
      </c>
      <c r="AK16" s="19">
        <f t="shared" si="2"/>
        <v>0.17268540438169844</v>
      </c>
      <c r="AL16" s="19">
        <f t="shared" si="2"/>
        <v>0.18024167903328386</v>
      </c>
      <c r="AM16" s="19">
        <f t="shared" si="2"/>
        <v>0.17023492169276908</v>
      </c>
      <c r="AN16" s="19">
        <f t="shared" si="2"/>
        <v>0.15808379322731281</v>
      </c>
      <c r="AO16" s="19">
        <f t="shared" si="2"/>
        <v>0.15641010186245555</v>
      </c>
      <c r="AP16" s="19">
        <f t="shared" si="2"/>
        <v>0.17155630880720005</v>
      </c>
      <c r="AQ16" s="19">
        <f t="shared" si="2"/>
        <v>0.17464620723309657</v>
      </c>
      <c r="AR16" s="19">
        <f t="shared" si="2"/>
        <v>0.18270316381062299</v>
      </c>
      <c r="AS16" s="19">
        <f t="shared" si="2"/>
        <v>0.17435113774742722</v>
      </c>
      <c r="AT16" s="19">
        <f t="shared" si="2"/>
        <v>0.20600395470070107</v>
      </c>
      <c r="AU16" s="19">
        <f t="shared" si="2"/>
        <v>0.20321290952837529</v>
      </c>
    </row>
    <row r="17" spans="1:47" ht="14.4">
      <c r="A17" s="1" t="s">
        <v>264</v>
      </c>
      <c r="B17" s="1" t="s">
        <v>46</v>
      </c>
      <c r="C17" s="18">
        <f>'Raw Financials'!C40</f>
        <v>276</v>
      </c>
      <c r="D17" s="18">
        <f>'Raw Financials'!D40</f>
        <v>265</v>
      </c>
      <c r="E17" s="18">
        <f>'Raw Financials'!E40</f>
        <v>273</v>
      </c>
      <c r="F17" s="18">
        <f>'Raw Financials'!F40</f>
        <v>287</v>
      </c>
      <c r="G17" s="18">
        <f>'Raw Financials'!G40</f>
        <v>326</v>
      </c>
      <c r="H17" s="18">
        <f>'Raw Financials'!H40</f>
        <v>317</v>
      </c>
      <c r="I17" s="18">
        <f>'Raw Financials'!I40</f>
        <v>321</v>
      </c>
      <c r="J17" s="18">
        <f>'Raw Financials'!J40</f>
        <v>312</v>
      </c>
      <c r="K17" s="18">
        <f>'Raw Financials'!K40</f>
        <v>316</v>
      </c>
      <c r="L17" s="18">
        <f>'Raw Financials'!L40</f>
        <v>341</v>
      </c>
      <c r="M17" s="18">
        <f>'Raw Financials'!M40</f>
        <v>311</v>
      </c>
      <c r="N17" s="18">
        <f>'Raw Financials'!N40</f>
        <v>305</v>
      </c>
      <c r="O17" s="18">
        <f>'Raw Financials'!O40</f>
        <v>312</v>
      </c>
      <c r="P17" s="18">
        <f>'Raw Financials'!P40</f>
        <v>319</v>
      </c>
      <c r="Q17" s="18">
        <f>'Raw Financials'!Q40</f>
        <v>314</v>
      </c>
      <c r="R17" s="18">
        <f>'Raw Financials'!R40</f>
        <v>303</v>
      </c>
      <c r="S17" s="18">
        <f>'Raw Financials'!S40</f>
        <v>401</v>
      </c>
      <c r="T17" s="18">
        <f>'Raw Financials'!T40</f>
        <v>447</v>
      </c>
      <c r="U17" s="18">
        <f>'Raw Financials'!U40</f>
        <v>449</v>
      </c>
      <c r="V17" s="18">
        <f>'Raw Financials'!V40</f>
        <v>433</v>
      </c>
      <c r="W17" s="18">
        <f>'Raw Financials'!W40</f>
        <v>465</v>
      </c>
      <c r="X17" s="18">
        <f>'Raw Financials'!X40</f>
        <v>460</v>
      </c>
      <c r="Y17" s="18">
        <f>'Raw Financials'!Y40</f>
        <v>462</v>
      </c>
      <c r="Z17" s="18">
        <f>'Raw Financials'!Z40</f>
        <v>449</v>
      </c>
      <c r="AA17" s="18">
        <f>'Raw Financials'!AA40</f>
        <v>524</v>
      </c>
      <c r="AB17" s="18">
        <f>'Raw Financials'!AB40</f>
        <v>598</v>
      </c>
      <c r="AC17" s="18">
        <f>'Raw Financials'!AC40</f>
        <v>566</v>
      </c>
      <c r="AD17" s="18">
        <f>'Raw Financials'!AD40</f>
        <v>584</v>
      </c>
      <c r="AE17" s="18">
        <f>'Raw Financials'!AE40</f>
        <v>630</v>
      </c>
      <c r="AF17" s="18">
        <f>'Raw Financials'!AF40</f>
        <v>614</v>
      </c>
      <c r="AG17" s="18">
        <f>'Raw Financials'!AG40</f>
        <v>624</v>
      </c>
      <c r="AH17" s="18">
        <f>'Raw Financials'!AH40</f>
        <v>717</v>
      </c>
      <c r="AI17" s="18">
        <f>'Raw Financials'!AI40</f>
        <v>757</v>
      </c>
      <c r="AJ17" s="18">
        <f>'Raw Financials'!AJ40</f>
        <v>772</v>
      </c>
      <c r="AK17" s="18">
        <f>'Raw Financials'!AK40</f>
        <v>811</v>
      </c>
      <c r="AL17" s="18">
        <f>'Raw Financials'!AL40</f>
        <v>846</v>
      </c>
      <c r="AM17" s="18">
        <f>'Raw Financials'!AM40</f>
        <v>815</v>
      </c>
      <c r="AN17" s="18">
        <f>'Raw Financials'!AN40</f>
        <v>0</v>
      </c>
      <c r="AO17" s="18">
        <f>'Raw Financials'!AO40</f>
        <v>0</v>
      </c>
      <c r="AP17" s="18">
        <f>'Raw Financials'!AP40</f>
        <v>1254</v>
      </c>
      <c r="AQ17" s="18">
        <f>'Raw Financials'!AQ40</f>
        <v>1592</v>
      </c>
      <c r="AR17" s="18">
        <f>'Raw Financials'!AR40</f>
        <v>1719</v>
      </c>
      <c r="AS17" s="18">
        <f>'Raw Financials'!AS40</f>
        <v>1708</v>
      </c>
      <c r="AT17" s="18">
        <f>'Raw Financials'!AT40</f>
        <v>1800</v>
      </c>
      <c r="AU17" s="18">
        <f>'Raw Financials'!AU40</f>
        <v>2411</v>
      </c>
    </row>
    <row r="18" spans="1:47" ht="14.4">
      <c r="A18" s="1" t="s">
        <v>326</v>
      </c>
      <c r="B18" s="1" t="s">
        <v>46</v>
      </c>
      <c r="C18" s="18">
        <f>'Raw Financials'!C41</f>
        <v>766</v>
      </c>
      <c r="D18" s="18">
        <f>'Raw Financials'!D41</f>
        <v>929</v>
      </c>
      <c r="E18" s="18">
        <f>'Raw Financials'!E41</f>
        <v>963</v>
      </c>
      <c r="F18" s="18">
        <f>'Raw Financials'!F41</f>
        <v>974</v>
      </c>
      <c r="G18" s="18">
        <f>'Raw Financials'!G41</f>
        <v>689</v>
      </c>
      <c r="H18" s="18">
        <f>'Raw Financials'!H41</f>
        <v>828</v>
      </c>
      <c r="I18" s="18">
        <f>'Raw Financials'!I41</f>
        <v>841</v>
      </c>
      <c r="J18" s="18">
        <f>'Raw Financials'!J41</f>
        <v>1211</v>
      </c>
      <c r="K18" s="18">
        <f>'Raw Financials'!K41</f>
        <v>792</v>
      </c>
      <c r="L18" s="18">
        <f>'Raw Financials'!L41</f>
        <v>850</v>
      </c>
      <c r="M18" s="18">
        <f>'Raw Financials'!M41</f>
        <v>984</v>
      </c>
      <c r="N18" s="18">
        <f>'Raw Financials'!N41</f>
        <v>1112</v>
      </c>
      <c r="O18" s="18">
        <f>'Raw Financials'!O41</f>
        <v>994</v>
      </c>
      <c r="P18" s="18">
        <f>'Raw Financials'!P41</f>
        <v>1315</v>
      </c>
      <c r="Q18" s="18">
        <f>'Raw Financials'!Q41</f>
        <v>1491</v>
      </c>
      <c r="R18" s="18">
        <f>'Raw Financials'!R41</f>
        <v>1403</v>
      </c>
      <c r="S18" s="18">
        <f>'Raw Financials'!S41</f>
        <v>1005</v>
      </c>
      <c r="T18" s="18">
        <f>'Raw Financials'!T41</f>
        <v>1451</v>
      </c>
      <c r="U18" s="18">
        <f>'Raw Financials'!U41</f>
        <v>1491</v>
      </c>
      <c r="V18" s="18">
        <f>'Raw Financials'!V41</f>
        <v>1555</v>
      </c>
      <c r="W18" s="18">
        <f>'Raw Financials'!W41</f>
        <v>1341</v>
      </c>
      <c r="X18" s="18">
        <f>'Raw Financials'!X41</f>
        <v>1712</v>
      </c>
      <c r="Y18" s="18">
        <f>'Raw Financials'!Y41</f>
        <v>1683</v>
      </c>
      <c r="Z18" s="18">
        <f>'Raw Financials'!Z41</f>
        <v>1819</v>
      </c>
      <c r="AA18" s="18">
        <f>'Raw Financials'!AA41</f>
        <v>1835</v>
      </c>
      <c r="AB18" s="18">
        <f>'Raw Financials'!AB41</f>
        <v>2325</v>
      </c>
      <c r="AC18" s="18">
        <f>'Raw Financials'!AC41</f>
        <v>2454</v>
      </c>
      <c r="AD18" s="18">
        <f>'Raw Financials'!AD41</f>
        <v>2709</v>
      </c>
      <c r="AE18" s="18">
        <f>'Raw Financials'!AE41</f>
        <v>2288</v>
      </c>
      <c r="AF18" s="18">
        <f>'Raw Financials'!AF41</f>
        <v>2830</v>
      </c>
      <c r="AG18" s="18">
        <f>'Raw Financials'!AG41</f>
        <v>2991</v>
      </c>
      <c r="AH18" s="18">
        <f>'Raw Financials'!AH41</f>
        <v>3359</v>
      </c>
      <c r="AI18" s="18">
        <f>'Raw Financials'!AI41</f>
        <v>2559</v>
      </c>
      <c r="AJ18" s="18">
        <f>'Raw Financials'!AJ41</f>
        <v>2702</v>
      </c>
      <c r="AK18" s="18">
        <f>'Raw Financials'!AK41</f>
        <v>3201</v>
      </c>
      <c r="AL18" s="18">
        <f>'Raw Financials'!AL41</f>
        <v>3405</v>
      </c>
      <c r="AM18" s="18">
        <f>'Raw Financials'!AM41</f>
        <v>3272</v>
      </c>
      <c r="AN18" s="18">
        <f>'Raw Financials'!AN41</f>
        <v>3598</v>
      </c>
      <c r="AO18" s="18">
        <f>'Raw Financials'!AO41</f>
        <v>3922</v>
      </c>
      <c r="AP18" s="18">
        <f>'Raw Financials'!AP41</f>
        <v>4195</v>
      </c>
      <c r="AQ18" s="18">
        <f>'Raw Financials'!AQ41</f>
        <v>4858</v>
      </c>
      <c r="AR18" s="18">
        <f>'Raw Financials'!AR41</f>
        <v>5563</v>
      </c>
      <c r="AS18" s="18">
        <f>'Raw Financials'!AS41</f>
        <v>5594</v>
      </c>
      <c r="AT18" s="18">
        <f>'Raw Financials'!AT41</f>
        <v>7368</v>
      </c>
      <c r="AU18" s="18">
        <f>'Raw Financials'!AU41</f>
        <v>8822</v>
      </c>
    </row>
    <row r="19" spans="1:47" ht="14.4">
      <c r="A19" s="1" t="s">
        <v>55</v>
      </c>
      <c r="B19" s="1" t="s">
        <v>48</v>
      </c>
      <c r="C19" s="19">
        <f t="shared" ref="C19:AU19" si="3">IFERROR(C18/C6,"")</f>
        <v>0.11948214007175167</v>
      </c>
      <c r="D19" s="19">
        <f t="shared" si="3"/>
        <v>0.13704086148399469</v>
      </c>
      <c r="E19" s="19">
        <f t="shared" si="3"/>
        <v>0.14188890526005599</v>
      </c>
      <c r="F19" s="19">
        <f t="shared" si="3"/>
        <v>0.14225208120344676</v>
      </c>
      <c r="G19" s="19">
        <f t="shared" si="3"/>
        <v>0.10272849261965111</v>
      </c>
      <c r="H19" s="19">
        <f t="shared" si="3"/>
        <v>0.11949776302496752</v>
      </c>
      <c r="I19" s="19">
        <f t="shared" si="3"/>
        <v>0.12121648890170078</v>
      </c>
      <c r="J19" s="19">
        <f t="shared" si="3"/>
        <v>0.1626158184503827</v>
      </c>
      <c r="K19" s="19">
        <f t="shared" si="3"/>
        <v>0.11172238679644519</v>
      </c>
      <c r="L19" s="19">
        <f t="shared" si="3"/>
        <v>0.11530113944655453</v>
      </c>
      <c r="M19" s="19">
        <f t="shared" si="3"/>
        <v>0.13007270323859882</v>
      </c>
      <c r="N19" s="19">
        <f t="shared" si="3"/>
        <v>0.14097363083164299</v>
      </c>
      <c r="O19" s="19">
        <f t="shared" si="3"/>
        <v>0.12049945447933083</v>
      </c>
      <c r="P19" s="19">
        <f t="shared" si="3"/>
        <v>0.14491955036367643</v>
      </c>
      <c r="Q19" s="19">
        <f t="shared" si="3"/>
        <v>0.15344242050015436</v>
      </c>
      <c r="R19" s="19">
        <f t="shared" si="3"/>
        <v>0.14431186998559967</v>
      </c>
      <c r="S19" s="19">
        <f t="shared" si="3"/>
        <v>0.10472022507033447</v>
      </c>
      <c r="T19" s="19">
        <f t="shared" si="3"/>
        <v>0.13972075108329321</v>
      </c>
      <c r="U19" s="19">
        <f t="shared" si="3"/>
        <v>0.13890441587479038</v>
      </c>
      <c r="V19" s="19">
        <f t="shared" si="3"/>
        <v>0.14017849094023258</v>
      </c>
      <c r="W19" s="19">
        <f t="shared" si="3"/>
        <v>0.12686849574266792</v>
      </c>
      <c r="X19" s="19">
        <f t="shared" si="3"/>
        <v>0.14839212966975818</v>
      </c>
      <c r="Y19" s="19">
        <f t="shared" si="3"/>
        <v>0.14135729884092055</v>
      </c>
      <c r="Z19" s="19">
        <f t="shared" si="3"/>
        <v>0.14419342053111375</v>
      </c>
      <c r="AA19" s="19">
        <f t="shared" si="3"/>
        <v>0.12554734537493159</v>
      </c>
      <c r="AB19" s="19">
        <f t="shared" si="3"/>
        <v>0.14814578819931185</v>
      </c>
      <c r="AC19" s="19">
        <f t="shared" si="3"/>
        <v>0.1480007237199204</v>
      </c>
      <c r="AD19" s="19">
        <f t="shared" si="3"/>
        <v>0.15543060416547133</v>
      </c>
      <c r="AE19" s="19">
        <f t="shared" si="3"/>
        <v>0.12506832841368754</v>
      </c>
      <c r="AF19" s="19">
        <f t="shared" si="3"/>
        <v>0.14443196897009289</v>
      </c>
      <c r="AG19" s="19">
        <f t="shared" si="3"/>
        <v>0.14549080649868665</v>
      </c>
      <c r="AH19" s="19">
        <f t="shared" si="3"/>
        <v>0.15479262672811059</v>
      </c>
      <c r="AI19" s="19">
        <f t="shared" si="3"/>
        <v>0.11521837010355696</v>
      </c>
      <c r="AJ19" s="19">
        <f t="shared" si="3"/>
        <v>0.1187066162903084</v>
      </c>
      <c r="AK19" s="19">
        <f t="shared" si="3"/>
        <v>0.1377781603753282</v>
      </c>
      <c r="AL19" s="19">
        <f t="shared" si="3"/>
        <v>0.14437142251430995</v>
      </c>
      <c r="AM19" s="19">
        <f t="shared" si="3"/>
        <v>0.13628790403198934</v>
      </c>
      <c r="AN19" s="19">
        <f t="shared" si="3"/>
        <v>0.11749338732325376</v>
      </c>
      <c r="AO19" s="19">
        <f t="shared" si="3"/>
        <v>0.11819661262130071</v>
      </c>
      <c r="AP19" s="19">
        <f t="shared" si="3"/>
        <v>0.12258196481795336</v>
      </c>
      <c r="AQ19" s="19">
        <f t="shared" si="3"/>
        <v>0.13170308518136964</v>
      </c>
      <c r="AR19" s="19">
        <f t="shared" si="3"/>
        <v>0.13957397696765939</v>
      </c>
      <c r="AS19" s="19">
        <f t="shared" si="3"/>
        <v>0.13356892146796878</v>
      </c>
      <c r="AT19" s="19">
        <f t="shared" si="3"/>
        <v>0.16555815207621788</v>
      </c>
      <c r="AU19" s="19">
        <f t="shared" si="3"/>
        <v>0.15959621542413663</v>
      </c>
    </row>
    <row r="20" spans="1:47" ht="14.4">
      <c r="A20" s="1" t="s">
        <v>327</v>
      </c>
      <c r="B20" s="1" t="s">
        <v>46</v>
      </c>
      <c r="C20" s="18">
        <f>'Raw Financials'!C42</f>
        <v>79</v>
      </c>
      <c r="D20" s="18">
        <f>'Raw Financials'!D42</f>
        <v>13</v>
      </c>
      <c r="E20" s="18">
        <f>'Raw Financials'!E42</f>
        <v>52</v>
      </c>
      <c r="F20" s="18">
        <f>'Raw Financials'!F42</f>
        <v>39</v>
      </c>
      <c r="G20" s="18">
        <f>'Raw Financials'!G42</f>
        <v>83</v>
      </c>
      <c r="H20" s="18">
        <f>'Raw Financials'!H42</f>
        <v>29</v>
      </c>
      <c r="I20" s="18">
        <f>'Raw Financials'!I42</f>
        <v>59</v>
      </c>
      <c r="J20" s="18">
        <f>'Raw Financials'!J42</f>
        <v>-12</v>
      </c>
      <c r="K20" s="18">
        <f>'Raw Financials'!K42</f>
        <v>58</v>
      </c>
      <c r="L20" s="18">
        <f>'Raw Financials'!L42</f>
        <v>87</v>
      </c>
      <c r="M20" s="18">
        <f>'Raw Financials'!M42</f>
        <v>5</v>
      </c>
      <c r="N20" s="18">
        <f>'Raw Financials'!N42</f>
        <v>148</v>
      </c>
      <c r="O20" s="18">
        <f>'Raw Financials'!O42</f>
        <v>209</v>
      </c>
      <c r="P20" s="18">
        <f>'Raw Financials'!P42</f>
        <v>215</v>
      </c>
      <c r="Q20" s="18">
        <f>'Raw Financials'!Q42</f>
        <v>5</v>
      </c>
      <c r="R20" s="18">
        <f>'Raw Financials'!R42</f>
        <v>47</v>
      </c>
      <c r="S20" s="18">
        <f>'Raw Financials'!S42</f>
        <v>171</v>
      </c>
      <c r="T20" s="18">
        <f>'Raw Financials'!T42</f>
        <v>76</v>
      </c>
      <c r="U20" s="18">
        <f>'Raw Financials'!U42</f>
        <v>130</v>
      </c>
      <c r="V20" s="18">
        <f>'Raw Financials'!V42</f>
        <v>180</v>
      </c>
      <c r="W20" s="18">
        <f>'Raw Financials'!W42</f>
        <v>48</v>
      </c>
      <c r="X20" s="18">
        <f>'Raw Financials'!X42</f>
        <v>-63</v>
      </c>
      <c r="Y20" s="18">
        <f>'Raw Financials'!Y42</f>
        <v>19</v>
      </c>
      <c r="Z20" s="18">
        <f>'Raw Financials'!Z42</f>
        <v>109</v>
      </c>
      <c r="AA20" s="18">
        <f>'Raw Financials'!AA42</f>
        <v>52</v>
      </c>
      <c r="AB20" s="18">
        <f>'Raw Financials'!AB42</f>
        <v>-77</v>
      </c>
      <c r="AC20" s="18">
        <f>'Raw Financials'!AC42</f>
        <v>-122</v>
      </c>
      <c r="AD20" s="18">
        <f>'Raw Financials'!AD42</f>
        <v>-119</v>
      </c>
      <c r="AE20" s="18">
        <f>'Raw Financials'!AE42</f>
        <v>-76</v>
      </c>
      <c r="AF20" s="18">
        <f>'Raw Financials'!AF42</f>
        <v>-150</v>
      </c>
      <c r="AG20" s="18">
        <f>'Raw Financials'!AG42</f>
        <v>83</v>
      </c>
      <c r="AH20" s="18">
        <f>'Raw Financials'!AH42</f>
        <v>-487</v>
      </c>
      <c r="AI20" s="18">
        <f>'Raw Financials'!AI42</f>
        <v>-152</v>
      </c>
      <c r="AJ20" s="18">
        <f>'Raw Financials'!AJ42</f>
        <v>-295</v>
      </c>
      <c r="AK20" s="18">
        <f>'Raw Financials'!AK42</f>
        <v>-257</v>
      </c>
      <c r="AL20" s="18">
        <f>'Raw Financials'!AL42</f>
        <v>-452</v>
      </c>
      <c r="AM20" s="18">
        <f>'Raw Financials'!AM42</f>
        <v>-272</v>
      </c>
      <c r="AN20" s="18">
        <f>'Raw Financials'!AN42</f>
        <v>0</v>
      </c>
      <c r="AO20" s="18">
        <f>'Raw Financials'!AO42</f>
        <v>-327</v>
      </c>
      <c r="AP20" s="18">
        <f>'Raw Financials'!AP42</f>
        <v>-92</v>
      </c>
      <c r="AQ20" s="18">
        <f>'Raw Financials'!AQ42</f>
        <v>0</v>
      </c>
      <c r="AR20" s="18">
        <f>'Raw Financials'!AR42</f>
        <v>-292</v>
      </c>
      <c r="AS20" s="18">
        <f>'Raw Financials'!AS42</f>
        <v>-208</v>
      </c>
      <c r="AT20" s="18">
        <f>'Raw Financials'!AT42</f>
        <v>-179</v>
      </c>
      <c r="AU20" s="18">
        <f>'Raw Financials'!AU42</f>
        <v>-598</v>
      </c>
    </row>
    <row r="21" spans="1:47" ht="14.4">
      <c r="A21" s="1" t="s">
        <v>328</v>
      </c>
      <c r="B21" s="1" t="s">
        <v>46</v>
      </c>
      <c r="C21" s="18">
        <f>'Raw Financials'!C43</f>
        <v>0</v>
      </c>
      <c r="D21" s="18">
        <f>'Raw Financials'!D43</f>
        <v>0</v>
      </c>
      <c r="E21" s="18">
        <f>'Raw Financials'!E43</f>
        <v>0</v>
      </c>
      <c r="F21" s="18">
        <f>'Raw Financials'!F43</f>
        <v>0</v>
      </c>
      <c r="G21" s="18">
        <f>'Raw Financials'!G43</f>
        <v>0</v>
      </c>
      <c r="H21" s="18">
        <f>'Raw Financials'!H43</f>
        <v>0</v>
      </c>
      <c r="I21" s="18">
        <f>'Raw Financials'!I43</f>
        <v>0</v>
      </c>
      <c r="J21" s="18">
        <f>'Raw Financials'!J43</f>
        <v>0</v>
      </c>
      <c r="K21" s="18">
        <f>'Raw Financials'!K43</f>
        <v>0</v>
      </c>
      <c r="L21" s="18">
        <f>'Raw Financials'!L43</f>
        <v>0</v>
      </c>
      <c r="M21" s="18">
        <f>'Raw Financials'!M43</f>
        <v>0</v>
      </c>
      <c r="N21" s="18">
        <f>'Raw Financials'!N43</f>
        <v>0</v>
      </c>
      <c r="O21" s="18">
        <f>'Raw Financials'!O43</f>
        <v>0</v>
      </c>
      <c r="P21" s="18">
        <f>'Raw Financials'!P43</f>
        <v>0</v>
      </c>
      <c r="Q21" s="18">
        <f>'Raw Financials'!Q43</f>
        <v>0</v>
      </c>
      <c r="R21" s="18">
        <f>'Raw Financials'!R43</f>
        <v>0</v>
      </c>
      <c r="S21" s="18">
        <f>'Raw Financials'!S43</f>
        <v>0</v>
      </c>
      <c r="T21" s="18">
        <f>'Raw Financials'!T43</f>
        <v>0</v>
      </c>
      <c r="U21" s="18">
        <f>'Raw Financials'!U43</f>
        <v>0</v>
      </c>
      <c r="V21" s="18">
        <f>'Raw Financials'!V43</f>
        <v>0</v>
      </c>
      <c r="W21" s="18">
        <f>'Raw Financials'!W43</f>
        <v>0</v>
      </c>
      <c r="X21" s="18">
        <f>'Raw Financials'!X43</f>
        <v>0</v>
      </c>
      <c r="Y21" s="18">
        <f>'Raw Financials'!Y43</f>
        <v>0</v>
      </c>
      <c r="Z21" s="18">
        <f>'Raw Financials'!Z43</f>
        <v>0</v>
      </c>
      <c r="AA21" s="18">
        <f>'Raw Financials'!AA43</f>
        <v>0</v>
      </c>
      <c r="AB21" s="18">
        <f>'Raw Financials'!AB43</f>
        <v>0</v>
      </c>
      <c r="AC21" s="18">
        <f>'Raw Financials'!AC43</f>
        <v>0</v>
      </c>
      <c r="AD21" s="18">
        <f>'Raw Financials'!AD43</f>
        <v>0</v>
      </c>
      <c r="AE21" s="18">
        <f>'Raw Financials'!AE43</f>
        <v>0</v>
      </c>
      <c r="AF21" s="18">
        <f>'Raw Financials'!AF43</f>
        <v>0</v>
      </c>
      <c r="AG21" s="18">
        <f>'Raw Financials'!AG43</f>
        <v>0</v>
      </c>
      <c r="AH21" s="18">
        <f>'Raw Financials'!AH43</f>
        <v>0</v>
      </c>
      <c r="AI21" s="18">
        <f>'Raw Financials'!AI43</f>
        <v>0</v>
      </c>
      <c r="AJ21" s="18">
        <f>'Raw Financials'!AJ43</f>
        <v>0</v>
      </c>
      <c r="AK21" s="18">
        <f>'Raw Financials'!AK43</f>
        <v>0</v>
      </c>
      <c r="AL21" s="18">
        <f>'Raw Financials'!AL43</f>
        <v>0</v>
      </c>
      <c r="AM21" s="18">
        <f>'Raw Financials'!AM43</f>
        <v>0</v>
      </c>
      <c r="AN21" s="18">
        <f>'Raw Financials'!AN43</f>
        <v>0</v>
      </c>
      <c r="AO21" s="18">
        <f>'Raw Financials'!AO43</f>
        <v>0</v>
      </c>
      <c r="AP21" s="18">
        <f>'Raw Financials'!AP43</f>
        <v>-170</v>
      </c>
      <c r="AQ21" s="18">
        <f>'Raw Financials'!AQ43</f>
        <v>-44</v>
      </c>
      <c r="AR21" s="18">
        <f>'Raw Financials'!AR43</f>
        <v>310</v>
      </c>
      <c r="AS21" s="18">
        <f>'Raw Financials'!AS43</f>
        <v>-68</v>
      </c>
      <c r="AT21" s="18">
        <f>'Raw Financials'!AT43</f>
        <v>-403</v>
      </c>
      <c r="AU21" s="18">
        <f>'Raw Financials'!AU43</f>
        <v>-653</v>
      </c>
    </row>
    <row r="22" spans="1:47" ht="14.4">
      <c r="A22" s="1" t="s">
        <v>265</v>
      </c>
      <c r="B22" s="1" t="s">
        <v>46</v>
      </c>
      <c r="C22" s="18">
        <f>'Raw Financials'!C44</f>
        <v>845</v>
      </c>
      <c r="D22" s="18">
        <f>'Raw Financials'!D44</f>
        <v>942</v>
      </c>
      <c r="E22" s="18">
        <f>'Raw Financials'!E44</f>
        <v>1015</v>
      </c>
      <c r="F22" s="18">
        <f>'Raw Financials'!F44</f>
        <v>1013</v>
      </c>
      <c r="G22" s="18">
        <f>'Raw Financials'!G44</f>
        <v>772</v>
      </c>
      <c r="H22" s="18">
        <f>'Raw Financials'!H44</f>
        <v>857</v>
      </c>
      <c r="I22" s="18">
        <f>'Raw Financials'!I44</f>
        <v>900</v>
      </c>
      <c r="J22" s="18">
        <f>'Raw Financials'!J44</f>
        <v>1199</v>
      </c>
      <c r="K22" s="18">
        <f>'Raw Financials'!K44</f>
        <v>849</v>
      </c>
      <c r="L22" s="18">
        <f>'Raw Financials'!L44</f>
        <v>937</v>
      </c>
      <c r="M22" s="18">
        <f>'Raw Financials'!M44</f>
        <v>989</v>
      </c>
      <c r="N22" s="18">
        <f>'Raw Financials'!N44</f>
        <v>1261</v>
      </c>
      <c r="O22" s="18">
        <f>'Raw Financials'!O44</f>
        <v>1203</v>
      </c>
      <c r="P22" s="18">
        <f>'Raw Financials'!P44</f>
        <v>1530</v>
      </c>
      <c r="Q22" s="18">
        <f>'Raw Financials'!Q44</f>
        <v>1496</v>
      </c>
      <c r="R22" s="18">
        <f>'Raw Financials'!R44</f>
        <v>1451</v>
      </c>
      <c r="S22" s="18">
        <f>'Raw Financials'!S44</f>
        <v>1176</v>
      </c>
      <c r="T22" s="18">
        <f>'Raw Financials'!T44</f>
        <v>1527</v>
      </c>
      <c r="U22" s="18">
        <f>'Raw Financials'!U44</f>
        <v>1621</v>
      </c>
      <c r="V22" s="18">
        <f>'Raw Financials'!V44</f>
        <v>1718</v>
      </c>
      <c r="W22" s="18">
        <f>'Raw Financials'!W44</f>
        <v>1269</v>
      </c>
      <c r="X22" s="18">
        <f>'Raw Financials'!X44</f>
        <v>1525</v>
      </c>
      <c r="Y22" s="18">
        <f>'Raw Financials'!Y44</f>
        <v>1566</v>
      </c>
      <c r="Z22" s="18">
        <f>'Raw Financials'!Z44</f>
        <v>1782</v>
      </c>
      <c r="AA22" s="18">
        <f>'Raw Financials'!AA44</f>
        <v>1632</v>
      </c>
      <c r="AB22" s="18">
        <f>'Raw Financials'!AB44</f>
        <v>2248</v>
      </c>
      <c r="AC22" s="18">
        <f>'Raw Financials'!AC44</f>
        <v>2332</v>
      </c>
      <c r="AD22" s="18">
        <f>'Raw Financials'!AD44</f>
        <v>2590</v>
      </c>
      <c r="AE22" s="18">
        <f>'Raw Financials'!AE44</f>
        <v>2212</v>
      </c>
      <c r="AF22" s="18">
        <f>'Raw Financials'!AF44</f>
        <v>2680</v>
      </c>
      <c r="AG22" s="18">
        <f>'Raw Financials'!AG44</f>
        <v>3074</v>
      </c>
      <c r="AH22" s="18">
        <f>'Raw Financials'!AH44</f>
        <v>2872</v>
      </c>
      <c r="AI22" s="18">
        <f>'Raw Financials'!AI44</f>
        <v>2407</v>
      </c>
      <c r="AJ22" s="18">
        <f>'Raw Financials'!AJ44</f>
        <v>2407</v>
      </c>
      <c r="AK22" s="18">
        <f>'Raw Financials'!AK44</f>
        <v>2944</v>
      </c>
      <c r="AL22" s="18">
        <f>'Raw Financials'!AL44</f>
        <v>2953</v>
      </c>
      <c r="AM22" s="18">
        <f>'Raw Financials'!AM44</f>
        <v>3000</v>
      </c>
      <c r="AN22" s="18">
        <f>'Raw Financials'!AN44</f>
        <v>3598</v>
      </c>
      <c r="AO22" s="18">
        <f>'Raw Financials'!AO44</f>
        <v>3595</v>
      </c>
      <c r="AP22" s="18">
        <f>'Raw Financials'!AP44</f>
        <v>3933</v>
      </c>
      <c r="AQ22" s="18">
        <f>'Raw Financials'!AQ44</f>
        <v>4402</v>
      </c>
      <c r="AR22" s="18">
        <f>'Raw Financials'!AR44</f>
        <v>5582</v>
      </c>
      <c r="AS22" s="18">
        <f>'Raw Financials'!AS44</f>
        <v>5318</v>
      </c>
      <c r="AT22" s="18">
        <f>'Raw Financials'!AT44</f>
        <v>6786</v>
      </c>
      <c r="AU22" s="18">
        <f>'Raw Financials'!AU44</f>
        <v>7571</v>
      </c>
    </row>
    <row r="23" spans="1:47" ht="14.4">
      <c r="A23" s="1" t="s">
        <v>266</v>
      </c>
      <c r="B23" s="1" t="s">
        <v>46</v>
      </c>
      <c r="C23" s="18">
        <f>'Raw Financials'!C45</f>
        <v>800</v>
      </c>
      <c r="D23" s="18">
        <f>'Raw Financials'!D45</f>
        <v>0</v>
      </c>
      <c r="E23" s="18">
        <f>'Raw Financials'!E45</f>
        <v>13</v>
      </c>
      <c r="F23" s="18">
        <f>'Raw Financials'!F45</f>
        <v>13</v>
      </c>
      <c r="G23" s="18">
        <f>'Raw Financials'!G45</f>
        <v>361</v>
      </c>
      <c r="H23" s="18">
        <f>'Raw Financials'!H45</f>
        <v>361</v>
      </c>
      <c r="I23" s="18">
        <f>'Raw Financials'!I45</f>
        <v>13</v>
      </c>
      <c r="J23" s="18">
        <f>'Raw Financials'!J45</f>
        <v>-140</v>
      </c>
      <c r="K23" s="18">
        <f>'Raw Financials'!K45</f>
        <v>-140</v>
      </c>
      <c r="L23" s="18">
        <f>'Raw Financials'!L45</f>
        <v>0</v>
      </c>
      <c r="M23" s="18">
        <f>'Raw Financials'!M45</f>
        <v>0</v>
      </c>
      <c r="N23" s="18">
        <f>'Raw Financials'!N45</f>
        <v>-140</v>
      </c>
      <c r="O23" s="18">
        <f>'Raw Financials'!O45</f>
        <v>0</v>
      </c>
      <c r="P23" s="18">
        <f>'Raw Financials'!P45</f>
        <v>0</v>
      </c>
      <c r="Q23" s="18">
        <f>'Raw Financials'!Q45</f>
        <v>0</v>
      </c>
      <c r="R23" s="18">
        <f>'Raw Financials'!R45</f>
        <v>56</v>
      </c>
      <c r="S23" s="18">
        <f>'Raw Financials'!S45</f>
        <v>-57</v>
      </c>
      <c r="T23" s="18">
        <f>'Raw Financials'!T45</f>
        <v>-57</v>
      </c>
      <c r="U23" s="18">
        <f>'Raw Financials'!U45</f>
        <v>0</v>
      </c>
      <c r="V23" s="18">
        <f>'Raw Financials'!V45</f>
        <v>128</v>
      </c>
      <c r="W23" s="18">
        <f>'Raw Financials'!W45</f>
        <v>180</v>
      </c>
      <c r="X23" s="18">
        <f>'Raw Financials'!X45</f>
        <v>0</v>
      </c>
      <c r="Y23" s="18">
        <f>'Raw Financials'!Y45</f>
        <v>0</v>
      </c>
      <c r="Z23" s="18">
        <f>'Raw Financials'!Z45</f>
        <v>0</v>
      </c>
      <c r="AA23" s="18">
        <f>'Raw Financials'!AA45</f>
        <v>0</v>
      </c>
      <c r="AB23" s="18">
        <f>'Raw Financials'!AB45</f>
        <v>0</v>
      </c>
      <c r="AC23" s="18">
        <f>'Raw Financials'!AC45</f>
        <v>0</v>
      </c>
      <c r="AD23" s="18">
        <f>'Raw Financials'!AD45</f>
        <v>0</v>
      </c>
      <c r="AE23" s="18">
        <f>'Raw Financials'!AE45</f>
        <v>0</v>
      </c>
      <c r="AF23" s="18">
        <f>'Raw Financials'!AF45</f>
        <v>0</v>
      </c>
      <c r="AG23" s="18">
        <f>'Raw Financials'!AG45</f>
        <v>0</v>
      </c>
      <c r="AH23" s="18">
        <f>'Raw Financials'!AH45</f>
        <v>0</v>
      </c>
      <c r="AI23" s="18">
        <f>'Raw Financials'!AI45</f>
        <v>0</v>
      </c>
      <c r="AJ23" s="18">
        <f>'Raw Financials'!AJ45</f>
        <v>0</v>
      </c>
      <c r="AK23" s="18">
        <f>'Raw Financials'!AK45</f>
        <v>0</v>
      </c>
      <c r="AL23" s="18">
        <f>'Raw Financials'!AL45</f>
        <v>97</v>
      </c>
      <c r="AM23" s="18">
        <f>'Raw Financials'!AM45</f>
        <v>953</v>
      </c>
      <c r="AN23" s="18">
        <f>'Raw Financials'!AN45</f>
        <v>201</v>
      </c>
      <c r="AO23" s="18">
        <f>'Raw Financials'!AO45</f>
        <v>0</v>
      </c>
      <c r="AP23" s="18">
        <f>'Raw Financials'!AP45</f>
        <v>0</v>
      </c>
      <c r="AQ23" s="18">
        <f>'Raw Financials'!AQ45</f>
        <v>248</v>
      </c>
      <c r="AR23" s="18">
        <f>'Raw Financials'!AR45</f>
        <v>0</v>
      </c>
      <c r="AS23" s="18">
        <f>'Raw Financials'!AS45</f>
        <v>1476</v>
      </c>
      <c r="AT23" s="18">
        <f>'Raw Financials'!AT45</f>
        <v>536</v>
      </c>
      <c r="AU23" s="18">
        <f>'Raw Financials'!AU45</f>
        <v>550</v>
      </c>
    </row>
    <row r="24" spans="1:47" ht="14.4">
      <c r="A24" s="1" t="s">
        <v>267</v>
      </c>
      <c r="B24" s="1" t="s">
        <v>46</v>
      </c>
      <c r="C24" s="18">
        <f>'Raw Financials'!C46</f>
        <v>844</v>
      </c>
      <c r="D24" s="18">
        <f>'Raw Financials'!D46</f>
        <v>942</v>
      </c>
      <c r="E24" s="18">
        <f>'Raw Financials'!E46</f>
        <v>1002</v>
      </c>
      <c r="F24" s="18">
        <f>'Raw Financials'!F46</f>
        <v>1013</v>
      </c>
      <c r="G24" s="18">
        <f>'Raw Financials'!G46</f>
        <v>411</v>
      </c>
      <c r="H24" s="18">
        <f>'Raw Financials'!H46</f>
        <v>856</v>
      </c>
      <c r="I24" s="18">
        <f>'Raw Financials'!I46</f>
        <v>900</v>
      </c>
      <c r="J24" s="18">
        <f>'Raw Financials'!J46</f>
        <v>1339</v>
      </c>
      <c r="K24" s="18">
        <f>'Raw Financials'!K46</f>
        <v>849</v>
      </c>
      <c r="L24" s="18">
        <f>'Raw Financials'!L46</f>
        <v>937</v>
      </c>
      <c r="M24" s="18">
        <f>'Raw Financials'!M46</f>
        <v>989</v>
      </c>
      <c r="N24" s="18">
        <f>'Raw Financials'!N46</f>
        <v>1261</v>
      </c>
      <c r="O24" s="18">
        <f>'Raw Financials'!O46</f>
        <v>1203</v>
      </c>
      <c r="P24" s="18">
        <f>'Raw Financials'!P46</f>
        <v>1530</v>
      </c>
      <c r="Q24" s="18">
        <f>'Raw Financials'!Q46</f>
        <v>1496</v>
      </c>
      <c r="R24" s="18">
        <f>'Raw Financials'!R46</f>
        <v>1395</v>
      </c>
      <c r="S24" s="18">
        <f>'Raw Financials'!S46</f>
        <v>1233</v>
      </c>
      <c r="T24" s="18">
        <f>'Raw Financials'!T46</f>
        <v>1527</v>
      </c>
      <c r="U24" s="18">
        <f>'Raw Financials'!U46</f>
        <v>1621</v>
      </c>
      <c r="V24" s="18">
        <f>'Raw Financials'!V46</f>
        <v>1590</v>
      </c>
      <c r="W24" s="18">
        <f>'Raw Financials'!W46</f>
        <v>1089</v>
      </c>
      <c r="X24" s="18">
        <f>'Raw Financials'!X46</f>
        <v>1525</v>
      </c>
      <c r="Y24" s="18">
        <f>'Raw Financials'!Y46</f>
        <v>1566</v>
      </c>
      <c r="Z24" s="18">
        <f>'Raw Financials'!Z46</f>
        <v>1782</v>
      </c>
      <c r="AA24" s="18">
        <f>'Raw Financials'!AA46</f>
        <v>1632</v>
      </c>
      <c r="AB24" s="18">
        <f>'Raw Financials'!AB46</f>
        <v>2061</v>
      </c>
      <c r="AC24" s="18">
        <f>'Raw Financials'!AC46</f>
        <v>2332</v>
      </c>
      <c r="AD24" s="18">
        <f>'Raw Financials'!AD46</f>
        <v>2590</v>
      </c>
      <c r="AE24" s="18">
        <f>'Raw Financials'!AE46</f>
        <v>2212</v>
      </c>
      <c r="AF24" s="18">
        <f>'Raw Financials'!AF46</f>
        <v>2680</v>
      </c>
      <c r="AG24" s="18">
        <f>'Raw Financials'!AG46</f>
        <v>3074</v>
      </c>
      <c r="AH24" s="18">
        <f>'Raw Financials'!AH46</f>
        <v>2872</v>
      </c>
      <c r="AI24" s="18">
        <f>'Raw Financials'!AI46</f>
        <v>2242</v>
      </c>
      <c r="AJ24" s="18">
        <f>'Raw Financials'!AJ46</f>
        <v>2407</v>
      </c>
      <c r="AK24" s="18">
        <f>'Raw Financials'!AK46</f>
        <v>2944</v>
      </c>
      <c r="AL24" s="18">
        <f>'Raw Financials'!AL46</f>
        <v>2856</v>
      </c>
      <c r="AM24" s="18">
        <f>'Raw Financials'!AM46</f>
        <v>2047</v>
      </c>
      <c r="AN24" s="18">
        <f>'Raw Financials'!AN46</f>
        <v>3135</v>
      </c>
      <c r="AO24" s="18">
        <f>'Raw Financials'!AO46</f>
        <v>3433</v>
      </c>
      <c r="AP24" s="18">
        <f>'Raw Financials'!AP46</f>
        <v>3933</v>
      </c>
      <c r="AQ24" s="18">
        <f>'Raw Financials'!AQ46</f>
        <v>3654</v>
      </c>
      <c r="AR24" s="18">
        <f>'Raw Financials'!AR46</f>
        <v>5582</v>
      </c>
      <c r="AS24" s="18">
        <f>'Raw Financials'!AS46</f>
        <v>3842</v>
      </c>
      <c r="AT24" s="18">
        <f>'Raw Financials'!AT46</f>
        <v>6250</v>
      </c>
      <c r="AU24" s="18">
        <f>'Raw Financials'!AU46</f>
        <v>7021</v>
      </c>
    </row>
    <row r="25" spans="1:47" ht="14.4">
      <c r="A25" s="1" t="s">
        <v>270</v>
      </c>
      <c r="B25" s="1" t="s">
        <v>46</v>
      </c>
      <c r="C25" s="18">
        <f>'Raw Financials'!C47</f>
        <v>219</v>
      </c>
      <c r="D25" s="18">
        <f>'Raw Financials'!D47</f>
        <v>216</v>
      </c>
      <c r="E25" s="18">
        <f>'Raw Financials'!E47</f>
        <v>212</v>
      </c>
      <c r="F25" s="18">
        <f>'Raw Financials'!F47</f>
        <v>184</v>
      </c>
      <c r="G25" s="18">
        <f>'Raw Financials'!G47</f>
        <v>80</v>
      </c>
      <c r="H25" s="18">
        <f>'Raw Financials'!H47</f>
        <v>213</v>
      </c>
      <c r="I25" s="18">
        <f>'Raw Financials'!I47</f>
        <v>228</v>
      </c>
      <c r="J25" s="18">
        <f>'Raw Financials'!J47</f>
        <v>265</v>
      </c>
      <c r="K25" s="18">
        <f>'Raw Financials'!K47</f>
        <v>295</v>
      </c>
      <c r="L25" s="18">
        <f>'Raw Financials'!L47</f>
        <v>204</v>
      </c>
      <c r="M25" s="18">
        <f>'Raw Financials'!M47</f>
        <v>163</v>
      </c>
      <c r="N25" s="18">
        <f>'Raw Financials'!N47</f>
        <v>288</v>
      </c>
      <c r="O25" s="18">
        <f>'Raw Financials'!O47</f>
        <v>300</v>
      </c>
      <c r="P25" s="18">
        <f>'Raw Financials'!P47</f>
        <v>363</v>
      </c>
      <c r="Q25" s="18">
        <f>'Raw Financials'!Q47</f>
        <v>445</v>
      </c>
      <c r="R25" s="18">
        <f>'Raw Financials'!R47</f>
        <v>296</v>
      </c>
      <c r="S25" s="18">
        <f>'Raw Financials'!S47</f>
        <v>318</v>
      </c>
      <c r="T25" s="18">
        <f>'Raw Financials'!T47</f>
        <v>276</v>
      </c>
      <c r="U25" s="18">
        <f>'Raw Financials'!U47</f>
        <v>336</v>
      </c>
      <c r="V25" s="18">
        <f>'Raw Financials'!V47</f>
        <v>348</v>
      </c>
      <c r="W25" s="18">
        <f>'Raw Financials'!W47</f>
        <v>260</v>
      </c>
      <c r="X25" s="18">
        <f>'Raw Financials'!X47</f>
        <v>303</v>
      </c>
      <c r="Y25" s="18">
        <f>'Raw Financials'!Y47</f>
        <v>331</v>
      </c>
      <c r="Z25" s="18">
        <f>'Raw Financials'!Z47</f>
        <v>408</v>
      </c>
      <c r="AA25" s="18">
        <f>'Raw Financials'!AA47</f>
        <v>320</v>
      </c>
      <c r="AB25" s="18">
        <f>'Raw Financials'!AB47</f>
        <v>446</v>
      </c>
      <c r="AC25" s="18">
        <f>'Raw Financials'!AC47</f>
        <v>360</v>
      </c>
      <c r="AD25" s="18">
        <f>'Raw Financials'!AD47</f>
        <v>342</v>
      </c>
      <c r="AE25" s="18">
        <f>'Raw Financials'!AE47</f>
        <v>493</v>
      </c>
      <c r="AF25" s="18">
        <f>'Raw Financials'!AF47</f>
        <v>474</v>
      </c>
      <c r="AG25" s="18">
        <f>'Raw Financials'!AG47</f>
        <v>715</v>
      </c>
      <c r="AH25" s="18">
        <f>'Raw Financials'!AH47</f>
        <v>526</v>
      </c>
      <c r="AI25" s="18">
        <f>'Raw Financials'!AI47</f>
        <v>485</v>
      </c>
      <c r="AJ25" s="18">
        <f>'Raw Financials'!AJ47</f>
        <v>528</v>
      </c>
      <c r="AK25" s="18">
        <f>'Raw Financials'!AK47</f>
        <v>516</v>
      </c>
      <c r="AL25" s="18">
        <f>'Raw Financials'!AL47</f>
        <v>564</v>
      </c>
      <c r="AM25" s="18">
        <f>'Raw Financials'!AM47</f>
        <v>654</v>
      </c>
      <c r="AN25" s="18">
        <f>'Raw Financials'!AN47</f>
        <v>0</v>
      </c>
      <c r="AO25" s="18">
        <f>'Raw Financials'!AO47</f>
        <v>874</v>
      </c>
      <c r="AP25" s="18">
        <f>'Raw Financials'!AP47</f>
        <v>874</v>
      </c>
      <c r="AQ25" s="18">
        <f>'Raw Financials'!AQ47</f>
        <v>792</v>
      </c>
      <c r="AR25" s="18">
        <f>'Raw Financials'!AR47</f>
        <v>1328</v>
      </c>
      <c r="AS25" s="18">
        <f>'Raw Financials'!AS47</f>
        <v>875</v>
      </c>
      <c r="AT25" s="18">
        <f>'Raw Financials'!AT47</f>
        <v>-412</v>
      </c>
      <c r="AU25" s="18">
        <f>'Raw Financials'!AU47</f>
        <v>1704</v>
      </c>
    </row>
    <row r="26" spans="1:47" ht="14.4">
      <c r="A26" s="1" t="s">
        <v>271</v>
      </c>
      <c r="B26" s="1" t="s">
        <v>46</v>
      </c>
      <c r="C26" s="18">
        <f>'Raw Financials'!C48</f>
        <v>625</v>
      </c>
      <c r="D26" s="18">
        <f>'Raw Financials'!D48</f>
        <v>726</v>
      </c>
      <c r="E26" s="18">
        <f>'Raw Financials'!E48</f>
        <v>790</v>
      </c>
      <c r="F26" s="18">
        <f>'Raw Financials'!F48</f>
        <v>829</v>
      </c>
      <c r="G26" s="18">
        <f>'Raw Financials'!G48</f>
        <v>331</v>
      </c>
      <c r="H26" s="18">
        <f>'Raw Financials'!H48</f>
        <v>643</v>
      </c>
      <c r="I26" s="18">
        <f>'Raw Financials'!I48</f>
        <v>672</v>
      </c>
      <c r="J26" s="18">
        <f>'Raw Financials'!J48</f>
        <v>1075</v>
      </c>
      <c r="K26" s="18">
        <f>'Raw Financials'!K48</f>
        <v>555</v>
      </c>
      <c r="L26" s="18">
        <f>'Raw Financials'!L48</f>
        <v>733</v>
      </c>
      <c r="M26" s="18">
        <f>'Raw Financials'!M48</f>
        <v>826</v>
      </c>
      <c r="N26" s="18">
        <f>'Raw Financials'!N48</f>
        <v>973</v>
      </c>
      <c r="O26" s="18">
        <f>'Raw Financials'!O48</f>
        <v>904</v>
      </c>
      <c r="P26" s="18">
        <f>'Raw Financials'!P48</f>
        <v>1167</v>
      </c>
      <c r="Q26" s="18">
        <f>'Raw Financials'!Q48</f>
        <v>1051</v>
      </c>
      <c r="R26" s="18">
        <f>'Raw Financials'!R48</f>
        <v>1099</v>
      </c>
      <c r="S26" s="18">
        <f>'Raw Financials'!S48</f>
        <v>914</v>
      </c>
      <c r="T26" s="18">
        <f>'Raw Financials'!T48</f>
        <v>1251</v>
      </c>
      <c r="U26" s="18">
        <f>'Raw Financials'!U48</f>
        <v>1285</v>
      </c>
      <c r="V26" s="18">
        <f>'Raw Financials'!V48</f>
        <v>1242</v>
      </c>
      <c r="W26" s="18">
        <f>'Raw Financials'!W48</f>
        <v>829</v>
      </c>
      <c r="X26" s="18">
        <f>'Raw Financials'!X48</f>
        <v>1222</v>
      </c>
      <c r="Y26" s="18">
        <f>'Raw Financials'!Y48</f>
        <v>1235</v>
      </c>
      <c r="Z26" s="18">
        <f>'Raw Financials'!Z48</f>
        <v>1374</v>
      </c>
      <c r="AA26" s="18">
        <f>'Raw Financials'!AA48</f>
        <v>1312</v>
      </c>
      <c r="AB26" s="18">
        <f>'Raw Financials'!AB48</f>
        <v>1615</v>
      </c>
      <c r="AC26" s="18">
        <f>'Raw Financials'!AC48</f>
        <v>1972</v>
      </c>
      <c r="AD26" s="18">
        <f>'Raw Financials'!AD48</f>
        <v>2248</v>
      </c>
      <c r="AE26" s="18">
        <f>'Raw Financials'!AE48</f>
        <v>1719</v>
      </c>
      <c r="AF26" s="18">
        <f>'Raw Financials'!AF48</f>
        <v>2206</v>
      </c>
      <c r="AG26" s="18">
        <f>'Raw Financials'!AG48</f>
        <v>2359</v>
      </c>
      <c r="AH26" s="18">
        <f>'Raw Financials'!AH48</f>
        <v>2346</v>
      </c>
      <c r="AI26" s="18">
        <f>'Raw Financials'!AI48</f>
        <v>1757</v>
      </c>
      <c r="AJ26" s="18">
        <f>'Raw Financials'!AJ48</f>
        <v>1879</v>
      </c>
      <c r="AK26" s="18">
        <f>'Raw Financials'!AK48</f>
        <v>2428</v>
      </c>
      <c r="AL26" s="18">
        <f>'Raw Financials'!AL48</f>
        <v>2292</v>
      </c>
      <c r="AM26" s="18">
        <f>'Raw Financials'!AM48</f>
        <v>1393</v>
      </c>
      <c r="AN26" s="18">
        <f>'Raw Financials'!AN48</f>
        <v>0</v>
      </c>
      <c r="AO26" s="18">
        <f>'Raw Financials'!AO48</f>
        <v>2559</v>
      </c>
      <c r="AP26" s="18">
        <f>'Raw Financials'!AP48</f>
        <v>3073</v>
      </c>
      <c r="AQ26" s="18">
        <f>'Raw Financials'!AQ48</f>
        <v>3564</v>
      </c>
      <c r="AR26" s="18">
        <f>'Raw Financials'!AR48</f>
        <v>4254</v>
      </c>
      <c r="AS26" s="18">
        <f>'Raw Financials'!AS48</f>
        <v>2967</v>
      </c>
      <c r="AT26" s="18">
        <f>'Raw Financials'!AT48</f>
        <v>6662</v>
      </c>
      <c r="AU26" s="18">
        <f>'Raw Financials'!AU48</f>
        <v>5317</v>
      </c>
    </row>
    <row r="27" spans="1:47" ht="14.4">
      <c r="A27" s="1" t="s">
        <v>272</v>
      </c>
      <c r="B27" s="1" t="s">
        <v>46</v>
      </c>
      <c r="C27" s="18">
        <f>'Raw Financials'!C49</f>
        <v>40</v>
      </c>
      <c r="D27" s="18">
        <f>'Raw Financials'!D49</f>
        <v>43</v>
      </c>
      <c r="E27" s="18">
        <f>'Raw Financials'!E49</f>
        <v>48</v>
      </c>
      <c r="F27" s="18">
        <f>'Raw Financials'!F49</f>
        <v>39</v>
      </c>
      <c r="G27" s="18">
        <f>'Raw Financials'!G49</f>
        <v>46</v>
      </c>
      <c r="H27" s="18">
        <f>'Raw Financials'!H49</f>
        <v>54</v>
      </c>
      <c r="I27" s="18">
        <f>'Raw Financials'!I49</f>
        <v>48</v>
      </c>
      <c r="J27" s="18">
        <f>'Raw Financials'!J49</f>
        <v>72</v>
      </c>
      <c r="K27" s="18">
        <f>'Raw Financials'!K49</f>
        <v>42</v>
      </c>
      <c r="L27" s="18">
        <f>'Raw Financials'!L49</f>
        <v>61</v>
      </c>
      <c r="M27" s="18">
        <f>'Raw Financials'!M49</f>
        <v>70</v>
      </c>
      <c r="N27" s="18">
        <f>'Raw Financials'!N49</f>
        <v>112</v>
      </c>
      <c r="O27" s="18">
        <f>'Raw Financials'!O49</f>
        <v>46</v>
      </c>
      <c r="P27" s="18">
        <f>'Raw Financials'!P49</f>
        <v>49</v>
      </c>
      <c r="Q27" s="18">
        <f>'Raw Financials'!Q49</f>
        <v>49</v>
      </c>
      <c r="R27" s="18">
        <f>'Raw Financials'!R49</f>
        <v>44</v>
      </c>
      <c r="S27" s="18">
        <f>'Raw Financials'!S49</f>
        <v>24</v>
      </c>
      <c r="T27" s="18">
        <f>'Raw Financials'!T49</f>
        <v>56</v>
      </c>
      <c r="U27" s="18">
        <f>'Raw Financials'!U49</f>
        <v>52</v>
      </c>
      <c r="V27" s="18">
        <f>'Raw Financials'!V49</f>
        <v>106</v>
      </c>
      <c r="W27" s="18">
        <f>'Raw Financials'!W49</f>
        <v>30</v>
      </c>
      <c r="X27" s="18">
        <f>'Raw Financials'!X49</f>
        <v>15</v>
      </c>
      <c r="Y27" s="18">
        <f>'Raw Financials'!Y49</f>
        <v>15</v>
      </c>
      <c r="Z27" s="18">
        <f>'Raw Financials'!Z49</f>
        <v>44</v>
      </c>
      <c r="AA27" s="18">
        <f>'Raw Financials'!AA49</f>
        <v>76</v>
      </c>
      <c r="AB27" s="18">
        <f>'Raw Financials'!AB49</f>
        <v>148</v>
      </c>
      <c r="AC27" s="18">
        <f>'Raw Financials'!AC49</f>
        <v>135</v>
      </c>
      <c r="AD27" s="18">
        <f>'Raw Financials'!AD49</f>
        <v>171</v>
      </c>
      <c r="AE27" s="18">
        <f>'Raw Financials'!AE49</f>
        <v>222</v>
      </c>
      <c r="AF27" s="18">
        <f>'Raw Financials'!AF49</f>
        <v>195</v>
      </c>
      <c r="AG27" s="18">
        <f>'Raw Financials'!AG49</f>
        <v>77</v>
      </c>
      <c r="AH27" s="18">
        <f>'Raw Financials'!AH49</f>
        <v>19</v>
      </c>
      <c r="AI27" s="18">
        <f>'Raw Financials'!AI49</f>
        <v>104</v>
      </c>
      <c r="AJ27" s="18">
        <f>'Raw Financials'!AJ49</f>
        <v>69</v>
      </c>
      <c r="AK27" s="18">
        <f>'Raw Financials'!AK49</f>
        <v>48</v>
      </c>
      <c r="AL27" s="18">
        <f>'Raw Financials'!AL49</f>
        <v>55</v>
      </c>
      <c r="AM27" s="18">
        <f>'Raw Financials'!AM49</f>
        <v>61</v>
      </c>
      <c r="AN27" s="18">
        <f>'Raw Financials'!AN49</f>
        <v>314</v>
      </c>
      <c r="AO27" s="18">
        <f>'Raw Financials'!AO49</f>
        <v>404</v>
      </c>
      <c r="AP27" s="18">
        <f>'Raw Financials'!AP49</f>
        <v>461</v>
      </c>
      <c r="AQ27" s="18">
        <f>'Raw Financials'!AQ49</f>
        <v>390</v>
      </c>
      <c r="AR27" s="18">
        <f>'Raw Financials'!AR49</f>
        <v>496</v>
      </c>
      <c r="AS27" s="18">
        <f>'Raw Financials'!AS49</f>
        <v>465</v>
      </c>
      <c r="AT27" s="18">
        <f>'Raw Financials'!AT49</f>
        <v>539</v>
      </c>
      <c r="AU27" s="18">
        <f>'Raw Financials'!AU49</f>
        <v>131</v>
      </c>
    </row>
    <row r="28" spans="1:47" ht="14.4">
      <c r="A28" s="1" t="s">
        <v>273</v>
      </c>
      <c r="B28" s="1" t="s">
        <v>46</v>
      </c>
      <c r="C28" s="18">
        <f>'Raw Financials'!C50</f>
        <v>585</v>
      </c>
      <c r="D28" s="18">
        <f>'Raw Financials'!D50</f>
        <v>683</v>
      </c>
      <c r="E28" s="18">
        <f>'Raw Financials'!E50</f>
        <v>742</v>
      </c>
      <c r="F28" s="18">
        <f>'Raw Financials'!F50</f>
        <v>790</v>
      </c>
      <c r="G28" s="18">
        <f>'Raw Financials'!G50</f>
        <v>285</v>
      </c>
      <c r="H28" s="18">
        <f>'Raw Financials'!H50</f>
        <v>589</v>
      </c>
      <c r="I28" s="18">
        <f>'Raw Financials'!I50</f>
        <v>624</v>
      </c>
      <c r="J28" s="18">
        <f>'Raw Financials'!J50</f>
        <v>1003</v>
      </c>
      <c r="K28" s="18">
        <f>'Raw Financials'!K50</f>
        <v>513</v>
      </c>
      <c r="L28" s="18">
        <f>'Raw Financials'!L50</f>
        <v>672</v>
      </c>
      <c r="M28" s="18">
        <f>'Raw Financials'!M50</f>
        <v>756</v>
      </c>
      <c r="N28" s="18">
        <f>'Raw Financials'!N50</f>
        <v>861</v>
      </c>
      <c r="O28" s="18">
        <f>'Raw Financials'!O50</f>
        <v>858</v>
      </c>
      <c r="P28" s="18">
        <f>'Raw Financials'!P50</f>
        <v>1118</v>
      </c>
      <c r="Q28" s="18">
        <f>'Raw Financials'!Q50</f>
        <v>1002</v>
      </c>
      <c r="R28" s="18">
        <f>'Raw Financials'!R50</f>
        <v>1055</v>
      </c>
      <c r="S28" s="18">
        <f>'Raw Financials'!S50</f>
        <v>890</v>
      </c>
      <c r="T28" s="18">
        <f>'Raw Financials'!T50</f>
        <v>1195</v>
      </c>
      <c r="U28" s="18">
        <f>'Raw Financials'!U50</f>
        <v>1233</v>
      </c>
      <c r="V28" s="18">
        <f>'Raw Financials'!V50</f>
        <v>1136</v>
      </c>
      <c r="W28" s="18">
        <f>'Raw Financials'!W50</f>
        <v>799</v>
      </c>
      <c r="X28" s="18">
        <f>'Raw Financials'!X50</f>
        <v>1207</v>
      </c>
      <c r="Y28" s="18">
        <f>'Raw Financials'!Y50</f>
        <v>1220</v>
      </c>
      <c r="Z28" s="18">
        <f>'Raw Financials'!Z50</f>
        <v>1330</v>
      </c>
      <c r="AA28" s="18">
        <f>'Raw Financials'!AA50</f>
        <v>1236</v>
      </c>
      <c r="AB28" s="18">
        <f>'Raw Financials'!AB50</f>
        <v>1467</v>
      </c>
      <c r="AC28" s="18">
        <f>'Raw Financials'!AC50</f>
        <v>1837</v>
      </c>
      <c r="AD28" s="18">
        <f>'Raw Financials'!AD50</f>
        <v>2077</v>
      </c>
      <c r="AE28" s="18">
        <f>'Raw Financials'!AE50</f>
        <v>1497</v>
      </c>
      <c r="AF28" s="18">
        <f>'Raw Financials'!AF50</f>
        <v>2011</v>
      </c>
      <c r="AG28" s="18">
        <f>'Raw Financials'!AG50</f>
        <v>2282</v>
      </c>
      <c r="AH28" s="18">
        <f>'Raw Financials'!AH50</f>
        <v>2327</v>
      </c>
      <c r="AI28" s="18">
        <f>'Raw Financials'!AI50</f>
        <v>1653</v>
      </c>
      <c r="AJ28" s="18">
        <f>'Raw Financials'!AJ50</f>
        <v>1810</v>
      </c>
      <c r="AK28" s="18">
        <f>'Raw Financials'!AK50</f>
        <v>2380</v>
      </c>
      <c r="AL28" s="18">
        <f>'Raw Financials'!AL50</f>
        <v>2237</v>
      </c>
      <c r="AM28" s="18">
        <f>'Raw Financials'!AM50</f>
        <v>1332</v>
      </c>
      <c r="AN28" s="18">
        <f>'Raw Financials'!AN50</f>
        <v>0</v>
      </c>
      <c r="AO28" s="18">
        <f>'Raw Financials'!AO50</f>
        <v>2155</v>
      </c>
      <c r="AP28" s="18">
        <f>'Raw Financials'!AP50</f>
        <v>2612</v>
      </c>
      <c r="AQ28" s="18">
        <f>'Raw Financials'!AQ50</f>
        <v>3174</v>
      </c>
      <c r="AR28" s="18">
        <f>'Raw Financials'!AR50</f>
        <v>3758</v>
      </c>
      <c r="AS28" s="18">
        <f>'Raw Financials'!AS50</f>
        <v>2502</v>
      </c>
      <c r="AT28" s="18">
        <f>'Raw Financials'!AT50</f>
        <v>6123</v>
      </c>
      <c r="AU28" s="18">
        <f>'Raw Financials'!AU50</f>
        <v>5186</v>
      </c>
    </row>
    <row r="29" spans="1:47" ht="14.4">
      <c r="A29" s="1" t="s">
        <v>455</v>
      </c>
      <c r="B29" s="1" t="s">
        <v>48</v>
      </c>
      <c r="C29" s="19">
        <f t="shared" ref="C29:AU29" si="4">IFERROR(C28/C6,"")</f>
        <v>9.1249415067852127E-2</v>
      </c>
      <c r="D29" s="19">
        <f t="shared" si="4"/>
        <v>0.10075232335152677</v>
      </c>
      <c r="E29" s="19">
        <f t="shared" si="4"/>
        <v>0.10932665389715633</v>
      </c>
      <c r="F29" s="19">
        <f t="shared" si="4"/>
        <v>0.11537899810135827</v>
      </c>
      <c r="G29" s="19">
        <f t="shared" si="4"/>
        <v>4.2492917847025496E-2</v>
      </c>
      <c r="H29" s="19">
        <f t="shared" si="4"/>
        <v>8.5005051233944293E-2</v>
      </c>
      <c r="I29" s="19">
        <f t="shared" si="4"/>
        <v>8.9939463822427207E-2</v>
      </c>
      <c r="J29" s="19">
        <f t="shared" si="4"/>
        <v>0.13468510809722037</v>
      </c>
      <c r="K29" s="19">
        <f t="shared" si="4"/>
        <v>7.2365636902242916E-2</v>
      </c>
      <c r="L29" s="19">
        <f t="shared" si="4"/>
        <v>9.115572436245252E-2</v>
      </c>
      <c r="M29" s="19">
        <f t="shared" si="4"/>
        <v>9.9933906146728355E-2</v>
      </c>
      <c r="N29" s="19">
        <f t="shared" si="4"/>
        <v>0.10915314401622718</v>
      </c>
      <c r="O29" s="19">
        <f t="shared" si="4"/>
        <v>0.10401260758879864</v>
      </c>
      <c r="P29" s="19">
        <f t="shared" si="4"/>
        <v>0.12320916905444126</v>
      </c>
      <c r="Q29" s="19">
        <f t="shared" si="4"/>
        <v>0.10311824637233714</v>
      </c>
      <c r="R29" s="19">
        <f t="shared" si="4"/>
        <v>0.10851676609751081</v>
      </c>
      <c r="S29" s="19">
        <f t="shared" si="4"/>
        <v>9.2737313743878294E-2</v>
      </c>
      <c r="T29" s="19">
        <f t="shared" si="4"/>
        <v>0.1150698122291767</v>
      </c>
      <c r="U29" s="19">
        <f t="shared" si="4"/>
        <v>0.11486864169927334</v>
      </c>
      <c r="V29" s="19">
        <f t="shared" si="4"/>
        <v>0.10240692328495447</v>
      </c>
      <c r="W29" s="19">
        <f t="shared" si="4"/>
        <v>7.559129612109744E-2</v>
      </c>
      <c r="X29" s="19">
        <f t="shared" si="4"/>
        <v>0.10461991852301292</v>
      </c>
      <c r="Y29" s="19">
        <f t="shared" si="4"/>
        <v>0.10246934318830841</v>
      </c>
      <c r="Z29" s="19">
        <f t="shared" si="4"/>
        <v>0.10543004359889022</v>
      </c>
      <c r="AA29" s="19">
        <f t="shared" si="4"/>
        <v>8.4564860426929386E-2</v>
      </c>
      <c r="AB29" s="19">
        <f t="shared" si="4"/>
        <v>9.3475213457372239E-2</v>
      </c>
      <c r="AC29" s="19">
        <f t="shared" si="4"/>
        <v>0.11078945781315964</v>
      </c>
      <c r="AD29" s="19">
        <f t="shared" si="4"/>
        <v>0.11916920075735843</v>
      </c>
      <c r="AE29" s="19">
        <f t="shared" si="4"/>
        <v>8.183010823220728E-2</v>
      </c>
      <c r="AF29" s="19">
        <f t="shared" si="4"/>
        <v>0.10263345922221088</v>
      </c>
      <c r="AG29" s="19">
        <f t="shared" si="4"/>
        <v>0.11100301585757369</v>
      </c>
      <c r="AH29" s="19">
        <f t="shared" si="4"/>
        <v>0.10723502304147466</v>
      </c>
      <c r="AI29" s="19">
        <f t="shared" si="4"/>
        <v>7.4425934263845112E-2</v>
      </c>
      <c r="AJ29" s="19">
        <f t="shared" si="4"/>
        <v>7.9518495738511552E-2</v>
      </c>
      <c r="AK29" s="19">
        <f t="shared" si="4"/>
        <v>0.10244049412473637</v>
      </c>
      <c r="AL29" s="19">
        <f t="shared" si="4"/>
        <v>9.4848420606317568E-2</v>
      </c>
      <c r="AM29" s="19">
        <f t="shared" si="4"/>
        <v>5.5481506164611796E-2</v>
      </c>
      <c r="AN29" s="19">
        <f t="shared" si="4"/>
        <v>0</v>
      </c>
      <c r="AO29" s="19">
        <f t="shared" si="4"/>
        <v>6.4944849617262365E-2</v>
      </c>
      <c r="AP29" s="19">
        <f t="shared" si="4"/>
        <v>7.6325170942668455E-2</v>
      </c>
      <c r="AQ29" s="19">
        <f t="shared" si="4"/>
        <v>8.6048907444558911E-2</v>
      </c>
      <c r="AR29" s="19">
        <f t="shared" si="4"/>
        <v>9.4287076297764505E-2</v>
      </c>
      <c r="AS29" s="19">
        <f t="shared" si="4"/>
        <v>5.9740693870728973E-2</v>
      </c>
      <c r="AT29" s="19">
        <f t="shared" si="4"/>
        <v>0.13758313859428367</v>
      </c>
      <c r="AU29" s="19">
        <f t="shared" si="4"/>
        <v>9.3818405485102299E-2</v>
      </c>
    </row>
    <row r="30" spans="1:47" ht="14.4">
      <c r="A30" s="1" t="s">
        <v>274</v>
      </c>
      <c r="B30" s="1" t="s">
        <v>58</v>
      </c>
      <c r="C30" s="20">
        <f>'Raw Financials'!C51</f>
        <v>9.6</v>
      </c>
      <c r="D30" s="20">
        <f>'Raw Financials'!D51</f>
        <v>11.2</v>
      </c>
      <c r="E30" s="20">
        <f>'Raw Financials'!E51</f>
        <v>12.1</v>
      </c>
      <c r="F30" s="20">
        <f>'Raw Financials'!F51</f>
        <v>12.9</v>
      </c>
      <c r="G30" s="20">
        <f>'Raw Financials'!G51</f>
        <v>4.7</v>
      </c>
      <c r="H30" s="20">
        <f>'Raw Financials'!H51</f>
        <v>9.6</v>
      </c>
      <c r="I30" s="20">
        <f>'Raw Financials'!I51</f>
        <v>10.1</v>
      </c>
      <c r="J30" s="20">
        <f>'Raw Financials'!J51</f>
        <v>16.3</v>
      </c>
      <c r="K30" s="20">
        <f>'Raw Financials'!K51</f>
        <v>8.4</v>
      </c>
      <c r="L30" s="20">
        <f>'Raw Financials'!L51</f>
        <v>11</v>
      </c>
      <c r="M30" s="20">
        <f>'Raw Financials'!M51</f>
        <v>12.3</v>
      </c>
      <c r="N30" s="20">
        <f>'Raw Financials'!N51</f>
        <v>14</v>
      </c>
      <c r="O30" s="20">
        <f>'Raw Financials'!O51</f>
        <v>14</v>
      </c>
      <c r="P30" s="20">
        <f>'Raw Financials'!P51</f>
        <v>18.2</v>
      </c>
      <c r="Q30" s="20">
        <f>'Raw Financials'!Q51</f>
        <v>16.3</v>
      </c>
      <c r="R30" s="20">
        <f>'Raw Financials'!R51</f>
        <v>17.100000000000001</v>
      </c>
      <c r="S30" s="20">
        <f>'Raw Financials'!S51</f>
        <v>14.4</v>
      </c>
      <c r="T30" s="20">
        <f>'Raw Financials'!T51</f>
        <v>19.3</v>
      </c>
      <c r="U30" s="20">
        <f>'Raw Financials'!U51</f>
        <v>19.8</v>
      </c>
      <c r="V30" s="20">
        <f>'Raw Financials'!V51</f>
        <v>18.2</v>
      </c>
      <c r="W30" s="20">
        <f>'Raw Financials'!W51</f>
        <v>12.8</v>
      </c>
      <c r="X30" s="20">
        <f>'Raw Financials'!X51</f>
        <v>19.899999999999999</v>
      </c>
      <c r="Y30" s="20">
        <f>'Raw Financials'!Y51</f>
        <v>20.100000000000001</v>
      </c>
      <c r="Z30" s="20">
        <f>'Raw Financials'!Z51</f>
        <v>21.9</v>
      </c>
      <c r="AA30" s="20">
        <f>'Raw Financials'!AA51</f>
        <v>20.399999999999999</v>
      </c>
      <c r="AB30" s="20">
        <f>'Raw Financials'!AB51</f>
        <v>24.2</v>
      </c>
      <c r="AC30" s="20">
        <f>'Raw Financials'!AC51</f>
        <v>30.3</v>
      </c>
      <c r="AD30" s="20">
        <f>'Raw Financials'!AD51</f>
        <v>34.1</v>
      </c>
      <c r="AE30" s="20">
        <f>'Raw Financials'!AE51</f>
        <v>24.6</v>
      </c>
      <c r="AF30" s="20">
        <f>'Raw Financials'!AF51</f>
        <v>33</v>
      </c>
      <c r="AG30" s="20">
        <f>'Raw Financials'!AG51</f>
        <v>37.4</v>
      </c>
      <c r="AH30" s="20">
        <f>'Raw Financials'!AH51</f>
        <v>38.1</v>
      </c>
      <c r="AI30" s="20">
        <f>'Raw Financials'!AI51</f>
        <v>27</v>
      </c>
      <c r="AJ30" s="20">
        <f>'Raw Financials'!AJ51</f>
        <v>29.6</v>
      </c>
      <c r="AK30" s="20">
        <f>'Raw Financials'!AK51</f>
        <v>38.6</v>
      </c>
      <c r="AL30" s="20">
        <f>'Raw Financials'!AL51</f>
        <v>36.200000000000003</v>
      </c>
      <c r="AM30" s="20">
        <f>'Raw Financials'!AM51</f>
        <v>20.9</v>
      </c>
      <c r="AN30" s="20">
        <f>'Raw Financials'!AN51</f>
        <v>30.3</v>
      </c>
      <c r="AO30" s="20">
        <f>'Raw Financials'!AO51</f>
        <v>32.299999999999997</v>
      </c>
      <c r="AP30" s="20">
        <f>'Raw Financials'!AP51</f>
        <v>7.5</v>
      </c>
      <c r="AQ30" s="20">
        <f>'Raw Financials'!AQ51</f>
        <v>7.4</v>
      </c>
      <c r="AR30" s="20">
        <f>'Raw Financials'!AR51</f>
        <v>11.2</v>
      </c>
      <c r="AS30" s="20">
        <f>'Raw Financials'!AS51</f>
        <v>7.5</v>
      </c>
      <c r="AT30" s="20">
        <f>'Raw Financials'!AT51</f>
        <v>18.2</v>
      </c>
      <c r="AU30" s="20">
        <f>'Raw Financials'!AU51</f>
        <v>12.3</v>
      </c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AU1"/>
    <mergeCell ref="A2:A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8" t="s">
        <v>456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457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3"/>
      <c r="O6" s="53"/>
      <c r="P6" s="53"/>
      <c r="Q6" s="5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45</v>
      </c>
      <c r="B7" s="1" t="s">
        <v>46</v>
      </c>
      <c r="C7" s="18">
        <f>'Raw Financials'!C6</f>
        <v>26824.048783999999</v>
      </c>
      <c r="D7" s="18">
        <f>'Raw Financials'!D6</f>
        <v>28021</v>
      </c>
      <c r="E7" s="18">
        <f>'Raw Financials'!E6</f>
        <v>29914</v>
      </c>
      <c r="F7" s="18">
        <f>'Raw Financials'!F6</f>
        <v>36762</v>
      </c>
      <c r="G7" s="18">
        <f>'Raw Financials'!G6</f>
        <v>41839</v>
      </c>
      <c r="H7" s="18">
        <f>'Raw Financials'!H6</f>
        <v>46628</v>
      </c>
      <c r="I7" s="18">
        <f>'Raw Financials'!I6</f>
        <v>64320</v>
      </c>
      <c r="J7" s="18">
        <f>'Raw Financials'!J6</f>
        <v>80146</v>
      </c>
      <c r="K7" s="18">
        <f>'Raw Financials'!K6</f>
        <v>91790</v>
      </c>
      <c r="L7" s="18">
        <f>'Raw Financials'!L6</f>
        <v>120733</v>
      </c>
      <c r="M7" s="18">
        <f>'Raw Financials'!M6</f>
        <v>164027</v>
      </c>
      <c r="N7" s="25">
        <f>'Order Book &amp; Revenue'!N31</f>
        <v>228523.774026</v>
      </c>
      <c r="O7" s="25">
        <f>'Order Book &amp; Revenue'!O31</f>
        <v>293835.96054016938</v>
      </c>
      <c r="P7" s="25">
        <f>'Order Book &amp; Revenue'!P31</f>
        <v>369616.09205215255</v>
      </c>
      <c r="Q7" s="25">
        <f>'Order Book &amp; Revenue'!Q31</f>
        <v>457101.52226333285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47</v>
      </c>
      <c r="B8" s="1" t="s">
        <v>48</v>
      </c>
      <c r="C8" s="1"/>
      <c r="D8" s="19">
        <f t="shared" ref="D8:Q8" si="0">IFERROR(D7/C7-1,"")</f>
        <v>4.462231729588706E-2</v>
      </c>
      <c r="E8" s="19">
        <f t="shared" si="0"/>
        <v>6.7556475500517577E-2</v>
      </c>
      <c r="F8" s="19">
        <f t="shared" si="0"/>
        <v>0.22892291234873308</v>
      </c>
      <c r="G8" s="19">
        <f t="shared" si="0"/>
        <v>0.13810456449594688</v>
      </c>
      <c r="H8" s="19">
        <f t="shared" si="0"/>
        <v>0.11446258275771415</v>
      </c>
      <c r="I8" s="19">
        <f t="shared" si="0"/>
        <v>0.37942866946898857</v>
      </c>
      <c r="J8" s="19">
        <f t="shared" si="0"/>
        <v>0.24605099502487571</v>
      </c>
      <c r="K8" s="19">
        <f t="shared" si="0"/>
        <v>0.14528485513937062</v>
      </c>
      <c r="L8" s="19">
        <f t="shared" si="0"/>
        <v>0.31531757272033989</v>
      </c>
      <c r="M8" s="19">
        <f t="shared" si="0"/>
        <v>0.35859292819693045</v>
      </c>
      <c r="N8" s="24">
        <f t="shared" si="0"/>
        <v>0.39320827684466586</v>
      </c>
      <c r="O8" s="24">
        <f t="shared" si="0"/>
        <v>0.28580040213557201</v>
      </c>
      <c r="P8" s="24">
        <f t="shared" si="0"/>
        <v>0.25789944625114569</v>
      </c>
      <c r="Q8" s="24">
        <f t="shared" si="0"/>
        <v>0.23669269843055463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321</v>
      </c>
      <c r="B9" s="1" t="s">
        <v>46</v>
      </c>
      <c r="C9" s="18">
        <f>SUM('Raw Financials'!C9,'Raw Financials'!C10,'Raw Financials'!C11,'Raw Financials'!C12)</f>
        <v>15694.797781000001</v>
      </c>
      <c r="D9" s="18">
        <f>SUM('Raw Financials'!D9,'Raw Financials'!D10,'Raw Financials'!D11,'Raw Financials'!D12)</f>
        <v>16654</v>
      </c>
      <c r="E9" s="18">
        <f>SUM('Raw Financials'!E9,'Raw Financials'!E10,'Raw Financials'!E11,'Raw Financials'!E12)</f>
        <v>17918</v>
      </c>
      <c r="F9" s="18">
        <f>SUM('Raw Financials'!F9,'Raw Financials'!F10,'Raw Financials'!F11,'Raw Financials'!F12)</f>
        <v>21823</v>
      </c>
      <c r="G9" s="18">
        <f>SUM('Raw Financials'!G9,'Raw Financials'!G10,'Raw Financials'!G11,'Raw Financials'!G12)</f>
        <v>26142</v>
      </c>
      <c r="H9" s="18">
        <f>SUM('Raw Financials'!H9,'Raw Financials'!H10,'Raw Financials'!H11,'Raw Financials'!H12)</f>
        <v>30093</v>
      </c>
      <c r="I9" s="18">
        <f>SUM('Raw Financials'!I9,'Raw Financials'!I10,'Raw Financials'!I11,'Raw Financials'!I12)</f>
        <v>40070</v>
      </c>
      <c r="J9" s="18">
        <f>SUM('Raw Financials'!J9,'Raw Financials'!J10,'Raw Financials'!J11,'Raw Financials'!J12)</f>
        <v>48831</v>
      </c>
      <c r="K9" s="18">
        <f t="shared" ref="K9:Q9" si="1">K7-K10</f>
        <v>61866.46</v>
      </c>
      <c r="L9" s="18">
        <f t="shared" si="1"/>
        <v>80045.978999999992</v>
      </c>
      <c r="M9" s="18">
        <f t="shared" si="1"/>
        <v>108585.874</v>
      </c>
      <c r="N9" s="25">
        <f t="shared" si="1"/>
        <v>150140.11953508199</v>
      </c>
      <c r="O9" s="25">
        <f t="shared" si="1"/>
        <v>191874.88223273063</v>
      </c>
      <c r="P9" s="25">
        <f t="shared" si="1"/>
        <v>240250.45983389916</v>
      </c>
      <c r="Q9" s="25">
        <f t="shared" si="1"/>
        <v>295744.68490437639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29" t="s">
        <v>322</v>
      </c>
      <c r="B10" s="27" t="s">
        <v>46</v>
      </c>
      <c r="C10" s="28">
        <f t="shared" ref="C10:J10" si="2">C7-C9</f>
        <v>11129.251002999998</v>
      </c>
      <c r="D10" s="28">
        <f t="shared" si="2"/>
        <v>11367</v>
      </c>
      <c r="E10" s="28">
        <f t="shared" si="2"/>
        <v>11996</v>
      </c>
      <c r="F10" s="28">
        <f t="shared" si="2"/>
        <v>14939</v>
      </c>
      <c r="G10" s="28">
        <f t="shared" si="2"/>
        <v>15697</v>
      </c>
      <c r="H10" s="28">
        <f t="shared" si="2"/>
        <v>16535</v>
      </c>
      <c r="I10" s="28">
        <f t="shared" si="2"/>
        <v>24250</v>
      </c>
      <c r="J10" s="28">
        <f t="shared" si="2"/>
        <v>31315</v>
      </c>
      <c r="K10" s="28">
        <f>K7*'Raw Operating'!K41</f>
        <v>29923.54</v>
      </c>
      <c r="L10" s="28">
        <f>L7*'Raw Operating'!L41</f>
        <v>40687.021000000001</v>
      </c>
      <c r="M10" s="28">
        <f>M7*'Raw Operating'!M41</f>
        <v>55441.126000000004</v>
      </c>
      <c r="N10" s="30">
        <f>N7*Assumptions!C20</f>
        <v>78383.654490918008</v>
      </c>
      <c r="O10" s="30">
        <f>O7*Assumptions!D20</f>
        <v>101961.07830743877</v>
      </c>
      <c r="P10" s="30">
        <f>P7*Assumptions!E20</f>
        <v>129365.63221825339</v>
      </c>
      <c r="Q10" s="30">
        <f>Q7*Assumptions!F20</f>
        <v>161356.83735895649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52</v>
      </c>
      <c r="B11" s="1" t="s">
        <v>48</v>
      </c>
      <c r="C11" s="19">
        <f t="shared" ref="C11:J11" si="3">IFERROR(C10/C7,"")</f>
        <v>0.41489825389962642</v>
      </c>
      <c r="D11" s="19">
        <f t="shared" si="3"/>
        <v>0.40566004068377287</v>
      </c>
      <c r="E11" s="19">
        <f t="shared" si="3"/>
        <v>0.4010162465735107</v>
      </c>
      <c r="F11" s="19">
        <f t="shared" si="3"/>
        <v>0.40637070888417387</v>
      </c>
      <c r="G11" s="19">
        <f t="shared" si="3"/>
        <v>0.37517627094337819</v>
      </c>
      <c r="H11" s="19">
        <f t="shared" si="3"/>
        <v>0.35461525263789995</v>
      </c>
      <c r="I11" s="19">
        <f t="shared" si="3"/>
        <v>0.37702114427860695</v>
      </c>
      <c r="J11" s="19">
        <f t="shared" si="3"/>
        <v>0.39072442791904771</v>
      </c>
      <c r="K11" s="19">
        <f t="shared" ref="K11:Q11" si="4">K10/K7</f>
        <v>0.32600000000000001</v>
      </c>
      <c r="L11" s="19">
        <f t="shared" si="4"/>
        <v>0.33700000000000002</v>
      </c>
      <c r="M11" s="19">
        <f t="shared" si="4"/>
        <v>0.33800000000000002</v>
      </c>
      <c r="N11" s="24">
        <f t="shared" si="4"/>
        <v>0.34300000000000003</v>
      </c>
      <c r="O11" s="24">
        <f t="shared" si="4"/>
        <v>0.34699999999999998</v>
      </c>
      <c r="P11" s="24">
        <f t="shared" si="4"/>
        <v>0.35</v>
      </c>
      <c r="Q11" s="24">
        <f t="shared" si="4"/>
        <v>0.35299999999999998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323</v>
      </c>
      <c r="B12" s="1" t="s">
        <v>46</v>
      </c>
      <c r="C12" s="18">
        <f>'Raw Financials'!C13</f>
        <v>6287.5291209999996</v>
      </c>
      <c r="D12" s="18">
        <f>'Raw Financials'!D13</f>
        <v>6573</v>
      </c>
      <c r="E12" s="18">
        <f>'Raw Financials'!E13</f>
        <v>6983</v>
      </c>
      <c r="F12" s="18">
        <f>'Raw Financials'!F13</f>
        <v>8454</v>
      </c>
      <c r="G12" s="18">
        <f>'Raw Financials'!G13</f>
        <v>8464</v>
      </c>
      <c r="H12" s="18">
        <f>'Raw Financials'!H13</f>
        <v>8740</v>
      </c>
      <c r="I12" s="18">
        <f>'Raw Financials'!I13</f>
        <v>13231</v>
      </c>
      <c r="J12" s="18">
        <f>'Raw Financials'!J13</f>
        <v>18508</v>
      </c>
      <c r="K12" s="18">
        <f>K10-K13</f>
        <v>13768.500000000002</v>
      </c>
      <c r="L12" s="18">
        <f>L10-L13</f>
        <v>23422.202000000001</v>
      </c>
      <c r="M12" s="18">
        <f>M10-M13</f>
        <v>24932.104000000003</v>
      </c>
      <c r="N12" s="25">
        <f>N7*Assumptions!C21</f>
        <v>31536.280815588001</v>
      </c>
      <c r="O12" s="25">
        <f>O7*Assumptions!D21</f>
        <v>39667.854672922869</v>
      </c>
      <c r="P12" s="25">
        <f>P7*Assumptions!E21</f>
        <v>48789.324150884138</v>
      </c>
      <c r="Q12" s="25">
        <f>Q7*Assumptions!F21</f>
        <v>59423.197894233272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29" t="s">
        <v>324</v>
      </c>
      <c r="B13" s="27" t="s">
        <v>46</v>
      </c>
      <c r="C13" s="28">
        <f t="shared" ref="C13:J13" si="5">C10-C12</f>
        <v>4841.721881999998</v>
      </c>
      <c r="D13" s="28">
        <f t="shared" si="5"/>
        <v>4794</v>
      </c>
      <c r="E13" s="28">
        <f t="shared" si="5"/>
        <v>5013</v>
      </c>
      <c r="F13" s="28">
        <f t="shared" si="5"/>
        <v>6485</v>
      </c>
      <c r="G13" s="28">
        <f t="shared" si="5"/>
        <v>7233</v>
      </c>
      <c r="H13" s="28">
        <f t="shared" si="5"/>
        <v>7795</v>
      </c>
      <c r="I13" s="28">
        <f t="shared" si="5"/>
        <v>11019</v>
      </c>
      <c r="J13" s="28">
        <f t="shared" si="5"/>
        <v>12807</v>
      </c>
      <c r="K13" s="28">
        <f>K7*'Raw Operating'!K42</f>
        <v>16155.039999999999</v>
      </c>
      <c r="L13" s="28">
        <f>L7*'Raw Operating'!L42</f>
        <v>17264.819</v>
      </c>
      <c r="M13" s="28">
        <f>M7*'Raw Operating'!M42</f>
        <v>30509.022000000001</v>
      </c>
      <c r="N13" s="30">
        <f>N10-N12</f>
        <v>46847.373675330004</v>
      </c>
      <c r="O13" s="30">
        <f>O10-O12</f>
        <v>62293.223634515904</v>
      </c>
      <c r="P13" s="30">
        <f>P10-P12</f>
        <v>80576.308067369246</v>
      </c>
      <c r="Q13" s="30">
        <f>Q10-Q12</f>
        <v>101933.63946472321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53</v>
      </c>
      <c r="B14" s="1" t="s">
        <v>48</v>
      </c>
      <c r="C14" s="19">
        <f t="shared" ref="C14:J14" si="6">IFERROR(C13/C7,"")</f>
        <v>0.18049929453185259</v>
      </c>
      <c r="D14" s="19">
        <f t="shared" si="6"/>
        <v>0.17108597123585881</v>
      </c>
      <c r="E14" s="19">
        <f t="shared" si="6"/>
        <v>0.16758039713846359</v>
      </c>
      <c r="F14" s="19">
        <f t="shared" si="6"/>
        <v>0.17640498340677874</v>
      </c>
      <c r="G14" s="19">
        <f t="shared" si="6"/>
        <v>0.17287698080738068</v>
      </c>
      <c r="H14" s="19">
        <f t="shared" si="6"/>
        <v>0.16717423007634896</v>
      </c>
      <c r="I14" s="19">
        <f t="shared" si="6"/>
        <v>0.17131529850746269</v>
      </c>
      <c r="J14" s="19">
        <f t="shared" si="6"/>
        <v>0.15979587253262795</v>
      </c>
      <c r="K14" s="19">
        <f t="shared" ref="K14:Q14" si="7">K13/K7</f>
        <v>0.17599999999999999</v>
      </c>
      <c r="L14" s="19">
        <f t="shared" si="7"/>
        <v>0.14299999999999999</v>
      </c>
      <c r="M14" s="19">
        <f t="shared" si="7"/>
        <v>0.186</v>
      </c>
      <c r="N14" s="24">
        <f t="shared" si="7"/>
        <v>0.20500000000000002</v>
      </c>
      <c r="O14" s="24">
        <f t="shared" si="7"/>
        <v>0.21199999999999997</v>
      </c>
      <c r="P14" s="24">
        <f t="shared" si="7"/>
        <v>0.21799999999999997</v>
      </c>
      <c r="Q14" s="24">
        <f t="shared" si="7"/>
        <v>0.22299999999999995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172</v>
      </c>
      <c r="B15" s="1" t="s">
        <v>46</v>
      </c>
      <c r="C15" s="18">
        <f>0</f>
        <v>0</v>
      </c>
      <c r="D15" s="18">
        <f>0</f>
        <v>0</v>
      </c>
      <c r="E15" s="18">
        <f>0</f>
        <v>0</v>
      </c>
      <c r="F15" s="18">
        <f>0</f>
        <v>0</v>
      </c>
      <c r="G15" s="18">
        <f>0</f>
        <v>0</v>
      </c>
      <c r="H15" s="18">
        <f>0</f>
        <v>0</v>
      </c>
      <c r="I15" s="18">
        <f>0</f>
        <v>0</v>
      </c>
      <c r="J15" s="18">
        <f>0</f>
        <v>0</v>
      </c>
      <c r="K15" s="18">
        <f>0</f>
        <v>0</v>
      </c>
      <c r="L15" s="18">
        <f>0</f>
        <v>0</v>
      </c>
      <c r="M15" s="18">
        <f>0</f>
        <v>0</v>
      </c>
      <c r="N15" s="25">
        <f>N7*Assumptions!C22</f>
        <v>1371.142644156</v>
      </c>
      <c r="O15" s="25">
        <f>O7*Assumptions!D22</f>
        <v>1763.0157632410164</v>
      </c>
      <c r="P15" s="25">
        <f>P7*Assumptions!E22</f>
        <v>2217.6965523129152</v>
      </c>
      <c r="Q15" s="25">
        <f>Q7*Assumptions!F22</f>
        <v>2742.609133579997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29" t="s">
        <v>54</v>
      </c>
      <c r="B16" s="27" t="s">
        <v>46</v>
      </c>
      <c r="C16" s="28">
        <f t="shared" ref="C16:Q16" si="8">C13-C15</f>
        <v>4841.721881999998</v>
      </c>
      <c r="D16" s="28">
        <f t="shared" si="8"/>
        <v>4794</v>
      </c>
      <c r="E16" s="28">
        <f t="shared" si="8"/>
        <v>5013</v>
      </c>
      <c r="F16" s="28">
        <f t="shared" si="8"/>
        <v>6485</v>
      </c>
      <c r="G16" s="28">
        <f t="shared" si="8"/>
        <v>7233</v>
      </c>
      <c r="H16" s="28">
        <f t="shared" si="8"/>
        <v>7795</v>
      </c>
      <c r="I16" s="28">
        <f t="shared" si="8"/>
        <v>11019</v>
      </c>
      <c r="J16" s="28">
        <f t="shared" si="8"/>
        <v>12807</v>
      </c>
      <c r="K16" s="28">
        <f t="shared" si="8"/>
        <v>16155.039999999999</v>
      </c>
      <c r="L16" s="28">
        <f t="shared" si="8"/>
        <v>17264.819</v>
      </c>
      <c r="M16" s="28">
        <f t="shared" si="8"/>
        <v>30509.022000000001</v>
      </c>
      <c r="N16" s="30">
        <f t="shared" si="8"/>
        <v>45476.231031174</v>
      </c>
      <c r="O16" s="30">
        <f t="shared" si="8"/>
        <v>60530.207871274884</v>
      </c>
      <c r="P16" s="30">
        <f t="shared" si="8"/>
        <v>78358.611515056327</v>
      </c>
      <c r="Q16" s="30">
        <f t="shared" si="8"/>
        <v>99191.030331143207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52" t="s">
        <v>454</v>
      </c>
      <c r="B17" s="52" t="s">
        <v>48</v>
      </c>
      <c r="C17" s="54">
        <f t="shared" ref="C17:J17" si="9">IFERROR(C16/C7,"")</f>
        <v>0.18049929453185259</v>
      </c>
      <c r="D17" s="54">
        <f t="shared" si="9"/>
        <v>0.17108597123585881</v>
      </c>
      <c r="E17" s="54">
        <f t="shared" si="9"/>
        <v>0.16758039713846359</v>
      </c>
      <c r="F17" s="54">
        <f t="shared" si="9"/>
        <v>0.17640498340677874</v>
      </c>
      <c r="G17" s="54">
        <f t="shared" si="9"/>
        <v>0.17287698080738068</v>
      </c>
      <c r="H17" s="54">
        <f t="shared" si="9"/>
        <v>0.16717423007634896</v>
      </c>
      <c r="I17" s="54">
        <f t="shared" si="9"/>
        <v>0.17131529850746269</v>
      </c>
      <c r="J17" s="54">
        <f t="shared" si="9"/>
        <v>0.15979587253262795</v>
      </c>
      <c r="K17" s="54">
        <f t="shared" ref="K17:Q17" si="10">K16/K7</f>
        <v>0.17599999999999999</v>
      </c>
      <c r="L17" s="54">
        <f t="shared" si="10"/>
        <v>0.14299999999999999</v>
      </c>
      <c r="M17" s="54">
        <f t="shared" si="10"/>
        <v>0.186</v>
      </c>
      <c r="N17" s="55">
        <f t="shared" si="10"/>
        <v>0.19900000000000001</v>
      </c>
      <c r="O17" s="55">
        <f t="shared" si="10"/>
        <v>0.20599999999999996</v>
      </c>
      <c r="P17" s="55">
        <f t="shared" si="10"/>
        <v>0.21199999999999997</v>
      </c>
      <c r="Q17" s="55">
        <f t="shared" si="10"/>
        <v>0.21699999999999994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264</v>
      </c>
      <c r="B18" s="1" t="s">
        <v>46</v>
      </c>
      <c r="C18" s="18">
        <f>'Raw Financials'!C15</f>
        <v>1101.2935480000001</v>
      </c>
      <c r="D18" s="18">
        <f>'Raw Financials'!D15</f>
        <v>1277</v>
      </c>
      <c r="E18" s="18">
        <f>'Raw Financials'!E15</f>
        <v>1274</v>
      </c>
      <c r="F18" s="18">
        <f>'Raw Financials'!F15</f>
        <v>1248</v>
      </c>
      <c r="G18" s="18">
        <f>'Raw Financials'!G15</f>
        <v>1730</v>
      </c>
      <c r="H18" s="18">
        <f>'Raw Financials'!H15</f>
        <v>1836</v>
      </c>
      <c r="I18" s="18">
        <f>'Raw Financials'!I15</f>
        <v>2272</v>
      </c>
      <c r="J18" s="18">
        <f>'Raw Financials'!J15</f>
        <v>2585</v>
      </c>
      <c r="K18" s="18">
        <f>'Raw Financials'!K15</f>
        <v>3186</v>
      </c>
      <c r="L18" s="18">
        <f>'Raw Financials'!L15</f>
        <v>4276</v>
      </c>
      <c r="M18" s="18">
        <f>'Raw Financials'!M15</f>
        <v>6819</v>
      </c>
      <c r="N18" s="25">
        <f>N7*Assumptions!C23</f>
        <v>11197.664927274</v>
      </c>
      <c r="O18" s="25">
        <f>O7*Assumptions!D23</f>
        <v>13516.454184847791</v>
      </c>
      <c r="P18" s="25">
        <f>P7*Assumptions!E23</f>
        <v>15893.491958242559</v>
      </c>
      <c r="Q18" s="25">
        <f>Q7*Assumptions!F23</f>
        <v>18284.060890533314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29" t="s">
        <v>326</v>
      </c>
      <c r="B19" s="27" t="s">
        <v>46</v>
      </c>
      <c r="C19" s="28">
        <f t="shared" ref="C19:Q19" si="11">C16-C18</f>
        <v>3740.4283339999979</v>
      </c>
      <c r="D19" s="28">
        <f t="shared" si="11"/>
        <v>3517</v>
      </c>
      <c r="E19" s="28">
        <f t="shared" si="11"/>
        <v>3739</v>
      </c>
      <c r="F19" s="28">
        <f t="shared" si="11"/>
        <v>5237</v>
      </c>
      <c r="G19" s="28">
        <f t="shared" si="11"/>
        <v>5503</v>
      </c>
      <c r="H19" s="28">
        <f t="shared" si="11"/>
        <v>5959</v>
      </c>
      <c r="I19" s="28">
        <f t="shared" si="11"/>
        <v>8747</v>
      </c>
      <c r="J19" s="28">
        <f t="shared" si="11"/>
        <v>10222</v>
      </c>
      <c r="K19" s="28">
        <f t="shared" si="11"/>
        <v>12969.039999999999</v>
      </c>
      <c r="L19" s="28">
        <f t="shared" si="11"/>
        <v>12988.819</v>
      </c>
      <c r="M19" s="28">
        <f t="shared" si="11"/>
        <v>23690.022000000001</v>
      </c>
      <c r="N19" s="30">
        <f t="shared" si="11"/>
        <v>34278.566103899997</v>
      </c>
      <c r="O19" s="30">
        <f t="shared" si="11"/>
        <v>47013.753686427095</v>
      </c>
      <c r="P19" s="30">
        <f t="shared" si="11"/>
        <v>62465.11955681377</v>
      </c>
      <c r="Q19" s="30">
        <f t="shared" si="11"/>
        <v>80906.969440609886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55</v>
      </c>
      <c r="B20" s="1" t="s">
        <v>48</v>
      </c>
      <c r="C20" s="19">
        <f t="shared" ref="C20:J20" si="12">IFERROR(C19/C7,"")</f>
        <v>0.13944309317805476</v>
      </c>
      <c r="D20" s="19">
        <f t="shared" si="12"/>
        <v>0.12551300810106705</v>
      </c>
      <c r="E20" s="19">
        <f t="shared" si="12"/>
        <v>0.12499164270909942</v>
      </c>
      <c r="F20" s="19">
        <f t="shared" si="12"/>
        <v>0.14245688482672325</v>
      </c>
      <c r="G20" s="19">
        <f t="shared" si="12"/>
        <v>0.13152800019120917</v>
      </c>
      <c r="H20" s="19">
        <f t="shared" si="12"/>
        <v>0.12779874753367076</v>
      </c>
      <c r="I20" s="19">
        <f t="shared" si="12"/>
        <v>0.13599191542288558</v>
      </c>
      <c r="J20" s="19">
        <f t="shared" si="12"/>
        <v>0.12754223542035784</v>
      </c>
      <c r="K20" s="19">
        <f t="shared" ref="K20:Q20" si="13">K19/K7</f>
        <v>0.14129033663797799</v>
      </c>
      <c r="L20" s="19">
        <f t="shared" si="13"/>
        <v>0.10758300547489087</v>
      </c>
      <c r="M20" s="19">
        <f t="shared" si="13"/>
        <v>0.14442757594786224</v>
      </c>
      <c r="N20" s="24">
        <f t="shared" si="13"/>
        <v>0.15</v>
      </c>
      <c r="O20" s="24">
        <f t="shared" si="13"/>
        <v>0.15999999999999998</v>
      </c>
      <c r="P20" s="24">
        <f t="shared" si="13"/>
        <v>0.16899999999999996</v>
      </c>
      <c r="Q20" s="24">
        <f t="shared" si="13"/>
        <v>0.17699999999999994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256</v>
      </c>
      <c r="B21" s="1" t="s">
        <v>46</v>
      </c>
      <c r="C21" s="18">
        <f>'Raw Financials'!C7</f>
        <v>205.4828</v>
      </c>
      <c r="D21" s="18">
        <f>'Raw Financials'!D7</f>
        <v>269</v>
      </c>
      <c r="E21" s="18">
        <f>'Raw Financials'!E7</f>
        <v>391</v>
      </c>
      <c r="F21" s="18">
        <f>'Raw Financials'!F7</f>
        <v>535</v>
      </c>
      <c r="G21" s="18">
        <f>'Raw Financials'!G7</f>
        <v>677</v>
      </c>
      <c r="H21" s="18">
        <f>'Raw Financials'!H7</f>
        <v>326</v>
      </c>
      <c r="I21" s="18">
        <f>'Raw Financials'!I7</f>
        <v>518</v>
      </c>
      <c r="J21" s="18">
        <f>'Raw Financials'!J7</f>
        <v>619</v>
      </c>
      <c r="K21" s="18">
        <f>'Raw Financials'!K7</f>
        <v>614</v>
      </c>
      <c r="L21" s="18">
        <f>'Raw Financials'!L7</f>
        <v>1647</v>
      </c>
      <c r="M21" s="18">
        <f>'Raw Financials'!M7</f>
        <v>732</v>
      </c>
      <c r="N21" s="25">
        <f>N7*Assumptions!C24</f>
        <v>1142.61887013</v>
      </c>
      <c r="O21" s="25">
        <f>O7*Assumptions!D24</f>
        <v>1469.1798027008469</v>
      </c>
      <c r="P21" s="25">
        <f>P7*Assumptions!E24</f>
        <v>1848.0804602607627</v>
      </c>
      <c r="Q21" s="25">
        <f>Q7*Assumptions!F24</f>
        <v>2285.5076113166642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263</v>
      </c>
      <c r="B22" s="1" t="s">
        <v>46</v>
      </c>
      <c r="C22" s="18">
        <f>'Raw Financials'!C14</f>
        <v>48.795223</v>
      </c>
      <c r="D22" s="18">
        <f>'Raw Financials'!D14</f>
        <v>60</v>
      </c>
      <c r="E22" s="18">
        <f>'Raw Financials'!E14</f>
        <v>94</v>
      </c>
      <c r="F22" s="18">
        <f>'Raw Financials'!F14</f>
        <v>92</v>
      </c>
      <c r="G22" s="18">
        <f>'Raw Financials'!G14</f>
        <v>155</v>
      </c>
      <c r="H22" s="18">
        <f>'Raw Financials'!H14</f>
        <v>143</v>
      </c>
      <c r="I22" s="18">
        <f>'Raw Financials'!I14</f>
        <v>650</v>
      </c>
      <c r="J22" s="18">
        <f>'Raw Financials'!J14</f>
        <v>806</v>
      </c>
      <c r="K22" s="18">
        <f>'Raw Financials'!K14</f>
        <v>1256</v>
      </c>
      <c r="L22" s="18">
        <f>'Raw Financials'!L14</f>
        <v>1347</v>
      </c>
      <c r="M22" s="18">
        <f>'Raw Financials'!M14</f>
        <v>1686</v>
      </c>
      <c r="N22" s="25">
        <f>'Acquisition &amp; Debt'!C22</f>
        <v>2218.4</v>
      </c>
      <c r="O22" s="25">
        <f>'Acquisition &amp; Debt'!D22</f>
        <v>1814.5000000000002</v>
      </c>
      <c r="P22" s="25">
        <f>'Acquisition &amp; Debt'!E22</f>
        <v>739.2</v>
      </c>
      <c r="Q22" s="25">
        <f>'Acquisition &amp; Debt'!F22</f>
        <v>48.5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29" t="s">
        <v>265</v>
      </c>
      <c r="B23" s="27" t="s">
        <v>46</v>
      </c>
      <c r="C23" s="28">
        <f>'Raw Financials'!C16</f>
        <v>3814.532385</v>
      </c>
      <c r="D23" s="28">
        <f>'Raw Financials'!D16</f>
        <v>3727</v>
      </c>
      <c r="E23" s="28">
        <f>'Raw Financials'!E16</f>
        <v>4036</v>
      </c>
      <c r="F23" s="28">
        <f>'Raw Financials'!F16</f>
        <v>5680</v>
      </c>
      <c r="G23" s="28">
        <f>'Raw Financials'!G16</f>
        <v>6025</v>
      </c>
      <c r="H23" s="28">
        <f>'Raw Financials'!H16</f>
        <v>6142</v>
      </c>
      <c r="I23" s="28">
        <f>'Raw Financials'!I16</f>
        <v>8615</v>
      </c>
      <c r="J23" s="28">
        <f>'Raw Financials'!J16</f>
        <v>10035</v>
      </c>
      <c r="K23" s="28">
        <f>'Raw Financials'!K16</f>
        <v>10449</v>
      </c>
      <c r="L23" s="28">
        <f>'Raw Financials'!L16</f>
        <v>12961</v>
      </c>
      <c r="M23" s="28">
        <f>'Raw Financials'!M16</f>
        <v>21588</v>
      </c>
      <c r="N23" s="30">
        <f>N19+N21-N22</f>
        <v>33202.784974029993</v>
      </c>
      <c r="O23" s="30">
        <f>O19+O21-O22</f>
        <v>46668.433489127943</v>
      </c>
      <c r="P23" s="30">
        <f>P19+P21-P22</f>
        <v>63574.000017074533</v>
      </c>
      <c r="Q23" s="30">
        <f>Q19+Q21-Q22</f>
        <v>83143.977051926544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266</v>
      </c>
      <c r="B24" s="1" t="s">
        <v>46</v>
      </c>
      <c r="C24" s="18">
        <f>'Raw Financials'!C17</f>
        <v>13.156528</v>
      </c>
      <c r="D24" s="18">
        <f>'Raw Financials'!D17</f>
        <v>221</v>
      </c>
      <c r="E24" s="18">
        <f>'Raw Financials'!E17</f>
        <v>0</v>
      </c>
      <c r="F24" s="18">
        <f>'Raw Financials'!F17</f>
        <v>56</v>
      </c>
      <c r="G24" s="18">
        <f>'Raw Financials'!G17</f>
        <v>71</v>
      </c>
      <c r="H24" s="18">
        <f>'Raw Financials'!H17</f>
        <v>180</v>
      </c>
      <c r="I24" s="18">
        <f>'Raw Financials'!I17</f>
        <v>0</v>
      </c>
      <c r="J24" s="18">
        <f>'Raw Financials'!J17</f>
        <v>523</v>
      </c>
      <c r="K24" s="18">
        <f>'Raw Financials'!K17</f>
        <v>0</v>
      </c>
      <c r="L24" s="18">
        <f>'Raw Financials'!L17</f>
        <v>0</v>
      </c>
      <c r="M24" s="18">
        <f>'Raw Financials'!M17</f>
        <v>2260</v>
      </c>
      <c r="N24" s="25">
        <f>0</f>
        <v>0</v>
      </c>
      <c r="O24" s="25">
        <f>0</f>
        <v>0</v>
      </c>
      <c r="P24" s="25">
        <f>0</f>
        <v>0</v>
      </c>
      <c r="Q24" s="25">
        <f>0</f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29" t="s">
        <v>267</v>
      </c>
      <c r="B25" s="27" t="s">
        <v>46</v>
      </c>
      <c r="C25" s="28">
        <f>'Raw Financials'!C18</f>
        <v>3801.375857</v>
      </c>
      <c r="D25" s="28">
        <f>'Raw Financials'!D18</f>
        <v>3506</v>
      </c>
      <c r="E25" s="28">
        <f>'Raw Financials'!E18</f>
        <v>4036</v>
      </c>
      <c r="F25" s="28">
        <f>'Raw Financials'!F18</f>
        <v>5624</v>
      </c>
      <c r="G25" s="28">
        <f>'Raw Financials'!G18</f>
        <v>5954</v>
      </c>
      <c r="H25" s="28">
        <f>'Raw Financials'!H18</f>
        <v>5962</v>
      </c>
      <c r="I25" s="28">
        <f>'Raw Financials'!I18</f>
        <v>8615</v>
      </c>
      <c r="J25" s="28">
        <f>'Raw Financials'!J18</f>
        <v>9512</v>
      </c>
      <c r="K25" s="28">
        <f>'Raw Financials'!K18</f>
        <v>10449</v>
      </c>
      <c r="L25" s="28">
        <f>'Raw Financials'!L18</f>
        <v>12961</v>
      </c>
      <c r="M25" s="28">
        <f>'Raw Financials'!M18</f>
        <v>19328</v>
      </c>
      <c r="N25" s="30">
        <f>N23-N24</f>
        <v>33202.784974029993</v>
      </c>
      <c r="O25" s="30">
        <f>O23-O24</f>
        <v>46668.433489127943</v>
      </c>
      <c r="P25" s="30">
        <f>P23-P24</f>
        <v>63574.000017074533</v>
      </c>
      <c r="Q25" s="30">
        <f>Q23-Q24</f>
        <v>83143.977051926544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270</v>
      </c>
      <c r="B26" s="1" t="s">
        <v>46</v>
      </c>
      <c r="C26" s="18">
        <f>'Raw Financials'!C21</f>
        <v>831.68032200000005</v>
      </c>
      <c r="D26" s="18">
        <f>'Raw Financials'!D21</f>
        <v>785</v>
      </c>
      <c r="E26" s="18">
        <f>'Raw Financials'!E21</f>
        <v>949</v>
      </c>
      <c r="F26" s="18">
        <f>'Raw Financials'!F21</f>
        <v>1403</v>
      </c>
      <c r="G26" s="18">
        <f>'Raw Financials'!G21</f>
        <v>1278</v>
      </c>
      <c r="H26" s="18">
        <f>'Raw Financials'!H21</f>
        <v>1302</v>
      </c>
      <c r="I26" s="18">
        <f>'Raw Financials'!I21</f>
        <v>1468</v>
      </c>
      <c r="J26" s="18">
        <f>'Raw Financials'!J21</f>
        <v>2061</v>
      </c>
      <c r="K26" s="18">
        <f>'Raw Financials'!K21</f>
        <v>2093</v>
      </c>
      <c r="L26" s="18">
        <f>'Raw Financials'!L21</f>
        <v>3326</v>
      </c>
      <c r="M26" s="18">
        <f>'Raw Financials'!M21</f>
        <v>2583</v>
      </c>
      <c r="N26" s="25">
        <f>N25*Assumptions!C25</f>
        <v>8300.6962435074984</v>
      </c>
      <c r="O26" s="25">
        <f>O25*Assumptions!D25</f>
        <v>11667.108372281986</v>
      </c>
      <c r="P26" s="25">
        <f>P25*Assumptions!E25</f>
        <v>15893.500004268633</v>
      </c>
      <c r="Q26" s="25">
        <f>Q25*Assumptions!F25</f>
        <v>20785.994262981636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52" t="s">
        <v>177</v>
      </c>
      <c r="B27" s="52" t="s">
        <v>48</v>
      </c>
      <c r="C27" s="54">
        <f t="shared" ref="C27:M27" si="14">IFERROR(C26/C25,"")</f>
        <v>0.21878402801672764</v>
      </c>
      <c r="D27" s="54">
        <f t="shared" si="14"/>
        <v>0.22390188248716486</v>
      </c>
      <c r="E27" s="54">
        <f t="shared" si="14"/>
        <v>0.23513379583746283</v>
      </c>
      <c r="F27" s="54">
        <f t="shared" si="14"/>
        <v>0.24946657183499288</v>
      </c>
      <c r="G27" s="54">
        <f t="shared" si="14"/>
        <v>0.21464561639234128</v>
      </c>
      <c r="H27" s="54">
        <f t="shared" si="14"/>
        <v>0.2183830929218383</v>
      </c>
      <c r="I27" s="54">
        <f t="shared" si="14"/>
        <v>0.17040046430644226</v>
      </c>
      <c r="J27" s="54">
        <f t="shared" si="14"/>
        <v>0.21667367535744322</v>
      </c>
      <c r="K27" s="54">
        <f t="shared" si="14"/>
        <v>0.20030624940185665</v>
      </c>
      <c r="L27" s="54">
        <f t="shared" si="14"/>
        <v>0.25661600185170896</v>
      </c>
      <c r="M27" s="54">
        <f t="shared" si="14"/>
        <v>0.13364031456953643</v>
      </c>
      <c r="N27" s="55">
        <f>N26/N25</f>
        <v>0.25</v>
      </c>
      <c r="O27" s="55">
        <f>O26/O25</f>
        <v>0.25</v>
      </c>
      <c r="P27" s="55">
        <f>P26/P25</f>
        <v>0.25</v>
      </c>
      <c r="Q27" s="55">
        <f>Q26/Q25</f>
        <v>0.25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29" t="s">
        <v>271</v>
      </c>
      <c r="B28" s="27" t="s">
        <v>46</v>
      </c>
      <c r="C28" s="28">
        <f>'Raw Financials'!C22</f>
        <v>2969.6955349999998</v>
      </c>
      <c r="D28" s="28">
        <f>'Raw Financials'!D22</f>
        <v>2721</v>
      </c>
      <c r="E28" s="28">
        <f>'Raw Financials'!E22</f>
        <v>3087</v>
      </c>
      <c r="F28" s="28">
        <f>'Raw Financials'!F22</f>
        <v>4221</v>
      </c>
      <c r="G28" s="28">
        <f>'Raw Financials'!G22</f>
        <v>4676</v>
      </c>
      <c r="H28" s="28">
        <f>'Raw Financials'!H22</f>
        <v>4660</v>
      </c>
      <c r="I28" s="28">
        <f>'Raw Financials'!I22</f>
        <v>7147</v>
      </c>
      <c r="J28" s="28">
        <f>'Raw Financials'!J22</f>
        <v>7451</v>
      </c>
      <c r="K28" s="28">
        <f>'Raw Financials'!K22</f>
        <v>8356</v>
      </c>
      <c r="L28" s="28">
        <f>'Raw Financials'!L22</f>
        <v>9361</v>
      </c>
      <c r="M28" s="28">
        <f>'Raw Financials'!M22</f>
        <v>17447</v>
      </c>
      <c r="N28" s="30">
        <f>N25-N26</f>
        <v>24902.088730522497</v>
      </c>
      <c r="O28" s="30">
        <f>O25-O26</f>
        <v>35001.325116845954</v>
      </c>
      <c r="P28" s="30">
        <f>P25-P26</f>
        <v>47680.500012805904</v>
      </c>
      <c r="Q28" s="30">
        <f>Q25-Q26</f>
        <v>62357.982788944908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272</v>
      </c>
      <c r="B29" s="1" t="s">
        <v>46</v>
      </c>
      <c r="C29" s="18">
        <f>'Raw Financials'!C23</f>
        <v>170.064761</v>
      </c>
      <c r="D29" s="18">
        <f>'Raw Financials'!D23</f>
        <v>220</v>
      </c>
      <c r="E29" s="18">
        <f>'Raw Financials'!E23</f>
        <v>285</v>
      </c>
      <c r="F29" s="18">
        <f>'Raw Financials'!F23</f>
        <v>188</v>
      </c>
      <c r="G29" s="18">
        <f>'Raw Financials'!G23</f>
        <v>236</v>
      </c>
      <c r="H29" s="18">
        <f>'Raw Financials'!H23</f>
        <v>104</v>
      </c>
      <c r="I29" s="18">
        <f>'Raw Financials'!I23</f>
        <v>530</v>
      </c>
      <c r="J29" s="18">
        <f>'Raw Financials'!J23</f>
        <v>513</v>
      </c>
      <c r="K29" s="18">
        <f>'Raw Financials'!K23</f>
        <v>276</v>
      </c>
      <c r="L29" s="18">
        <f>'Raw Financials'!L23</f>
        <v>1240</v>
      </c>
      <c r="M29" s="18">
        <f>'Raw Financials'!M23</f>
        <v>1890</v>
      </c>
      <c r="N29" s="25">
        <f>N28*Assumptions!C26</f>
        <v>498.04177461044998</v>
      </c>
      <c r="O29" s="25">
        <f>O28*Assumptions!D26</f>
        <v>525.01987675268924</v>
      </c>
      <c r="P29" s="25">
        <f>P28*Assumptions!E26</f>
        <v>476.80500012805902</v>
      </c>
      <c r="Q29" s="25">
        <f>Q28*Assumptions!F26</f>
        <v>623.57982788944912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29" t="s">
        <v>273</v>
      </c>
      <c r="B30" s="27" t="s">
        <v>46</v>
      </c>
      <c r="C30" s="28">
        <f>'Raw Financials'!C24</f>
        <v>2799.6307740000002</v>
      </c>
      <c r="D30" s="28">
        <f>'Raw Financials'!D24</f>
        <v>2501</v>
      </c>
      <c r="E30" s="28">
        <f>'Raw Financials'!E24</f>
        <v>2802</v>
      </c>
      <c r="F30" s="28">
        <f>'Raw Financials'!F24</f>
        <v>4033</v>
      </c>
      <c r="G30" s="28">
        <f>'Raw Financials'!G24</f>
        <v>4440</v>
      </c>
      <c r="H30" s="28">
        <f>'Raw Financials'!H24</f>
        <v>4556</v>
      </c>
      <c r="I30" s="28">
        <f>'Raw Financials'!I24</f>
        <v>6617</v>
      </c>
      <c r="J30" s="28">
        <f>'Raw Financials'!J24</f>
        <v>6938</v>
      </c>
      <c r="K30" s="28">
        <f>'Raw Financials'!K24</f>
        <v>8080</v>
      </c>
      <c r="L30" s="28">
        <f>'Raw Financials'!L24</f>
        <v>8121</v>
      </c>
      <c r="M30" s="28">
        <f>'Raw Financials'!M24</f>
        <v>15557</v>
      </c>
      <c r="N30" s="30">
        <f>N28-N29</f>
        <v>24404.046955912047</v>
      </c>
      <c r="O30" s="30">
        <f>O28-O29</f>
        <v>34476.305240093265</v>
      </c>
      <c r="P30" s="30">
        <f>P28-P29</f>
        <v>47203.695012677847</v>
      </c>
      <c r="Q30" s="30">
        <f>Q28-Q29</f>
        <v>61734.402961055457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455</v>
      </c>
      <c r="B31" s="1" t="s">
        <v>48</v>
      </c>
      <c r="C31" s="19">
        <f t="shared" ref="C31:M31" si="15">IFERROR(C30/C7,"")</f>
        <v>0.10437017903389451</v>
      </c>
      <c r="D31" s="19">
        <f t="shared" si="15"/>
        <v>8.9254487705649338E-2</v>
      </c>
      <c r="E31" s="19">
        <f t="shared" si="15"/>
        <v>9.366851641371933E-2</v>
      </c>
      <c r="F31" s="19">
        <f t="shared" si="15"/>
        <v>0.10970567433763125</v>
      </c>
      <c r="G31" s="19">
        <f t="shared" si="15"/>
        <v>0.10612108319988528</v>
      </c>
      <c r="H31" s="19">
        <f t="shared" si="15"/>
        <v>9.7709530754053364E-2</v>
      </c>
      <c r="I31" s="19">
        <f t="shared" si="15"/>
        <v>0.10287624378109453</v>
      </c>
      <c r="J31" s="19">
        <f t="shared" si="15"/>
        <v>8.6567015197264993E-2</v>
      </c>
      <c r="K31" s="19">
        <f t="shared" si="15"/>
        <v>8.8027018193703024E-2</v>
      </c>
      <c r="L31" s="19">
        <f t="shared" si="15"/>
        <v>6.7264128283070906E-2</v>
      </c>
      <c r="M31" s="19">
        <f t="shared" si="15"/>
        <v>9.4844141513287447E-2</v>
      </c>
      <c r="N31" s="24">
        <f>N30/N7</f>
        <v>0.10678996992731053</v>
      </c>
      <c r="O31" s="24">
        <f>O30/O7</f>
        <v>0.11733181049968905</v>
      </c>
      <c r="P31" s="24">
        <f>P30/P7</f>
        <v>0.12771006465275175</v>
      </c>
      <c r="Q31" s="24">
        <f>Q30/Q7</f>
        <v>0.13505621826717679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458</v>
      </c>
      <c r="B32" s="1" t="s">
        <v>222</v>
      </c>
      <c r="C32" s="22">
        <f t="shared" ref="C32:M32" si="16">IFERROR(C30/C34,"")</f>
        <v>305.50313989524227</v>
      </c>
      <c r="D32" s="22">
        <f t="shared" si="16"/>
        <v>306.49509803921569</v>
      </c>
      <c r="E32" s="22">
        <f t="shared" si="16"/>
        <v>307.03484549638392</v>
      </c>
      <c r="F32" s="22">
        <f t="shared" si="16"/>
        <v>307.90960451977406</v>
      </c>
      <c r="G32" s="22">
        <f t="shared" si="16"/>
        <v>310.96792267824623</v>
      </c>
      <c r="H32" s="22">
        <f t="shared" si="16"/>
        <v>305.03481521156931</v>
      </c>
      <c r="I32" s="22">
        <f t="shared" si="16"/>
        <v>303.47642634379014</v>
      </c>
      <c r="J32" s="22">
        <f t="shared" si="16"/>
        <v>304.9134218159445</v>
      </c>
      <c r="K32" s="22">
        <f t="shared" si="16"/>
        <v>307.08422012769836</v>
      </c>
      <c r="L32" s="22">
        <f t="shared" si="16"/>
        <v>330.1219512195122</v>
      </c>
      <c r="M32" s="22">
        <f t="shared" si="16"/>
        <v>334.9913867355728</v>
      </c>
      <c r="N32" s="26">
        <f>N33*0.995</f>
        <v>422.875</v>
      </c>
      <c r="O32" s="26">
        <f>O33*0.995</f>
        <v>422.875</v>
      </c>
      <c r="P32" s="26">
        <f>P33*0.995</f>
        <v>422.875</v>
      </c>
      <c r="Q32" s="26">
        <f>Q33*0.995</f>
        <v>422.875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459</v>
      </c>
      <c r="B33" s="1" t="s">
        <v>222</v>
      </c>
      <c r="C33" s="22">
        <f t="shared" ref="C33:M33" si="17">IFERROR(C30/C35,"")</f>
        <v>307.31402568605932</v>
      </c>
      <c r="D33" s="22">
        <f t="shared" si="17"/>
        <v>307.1726848440187</v>
      </c>
      <c r="E33" s="22">
        <f t="shared" si="17"/>
        <v>308.99867666519623</v>
      </c>
      <c r="F33" s="22">
        <f t="shared" si="17"/>
        <v>311.52479530356862</v>
      </c>
      <c r="G33" s="22">
        <f t="shared" si="17"/>
        <v>312.80822882908274</v>
      </c>
      <c r="H33" s="22">
        <f t="shared" si="17"/>
        <v>310.82003001773774</v>
      </c>
      <c r="I33" s="22">
        <f t="shared" si="17"/>
        <v>310.59894855426211</v>
      </c>
      <c r="J33" s="22">
        <f t="shared" si="17"/>
        <v>311.03738904330675</v>
      </c>
      <c r="K33" s="22">
        <f t="shared" si="17"/>
        <v>311.75245003472492</v>
      </c>
      <c r="L33" s="22">
        <f t="shared" si="17"/>
        <v>332.6915198689062</v>
      </c>
      <c r="M33" s="22">
        <f t="shared" si="17"/>
        <v>338.93246187363837</v>
      </c>
      <c r="N33" s="26">
        <f>Assumptions!C47</f>
        <v>425</v>
      </c>
      <c r="O33" s="26">
        <f>Assumptions!D47</f>
        <v>425</v>
      </c>
      <c r="P33" s="26">
        <f>Assumptions!E47</f>
        <v>425</v>
      </c>
      <c r="Q33" s="26">
        <f>Assumptions!F47</f>
        <v>425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274</v>
      </c>
      <c r="B34" s="1" t="s">
        <v>58</v>
      </c>
      <c r="C34" s="20">
        <f>'Raw Financials'!C25</f>
        <v>9.1639999999999997</v>
      </c>
      <c r="D34" s="20">
        <f>'Raw Financials'!D25</f>
        <v>8.16</v>
      </c>
      <c r="E34" s="20">
        <f>'Raw Financials'!E25</f>
        <v>9.1260000000000012</v>
      </c>
      <c r="F34" s="20">
        <f>'Raw Financials'!F25</f>
        <v>13.097999999999999</v>
      </c>
      <c r="G34" s="20">
        <f>'Raw Financials'!G25</f>
        <v>14.278</v>
      </c>
      <c r="H34" s="20">
        <f>'Raw Financials'!H25</f>
        <v>14.936000000000002</v>
      </c>
      <c r="I34" s="20">
        <f>'Raw Financials'!I25</f>
        <v>21.803999999999998</v>
      </c>
      <c r="J34" s="20">
        <f>'Raw Financials'!J25</f>
        <v>22.753999999999998</v>
      </c>
      <c r="K34" s="20">
        <f>'Raw Financials'!K25</f>
        <v>26.312000000000001</v>
      </c>
      <c r="L34" s="20">
        <f>'Raw Financials'!L25</f>
        <v>24.6</v>
      </c>
      <c r="M34" s="20">
        <f>'Raw Financials'!M25</f>
        <v>46.44</v>
      </c>
      <c r="N34" s="31">
        <f>N30/N32</f>
        <v>57.709836135765997</v>
      </c>
      <c r="O34" s="31">
        <f>O30/O32</f>
        <v>81.528360012044374</v>
      </c>
      <c r="P34" s="31">
        <f>P30/P32</f>
        <v>111.62564590642116</v>
      </c>
      <c r="Q34" s="31">
        <f>Q30/Q32</f>
        <v>145.98735550944241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57</v>
      </c>
      <c r="B35" s="1" t="s">
        <v>58</v>
      </c>
      <c r="C35" s="20">
        <f>'Raw Financials'!C26</f>
        <v>9.11</v>
      </c>
      <c r="D35" s="20">
        <f>'Raw Financials'!D26</f>
        <v>8.1419999999999995</v>
      </c>
      <c r="E35" s="20">
        <f>'Raw Financials'!E26</f>
        <v>9.0680000000000014</v>
      </c>
      <c r="F35" s="20">
        <f>'Raw Financials'!F26</f>
        <v>12.946000000000002</v>
      </c>
      <c r="G35" s="20">
        <f>'Raw Financials'!G26</f>
        <v>14.193999999999999</v>
      </c>
      <c r="H35" s="20">
        <f>'Raw Financials'!H26</f>
        <v>14.658000000000001</v>
      </c>
      <c r="I35" s="20">
        <f>'Raw Financials'!I26</f>
        <v>21.303999999999998</v>
      </c>
      <c r="J35" s="20">
        <f>'Raw Financials'!J26</f>
        <v>22.306000000000001</v>
      </c>
      <c r="K35" s="20">
        <f>'Raw Financials'!K26</f>
        <v>25.917999999999999</v>
      </c>
      <c r="L35" s="20">
        <f>'Raw Financials'!L26</f>
        <v>24.41</v>
      </c>
      <c r="M35" s="20">
        <f>'Raw Financials'!M26</f>
        <v>45.9</v>
      </c>
      <c r="N35" s="31">
        <f>N30/N33</f>
        <v>57.421286955087169</v>
      </c>
      <c r="O35" s="31">
        <f>O30/O33</f>
        <v>81.120718211984155</v>
      </c>
      <c r="P35" s="31">
        <f>P30/P33</f>
        <v>111.06751767688905</v>
      </c>
      <c r="Q35" s="31">
        <f>Q30/Q33</f>
        <v>145.2574187318952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29" t="s">
        <v>460</v>
      </c>
      <c r="B36" s="27" t="s">
        <v>46</v>
      </c>
      <c r="C36" s="28">
        <f>-'Raw Financials'!C133</f>
        <v>731.36613199999999</v>
      </c>
      <c r="D36" s="28">
        <f>-'Raw Financials'!D133</f>
        <v>0</v>
      </c>
      <c r="E36" s="28">
        <f>-'Raw Financials'!E133</f>
        <v>613</v>
      </c>
      <c r="F36" s="28">
        <f>-'Raw Financials'!F133</f>
        <v>0</v>
      </c>
      <c r="G36" s="28">
        <f>-'Raw Financials'!G133</f>
        <v>0</v>
      </c>
      <c r="H36" s="28">
        <f>-'Raw Financials'!H133</f>
        <v>686</v>
      </c>
      <c r="I36" s="28">
        <f>-'Raw Financials'!I133</f>
        <v>3152</v>
      </c>
      <c r="J36" s="28">
        <f>-'Raw Financials'!J133</f>
        <v>3534</v>
      </c>
      <c r="K36" s="28">
        <f>-'Raw Financials'!K133</f>
        <v>4664</v>
      </c>
      <c r="L36" s="28">
        <f>-'Raw Financials'!L133</f>
        <v>4976</v>
      </c>
      <c r="M36" s="28">
        <f>-'Raw Financials'!M133</f>
        <v>5277</v>
      </c>
      <c r="N36" s="30">
        <f>N30*Assumptions!C44</f>
        <v>8541.4164345692152</v>
      </c>
      <c r="O36" s="30">
        <f>O30*Assumptions!D44</f>
        <v>12756.232938834508</v>
      </c>
      <c r="P36" s="30">
        <f>P30*Assumptions!E44</f>
        <v>18409.44105494436</v>
      </c>
      <c r="Q36" s="30">
        <f>Q30*Assumptions!F44</f>
        <v>24693.761184422183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461</v>
      </c>
      <c r="B37" s="1" t="s">
        <v>58</v>
      </c>
      <c r="C37" s="20">
        <f t="shared" ref="C37:M37" si="18">IFERROR(C36/C32,"")</f>
        <v>2.3939725537707637</v>
      </c>
      <c r="D37" s="20">
        <f t="shared" si="18"/>
        <v>0</v>
      </c>
      <c r="E37" s="20">
        <f t="shared" si="18"/>
        <v>1.9965160599571736</v>
      </c>
      <c r="F37" s="20">
        <f t="shared" si="18"/>
        <v>0</v>
      </c>
      <c r="G37" s="20">
        <f t="shared" si="18"/>
        <v>0</v>
      </c>
      <c r="H37" s="20">
        <f t="shared" si="18"/>
        <v>2.2489236172080775</v>
      </c>
      <c r="I37" s="20">
        <f t="shared" si="18"/>
        <v>10.386309203566571</v>
      </c>
      <c r="J37" s="20">
        <f t="shared" si="18"/>
        <v>11.590175266647448</v>
      </c>
      <c r="K37" s="20">
        <f t="shared" si="18"/>
        <v>15.188015841584161</v>
      </c>
      <c r="L37" s="20">
        <f t="shared" si="18"/>
        <v>15.073217584041375</v>
      </c>
      <c r="M37" s="20">
        <f t="shared" si="18"/>
        <v>15.752643825930448</v>
      </c>
      <c r="N37" s="31">
        <f>N36/N32</f>
        <v>20.198442647518096</v>
      </c>
      <c r="O37" s="31">
        <f>O36/O32</f>
        <v>30.165493204456418</v>
      </c>
      <c r="P37" s="31">
        <f>P36/P32</f>
        <v>43.534001903504247</v>
      </c>
      <c r="Q37" s="31">
        <f>Q36/Q32</f>
        <v>58.394942203776964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3"/>
      <c r="O38" s="53"/>
      <c r="P38" s="53"/>
      <c r="Q38" s="5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  <c r="O48" s="53"/>
      <c r="P48" s="53"/>
      <c r="Q48" s="5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8" t="s">
        <v>462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463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3"/>
      <c r="O6" s="53"/>
      <c r="P6" s="53"/>
      <c r="Q6" s="5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464</v>
      </c>
      <c r="B7" s="1" t="s">
        <v>46</v>
      </c>
      <c r="C7" s="18">
        <f>'Raw Financials'!C57</f>
        <v>5067.2474819999998</v>
      </c>
      <c r="D7" s="18">
        <f>'Raw Financials'!D57</f>
        <v>4802</v>
      </c>
      <c r="E7" s="18">
        <f>'Raw Financials'!E57</f>
        <v>4500</v>
      </c>
      <c r="F7" s="18">
        <f>'Raw Financials'!F57</f>
        <v>4191</v>
      </c>
      <c r="G7" s="18">
        <f>'Raw Financials'!G57</f>
        <v>4013</v>
      </c>
      <c r="H7" s="18">
        <f>'Raw Financials'!H57</f>
        <v>0</v>
      </c>
      <c r="I7" s="18">
        <f>'Raw Financials'!I57</f>
        <v>4452</v>
      </c>
      <c r="J7" s="18">
        <f>'Raw Financials'!J57</f>
        <v>4455</v>
      </c>
      <c r="K7" s="18">
        <f>'Raw Financials'!K57</f>
        <v>4470</v>
      </c>
      <c r="L7" s="18">
        <f>'Raw Financials'!L57</f>
        <v>7682</v>
      </c>
      <c r="M7" s="18">
        <f>'Raw Financials'!M57</f>
        <v>9425</v>
      </c>
      <c r="N7" s="25">
        <f>'Acquisition &amp; Debt'!C23+('Annual P&amp;L'!N7-'Quarterly P&amp;L'!AU6)*Assumptions!C38*(1-Assumptions!C39)-('Annual P&amp;L'!N18-'Quarterly P&amp;L'!AU17)*Assumptions!C40</f>
        <v>16363.910455454701</v>
      </c>
      <c r="O7" s="25">
        <f>N7+'Annual P&amp;L'!O7*Assumptions!D38*(1-Assumptions!D39)-'Annual P&amp;L'!O18*Assumptions!D40</f>
        <v>17803.706662101529</v>
      </c>
      <c r="P7" s="25">
        <f>O7+'Annual P&amp;L'!P7*Assumptions!E38*(1-Assumptions!E39)-'Annual P&amp;L'!P18*Assumptions!E40</f>
        <v>19522.421490144039</v>
      </c>
      <c r="Q7" s="25">
        <f>P7+'Annual P&amp;L'!Q7*Assumptions!F38*(1-Assumptions!F39)-'Annual P&amp;L'!Q18*Assumptions!F40</f>
        <v>22265.030623724037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331</v>
      </c>
      <c r="B8" s="1" t="s">
        <v>46</v>
      </c>
      <c r="C8" s="18">
        <f>'Raw Financials'!C58</f>
        <v>0</v>
      </c>
      <c r="D8" s="18">
        <f>'Raw Financials'!D58</f>
        <v>0</v>
      </c>
      <c r="E8" s="18">
        <f>'Raw Financials'!E58</f>
        <v>0</v>
      </c>
      <c r="F8" s="18">
        <f>'Raw Financials'!F58</f>
        <v>0</v>
      </c>
      <c r="G8" s="18">
        <f>'Raw Financials'!G58</f>
        <v>37</v>
      </c>
      <c r="H8" s="18">
        <f>'Raw Financials'!H58</f>
        <v>614</v>
      </c>
      <c r="I8" s="18">
        <f>'Raw Financials'!I58</f>
        <v>1476</v>
      </c>
      <c r="J8" s="18">
        <f>'Raw Financials'!J58</f>
        <v>2365</v>
      </c>
      <c r="K8" s="18">
        <f>'Raw Financials'!K58</f>
        <v>2927</v>
      </c>
      <c r="L8" s="18">
        <f>'Raw Financials'!L58</f>
        <v>3554</v>
      </c>
      <c r="M8" s="18">
        <f>'Raw Financials'!M58</f>
        <v>3056</v>
      </c>
      <c r="N8" s="25">
        <f>0</f>
        <v>0</v>
      </c>
      <c r="O8" s="25">
        <f>0</f>
        <v>0</v>
      </c>
      <c r="P8" s="25">
        <f>0</f>
        <v>0</v>
      </c>
      <c r="Q8" s="25">
        <f>0</f>
        <v>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332</v>
      </c>
      <c r="B9" s="1" t="s">
        <v>46</v>
      </c>
      <c r="C9" s="18">
        <f>'Raw Financials'!C59</f>
        <v>167.30215100000001</v>
      </c>
      <c r="D9" s="18">
        <f>'Raw Financials'!D59</f>
        <v>0</v>
      </c>
      <c r="E9" s="18">
        <f>'Raw Financials'!E59</f>
        <v>3</v>
      </c>
      <c r="F9" s="18">
        <f>'Raw Financials'!F59</f>
        <v>14</v>
      </c>
      <c r="G9" s="18">
        <f>'Raw Financials'!G59</f>
        <v>3</v>
      </c>
      <c r="H9" s="18">
        <f>'Raw Financials'!H59</f>
        <v>2</v>
      </c>
      <c r="I9" s="18">
        <f>'Raw Financials'!I59</f>
        <v>86</v>
      </c>
      <c r="J9" s="18">
        <f>'Raw Financials'!J59</f>
        <v>46</v>
      </c>
      <c r="K9" s="18">
        <f>'Raw Financials'!K59</f>
        <v>232</v>
      </c>
      <c r="L9" s="18">
        <f>'Raw Financials'!L59</f>
        <v>24</v>
      </c>
      <c r="M9" s="18">
        <f>'Raw Financials'!M59</f>
        <v>33</v>
      </c>
      <c r="N9" s="25">
        <f>0</f>
        <v>0</v>
      </c>
      <c r="O9" s="25">
        <f>0</f>
        <v>0</v>
      </c>
      <c r="P9" s="25">
        <f>0</f>
        <v>0</v>
      </c>
      <c r="Q9" s="25">
        <f>0</f>
        <v>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333</v>
      </c>
      <c r="B10" s="1" t="s">
        <v>46</v>
      </c>
      <c r="C10" s="18">
        <f>'Raw Financials'!C60</f>
        <v>0</v>
      </c>
      <c r="D10" s="18">
        <f>'Raw Financials'!D60</f>
        <v>1848</v>
      </c>
      <c r="E10" s="18">
        <f>'Raw Financials'!E60</f>
        <v>2430</v>
      </c>
      <c r="F10" s="18">
        <f>'Raw Financials'!F60</f>
        <v>2448</v>
      </c>
      <c r="G10" s="18">
        <f>'Raw Financials'!G60</f>
        <v>4091</v>
      </c>
      <c r="H10" s="18">
        <f>'Raw Financials'!H60</f>
        <v>4226</v>
      </c>
      <c r="I10" s="18">
        <f>'Raw Financials'!I60</f>
        <v>10708</v>
      </c>
      <c r="J10" s="18">
        <f>'Raw Financials'!J60</f>
        <v>11665</v>
      </c>
      <c r="K10" s="18">
        <f>'Raw Financials'!K60</f>
        <v>11738</v>
      </c>
      <c r="L10" s="18">
        <f>'Raw Financials'!L60</f>
        <v>38430</v>
      </c>
      <c r="M10" s="18">
        <f>'Raw Financials'!M60</f>
        <v>41671</v>
      </c>
      <c r="N10" s="25">
        <f>'Acquisition &amp; Debt'!C24</f>
        <v>163729</v>
      </c>
      <c r="O10" s="25">
        <f>N10</f>
        <v>163729</v>
      </c>
      <c r="P10" s="25">
        <f>O10</f>
        <v>163729</v>
      </c>
      <c r="Q10" s="25">
        <f>P10</f>
        <v>163729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334</v>
      </c>
      <c r="B11" s="1" t="s">
        <v>46</v>
      </c>
      <c r="C11" s="18">
        <f>'Raw Financials'!C61</f>
        <v>3137.310309</v>
      </c>
      <c r="D11" s="18">
        <f>'Raw Financials'!D61</f>
        <v>1826</v>
      </c>
      <c r="E11" s="18">
        <f>'Raw Financials'!E61</f>
        <v>1863</v>
      </c>
      <c r="F11" s="18">
        <f>'Raw Financials'!F61</f>
        <v>1548</v>
      </c>
      <c r="G11" s="18">
        <f>'Raw Financials'!G61</f>
        <v>1897</v>
      </c>
      <c r="H11" s="18">
        <f>'Raw Financials'!H61</f>
        <v>1464</v>
      </c>
      <c r="I11" s="18">
        <f>'Raw Financials'!I61</f>
        <v>4031</v>
      </c>
      <c r="J11" s="18">
        <f>'Raw Financials'!J61</f>
        <v>4634</v>
      </c>
      <c r="K11" s="18">
        <f>'Raw Financials'!K61</f>
        <v>4395</v>
      </c>
      <c r="L11" s="18">
        <f>'Raw Financials'!L61</f>
        <v>11296</v>
      </c>
      <c r="M11" s="18">
        <f>'Raw Financials'!M61</f>
        <v>13443</v>
      </c>
      <c r="N11" s="25">
        <f>'Acquisition &amp; Debt'!C25+('Annual P&amp;L'!N7-'Quarterly P&amp;L'!AU6)*Assumptions!C38*Assumptions!C39-('Annual P&amp;L'!N18-'Quarterly P&amp;L'!AU17)*Assumptions!C41</f>
        <v>53249.061708181303</v>
      </c>
      <c r="O11" s="25">
        <f>N11+'Annual P&amp;L'!O7*Assumptions!D38*Assumptions!D39-'Annual P&amp;L'!O18*Assumptions!D41</f>
        <v>47695.562053972099</v>
      </c>
      <c r="P11" s="25">
        <f>O11+'Annual P&amp;L'!P7*Assumptions!E38*Assumptions!E39-'Annual P&amp;L'!P18*Assumptions!E41</f>
        <v>41171.838029251609</v>
      </c>
      <c r="Q11" s="25">
        <f>P11+'Annual P&amp;L'!Q7*Assumptions!F38*Assumptions!F39-'Annual P&amp;L'!Q18*Assumptions!F41</f>
        <v>33858.213673038284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465</v>
      </c>
      <c r="B12" s="1" t="s">
        <v>46</v>
      </c>
      <c r="C12" s="18">
        <f>SUM('Raw Financials'!C62,'Raw Financials'!C63,'Raw Financials'!C64)</f>
        <v>1.2E-4</v>
      </c>
      <c r="D12" s="18">
        <f>SUM('Raw Financials'!D62,'Raw Financials'!D63,'Raw Financials'!D64)</f>
        <v>205</v>
      </c>
      <c r="E12" s="18">
        <f>SUM('Raw Financials'!E62,'Raw Financials'!E63,'Raw Financials'!E64)</f>
        <v>354</v>
      </c>
      <c r="F12" s="18">
        <f>SUM('Raw Financials'!F62,'Raw Financials'!F63,'Raw Financials'!F64)</f>
        <v>288</v>
      </c>
      <c r="G12" s="18">
        <f>SUM('Raw Financials'!G62,'Raw Financials'!G63,'Raw Financials'!G64)</f>
        <v>660</v>
      </c>
      <c r="H12" s="18">
        <f>SUM('Raw Financials'!H62,'Raw Financials'!H63,'Raw Financials'!H64)</f>
        <v>1829</v>
      </c>
      <c r="I12" s="18">
        <f>SUM('Raw Financials'!I62,'Raw Financials'!I63,'Raw Financials'!I64)</f>
        <v>2117</v>
      </c>
      <c r="J12" s="18">
        <f>SUM('Raw Financials'!J62,'Raw Financials'!J63,'Raw Financials'!J64)</f>
        <v>2251</v>
      </c>
      <c r="K12" s="18">
        <f>SUM('Raw Financials'!K62,'Raw Financials'!K63,'Raw Financials'!K64)</f>
        <v>2054</v>
      </c>
      <c r="L12" s="18">
        <f>SUM('Raw Financials'!L62,'Raw Financials'!L63,'Raw Financials'!L64)</f>
        <v>4804</v>
      </c>
      <c r="M12" s="18">
        <f>SUM('Raw Financials'!M62,'Raw Financials'!M63,'Raw Financials'!M64)</f>
        <v>9457</v>
      </c>
      <c r="N12" s="25">
        <f>0</f>
        <v>0</v>
      </c>
      <c r="O12" s="25">
        <f>0</f>
        <v>0</v>
      </c>
      <c r="P12" s="25">
        <f>0</f>
        <v>0</v>
      </c>
      <c r="Q12" s="25">
        <f>0</f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338</v>
      </c>
      <c r="B13" s="1" t="s">
        <v>46</v>
      </c>
      <c r="C13" s="18">
        <f>'Raw Financials'!C65</f>
        <v>258.73942499999998</v>
      </c>
      <c r="D13" s="18">
        <f>'Raw Financials'!D65</f>
        <v>971</v>
      </c>
      <c r="E13" s="18">
        <f>'Raw Financials'!E65</f>
        <v>1231</v>
      </c>
      <c r="F13" s="18">
        <f>'Raw Financials'!F65</f>
        <v>1032</v>
      </c>
      <c r="G13" s="18">
        <f>'Raw Financials'!G65</f>
        <v>1302</v>
      </c>
      <c r="H13" s="18">
        <f>'Raw Financials'!H65</f>
        <v>0</v>
      </c>
      <c r="I13" s="18">
        <f>'Raw Financials'!I65</f>
        <v>2736</v>
      </c>
      <c r="J13" s="18">
        <f>'Raw Financials'!J65</f>
        <v>3757</v>
      </c>
      <c r="K13" s="18">
        <f>'Raw Financials'!K65</f>
        <v>5583</v>
      </c>
      <c r="L13" s="18">
        <f>'Raw Financials'!L65</f>
        <v>5470</v>
      </c>
      <c r="M13" s="18">
        <f>'Raw Financials'!M65</f>
        <v>6870</v>
      </c>
      <c r="N13" s="25">
        <f>'Annual P&amp;L'!N7*Assumptions!C33</f>
        <v>9140.95096104</v>
      </c>
      <c r="O13" s="25">
        <f>'Annual P&amp;L'!O7*Assumptions!D33</f>
        <v>11165.766500526437</v>
      </c>
      <c r="P13" s="25">
        <f>'Annual P&amp;L'!P7*Assumptions!E33</f>
        <v>13306.17931387749</v>
      </c>
      <c r="Q13" s="25">
        <f>'Annual P&amp;L'!Q7*Assumptions!F33</f>
        <v>15541.451756953318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339</v>
      </c>
      <c r="B14" s="1" t="s">
        <v>46</v>
      </c>
      <c r="C14" s="18">
        <f>'Raw Financials'!C66</f>
        <v>0</v>
      </c>
      <c r="D14" s="18">
        <f>'Raw Financials'!D66</f>
        <v>0</v>
      </c>
      <c r="E14" s="18">
        <f>'Raw Financials'!E66</f>
        <v>0</v>
      </c>
      <c r="F14" s="18">
        <f>'Raw Financials'!F66</f>
        <v>0</v>
      </c>
      <c r="G14" s="18">
        <f>'Raw Financials'!G66</f>
        <v>0</v>
      </c>
      <c r="H14" s="18">
        <f>'Raw Financials'!H66</f>
        <v>0</v>
      </c>
      <c r="I14" s="18">
        <f>'Raw Financials'!I66</f>
        <v>607</v>
      </c>
      <c r="J14" s="18">
        <f>'Raw Financials'!J66</f>
        <v>233</v>
      </c>
      <c r="K14" s="18">
        <f>'Raw Financials'!K66</f>
        <v>285</v>
      </c>
      <c r="L14" s="18">
        <f>'Raw Financials'!L66</f>
        <v>119</v>
      </c>
      <c r="M14" s="18">
        <f>'Raw Financials'!M66</f>
        <v>7</v>
      </c>
      <c r="N14" s="25">
        <f>0</f>
        <v>0</v>
      </c>
      <c r="O14" s="25">
        <f>0</f>
        <v>0</v>
      </c>
      <c r="P14" s="25">
        <f>0</f>
        <v>0</v>
      </c>
      <c r="Q14" s="25">
        <f>0</f>
        <v>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340</v>
      </c>
      <c r="B15" s="1" t="s">
        <v>46</v>
      </c>
      <c r="C15" s="18">
        <f>'Raw Financials'!C67</f>
        <v>1086.302533</v>
      </c>
      <c r="D15" s="18">
        <f>'Raw Financials'!D67</f>
        <v>120</v>
      </c>
      <c r="E15" s="18">
        <f>'Raw Financials'!E67</f>
        <v>134</v>
      </c>
      <c r="F15" s="18">
        <f>'Raw Financials'!F67</f>
        <v>77</v>
      </c>
      <c r="G15" s="18">
        <f>'Raw Financials'!G67</f>
        <v>140</v>
      </c>
      <c r="H15" s="18">
        <f>'Raw Financials'!H67</f>
        <v>254</v>
      </c>
      <c r="I15" s="18">
        <f>'Raw Financials'!I67</f>
        <v>1045</v>
      </c>
      <c r="J15" s="18">
        <f>'Raw Financials'!J67</f>
        <v>1364</v>
      </c>
      <c r="K15" s="18">
        <f>'Raw Financials'!K67</f>
        <v>3368</v>
      </c>
      <c r="L15" s="18">
        <f>'Raw Financials'!L67</f>
        <v>5913</v>
      </c>
      <c r="M15" s="18">
        <f>'Raw Financials'!M67</f>
        <v>5801</v>
      </c>
      <c r="N15" s="25">
        <f>'Annual P&amp;L'!N7*Assumptions!C32</f>
        <v>5713.0943506500007</v>
      </c>
      <c r="O15" s="25">
        <f>'Annual P&amp;L'!O7*Assumptions!D32</f>
        <v>7052.0630529640657</v>
      </c>
      <c r="P15" s="25">
        <f>'Annual P&amp;L'!P7*Assumptions!E32</f>
        <v>8501.1701171995082</v>
      </c>
      <c r="Q15" s="25">
        <f>'Annual P&amp;L'!Q7*Assumptions!F32</f>
        <v>10056.233489793321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29" t="s">
        <v>341</v>
      </c>
      <c r="B16" s="27" t="s">
        <v>46</v>
      </c>
      <c r="C16" s="28">
        <f>'Raw Financials'!C68</f>
        <v>9716.9019000000008</v>
      </c>
      <c r="D16" s="28">
        <f>'Raw Financials'!D68</f>
        <v>9772</v>
      </c>
      <c r="E16" s="28">
        <f>'Raw Financials'!E68</f>
        <v>10519</v>
      </c>
      <c r="F16" s="28">
        <f>'Raw Financials'!F68</f>
        <v>9598</v>
      </c>
      <c r="G16" s="28">
        <f>'Raw Financials'!G68</f>
        <v>12888</v>
      </c>
      <c r="H16" s="28">
        <f>'Raw Financials'!H68</f>
        <v>13839</v>
      </c>
      <c r="I16" s="28">
        <f>'Raw Financials'!I68</f>
        <v>27335</v>
      </c>
      <c r="J16" s="28">
        <f>'Raw Financials'!J68</f>
        <v>30770</v>
      </c>
      <c r="K16" s="28">
        <f>'Raw Financials'!K68</f>
        <v>35052</v>
      </c>
      <c r="L16" s="28">
        <f>'Raw Financials'!L68</f>
        <v>77292</v>
      </c>
      <c r="M16" s="28">
        <f>'Raw Financials'!M68</f>
        <v>89756</v>
      </c>
      <c r="N16" s="30">
        <f>SUM(N7:N15)</f>
        <v>248196.01747532602</v>
      </c>
      <c r="O16" s="30">
        <f>SUM(O7:O15)</f>
        <v>247446.09826956413</v>
      </c>
      <c r="P16" s="30">
        <f>SUM(P7:P15)</f>
        <v>246230.60895047264</v>
      </c>
      <c r="Q16" s="30">
        <f>SUM(Q7:Q15)</f>
        <v>245449.92954350897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52" t="s">
        <v>342</v>
      </c>
      <c r="B17" s="52" t="s">
        <v>46</v>
      </c>
      <c r="C17" s="56">
        <f>'Raw Financials'!C69</f>
        <v>2.5472130000000002</v>
      </c>
      <c r="D17" s="56">
        <f>'Raw Financials'!D69</f>
        <v>3</v>
      </c>
      <c r="E17" s="56">
        <f>'Raw Financials'!E69</f>
        <v>3</v>
      </c>
      <c r="F17" s="56">
        <f>'Raw Financials'!F69</f>
        <v>8</v>
      </c>
      <c r="G17" s="56">
        <f>'Raw Financials'!G69</f>
        <v>0</v>
      </c>
      <c r="H17" s="56">
        <f>'Raw Financials'!H69</f>
        <v>0</v>
      </c>
      <c r="I17" s="56">
        <f>'Raw Financials'!I69</f>
        <v>0</v>
      </c>
      <c r="J17" s="56">
        <f>'Raw Financials'!J69</f>
        <v>0</v>
      </c>
      <c r="K17" s="56">
        <f>'Raw Financials'!K69</f>
        <v>0</v>
      </c>
      <c r="L17" s="56">
        <f>'Raw Financials'!L69</f>
        <v>0</v>
      </c>
      <c r="M17" s="56">
        <f>'Raw Financials'!M69</f>
        <v>0</v>
      </c>
      <c r="N17" s="57">
        <f>0</f>
        <v>0</v>
      </c>
      <c r="O17" s="57">
        <f>0</f>
        <v>0</v>
      </c>
      <c r="P17" s="57">
        <f>0</f>
        <v>0</v>
      </c>
      <c r="Q17" s="57">
        <f>0</f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466</v>
      </c>
      <c r="B18" s="1" t="s">
        <v>46</v>
      </c>
      <c r="C18" s="18">
        <f>'Raw Financials'!C70</f>
        <v>0</v>
      </c>
      <c r="D18" s="18">
        <f>'Raw Financials'!D70</f>
        <v>0</v>
      </c>
      <c r="E18" s="18">
        <f>'Raw Financials'!E70</f>
        <v>0</v>
      </c>
      <c r="F18" s="18">
        <f>'Raw Financials'!F70</f>
        <v>0</v>
      </c>
      <c r="G18" s="18">
        <f>'Raw Financials'!G70</f>
        <v>0</v>
      </c>
      <c r="H18" s="18">
        <f>'Raw Financials'!H70</f>
        <v>0</v>
      </c>
      <c r="I18" s="18">
        <f>'Raw Financials'!I70</f>
        <v>1184</v>
      </c>
      <c r="J18" s="18">
        <f>'Raw Financials'!J70</f>
        <v>1512</v>
      </c>
      <c r="K18" s="18">
        <f>'Raw Financials'!K70</f>
        <v>1791</v>
      </c>
      <c r="L18" s="18">
        <f>'Raw Financials'!L70</f>
        <v>2426</v>
      </c>
      <c r="M18" s="18">
        <f>'Raw Financials'!M70</f>
        <v>3339</v>
      </c>
      <c r="N18" s="25">
        <f>'Annual P&amp;L'!N7/365*Assumptions!C28</f>
        <v>24417.608731545206</v>
      </c>
      <c r="O18" s="25">
        <f>'Annual P&amp;L'!O7/365*Assumptions!D28</f>
        <v>29786.111068455528</v>
      </c>
      <c r="P18" s="25">
        <f>'Annual P&amp;L'!P7/365*Assumptions!E28</f>
        <v>35442.638963905039</v>
      </c>
      <c r="Q18" s="25">
        <f>'Annual P&amp;L'!Q7/365*Assumptions!F28</f>
        <v>41326.986944356118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344</v>
      </c>
      <c r="B19" s="1" t="s">
        <v>46</v>
      </c>
      <c r="C19" s="18">
        <f>'Raw Financials'!C71</f>
        <v>740</v>
      </c>
      <c r="D19" s="18">
        <f>'Raw Financials'!D71</f>
        <v>3158</v>
      </c>
      <c r="E19" s="18">
        <f>'Raw Financials'!E71</f>
        <v>3652</v>
      </c>
      <c r="F19" s="18">
        <f>'Raw Financials'!F71</f>
        <v>3651</v>
      </c>
      <c r="G19" s="18">
        <f>'Raw Financials'!G71</f>
        <v>137</v>
      </c>
      <c r="H19" s="18">
        <f>'Raw Financials'!H71</f>
        <v>124</v>
      </c>
      <c r="I19" s="18">
        <f>'Raw Financials'!I71</f>
        <v>5</v>
      </c>
      <c r="J19" s="18">
        <f>'Raw Financials'!J71</f>
        <v>0</v>
      </c>
      <c r="K19" s="18">
        <f>'Raw Financials'!K71</f>
        <v>0</v>
      </c>
      <c r="L19" s="18">
        <f>'Raw Financials'!L71</f>
        <v>5</v>
      </c>
      <c r="M19" s="18">
        <f>'Raw Financials'!M71</f>
        <v>5</v>
      </c>
      <c r="N19" s="25">
        <f>0</f>
        <v>0</v>
      </c>
      <c r="O19" s="25">
        <f>0</f>
        <v>0</v>
      </c>
      <c r="P19" s="25">
        <f>0</f>
        <v>0</v>
      </c>
      <c r="Q19" s="25">
        <f>0</f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345</v>
      </c>
      <c r="B20" s="1" t="s">
        <v>46</v>
      </c>
      <c r="C20" s="18">
        <f>'Raw Financials'!C72</f>
        <v>5900.595542</v>
      </c>
      <c r="D20" s="18">
        <f>'Raw Financials'!D72</f>
        <v>4903</v>
      </c>
      <c r="E20" s="18">
        <f>'Raw Financials'!E72</f>
        <v>5858</v>
      </c>
      <c r="F20" s="18">
        <f>'Raw Financials'!F72</f>
        <v>5877</v>
      </c>
      <c r="G20" s="18">
        <f>'Raw Financials'!G72</f>
        <v>8565</v>
      </c>
      <c r="H20" s="18">
        <f>'Raw Financials'!H72</f>
        <v>8895</v>
      </c>
      <c r="I20" s="18">
        <f>'Raw Financials'!I72</f>
        <v>13894</v>
      </c>
      <c r="J20" s="18">
        <f>'Raw Financials'!J72</f>
        <v>16131</v>
      </c>
      <c r="K20" s="18">
        <f>'Raw Financials'!K72</f>
        <v>18039</v>
      </c>
      <c r="L20" s="18">
        <f>'Raw Financials'!L72</f>
        <v>25771</v>
      </c>
      <c r="M20" s="18">
        <f>'Raw Financials'!M72</f>
        <v>39700</v>
      </c>
      <c r="N20" s="25">
        <f>'Annual P&amp;L'!N7/365*Assumptions!C27</f>
        <v>40696.014552575347</v>
      </c>
      <c r="O20" s="25">
        <f>'Annual P&amp;L'!O7/365*Assumptions!D27</f>
        <v>51521.921848139289</v>
      </c>
      <c r="P20" s="25">
        <f>'Annual P&amp;L'!P7/365*Assumptions!E27</f>
        <v>63796.750135029069</v>
      </c>
      <c r="Q20" s="25">
        <f>'Annual P&amp;L'!Q7/365*Assumptions!F27</f>
        <v>77644.642137881194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346</v>
      </c>
      <c r="B21" s="1" t="s">
        <v>46</v>
      </c>
      <c r="C21" s="18">
        <f>'Raw Financials'!C73</f>
        <v>2878.627262</v>
      </c>
      <c r="D21" s="18">
        <f>'Raw Financials'!D73</f>
        <v>3502</v>
      </c>
      <c r="E21" s="18">
        <f>'Raw Financials'!E73</f>
        <v>4102</v>
      </c>
      <c r="F21" s="18">
        <f>'Raw Financials'!F73</f>
        <v>5079</v>
      </c>
      <c r="G21" s="18">
        <f>'Raw Financials'!G73</f>
        <v>8195</v>
      </c>
      <c r="H21" s="18">
        <f>'Raw Financials'!H73</f>
        <v>7999</v>
      </c>
      <c r="I21" s="18">
        <f>'Raw Financials'!I73</f>
        <v>4468</v>
      </c>
      <c r="J21" s="18">
        <f>'Raw Financials'!J73</f>
        <v>5699</v>
      </c>
      <c r="K21" s="18">
        <f>'Raw Financials'!K73</f>
        <v>3213</v>
      </c>
      <c r="L21" s="18">
        <f>'Raw Financials'!L73</f>
        <v>7956</v>
      </c>
      <c r="M21" s="18">
        <f>'Raw Financials'!M73</f>
        <v>10936</v>
      </c>
      <c r="N21" s="25">
        <f>'Annual Cash Flow'!N41</f>
        <v>13436.218905427551</v>
      </c>
      <c r="O21" s="25">
        <f>'Annual Cash Flow'!O41</f>
        <v>8327.861789081715</v>
      </c>
      <c r="P21" s="25">
        <f>'Annual Cash Flow'!P41</f>
        <v>3716.7486665003271</v>
      </c>
      <c r="Q21" s="25">
        <f>'Annual Cash Flow'!Q41</f>
        <v>29969.931113009337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467</v>
      </c>
      <c r="B22" s="1" t="s">
        <v>46</v>
      </c>
      <c r="C22" s="11">
        <v>0</v>
      </c>
      <c r="D22" s="11">
        <v>0</v>
      </c>
      <c r="E22" s="11">
        <v>0</v>
      </c>
      <c r="F22" s="11">
        <v>115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25">
        <f>0</f>
        <v>0</v>
      </c>
      <c r="O22" s="25">
        <f>0</f>
        <v>0</v>
      </c>
      <c r="P22" s="25">
        <f>0</f>
        <v>0</v>
      </c>
      <c r="Q22" s="25">
        <f>0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347</v>
      </c>
      <c r="B23" s="1" t="s">
        <v>46</v>
      </c>
      <c r="C23" s="18">
        <f>'Raw Financials'!C74</f>
        <v>483.324412</v>
      </c>
      <c r="D23" s="18">
        <f>'Raw Financials'!D74</f>
        <v>573</v>
      </c>
      <c r="E23" s="18">
        <f>'Raw Financials'!E74</f>
        <v>81</v>
      </c>
      <c r="F23" s="18">
        <f>'Raw Financials'!F74</f>
        <v>497</v>
      </c>
      <c r="G23" s="18">
        <f>'Raw Financials'!G74</f>
        <v>839</v>
      </c>
      <c r="H23" s="18">
        <f>'Raw Financials'!H74</f>
        <v>123</v>
      </c>
      <c r="I23" s="18">
        <f>'Raw Financials'!I74</f>
        <v>67</v>
      </c>
      <c r="J23" s="18">
        <f>'Raw Financials'!J74</f>
        <v>88</v>
      </c>
      <c r="K23" s="18">
        <f>'Raw Financials'!K74</f>
        <v>139</v>
      </c>
      <c r="L23" s="18">
        <f>'Raw Financials'!L74</f>
        <v>876</v>
      </c>
      <c r="M23" s="18">
        <f>'Raw Financials'!M74</f>
        <v>56</v>
      </c>
      <c r="N23" s="25">
        <f>'Annual P&amp;L'!N7*Assumptions!C31</f>
        <v>0</v>
      </c>
      <c r="O23" s="25">
        <f>'Annual P&amp;L'!O7*Assumptions!D31</f>
        <v>0</v>
      </c>
      <c r="P23" s="25">
        <f>'Annual P&amp;L'!P7*Assumptions!E31</f>
        <v>0</v>
      </c>
      <c r="Q23" s="25">
        <f>'Annual P&amp;L'!Q7*Assumptions!F31</f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348</v>
      </c>
      <c r="B24" s="1" t="s">
        <v>46</v>
      </c>
      <c r="C24" s="18">
        <f>'Raw Financials'!C75</f>
        <v>0</v>
      </c>
      <c r="D24" s="18">
        <f>'Raw Financials'!D75</f>
        <v>1155</v>
      </c>
      <c r="E24" s="18">
        <f>'Raw Financials'!E75</f>
        <v>828</v>
      </c>
      <c r="F24" s="18">
        <f>'Raw Financials'!F75</f>
        <v>1549</v>
      </c>
      <c r="G24" s="18">
        <f>'Raw Financials'!G75</f>
        <v>2427</v>
      </c>
      <c r="H24" s="18">
        <f>'Raw Financials'!H75</f>
        <v>2717</v>
      </c>
      <c r="I24" s="18">
        <f>'Raw Financials'!I75</f>
        <v>662</v>
      </c>
      <c r="J24" s="18">
        <f>'Raw Financials'!J75</f>
        <v>187</v>
      </c>
      <c r="K24" s="18">
        <f>'Raw Financials'!K75</f>
        <v>178</v>
      </c>
      <c r="L24" s="18">
        <f>'Raw Financials'!L75</f>
        <v>535</v>
      </c>
      <c r="M24" s="18">
        <f>'Raw Financials'!M75</f>
        <v>118</v>
      </c>
      <c r="N24" s="25">
        <f>0</f>
        <v>0</v>
      </c>
      <c r="O24" s="25">
        <f>0</f>
        <v>0</v>
      </c>
      <c r="P24" s="25">
        <f>0</f>
        <v>0</v>
      </c>
      <c r="Q24" s="25">
        <f>0</f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349</v>
      </c>
      <c r="B25" s="1" t="s">
        <v>46</v>
      </c>
      <c r="C25" s="18">
        <f>'Raw Financials'!C76</f>
        <v>0</v>
      </c>
      <c r="D25" s="18">
        <f>'Raw Financials'!D76</f>
        <v>624</v>
      </c>
      <c r="E25" s="18">
        <f>'Raw Financials'!E76</f>
        <v>650</v>
      </c>
      <c r="F25" s="18">
        <f>'Raw Financials'!F76</f>
        <v>203</v>
      </c>
      <c r="G25" s="18">
        <f>'Raw Financials'!G76</f>
        <v>411</v>
      </c>
      <c r="H25" s="18">
        <f>'Raw Financials'!H76</f>
        <v>358</v>
      </c>
      <c r="I25" s="18">
        <f>'Raw Financials'!I76</f>
        <v>0</v>
      </c>
      <c r="J25" s="18">
        <f>'Raw Financials'!J76</f>
        <v>0</v>
      </c>
      <c r="K25" s="18">
        <f>'Raw Financials'!K76</f>
        <v>0</v>
      </c>
      <c r="L25" s="18">
        <f>'Raw Financials'!L76</f>
        <v>0</v>
      </c>
      <c r="M25" s="18">
        <f>'Raw Financials'!M76</f>
        <v>0</v>
      </c>
      <c r="N25" s="25">
        <f>0</f>
        <v>0</v>
      </c>
      <c r="O25" s="25">
        <f>0</f>
        <v>0</v>
      </c>
      <c r="P25" s="25">
        <f>0</f>
        <v>0</v>
      </c>
      <c r="Q25" s="25">
        <f>0</f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468</v>
      </c>
      <c r="B26" s="1" t="s">
        <v>46</v>
      </c>
      <c r="C26" s="18">
        <f>'Raw Financials'!C77</f>
        <v>2769.2552839999998</v>
      </c>
      <c r="D26" s="18">
        <f>'Raw Financials'!D77</f>
        <v>958</v>
      </c>
      <c r="E26" s="18">
        <f>'Raw Financials'!E77</f>
        <v>1005</v>
      </c>
      <c r="F26" s="18">
        <f>'Raw Financials'!F77</f>
        <v>1136</v>
      </c>
      <c r="G26" s="18">
        <f>'Raw Financials'!G77</f>
        <v>936</v>
      </c>
      <c r="H26" s="18">
        <f>'Raw Financials'!H77</f>
        <v>1079</v>
      </c>
      <c r="I26" s="18">
        <f>'Raw Financials'!I77</f>
        <v>1934</v>
      </c>
      <c r="J26" s="18">
        <f>'Raw Financials'!J77</f>
        <v>2447</v>
      </c>
      <c r="K26" s="18">
        <f>'Raw Financials'!K77</f>
        <v>2665</v>
      </c>
      <c r="L26" s="18">
        <f>'Raw Financials'!L77</f>
        <v>4487</v>
      </c>
      <c r="M26" s="18">
        <f>'Raw Financials'!M77</f>
        <v>4909</v>
      </c>
      <c r="N26" s="25">
        <f>'Annual P&amp;L'!N7*(Assumptions!C29+Assumptions!C30)</f>
        <v>12568.807571429999</v>
      </c>
      <c r="O26" s="25">
        <f>'Annual P&amp;L'!O7*(Assumptions!D29+Assumptions!D30)</f>
        <v>15279.469948088808</v>
      </c>
      <c r="P26" s="25">
        <f>'Annual P&amp;L'!P7*(Assumptions!E29+Assumptions!E30)</f>
        <v>18111.188510555476</v>
      </c>
      <c r="Q26" s="25">
        <f>'Annual P&amp;L'!Q7*(Assumptions!F29+Assumptions!F30)</f>
        <v>21026.670024113311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52" t="s">
        <v>469</v>
      </c>
      <c r="B27" s="52" t="s">
        <v>46</v>
      </c>
      <c r="C27" s="56">
        <f>'Raw Financials'!C80-'Raw Financials'!C68-'Raw Financials'!C78</f>
        <v>1.2000000060652383E-4</v>
      </c>
      <c r="D27" s="56">
        <f>'Raw Financials'!D80-'Raw Financials'!D68-'Raw Financials'!D78</f>
        <v>0</v>
      </c>
      <c r="E27" s="56">
        <f>'Raw Financials'!E80-'Raw Financials'!E68-'Raw Financials'!E78</f>
        <v>0</v>
      </c>
      <c r="F27" s="56">
        <f>'Raw Financials'!F80-'Raw Financials'!F68-'Raw Financials'!F78</f>
        <v>1144</v>
      </c>
      <c r="G27" s="56">
        <f>'Raw Financials'!G80-'Raw Financials'!G68-'Raw Financials'!G78</f>
        <v>0</v>
      </c>
      <c r="H27" s="56">
        <f>'Raw Financials'!H80-'Raw Financials'!H68-'Raw Financials'!H78</f>
        <v>0</v>
      </c>
      <c r="I27" s="56">
        <f>'Raw Financials'!I80-'Raw Financials'!I68-'Raw Financials'!I78</f>
        <v>0</v>
      </c>
      <c r="J27" s="56">
        <f>'Raw Financials'!J80-'Raw Financials'!J68-'Raw Financials'!J78</f>
        <v>0</v>
      </c>
      <c r="K27" s="56">
        <f>'Raw Financials'!K80-'Raw Financials'!K68-'Raw Financials'!K78</f>
        <v>0</v>
      </c>
      <c r="L27" s="56">
        <f>'Raw Financials'!L80-'Raw Financials'!L68-'Raw Financials'!L78</f>
        <v>4107</v>
      </c>
      <c r="M27" s="56">
        <f>'Raw Financials'!M80-'Raw Financials'!M68-'Raw Financials'!M78</f>
        <v>0</v>
      </c>
      <c r="N27" s="57">
        <f>0</f>
        <v>0</v>
      </c>
      <c r="O27" s="57">
        <f>0</f>
        <v>0</v>
      </c>
      <c r="P27" s="57">
        <f>0</f>
        <v>0</v>
      </c>
      <c r="Q27" s="57">
        <f>0</f>
        <v>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29" t="s">
        <v>351</v>
      </c>
      <c r="B28" s="27" t="s">
        <v>46</v>
      </c>
      <c r="C28" s="28">
        <f>'Raw Financials'!C78</f>
        <v>12774.349713</v>
      </c>
      <c r="D28" s="28">
        <f>'Raw Financials'!D78</f>
        <v>14876</v>
      </c>
      <c r="E28" s="28">
        <f>'Raw Financials'!E78</f>
        <v>16179</v>
      </c>
      <c r="F28" s="28">
        <f>'Raw Financials'!F78</f>
        <v>17992</v>
      </c>
      <c r="G28" s="28">
        <f>'Raw Financials'!G78</f>
        <v>21510</v>
      </c>
      <c r="H28" s="28">
        <f>'Raw Financials'!H78</f>
        <v>21295</v>
      </c>
      <c r="I28" s="28">
        <f>'Raw Financials'!I78</f>
        <v>22209</v>
      </c>
      <c r="J28" s="28">
        <f>'Raw Financials'!J78</f>
        <v>26064</v>
      </c>
      <c r="K28" s="28">
        <f>'Raw Financials'!K78</f>
        <v>26025</v>
      </c>
      <c r="L28" s="28">
        <f>'Raw Financials'!L78</f>
        <v>43508</v>
      </c>
      <c r="M28" s="28">
        <f>'Raw Financials'!M78</f>
        <v>59058</v>
      </c>
      <c r="N28" s="30">
        <f>SUM(N17:N27)</f>
        <v>91118.649760978093</v>
      </c>
      <c r="O28" s="30">
        <f>SUM(O17:O27)</f>
        <v>104915.36465376534</v>
      </c>
      <c r="P28" s="30">
        <f>SUM(P17:P27)</f>
        <v>121067.32627598991</v>
      </c>
      <c r="Q28" s="30">
        <f>SUM(Q17:Q27)</f>
        <v>169968.23021935998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29" t="s">
        <v>353</v>
      </c>
      <c r="B29" s="27" t="s">
        <v>46</v>
      </c>
      <c r="C29" s="28">
        <f>'Raw Financials'!C80</f>
        <v>22491.251733000001</v>
      </c>
      <c r="D29" s="28">
        <f>'Raw Financials'!D80</f>
        <v>24648</v>
      </c>
      <c r="E29" s="28">
        <f>'Raw Financials'!E80</f>
        <v>26698</v>
      </c>
      <c r="F29" s="28">
        <f>'Raw Financials'!F80</f>
        <v>28734</v>
      </c>
      <c r="G29" s="28">
        <f>'Raw Financials'!G80</f>
        <v>34398</v>
      </c>
      <c r="H29" s="28">
        <f>'Raw Financials'!H80</f>
        <v>35134</v>
      </c>
      <c r="I29" s="28">
        <f>'Raw Financials'!I80</f>
        <v>49544</v>
      </c>
      <c r="J29" s="28">
        <f>'Raw Financials'!J80</f>
        <v>56834</v>
      </c>
      <c r="K29" s="28">
        <f>'Raw Financials'!K80</f>
        <v>61077</v>
      </c>
      <c r="L29" s="28">
        <f>'Raw Financials'!L80</f>
        <v>124907</v>
      </c>
      <c r="M29" s="28">
        <f>'Raw Financials'!M80</f>
        <v>148814</v>
      </c>
      <c r="N29" s="30">
        <f>N16+N28</f>
        <v>339314.66723630414</v>
      </c>
      <c r="O29" s="30">
        <f>O16+O28</f>
        <v>352361.46292332944</v>
      </c>
      <c r="P29" s="30">
        <f>P16+P28</f>
        <v>367297.93522646255</v>
      </c>
      <c r="Q29" s="30">
        <f>Q16+Q28</f>
        <v>415418.15976286895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354</v>
      </c>
      <c r="B30" s="1" t="s">
        <v>46</v>
      </c>
      <c r="C30" s="18">
        <f>'Raw Financials'!C81</f>
        <v>611.86523999999997</v>
      </c>
      <c r="D30" s="18">
        <f>'Raw Financials'!D81</f>
        <v>614</v>
      </c>
      <c r="E30" s="18">
        <f>'Raw Financials'!E81</f>
        <v>615</v>
      </c>
      <c r="F30" s="18">
        <f>'Raw Financials'!F81</f>
        <v>618</v>
      </c>
      <c r="G30" s="18">
        <f>'Raw Financials'!G81</f>
        <v>625</v>
      </c>
      <c r="H30" s="18">
        <f>'Raw Financials'!H81</f>
        <v>606</v>
      </c>
      <c r="I30" s="18">
        <f>'Raw Financials'!I81</f>
        <v>609</v>
      </c>
      <c r="J30" s="18">
        <f>'Raw Financials'!J81</f>
        <v>611</v>
      </c>
      <c r="K30" s="18">
        <f>'Raw Financials'!K81</f>
        <v>618</v>
      </c>
      <c r="L30" s="18">
        <f>'Raw Financials'!L81</f>
        <v>669</v>
      </c>
      <c r="M30" s="18">
        <f>'Raw Financials'!M81</f>
        <v>672</v>
      </c>
      <c r="N30" s="25">
        <f>'Acquisition &amp; Debt'!C34</f>
        <v>885</v>
      </c>
      <c r="O30" s="25">
        <f>N30</f>
        <v>885</v>
      </c>
      <c r="P30" s="25">
        <f>O30</f>
        <v>885</v>
      </c>
      <c r="Q30" s="25">
        <f>P30</f>
        <v>885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470</v>
      </c>
      <c r="B31" s="1" t="s">
        <v>46</v>
      </c>
      <c r="C31" s="18">
        <f>'Raw Financials'!C82</f>
        <v>15295.606687</v>
      </c>
      <c r="D31" s="18">
        <f>'Raw Financials'!D82</f>
        <v>16251</v>
      </c>
      <c r="E31" s="18">
        <f>'Raw Financials'!E82</f>
        <v>17125</v>
      </c>
      <c r="F31" s="18">
        <f>'Raw Financials'!F82</f>
        <v>105</v>
      </c>
      <c r="G31" s="18">
        <f>'Raw Financials'!G82</f>
        <v>23340</v>
      </c>
      <c r="H31" s="18">
        <f>'Raw Financials'!H82</f>
        <v>24041</v>
      </c>
      <c r="I31" s="18">
        <f>'Raw Financials'!I82</f>
        <v>26722</v>
      </c>
      <c r="J31" s="18">
        <f>'Raw Financials'!J82</f>
        <v>30214</v>
      </c>
      <c r="K31" s="18">
        <f>'Raw Financials'!K82</f>
        <v>35648</v>
      </c>
      <c r="L31" s="18">
        <f>'Raw Financials'!L82</f>
        <v>63123</v>
      </c>
      <c r="M31" s="18">
        <f>'Raw Financials'!M82</f>
        <v>94704</v>
      </c>
      <c r="N31" s="25">
        <f>'Acquisition &amp; Debt'!C35+('Annual P&amp;L'!N30-'Quarterly P&amp;L'!AU28)+('Annual P&amp;L'!N15-'Quarterly P&amp;L'!AU14)-'Annual P&amp;L'!N36+Assumptions!C63</f>
        <v>227896.77316549883</v>
      </c>
      <c r="O31" s="25">
        <f>N31+'Annual P&amp;L'!O30+'Annual P&amp;L'!O15-'Annual P&amp;L'!O36+Assumptions!D63</f>
        <v>251379.86122999867</v>
      </c>
      <c r="P31" s="25">
        <f>O31+'Annual P&amp;L'!P30+'Annual P&amp;L'!P15-'Annual P&amp;L'!P36+Assumptions!E63</f>
        <v>282391.81174004509</v>
      </c>
      <c r="Q31" s="25">
        <f>P31+'Annual P&amp;L'!Q30+'Annual P&amp;L'!Q15-'Annual P&amp;L'!Q36+Assumptions!F63</f>
        <v>322175.06265025836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29" t="s">
        <v>356</v>
      </c>
      <c r="B32" s="27" t="s">
        <v>46</v>
      </c>
      <c r="C32" s="28">
        <f>'Raw Financials'!C83</f>
        <v>15907.471927000001</v>
      </c>
      <c r="D32" s="28">
        <f>'Raw Financials'!D83</f>
        <v>16865</v>
      </c>
      <c r="E32" s="28">
        <f>'Raw Financials'!E83</f>
        <v>17740</v>
      </c>
      <c r="F32" s="28">
        <f>'Raw Financials'!F83</f>
        <v>723</v>
      </c>
      <c r="G32" s="28">
        <f>'Raw Financials'!G83</f>
        <v>23965</v>
      </c>
      <c r="H32" s="28">
        <f>'Raw Financials'!H83</f>
        <v>24647</v>
      </c>
      <c r="I32" s="28">
        <f>'Raw Financials'!I83</f>
        <v>27331</v>
      </c>
      <c r="J32" s="28">
        <f>'Raw Financials'!J83</f>
        <v>30825</v>
      </c>
      <c r="K32" s="28">
        <f>'Raw Financials'!K83</f>
        <v>36266</v>
      </c>
      <c r="L32" s="28">
        <f>'Raw Financials'!L83</f>
        <v>63792</v>
      </c>
      <c r="M32" s="28">
        <f>'Raw Financials'!M83</f>
        <v>95376</v>
      </c>
      <c r="N32" s="30">
        <f>N30+N31</f>
        <v>228781.77316549883</v>
      </c>
      <c r="O32" s="30">
        <f>O30+O31</f>
        <v>252264.86122999867</v>
      </c>
      <c r="P32" s="30">
        <f>P30+P31</f>
        <v>283276.81174004509</v>
      </c>
      <c r="Q32" s="30">
        <f>Q30+Q31</f>
        <v>323060.06265025836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272</v>
      </c>
      <c r="B33" s="1" t="s">
        <v>46</v>
      </c>
      <c r="C33" s="18">
        <f>'Raw Financials'!C84</f>
        <v>645.16793099999995</v>
      </c>
      <c r="D33" s="18">
        <f>'Raw Financials'!D84</f>
        <v>237</v>
      </c>
      <c r="E33" s="18">
        <f>'Raw Financials'!E84</f>
        <v>222</v>
      </c>
      <c r="F33" s="18">
        <f>'Raw Financials'!F84</f>
        <v>75</v>
      </c>
      <c r="G33" s="18">
        <f>'Raw Financials'!G84</f>
        <v>14</v>
      </c>
      <c r="H33" s="18">
        <f>'Raw Financials'!H84</f>
        <v>14</v>
      </c>
      <c r="I33" s="18">
        <f>'Raw Financials'!I84</f>
        <v>12</v>
      </c>
      <c r="J33" s="18">
        <f>'Raw Financials'!J84</f>
        <v>874</v>
      </c>
      <c r="K33" s="18">
        <f>'Raw Financials'!K84</f>
        <v>1003</v>
      </c>
      <c r="L33" s="18">
        <f>'Raw Financials'!L84</f>
        <v>19498</v>
      </c>
      <c r="M33" s="18">
        <f>'Raw Financials'!M84</f>
        <v>1430</v>
      </c>
      <c r="N33" s="25">
        <f>'Acquisition &amp; Debt'!C36+('Annual P&amp;L'!N29-'Quarterly P&amp;L'!AU27)-'Annual P&amp;L'!N29*Assumptions!C45</f>
        <v>1792.629242227315</v>
      </c>
      <c r="O33" s="25">
        <f>N33+'Annual P&amp;L'!O29-'Annual P&amp;L'!O29*Assumptions!D45</f>
        <v>2160.1431559541975</v>
      </c>
      <c r="P33" s="25">
        <f>O33+'Annual P&amp;L'!P29-'Annual P&amp;L'!P29*Assumptions!E45</f>
        <v>2493.9066560438387</v>
      </c>
      <c r="Q33" s="25">
        <f>P33+'Annual P&amp;L'!Q29-'Annual P&amp;L'!Q29*Assumptions!F45</f>
        <v>2930.4125355664528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29" t="s">
        <v>357</v>
      </c>
      <c r="B34" s="27" t="s">
        <v>46</v>
      </c>
      <c r="C34" s="28">
        <f>'Raw Financials'!C85</f>
        <v>16552.639857999999</v>
      </c>
      <c r="D34" s="28">
        <f>'Raw Financials'!D85</f>
        <v>17102</v>
      </c>
      <c r="E34" s="28">
        <f>'Raw Financials'!E85</f>
        <v>17962</v>
      </c>
      <c r="F34" s="28">
        <f>'Raw Financials'!F85</f>
        <v>20798</v>
      </c>
      <c r="G34" s="28">
        <f>'Raw Financials'!G85</f>
        <v>23965</v>
      </c>
      <c r="H34" s="28">
        <f>'Raw Financials'!H85</f>
        <v>24661</v>
      </c>
      <c r="I34" s="28">
        <f>'Raw Financials'!I85</f>
        <v>28314</v>
      </c>
      <c r="J34" s="28">
        <f>'Raw Financials'!J85</f>
        <v>31699</v>
      </c>
      <c r="K34" s="28">
        <f>'Raw Financials'!K85</f>
        <v>37269</v>
      </c>
      <c r="L34" s="28">
        <f>'Raw Financials'!L85</f>
        <v>83290</v>
      </c>
      <c r="M34" s="28">
        <f>'Raw Financials'!M85</f>
        <v>96806</v>
      </c>
      <c r="N34" s="30">
        <f>N32+N33</f>
        <v>230574.40240772616</v>
      </c>
      <c r="O34" s="30">
        <f>O32+O33</f>
        <v>254425.00438595287</v>
      </c>
      <c r="P34" s="30">
        <f>P32+P33</f>
        <v>285770.71839608892</v>
      </c>
      <c r="Q34" s="30">
        <f>Q32+Q33</f>
        <v>325990.47518582479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358</v>
      </c>
      <c r="B35" s="1" t="s">
        <v>46</v>
      </c>
      <c r="C35" s="18">
        <f>'Raw Financials'!C86</f>
        <v>63.791705999999998</v>
      </c>
      <c r="D35" s="18">
        <f>'Raw Financials'!D86</f>
        <v>74</v>
      </c>
      <c r="E35" s="18">
        <f>'Raw Financials'!E86</f>
        <v>179</v>
      </c>
      <c r="F35" s="18">
        <f>'Raw Financials'!F86</f>
        <v>100</v>
      </c>
      <c r="G35" s="18">
        <f>'Raw Financials'!G86</f>
        <v>48</v>
      </c>
      <c r="H35" s="18">
        <f>'Raw Financials'!H86</f>
        <v>5</v>
      </c>
      <c r="I35" s="18">
        <f>'Raw Financials'!I86</f>
        <v>3365</v>
      </c>
      <c r="J35" s="18">
        <f>'Raw Financials'!J86</f>
        <v>3382</v>
      </c>
      <c r="K35" s="18">
        <f>'Raw Financials'!K86</f>
        <v>3399</v>
      </c>
      <c r="L35" s="18">
        <f>'Raw Financials'!L86</f>
        <v>67</v>
      </c>
      <c r="M35" s="18">
        <f>'Raw Financials'!M86</f>
        <v>1167</v>
      </c>
      <c r="N35" s="25">
        <f>0</f>
        <v>0</v>
      </c>
      <c r="O35" s="25">
        <f>0</f>
        <v>0</v>
      </c>
      <c r="P35" s="25">
        <f>0</f>
        <v>0</v>
      </c>
      <c r="Q35" s="25">
        <f>0</f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359</v>
      </c>
      <c r="B36" s="1" t="s">
        <v>46</v>
      </c>
      <c r="C36" s="18">
        <f>'Raw Financials'!C87</f>
        <v>0</v>
      </c>
      <c r="D36" s="18">
        <f>'Raw Financials'!D87</f>
        <v>0</v>
      </c>
      <c r="E36" s="18">
        <f>'Raw Financials'!E87</f>
        <v>0</v>
      </c>
      <c r="F36" s="18">
        <f>'Raw Financials'!F87</f>
        <v>0</v>
      </c>
      <c r="G36" s="18">
        <f>'Raw Financials'!G87</f>
        <v>0</v>
      </c>
      <c r="H36" s="18">
        <f>'Raw Financials'!H87</f>
        <v>0</v>
      </c>
      <c r="I36" s="18">
        <f>'Raw Financials'!I87</f>
        <v>0</v>
      </c>
      <c r="J36" s="18">
        <f>'Raw Financials'!J87</f>
        <v>0</v>
      </c>
      <c r="K36" s="18">
        <f>'Raw Financials'!K87</f>
        <v>2317</v>
      </c>
      <c r="L36" s="18">
        <f>'Raw Financials'!L87</f>
        <v>2735</v>
      </c>
      <c r="M36" s="18">
        <f>'Raw Financials'!M87</f>
        <v>2187</v>
      </c>
      <c r="N36" s="25">
        <f>0</f>
        <v>0</v>
      </c>
      <c r="O36" s="25">
        <f>0</f>
        <v>0</v>
      </c>
      <c r="P36" s="25">
        <f>0</f>
        <v>0</v>
      </c>
      <c r="Q36" s="25">
        <f>0</f>
        <v>0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471</v>
      </c>
      <c r="B37" s="1" t="s">
        <v>46</v>
      </c>
      <c r="C37" s="18">
        <f>SUM('Raw Financials'!C88,'Raw Financials'!C89)</f>
        <v>0</v>
      </c>
      <c r="D37" s="18">
        <f>SUM('Raw Financials'!D88,'Raw Financials'!D89)</f>
        <v>1556</v>
      </c>
      <c r="E37" s="18">
        <f>SUM('Raw Financials'!E88,'Raw Financials'!E89)</f>
        <v>1483</v>
      </c>
      <c r="F37" s="18">
        <f>SUM('Raw Financials'!F88,'Raw Financials'!F89)</f>
        <v>538</v>
      </c>
      <c r="G37" s="18">
        <f>SUM('Raw Financials'!G88,'Raw Financials'!G89)</f>
        <v>1262</v>
      </c>
      <c r="H37" s="18">
        <f>SUM('Raw Financials'!H88,'Raw Financials'!H89)</f>
        <v>871</v>
      </c>
      <c r="I37" s="18">
        <f>SUM('Raw Financials'!I88,'Raw Financials'!I89)</f>
        <v>377</v>
      </c>
      <c r="J37" s="18">
        <f>SUM('Raw Financials'!J88,'Raw Financials'!J89)</f>
        <v>656</v>
      </c>
      <c r="K37" s="18">
        <f>SUM('Raw Financials'!K88,'Raw Financials'!K89)</f>
        <v>880</v>
      </c>
      <c r="L37" s="18">
        <f>SUM('Raw Financials'!L88,'Raw Financials'!L89)</f>
        <v>5497</v>
      </c>
      <c r="M37" s="18">
        <f>SUM('Raw Financials'!M88,'Raw Financials'!M89)</f>
        <v>6574</v>
      </c>
      <c r="N37" s="25">
        <f>0</f>
        <v>0</v>
      </c>
      <c r="O37" s="25">
        <f>0</f>
        <v>0</v>
      </c>
      <c r="P37" s="25">
        <f>0</f>
        <v>0</v>
      </c>
      <c r="Q37" s="25">
        <f>0</f>
        <v>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52" t="s">
        <v>362</v>
      </c>
      <c r="B38" s="52" t="s">
        <v>46</v>
      </c>
      <c r="C38" s="56">
        <f>'Raw Financials'!C90</f>
        <v>0</v>
      </c>
      <c r="D38" s="56">
        <f>'Raw Financials'!D90</f>
        <v>858</v>
      </c>
      <c r="E38" s="56">
        <f>'Raw Financials'!E90</f>
        <v>741</v>
      </c>
      <c r="F38" s="56">
        <f>'Raw Financials'!F90</f>
        <v>725</v>
      </c>
      <c r="G38" s="56">
        <f>'Raw Financials'!G90</f>
        <v>593</v>
      </c>
      <c r="H38" s="56">
        <f>'Raw Financials'!H90</f>
        <v>696</v>
      </c>
      <c r="I38" s="56">
        <f>'Raw Financials'!I90</f>
        <v>14</v>
      </c>
      <c r="J38" s="56">
        <f>'Raw Financials'!J90</f>
        <v>1276</v>
      </c>
      <c r="K38" s="56">
        <f>'Raw Financials'!K90</f>
        <v>1304</v>
      </c>
      <c r="L38" s="56">
        <f>'Raw Financials'!L90</f>
        <v>1743</v>
      </c>
      <c r="M38" s="56">
        <f>'Raw Financials'!M90</f>
        <v>3189</v>
      </c>
      <c r="N38" s="57">
        <f>0</f>
        <v>0</v>
      </c>
      <c r="O38" s="57">
        <f>0</f>
        <v>0</v>
      </c>
      <c r="P38" s="57">
        <f>0</f>
        <v>0</v>
      </c>
      <c r="Q38" s="57">
        <f>0</f>
        <v>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363</v>
      </c>
      <c r="B39" s="1" t="s">
        <v>46</v>
      </c>
      <c r="C39" s="18">
        <f>'Raw Financials'!C91</f>
        <v>0</v>
      </c>
      <c r="D39" s="18">
        <f>'Raw Financials'!D91</f>
        <v>387</v>
      </c>
      <c r="E39" s="18">
        <f>'Raw Financials'!E91</f>
        <v>455</v>
      </c>
      <c r="F39" s="18">
        <f>'Raw Financials'!F91</f>
        <v>395</v>
      </c>
      <c r="G39" s="18">
        <f>'Raw Financials'!G91</f>
        <v>397</v>
      </c>
      <c r="H39" s="18">
        <f>'Raw Financials'!H91</f>
        <v>0</v>
      </c>
      <c r="I39" s="18">
        <f>'Raw Financials'!I91</f>
        <v>766</v>
      </c>
      <c r="J39" s="18">
        <f>'Raw Financials'!J91</f>
        <v>583</v>
      </c>
      <c r="K39" s="18">
        <f>'Raw Financials'!K91</f>
        <v>466</v>
      </c>
      <c r="L39" s="18">
        <f>'Raw Financials'!L91</f>
        <v>2184</v>
      </c>
      <c r="M39" s="18">
        <f>'Raw Financials'!M91</f>
        <v>353</v>
      </c>
      <c r="N39" s="25">
        <f>'Annual P&amp;L'!N7*Assumptions!C37</f>
        <v>9597.9985090919999</v>
      </c>
      <c r="O39" s="25">
        <f>'Annual P&amp;L'!O7*Assumptions!D37</f>
        <v>11165.766500526437</v>
      </c>
      <c r="P39" s="25">
        <f>'Annual P&amp;L'!P7*Assumptions!E37</f>
        <v>12566.947129773187</v>
      </c>
      <c r="Q39" s="25">
        <f>'Annual P&amp;L'!Q7*Assumptions!F37</f>
        <v>13713.045667899985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472</v>
      </c>
      <c r="B40" s="1" t="s">
        <v>46</v>
      </c>
      <c r="C40" s="18">
        <f>'Raw Financials'!C92</f>
        <v>0</v>
      </c>
      <c r="D40" s="18">
        <f>'Raw Financials'!D92</f>
        <v>82</v>
      </c>
      <c r="E40" s="18">
        <f>'Raw Financials'!E92</f>
        <v>17</v>
      </c>
      <c r="F40" s="18">
        <f>'Raw Financials'!F92</f>
        <v>12</v>
      </c>
      <c r="G40" s="18">
        <f>'Raw Financials'!G92</f>
        <v>17</v>
      </c>
      <c r="H40" s="18">
        <f>'Raw Financials'!H92</f>
        <v>17</v>
      </c>
      <c r="I40" s="18">
        <f>'Raw Financials'!I92</f>
        <v>51</v>
      </c>
      <c r="J40" s="18">
        <f>'Raw Financials'!J92</f>
        <v>59</v>
      </c>
      <c r="K40" s="18">
        <f>'Raw Financials'!K92</f>
        <v>127</v>
      </c>
      <c r="L40" s="18">
        <f>'Raw Financials'!L92</f>
        <v>1591</v>
      </c>
      <c r="M40" s="18">
        <f>'Raw Financials'!M92</f>
        <v>1844</v>
      </c>
      <c r="N40" s="25">
        <f>'Acquisition &amp; Debt'!C40*(1-Assumptions!C46)</f>
        <v>1888.5</v>
      </c>
      <c r="O40" s="25">
        <f>N40*(1-Assumptions!D46)</f>
        <v>1321.9499999999998</v>
      </c>
      <c r="P40" s="25">
        <f>O40*(1-Assumptions!E46)</f>
        <v>859.26749999999993</v>
      </c>
      <c r="Q40" s="25">
        <f>P40*(1-Assumptions!F46)</f>
        <v>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29" t="s">
        <v>365</v>
      </c>
      <c r="B41" s="27" t="s">
        <v>46</v>
      </c>
      <c r="C41" s="28">
        <f>'Raw Financials'!C93</f>
        <v>911.72297000000003</v>
      </c>
      <c r="D41" s="28">
        <f>'Raw Financials'!D93</f>
        <v>2957</v>
      </c>
      <c r="E41" s="28">
        <f>'Raw Financials'!E93</f>
        <v>2889</v>
      </c>
      <c r="F41" s="28">
        <f>'Raw Financials'!F93</f>
        <v>1770</v>
      </c>
      <c r="G41" s="28">
        <f>'Raw Financials'!G93</f>
        <v>2491</v>
      </c>
      <c r="H41" s="28">
        <f>'Raw Financials'!H93</f>
        <v>2048</v>
      </c>
      <c r="I41" s="28">
        <f>'Raw Financials'!I93</f>
        <v>9438</v>
      </c>
      <c r="J41" s="28">
        <f>'Raw Financials'!J93</f>
        <v>7742</v>
      </c>
      <c r="K41" s="28">
        <f>'Raw Financials'!K93</f>
        <v>8493</v>
      </c>
      <c r="L41" s="28">
        <f>'Raw Financials'!L93</f>
        <v>13817</v>
      </c>
      <c r="M41" s="28">
        <f>'Raw Financials'!M93</f>
        <v>15314</v>
      </c>
      <c r="N41" s="30">
        <f>SUM(N35:N40)</f>
        <v>11486.498509092</v>
      </c>
      <c r="O41" s="30">
        <f>SUM(O35:O40)</f>
        <v>12487.716500526436</v>
      </c>
      <c r="P41" s="30">
        <f>SUM(P35:P40)</f>
        <v>13426.214629773187</v>
      </c>
      <c r="Q41" s="30">
        <f>SUM(Q35:Q40)</f>
        <v>13713.045667899985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366</v>
      </c>
      <c r="B42" s="1" t="s">
        <v>46</v>
      </c>
      <c r="C42" s="18">
        <f>'Raw Financials'!C94</f>
        <v>0</v>
      </c>
      <c r="D42" s="18">
        <f>'Raw Financials'!D94</f>
        <v>0</v>
      </c>
      <c r="E42" s="18">
        <f>'Raw Financials'!E94</f>
        <v>0</v>
      </c>
      <c r="F42" s="18">
        <f>'Raw Financials'!F94</f>
        <v>0</v>
      </c>
      <c r="G42" s="18">
        <f>'Raw Financials'!G94</f>
        <v>0</v>
      </c>
      <c r="H42" s="18">
        <f>'Raw Financials'!H94</f>
        <v>0</v>
      </c>
      <c r="I42" s="18">
        <f>'Raw Financials'!I94</f>
        <v>180</v>
      </c>
      <c r="J42" s="18">
        <f>'Raw Financials'!J94</f>
        <v>13</v>
      </c>
      <c r="K42" s="18">
        <f>'Raw Financials'!K94</f>
        <v>13</v>
      </c>
      <c r="L42" s="18">
        <f>'Raw Financials'!L94</f>
        <v>6938</v>
      </c>
      <c r="M42" s="18">
        <f>'Raw Financials'!M94</f>
        <v>2830</v>
      </c>
      <c r="N42" s="25">
        <f>'Acquisition &amp; Debt'!C21</f>
        <v>46060</v>
      </c>
      <c r="O42" s="25">
        <f>'Acquisition &amp; Debt'!D21</f>
        <v>25650</v>
      </c>
      <c r="P42" s="25">
        <f>'Acquisition &amp; Debt'!E21</f>
        <v>0</v>
      </c>
      <c r="Q42" s="25">
        <f>'Acquisition &amp; Debt'!F21</f>
        <v>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367</v>
      </c>
      <c r="B43" s="1" t="s">
        <v>46</v>
      </c>
      <c r="C43" s="18">
        <f>'Raw Financials'!C95</f>
        <v>0</v>
      </c>
      <c r="D43" s="18">
        <f>'Raw Financials'!D95</f>
        <v>0</v>
      </c>
      <c r="E43" s="18">
        <f>'Raw Financials'!E95</f>
        <v>0</v>
      </c>
      <c r="F43" s="18">
        <f>'Raw Financials'!F95</f>
        <v>0</v>
      </c>
      <c r="G43" s="18">
        <f>'Raw Financials'!G95</f>
        <v>0</v>
      </c>
      <c r="H43" s="18">
        <f>'Raw Financials'!H95</f>
        <v>0</v>
      </c>
      <c r="I43" s="18">
        <f>'Raw Financials'!I95</f>
        <v>0</v>
      </c>
      <c r="J43" s="18">
        <f>'Raw Financials'!J95</f>
        <v>0</v>
      </c>
      <c r="K43" s="18">
        <f>'Raw Financials'!K95</f>
        <v>577</v>
      </c>
      <c r="L43" s="18">
        <f>'Raw Financials'!L95</f>
        <v>964</v>
      </c>
      <c r="M43" s="18">
        <f>'Raw Financials'!M95</f>
        <v>1094</v>
      </c>
      <c r="N43" s="25">
        <f>'Acquisition &amp; Debt'!C41*(1-Assumptions!C42)+'Annual P&amp;L'!N7*Assumptions!C43</f>
        <v>4117.8688701299998</v>
      </c>
      <c r="O43" s="25">
        <f>N43*(1-Assumptions!D42)+'Annual P&amp;L'!O7*Assumptions!D43</f>
        <v>4557.5814552983466</v>
      </c>
      <c r="P43" s="25">
        <f>O43*(1-Assumptions!E42)+'Annual P&amp;L'!P7*Assumptions!E43</f>
        <v>5266.2665517345231</v>
      </c>
      <c r="Q43" s="25">
        <f>P43*(1-Assumptions!F42)+'Annual P&amp;L'!Q7*Assumptions!F43</f>
        <v>6235.2075251175565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473</v>
      </c>
      <c r="B44" s="1" t="s">
        <v>46</v>
      </c>
      <c r="C44" s="18">
        <f>SUM('Raw Financials'!C96,'Raw Financials'!C97)</f>
        <v>1654.2020170000001</v>
      </c>
      <c r="D44" s="18">
        <f>SUM('Raw Financials'!D96,'Raw Financials'!D97)</f>
        <v>2271</v>
      </c>
      <c r="E44" s="18">
        <f>SUM('Raw Financials'!E96,'Raw Financials'!E97)</f>
        <v>3186</v>
      </c>
      <c r="F44" s="18">
        <f>SUM('Raw Financials'!F96,'Raw Financials'!F97)</f>
        <v>3234</v>
      </c>
      <c r="G44" s="18">
        <f>SUM('Raw Financials'!G96,'Raw Financials'!G97)</f>
        <v>5040</v>
      </c>
      <c r="H44" s="18">
        <f>SUM('Raw Financials'!H96,'Raw Financials'!H97)</f>
        <v>4593</v>
      </c>
      <c r="I44" s="18">
        <f>SUM('Raw Financials'!I96,'Raw Financials'!I97)</f>
        <v>8558</v>
      </c>
      <c r="J44" s="18">
        <f>SUM('Raw Financials'!J96,'Raw Financials'!J97)</f>
        <v>13858</v>
      </c>
      <c r="K44" s="18">
        <f>SUM('Raw Financials'!K96,'Raw Financials'!K97)</f>
        <v>10437</v>
      </c>
      <c r="L44" s="18">
        <f>SUM('Raw Financials'!L96,'Raw Financials'!L97)</f>
        <v>14437</v>
      </c>
      <c r="M44" s="18">
        <f>SUM('Raw Financials'!M96,'Raw Financials'!M97)</f>
        <v>24942</v>
      </c>
      <c r="N44" s="25">
        <f>'Annual P&amp;L'!N7*Assumptions!C36</f>
        <v>35421.184974030002</v>
      </c>
      <c r="O44" s="25">
        <f>'Annual P&amp;L'!O7*Assumptions!D36</f>
        <v>41137.034475623717</v>
      </c>
      <c r="P44" s="25">
        <f>'Annual P&amp;L'!P7*Assumptions!E36</f>
        <v>46202.011506519069</v>
      </c>
      <c r="Q44" s="25">
        <f>'Annual P&amp;L'!Q7*Assumptions!F36</f>
        <v>50281.167448966611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370</v>
      </c>
      <c r="B45" s="1" t="s">
        <v>46</v>
      </c>
      <c r="C45" s="18">
        <f>'Raw Financials'!C98</f>
        <v>1340.9938830000001</v>
      </c>
      <c r="D45" s="18">
        <f>'Raw Financials'!D98</f>
        <v>642</v>
      </c>
      <c r="E45" s="18">
        <f>'Raw Financials'!E98</f>
        <v>709</v>
      </c>
      <c r="F45" s="18">
        <f>'Raw Financials'!F98</f>
        <v>334</v>
      </c>
      <c r="G45" s="18">
        <f>'Raw Financials'!G98</f>
        <v>329</v>
      </c>
      <c r="H45" s="18">
        <f>'Raw Financials'!H98</f>
        <v>225</v>
      </c>
      <c r="I45" s="18">
        <f>'Raw Financials'!I98</f>
        <v>14</v>
      </c>
      <c r="J45" s="18">
        <f>'Raw Financials'!J98</f>
        <v>360</v>
      </c>
      <c r="K45" s="18">
        <f>'Raw Financials'!K98</f>
        <v>417</v>
      </c>
      <c r="L45" s="18">
        <f>'Raw Financials'!L98</f>
        <v>706</v>
      </c>
      <c r="M45" s="18">
        <f>'Raw Financials'!M98</f>
        <v>987</v>
      </c>
      <c r="N45" s="25">
        <f>'Annual P&amp;L'!N7*Assumptions!C35</f>
        <v>6398.6656727279997</v>
      </c>
      <c r="O45" s="25">
        <f>'Annual P&amp;L'!O7*Assumptions!D35</f>
        <v>7639.7349740444033</v>
      </c>
      <c r="P45" s="25">
        <f>'Annual P&amp;L'!P7*Assumptions!E35</f>
        <v>8870.7862092516607</v>
      </c>
      <c r="Q45" s="25">
        <f>'Annual P&amp;L'!Q7*Assumptions!F35</f>
        <v>10056.233489793321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371</v>
      </c>
      <c r="B46" s="1" t="s">
        <v>46</v>
      </c>
      <c r="C46" s="18">
        <f>'Raw Financials'!C99</f>
        <v>0</v>
      </c>
      <c r="D46" s="18">
        <f>'Raw Financials'!D99</f>
        <v>0</v>
      </c>
      <c r="E46" s="18">
        <f>'Raw Financials'!E99</f>
        <v>0</v>
      </c>
      <c r="F46" s="18">
        <f>'Raw Financials'!F99</f>
        <v>0</v>
      </c>
      <c r="G46" s="18">
        <f>'Raw Financials'!G99</f>
        <v>0</v>
      </c>
      <c r="H46" s="18">
        <f>'Raw Financials'!H99</f>
        <v>0</v>
      </c>
      <c r="I46" s="18">
        <f>'Raw Financials'!I99</f>
        <v>0</v>
      </c>
      <c r="J46" s="18">
        <f>'Raw Financials'!J99</f>
        <v>0</v>
      </c>
      <c r="K46" s="18">
        <f>'Raw Financials'!K99</f>
        <v>0</v>
      </c>
      <c r="L46" s="18">
        <f>'Raw Financials'!L99</f>
        <v>0</v>
      </c>
      <c r="M46" s="18">
        <f>'Raw Financials'!M99</f>
        <v>14</v>
      </c>
      <c r="N46" s="25">
        <f>0</f>
        <v>0</v>
      </c>
      <c r="O46" s="25">
        <f>0</f>
        <v>0</v>
      </c>
      <c r="P46" s="25">
        <f>0</f>
        <v>0</v>
      </c>
      <c r="Q46" s="25">
        <f>0</f>
        <v>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474</v>
      </c>
      <c r="B47" s="1" t="s">
        <v>46</v>
      </c>
      <c r="C47" s="18">
        <f>'Raw Financials'!C100</f>
        <v>2031.6930050000001</v>
      </c>
      <c r="D47" s="18">
        <f>'Raw Financials'!D100</f>
        <v>1676</v>
      </c>
      <c r="E47" s="18">
        <f>'Raw Financials'!E100</f>
        <v>1952</v>
      </c>
      <c r="F47" s="18">
        <f>'Raw Financials'!F100</f>
        <v>2265</v>
      </c>
      <c r="G47" s="18">
        <f>'Raw Financials'!G100</f>
        <v>2573</v>
      </c>
      <c r="H47" s="18">
        <f>'Raw Financials'!H100</f>
        <v>3607</v>
      </c>
      <c r="I47" s="18">
        <f>'Raw Financials'!I100</f>
        <v>2324</v>
      </c>
      <c r="J47" s="18">
        <f>'Raw Financials'!J100</f>
        <v>2721</v>
      </c>
      <c r="K47" s="18">
        <f>'Raw Financials'!K100</f>
        <v>2917</v>
      </c>
      <c r="L47" s="18">
        <f>'Raw Financials'!L100</f>
        <v>4330</v>
      </c>
      <c r="M47" s="18">
        <f>'Raw Financials'!M100</f>
        <v>6077</v>
      </c>
      <c r="N47" s="25">
        <f>'Annual P&amp;L'!N7*Assumptions!C34</f>
        <v>5256.0468025979999</v>
      </c>
      <c r="O47" s="25">
        <f>'Annual P&amp;L'!O7*Assumptions!D34</f>
        <v>6464.3911318837263</v>
      </c>
      <c r="P47" s="25">
        <f>'Annual P&amp;L'!P7*Assumptions!E34</f>
        <v>7761.9379330952042</v>
      </c>
      <c r="Q47" s="25">
        <f>'Annual P&amp;L'!Q7*Assumptions!F34</f>
        <v>9142.0304452666569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52" t="s">
        <v>469</v>
      </c>
      <c r="B48" s="52" t="s">
        <v>46</v>
      </c>
      <c r="C48" s="56">
        <f>'Raw Financials'!C80-'Raw Financials'!C85-'Raw Financials'!C103</f>
        <v>0</v>
      </c>
      <c r="D48" s="56">
        <f>'Raw Financials'!D80-'Raw Financials'!D85-'Raw Financials'!D103</f>
        <v>0</v>
      </c>
      <c r="E48" s="56">
        <f>'Raw Financials'!E80-'Raw Financials'!E85-'Raw Financials'!E103</f>
        <v>0</v>
      </c>
      <c r="F48" s="56">
        <f>'Raw Financials'!F80-'Raw Financials'!F85-'Raw Financials'!F103</f>
        <v>333</v>
      </c>
      <c r="G48" s="56">
        <f>'Raw Financials'!G80-'Raw Financials'!G85-'Raw Financials'!G103</f>
        <v>0</v>
      </c>
      <c r="H48" s="56">
        <f>'Raw Financials'!H80-'Raw Financials'!H85-'Raw Financials'!H103</f>
        <v>0</v>
      </c>
      <c r="I48" s="56">
        <f>'Raw Financials'!I80-'Raw Financials'!I85-'Raw Financials'!I103</f>
        <v>0</v>
      </c>
      <c r="J48" s="56">
        <f>'Raw Financials'!J80-'Raw Financials'!J85-'Raw Financials'!J103</f>
        <v>0</v>
      </c>
      <c r="K48" s="56">
        <f>'Raw Financials'!K80-'Raw Financials'!K85-'Raw Financials'!K103</f>
        <v>0</v>
      </c>
      <c r="L48" s="56">
        <f>'Raw Financials'!L80-'Raw Financials'!L85-'Raw Financials'!L103</f>
        <v>425</v>
      </c>
      <c r="M48" s="56">
        <f>'Raw Financials'!M80-'Raw Financials'!M85-'Raw Financials'!M103</f>
        <v>0</v>
      </c>
      <c r="N48" s="57">
        <f>0</f>
        <v>0</v>
      </c>
      <c r="O48" s="57">
        <f>0</f>
        <v>0</v>
      </c>
      <c r="P48" s="57">
        <f>0</f>
        <v>0</v>
      </c>
      <c r="Q48" s="57">
        <f>0</f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29" t="s">
        <v>373</v>
      </c>
      <c r="B49" s="27" t="s">
        <v>46</v>
      </c>
      <c r="C49" s="28">
        <f>'Raw Financials'!C101</f>
        <v>5026.8889049999998</v>
      </c>
      <c r="D49" s="28">
        <f>'Raw Financials'!D101</f>
        <v>4589</v>
      </c>
      <c r="E49" s="28">
        <f>'Raw Financials'!E101</f>
        <v>5847</v>
      </c>
      <c r="F49" s="28">
        <f>'Raw Financials'!F101</f>
        <v>5833</v>
      </c>
      <c r="G49" s="28">
        <f>'Raw Financials'!G101</f>
        <v>7942</v>
      </c>
      <c r="H49" s="28">
        <f>'Raw Financials'!H101</f>
        <v>8425</v>
      </c>
      <c r="I49" s="28">
        <f>'Raw Financials'!I101</f>
        <v>11792</v>
      </c>
      <c r="J49" s="28">
        <f>'Raw Financials'!J101</f>
        <v>17393</v>
      </c>
      <c r="K49" s="28">
        <f>'Raw Financials'!K101</f>
        <v>15315</v>
      </c>
      <c r="L49" s="28">
        <f>'Raw Financials'!L101</f>
        <v>27375</v>
      </c>
      <c r="M49" s="28">
        <f>'Raw Financials'!M101</f>
        <v>36694</v>
      </c>
      <c r="N49" s="30">
        <f>SUM(N42:N48)</f>
        <v>97253.766319485992</v>
      </c>
      <c r="O49" s="30">
        <f>SUM(O42:O48)</f>
        <v>85448.742036850192</v>
      </c>
      <c r="P49" s="30">
        <f>SUM(P42:P48)</f>
        <v>68101.002200600458</v>
      </c>
      <c r="Q49" s="30">
        <f>SUM(Q42:Q48)</f>
        <v>75714.638909144152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29" t="s">
        <v>375</v>
      </c>
      <c r="B50" s="27" t="s">
        <v>46</v>
      </c>
      <c r="C50" s="28">
        <f>'Raw Financials'!C103</f>
        <v>5938.6118749999996</v>
      </c>
      <c r="D50" s="28">
        <f>'Raw Financials'!D103</f>
        <v>7546</v>
      </c>
      <c r="E50" s="28">
        <f>'Raw Financials'!E103</f>
        <v>8736</v>
      </c>
      <c r="F50" s="28">
        <f>'Raw Financials'!F103</f>
        <v>7603</v>
      </c>
      <c r="G50" s="28">
        <f>'Raw Financials'!G103</f>
        <v>10433</v>
      </c>
      <c r="H50" s="28">
        <f>'Raw Financials'!H103</f>
        <v>10473</v>
      </c>
      <c r="I50" s="28">
        <f>'Raw Financials'!I103</f>
        <v>21230</v>
      </c>
      <c r="J50" s="28">
        <f>'Raw Financials'!J103</f>
        <v>25135</v>
      </c>
      <c r="K50" s="28">
        <f>'Raw Financials'!K103</f>
        <v>23808</v>
      </c>
      <c r="L50" s="28">
        <f>'Raw Financials'!L103</f>
        <v>41192</v>
      </c>
      <c r="M50" s="28">
        <f>'Raw Financials'!M103</f>
        <v>52008</v>
      </c>
      <c r="N50" s="30">
        <f>N41+N49</f>
        <v>108740.26482857799</v>
      </c>
      <c r="O50" s="30">
        <f>O41+O49</f>
        <v>97936.458537376631</v>
      </c>
      <c r="P50" s="30">
        <f>P41+P49</f>
        <v>81527.21683037364</v>
      </c>
      <c r="Q50" s="30">
        <f>Q41+Q49</f>
        <v>89427.684577044143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29" t="s">
        <v>475</v>
      </c>
      <c r="B51" s="27" t="s">
        <v>46</v>
      </c>
      <c r="C51" s="28">
        <f t="shared" ref="C51:M51" si="0">C34+C50+C48</f>
        <v>22491.251732999997</v>
      </c>
      <c r="D51" s="28">
        <f t="shared" si="0"/>
        <v>24648</v>
      </c>
      <c r="E51" s="28">
        <f t="shared" si="0"/>
        <v>26698</v>
      </c>
      <c r="F51" s="28">
        <f t="shared" si="0"/>
        <v>28734</v>
      </c>
      <c r="G51" s="28">
        <f t="shared" si="0"/>
        <v>34398</v>
      </c>
      <c r="H51" s="28">
        <f t="shared" si="0"/>
        <v>35134</v>
      </c>
      <c r="I51" s="28">
        <f t="shared" si="0"/>
        <v>49544</v>
      </c>
      <c r="J51" s="28">
        <f t="shared" si="0"/>
        <v>56834</v>
      </c>
      <c r="K51" s="28">
        <f t="shared" si="0"/>
        <v>61077</v>
      </c>
      <c r="L51" s="28">
        <f t="shared" si="0"/>
        <v>124907</v>
      </c>
      <c r="M51" s="28">
        <f t="shared" si="0"/>
        <v>148814</v>
      </c>
      <c r="N51" s="30">
        <f>N34+N50</f>
        <v>339314.66723630414</v>
      </c>
      <c r="O51" s="30">
        <f>O34+O50</f>
        <v>352361.4629233295</v>
      </c>
      <c r="P51" s="30">
        <f>P34+P50</f>
        <v>367297.93522646255</v>
      </c>
      <c r="Q51" s="30">
        <f>Q34+Q50</f>
        <v>415418.15976286895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29" t="s">
        <v>476</v>
      </c>
      <c r="B52" s="27" t="s">
        <v>46</v>
      </c>
      <c r="C52" s="28">
        <f t="shared" ref="C52:Q52" si="1">C29-C51</f>
        <v>0</v>
      </c>
      <c r="D52" s="28">
        <f t="shared" si="1"/>
        <v>0</v>
      </c>
      <c r="E52" s="28">
        <f t="shared" si="1"/>
        <v>0</v>
      </c>
      <c r="F52" s="28">
        <f t="shared" si="1"/>
        <v>0</v>
      </c>
      <c r="G52" s="28">
        <f t="shared" si="1"/>
        <v>0</v>
      </c>
      <c r="H52" s="28">
        <f t="shared" si="1"/>
        <v>0</v>
      </c>
      <c r="I52" s="28">
        <f t="shared" si="1"/>
        <v>0</v>
      </c>
      <c r="J52" s="28">
        <f t="shared" si="1"/>
        <v>0</v>
      </c>
      <c r="K52" s="28">
        <f t="shared" si="1"/>
        <v>0</v>
      </c>
      <c r="L52" s="28">
        <f t="shared" si="1"/>
        <v>0</v>
      </c>
      <c r="M52" s="28">
        <f t="shared" si="1"/>
        <v>0</v>
      </c>
      <c r="N52" s="30">
        <f t="shared" si="1"/>
        <v>0</v>
      </c>
      <c r="O52" s="30">
        <f t="shared" si="1"/>
        <v>0</v>
      </c>
      <c r="P52" s="30">
        <f t="shared" si="1"/>
        <v>0</v>
      </c>
      <c r="Q52" s="30">
        <f t="shared" si="1"/>
        <v>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477</v>
      </c>
      <c r="B53" s="1" t="s">
        <v>46</v>
      </c>
      <c r="C53" s="18">
        <f>C21+C22-'Annual Cash Flow'!C41</f>
        <v>0</v>
      </c>
      <c r="D53" s="18">
        <f>D21+D22-'Annual Cash Flow'!D41</f>
        <v>0</v>
      </c>
      <c r="E53" s="18">
        <f>E21+E22-'Annual Cash Flow'!E41</f>
        <v>0</v>
      </c>
      <c r="F53" s="18">
        <f>F21+F22-'Annual Cash Flow'!F41</f>
        <v>0</v>
      </c>
      <c r="G53" s="18">
        <f>G21+G22-'Annual Cash Flow'!G41</f>
        <v>0</v>
      </c>
      <c r="H53" s="18">
        <f>H21+H22-'Annual Cash Flow'!H41</f>
        <v>0</v>
      </c>
      <c r="I53" s="18">
        <f>I21+I22-'Annual Cash Flow'!I41</f>
        <v>0</v>
      </c>
      <c r="J53" s="18">
        <f>J21+J22-'Annual Cash Flow'!J41</f>
        <v>0</v>
      </c>
      <c r="K53" s="18">
        <f>K21+K22-'Annual Cash Flow'!K41</f>
        <v>0</v>
      </c>
      <c r="L53" s="18">
        <f>L21+L22-'Annual Cash Flow'!L41</f>
        <v>0</v>
      </c>
      <c r="M53" s="18">
        <f>M21+M22-'Annual Cash Flow'!M41</f>
        <v>0</v>
      </c>
      <c r="N53" s="25">
        <f>N21+N22-'Annual Cash Flow'!N41</f>
        <v>0</v>
      </c>
      <c r="O53" s="25">
        <f>O21+O22-'Annual Cash Flow'!O41</f>
        <v>0</v>
      </c>
      <c r="P53" s="25">
        <f>P21+P22-'Annual Cash Flow'!P41</f>
        <v>0</v>
      </c>
      <c r="Q53" s="25">
        <f>Q21+Q22-'Annual Cash Flow'!Q41</f>
        <v>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8" t="s">
        <v>478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479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3"/>
      <c r="O6" s="53"/>
      <c r="P6" s="53"/>
      <c r="Q6" s="5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480</v>
      </c>
      <c r="B7" s="1" t="s">
        <v>46</v>
      </c>
      <c r="C7" s="18">
        <f>'Annual P&amp;L'!C28</f>
        <v>2969.6955349999998</v>
      </c>
      <c r="D7" s="18">
        <f>'Annual P&amp;L'!D28</f>
        <v>2721</v>
      </c>
      <c r="E7" s="18">
        <f>'Annual P&amp;L'!E28</f>
        <v>3087</v>
      </c>
      <c r="F7" s="18">
        <f>'Annual P&amp;L'!F28</f>
        <v>4221</v>
      </c>
      <c r="G7" s="18">
        <f>'Annual P&amp;L'!G28</f>
        <v>4676</v>
      </c>
      <c r="H7" s="18">
        <f>'Annual P&amp;L'!H28</f>
        <v>4660</v>
      </c>
      <c r="I7" s="18">
        <f>'Annual P&amp;L'!I28</f>
        <v>7147</v>
      </c>
      <c r="J7" s="18">
        <f>'Annual P&amp;L'!J28</f>
        <v>7451</v>
      </c>
      <c r="K7" s="18">
        <f>'Annual P&amp;L'!K28</f>
        <v>8356</v>
      </c>
      <c r="L7" s="18">
        <f>'Annual P&amp;L'!L28</f>
        <v>9361</v>
      </c>
      <c r="M7" s="18">
        <f>'Annual P&amp;L'!M28</f>
        <v>17447</v>
      </c>
      <c r="N7" s="25">
        <f>'Annual P&amp;L'!N28-'Quarterly P&amp;L'!AU26</f>
        <v>19585.088730522497</v>
      </c>
      <c r="O7" s="25">
        <f>'Annual P&amp;L'!O28</f>
        <v>35001.325116845954</v>
      </c>
      <c r="P7" s="25">
        <f>'Annual P&amp;L'!P28</f>
        <v>47680.500012805904</v>
      </c>
      <c r="Q7" s="25">
        <f>'Annual P&amp;L'!Q28</f>
        <v>62357.982788944908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264</v>
      </c>
      <c r="B8" s="1" t="s">
        <v>46</v>
      </c>
      <c r="C8" s="18">
        <f>'Raw Financials'!C110</f>
        <v>1101.2935480000001</v>
      </c>
      <c r="D8" s="18">
        <f>'Raw Financials'!D110</f>
        <v>0</v>
      </c>
      <c r="E8" s="18">
        <f>'Raw Financials'!E110</f>
        <v>1274</v>
      </c>
      <c r="F8" s="18">
        <f>'Raw Financials'!F110</f>
        <v>0</v>
      </c>
      <c r="G8" s="18">
        <f>'Raw Financials'!G110</f>
        <v>0</v>
      </c>
      <c r="H8" s="18">
        <f>'Raw Financials'!H110</f>
        <v>0</v>
      </c>
      <c r="I8" s="18">
        <f>'Raw Financials'!I110</f>
        <v>2272</v>
      </c>
      <c r="J8" s="18">
        <f>'Raw Financials'!J110</f>
        <v>2585</v>
      </c>
      <c r="K8" s="18">
        <f>'Raw Financials'!K110</f>
        <v>3186</v>
      </c>
      <c r="L8" s="18">
        <f>'Raw Financials'!L110</f>
        <v>4683</v>
      </c>
      <c r="M8" s="18">
        <f>'Raw Financials'!M110</f>
        <v>6819</v>
      </c>
      <c r="N8" s="25">
        <f>'Annual P&amp;L'!N18-'Quarterly P&amp;L'!AU17</f>
        <v>8786.6649272739996</v>
      </c>
      <c r="O8" s="25">
        <f>'Annual P&amp;L'!O18</f>
        <v>13516.454184847791</v>
      </c>
      <c r="P8" s="25">
        <f>'Annual P&amp;L'!P18</f>
        <v>15893.491958242559</v>
      </c>
      <c r="Q8" s="25">
        <f>'Annual P&amp;L'!Q18</f>
        <v>18284.060890533314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172</v>
      </c>
      <c r="B9" s="1" t="s">
        <v>46</v>
      </c>
      <c r="C9" s="18">
        <f>'Raw Financials'!C111</f>
        <v>17.546337000000001</v>
      </c>
      <c r="D9" s="18">
        <f>'Raw Financials'!D111</f>
        <v>0</v>
      </c>
      <c r="E9" s="18">
        <f>'Raw Financials'!E111</f>
        <v>97</v>
      </c>
      <c r="F9" s="18">
        <f>'Raw Financials'!F111</f>
        <v>0</v>
      </c>
      <c r="G9" s="18">
        <f>'Raw Financials'!G111</f>
        <v>0</v>
      </c>
      <c r="H9" s="18">
        <f>'Raw Financials'!H111</f>
        <v>0</v>
      </c>
      <c r="I9" s="18">
        <f>'Raw Financials'!I111</f>
        <v>355</v>
      </c>
      <c r="J9" s="18">
        <f>'Raw Financials'!J111</f>
        <v>544</v>
      </c>
      <c r="K9" s="18">
        <f>'Raw Financials'!K111</f>
        <v>810</v>
      </c>
      <c r="L9" s="18">
        <f>'Raw Financials'!L111</f>
        <v>1700</v>
      </c>
      <c r="M9" s="18">
        <f>'Raw Financials'!M111</f>
        <v>1909</v>
      </c>
      <c r="N9" s="25">
        <f>'Annual P&amp;L'!N15-'Quarterly P&amp;L'!AU14</f>
        <v>914.14264415599996</v>
      </c>
      <c r="O9" s="25">
        <f>'Annual P&amp;L'!O15</f>
        <v>1763.0157632410164</v>
      </c>
      <c r="P9" s="25">
        <f>'Annual P&amp;L'!P15</f>
        <v>2217.6965523129152</v>
      </c>
      <c r="Q9" s="25">
        <f>'Annual P&amp;L'!Q15</f>
        <v>2742.609133579997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481</v>
      </c>
      <c r="B10" s="1" t="s">
        <v>46</v>
      </c>
      <c r="C10" s="18">
        <f>'Raw Financials'!C112</f>
        <v>23.123342999999998</v>
      </c>
      <c r="D10" s="18">
        <f>'Raw Financials'!D112</f>
        <v>0</v>
      </c>
      <c r="E10" s="18">
        <f>'Raw Financials'!E112</f>
        <v>13</v>
      </c>
      <c r="F10" s="18">
        <f>'Raw Financials'!F112</f>
        <v>0</v>
      </c>
      <c r="G10" s="18">
        <f>'Raw Financials'!G112</f>
        <v>0</v>
      </c>
      <c r="H10" s="18">
        <f>'Raw Financials'!H112</f>
        <v>0</v>
      </c>
      <c r="I10" s="18">
        <f>'Raw Financials'!I112</f>
        <v>609</v>
      </c>
      <c r="J10" s="18">
        <f>'Raw Financials'!J112</f>
        <v>768</v>
      </c>
      <c r="K10" s="18">
        <f>'Raw Financials'!K112</f>
        <v>1205</v>
      </c>
      <c r="L10" s="18">
        <f>'Raw Financials'!L112</f>
        <v>1305</v>
      </c>
      <c r="M10" s="18">
        <f>'Raw Financials'!M112</f>
        <v>1581</v>
      </c>
      <c r="N10" s="25">
        <f>'Annual P&amp;L'!N22-'Quarterly P&amp;L'!AU20</f>
        <v>2816.4</v>
      </c>
      <c r="O10" s="25">
        <f>'Annual P&amp;L'!O22</f>
        <v>1814.5000000000002</v>
      </c>
      <c r="P10" s="25">
        <f>'Annual P&amp;L'!P22</f>
        <v>739.2</v>
      </c>
      <c r="Q10" s="25">
        <f>'Annual P&amp;L'!Q22</f>
        <v>48.5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482</v>
      </c>
      <c r="B11" s="1" t="s">
        <v>46</v>
      </c>
      <c r="C11" s="18">
        <f>0</f>
        <v>0</v>
      </c>
      <c r="D11" s="18">
        <f>0</f>
        <v>0</v>
      </c>
      <c r="E11" s="18">
        <f>0</f>
        <v>0</v>
      </c>
      <c r="F11" s="18">
        <f>0</f>
        <v>0</v>
      </c>
      <c r="G11" s="18">
        <f>0</f>
        <v>0</v>
      </c>
      <c r="H11" s="18">
        <f>0</f>
        <v>0</v>
      </c>
      <c r="I11" s="18">
        <f>0</f>
        <v>0</v>
      </c>
      <c r="J11" s="18">
        <f>0</f>
        <v>0</v>
      </c>
      <c r="K11" s="18">
        <f>0</f>
        <v>0</v>
      </c>
      <c r="L11" s="18">
        <f>0</f>
        <v>0</v>
      </c>
      <c r="M11" s="18">
        <f>0</f>
        <v>0</v>
      </c>
      <c r="N11" s="25">
        <f>-('Annual Balance Sheet'!N13-'Acquisition &amp; Debt'!C31)+('Annual Balance Sheet'!N39-'Acquisition &amp; Debt'!C39)</f>
        <v>-775.95245194800009</v>
      </c>
      <c r="O11" s="25">
        <f>-('Annual Balance Sheet'!O13-'Annual Balance Sheet'!N13)+('Annual Balance Sheet'!O39-'Annual Balance Sheet'!N39)</f>
        <v>-457.04754805199991</v>
      </c>
      <c r="P11" s="25">
        <f>-('Annual Balance Sheet'!P13-'Annual Balance Sheet'!O13)+('Annual Balance Sheet'!P39-'Annual Balance Sheet'!O39)</f>
        <v>-739.23218410430309</v>
      </c>
      <c r="Q11" s="25">
        <f>-('Annual Balance Sheet'!Q13-'Annual Balance Sheet'!P13)+('Annual Balance Sheet'!Q39-'Annual Balance Sheet'!P39)</f>
        <v>-1089.1739049490297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483</v>
      </c>
      <c r="B12" s="1" t="s">
        <v>46</v>
      </c>
      <c r="C12" s="18">
        <f>'Raw Financials'!C114</f>
        <v>267.87401399999999</v>
      </c>
      <c r="D12" s="18">
        <f>'Raw Financials'!D114</f>
        <v>0</v>
      </c>
      <c r="E12" s="18">
        <f>'Raw Financials'!E114</f>
        <v>-832</v>
      </c>
      <c r="F12" s="18">
        <f>'Raw Financials'!F114</f>
        <v>0</v>
      </c>
      <c r="G12" s="18">
        <f>'Raw Financials'!G114</f>
        <v>0</v>
      </c>
      <c r="H12" s="18">
        <f>'Raw Financials'!H114</f>
        <v>0</v>
      </c>
      <c r="I12" s="18">
        <f>'Raw Financials'!I114</f>
        <v>-3152</v>
      </c>
      <c r="J12" s="18">
        <f>'Raw Financials'!J114</f>
        <v>-2126</v>
      </c>
      <c r="K12" s="18">
        <f>'Raw Financials'!K114</f>
        <v>-1668</v>
      </c>
      <c r="L12" s="18">
        <f>'Raw Financials'!L114</f>
        <v>-7425</v>
      </c>
      <c r="M12" s="18">
        <f>'Raw Financials'!M114</f>
        <v>-15516</v>
      </c>
      <c r="N12" s="25">
        <f>-('Annual Balance Sheet'!N20-'Acquisition &amp; Debt'!C28)</f>
        <v>282.9854474246531</v>
      </c>
      <c r="O12" s="25">
        <f>-('Annual Balance Sheet'!O20-'Annual Balance Sheet'!N20)</f>
        <v>-10825.907295563942</v>
      </c>
      <c r="P12" s="25">
        <f>-('Annual Balance Sheet'!P20-'Annual Balance Sheet'!O20)</f>
        <v>-12274.82828688978</v>
      </c>
      <c r="Q12" s="25">
        <f>-('Annual Balance Sheet'!Q20-'Annual Balance Sheet'!P20)</f>
        <v>-13847.892002852124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484</v>
      </c>
      <c r="B13" s="1" t="s">
        <v>46</v>
      </c>
      <c r="C13" s="18">
        <f>0</f>
        <v>0</v>
      </c>
      <c r="D13" s="18">
        <f>0</f>
        <v>0</v>
      </c>
      <c r="E13" s="18">
        <f>0</f>
        <v>0</v>
      </c>
      <c r="F13" s="18">
        <f>0</f>
        <v>0</v>
      </c>
      <c r="G13" s="18">
        <f>0</f>
        <v>0</v>
      </c>
      <c r="H13" s="18">
        <f>0</f>
        <v>0</v>
      </c>
      <c r="I13" s="18">
        <f>0</f>
        <v>0</v>
      </c>
      <c r="J13" s="18">
        <f>0</f>
        <v>0</v>
      </c>
      <c r="K13" s="18">
        <f>0</f>
        <v>0</v>
      </c>
      <c r="L13" s="18">
        <f>0</f>
        <v>0</v>
      </c>
      <c r="M13" s="18">
        <f>0</f>
        <v>0</v>
      </c>
      <c r="N13" s="25">
        <f>-('Annual Balance Sheet'!N18-'Acquisition &amp; Debt'!C29)</f>
        <v>-3448.608731545206</v>
      </c>
      <c r="O13" s="25">
        <f>-('Annual Balance Sheet'!O18-'Annual Balance Sheet'!N18)</f>
        <v>-5368.5023369103219</v>
      </c>
      <c r="P13" s="25">
        <f>-('Annual Balance Sheet'!P18-'Annual Balance Sheet'!O18)</f>
        <v>-5656.5278954495116</v>
      </c>
      <c r="Q13" s="25">
        <f>-('Annual Balance Sheet'!Q18-'Annual Balance Sheet'!P18)</f>
        <v>-5884.3479804510789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485</v>
      </c>
      <c r="B14" s="1" t="s">
        <v>46</v>
      </c>
      <c r="C14" s="18">
        <f>'Raw Financials'!C115</f>
        <v>0</v>
      </c>
      <c r="D14" s="18">
        <f>'Raw Financials'!D115</f>
        <v>0</v>
      </c>
      <c r="E14" s="18">
        <f>'Raw Financials'!E115</f>
        <v>-84</v>
      </c>
      <c r="F14" s="18">
        <f>'Raw Financials'!F115</f>
        <v>0</v>
      </c>
      <c r="G14" s="18">
        <f>'Raw Financials'!G115</f>
        <v>0</v>
      </c>
      <c r="H14" s="18">
        <f>'Raw Financials'!H115</f>
        <v>0</v>
      </c>
      <c r="I14" s="18">
        <f>'Raw Financials'!I115</f>
        <v>-1276</v>
      </c>
      <c r="J14" s="18">
        <f>'Raw Financials'!J115</f>
        <v>-769</v>
      </c>
      <c r="K14" s="18">
        <f>'Raw Financials'!K115</f>
        <v>-2024</v>
      </c>
      <c r="L14" s="18">
        <f>'Raw Financials'!L115</f>
        <v>-3733</v>
      </c>
      <c r="M14" s="18">
        <f>'Raw Financials'!M115</f>
        <v>685</v>
      </c>
      <c r="N14" s="25">
        <f>-('Annual Balance Sheet'!N15+'Annual Balance Sheet'!N26-'Acquisition &amp; Debt'!C32-'Acquisition &amp; Debt'!C30)</f>
        <v>-7196.9019220800001</v>
      </c>
      <c r="O14" s="25">
        <f>-('Annual Balance Sheet'!O15+'Annual Balance Sheet'!O26-'Annual Balance Sheet'!N15-'Annual Balance Sheet'!N26)</f>
        <v>-4049.6310789728741</v>
      </c>
      <c r="P14" s="25">
        <f>-('Annual Balance Sheet'!P15+'Annual Balance Sheet'!P26-'Annual Balance Sheet'!O15-'Annual Balance Sheet'!O26)</f>
        <v>-4280.8256267021097</v>
      </c>
      <c r="Q14" s="25">
        <f>-('Annual Balance Sheet'!Q15+'Annual Balance Sheet'!Q26-'Annual Balance Sheet'!P15-'Annual Balance Sheet'!P26)</f>
        <v>-4470.5448861516488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486</v>
      </c>
      <c r="B15" s="1" t="s">
        <v>46</v>
      </c>
      <c r="C15" s="18">
        <f>0</f>
        <v>0</v>
      </c>
      <c r="D15" s="18">
        <f>0</f>
        <v>0</v>
      </c>
      <c r="E15" s="18">
        <f>0</f>
        <v>0</v>
      </c>
      <c r="F15" s="18">
        <f>0</f>
        <v>0</v>
      </c>
      <c r="G15" s="18">
        <f>0</f>
        <v>0</v>
      </c>
      <c r="H15" s="18">
        <f>0</f>
        <v>0</v>
      </c>
      <c r="I15" s="18">
        <f>0</f>
        <v>0</v>
      </c>
      <c r="J15" s="18">
        <f>0</f>
        <v>0</v>
      </c>
      <c r="K15" s="18">
        <f>0</f>
        <v>0</v>
      </c>
      <c r="L15" s="18">
        <f>0</f>
        <v>0</v>
      </c>
      <c r="M15" s="18">
        <f>0</f>
        <v>0</v>
      </c>
      <c r="N15" s="25">
        <f>'Annual Balance Sheet'!N47-'Acquisition &amp; Debt'!C38</f>
        <v>65.046802597999886</v>
      </c>
      <c r="O15" s="25">
        <f>'Annual Balance Sheet'!O47-'Annual Balance Sheet'!N47</f>
        <v>1208.3443292857264</v>
      </c>
      <c r="P15" s="25">
        <f>'Annual Balance Sheet'!P47-'Annual Balance Sheet'!O47</f>
        <v>1297.5468012114779</v>
      </c>
      <c r="Q15" s="25">
        <f>'Annual Balance Sheet'!Q47-'Annual Balance Sheet'!P47</f>
        <v>1380.0925121714527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487</v>
      </c>
      <c r="B16" s="1" t="s">
        <v>46</v>
      </c>
      <c r="C16" s="18">
        <f>'Raw Financials'!C116</f>
        <v>-490.59606000000002</v>
      </c>
      <c r="D16" s="18">
        <f>'Raw Financials'!D116</f>
        <v>0</v>
      </c>
      <c r="E16" s="18">
        <f>'Raw Financials'!E116</f>
        <v>217</v>
      </c>
      <c r="F16" s="18">
        <f>'Raw Financials'!F116</f>
        <v>0</v>
      </c>
      <c r="G16" s="18">
        <f>'Raw Financials'!G116</f>
        <v>0</v>
      </c>
      <c r="H16" s="18">
        <f>'Raw Financials'!H116</f>
        <v>0</v>
      </c>
      <c r="I16" s="18">
        <f>'Raw Financials'!I116</f>
        <v>2153</v>
      </c>
      <c r="J16" s="18">
        <f>'Raw Financials'!J116</f>
        <v>175</v>
      </c>
      <c r="K16" s="18">
        <f>'Raw Financials'!K116</f>
        <v>1725</v>
      </c>
      <c r="L16" s="18">
        <f>'Raw Financials'!L116</f>
        <v>1680</v>
      </c>
      <c r="M16" s="18">
        <f>'Raw Financials'!M116</f>
        <v>6097</v>
      </c>
      <c r="N16" s="25">
        <f>'Annual Balance Sheet'!N45-'Acquisition &amp; Debt'!C42</f>
        <v>106.66567272799966</v>
      </c>
      <c r="O16" s="25">
        <f>'Annual Balance Sheet'!O45-'Annual Balance Sheet'!N45</f>
        <v>1241.0693013164037</v>
      </c>
      <c r="P16" s="25">
        <f>'Annual Balance Sheet'!P45-'Annual Balance Sheet'!O45</f>
        <v>1231.0512352072574</v>
      </c>
      <c r="Q16" s="25">
        <f>'Annual Balance Sheet'!Q45-'Annual Balance Sheet'!P45</f>
        <v>1185.4472805416608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52" t="s">
        <v>488</v>
      </c>
      <c r="B17" s="52" t="s">
        <v>46</v>
      </c>
      <c r="C17" s="56">
        <f>'Raw Financials'!C117</f>
        <v>-348.39083099999999</v>
      </c>
      <c r="D17" s="56">
        <f>'Raw Financials'!D117</f>
        <v>0</v>
      </c>
      <c r="E17" s="56">
        <f>'Raw Financials'!E117</f>
        <v>0</v>
      </c>
      <c r="F17" s="56">
        <f>'Raw Financials'!F117</f>
        <v>0</v>
      </c>
      <c r="G17" s="56">
        <f>'Raw Financials'!G117</f>
        <v>0</v>
      </c>
      <c r="H17" s="56">
        <f>'Raw Financials'!H117</f>
        <v>0</v>
      </c>
      <c r="I17" s="56">
        <f>'Raw Financials'!I117</f>
        <v>0</v>
      </c>
      <c r="J17" s="56">
        <f>'Raw Financials'!J117</f>
        <v>0</v>
      </c>
      <c r="K17" s="56">
        <f>'Raw Financials'!K117</f>
        <v>0</v>
      </c>
      <c r="L17" s="56">
        <f>'Raw Financials'!L117</f>
        <v>0</v>
      </c>
      <c r="M17" s="56">
        <f>'Raw Financials'!M117</f>
        <v>-430</v>
      </c>
      <c r="N17" s="57">
        <f>'Annual Balance Sheet'!N44-'Acquisition &amp; Debt'!C43</f>
        <v>180.18497403000219</v>
      </c>
      <c r="O17" s="57">
        <f>'Annual Balance Sheet'!O44-'Annual Balance Sheet'!N44</f>
        <v>5715.8495015937151</v>
      </c>
      <c r="P17" s="57">
        <f>'Annual Balance Sheet'!P44-'Annual Balance Sheet'!O44</f>
        <v>5064.9770308953521</v>
      </c>
      <c r="Q17" s="57">
        <f>'Annual Balance Sheet'!Q44-'Annual Balance Sheet'!P44</f>
        <v>4079.1559424475417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489</v>
      </c>
      <c r="B18" s="1" t="s">
        <v>46</v>
      </c>
      <c r="C18" s="18">
        <f>'Raw Financials'!C119-SUM(C7:C17)</f>
        <v>62.375699999999597</v>
      </c>
      <c r="D18" s="18">
        <f>'Raw Financials'!D119-SUM(D7:D17)</f>
        <v>2002</v>
      </c>
      <c r="E18" s="18">
        <f>'Raw Financials'!E119-SUM(E7:E17)</f>
        <v>52</v>
      </c>
      <c r="F18" s="18">
        <f>'Raw Financials'!F119-SUM(F7:F17)</f>
        <v>306</v>
      </c>
      <c r="G18" s="18">
        <f>'Raw Financials'!G119-SUM(G7:G17)</f>
        <v>-1707</v>
      </c>
      <c r="H18" s="18">
        <f>'Raw Financials'!H119-SUM(H7:H17)</f>
        <v>2963</v>
      </c>
      <c r="I18" s="18">
        <f>'Raw Financials'!I119-SUM(I7:I17)</f>
        <v>-452</v>
      </c>
      <c r="J18" s="18">
        <f>'Raw Financials'!J119-SUM(J7:J17)</f>
        <v>877</v>
      </c>
      <c r="K18" s="18">
        <f>'Raw Financials'!K119-SUM(K7:K17)</f>
        <v>-2556</v>
      </c>
      <c r="L18" s="18">
        <f>'Raw Financials'!L119-SUM(L7:L17)</f>
        <v>4800</v>
      </c>
      <c r="M18" s="18">
        <f>'Raw Financials'!M119-SUM(M7:M17)</f>
        <v>-675</v>
      </c>
      <c r="N18" s="25">
        <f>('Annual Balance Sheet'!N51-SUM('Annual Balance Sheet'!N16,'Annual Balance Sheet'!N17:'Annual Balance Sheet'!N20,'Annual Balance Sheet'!N22:'Annual Balance Sheet'!N27))-(N40+Assumptions!C56+SUM(N7:N17)+N26-Assumptions!C58-Assumptions!C62+N36-Assumptions!C59-Assumptions!C60-Assumptions!C61)</f>
        <v>-1900.3811298700457</v>
      </c>
      <c r="O18" s="25">
        <f>('Annual Balance Sheet'!O51-SUM('Annual Balance Sheet'!O16,'Annual Balance Sheet'!O17:'Annual Balance Sheet'!O20,'Annual Balance Sheet'!O22:'Annual Balance Sheet'!O27))-(O40+SUM(O7:O17)+O26+O36)</f>
        <v>1959.1798027009208</v>
      </c>
      <c r="P18" s="25">
        <f>('Annual Balance Sheet'!P51-SUM('Annual Balance Sheet'!P16,'Annual Balance Sheet'!P17:'Annual Balance Sheet'!P20,'Annual Balance Sheet'!P22:'Annual Balance Sheet'!P27))-(P40+SUM(P7:P17)+P26+P36)</f>
        <v>2118.0804602608041</v>
      </c>
      <c r="Q18" s="25">
        <f>('Annual Balance Sheet'!Q51-SUM('Annual Balance Sheet'!Q16,'Annual Balance Sheet'!Q17:'Annual Balance Sheet'!Q20,'Annual Balance Sheet'!Q22:'Annual Balance Sheet'!Q27))-(Q40+SUM(Q7:Q17)+Q26+Q36)</f>
        <v>2285.507611316636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29" t="s">
        <v>490</v>
      </c>
      <c r="B19" s="27" t="s">
        <v>46</v>
      </c>
      <c r="C19" s="28">
        <f>'Raw Financials'!C119</f>
        <v>3602.9215859999999</v>
      </c>
      <c r="D19" s="28">
        <f>'Raw Financials'!D119</f>
        <v>4723</v>
      </c>
      <c r="E19" s="28">
        <f>'Raw Financials'!E119</f>
        <v>3824</v>
      </c>
      <c r="F19" s="28">
        <f>'Raw Financials'!F119</f>
        <v>4527</v>
      </c>
      <c r="G19" s="28">
        <f>'Raw Financials'!G119</f>
        <v>2969</v>
      </c>
      <c r="H19" s="28">
        <f>'Raw Financials'!H119</f>
        <v>7623</v>
      </c>
      <c r="I19" s="28">
        <f>'Raw Financials'!I119</f>
        <v>7656</v>
      </c>
      <c r="J19" s="28">
        <f>'Raw Financials'!J119</f>
        <v>9505</v>
      </c>
      <c r="K19" s="28">
        <f>'Raw Financials'!K119</f>
        <v>9034</v>
      </c>
      <c r="L19" s="28">
        <f>'Raw Financials'!L119</f>
        <v>12371</v>
      </c>
      <c r="M19" s="28">
        <f>'Raw Financials'!M119</f>
        <v>17917</v>
      </c>
      <c r="N19" s="30">
        <f>Assumptions!C57+SUM(N7:N18)</f>
        <v>24789.334963289901</v>
      </c>
      <c r="O19" s="30">
        <f>SUM(O7:O18)</f>
        <v>41518.649740332396</v>
      </c>
      <c r="P19" s="30">
        <f>SUM(P7:P18)</f>
        <v>53291.130057790557</v>
      </c>
      <c r="Q19" s="30">
        <f>SUM(Q7:Q18)</f>
        <v>67071.39738513164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491</v>
      </c>
      <c r="B20" s="1" t="s">
        <v>72</v>
      </c>
      <c r="C20" s="32">
        <f t="shared" ref="C20:Q20" si="0">IFERROR(C19/C7,"")</f>
        <v>1.2132292834524534</v>
      </c>
      <c r="D20" s="32">
        <f t="shared" si="0"/>
        <v>1.7357589121646453</v>
      </c>
      <c r="E20" s="32">
        <f t="shared" si="0"/>
        <v>1.2387431162941367</v>
      </c>
      <c r="F20" s="32">
        <f t="shared" si="0"/>
        <v>1.0724946695095949</v>
      </c>
      <c r="G20" s="32">
        <f t="shared" si="0"/>
        <v>0.6349443969204448</v>
      </c>
      <c r="H20" s="32">
        <f t="shared" si="0"/>
        <v>1.6358369098712446</v>
      </c>
      <c r="I20" s="32">
        <f t="shared" si="0"/>
        <v>1.0712186931579684</v>
      </c>
      <c r="J20" s="32">
        <f t="shared" si="0"/>
        <v>1.2756676956113273</v>
      </c>
      <c r="K20" s="32">
        <f t="shared" si="0"/>
        <v>1.0811393011010053</v>
      </c>
      <c r="L20" s="32">
        <f t="shared" si="0"/>
        <v>1.3215468432859738</v>
      </c>
      <c r="M20" s="32">
        <f t="shared" si="0"/>
        <v>1.0269387287212701</v>
      </c>
      <c r="N20" s="33">
        <f t="shared" si="0"/>
        <v>1.2657249249352043</v>
      </c>
      <c r="O20" s="33">
        <f t="shared" si="0"/>
        <v>1.1862022252508859</v>
      </c>
      <c r="P20" s="33">
        <f t="shared" si="0"/>
        <v>1.117671376002302</v>
      </c>
      <c r="Q20" s="33">
        <f t="shared" si="0"/>
        <v>1.0755863866241413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385</v>
      </c>
      <c r="B21" s="1" t="s">
        <v>46</v>
      </c>
      <c r="C21" s="18">
        <f>'Raw Financials'!C120</f>
        <v>-1609.116538</v>
      </c>
      <c r="D21" s="18">
        <f>'Raw Financials'!D120</f>
        <v>0</v>
      </c>
      <c r="E21" s="18">
        <f>'Raw Financials'!E120</f>
        <v>0</v>
      </c>
      <c r="F21" s="18">
        <f>'Raw Financials'!F120</f>
        <v>0</v>
      </c>
      <c r="G21" s="18">
        <f>'Raw Financials'!G120</f>
        <v>0</v>
      </c>
      <c r="H21" s="18">
        <f>'Raw Financials'!H120</f>
        <v>0</v>
      </c>
      <c r="I21" s="18">
        <f>'Raw Financials'!I120</f>
        <v>-1541</v>
      </c>
      <c r="J21" s="18">
        <f>'Raw Financials'!J120</f>
        <v>-1582</v>
      </c>
      <c r="K21" s="18">
        <f>'Raw Financials'!K120</f>
        <v>-2655</v>
      </c>
      <c r="L21" s="18">
        <f>'Raw Financials'!L120</f>
        <v>-6144</v>
      </c>
      <c r="M21" s="18">
        <f>'Raw Financials'!M120</f>
        <v>-7425</v>
      </c>
      <c r="N21" s="25">
        <f>Assumptions!C62-('Annual P&amp;L'!N7-'Quarterly P&amp;L'!AU6)*Assumptions!C38</f>
        <v>-6501.6370909100006</v>
      </c>
      <c r="O21" s="25">
        <f>-'Annual P&amp;L'!O7*Assumptions!D38</f>
        <v>-9402.7507372854197</v>
      </c>
      <c r="P21" s="25">
        <f>-'Annual P&amp;L'!P7*Assumptions!E38</f>
        <v>-11088.482761564575</v>
      </c>
      <c r="Q21" s="25">
        <f>-'Annual P&amp;L'!Q7*Assumptions!F38</f>
        <v>-13713.045667899985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387</v>
      </c>
      <c r="B22" s="1" t="s">
        <v>46</v>
      </c>
      <c r="C22" s="18">
        <f>'Raw Financials'!C122</f>
        <v>0</v>
      </c>
      <c r="D22" s="18">
        <f>'Raw Financials'!D122</f>
        <v>0</v>
      </c>
      <c r="E22" s="18">
        <f>'Raw Financials'!E122</f>
        <v>0</v>
      </c>
      <c r="F22" s="18">
        <f>'Raw Financials'!F122</f>
        <v>0</v>
      </c>
      <c r="G22" s="18">
        <f>'Raw Financials'!G122</f>
        <v>0</v>
      </c>
      <c r="H22" s="18">
        <f>'Raw Financials'!H122</f>
        <v>0</v>
      </c>
      <c r="I22" s="18">
        <f>'Raw Financials'!I122</f>
        <v>-8557</v>
      </c>
      <c r="J22" s="18">
        <f>'Raw Financials'!J122</f>
        <v>-1222</v>
      </c>
      <c r="K22" s="18">
        <f>'Raw Financials'!K122</f>
        <v>0</v>
      </c>
      <c r="L22" s="18">
        <f>'Raw Financials'!L122</f>
        <v>-20810</v>
      </c>
      <c r="M22" s="18">
        <f>'Raw Financials'!M122</f>
        <v>-3206</v>
      </c>
      <c r="N22" s="25">
        <f>Assumptions!C58</f>
        <v>-46939</v>
      </c>
      <c r="O22" s="25">
        <f>0</f>
        <v>0</v>
      </c>
      <c r="P22" s="25">
        <f>0</f>
        <v>0</v>
      </c>
      <c r="Q22" s="25">
        <f>0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492</v>
      </c>
      <c r="B23" s="1" t="s">
        <v>46</v>
      </c>
      <c r="C23" s="18">
        <f>SUM('Raw Financials'!C123,'Raw Financials'!C124)</f>
        <v>0</v>
      </c>
      <c r="D23" s="18">
        <f>SUM('Raw Financials'!D123,'Raw Financials'!D124)</f>
        <v>0</v>
      </c>
      <c r="E23" s="18">
        <f>SUM('Raw Financials'!E123,'Raw Financials'!E124)</f>
        <v>-331</v>
      </c>
      <c r="F23" s="18">
        <f>SUM('Raw Financials'!F123,'Raw Financials'!F124)</f>
        <v>0</v>
      </c>
      <c r="G23" s="18">
        <f>SUM('Raw Financials'!G123,'Raw Financials'!G124)</f>
        <v>0</v>
      </c>
      <c r="H23" s="18">
        <f>SUM('Raw Financials'!H123,'Raw Financials'!H124)</f>
        <v>0</v>
      </c>
      <c r="I23" s="18">
        <f>SUM('Raw Financials'!I123,'Raw Financials'!I124)</f>
        <v>450</v>
      </c>
      <c r="J23" s="18">
        <f>SUM('Raw Financials'!J123,'Raw Financials'!J124)</f>
        <v>450</v>
      </c>
      <c r="K23" s="18">
        <f>SUM('Raw Financials'!K123,'Raw Financials'!K124)</f>
        <v>0</v>
      </c>
      <c r="L23" s="18">
        <f>SUM('Raw Financials'!L123,'Raw Financials'!L124)</f>
        <v>1185</v>
      </c>
      <c r="M23" s="18">
        <f>SUM('Raw Financials'!M123,'Raw Financials'!M124)</f>
        <v>1551</v>
      </c>
      <c r="N23" s="25">
        <f>-('Annual Balance Sheet'!N23-'Acquisition &amp; Debt'!C27)</f>
        <v>4030</v>
      </c>
      <c r="O23" s="25">
        <f>-('Annual Balance Sheet'!O23-'Annual Balance Sheet'!N23)</f>
        <v>0</v>
      </c>
      <c r="P23" s="25">
        <f>-('Annual Balance Sheet'!P23-'Annual Balance Sheet'!O23)</f>
        <v>0</v>
      </c>
      <c r="Q23" s="25">
        <f>-('Annual Balance Sheet'!Q23-'Annual Balance Sheet'!P23)</f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493</v>
      </c>
      <c r="B24" s="1" t="s">
        <v>46</v>
      </c>
      <c r="C24" s="18">
        <f>SUM('Raw Financials'!C121,'Raw Financials'!C125,'Raw Financials'!C126)</f>
        <v>65.216348999999994</v>
      </c>
      <c r="D24" s="18">
        <f>SUM('Raw Financials'!D121,'Raw Financials'!D125,'Raw Financials'!D126)</f>
        <v>0</v>
      </c>
      <c r="E24" s="18">
        <f>SUM('Raw Financials'!E121,'Raw Financials'!E125,'Raw Financials'!E126)</f>
        <v>104</v>
      </c>
      <c r="F24" s="18">
        <f>SUM('Raw Financials'!F121,'Raw Financials'!F125,'Raw Financials'!F126)</f>
        <v>0</v>
      </c>
      <c r="G24" s="18">
        <f>SUM('Raw Financials'!G121,'Raw Financials'!G125,'Raw Financials'!G126)</f>
        <v>0</v>
      </c>
      <c r="H24" s="18">
        <f>SUM('Raw Financials'!H121,'Raw Financials'!H125,'Raw Financials'!H126)</f>
        <v>0</v>
      </c>
      <c r="I24" s="18">
        <f>SUM('Raw Financials'!I121,'Raw Financials'!I125,'Raw Financials'!I126)</f>
        <v>84</v>
      </c>
      <c r="J24" s="18">
        <f>SUM('Raw Financials'!J121,'Raw Financials'!J125,'Raw Financials'!J126)</f>
        <v>88</v>
      </c>
      <c r="K24" s="18">
        <f>SUM('Raw Financials'!K121,'Raw Financials'!K125,'Raw Financials'!K126)</f>
        <v>177</v>
      </c>
      <c r="L24" s="18">
        <f>SUM('Raw Financials'!L121,'Raw Financials'!L125,'Raw Financials'!L126)</f>
        <v>1286</v>
      </c>
      <c r="M24" s="18">
        <f>SUM('Raw Financials'!M121,'Raw Financials'!M125,'Raw Financials'!M126)</f>
        <v>1734</v>
      </c>
      <c r="N24" s="25">
        <f>0</f>
        <v>0</v>
      </c>
      <c r="O24" s="25">
        <f>0</f>
        <v>0</v>
      </c>
      <c r="P24" s="25">
        <f>0</f>
        <v>0</v>
      </c>
      <c r="Q24" s="25">
        <f>0</f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494</v>
      </c>
      <c r="B25" s="1" t="s">
        <v>46</v>
      </c>
      <c r="C25" s="18">
        <f>'Raw Financials'!C127-SUM(C21:C24)</f>
        <v>-1496.6640230000003</v>
      </c>
      <c r="D25" s="18">
        <f>'Raw Financials'!D127-SUM(D21:D24)</f>
        <v>-3063</v>
      </c>
      <c r="E25" s="18">
        <f>'Raw Financials'!E127-SUM(E21:E24)</f>
        <v>-2477</v>
      </c>
      <c r="F25" s="18">
        <f>'Raw Financials'!F127-SUM(F21:F24)</f>
        <v>-2300</v>
      </c>
      <c r="G25" s="18">
        <f>'Raw Financials'!G127-SUM(G21:G24)</f>
        <v>1123</v>
      </c>
      <c r="H25" s="18">
        <f>'Raw Financials'!H127-SUM(H21:H24)</f>
        <v>-2354</v>
      </c>
      <c r="I25" s="18">
        <f>'Raw Financials'!I127-SUM(I21:I24)</f>
        <v>0</v>
      </c>
      <c r="J25" s="18">
        <f>'Raw Financials'!J127-SUM(J21:J24)</f>
        <v>-450</v>
      </c>
      <c r="K25" s="18">
        <f>'Raw Financials'!K127-SUM(K21:K24)</f>
        <v>0</v>
      </c>
      <c r="L25" s="18">
        <f>'Raw Financials'!L127-SUM(L21:L24)</f>
        <v>0</v>
      </c>
      <c r="M25" s="18">
        <f>'Raw Financials'!M127-SUM(M21:M24)</f>
        <v>2998</v>
      </c>
      <c r="N25" s="25">
        <f>0</f>
        <v>0</v>
      </c>
      <c r="O25" s="25">
        <f>0</f>
        <v>0</v>
      </c>
      <c r="P25" s="25">
        <f>0</f>
        <v>0</v>
      </c>
      <c r="Q25" s="25">
        <f>0</f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29" t="s">
        <v>495</v>
      </c>
      <c r="B26" s="27" t="s">
        <v>46</v>
      </c>
      <c r="C26" s="28">
        <f>'Raw Financials'!C127</f>
        <v>-3040.5642120000002</v>
      </c>
      <c r="D26" s="28">
        <f>'Raw Financials'!D127</f>
        <v>-3063</v>
      </c>
      <c r="E26" s="28">
        <f>'Raw Financials'!E127</f>
        <v>-2704</v>
      </c>
      <c r="F26" s="28">
        <f>'Raw Financials'!F127</f>
        <v>-2300</v>
      </c>
      <c r="G26" s="28">
        <f>'Raw Financials'!G127</f>
        <v>1123</v>
      </c>
      <c r="H26" s="28">
        <f>'Raw Financials'!H127</f>
        <v>-2354</v>
      </c>
      <c r="I26" s="28">
        <f>'Raw Financials'!I127</f>
        <v>-9564</v>
      </c>
      <c r="J26" s="28">
        <f>'Raw Financials'!J127</f>
        <v>-2716</v>
      </c>
      <c r="K26" s="28">
        <f>'Raw Financials'!K127</f>
        <v>-2478</v>
      </c>
      <c r="L26" s="28">
        <f>'Raw Financials'!L127</f>
        <v>-24483</v>
      </c>
      <c r="M26" s="28">
        <f>'Raw Financials'!M127</f>
        <v>-4348</v>
      </c>
      <c r="N26" s="30">
        <f>SUM(N21:N25)</f>
        <v>-49410.637090910001</v>
      </c>
      <c r="O26" s="30">
        <f>SUM(O21:O25)</f>
        <v>-9402.7507372854197</v>
      </c>
      <c r="P26" s="30">
        <f>SUM(P21:P25)</f>
        <v>-11088.482761564575</v>
      </c>
      <c r="Q26" s="30">
        <f>SUM(Q21:Q25)</f>
        <v>-13713.045667899985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52" t="s">
        <v>393</v>
      </c>
      <c r="B27" s="52" t="s">
        <v>46</v>
      </c>
      <c r="C27" s="56">
        <f>'Raw Financials'!C128</f>
        <v>14.599244000000001</v>
      </c>
      <c r="D27" s="56">
        <f>'Raw Financials'!D128</f>
        <v>0</v>
      </c>
      <c r="E27" s="56">
        <f>'Raw Financials'!E128</f>
        <v>0</v>
      </c>
      <c r="F27" s="56">
        <f>'Raw Financials'!F128</f>
        <v>0</v>
      </c>
      <c r="G27" s="56">
        <f>'Raw Financials'!G128</f>
        <v>0</v>
      </c>
      <c r="H27" s="56">
        <f>'Raw Financials'!H128</f>
        <v>18</v>
      </c>
      <c r="I27" s="56">
        <f>'Raw Financials'!I128</f>
        <v>51</v>
      </c>
      <c r="J27" s="56">
        <f>'Raw Financials'!J128</f>
        <v>18</v>
      </c>
      <c r="K27" s="56">
        <f>'Raw Financials'!K128</f>
        <v>7</v>
      </c>
      <c r="L27" s="56">
        <f>'Raw Financials'!L128</f>
        <v>22015</v>
      </c>
      <c r="M27" s="56">
        <f>'Raw Financials'!M128</f>
        <v>3</v>
      </c>
      <c r="N27" s="57">
        <f>0</f>
        <v>0</v>
      </c>
      <c r="O27" s="57">
        <f>0</f>
        <v>0</v>
      </c>
      <c r="P27" s="57">
        <f>0</f>
        <v>0</v>
      </c>
      <c r="Q27" s="57">
        <f>0</f>
        <v>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394</v>
      </c>
      <c r="B28" s="1" t="s">
        <v>46</v>
      </c>
      <c r="C28" s="18">
        <f>'Raw Financials'!C129</f>
        <v>62.461007000000002</v>
      </c>
      <c r="D28" s="18">
        <f>'Raw Financials'!D129</f>
        <v>0</v>
      </c>
      <c r="E28" s="18">
        <f>'Raw Financials'!E129</f>
        <v>0</v>
      </c>
      <c r="F28" s="18">
        <f>'Raw Financials'!F129</f>
        <v>0</v>
      </c>
      <c r="G28" s="18">
        <f>'Raw Financials'!G129</f>
        <v>0</v>
      </c>
      <c r="H28" s="18">
        <f>'Raw Financials'!H129</f>
        <v>281</v>
      </c>
      <c r="I28" s="18">
        <f>'Raw Financials'!I129</f>
        <v>3578</v>
      </c>
      <c r="J28" s="18">
        <f>'Raw Financials'!J129</f>
        <v>3578</v>
      </c>
      <c r="K28" s="18">
        <f>'Raw Financials'!K129</f>
        <v>967</v>
      </c>
      <c r="L28" s="18">
        <f>'Raw Financials'!L129</f>
        <v>6039</v>
      </c>
      <c r="M28" s="18">
        <f>'Raw Financials'!M129</f>
        <v>1976</v>
      </c>
      <c r="N28" s="25">
        <f>Assumptions!C59</f>
        <v>46547</v>
      </c>
      <c r="O28" s="25">
        <f>0</f>
        <v>0</v>
      </c>
      <c r="P28" s="25">
        <f>0</f>
        <v>0</v>
      </c>
      <c r="Q28" s="25">
        <f>0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496</v>
      </c>
      <c r="B29" s="1" t="s">
        <v>46</v>
      </c>
      <c r="C29" s="18">
        <f>'Raw Financials'!C130</f>
        <v>-48.009765999999999</v>
      </c>
      <c r="D29" s="18">
        <f>'Raw Financials'!D130</f>
        <v>0</v>
      </c>
      <c r="E29" s="18">
        <f>'Raw Financials'!E130</f>
        <v>0</v>
      </c>
      <c r="F29" s="18">
        <f>'Raw Financials'!F130</f>
        <v>0</v>
      </c>
      <c r="G29" s="18">
        <f>'Raw Financials'!G130</f>
        <v>0</v>
      </c>
      <c r="H29" s="18">
        <f>'Raw Financials'!H130</f>
        <v>-306</v>
      </c>
      <c r="I29" s="18">
        <f>'Raw Financials'!I130</f>
        <v>-59</v>
      </c>
      <c r="J29" s="18">
        <f>'Raw Financials'!J130</f>
        <v>-180</v>
      </c>
      <c r="K29" s="18">
        <f>'Raw Financials'!K130</f>
        <v>-180</v>
      </c>
      <c r="L29" s="18">
        <f>'Raw Financials'!L130</f>
        <v>-3716</v>
      </c>
      <c r="M29" s="18">
        <f>'Raw Financials'!M130</f>
        <v>-5154</v>
      </c>
      <c r="N29" s="25">
        <f>-('Acquisition &amp; Debt'!C20-10*Assumptions!C19)</f>
        <v>-4700</v>
      </c>
      <c r="O29" s="25">
        <f>-'Acquisition &amp; Debt'!D20</f>
        <v>-20900</v>
      </c>
      <c r="P29" s="25">
        <f>-'Acquisition &amp; Debt'!E20</f>
        <v>-25920</v>
      </c>
      <c r="Q29" s="25">
        <f>-'Acquisition &amp; Debt'!F20</f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396</v>
      </c>
      <c r="B30" s="1" t="s">
        <v>46</v>
      </c>
      <c r="C30" s="18">
        <f>'Raw Financials'!C131</f>
        <v>0</v>
      </c>
      <c r="D30" s="18">
        <f>'Raw Financials'!D131</f>
        <v>0</v>
      </c>
      <c r="E30" s="18">
        <f>'Raw Financials'!E131</f>
        <v>0</v>
      </c>
      <c r="F30" s="18">
        <f>'Raw Financials'!F131</f>
        <v>0</v>
      </c>
      <c r="G30" s="18">
        <f>'Raw Financials'!G131</f>
        <v>0</v>
      </c>
      <c r="H30" s="18">
        <f>'Raw Financials'!H131</f>
        <v>0</v>
      </c>
      <c r="I30" s="18">
        <f>'Raw Financials'!I131</f>
        <v>-386</v>
      </c>
      <c r="J30" s="18">
        <f>'Raw Financials'!J131</f>
        <v>-421</v>
      </c>
      <c r="K30" s="18">
        <f>'Raw Financials'!K131</f>
        <v>-480</v>
      </c>
      <c r="L30" s="18">
        <f>'Raw Financials'!L131</f>
        <v>-866</v>
      </c>
      <c r="M30" s="18">
        <f>'Raw Financials'!M131</f>
        <v>-1048</v>
      </c>
      <c r="N30" s="25">
        <f>Assumptions!C60-'Acquisition &amp; Debt'!C41*Assumptions!C42</f>
        <v>-1308.75</v>
      </c>
      <c r="O30" s="25">
        <f>-'Annual Balance Sheet'!N43*Assumptions!D42</f>
        <v>-1029.4672175324999</v>
      </c>
      <c r="P30" s="25">
        <f>-'Annual Balance Sheet'!O43*Assumptions!E42</f>
        <v>-1139.3953638245866</v>
      </c>
      <c r="Q30" s="25">
        <f>-'Annual Balance Sheet'!P43*Assumptions!F42</f>
        <v>-1316.5666379336308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397</v>
      </c>
      <c r="B31" s="1" t="s">
        <v>46</v>
      </c>
      <c r="C31" s="18">
        <f>'Raw Financials'!C132</f>
        <v>-28.391908999999998</v>
      </c>
      <c r="D31" s="18">
        <f>'Raw Financials'!D132</f>
        <v>0</v>
      </c>
      <c r="E31" s="18">
        <f>'Raw Financials'!E132</f>
        <v>-13</v>
      </c>
      <c r="F31" s="18">
        <f>'Raw Financials'!F132</f>
        <v>0</v>
      </c>
      <c r="G31" s="18">
        <f>'Raw Financials'!G132</f>
        <v>0</v>
      </c>
      <c r="H31" s="18">
        <f>'Raw Financials'!H132</f>
        <v>-79</v>
      </c>
      <c r="I31" s="18">
        <f>'Raw Financials'!I132</f>
        <v>-265</v>
      </c>
      <c r="J31" s="18">
        <f>'Raw Financials'!J132</f>
        <v>-714</v>
      </c>
      <c r="K31" s="18">
        <f>'Raw Financials'!K132</f>
        <v>-1060</v>
      </c>
      <c r="L31" s="18">
        <f>'Raw Financials'!L132</f>
        <v>-1438</v>
      </c>
      <c r="M31" s="18">
        <f>'Raw Financials'!M132</f>
        <v>-1169</v>
      </c>
      <c r="N31" s="25">
        <f>Assumptions!C61-('Annual P&amp;L'!N22-'Quarterly P&amp;L'!AU20)</f>
        <v>-3544.4</v>
      </c>
      <c r="O31" s="25">
        <f>-'Annual P&amp;L'!O22</f>
        <v>-1814.5000000000002</v>
      </c>
      <c r="P31" s="25">
        <f>-'Annual P&amp;L'!P22</f>
        <v>-739.2</v>
      </c>
      <c r="Q31" s="25">
        <f>-'Annual P&amp;L'!Q22</f>
        <v>-48.5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398</v>
      </c>
      <c r="B32" s="1" t="s">
        <v>46</v>
      </c>
      <c r="C32" s="18">
        <f>'Raw Financials'!C133</f>
        <v>-731.36613199999999</v>
      </c>
      <c r="D32" s="18">
        <f>'Raw Financials'!D133</f>
        <v>0</v>
      </c>
      <c r="E32" s="18">
        <f>'Raw Financials'!E133</f>
        <v>-613</v>
      </c>
      <c r="F32" s="18">
        <f>'Raw Financials'!F133</f>
        <v>0</v>
      </c>
      <c r="G32" s="18">
        <f>'Raw Financials'!G133</f>
        <v>0</v>
      </c>
      <c r="H32" s="18">
        <f>'Raw Financials'!H133</f>
        <v>-686</v>
      </c>
      <c r="I32" s="18">
        <f>'Raw Financials'!I133</f>
        <v>-3152</v>
      </c>
      <c r="J32" s="18">
        <f>'Raw Financials'!J133</f>
        <v>-3534</v>
      </c>
      <c r="K32" s="18">
        <f>'Raw Financials'!K133</f>
        <v>-4664</v>
      </c>
      <c r="L32" s="18">
        <f>'Raw Financials'!L133</f>
        <v>-4976</v>
      </c>
      <c r="M32" s="18">
        <f>'Raw Financials'!M133</f>
        <v>-5277</v>
      </c>
      <c r="N32" s="25">
        <f>-'Annual P&amp;L'!N36</f>
        <v>-8541.4164345692152</v>
      </c>
      <c r="O32" s="25">
        <f>-'Annual P&amp;L'!O36</f>
        <v>-12756.232938834508</v>
      </c>
      <c r="P32" s="25">
        <f>-'Annual P&amp;L'!P36</f>
        <v>-18409.44105494436</v>
      </c>
      <c r="Q32" s="25">
        <f>-'Annual P&amp;L'!Q36</f>
        <v>-24693.761184422183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399</v>
      </c>
      <c r="B33" s="1" t="s">
        <v>46</v>
      </c>
      <c r="C33" s="18">
        <f>'Raw Financials'!C134</f>
        <v>0</v>
      </c>
      <c r="D33" s="18">
        <f>'Raw Financials'!D134</f>
        <v>0</v>
      </c>
      <c r="E33" s="18">
        <f>'Raw Financials'!E134</f>
        <v>0</v>
      </c>
      <c r="F33" s="18">
        <f>'Raw Financials'!F134</f>
        <v>0</v>
      </c>
      <c r="G33" s="18">
        <f>'Raw Financials'!G134</f>
        <v>0</v>
      </c>
      <c r="H33" s="18">
        <f>'Raw Financials'!H134</f>
        <v>0</v>
      </c>
      <c r="I33" s="18">
        <f>'Raw Financials'!I134</f>
        <v>-596</v>
      </c>
      <c r="J33" s="18">
        <f>'Raw Financials'!J134</f>
        <v>-751</v>
      </c>
      <c r="K33" s="18">
        <f>'Raw Financials'!K134</f>
        <v>-117</v>
      </c>
      <c r="L33" s="18">
        <f>'Raw Financials'!L134</f>
        <v>-121</v>
      </c>
      <c r="M33" s="18">
        <f>'Raw Financials'!M134</f>
        <v>-154</v>
      </c>
      <c r="N33" s="25">
        <f>-'Annual P&amp;L'!N29*Assumptions!C45</f>
        <v>-149.41253238313499</v>
      </c>
      <c r="O33" s="25">
        <f>-'Annual P&amp;L'!O29*Assumptions!D45</f>
        <v>-157.50596302580678</v>
      </c>
      <c r="P33" s="25">
        <f>-'Annual P&amp;L'!P29*Assumptions!E45</f>
        <v>-143.04150003841769</v>
      </c>
      <c r="Q33" s="25">
        <f>-'Annual P&amp;L'!Q29*Assumptions!F45</f>
        <v>-187.07394836683474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219</v>
      </c>
      <c r="B34" s="1" t="s">
        <v>46</v>
      </c>
      <c r="C34" s="18">
        <f>0</f>
        <v>0</v>
      </c>
      <c r="D34" s="18">
        <f>0</f>
        <v>0</v>
      </c>
      <c r="E34" s="18">
        <f>0</f>
        <v>0</v>
      </c>
      <c r="F34" s="18">
        <f>0</f>
        <v>0</v>
      </c>
      <c r="G34" s="18">
        <f>0</f>
        <v>0</v>
      </c>
      <c r="H34" s="18">
        <f>0</f>
        <v>0</v>
      </c>
      <c r="I34" s="18">
        <f>0</f>
        <v>0</v>
      </c>
      <c r="J34" s="18">
        <f>0</f>
        <v>0</v>
      </c>
      <c r="K34" s="18">
        <f>0</f>
        <v>0</v>
      </c>
      <c r="L34" s="18">
        <f>0</f>
        <v>0</v>
      </c>
      <c r="M34" s="18">
        <f>0</f>
        <v>0</v>
      </c>
      <c r="N34" s="25">
        <f>-('Acquisition &amp; Debt'!C40-'Annual Balance Sheet'!N40)</f>
        <v>-629.5</v>
      </c>
      <c r="O34" s="25">
        <f>-('Annual Balance Sheet'!N40-'Annual Balance Sheet'!O40)</f>
        <v>-566.55000000000018</v>
      </c>
      <c r="P34" s="25">
        <f>-('Annual Balance Sheet'!O40-'Annual Balance Sheet'!P40)</f>
        <v>-462.68249999999989</v>
      </c>
      <c r="Q34" s="25">
        <f>-('Annual Balance Sheet'!P40-'Annual Balance Sheet'!Q40)</f>
        <v>-859.26749999999993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497</v>
      </c>
      <c r="B35" s="1" t="s">
        <v>46</v>
      </c>
      <c r="C35" s="18">
        <f>'Raw Financials'!C135-SUM(C27:C34)</f>
        <v>3.7214599999999791</v>
      </c>
      <c r="D35" s="18">
        <f>'Raw Financials'!D135-SUM(D27:D34)</f>
        <v>-669</v>
      </c>
      <c r="E35" s="18">
        <f>'Raw Financials'!E135-SUM(E27:E34)</f>
        <v>-118</v>
      </c>
      <c r="F35" s="18">
        <f>'Raw Financials'!F135-SUM(F27:F34)</f>
        <v>-1063</v>
      </c>
      <c r="G35" s="18">
        <f>'Raw Financials'!G135-SUM(G27:G34)</f>
        <v>-1327</v>
      </c>
      <c r="H35" s="18">
        <f>'Raw Financials'!H135-SUM(H27:H34)</f>
        <v>-4759</v>
      </c>
      <c r="I35" s="18">
        <f>'Raw Financials'!I135-SUM(I27:I34)</f>
        <v>-729</v>
      </c>
      <c r="J35" s="18">
        <f>'Raw Financials'!J135-SUM(J27:J34)</f>
        <v>-3578</v>
      </c>
      <c r="K35" s="18">
        <f>'Raw Financials'!K135-SUM(K27:K34)</f>
        <v>-3343</v>
      </c>
      <c r="L35" s="18">
        <f>'Raw Financials'!L135-SUM(L27:L34)</f>
        <v>-184</v>
      </c>
      <c r="M35" s="18">
        <f>'Raw Financials'!M135-SUM(M27:M34)</f>
        <v>-114</v>
      </c>
      <c r="N35" s="25">
        <f>0</f>
        <v>0</v>
      </c>
      <c r="O35" s="25">
        <f>0</f>
        <v>0</v>
      </c>
      <c r="P35" s="25">
        <f>0</f>
        <v>0</v>
      </c>
      <c r="Q35" s="25">
        <f>0</f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29" t="s">
        <v>498</v>
      </c>
      <c r="B36" s="27" t="s">
        <v>46</v>
      </c>
      <c r="C36" s="28">
        <f>'Raw Financials'!C135</f>
        <v>-726.98609599999997</v>
      </c>
      <c r="D36" s="28">
        <f>'Raw Financials'!D135</f>
        <v>-669</v>
      </c>
      <c r="E36" s="28">
        <f>'Raw Financials'!E135</f>
        <v>-744</v>
      </c>
      <c r="F36" s="28">
        <f>'Raw Financials'!F135</f>
        <v>-1063</v>
      </c>
      <c r="G36" s="28">
        <f>'Raw Financials'!G135</f>
        <v>-1327</v>
      </c>
      <c r="H36" s="28">
        <f>'Raw Financials'!H135</f>
        <v>-5531</v>
      </c>
      <c r="I36" s="28">
        <f>'Raw Financials'!I135</f>
        <v>-1558</v>
      </c>
      <c r="J36" s="28">
        <f>'Raw Financials'!J135</f>
        <v>-5582</v>
      </c>
      <c r="K36" s="28">
        <f>'Raw Financials'!K135</f>
        <v>-8870</v>
      </c>
      <c r="L36" s="28">
        <f>'Raw Financials'!L135</f>
        <v>16753</v>
      </c>
      <c r="M36" s="28">
        <f>'Raw Financials'!M135</f>
        <v>-10937</v>
      </c>
      <c r="N36" s="30">
        <f>SUM(N27:N35)</f>
        <v>27673.521033047648</v>
      </c>
      <c r="O36" s="30">
        <f>SUM(O27:O35)</f>
        <v>-37224.256119392812</v>
      </c>
      <c r="P36" s="30">
        <f>SUM(P27:P35)</f>
        <v>-46813.760418807367</v>
      </c>
      <c r="Q36" s="30">
        <f>SUM(Q27:Q35)</f>
        <v>-27105.169270722647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499</v>
      </c>
      <c r="B37" s="1" t="s">
        <v>46</v>
      </c>
      <c r="C37" s="18">
        <f t="shared" ref="C37:Q37" si="1">SUM(C19,C26,C36)</f>
        <v>-164.62872200000027</v>
      </c>
      <c r="D37" s="18">
        <f t="shared" si="1"/>
        <v>991</v>
      </c>
      <c r="E37" s="18">
        <f t="shared" si="1"/>
        <v>376</v>
      </c>
      <c r="F37" s="18">
        <f t="shared" si="1"/>
        <v>1164</v>
      </c>
      <c r="G37" s="18">
        <f t="shared" si="1"/>
        <v>2765</v>
      </c>
      <c r="H37" s="18">
        <f t="shared" si="1"/>
        <v>-262</v>
      </c>
      <c r="I37" s="18">
        <f t="shared" si="1"/>
        <v>-3466</v>
      </c>
      <c r="J37" s="18">
        <f t="shared" si="1"/>
        <v>1207</v>
      </c>
      <c r="K37" s="18">
        <f t="shared" si="1"/>
        <v>-2314</v>
      </c>
      <c r="L37" s="18">
        <f t="shared" si="1"/>
        <v>4641</v>
      </c>
      <c r="M37" s="18">
        <f t="shared" si="1"/>
        <v>2632</v>
      </c>
      <c r="N37" s="25">
        <f t="shared" si="1"/>
        <v>3052.2189054275477</v>
      </c>
      <c r="O37" s="25">
        <f t="shared" si="1"/>
        <v>-5108.3571163458364</v>
      </c>
      <c r="P37" s="25">
        <f t="shared" si="1"/>
        <v>-4611.1131225813879</v>
      </c>
      <c r="Q37" s="25">
        <f t="shared" si="1"/>
        <v>26253.18244650901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52" t="s">
        <v>403</v>
      </c>
      <c r="B38" s="52" t="s">
        <v>46</v>
      </c>
      <c r="C38" s="56">
        <f>'Raw Financials'!C138</f>
        <v>155.10373200000001</v>
      </c>
      <c r="D38" s="56">
        <f t="shared" ref="D38:M38" si="2">D39-D37</f>
        <v>-367.62726199999997</v>
      </c>
      <c r="E38" s="56">
        <f t="shared" si="2"/>
        <v>224</v>
      </c>
      <c r="F38" s="56">
        <f t="shared" si="2"/>
        <v>-72</v>
      </c>
      <c r="G38" s="56">
        <f t="shared" si="2"/>
        <v>236</v>
      </c>
      <c r="H38" s="56">
        <f t="shared" si="2"/>
        <v>66</v>
      </c>
      <c r="I38" s="56">
        <f t="shared" si="2"/>
        <v>-65</v>
      </c>
      <c r="J38" s="56">
        <f t="shared" si="2"/>
        <v>24</v>
      </c>
      <c r="K38" s="56">
        <f t="shared" si="2"/>
        <v>-172</v>
      </c>
      <c r="L38" s="56">
        <f t="shared" si="2"/>
        <v>102</v>
      </c>
      <c r="M38" s="56">
        <f t="shared" si="2"/>
        <v>348</v>
      </c>
      <c r="N38" s="57">
        <f>0</f>
        <v>0</v>
      </c>
      <c r="O38" s="57">
        <f>0</f>
        <v>0</v>
      </c>
      <c r="P38" s="57">
        <f>0</f>
        <v>0</v>
      </c>
      <c r="Q38" s="57">
        <f>0</f>
        <v>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29" t="s">
        <v>401</v>
      </c>
      <c r="B39" s="27" t="s">
        <v>46</v>
      </c>
      <c r="C39" s="28">
        <f>C37+C38</f>
        <v>-9.5249900000002583</v>
      </c>
      <c r="D39" s="28">
        <f t="shared" ref="D39:M39" si="3">D41-D40</f>
        <v>623.37273800000003</v>
      </c>
      <c r="E39" s="28">
        <f t="shared" si="3"/>
        <v>600</v>
      </c>
      <c r="F39" s="28">
        <f t="shared" si="3"/>
        <v>1092</v>
      </c>
      <c r="G39" s="28">
        <f t="shared" si="3"/>
        <v>3001</v>
      </c>
      <c r="H39" s="28">
        <f t="shared" si="3"/>
        <v>-196</v>
      </c>
      <c r="I39" s="28">
        <f t="shared" si="3"/>
        <v>-3531</v>
      </c>
      <c r="J39" s="28">
        <f t="shared" si="3"/>
        <v>1231</v>
      </c>
      <c r="K39" s="28">
        <f t="shared" si="3"/>
        <v>-2486</v>
      </c>
      <c r="L39" s="28">
        <f t="shared" si="3"/>
        <v>4743</v>
      </c>
      <c r="M39" s="28">
        <f t="shared" si="3"/>
        <v>2980</v>
      </c>
      <c r="N39" s="30">
        <f>Assumptions!C56+SUM(N19,N26,N36)-Assumptions!C57-Assumptions!C58-Assumptions!C59-Assumptions!C60-Assumptions!C61-Assumptions!C62</f>
        <v>2500.2189054275514</v>
      </c>
      <c r="O39" s="30">
        <f>O37+O38</f>
        <v>-5108.3571163458364</v>
      </c>
      <c r="P39" s="30">
        <f>P37+P38</f>
        <v>-4611.1131225813879</v>
      </c>
      <c r="Q39" s="30">
        <f>Q37+Q38</f>
        <v>26253.18244650901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402</v>
      </c>
      <c r="B40" s="1" t="s">
        <v>46</v>
      </c>
      <c r="C40" s="18">
        <f>'Raw Financials'!C137</f>
        <v>2237.7961460000001</v>
      </c>
      <c r="D40" s="18">
        <f t="shared" ref="D40:M40" si="4">C41</f>
        <v>2878.627262</v>
      </c>
      <c r="E40" s="18">
        <f t="shared" si="4"/>
        <v>3502</v>
      </c>
      <c r="F40" s="18">
        <f t="shared" si="4"/>
        <v>4102</v>
      </c>
      <c r="G40" s="18">
        <f t="shared" si="4"/>
        <v>5194</v>
      </c>
      <c r="H40" s="18">
        <f t="shared" si="4"/>
        <v>8195</v>
      </c>
      <c r="I40" s="18">
        <f t="shared" si="4"/>
        <v>7999</v>
      </c>
      <c r="J40" s="18">
        <f t="shared" si="4"/>
        <v>4468</v>
      </c>
      <c r="K40" s="18">
        <f t="shared" si="4"/>
        <v>5699</v>
      </c>
      <c r="L40" s="18">
        <f t="shared" si="4"/>
        <v>3213</v>
      </c>
      <c r="M40" s="18">
        <f t="shared" si="4"/>
        <v>7956</v>
      </c>
      <c r="N40" s="25">
        <f>'Annual Balance Sheet'!M21</f>
        <v>10936</v>
      </c>
      <c r="O40" s="25">
        <f>N41</f>
        <v>13436.218905427551</v>
      </c>
      <c r="P40" s="25">
        <f>O41</f>
        <v>8327.861789081715</v>
      </c>
      <c r="Q40" s="25">
        <f>P41</f>
        <v>3716.7486665003271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29" t="s">
        <v>61</v>
      </c>
      <c r="B41" s="27" t="s">
        <v>46</v>
      </c>
      <c r="C41" s="28">
        <f>'Raw Financials'!C139</f>
        <v>2878.627262</v>
      </c>
      <c r="D41" s="28">
        <f>'Raw Financials'!D139</f>
        <v>3502</v>
      </c>
      <c r="E41" s="28">
        <f>'Raw Financials'!E139</f>
        <v>4102</v>
      </c>
      <c r="F41" s="28">
        <f>'Raw Financials'!F139</f>
        <v>5194</v>
      </c>
      <c r="G41" s="28">
        <f>'Raw Financials'!G139</f>
        <v>8195</v>
      </c>
      <c r="H41" s="28">
        <f>'Raw Financials'!H139</f>
        <v>7999</v>
      </c>
      <c r="I41" s="28">
        <f>'Raw Financials'!I139</f>
        <v>4468</v>
      </c>
      <c r="J41" s="28">
        <f>'Raw Financials'!J139</f>
        <v>5699</v>
      </c>
      <c r="K41" s="28">
        <f>'Raw Financials'!K139</f>
        <v>3213</v>
      </c>
      <c r="L41" s="28">
        <f>'Raw Financials'!L139</f>
        <v>7956</v>
      </c>
      <c r="M41" s="28">
        <f>'Raw Financials'!M139</f>
        <v>10936</v>
      </c>
      <c r="N41" s="30">
        <f>N40+N39</f>
        <v>13436.218905427551</v>
      </c>
      <c r="O41" s="30">
        <f>O40+O39</f>
        <v>8327.861789081715</v>
      </c>
      <c r="P41" s="30">
        <f>P40+P39</f>
        <v>3716.7486665003271</v>
      </c>
      <c r="Q41" s="30">
        <f>Q40+Q39</f>
        <v>29969.931113009337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500</v>
      </c>
      <c r="B42" s="1" t="s">
        <v>46</v>
      </c>
      <c r="C42" s="18">
        <f>'Annual Balance Sheet'!C21+'Annual Balance Sheet'!C22</f>
        <v>2878.627262</v>
      </c>
      <c r="D42" s="18">
        <f>'Annual Balance Sheet'!D21+'Annual Balance Sheet'!D22</f>
        <v>3502</v>
      </c>
      <c r="E42" s="18">
        <f>'Annual Balance Sheet'!E21+'Annual Balance Sheet'!E22</f>
        <v>4102</v>
      </c>
      <c r="F42" s="18">
        <f>'Annual Balance Sheet'!F21+'Annual Balance Sheet'!F22</f>
        <v>5194</v>
      </c>
      <c r="G42" s="18">
        <f>'Annual Balance Sheet'!G21+'Annual Balance Sheet'!G22</f>
        <v>8195</v>
      </c>
      <c r="H42" s="18">
        <f>'Annual Balance Sheet'!H21+'Annual Balance Sheet'!H22</f>
        <v>7999</v>
      </c>
      <c r="I42" s="18">
        <f>'Annual Balance Sheet'!I21+'Annual Balance Sheet'!I22</f>
        <v>4468</v>
      </c>
      <c r="J42" s="18">
        <f>'Annual Balance Sheet'!J21+'Annual Balance Sheet'!J22</f>
        <v>5699</v>
      </c>
      <c r="K42" s="18">
        <f>'Annual Balance Sheet'!K21+'Annual Balance Sheet'!K22</f>
        <v>3213</v>
      </c>
      <c r="L42" s="18">
        <f>'Annual Balance Sheet'!L21+'Annual Balance Sheet'!L22</f>
        <v>7956</v>
      </c>
      <c r="M42" s="18">
        <f>'Annual Balance Sheet'!M21+'Annual Balance Sheet'!M22</f>
        <v>10936</v>
      </c>
      <c r="N42" s="25">
        <f>'Annual Balance Sheet'!N21+'Annual Balance Sheet'!N22</f>
        <v>13436.218905427551</v>
      </c>
      <c r="O42" s="25">
        <f>'Annual Balance Sheet'!O21+'Annual Balance Sheet'!O22</f>
        <v>8327.861789081715</v>
      </c>
      <c r="P42" s="25">
        <f>'Annual Balance Sheet'!P21+'Annual Balance Sheet'!P22</f>
        <v>3716.7486665003271</v>
      </c>
      <c r="Q42" s="25">
        <f>'Annual Balance Sheet'!Q21+'Annual Balance Sheet'!Q22</f>
        <v>29969.931113009337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501</v>
      </c>
      <c r="B43" s="1" t="s">
        <v>46</v>
      </c>
      <c r="C43" s="18">
        <f t="shared" ref="C43:Q43" si="5">C41-C42</f>
        <v>0</v>
      </c>
      <c r="D43" s="18">
        <f t="shared" si="5"/>
        <v>0</v>
      </c>
      <c r="E43" s="18">
        <f t="shared" si="5"/>
        <v>0</v>
      </c>
      <c r="F43" s="18">
        <f t="shared" si="5"/>
        <v>0</v>
      </c>
      <c r="G43" s="18">
        <f t="shared" si="5"/>
        <v>0</v>
      </c>
      <c r="H43" s="18">
        <f t="shared" si="5"/>
        <v>0</v>
      </c>
      <c r="I43" s="18">
        <f t="shared" si="5"/>
        <v>0</v>
      </c>
      <c r="J43" s="18">
        <f t="shared" si="5"/>
        <v>0</v>
      </c>
      <c r="K43" s="18">
        <f t="shared" si="5"/>
        <v>0</v>
      </c>
      <c r="L43" s="18">
        <f t="shared" si="5"/>
        <v>0</v>
      </c>
      <c r="M43" s="18">
        <f t="shared" si="5"/>
        <v>0</v>
      </c>
      <c r="N43" s="25">
        <f t="shared" si="5"/>
        <v>0</v>
      </c>
      <c r="O43" s="25">
        <f t="shared" si="5"/>
        <v>0</v>
      </c>
      <c r="P43" s="25">
        <f t="shared" si="5"/>
        <v>0</v>
      </c>
      <c r="Q43" s="25">
        <f t="shared" si="5"/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29" t="s">
        <v>60</v>
      </c>
      <c r="B44" s="27" t="s">
        <v>46</v>
      </c>
      <c r="C44" s="28">
        <f t="shared" ref="C44:Q44" si="6">C19+C21</f>
        <v>1993.8050479999999</v>
      </c>
      <c r="D44" s="28">
        <f t="shared" si="6"/>
        <v>4723</v>
      </c>
      <c r="E44" s="28">
        <f t="shared" si="6"/>
        <v>3824</v>
      </c>
      <c r="F44" s="28">
        <f t="shared" si="6"/>
        <v>4527</v>
      </c>
      <c r="G44" s="28">
        <f t="shared" si="6"/>
        <v>2969</v>
      </c>
      <c r="H44" s="28">
        <f t="shared" si="6"/>
        <v>7623</v>
      </c>
      <c r="I44" s="28">
        <f t="shared" si="6"/>
        <v>6115</v>
      </c>
      <c r="J44" s="28">
        <f t="shared" si="6"/>
        <v>7923</v>
      </c>
      <c r="K44" s="28">
        <f t="shared" si="6"/>
        <v>6379</v>
      </c>
      <c r="L44" s="28">
        <f t="shared" si="6"/>
        <v>6227</v>
      </c>
      <c r="M44" s="28">
        <f t="shared" si="6"/>
        <v>10492</v>
      </c>
      <c r="N44" s="30">
        <f t="shared" si="6"/>
        <v>18287.6978723799</v>
      </c>
      <c r="O44" s="30">
        <f t="shared" si="6"/>
        <v>32115.899003046976</v>
      </c>
      <c r="P44" s="30">
        <f t="shared" si="6"/>
        <v>42202.64729622598</v>
      </c>
      <c r="Q44" s="30">
        <f t="shared" si="6"/>
        <v>53358.351717231657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502</v>
      </c>
      <c r="B45" s="1" t="s">
        <v>48</v>
      </c>
      <c r="C45" s="19">
        <f>IFERROR(C44/'Annual P&amp;L'!C7,"")</f>
        <v>7.432901215081536E-2</v>
      </c>
      <c r="D45" s="19">
        <f>IFERROR(D44/'Annual P&amp;L'!D7,"")</f>
        <v>0.16855215731058848</v>
      </c>
      <c r="E45" s="19">
        <f>IFERROR(E44/'Annual P&amp;L'!E7,"")</f>
        <v>0.1278331216152972</v>
      </c>
      <c r="F45" s="19">
        <f>IFERROR(F44/'Annual P&amp;L'!F7,"")</f>
        <v>0.12314346335890322</v>
      </c>
      <c r="G45" s="19">
        <f>IFERROR(G44/'Annual P&amp;L'!G7,"")</f>
        <v>7.0962499103707069E-2</v>
      </c>
      <c r="H45" s="19">
        <f>IFERROR(H44/'Annual P&amp;L'!H7,"")</f>
        <v>0.16348545938062967</v>
      </c>
      <c r="I45" s="19">
        <f>IFERROR(I44/'Annual P&amp;L'!I7,"")</f>
        <v>9.5071517412935319E-2</v>
      </c>
      <c r="J45" s="19">
        <f>IFERROR(J44/'Annual P&amp;L'!J7,"")</f>
        <v>9.8857085818381457E-2</v>
      </c>
      <c r="K45" s="19">
        <f>IFERROR(K44/'Annual P&amp;L'!K7,"")</f>
        <v>6.9495587754657376E-2</v>
      </c>
      <c r="L45" s="19">
        <f>IFERROR(L44/'Annual P&amp;L'!L7,"")</f>
        <v>5.1576619482660083E-2</v>
      </c>
      <c r="M45" s="19">
        <f>IFERROR(M44/'Annual P&amp;L'!M7,"")</f>
        <v>6.3965078919933915E-2</v>
      </c>
      <c r="N45" s="24">
        <f>N44/'Annual P&amp;L'!N7</f>
        <v>8.0025362570369768E-2</v>
      </c>
      <c r="O45" s="24">
        <f>O44/'Annual P&amp;L'!O7</f>
        <v>0.10929873574360043</v>
      </c>
      <c r="P45" s="24">
        <f>P44/'Annual P&amp;L'!P7</f>
        <v>0.11417968049473132</v>
      </c>
      <c r="Q45" s="24">
        <f>Q44/'Annual P&amp;L'!Q7</f>
        <v>0.11673194929001418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  <c r="O48" s="53"/>
      <c r="P48" s="53"/>
      <c r="Q48" s="5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260"/>
  <sheetViews>
    <sheetView showGridLines="0" workbookViewId="0"/>
  </sheetViews>
  <sheetFormatPr defaultRowHeight="13.8"/>
  <cols>
    <col min="1" max="1" width="45" customWidth="1"/>
    <col min="2" max="2" width="12" customWidth="1"/>
    <col min="3" max="6" width="13" customWidth="1"/>
    <col min="7" max="7" width="55" customWidth="1"/>
  </cols>
  <sheetData>
    <row r="1" spans="1:47" ht="25.95" customHeight="1">
      <c r="A1" s="58" t="s">
        <v>503</v>
      </c>
      <c r="B1" s="58"/>
      <c r="C1" s="58"/>
      <c r="D1" s="58"/>
      <c r="E1" s="58"/>
      <c r="F1" s="58"/>
      <c r="G1" s="5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504</v>
      </c>
      <c r="B2" s="59"/>
      <c r="C2" s="59"/>
      <c r="D2" s="59"/>
      <c r="E2" s="59"/>
      <c r="F2" s="59"/>
      <c r="G2" s="5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505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 t="s">
        <v>506</v>
      </c>
      <c r="B6" s="1" t="s">
        <v>49</v>
      </c>
      <c r="C6" s="11">
        <v>100.7</v>
      </c>
      <c r="D6" s="1"/>
      <c r="E6" s="1"/>
      <c r="F6" s="1"/>
      <c r="G6" s="1" t="s">
        <v>507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161</v>
      </c>
      <c r="B7" s="1" t="s">
        <v>49</v>
      </c>
      <c r="C7" s="21">
        <f>Assumptions!C17</f>
        <v>50.35</v>
      </c>
      <c r="D7" s="21">
        <f>C8/12</f>
        <v>48.461874999999999</v>
      </c>
      <c r="E7" s="21">
        <f>D8/12</f>
        <v>53.308062500000005</v>
      </c>
      <c r="F7" s="21">
        <f>E8/12</f>
        <v>58.638868750000007</v>
      </c>
      <c r="G7" s="1" t="s">
        <v>507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508</v>
      </c>
      <c r="B8" s="1" t="s">
        <v>49</v>
      </c>
      <c r="C8" s="21">
        <f>C7*11*(1+Assumptions!C18)</f>
        <v>581.54250000000002</v>
      </c>
      <c r="D8" s="21">
        <f>C8*(1+Assumptions!D18)</f>
        <v>639.69675000000007</v>
      </c>
      <c r="E8" s="21">
        <f>D8*(1+Assumptions!E18)</f>
        <v>703.66642500000012</v>
      </c>
      <c r="F8" s="21">
        <f>E8*(1+Assumptions!F18)</f>
        <v>766.99640325000018</v>
      </c>
      <c r="G8" s="1" t="s">
        <v>507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509</v>
      </c>
      <c r="B9" s="1" t="s">
        <v>46</v>
      </c>
      <c r="C9" s="11">
        <v>114488</v>
      </c>
      <c r="D9" s="1"/>
      <c r="E9" s="1"/>
      <c r="F9" s="1"/>
      <c r="G9" s="1" t="s">
        <v>507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510</v>
      </c>
      <c r="B10" s="1" t="s">
        <v>46</v>
      </c>
      <c r="C10" s="11">
        <v>25327</v>
      </c>
      <c r="D10" s="1"/>
      <c r="E10" s="1"/>
      <c r="F10" s="1"/>
      <c r="G10" s="1" t="s">
        <v>507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511</v>
      </c>
      <c r="B11" s="1" t="s">
        <v>46</v>
      </c>
      <c r="C11" s="11">
        <v>139815</v>
      </c>
      <c r="D11" s="1"/>
      <c r="E11" s="1"/>
      <c r="F11" s="1"/>
      <c r="G11" s="1" t="s">
        <v>507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512</v>
      </c>
      <c r="B12" s="1" t="s">
        <v>46</v>
      </c>
      <c r="C12" s="11">
        <v>45026</v>
      </c>
      <c r="D12" s="1"/>
      <c r="E12" s="1"/>
      <c r="F12" s="1"/>
      <c r="G12" s="1" t="s">
        <v>507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513</v>
      </c>
      <c r="B13" s="1" t="s">
        <v>46</v>
      </c>
      <c r="C13" s="11">
        <v>11257</v>
      </c>
      <c r="D13" s="1"/>
      <c r="E13" s="1"/>
      <c r="F13" s="1"/>
      <c r="G13" s="1" t="s">
        <v>507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514</v>
      </c>
      <c r="B14" s="1" t="s">
        <v>46</v>
      </c>
      <c r="C14" s="11">
        <v>120890</v>
      </c>
      <c r="D14" s="1"/>
      <c r="E14" s="1"/>
      <c r="F14" s="1"/>
      <c r="G14" s="1" t="s">
        <v>507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515</v>
      </c>
      <c r="B15" s="1" t="s">
        <v>49</v>
      </c>
      <c r="C15" s="11">
        <v>550</v>
      </c>
      <c r="D15" s="1"/>
      <c r="E15" s="1"/>
      <c r="F15" s="1"/>
      <c r="G15" s="1" t="s">
        <v>507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516</v>
      </c>
      <c r="B16" s="1" t="s">
        <v>49</v>
      </c>
      <c r="C16" s="15">
        <v>60</v>
      </c>
      <c r="D16" s="15">
        <v>220</v>
      </c>
      <c r="E16" s="15">
        <v>270</v>
      </c>
      <c r="F16" s="15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517</v>
      </c>
      <c r="B17" s="1" t="s">
        <v>49</v>
      </c>
      <c r="C17" s="21">
        <f>C15-C16</f>
        <v>490</v>
      </c>
      <c r="D17" s="21">
        <f>C17-D16</f>
        <v>270</v>
      </c>
      <c r="E17" s="21">
        <f>D17-E16</f>
        <v>0</v>
      </c>
      <c r="F17" s="21">
        <f>E17-F16</f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518</v>
      </c>
      <c r="B18" s="1" t="s">
        <v>49</v>
      </c>
      <c r="C18" s="15">
        <v>23.6</v>
      </c>
      <c r="D18" s="15">
        <v>19.100000000000001</v>
      </c>
      <c r="E18" s="15">
        <v>7.7</v>
      </c>
      <c r="F18" s="15">
        <v>0.5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165</v>
      </c>
      <c r="B19" s="1" t="s">
        <v>166</v>
      </c>
      <c r="C19" s="22">
        <f>Assumptions!C19</f>
        <v>94</v>
      </c>
      <c r="D19" s="22">
        <f>Assumptions!D19</f>
        <v>95</v>
      </c>
      <c r="E19" s="22">
        <f>Assumptions!E19</f>
        <v>96</v>
      </c>
      <c r="F19" s="22">
        <f>Assumptions!F19</f>
        <v>97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516</v>
      </c>
      <c r="B20" s="1" t="s">
        <v>46</v>
      </c>
      <c r="C20" s="18">
        <f>C16*C19</f>
        <v>5640</v>
      </c>
      <c r="D20" s="18">
        <f>D16*D19</f>
        <v>20900</v>
      </c>
      <c r="E20" s="18">
        <f>E16*E19</f>
        <v>25920</v>
      </c>
      <c r="F20" s="18">
        <f>F16*F19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517</v>
      </c>
      <c r="B21" s="1" t="s">
        <v>46</v>
      </c>
      <c r="C21" s="18">
        <f>C17*C19</f>
        <v>46060</v>
      </c>
      <c r="D21" s="18">
        <f>D17*D19</f>
        <v>25650</v>
      </c>
      <c r="E21" s="18">
        <f>E17*E19</f>
        <v>0</v>
      </c>
      <c r="F21" s="18">
        <f>F17*F19</f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519</v>
      </c>
      <c r="B22" s="1" t="s">
        <v>46</v>
      </c>
      <c r="C22" s="18">
        <f>C18*C19</f>
        <v>2218.4</v>
      </c>
      <c r="D22" s="18">
        <f>D18*D19</f>
        <v>1814.5000000000002</v>
      </c>
      <c r="E22" s="18">
        <f>E18*E19</f>
        <v>739.2</v>
      </c>
      <c r="F22" s="18">
        <f>F18*F19</f>
        <v>48.5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520</v>
      </c>
      <c r="B23" s="1" t="s">
        <v>46</v>
      </c>
      <c r="C23" s="11">
        <v>15467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521</v>
      </c>
      <c r="B24" s="1" t="s">
        <v>46</v>
      </c>
      <c r="C24" s="11">
        <v>163729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522</v>
      </c>
      <c r="B25" s="1" t="s">
        <v>46</v>
      </c>
      <c r="C25" s="11">
        <v>56869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523</v>
      </c>
      <c r="B26" s="1" t="s">
        <v>46</v>
      </c>
      <c r="C26" s="11">
        <v>13883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524</v>
      </c>
      <c r="B27" s="1" t="s">
        <v>46</v>
      </c>
      <c r="C27" s="11">
        <v>4030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525</v>
      </c>
      <c r="B28" s="1" t="s">
        <v>46</v>
      </c>
      <c r="C28" s="11">
        <v>40979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526</v>
      </c>
      <c r="B29" s="1" t="s">
        <v>46</v>
      </c>
      <c r="C29" s="11">
        <v>20969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527</v>
      </c>
      <c r="B30" s="1" t="s">
        <v>46</v>
      </c>
      <c r="C30" s="11">
        <v>5554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528</v>
      </c>
      <c r="B31" s="1" t="s">
        <v>46</v>
      </c>
      <c r="C31" s="11">
        <v>8394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529</v>
      </c>
      <c r="B32" s="1" t="s">
        <v>46</v>
      </c>
      <c r="C32" s="11">
        <v>5531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530</v>
      </c>
      <c r="B33" s="1" t="s">
        <v>46</v>
      </c>
      <c r="C33" s="11">
        <v>335405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531</v>
      </c>
      <c r="B34" s="1" t="s">
        <v>46</v>
      </c>
      <c r="C34" s="11">
        <v>885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532</v>
      </c>
      <c r="B35" s="1" t="s">
        <v>46</v>
      </c>
      <c r="C35" s="11">
        <v>216306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533</v>
      </c>
      <c r="B36" s="1" t="s">
        <v>46</v>
      </c>
      <c r="C36" s="11">
        <v>1575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534</v>
      </c>
      <c r="B37" s="1" t="s">
        <v>46</v>
      </c>
      <c r="C37" s="11">
        <v>53803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535</v>
      </c>
      <c r="B38" s="1" t="s">
        <v>46</v>
      </c>
      <c r="C38" s="11">
        <v>5191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536</v>
      </c>
      <c r="B39" s="1" t="s">
        <v>46</v>
      </c>
      <c r="C39" s="11">
        <v>9627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537</v>
      </c>
      <c r="B40" s="1" t="s">
        <v>46</v>
      </c>
      <c r="C40" s="11">
        <v>2518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538</v>
      </c>
      <c r="B41" s="1" t="s">
        <v>46</v>
      </c>
      <c r="C41" s="11">
        <v>3967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539</v>
      </c>
      <c r="B42" s="1" t="s">
        <v>46</v>
      </c>
      <c r="C42" s="11">
        <v>6292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540</v>
      </c>
      <c r="B43" s="1" t="s">
        <v>46</v>
      </c>
      <c r="C43" s="11">
        <v>35241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541</v>
      </c>
      <c r="B44" s="1" t="s">
        <v>46</v>
      </c>
      <c r="C44" s="11">
        <v>335405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542</v>
      </c>
      <c r="B45" s="1" t="s">
        <v>46</v>
      </c>
      <c r="C45" s="18">
        <f>C33-C44</f>
        <v>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G1"/>
    <mergeCell ref="A2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8" t="s">
        <v>543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544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545</v>
      </c>
      <c r="B7" s="1" t="s">
        <v>49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3">
        <f>M33</f>
        <v>1870</v>
      </c>
      <c r="O7" s="23">
        <f>N33</f>
        <v>2431.103979</v>
      </c>
      <c r="P7" s="23">
        <f>O33</f>
        <v>3093.0101109491516</v>
      </c>
      <c r="Q7" s="23">
        <f>P33</f>
        <v>3850.1676255432558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139</v>
      </c>
      <c r="B8" s="1" t="s">
        <v>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4">
        <f>Assumptions!C6</f>
        <v>0.95499999999999996</v>
      </c>
      <c r="O8" s="24">
        <f>Assumptions!D6</f>
        <v>0.95699999999999996</v>
      </c>
      <c r="P8" s="24">
        <f>Assumptions!E6</f>
        <v>0.96</v>
      </c>
      <c r="Q8" s="24">
        <f>Assumptions!F6</f>
        <v>0.96199999999999997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546</v>
      </c>
      <c r="B9" s="1" t="s">
        <v>49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3">
        <f>N7*N8</f>
        <v>1785.85</v>
      </c>
      <c r="O9" s="23">
        <f>O7*O8</f>
        <v>2326.566507903</v>
      </c>
      <c r="P9" s="23">
        <f>P7*P8</f>
        <v>2969.2897065111856</v>
      </c>
      <c r="Q9" s="23">
        <f>Q7*Q8</f>
        <v>3703.8612557726119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50</v>
      </c>
      <c r="B10" s="1" t="s">
        <v>49</v>
      </c>
      <c r="C10" s="21">
        <f>'Raw Operating'!C10</f>
        <v>301</v>
      </c>
      <c r="D10" s="21">
        <f>'Raw Operating'!D10</f>
        <v>320</v>
      </c>
      <c r="E10" s="21">
        <f>'Raw Operating'!E10</f>
        <v>339</v>
      </c>
      <c r="F10" s="21">
        <f>'Raw Operating'!F10</f>
        <v>390</v>
      </c>
      <c r="G10" s="21">
        <f>'Raw Operating'!G10</f>
        <v>468</v>
      </c>
      <c r="H10" s="21">
        <f>'Raw Operating'!H10</f>
        <v>520</v>
      </c>
      <c r="I10" s="21">
        <f>'Raw Operating'!I10</f>
        <v>720</v>
      </c>
      <c r="J10" s="21">
        <f>'Raw Operating'!J10</f>
        <v>869</v>
      </c>
      <c r="K10" s="21">
        <f>'Raw Operating'!K10</f>
        <v>1019</v>
      </c>
      <c r="L10" s="21">
        <f>'Raw Operating'!L10</f>
        <v>1505</v>
      </c>
      <c r="M10" s="21">
        <f>'Raw Operating'!M10</f>
        <v>1752</v>
      </c>
      <c r="N10" s="23">
        <f>'Acquisition &amp; Debt'!C17+'Raw Operating'!M10</f>
        <v>2242</v>
      </c>
      <c r="O10" s="23">
        <f>N10*(1+Assumptions!D7)</f>
        <v>2466.2000000000003</v>
      </c>
      <c r="P10" s="23">
        <f>O10*(1+Assumptions!E7)</f>
        <v>2688.1580000000004</v>
      </c>
      <c r="Q10" s="23">
        <f>P10*(1+Assumptions!F7)</f>
        <v>2903.2106400000007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141</v>
      </c>
      <c r="B11" s="1" t="s">
        <v>48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4">
        <f>Assumptions!C7</f>
        <v>0.12</v>
      </c>
      <c r="O11" s="24">
        <f>Assumptions!D7</f>
        <v>0.1</v>
      </c>
      <c r="P11" s="24">
        <f>Assumptions!E7</f>
        <v>0.09</v>
      </c>
      <c r="Q11" s="24">
        <f>Assumptions!F7</f>
        <v>0.08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547</v>
      </c>
      <c r="B12" s="1" t="s">
        <v>49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3">
        <f>N10-M10</f>
        <v>490</v>
      </c>
      <c r="O12" s="23">
        <f>O10-N10</f>
        <v>224.20000000000027</v>
      </c>
      <c r="P12" s="23">
        <f>P10-O10</f>
        <v>221.95800000000008</v>
      </c>
      <c r="Q12" s="23">
        <f>Q10-P10</f>
        <v>215.05264000000034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548</v>
      </c>
      <c r="B13" s="1" t="s">
        <v>48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4">
        <f>Assumptions!C8</f>
        <v>0.04</v>
      </c>
      <c r="O13" s="24">
        <f>Assumptions!D8</f>
        <v>4.2000000000000003E-2</v>
      </c>
      <c r="P13" s="24">
        <f>Assumptions!E8</f>
        <v>4.3999999999999997E-2</v>
      </c>
      <c r="Q13" s="24">
        <f>Assumptions!F8</f>
        <v>4.4999999999999998E-2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549</v>
      </c>
      <c r="B14" s="1" t="s">
        <v>49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3">
        <f>N12*N13</f>
        <v>19.600000000000001</v>
      </c>
      <c r="O14" s="23">
        <f>O12*O13</f>
        <v>9.4164000000000119</v>
      </c>
      <c r="P14" s="23">
        <f>P12*P13</f>
        <v>9.7661520000000035</v>
      </c>
      <c r="Q14" s="23">
        <f>Q12*Q13</f>
        <v>9.6773688000000142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51</v>
      </c>
      <c r="B15" s="1" t="s">
        <v>49</v>
      </c>
      <c r="C15" s="21">
        <f>'Raw Operating'!C9</f>
        <v>420</v>
      </c>
      <c r="D15" s="21">
        <f>'Raw Operating'!D9</f>
        <v>457</v>
      </c>
      <c r="E15" s="21">
        <f>'Raw Operating'!E9</f>
        <v>507</v>
      </c>
      <c r="F15" s="21">
        <f>'Raw Operating'!F9</f>
        <v>646</v>
      </c>
      <c r="G15" s="21">
        <f>'Raw Operating'!G9</f>
        <v>748</v>
      </c>
      <c r="H15" s="21">
        <f>'Raw Operating'!H9</f>
        <v>781</v>
      </c>
      <c r="I15" s="21">
        <f>'Raw Operating'!I9</f>
        <v>1151</v>
      </c>
      <c r="J15" s="21">
        <f>'Raw Operating'!J9</f>
        <v>1265</v>
      </c>
      <c r="K15" s="21">
        <f>'Raw Operating'!K9</f>
        <v>1973</v>
      </c>
      <c r="L15" s="21">
        <f>'Raw Operating'!L9</f>
        <v>3456</v>
      </c>
      <c r="M15" s="21">
        <f>'Raw Operating'!M9</f>
        <v>2262</v>
      </c>
      <c r="N15" s="23">
        <f>'Raw Operating'!M9*(1+Assumptions!C9)</f>
        <v>2488.2000000000003</v>
      </c>
      <c r="O15" s="23">
        <f>N15*(1+Assumptions!D9)</f>
        <v>2737.0200000000004</v>
      </c>
      <c r="P15" s="23">
        <f>O15*(1+Assumptions!E9)</f>
        <v>2983.3518000000008</v>
      </c>
      <c r="Q15" s="23">
        <f>P15*(1+Assumptions!F9)</f>
        <v>3222.019944000001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145</v>
      </c>
      <c r="B16" s="1" t="s">
        <v>48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4">
        <f>Assumptions!C9</f>
        <v>0.1</v>
      </c>
      <c r="O16" s="24">
        <f>Assumptions!D9</f>
        <v>0.1</v>
      </c>
      <c r="P16" s="24">
        <f>Assumptions!E9</f>
        <v>0.09</v>
      </c>
      <c r="Q16" s="24">
        <f>Assumptions!F9</f>
        <v>0.08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550</v>
      </c>
      <c r="B17" s="1" t="s">
        <v>49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3">
        <f>N15-M15</f>
        <v>226.20000000000027</v>
      </c>
      <c r="O17" s="23">
        <f>O15-N15</f>
        <v>248.82000000000016</v>
      </c>
      <c r="P17" s="23">
        <f>P15-O15</f>
        <v>246.33180000000038</v>
      </c>
      <c r="Q17" s="23">
        <f>Q15-P15</f>
        <v>238.66814400000021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551</v>
      </c>
      <c r="B18" s="1" t="s">
        <v>48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4">
        <f>Assumptions!C10</f>
        <v>0.06</v>
      </c>
      <c r="O18" s="24">
        <f>Assumptions!D10</f>
        <v>6.2E-2</v>
      </c>
      <c r="P18" s="24">
        <f>Assumptions!E10</f>
        <v>6.5000000000000002E-2</v>
      </c>
      <c r="Q18" s="24">
        <f>Assumptions!F10</f>
        <v>6.7000000000000004E-2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552</v>
      </c>
      <c r="B19" s="1" t="s">
        <v>49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3">
        <f>N17*N18</f>
        <v>13.572000000000015</v>
      </c>
      <c r="O19" s="23">
        <f>O17*O18</f>
        <v>15.426840000000009</v>
      </c>
      <c r="P19" s="23">
        <f>P17*P18</f>
        <v>16.011567000000024</v>
      </c>
      <c r="Q19" s="23">
        <f>Q17*Q18</f>
        <v>15.990765648000016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149</v>
      </c>
      <c r="B20" s="1" t="s">
        <v>48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4">
        <f>Assumptions!C11</f>
        <v>0.01</v>
      </c>
      <c r="O20" s="24">
        <f>Assumptions!D11</f>
        <v>1.4999999999999999E-2</v>
      </c>
      <c r="P20" s="24">
        <f>Assumptions!E11</f>
        <v>1.4999999999999999E-2</v>
      </c>
      <c r="Q20" s="24">
        <f>Assumptions!F11</f>
        <v>1.4999999999999999E-2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553</v>
      </c>
      <c r="B21" s="1" t="s">
        <v>49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3">
        <f>N9*N20</f>
        <v>17.858499999999999</v>
      </c>
      <c r="O21" s="23">
        <f>O9*O20</f>
        <v>34.898497618545001</v>
      </c>
      <c r="P21" s="23">
        <f>P9*P20</f>
        <v>44.539345597667783</v>
      </c>
      <c r="Q21" s="23">
        <f>Q9*Q20</f>
        <v>55.557918836589174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151</v>
      </c>
      <c r="B22" s="1" t="s">
        <v>48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4">
        <f>Assumptions!C12</f>
        <v>0.56999999999999995</v>
      </c>
      <c r="O22" s="24">
        <f>Assumptions!D12</f>
        <v>0.56000000000000005</v>
      </c>
      <c r="P22" s="24">
        <f>Assumptions!E12</f>
        <v>0.55000000000000004</v>
      </c>
      <c r="Q22" s="24">
        <f>Assumptions!F12</f>
        <v>0.54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554</v>
      </c>
      <c r="B23" s="1" t="s">
        <v>48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4">
        <f>Assumptions!C13</f>
        <v>0.01</v>
      </c>
      <c r="O23" s="24">
        <f>Assumptions!D13</f>
        <v>0.01</v>
      </c>
      <c r="P23" s="24">
        <f>Assumptions!E13</f>
        <v>8.0000000000000002E-3</v>
      </c>
      <c r="Q23" s="24">
        <f>Assumptions!F13</f>
        <v>5.0000000000000001E-3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69</v>
      </c>
      <c r="B24" s="1" t="s">
        <v>49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3">
        <f>-N9*N22*N23</f>
        <v>-10.179344999999998</v>
      </c>
      <c r="O24" s="23">
        <f>-O9*O22*O23</f>
        <v>-13.028772444256802</v>
      </c>
      <c r="P24" s="23">
        <f>-P9*P22*P23</f>
        <v>-13.064874708649219</v>
      </c>
      <c r="Q24" s="23">
        <f>-Q9*Q22*Q23</f>
        <v>-10.000425390586052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155</v>
      </c>
      <c r="B25" s="1" t="s">
        <v>48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4">
        <f>Assumptions!C14</f>
        <v>8.0000000000000002E-3</v>
      </c>
      <c r="O25" s="24">
        <f>Assumptions!D14</f>
        <v>0.01</v>
      </c>
      <c r="P25" s="24">
        <f>Assumptions!E14</f>
        <v>1.2E-2</v>
      </c>
      <c r="Q25" s="24">
        <f>Assumptions!F14</f>
        <v>1.2999999999999999E-2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555</v>
      </c>
      <c r="B26" s="1" t="s">
        <v>49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3">
        <f>N9*(1-N22)*N25</f>
        <v>6.1433240000000007</v>
      </c>
      <c r="O26" s="23">
        <f>O9*(1-O22)*O25</f>
        <v>10.236892634773199</v>
      </c>
      <c r="P26" s="23">
        <f>P9*(1-P22)*P25</f>
        <v>16.034164415160401</v>
      </c>
      <c r="Q26" s="23">
        <f>Q9*(1-Q22)*Q25</f>
        <v>22.149090309520219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157</v>
      </c>
      <c r="B27" s="1" t="s">
        <v>48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4">
        <f>Assumptions!C15</f>
        <v>0.02</v>
      </c>
      <c r="O27" s="24">
        <f>Assumptions!D15</f>
        <v>0.03</v>
      </c>
      <c r="P27" s="24">
        <f>Assumptions!E15</f>
        <v>3.5000000000000003E-2</v>
      </c>
      <c r="Q27" s="24">
        <f>Assumptions!F15</f>
        <v>0.04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68</v>
      </c>
      <c r="B28" s="1" t="s">
        <v>49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3">
        <f>N9*N27</f>
        <v>35.716999999999999</v>
      </c>
      <c r="O28" s="23">
        <f>O9*O27</f>
        <v>69.796995237090002</v>
      </c>
      <c r="P28" s="23">
        <f>P9*P27</f>
        <v>103.92513972789151</v>
      </c>
      <c r="Q28" s="23">
        <f>Q9*Q27</f>
        <v>148.15445023090447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556</v>
      </c>
      <c r="B29" s="1" t="s">
        <v>49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3">
        <f>'Acquisition &amp; Debt'!C8</f>
        <v>581.54250000000002</v>
      </c>
      <c r="O29" s="23">
        <f>'Acquisition &amp; Debt'!D8</f>
        <v>639.69675000000007</v>
      </c>
      <c r="P29" s="23">
        <f>'Acquisition &amp; Debt'!E8</f>
        <v>703.66642500000012</v>
      </c>
      <c r="Q29" s="23">
        <f>'Acquisition &amp; Debt'!F8</f>
        <v>766.99640325000018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159</v>
      </c>
      <c r="B30" s="1" t="s">
        <v>49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3">
        <f>-Assumptions!C16</f>
        <v>-19</v>
      </c>
      <c r="O30" s="23">
        <f>-Assumptions!D16</f>
        <v>0</v>
      </c>
      <c r="P30" s="23">
        <f>-Assumptions!E16</f>
        <v>0</v>
      </c>
      <c r="Q30" s="23">
        <f>-Assumptions!F16</f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557</v>
      </c>
      <c r="B31" s="1" t="s">
        <v>49</v>
      </c>
      <c r="C31" s="18">
        <f>'Annual P&amp;L'!C7</f>
        <v>26824.048783999999</v>
      </c>
      <c r="D31" s="18">
        <f>'Annual P&amp;L'!D7</f>
        <v>28021</v>
      </c>
      <c r="E31" s="18">
        <f>'Annual P&amp;L'!E7</f>
        <v>29914</v>
      </c>
      <c r="F31" s="18">
        <f>'Annual P&amp;L'!F7</f>
        <v>36762</v>
      </c>
      <c r="G31" s="18">
        <f>'Annual P&amp;L'!G7</f>
        <v>41839</v>
      </c>
      <c r="H31" s="18">
        <f>'Annual P&amp;L'!H7</f>
        <v>46628</v>
      </c>
      <c r="I31" s="18">
        <f>'Annual P&amp;L'!I7</f>
        <v>64320</v>
      </c>
      <c r="J31" s="18">
        <f>'Annual P&amp;L'!J7</f>
        <v>80146</v>
      </c>
      <c r="K31" s="18">
        <f>'Annual P&amp;L'!K7</f>
        <v>91790</v>
      </c>
      <c r="L31" s="18">
        <f>'Annual P&amp;L'!L7</f>
        <v>120733</v>
      </c>
      <c r="M31" s="18">
        <f>'Annual P&amp;L'!M7</f>
        <v>164027</v>
      </c>
      <c r="N31" s="25">
        <f>N33*N34</f>
        <v>228523.774026</v>
      </c>
      <c r="O31" s="25">
        <f>O33*O34</f>
        <v>293835.96054016938</v>
      </c>
      <c r="P31" s="25">
        <f>P33*P34</f>
        <v>369616.09205215255</v>
      </c>
      <c r="Q31" s="25">
        <f>Q33*Q34</f>
        <v>457101.52226333285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47</v>
      </c>
      <c r="B32" s="1" t="s">
        <v>48</v>
      </c>
      <c r="C32" s="18">
        <f>0</f>
        <v>0</v>
      </c>
      <c r="D32" s="18">
        <f>0</f>
        <v>0</v>
      </c>
      <c r="E32" s="18">
        <f>0</f>
        <v>0</v>
      </c>
      <c r="F32" s="18">
        <f>0</f>
        <v>0</v>
      </c>
      <c r="G32" s="18">
        <f>0</f>
        <v>0</v>
      </c>
      <c r="H32" s="18">
        <f>0</f>
        <v>0</v>
      </c>
      <c r="I32" s="18">
        <f>0</f>
        <v>0</v>
      </c>
      <c r="J32" s="18">
        <f>0</f>
        <v>0</v>
      </c>
      <c r="K32" s="18">
        <f>0</f>
        <v>0</v>
      </c>
      <c r="L32" s="18">
        <f>0</f>
        <v>0</v>
      </c>
      <c r="M32" s="18">
        <f>0</f>
        <v>0</v>
      </c>
      <c r="N32" s="25">
        <f>N31-'Annual P&amp;L'!N7</f>
        <v>0</v>
      </c>
      <c r="O32" s="25">
        <f>O31-'Annual P&amp;L'!O7</f>
        <v>0</v>
      </c>
      <c r="P32" s="25">
        <f>P31-'Annual P&amp;L'!P7</f>
        <v>0</v>
      </c>
      <c r="Q32" s="25">
        <f>Q31-'Annual P&amp;L'!Q7</f>
        <v>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165</v>
      </c>
      <c r="B33" s="1" t="s">
        <v>166</v>
      </c>
      <c r="C33" s="21">
        <f>IFERROR('Raw Operating'!C7,C31/'Raw Operating'!C29)</f>
        <v>0</v>
      </c>
      <c r="D33" s="21">
        <f>IFERROR('Raw Operating'!D7,D31/'Raw Operating'!D29)</f>
        <v>0</v>
      </c>
      <c r="E33" s="21">
        <f>IFERROR('Raw Operating'!E7,E31/'Raw Operating'!E29)</f>
        <v>0</v>
      </c>
      <c r="F33" s="21">
        <f>IFERROR('Raw Operating'!F7,F31/'Raw Operating'!F29)</f>
        <v>0</v>
      </c>
      <c r="G33" s="21">
        <f>IFERROR('Raw Operating'!G7,G31/'Raw Operating'!G29)</f>
        <v>0</v>
      </c>
      <c r="H33" s="21">
        <f>IFERROR('Raw Operating'!H7,H31/'Raw Operating'!H29)</f>
        <v>0</v>
      </c>
      <c r="I33" s="21">
        <f>IFERROR('Raw Operating'!I7,I31/'Raw Operating'!I29)</f>
        <v>866.5</v>
      </c>
      <c r="J33" s="21">
        <f>IFERROR('Raw Operating'!J7,J31/'Raw Operating'!J29)</f>
        <v>1001.7</v>
      </c>
      <c r="K33" s="21">
        <f>IFERROR('Raw Operating'!K7,K31/'Raw Operating'!K29)</f>
        <v>1118.7</v>
      </c>
      <c r="L33" s="21">
        <f>IFERROR('Raw Operating'!L7,L31/'Raw Operating'!L29)</f>
        <v>1448</v>
      </c>
      <c r="M33" s="21">
        <f>IFERROR('Raw Operating'!M7,M31/'Raw Operating'!M29)</f>
        <v>1870</v>
      </c>
      <c r="N33" s="23">
        <f>SUM(N9,N14,N19,N21,N24,N26,N28:N30)</f>
        <v>2431.103979</v>
      </c>
      <c r="O33" s="23">
        <f>SUM(O9,O14,O19,O21,O24,O26,O28:O30)</f>
        <v>3093.0101109491516</v>
      </c>
      <c r="P33" s="23">
        <f>SUM(P9,P14,P19,P21,P24,P26,P28:P30)</f>
        <v>3850.1676255432558</v>
      </c>
      <c r="Q33" s="23">
        <f>SUM(Q9,Q14,Q19,Q21,Q24,Q26,Q28:Q30)</f>
        <v>4712.3868274570395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45</v>
      </c>
      <c r="B34" s="1" t="s">
        <v>46</v>
      </c>
      <c r="C34" s="22" t="str">
        <f t="shared" ref="C34:M34" si="0">IFERROR(C31/C33,"")</f>
        <v/>
      </c>
      <c r="D34" s="22" t="str">
        <f t="shared" si="0"/>
        <v/>
      </c>
      <c r="E34" s="22" t="str">
        <f t="shared" si="0"/>
        <v/>
      </c>
      <c r="F34" s="22" t="str">
        <f t="shared" si="0"/>
        <v/>
      </c>
      <c r="G34" s="22" t="str">
        <f t="shared" si="0"/>
        <v/>
      </c>
      <c r="H34" s="22" t="str">
        <f t="shared" si="0"/>
        <v/>
      </c>
      <c r="I34" s="22">
        <f t="shared" si="0"/>
        <v>74.22965954991345</v>
      </c>
      <c r="J34" s="22">
        <f t="shared" si="0"/>
        <v>80.009983028850954</v>
      </c>
      <c r="K34" s="22">
        <f t="shared" si="0"/>
        <v>82.050594439974972</v>
      </c>
      <c r="L34" s="22">
        <f t="shared" si="0"/>
        <v>83.379143646408835</v>
      </c>
      <c r="M34" s="22">
        <f t="shared" si="0"/>
        <v>87.714973262032089</v>
      </c>
      <c r="N34" s="26">
        <f>Assumptions!C19</f>
        <v>94</v>
      </c>
      <c r="O34" s="26">
        <f>Assumptions!D19</f>
        <v>95</v>
      </c>
      <c r="P34" s="26">
        <f>Assumptions!E19</f>
        <v>96</v>
      </c>
      <c r="Q34" s="26">
        <f>Assumptions!F19</f>
        <v>97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47</v>
      </c>
      <c r="B35" s="1" t="s">
        <v>48</v>
      </c>
      <c r="C35" s="1"/>
      <c r="D35" s="19" t="str">
        <f t="shared" ref="D35:Q35" si="1">IFERROR(D33/C33-1,"")</f>
        <v/>
      </c>
      <c r="E35" s="19" t="str">
        <f t="shared" si="1"/>
        <v/>
      </c>
      <c r="F35" s="19" t="str">
        <f t="shared" si="1"/>
        <v/>
      </c>
      <c r="G35" s="19" t="str">
        <f t="shared" si="1"/>
        <v/>
      </c>
      <c r="H35" s="19" t="str">
        <f t="shared" si="1"/>
        <v/>
      </c>
      <c r="I35" s="19" t="str">
        <f t="shared" si="1"/>
        <v/>
      </c>
      <c r="J35" s="19">
        <f t="shared" si="1"/>
        <v>0.15603000577034054</v>
      </c>
      <c r="K35" s="19">
        <f t="shared" si="1"/>
        <v>0.11680143755615457</v>
      </c>
      <c r="L35" s="19">
        <f t="shared" si="1"/>
        <v>0.29435952444801994</v>
      </c>
      <c r="M35" s="19">
        <f t="shared" si="1"/>
        <v>0.29143646408839774</v>
      </c>
      <c r="N35" s="24">
        <f t="shared" si="1"/>
        <v>0.30005560374331552</v>
      </c>
      <c r="O35" s="24">
        <f t="shared" si="1"/>
        <v>0.2722656610604608</v>
      </c>
      <c r="P35" s="24">
        <f t="shared" si="1"/>
        <v>0.24479632701936294</v>
      </c>
      <c r="Q35" s="24">
        <f t="shared" si="1"/>
        <v>0.22394328916838391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558</v>
      </c>
      <c r="B36" s="1" t="s">
        <v>46</v>
      </c>
      <c r="C36" s="1"/>
      <c r="D36" s="19">
        <f t="shared" ref="D36:Q36" si="2">IFERROR(D31/C31-1,"")</f>
        <v>4.462231729588706E-2</v>
      </c>
      <c r="E36" s="19">
        <f t="shared" si="2"/>
        <v>6.7556475500517577E-2</v>
      </c>
      <c r="F36" s="19">
        <f t="shared" si="2"/>
        <v>0.22892291234873308</v>
      </c>
      <c r="G36" s="19">
        <f t="shared" si="2"/>
        <v>0.13810456449594688</v>
      </c>
      <c r="H36" s="19">
        <f t="shared" si="2"/>
        <v>0.11446258275771415</v>
      </c>
      <c r="I36" s="19">
        <f t="shared" si="2"/>
        <v>0.37942866946898857</v>
      </c>
      <c r="J36" s="19">
        <f t="shared" si="2"/>
        <v>0.24605099502487571</v>
      </c>
      <c r="K36" s="19">
        <f t="shared" si="2"/>
        <v>0.14528485513937062</v>
      </c>
      <c r="L36" s="19">
        <f t="shared" si="2"/>
        <v>0.31531757272033989</v>
      </c>
      <c r="M36" s="19">
        <f t="shared" si="2"/>
        <v>0.35859292819693045</v>
      </c>
      <c r="N36" s="24">
        <f t="shared" si="2"/>
        <v>0.39320827684466586</v>
      </c>
      <c r="O36" s="24">
        <f t="shared" si="2"/>
        <v>0.28580040213557201</v>
      </c>
      <c r="P36" s="24">
        <f t="shared" si="2"/>
        <v>0.25789944625114569</v>
      </c>
      <c r="Q36" s="24">
        <f t="shared" si="2"/>
        <v>0.23669269843055463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8" t="s">
        <v>559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560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8" customHeight="1">
      <c r="A7" s="61" t="s">
        <v>561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2"/>
      <c r="O7" s="62"/>
      <c r="P7" s="62"/>
      <c r="Q7" s="62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407</v>
      </c>
      <c r="B8" s="1" t="s">
        <v>48</v>
      </c>
      <c r="C8" s="19">
        <f>'Raw Operating'!C11</f>
        <v>0.17</v>
      </c>
      <c r="D8" s="19">
        <f>'Raw Operating'!D11</f>
        <v>0.19</v>
      </c>
      <c r="E8" s="19">
        <f>'Raw Operating'!E11</f>
        <v>0.17</v>
      </c>
      <c r="F8" s="19">
        <f>'Raw Operating'!F11</f>
        <v>0.16</v>
      </c>
      <c r="G8" s="19">
        <f>'Raw Operating'!G11</f>
        <v>0.16</v>
      </c>
      <c r="H8" s="19">
        <f>'Raw Operating'!H11</f>
        <v>0.17</v>
      </c>
      <c r="I8" s="19">
        <f>'Raw Operating'!I11</f>
        <v>0.255</v>
      </c>
      <c r="J8" s="19">
        <f>'Raw Operating'!J11</f>
        <v>0.307</v>
      </c>
      <c r="K8" s="19">
        <f>'Raw Operating'!K11</f>
        <v>0.32200000000000001</v>
      </c>
      <c r="L8" s="19">
        <f>'Raw Operating'!L11</f>
        <v>0.30499999999999999</v>
      </c>
      <c r="M8" s="19">
        <f>'Raw Operating'!M11</f>
        <v>0.26500000000000001</v>
      </c>
      <c r="N8" s="24">
        <f>M8</f>
        <v>0.26500000000000001</v>
      </c>
      <c r="O8" s="24">
        <f>N8</f>
        <v>0.26500000000000001</v>
      </c>
      <c r="P8" s="24">
        <f>O8</f>
        <v>0.26500000000000001</v>
      </c>
      <c r="Q8" s="24">
        <f>P8</f>
        <v>0.26500000000000001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562</v>
      </c>
      <c r="B9" s="1" t="s">
        <v>46</v>
      </c>
      <c r="C9" s="18">
        <f>IF(C8="","",C8*'Annual P&amp;L'!C7)</f>
        <v>4560.0882932800005</v>
      </c>
      <c r="D9" s="18">
        <f>IF(D8="","",D8*'Annual P&amp;L'!D7)</f>
        <v>5323.99</v>
      </c>
      <c r="E9" s="18">
        <f>IF(E8="","",E8*'Annual P&amp;L'!E7)</f>
        <v>5085.38</v>
      </c>
      <c r="F9" s="18">
        <f>IF(F8="","",F8*'Annual P&amp;L'!F7)</f>
        <v>5881.92</v>
      </c>
      <c r="G9" s="18">
        <f>IF(G8="","",G8*'Annual P&amp;L'!G7)</f>
        <v>6694.24</v>
      </c>
      <c r="H9" s="18">
        <f>IF(H8="","",H8*'Annual P&amp;L'!H7)</f>
        <v>7926.76</v>
      </c>
      <c r="I9" s="18">
        <f>IF(I8="","",I8*'Annual P&amp;L'!I7)</f>
        <v>16401.599999999999</v>
      </c>
      <c r="J9" s="18">
        <f>IF(J8="","",J8*'Annual P&amp;L'!J7)</f>
        <v>24604.822</v>
      </c>
      <c r="K9" s="18">
        <f>IF(K8="","",K8*'Annual P&amp;L'!K7)</f>
        <v>29556.38</v>
      </c>
      <c r="L9" s="18">
        <f>IF(L8="","",L8*'Annual P&amp;L'!L7)</f>
        <v>36823.565000000002</v>
      </c>
      <c r="M9" s="18">
        <f>IF(M8="","",M8*'Annual P&amp;L'!M7)</f>
        <v>43467.154999999999</v>
      </c>
      <c r="N9" s="25">
        <f>IF(N8="","",N8*'Annual P&amp;L'!N7)</f>
        <v>60558.800116890001</v>
      </c>
      <c r="O9" s="25">
        <f>IF(O8="","",O8*'Annual P&amp;L'!O7)</f>
        <v>77866.52954314489</v>
      </c>
      <c r="P9" s="25">
        <f>IF(P8="","",P8*'Annual P&amp;L'!P7)</f>
        <v>97948.264393820427</v>
      </c>
      <c r="Q9" s="25">
        <f>IF(Q8="","",Q8*'Annual P&amp;L'!Q7)</f>
        <v>121131.90339978322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408</v>
      </c>
      <c r="B10" s="1" t="s">
        <v>48</v>
      </c>
      <c r="C10" s="19">
        <f>'Raw Operating'!C12</f>
        <v>0.21</v>
      </c>
      <c r="D10" s="19">
        <f>'Raw Operating'!D12</f>
        <v>0.23</v>
      </c>
      <c r="E10" s="19">
        <f>'Raw Operating'!E12</f>
        <v>0.26</v>
      </c>
      <c r="F10" s="19">
        <f>'Raw Operating'!F12</f>
        <v>0.28999999999999998</v>
      </c>
      <c r="G10" s="19">
        <f>'Raw Operating'!G12</f>
        <v>0.3</v>
      </c>
      <c r="H10" s="19">
        <f>'Raw Operating'!H12</f>
        <v>0.32</v>
      </c>
      <c r="I10" s="19">
        <f>'Raw Operating'!I12</f>
        <v>0.28300000000000003</v>
      </c>
      <c r="J10" s="19">
        <f>'Raw Operating'!J12</f>
        <v>0.22600000000000001</v>
      </c>
      <c r="K10" s="19">
        <f>'Raw Operating'!K12</f>
        <v>0.222</v>
      </c>
      <c r="L10" s="19">
        <f>'Raw Operating'!L12</f>
        <v>0.185</v>
      </c>
      <c r="M10" s="19">
        <f>'Raw Operating'!M12</f>
        <v>0.15</v>
      </c>
      <c r="N10" s="24">
        <f>M10</f>
        <v>0.15</v>
      </c>
      <c r="O10" s="24">
        <f>N10</f>
        <v>0.15</v>
      </c>
      <c r="P10" s="24">
        <f>O10</f>
        <v>0.15</v>
      </c>
      <c r="Q10" s="24">
        <f>P10</f>
        <v>0.15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563</v>
      </c>
      <c r="B11" s="1" t="s">
        <v>46</v>
      </c>
      <c r="C11" s="18">
        <f>IF(C10="","",C10*'Annual P&amp;L'!C7)</f>
        <v>5633.0502446399996</v>
      </c>
      <c r="D11" s="18">
        <f>IF(D10="","",D10*'Annual P&amp;L'!D7)</f>
        <v>6444.83</v>
      </c>
      <c r="E11" s="18">
        <f>IF(E10="","",E10*'Annual P&amp;L'!E7)</f>
        <v>7777.64</v>
      </c>
      <c r="F11" s="18">
        <f>IF(F10="","",F10*'Annual P&amp;L'!F7)</f>
        <v>10660.98</v>
      </c>
      <c r="G11" s="18">
        <f>IF(G10="","",G10*'Annual P&amp;L'!G7)</f>
        <v>12551.699999999999</v>
      </c>
      <c r="H11" s="18">
        <f>IF(H10="","",H10*'Annual P&amp;L'!H7)</f>
        <v>14920.960000000001</v>
      </c>
      <c r="I11" s="18">
        <f>IF(I10="","",I10*'Annual P&amp;L'!I7)</f>
        <v>18202.560000000001</v>
      </c>
      <c r="J11" s="18">
        <f>IF(J10="","",J10*'Annual P&amp;L'!J7)</f>
        <v>18112.995999999999</v>
      </c>
      <c r="K11" s="18">
        <f>IF(K10="","",K10*'Annual P&amp;L'!K7)</f>
        <v>20377.38</v>
      </c>
      <c r="L11" s="18">
        <f>IF(L10="","",L10*'Annual P&amp;L'!L7)</f>
        <v>22335.605</v>
      </c>
      <c r="M11" s="18">
        <f>IF(M10="","",M10*'Annual P&amp;L'!M7)</f>
        <v>24604.05</v>
      </c>
      <c r="N11" s="25">
        <f>IF(N10="","",N10*'Annual P&amp;L'!N7)</f>
        <v>34278.566103899997</v>
      </c>
      <c r="O11" s="25">
        <f>IF(O10="","",O10*'Annual P&amp;L'!O7)</f>
        <v>44075.394081025406</v>
      </c>
      <c r="P11" s="25">
        <f>IF(P10="","",P10*'Annual P&amp;L'!P7)</f>
        <v>55442.413807822879</v>
      </c>
      <c r="Q11" s="25">
        <f>IF(Q10="","",Q10*'Annual P&amp;L'!Q7)</f>
        <v>68565.228339499925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564</v>
      </c>
      <c r="B12" s="1" t="s">
        <v>48</v>
      </c>
      <c r="C12" s="19">
        <f>'Raw Operating'!C13</f>
        <v>0.35</v>
      </c>
      <c r="D12" s="19">
        <f>'Raw Operating'!D13</f>
        <v>0.32</v>
      </c>
      <c r="E12" s="19">
        <f>'Raw Operating'!E13</f>
        <v>0.27</v>
      </c>
      <c r="F12" s="19">
        <f>'Raw Operating'!F13</f>
        <v>0.27</v>
      </c>
      <c r="G12" s="19">
        <f>'Raw Operating'!G13</f>
        <v>0.28000000000000003</v>
      </c>
      <c r="H12" s="19">
        <f>'Raw Operating'!H13</f>
        <v>0.19</v>
      </c>
      <c r="I12" s="19">
        <f>'Raw Operating'!I13</f>
        <v>0.19</v>
      </c>
      <c r="J12" s="19">
        <f>'Raw Operating'!J13</f>
        <v>0.191</v>
      </c>
      <c r="K12" s="19">
        <f>'Raw Operating'!K13</f>
        <v>0.18</v>
      </c>
      <c r="L12" s="19">
        <f>'Raw Operating'!L13</f>
        <v>0.183</v>
      </c>
      <c r="M12" s="19">
        <f>'Raw Operating'!M13</f>
        <v>0.23</v>
      </c>
      <c r="N12" s="24">
        <f>M12</f>
        <v>0.23</v>
      </c>
      <c r="O12" s="24">
        <f>N12</f>
        <v>0.23</v>
      </c>
      <c r="P12" s="24">
        <f>O12</f>
        <v>0.23</v>
      </c>
      <c r="Q12" s="24">
        <f>P12</f>
        <v>0.23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565</v>
      </c>
      <c r="B13" s="1" t="s">
        <v>46</v>
      </c>
      <c r="C13" s="18">
        <f>IF(C12="","",C12*'Annual P&amp;L'!C7)</f>
        <v>9388.4170743999985</v>
      </c>
      <c r="D13" s="18">
        <f>IF(D12="","",D12*'Annual P&amp;L'!D7)</f>
        <v>8966.7199999999993</v>
      </c>
      <c r="E13" s="18">
        <f>IF(E12="","",E12*'Annual P&amp;L'!E7)</f>
        <v>8076.7800000000007</v>
      </c>
      <c r="F13" s="18">
        <f>IF(F12="","",F12*'Annual P&amp;L'!F7)</f>
        <v>9925.74</v>
      </c>
      <c r="G13" s="18">
        <f>IF(G12="","",G12*'Annual P&amp;L'!G7)</f>
        <v>11714.920000000002</v>
      </c>
      <c r="H13" s="18">
        <f>IF(H12="","",H12*'Annual P&amp;L'!H7)</f>
        <v>8859.32</v>
      </c>
      <c r="I13" s="18">
        <f>IF(I12="","",I12*'Annual P&amp;L'!I7)</f>
        <v>12220.8</v>
      </c>
      <c r="J13" s="18">
        <f>IF(J12="","",J12*'Annual P&amp;L'!J7)</f>
        <v>15307.886</v>
      </c>
      <c r="K13" s="18">
        <f>IF(K12="","",K12*'Annual P&amp;L'!K7)</f>
        <v>16522.2</v>
      </c>
      <c r="L13" s="18">
        <f>IF(L12="","",L12*'Annual P&amp;L'!L7)</f>
        <v>22094.138999999999</v>
      </c>
      <c r="M13" s="18">
        <f>IF(M12="","",M12*'Annual P&amp;L'!M7)</f>
        <v>37726.21</v>
      </c>
      <c r="N13" s="25">
        <f>IF(N12="","",N12*'Annual P&amp;L'!N7)</f>
        <v>52560.468025980001</v>
      </c>
      <c r="O13" s="25">
        <f>IF(O12="","",O12*'Annual P&amp;L'!O7)</f>
        <v>67582.270924238968</v>
      </c>
      <c r="P13" s="25">
        <f>IF(P12="","",P12*'Annual P&amp;L'!P7)</f>
        <v>85011.701171995097</v>
      </c>
      <c r="Q13" s="25">
        <f>IF(Q12="","",Q12*'Annual P&amp;L'!Q7)</f>
        <v>105133.35012056657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411</v>
      </c>
      <c r="B14" s="1" t="s">
        <v>48</v>
      </c>
      <c r="C14" s="19">
        <f>'Raw Operating'!C15</f>
        <v>0</v>
      </c>
      <c r="D14" s="19">
        <f>'Raw Operating'!D15</f>
        <v>0</v>
      </c>
      <c r="E14" s="19">
        <f>'Raw Operating'!E15</f>
        <v>0</v>
      </c>
      <c r="F14" s="19">
        <f>'Raw Operating'!F15</f>
        <v>0</v>
      </c>
      <c r="G14" s="19">
        <f>'Raw Operating'!G15</f>
        <v>0</v>
      </c>
      <c r="H14" s="19">
        <f>'Raw Operating'!H15</f>
        <v>0</v>
      </c>
      <c r="I14" s="19">
        <f>'Raw Operating'!I15</f>
        <v>0</v>
      </c>
      <c r="J14" s="19">
        <f>'Raw Operating'!J15</f>
        <v>0</v>
      </c>
      <c r="K14" s="19">
        <f>'Raw Operating'!K15</f>
        <v>0</v>
      </c>
      <c r="L14" s="19">
        <f>'Raw Operating'!L15</f>
        <v>7.0000000000000007E-2</v>
      </c>
      <c r="M14" s="19">
        <f>'Raw Operating'!M15</f>
        <v>0.10800000000000001</v>
      </c>
      <c r="N14" s="24">
        <f>M14</f>
        <v>0.10800000000000001</v>
      </c>
      <c r="O14" s="24">
        <f>N14</f>
        <v>0.10800000000000001</v>
      </c>
      <c r="P14" s="24">
        <f>O14</f>
        <v>0.10800000000000001</v>
      </c>
      <c r="Q14" s="24">
        <f>P14</f>
        <v>0.10800000000000001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566</v>
      </c>
      <c r="B15" s="1" t="s">
        <v>46</v>
      </c>
      <c r="C15" s="18">
        <f>IF(C14="","",C14*'Annual P&amp;L'!C7)</f>
        <v>0</v>
      </c>
      <c r="D15" s="18">
        <f>IF(D14="","",D14*'Annual P&amp;L'!D7)</f>
        <v>0</v>
      </c>
      <c r="E15" s="18">
        <f>IF(E14="","",E14*'Annual P&amp;L'!E7)</f>
        <v>0</v>
      </c>
      <c r="F15" s="18">
        <f>IF(F14="","",F14*'Annual P&amp;L'!F7)</f>
        <v>0</v>
      </c>
      <c r="G15" s="18">
        <f>IF(G14="","",G14*'Annual P&amp;L'!G7)</f>
        <v>0</v>
      </c>
      <c r="H15" s="18">
        <f>IF(H14="","",H14*'Annual P&amp;L'!H7)</f>
        <v>0</v>
      </c>
      <c r="I15" s="18">
        <f>IF(I14="","",I14*'Annual P&amp;L'!I7)</f>
        <v>0</v>
      </c>
      <c r="J15" s="18">
        <f>IF(J14="","",J14*'Annual P&amp;L'!J7)</f>
        <v>0</v>
      </c>
      <c r="K15" s="18">
        <f>IF(K14="","",K14*'Annual P&amp;L'!K7)</f>
        <v>0</v>
      </c>
      <c r="L15" s="18">
        <f>IF(L14="","",L14*'Annual P&amp;L'!L7)</f>
        <v>8451.3100000000013</v>
      </c>
      <c r="M15" s="18">
        <f>IF(M14="","",M14*'Annual P&amp;L'!M7)</f>
        <v>17714.916000000001</v>
      </c>
      <c r="N15" s="25">
        <f>IF(N14="","",N14*'Annual P&amp;L'!N7)</f>
        <v>24680.567594808002</v>
      </c>
      <c r="O15" s="25">
        <f>IF(O14="","",O14*'Annual P&amp;L'!O7)</f>
        <v>31734.283738338298</v>
      </c>
      <c r="P15" s="25">
        <f>IF(P14="","",P14*'Annual P&amp;L'!P7)</f>
        <v>39918.537941632479</v>
      </c>
      <c r="Q15" s="25">
        <f>IF(Q14="","",Q14*'Annual P&amp;L'!Q7)</f>
        <v>49366.964404439954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567</v>
      </c>
      <c r="B16" s="1" t="s">
        <v>48</v>
      </c>
      <c r="C16" s="19">
        <f>'Raw Operating'!C14</f>
        <v>0.04</v>
      </c>
      <c r="D16" s="19">
        <f>'Raw Operating'!D14</f>
        <v>0.03</v>
      </c>
      <c r="E16" s="19">
        <f>'Raw Operating'!E14</f>
        <v>0.01</v>
      </c>
      <c r="F16" s="19">
        <f>'Raw Operating'!F14</f>
        <v>0</v>
      </c>
      <c r="G16" s="19">
        <f>'Raw Operating'!G14</f>
        <v>0</v>
      </c>
      <c r="H16" s="19">
        <f>'Raw Operating'!H14</f>
        <v>0</v>
      </c>
      <c r="I16" s="19">
        <f>'Raw Operating'!I14</f>
        <v>0</v>
      </c>
      <c r="J16" s="19">
        <f>'Raw Operating'!J14</f>
        <v>0</v>
      </c>
      <c r="K16" s="19">
        <f>'Raw Operating'!K14</f>
        <v>0</v>
      </c>
      <c r="L16" s="19">
        <f>'Raw Operating'!L14</f>
        <v>7.6999999999999999E-2</v>
      </c>
      <c r="M16" s="19">
        <f>'Raw Operating'!M14</f>
        <v>7.0000000000000007E-2</v>
      </c>
      <c r="N16" s="24">
        <f>M16</f>
        <v>7.0000000000000007E-2</v>
      </c>
      <c r="O16" s="24">
        <f>N16</f>
        <v>7.0000000000000007E-2</v>
      </c>
      <c r="P16" s="24">
        <f>O16</f>
        <v>7.0000000000000007E-2</v>
      </c>
      <c r="Q16" s="24">
        <f>P16</f>
        <v>7.0000000000000007E-2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568</v>
      </c>
      <c r="B17" s="1" t="s">
        <v>46</v>
      </c>
      <c r="C17" s="18">
        <f>IF(C16="","",C16*'Annual P&amp;L'!C7)</f>
        <v>1072.9619513600001</v>
      </c>
      <c r="D17" s="18">
        <f>IF(D16="","",D16*'Annual P&amp;L'!D7)</f>
        <v>840.63</v>
      </c>
      <c r="E17" s="18">
        <f>IF(E16="","",E16*'Annual P&amp;L'!E7)</f>
        <v>299.14</v>
      </c>
      <c r="F17" s="18">
        <f>IF(F16="","",F16*'Annual P&amp;L'!F7)</f>
        <v>0</v>
      </c>
      <c r="G17" s="18">
        <f>IF(G16="","",G16*'Annual P&amp;L'!G7)</f>
        <v>0</v>
      </c>
      <c r="H17" s="18">
        <f>IF(H16="","",H16*'Annual P&amp;L'!H7)</f>
        <v>0</v>
      </c>
      <c r="I17" s="18">
        <f>IF(I16="","",I16*'Annual P&amp;L'!I7)</f>
        <v>0</v>
      </c>
      <c r="J17" s="18">
        <f>IF(J16="","",J16*'Annual P&amp;L'!J7)</f>
        <v>0</v>
      </c>
      <c r="K17" s="18">
        <f>IF(K16="","",K16*'Annual P&amp;L'!K7)</f>
        <v>0</v>
      </c>
      <c r="L17" s="18">
        <f>IF(L16="","",L16*'Annual P&amp;L'!L7)</f>
        <v>9296.4410000000007</v>
      </c>
      <c r="M17" s="18">
        <f>IF(M16="","",M16*'Annual P&amp;L'!M7)</f>
        <v>11481.890000000001</v>
      </c>
      <c r="N17" s="25">
        <f>IF(N16="","",N16*'Annual P&amp;L'!N7)</f>
        <v>15996.664181820002</v>
      </c>
      <c r="O17" s="25">
        <f>IF(O16="","",O16*'Annual P&amp;L'!O7)</f>
        <v>20568.517237811859</v>
      </c>
      <c r="P17" s="25">
        <f>IF(P16="","",P16*'Annual P&amp;L'!P7)</f>
        <v>25873.126443650683</v>
      </c>
      <c r="Q17" s="25">
        <f>IF(Q16="","",Q16*'Annual P&amp;L'!Q7)</f>
        <v>31997.106558433301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412</v>
      </c>
      <c r="B18" s="1" t="s">
        <v>48</v>
      </c>
      <c r="C18" s="19">
        <f>'Raw Operating'!C16</f>
        <v>0.08</v>
      </c>
      <c r="D18" s="19">
        <f>'Raw Operating'!D16</f>
        <v>0</v>
      </c>
      <c r="E18" s="19">
        <f>'Raw Operating'!E16</f>
        <v>0</v>
      </c>
      <c r="F18" s="19">
        <f>'Raw Operating'!F16</f>
        <v>0</v>
      </c>
      <c r="G18" s="19">
        <f>'Raw Operating'!G16</f>
        <v>0</v>
      </c>
      <c r="H18" s="19">
        <f>'Raw Operating'!H16</f>
        <v>0</v>
      </c>
      <c r="I18" s="19">
        <f>'Raw Operating'!I16</f>
        <v>0</v>
      </c>
      <c r="J18" s="19">
        <f>'Raw Operating'!J16</f>
        <v>0</v>
      </c>
      <c r="K18" s="19">
        <f>'Raw Operating'!K16</f>
        <v>0</v>
      </c>
      <c r="L18" s="19">
        <f>'Raw Operating'!L16</f>
        <v>0</v>
      </c>
      <c r="M18" s="19">
        <f>'Raw Operating'!M16</f>
        <v>0</v>
      </c>
      <c r="N18" s="24">
        <f>M18</f>
        <v>0</v>
      </c>
      <c r="O18" s="24">
        <f>N18</f>
        <v>0</v>
      </c>
      <c r="P18" s="24">
        <f>O18</f>
        <v>0</v>
      </c>
      <c r="Q18" s="24">
        <f>P18</f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569</v>
      </c>
      <c r="B19" s="1" t="s">
        <v>46</v>
      </c>
      <c r="C19" s="18">
        <f>IF(C18="","",C18*'Annual P&amp;L'!C7)</f>
        <v>2145.9239027200001</v>
      </c>
      <c r="D19" s="18">
        <f>IF(D18="","",D18*'Annual P&amp;L'!D7)</f>
        <v>0</v>
      </c>
      <c r="E19" s="18">
        <f>IF(E18="","",E18*'Annual P&amp;L'!E7)</f>
        <v>0</v>
      </c>
      <c r="F19" s="18">
        <f>IF(F18="","",F18*'Annual P&amp;L'!F7)</f>
        <v>0</v>
      </c>
      <c r="G19" s="18">
        <f>IF(G18="","",G18*'Annual P&amp;L'!G7)</f>
        <v>0</v>
      </c>
      <c r="H19" s="18">
        <f>IF(H18="","",H18*'Annual P&amp;L'!H7)</f>
        <v>0</v>
      </c>
      <c r="I19" s="18">
        <f>IF(I18="","",I18*'Annual P&amp;L'!I7)</f>
        <v>0</v>
      </c>
      <c r="J19" s="18">
        <f>IF(J18="","",J18*'Annual P&amp;L'!J7)</f>
        <v>0</v>
      </c>
      <c r="K19" s="18">
        <f>IF(K18="","",K18*'Annual P&amp;L'!K7)</f>
        <v>0</v>
      </c>
      <c r="L19" s="18">
        <f>IF(L18="","",L18*'Annual P&amp;L'!L7)</f>
        <v>0</v>
      </c>
      <c r="M19" s="18">
        <f>IF(M18="","",M18*'Annual P&amp;L'!M7)</f>
        <v>0</v>
      </c>
      <c r="N19" s="25">
        <f>IF(N18="","",N18*'Annual P&amp;L'!N7)</f>
        <v>0</v>
      </c>
      <c r="O19" s="25">
        <f>IF(O18="","",O18*'Annual P&amp;L'!O7)</f>
        <v>0</v>
      </c>
      <c r="P19" s="25">
        <f>IF(P18="","",P18*'Annual P&amp;L'!P7)</f>
        <v>0</v>
      </c>
      <c r="Q19" s="25">
        <f>IF(Q18="","",Q18*'Annual P&amp;L'!Q7)</f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413</v>
      </c>
      <c r="B20" s="1" t="s">
        <v>48</v>
      </c>
      <c r="C20" s="19">
        <f>'Raw Operating'!C17</f>
        <v>0.15</v>
      </c>
      <c r="D20" s="19">
        <f>'Raw Operating'!D17</f>
        <v>0</v>
      </c>
      <c r="E20" s="19">
        <f>'Raw Operating'!E17</f>
        <v>0</v>
      </c>
      <c r="F20" s="19">
        <f>'Raw Operating'!F17</f>
        <v>0.28000000000000003</v>
      </c>
      <c r="G20" s="19">
        <f>'Raw Operating'!G17</f>
        <v>0.26</v>
      </c>
      <c r="H20" s="19">
        <f>'Raw Operating'!H17</f>
        <v>0.31</v>
      </c>
      <c r="I20" s="19">
        <f>'Raw Operating'!I17</f>
        <v>0</v>
      </c>
      <c r="J20" s="19">
        <f>'Raw Operating'!J17</f>
        <v>0.27500000000000002</v>
      </c>
      <c r="K20" s="19">
        <f>'Raw Operating'!K17</f>
        <v>0.27600000000000002</v>
      </c>
      <c r="L20" s="19">
        <f>'Raw Operating'!L17</f>
        <v>0.17899999999999999</v>
      </c>
      <c r="M20" s="19">
        <f>'Raw Operating'!M17</f>
        <v>0.17699999999999999</v>
      </c>
      <c r="N20" s="24">
        <f>M20</f>
        <v>0.17699999999999999</v>
      </c>
      <c r="O20" s="24">
        <f>N20</f>
        <v>0.17699999999999999</v>
      </c>
      <c r="P20" s="24">
        <f>O20</f>
        <v>0.17699999999999999</v>
      </c>
      <c r="Q20" s="24">
        <f>P20</f>
        <v>0.17699999999999999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570</v>
      </c>
      <c r="B21" s="1" t="s">
        <v>46</v>
      </c>
      <c r="C21" s="18">
        <f>IF(C20="","",C20*'Annual P&amp;L'!C7)</f>
        <v>4023.6073175999995</v>
      </c>
      <c r="D21" s="18">
        <f>IF(D20="","",D20*'Annual P&amp;L'!D7)</f>
        <v>0</v>
      </c>
      <c r="E21" s="18">
        <f>IF(E20="","",E20*'Annual P&amp;L'!E7)</f>
        <v>0</v>
      </c>
      <c r="F21" s="18">
        <f>IF(F20="","",F20*'Annual P&amp;L'!F7)</f>
        <v>10293.36</v>
      </c>
      <c r="G21" s="18">
        <f>IF(G20="","",G20*'Annual P&amp;L'!G7)</f>
        <v>10878.140000000001</v>
      </c>
      <c r="H21" s="18">
        <f>IF(H20="","",H20*'Annual P&amp;L'!H7)</f>
        <v>14454.68</v>
      </c>
      <c r="I21" s="18">
        <f>IF(I20="","",I20*'Annual P&amp;L'!I7)</f>
        <v>0</v>
      </c>
      <c r="J21" s="18">
        <f>IF(J20="","",J20*'Annual P&amp;L'!J7)</f>
        <v>22040.15</v>
      </c>
      <c r="K21" s="18">
        <f>IF(K20="","",K20*'Annual P&amp;L'!K7)</f>
        <v>25334.04</v>
      </c>
      <c r="L21" s="18">
        <f>IF(L20="","",L20*'Annual P&amp;L'!L7)</f>
        <v>21611.206999999999</v>
      </c>
      <c r="M21" s="18">
        <f>IF(M20="","",M20*'Annual P&amp;L'!M7)</f>
        <v>29032.778999999999</v>
      </c>
      <c r="N21" s="25">
        <f>IF(N20="","",N20*'Annual P&amp;L'!N7)</f>
        <v>40448.708002601998</v>
      </c>
      <c r="O21" s="25">
        <f>IF(O20="","",O20*'Annual P&amp;L'!O7)</f>
        <v>52008.965015609981</v>
      </c>
      <c r="P21" s="25">
        <f>IF(P20="","",P20*'Annual P&amp;L'!P7)</f>
        <v>65422.048293230997</v>
      </c>
      <c r="Q21" s="25">
        <f>IF(Q20="","",Q20*'Annual P&amp;L'!Q7)</f>
        <v>80906.969440609915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571</v>
      </c>
      <c r="B22" s="1" t="s">
        <v>48</v>
      </c>
      <c r="C22" s="19">
        <f t="shared" ref="C22:Q22" si="0">IF(COUNT(C8,C10,C12,C14,C16,C18,C20)=0,"",SUM(C8,C10,C12,C14,C16,C18,C20))</f>
        <v>1</v>
      </c>
      <c r="D22" s="19">
        <f t="shared" si="0"/>
        <v>0.77</v>
      </c>
      <c r="E22" s="19">
        <f t="shared" si="0"/>
        <v>0.71000000000000008</v>
      </c>
      <c r="F22" s="19">
        <f t="shared" si="0"/>
        <v>1</v>
      </c>
      <c r="G22" s="19">
        <f t="shared" si="0"/>
        <v>1</v>
      </c>
      <c r="H22" s="19">
        <f t="shared" si="0"/>
        <v>0.99</v>
      </c>
      <c r="I22" s="19">
        <f t="shared" si="0"/>
        <v>0.72799999999999998</v>
      </c>
      <c r="J22" s="19">
        <f t="shared" si="0"/>
        <v>0.999</v>
      </c>
      <c r="K22" s="19">
        <f t="shared" si="0"/>
        <v>1</v>
      </c>
      <c r="L22" s="19">
        <f t="shared" si="0"/>
        <v>0.99900000000000011</v>
      </c>
      <c r="M22" s="19">
        <f t="shared" si="0"/>
        <v>1</v>
      </c>
      <c r="N22" s="24">
        <f t="shared" si="0"/>
        <v>1</v>
      </c>
      <c r="O22" s="24">
        <f t="shared" si="0"/>
        <v>1</v>
      </c>
      <c r="P22" s="24">
        <f t="shared" si="0"/>
        <v>1</v>
      </c>
      <c r="Q22" s="24">
        <f t="shared" si="0"/>
        <v>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572</v>
      </c>
      <c r="B23" s="1" t="s">
        <v>46</v>
      </c>
      <c r="C23" s="18">
        <f t="shared" ref="C23:Q23" si="1">SUM(C9,C11,C13,C15,C17,C19,C21)</f>
        <v>26824.048783999999</v>
      </c>
      <c r="D23" s="18">
        <f t="shared" si="1"/>
        <v>21576.170000000002</v>
      </c>
      <c r="E23" s="18">
        <f t="shared" si="1"/>
        <v>21238.940000000002</v>
      </c>
      <c r="F23" s="18">
        <f t="shared" si="1"/>
        <v>36762</v>
      </c>
      <c r="G23" s="18">
        <f t="shared" si="1"/>
        <v>41839</v>
      </c>
      <c r="H23" s="18">
        <f t="shared" si="1"/>
        <v>46161.72</v>
      </c>
      <c r="I23" s="18">
        <f t="shared" si="1"/>
        <v>46824.960000000006</v>
      </c>
      <c r="J23" s="18">
        <f t="shared" si="1"/>
        <v>80065.853999999992</v>
      </c>
      <c r="K23" s="18">
        <f t="shared" si="1"/>
        <v>91790</v>
      </c>
      <c r="L23" s="18">
        <f t="shared" si="1"/>
        <v>120612.26699999999</v>
      </c>
      <c r="M23" s="18">
        <f t="shared" si="1"/>
        <v>164027.00000000003</v>
      </c>
      <c r="N23" s="25">
        <f t="shared" si="1"/>
        <v>228523.774026</v>
      </c>
      <c r="O23" s="25">
        <f t="shared" si="1"/>
        <v>293835.96054016938</v>
      </c>
      <c r="P23" s="25">
        <f t="shared" si="1"/>
        <v>369616.09205215261</v>
      </c>
      <c r="Q23" s="25">
        <f t="shared" si="1"/>
        <v>457101.52226333291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573</v>
      </c>
      <c r="B24" s="1" t="s">
        <v>46</v>
      </c>
      <c r="C24" s="18">
        <f>'Annual P&amp;L'!C7</f>
        <v>26824.048783999999</v>
      </c>
      <c r="D24" s="18">
        <f>'Annual P&amp;L'!D7</f>
        <v>28021</v>
      </c>
      <c r="E24" s="18">
        <f>'Annual P&amp;L'!E7</f>
        <v>29914</v>
      </c>
      <c r="F24" s="18">
        <f>'Annual P&amp;L'!F7</f>
        <v>36762</v>
      </c>
      <c r="G24" s="18">
        <f>'Annual P&amp;L'!G7</f>
        <v>41839</v>
      </c>
      <c r="H24" s="18">
        <f>'Annual P&amp;L'!H7</f>
        <v>46628</v>
      </c>
      <c r="I24" s="18">
        <f>'Annual P&amp;L'!I7</f>
        <v>64320</v>
      </c>
      <c r="J24" s="18">
        <f>'Annual P&amp;L'!J7</f>
        <v>80146</v>
      </c>
      <c r="K24" s="18">
        <f>'Annual P&amp;L'!K7</f>
        <v>91790</v>
      </c>
      <c r="L24" s="18">
        <f>'Annual P&amp;L'!L7</f>
        <v>120733</v>
      </c>
      <c r="M24" s="18">
        <f>'Annual P&amp;L'!M7</f>
        <v>164027</v>
      </c>
      <c r="N24" s="25">
        <f>'Annual P&amp;L'!N7</f>
        <v>228523.774026</v>
      </c>
      <c r="O24" s="25">
        <f>'Annual P&amp;L'!O7</f>
        <v>293835.96054016938</v>
      </c>
      <c r="P24" s="25">
        <f>'Annual P&amp;L'!P7</f>
        <v>369616.09205215255</v>
      </c>
      <c r="Q24" s="25">
        <f>'Annual P&amp;L'!Q7</f>
        <v>457101.52226333285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574</v>
      </c>
      <c r="B25" s="1" t="s">
        <v>46</v>
      </c>
      <c r="C25" s="18">
        <f t="shared" ref="C25:Q25" si="2">IF(C22="","",C23-C24)</f>
        <v>0</v>
      </c>
      <c r="D25" s="18">
        <f t="shared" si="2"/>
        <v>-6444.8299999999981</v>
      </c>
      <c r="E25" s="18">
        <f t="shared" si="2"/>
        <v>-8675.0599999999977</v>
      </c>
      <c r="F25" s="18">
        <f t="shared" si="2"/>
        <v>0</v>
      </c>
      <c r="G25" s="18">
        <f t="shared" si="2"/>
        <v>0</v>
      </c>
      <c r="H25" s="18">
        <f t="shared" si="2"/>
        <v>-466.27999999999884</v>
      </c>
      <c r="I25" s="18">
        <f t="shared" si="2"/>
        <v>-17495.039999999994</v>
      </c>
      <c r="J25" s="18">
        <f t="shared" si="2"/>
        <v>-80.146000000007916</v>
      </c>
      <c r="K25" s="18">
        <f t="shared" si="2"/>
        <v>0</v>
      </c>
      <c r="L25" s="18">
        <f t="shared" si="2"/>
        <v>-120.73300000000745</v>
      </c>
      <c r="M25" s="18">
        <f t="shared" si="2"/>
        <v>2.9103830456733704E-11</v>
      </c>
      <c r="N25" s="25">
        <f t="shared" si="2"/>
        <v>0</v>
      </c>
      <c r="O25" s="25">
        <f t="shared" si="2"/>
        <v>0</v>
      </c>
      <c r="P25" s="25">
        <f t="shared" si="2"/>
        <v>5.8207660913467407E-11</v>
      </c>
      <c r="Q25" s="25">
        <f t="shared" si="2"/>
        <v>5.8207660913467407E-11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7"/>
      <c r="O26" s="17"/>
      <c r="P26" s="17"/>
      <c r="Q26" s="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  <c r="O27" s="17"/>
      <c r="P27" s="17"/>
      <c r="Q27" s="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8" customHeight="1">
      <c r="A28" s="61" t="s">
        <v>575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2"/>
      <c r="O28" s="62"/>
      <c r="P28" s="62"/>
      <c r="Q28" s="6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424</v>
      </c>
      <c r="B29" s="1" t="s">
        <v>48</v>
      </c>
      <c r="C29" s="19">
        <f>'Raw Operating'!C30</f>
        <v>0</v>
      </c>
      <c r="D29" s="19">
        <f>'Raw Operating'!D30</f>
        <v>0</v>
      </c>
      <c r="E29" s="19">
        <f>'Raw Operating'!E30</f>
        <v>0</v>
      </c>
      <c r="F29" s="19">
        <f>'Raw Operating'!F30</f>
        <v>0</v>
      </c>
      <c r="G29" s="19">
        <f>'Raw Operating'!G30</f>
        <v>0</v>
      </c>
      <c r="H29" s="19">
        <f>'Raw Operating'!H30</f>
        <v>0</v>
      </c>
      <c r="I29" s="19">
        <f>'Raw Operating'!I30</f>
        <v>0</v>
      </c>
      <c r="J29" s="19">
        <f>'Raw Operating'!J30</f>
        <v>0.36299999999999999</v>
      </c>
      <c r="K29" s="19">
        <f>'Raw Operating'!K30</f>
        <v>0.35200000000000004</v>
      </c>
      <c r="L29" s="19">
        <f>'Raw Operating'!L30</f>
        <v>0.41299999999999998</v>
      </c>
      <c r="M29" s="19">
        <f>'Raw Operating'!M30</f>
        <v>0.441</v>
      </c>
      <c r="N29" s="24">
        <f>M29</f>
        <v>0.441</v>
      </c>
      <c r="O29" s="24">
        <f>N29</f>
        <v>0.441</v>
      </c>
      <c r="P29" s="24">
        <f>O29</f>
        <v>0.441</v>
      </c>
      <c r="Q29" s="24">
        <f>P29</f>
        <v>0.441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576</v>
      </c>
      <c r="B30" s="1" t="s">
        <v>46</v>
      </c>
      <c r="C30" s="18">
        <f>IF(C29="","",C29*'Annual P&amp;L'!C7)</f>
        <v>0</v>
      </c>
      <c r="D30" s="18">
        <f>IF(D29="","",D29*'Annual P&amp;L'!D7)</f>
        <v>0</v>
      </c>
      <c r="E30" s="18">
        <f>IF(E29="","",E29*'Annual P&amp;L'!E7)</f>
        <v>0</v>
      </c>
      <c r="F30" s="18">
        <f>IF(F29="","",F29*'Annual P&amp;L'!F7)</f>
        <v>0</v>
      </c>
      <c r="G30" s="18">
        <f>IF(G29="","",G29*'Annual P&amp;L'!G7)</f>
        <v>0</v>
      </c>
      <c r="H30" s="18">
        <f>IF(H29="","",H29*'Annual P&amp;L'!H7)</f>
        <v>0</v>
      </c>
      <c r="I30" s="18">
        <f>IF(I29="","",I29*'Annual P&amp;L'!I7)</f>
        <v>0</v>
      </c>
      <c r="J30" s="18">
        <f>IF(J29="","",J29*'Annual P&amp;L'!J7)</f>
        <v>29092.998</v>
      </c>
      <c r="K30" s="18">
        <f>IF(K29="","",K29*'Annual P&amp;L'!K7)</f>
        <v>32310.080000000002</v>
      </c>
      <c r="L30" s="18">
        <f>IF(L29="","",L29*'Annual P&amp;L'!L7)</f>
        <v>49862.728999999999</v>
      </c>
      <c r="M30" s="18">
        <f>IF(M29="","",M29*'Annual P&amp;L'!M7)</f>
        <v>72335.907000000007</v>
      </c>
      <c r="N30" s="25">
        <f>IF(N29="","",N29*'Annual P&amp;L'!N7)</f>
        <v>100778.984345466</v>
      </c>
      <c r="O30" s="25">
        <f>IF(O29="","",O29*'Annual P&amp;L'!O7)</f>
        <v>129581.65859821469</v>
      </c>
      <c r="P30" s="25">
        <f>IF(P29="","",P29*'Annual P&amp;L'!P7)</f>
        <v>163000.69659499929</v>
      </c>
      <c r="Q30" s="25">
        <f>IF(Q29="","",Q29*'Annual P&amp;L'!Q7)</f>
        <v>201581.77131812979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425</v>
      </c>
      <c r="B31" s="1" t="s">
        <v>48</v>
      </c>
      <c r="C31" s="19">
        <f>'Raw Operating'!C31</f>
        <v>0</v>
      </c>
      <c r="D31" s="19">
        <f>'Raw Operating'!D31</f>
        <v>0</v>
      </c>
      <c r="E31" s="19">
        <f>'Raw Operating'!E31</f>
        <v>0</v>
      </c>
      <c r="F31" s="19">
        <f>'Raw Operating'!F31</f>
        <v>0</v>
      </c>
      <c r="G31" s="19">
        <f>'Raw Operating'!G31</f>
        <v>0</v>
      </c>
      <c r="H31" s="19">
        <f>'Raw Operating'!H31</f>
        <v>0.15</v>
      </c>
      <c r="I31" s="19">
        <f>'Raw Operating'!I31</f>
        <v>0.13800000000000001</v>
      </c>
      <c r="J31" s="19">
        <f>'Raw Operating'!J31</f>
        <v>0.12</v>
      </c>
      <c r="K31" s="19">
        <f>'Raw Operating'!K31</f>
        <v>0.115</v>
      </c>
      <c r="L31" s="19">
        <f>'Raw Operating'!L31</f>
        <v>9.1999999999999998E-2</v>
      </c>
      <c r="M31" s="19">
        <f>'Raw Operating'!M31</f>
        <v>8.199999999999999E-2</v>
      </c>
      <c r="N31" s="24">
        <f>M31</f>
        <v>8.199999999999999E-2</v>
      </c>
      <c r="O31" s="24">
        <f>N31</f>
        <v>8.199999999999999E-2</v>
      </c>
      <c r="P31" s="24">
        <f>O31</f>
        <v>8.199999999999999E-2</v>
      </c>
      <c r="Q31" s="24">
        <f>P31</f>
        <v>8.199999999999999E-2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577</v>
      </c>
      <c r="B32" s="1" t="s">
        <v>46</v>
      </c>
      <c r="C32" s="18">
        <f>IF(C31="","",C31*'Annual P&amp;L'!C7)</f>
        <v>0</v>
      </c>
      <c r="D32" s="18">
        <f>IF(D31="","",D31*'Annual P&amp;L'!D7)</f>
        <v>0</v>
      </c>
      <c r="E32" s="18">
        <f>IF(E31="","",E31*'Annual P&amp;L'!E7)</f>
        <v>0</v>
      </c>
      <c r="F32" s="18">
        <f>IF(F31="","",F31*'Annual P&amp;L'!F7)</f>
        <v>0</v>
      </c>
      <c r="G32" s="18">
        <f>IF(G31="","",G31*'Annual P&amp;L'!G7)</f>
        <v>0</v>
      </c>
      <c r="H32" s="18">
        <f>IF(H31="","",H31*'Annual P&amp;L'!H7)</f>
        <v>6994.2</v>
      </c>
      <c r="I32" s="18">
        <f>IF(I31="","",I31*'Annual P&amp;L'!I7)</f>
        <v>8876.16</v>
      </c>
      <c r="J32" s="18">
        <f>IF(J31="","",J31*'Annual P&amp;L'!J7)</f>
        <v>9617.52</v>
      </c>
      <c r="K32" s="18">
        <f>IF(K31="","",K31*'Annual P&amp;L'!K7)</f>
        <v>10555.85</v>
      </c>
      <c r="L32" s="18">
        <f>IF(L31="","",L31*'Annual P&amp;L'!L7)</f>
        <v>11107.436</v>
      </c>
      <c r="M32" s="18">
        <f>IF(M31="","",M31*'Annual P&amp;L'!M7)</f>
        <v>13450.213999999998</v>
      </c>
      <c r="N32" s="25">
        <f>IF(N31="","",N31*'Annual P&amp;L'!N7)</f>
        <v>18738.949470131996</v>
      </c>
      <c r="O32" s="25">
        <f>IF(O31="","",O31*'Annual P&amp;L'!O7)</f>
        <v>24094.548764293886</v>
      </c>
      <c r="P32" s="25">
        <f>IF(P31="","",P31*'Annual P&amp;L'!P7)</f>
        <v>30308.519548276505</v>
      </c>
      <c r="Q32" s="25">
        <f>IF(Q31="","",Q31*'Annual P&amp;L'!Q7)</f>
        <v>37482.324825593292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426</v>
      </c>
      <c r="B33" s="1" t="s">
        <v>48</v>
      </c>
      <c r="C33" s="19">
        <f>'Raw Operating'!C32</f>
        <v>0</v>
      </c>
      <c r="D33" s="19">
        <f>'Raw Operating'!D32</f>
        <v>0</v>
      </c>
      <c r="E33" s="19">
        <f>'Raw Operating'!E32</f>
        <v>0</v>
      </c>
      <c r="F33" s="19">
        <f>'Raw Operating'!F32</f>
        <v>0</v>
      </c>
      <c r="G33" s="19">
        <f>'Raw Operating'!G32</f>
        <v>0</v>
      </c>
      <c r="H33" s="19">
        <f>'Raw Operating'!H32</f>
        <v>0</v>
      </c>
      <c r="I33" s="19">
        <f>'Raw Operating'!I32</f>
        <v>0.20800000000000002</v>
      </c>
      <c r="J33" s="19">
        <f>'Raw Operating'!J32</f>
        <v>0.23499999999999999</v>
      </c>
      <c r="K33" s="19">
        <f>'Raw Operating'!K32</f>
        <v>0.249</v>
      </c>
      <c r="L33" s="19">
        <f>'Raw Operating'!L32</f>
        <v>0.23499999999999999</v>
      </c>
      <c r="M33" s="19">
        <f>'Raw Operating'!M32</f>
        <v>0.215</v>
      </c>
      <c r="N33" s="24">
        <f>M33</f>
        <v>0.215</v>
      </c>
      <c r="O33" s="24">
        <f>N33</f>
        <v>0.215</v>
      </c>
      <c r="P33" s="24">
        <f>O33</f>
        <v>0.215</v>
      </c>
      <c r="Q33" s="24">
        <f>P33</f>
        <v>0.215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578</v>
      </c>
      <c r="B34" s="1" t="s">
        <v>46</v>
      </c>
      <c r="C34" s="18">
        <f>IF(C33="","",C33*'Annual P&amp;L'!C7)</f>
        <v>0</v>
      </c>
      <c r="D34" s="18">
        <f>IF(D33="","",D33*'Annual P&amp;L'!D7)</f>
        <v>0</v>
      </c>
      <c r="E34" s="18">
        <f>IF(E33="","",E33*'Annual P&amp;L'!E7)</f>
        <v>0</v>
      </c>
      <c r="F34" s="18">
        <f>IF(F33="","",F33*'Annual P&amp;L'!F7)</f>
        <v>0</v>
      </c>
      <c r="G34" s="18">
        <f>IF(G33="","",G33*'Annual P&amp;L'!G7)</f>
        <v>0</v>
      </c>
      <c r="H34" s="18">
        <f>IF(H33="","",H33*'Annual P&amp;L'!H7)</f>
        <v>0</v>
      </c>
      <c r="I34" s="18">
        <f>IF(I33="","",I33*'Annual P&amp;L'!I7)</f>
        <v>13378.560000000001</v>
      </c>
      <c r="J34" s="18">
        <f>IF(J33="","",J33*'Annual P&amp;L'!J7)</f>
        <v>18834.309999999998</v>
      </c>
      <c r="K34" s="18">
        <f>IF(K33="","",K33*'Annual P&amp;L'!K7)</f>
        <v>22855.71</v>
      </c>
      <c r="L34" s="18">
        <f>IF(L33="","",L33*'Annual P&amp;L'!L7)</f>
        <v>28372.254999999997</v>
      </c>
      <c r="M34" s="18">
        <f>IF(M33="","",M33*'Annual P&amp;L'!M7)</f>
        <v>35265.805</v>
      </c>
      <c r="N34" s="25">
        <f>IF(N33="","",N33*'Annual P&amp;L'!N7)</f>
        <v>49132.61141559</v>
      </c>
      <c r="O34" s="25">
        <f>IF(O33="","",O33*'Annual P&amp;L'!O7)</f>
        <v>63174.731516136417</v>
      </c>
      <c r="P34" s="25">
        <f>IF(P33="","",P33*'Annual P&amp;L'!P7)</f>
        <v>79467.459791212794</v>
      </c>
      <c r="Q34" s="25">
        <f>IF(Q33="","",Q33*'Annual P&amp;L'!Q7)</f>
        <v>98276.827286616564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427</v>
      </c>
      <c r="B35" s="1" t="s">
        <v>48</v>
      </c>
      <c r="C35" s="19">
        <f>'Raw Operating'!C33</f>
        <v>0</v>
      </c>
      <c r="D35" s="19">
        <f>'Raw Operating'!D33</f>
        <v>0</v>
      </c>
      <c r="E35" s="19">
        <f>'Raw Operating'!E33</f>
        <v>0</v>
      </c>
      <c r="F35" s="19">
        <f>'Raw Operating'!F33</f>
        <v>0</v>
      </c>
      <c r="G35" s="19">
        <f>'Raw Operating'!G33</f>
        <v>0</v>
      </c>
      <c r="H35" s="19">
        <f>'Raw Operating'!H33</f>
        <v>0</v>
      </c>
      <c r="I35" s="19">
        <f>'Raw Operating'!I33</f>
        <v>0.17899999999999999</v>
      </c>
      <c r="J35" s="19">
        <f>'Raw Operating'!J33</f>
        <v>0.183</v>
      </c>
      <c r="K35" s="19">
        <f>'Raw Operating'!K33</f>
        <v>0.191</v>
      </c>
      <c r="L35" s="19">
        <f>'Raw Operating'!L33</f>
        <v>0.17899999999999999</v>
      </c>
      <c r="M35" s="19">
        <f>'Raw Operating'!M33</f>
        <v>0.184</v>
      </c>
      <c r="N35" s="24">
        <f>M35</f>
        <v>0.184</v>
      </c>
      <c r="O35" s="24">
        <f>N35</f>
        <v>0.184</v>
      </c>
      <c r="P35" s="24">
        <f>O35</f>
        <v>0.184</v>
      </c>
      <c r="Q35" s="24">
        <f>P35</f>
        <v>0.184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579</v>
      </c>
      <c r="B36" s="1" t="s">
        <v>46</v>
      </c>
      <c r="C36" s="18">
        <f>IF(C35="","",C35*'Annual P&amp;L'!C7)</f>
        <v>0</v>
      </c>
      <c r="D36" s="18">
        <f>IF(D35="","",D35*'Annual P&amp;L'!D7)</f>
        <v>0</v>
      </c>
      <c r="E36" s="18">
        <f>IF(E35="","",E35*'Annual P&amp;L'!E7)</f>
        <v>0</v>
      </c>
      <c r="F36" s="18">
        <f>IF(F35="","",F35*'Annual P&amp;L'!F7)</f>
        <v>0</v>
      </c>
      <c r="G36" s="18">
        <f>IF(G35="","",G35*'Annual P&amp;L'!G7)</f>
        <v>0</v>
      </c>
      <c r="H36" s="18">
        <f>IF(H35="","",H35*'Annual P&amp;L'!H7)</f>
        <v>0</v>
      </c>
      <c r="I36" s="18">
        <f>IF(I35="","",I35*'Annual P&amp;L'!I7)</f>
        <v>11513.279999999999</v>
      </c>
      <c r="J36" s="18">
        <f>IF(J35="","",J35*'Annual P&amp;L'!J7)</f>
        <v>14666.717999999999</v>
      </c>
      <c r="K36" s="18">
        <f>IF(K35="","",K35*'Annual P&amp;L'!K7)</f>
        <v>17531.89</v>
      </c>
      <c r="L36" s="18">
        <f>IF(L35="","",L35*'Annual P&amp;L'!L7)</f>
        <v>21611.206999999999</v>
      </c>
      <c r="M36" s="18">
        <f>IF(M35="","",M35*'Annual P&amp;L'!M7)</f>
        <v>30180.968000000001</v>
      </c>
      <c r="N36" s="25">
        <f>IF(N35="","",N35*'Annual P&amp;L'!N7)</f>
        <v>42048.374420783999</v>
      </c>
      <c r="O36" s="25">
        <f>IF(O35="","",O35*'Annual P&amp;L'!O7)</f>
        <v>54065.816739391164</v>
      </c>
      <c r="P36" s="25">
        <f>IF(P35="","",P35*'Annual P&amp;L'!P7)</f>
        <v>68009.360937596066</v>
      </c>
      <c r="Q36" s="25">
        <f>IF(Q35="","",Q35*'Annual P&amp;L'!Q7)</f>
        <v>84106.680096453245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428</v>
      </c>
      <c r="B37" s="1" t="s">
        <v>48</v>
      </c>
      <c r="C37" s="19">
        <f>'Raw Operating'!C34</f>
        <v>0.05</v>
      </c>
      <c r="D37" s="19">
        <f>'Raw Operating'!D34</f>
        <v>0.05</v>
      </c>
      <c r="E37" s="19">
        <f>'Raw Operating'!E34</f>
        <v>0.04</v>
      </c>
      <c r="F37" s="19">
        <f>'Raw Operating'!F34</f>
        <v>0.04</v>
      </c>
      <c r="G37" s="19">
        <f>'Raw Operating'!G34</f>
        <v>0.03</v>
      </c>
      <c r="H37" s="19">
        <f>'Raw Operating'!H34</f>
        <v>0.03</v>
      </c>
      <c r="I37" s="19">
        <f>'Raw Operating'!I34</f>
        <v>0.107</v>
      </c>
      <c r="J37" s="19">
        <f>'Raw Operating'!J34</f>
        <v>9.9000000000000005E-2</v>
      </c>
      <c r="K37" s="19">
        <f>'Raw Operating'!K34</f>
        <v>9.4E-2</v>
      </c>
      <c r="L37" s="19">
        <f>'Raw Operating'!L34</f>
        <v>8.1000000000000003E-2</v>
      </c>
      <c r="M37" s="19">
        <f>'Raw Operating'!M34</f>
        <v>7.9000000000000001E-2</v>
      </c>
      <c r="N37" s="24">
        <f>M37</f>
        <v>7.9000000000000001E-2</v>
      </c>
      <c r="O37" s="24">
        <f>N37</f>
        <v>7.9000000000000001E-2</v>
      </c>
      <c r="P37" s="24">
        <f>O37</f>
        <v>7.9000000000000001E-2</v>
      </c>
      <c r="Q37" s="24">
        <f>P37</f>
        <v>7.9000000000000001E-2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580</v>
      </c>
      <c r="B38" s="1" t="s">
        <v>46</v>
      </c>
      <c r="C38" s="18">
        <f>IF(C37="","",C37*'Annual P&amp;L'!C7)</f>
        <v>1341.2024392000001</v>
      </c>
      <c r="D38" s="18">
        <f>IF(D37="","",D37*'Annual P&amp;L'!D7)</f>
        <v>1401.0500000000002</v>
      </c>
      <c r="E38" s="18">
        <f>IF(E37="","",E37*'Annual P&amp;L'!E7)</f>
        <v>1196.56</v>
      </c>
      <c r="F38" s="18">
        <f>IF(F37="","",F37*'Annual P&amp;L'!F7)</f>
        <v>1470.48</v>
      </c>
      <c r="G38" s="18">
        <f>IF(G37="","",G37*'Annual P&amp;L'!G7)</f>
        <v>1255.1699999999998</v>
      </c>
      <c r="H38" s="18">
        <f>IF(H37="","",H37*'Annual P&amp;L'!H7)</f>
        <v>1398.84</v>
      </c>
      <c r="I38" s="18">
        <f>IF(I37="","",I37*'Annual P&amp;L'!I7)</f>
        <v>6882.24</v>
      </c>
      <c r="J38" s="18">
        <f>IF(J37="","",J37*'Annual P&amp;L'!J7)</f>
        <v>7934.4540000000006</v>
      </c>
      <c r="K38" s="18">
        <f>IF(K37="","",K37*'Annual P&amp;L'!K7)</f>
        <v>8628.26</v>
      </c>
      <c r="L38" s="18">
        <f>IF(L37="","",L37*'Annual P&amp;L'!L7)</f>
        <v>9779.3729999999996</v>
      </c>
      <c r="M38" s="18">
        <f>IF(M37="","",M37*'Annual P&amp;L'!M7)</f>
        <v>12958.133</v>
      </c>
      <c r="N38" s="25">
        <f>IF(N37="","",N37*'Annual P&amp;L'!N7)</f>
        <v>18053.378148053998</v>
      </c>
      <c r="O38" s="25">
        <f>IF(O37="","",O37*'Annual P&amp;L'!O7)</f>
        <v>23213.04088267338</v>
      </c>
      <c r="P38" s="25">
        <f>IF(P37="","",P37*'Annual P&amp;L'!P7)</f>
        <v>29199.671272120053</v>
      </c>
      <c r="Q38" s="25">
        <f>IF(Q37="","",Q37*'Annual P&amp;L'!Q7)</f>
        <v>36111.020258803299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581</v>
      </c>
      <c r="B39" s="1" t="s">
        <v>48</v>
      </c>
      <c r="C39" s="19">
        <f t="shared" ref="C39:Q39" si="3">IF(COUNT(C29,C31,C33,C35,C37)=0,"",SUM(C29,C31,C33,C35,C37))</f>
        <v>0.05</v>
      </c>
      <c r="D39" s="19">
        <f t="shared" si="3"/>
        <v>0.05</v>
      </c>
      <c r="E39" s="19">
        <f t="shared" si="3"/>
        <v>0.04</v>
      </c>
      <c r="F39" s="19">
        <f t="shared" si="3"/>
        <v>0.04</v>
      </c>
      <c r="G39" s="19">
        <f t="shared" si="3"/>
        <v>0.03</v>
      </c>
      <c r="H39" s="19">
        <f t="shared" si="3"/>
        <v>0.18</v>
      </c>
      <c r="I39" s="19">
        <f t="shared" si="3"/>
        <v>0.63200000000000001</v>
      </c>
      <c r="J39" s="19">
        <f t="shared" si="3"/>
        <v>1</v>
      </c>
      <c r="K39" s="19">
        <f t="shared" si="3"/>
        <v>1.0010000000000001</v>
      </c>
      <c r="L39" s="19">
        <f t="shared" si="3"/>
        <v>1</v>
      </c>
      <c r="M39" s="19">
        <f t="shared" si="3"/>
        <v>1.0009999999999999</v>
      </c>
      <c r="N39" s="24">
        <f t="shared" si="3"/>
        <v>1.0009999999999999</v>
      </c>
      <c r="O39" s="24">
        <f t="shared" si="3"/>
        <v>1.0009999999999999</v>
      </c>
      <c r="P39" s="24">
        <f t="shared" si="3"/>
        <v>1.0009999999999999</v>
      </c>
      <c r="Q39" s="24">
        <f t="shared" si="3"/>
        <v>1.0009999999999999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582</v>
      </c>
      <c r="B40" s="1" t="s">
        <v>46</v>
      </c>
      <c r="C40" s="18">
        <f t="shared" ref="C40:Q40" si="4">SUM(C30,C32,C34,C36,C38)</f>
        <v>1341.2024392000001</v>
      </c>
      <c r="D40" s="18">
        <f t="shared" si="4"/>
        <v>1401.0500000000002</v>
      </c>
      <c r="E40" s="18">
        <f t="shared" si="4"/>
        <v>1196.56</v>
      </c>
      <c r="F40" s="18">
        <f t="shared" si="4"/>
        <v>1470.48</v>
      </c>
      <c r="G40" s="18">
        <f t="shared" si="4"/>
        <v>1255.1699999999998</v>
      </c>
      <c r="H40" s="18">
        <f t="shared" si="4"/>
        <v>8393.0399999999991</v>
      </c>
      <c r="I40" s="18">
        <f t="shared" si="4"/>
        <v>40650.239999999998</v>
      </c>
      <c r="J40" s="18">
        <f t="shared" si="4"/>
        <v>80145.999999999985</v>
      </c>
      <c r="K40" s="18">
        <f t="shared" si="4"/>
        <v>91881.79</v>
      </c>
      <c r="L40" s="18">
        <f t="shared" si="4"/>
        <v>120733</v>
      </c>
      <c r="M40" s="18">
        <f t="shared" si="4"/>
        <v>164191.027</v>
      </c>
      <c r="N40" s="25">
        <f t="shared" si="4"/>
        <v>228752.29780002602</v>
      </c>
      <c r="O40" s="25">
        <f t="shared" si="4"/>
        <v>294129.79650070955</v>
      </c>
      <c r="P40" s="25">
        <f t="shared" si="4"/>
        <v>369985.70814420469</v>
      </c>
      <c r="Q40" s="25">
        <f t="shared" si="4"/>
        <v>457558.62378559622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573</v>
      </c>
      <c r="B41" s="1" t="s">
        <v>46</v>
      </c>
      <c r="C41" s="18">
        <f>'Annual P&amp;L'!C7</f>
        <v>26824.048783999999</v>
      </c>
      <c r="D41" s="18">
        <f>'Annual P&amp;L'!D7</f>
        <v>28021</v>
      </c>
      <c r="E41" s="18">
        <f>'Annual P&amp;L'!E7</f>
        <v>29914</v>
      </c>
      <c r="F41" s="18">
        <f>'Annual P&amp;L'!F7</f>
        <v>36762</v>
      </c>
      <c r="G41" s="18">
        <f>'Annual P&amp;L'!G7</f>
        <v>41839</v>
      </c>
      <c r="H41" s="18">
        <f>'Annual P&amp;L'!H7</f>
        <v>46628</v>
      </c>
      <c r="I41" s="18">
        <f>'Annual P&amp;L'!I7</f>
        <v>64320</v>
      </c>
      <c r="J41" s="18">
        <f>'Annual P&amp;L'!J7</f>
        <v>80146</v>
      </c>
      <c r="K41" s="18">
        <f>'Annual P&amp;L'!K7</f>
        <v>91790</v>
      </c>
      <c r="L41" s="18">
        <f>'Annual P&amp;L'!L7</f>
        <v>120733</v>
      </c>
      <c r="M41" s="18">
        <f>'Annual P&amp;L'!M7</f>
        <v>164027</v>
      </c>
      <c r="N41" s="25">
        <f>'Annual P&amp;L'!N7</f>
        <v>228523.774026</v>
      </c>
      <c r="O41" s="25">
        <f>'Annual P&amp;L'!O7</f>
        <v>293835.96054016938</v>
      </c>
      <c r="P41" s="25">
        <f>'Annual P&amp;L'!P7</f>
        <v>369616.09205215255</v>
      </c>
      <c r="Q41" s="25">
        <f>'Annual P&amp;L'!Q7</f>
        <v>457101.52226333285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574</v>
      </c>
      <c r="B42" s="1" t="s">
        <v>46</v>
      </c>
      <c r="C42" s="18">
        <f t="shared" ref="C42:Q42" si="5">IF(C39="","",C40-C41)</f>
        <v>-25482.8463448</v>
      </c>
      <c r="D42" s="18">
        <f t="shared" si="5"/>
        <v>-26619.95</v>
      </c>
      <c r="E42" s="18">
        <f t="shared" si="5"/>
        <v>-28717.439999999999</v>
      </c>
      <c r="F42" s="18">
        <f t="shared" si="5"/>
        <v>-35291.519999999997</v>
      </c>
      <c r="G42" s="18">
        <f t="shared" si="5"/>
        <v>-40583.83</v>
      </c>
      <c r="H42" s="18">
        <f t="shared" si="5"/>
        <v>-38234.959999999999</v>
      </c>
      <c r="I42" s="18">
        <f t="shared" si="5"/>
        <v>-23669.760000000002</v>
      </c>
      <c r="J42" s="18">
        <f t="shared" si="5"/>
        <v>-1.4551915228366852E-11</v>
      </c>
      <c r="K42" s="18">
        <f t="shared" si="5"/>
        <v>91.789999999993597</v>
      </c>
      <c r="L42" s="18">
        <f t="shared" si="5"/>
        <v>0</v>
      </c>
      <c r="M42" s="18">
        <f t="shared" si="5"/>
        <v>164.02700000000186</v>
      </c>
      <c r="N42" s="25">
        <f t="shared" si="5"/>
        <v>228.52377402601996</v>
      </c>
      <c r="O42" s="25">
        <f t="shared" si="5"/>
        <v>293.8359605401638</v>
      </c>
      <c r="P42" s="25">
        <f t="shared" si="5"/>
        <v>369.61609205213608</v>
      </c>
      <c r="Q42" s="25">
        <f t="shared" si="5"/>
        <v>457.10152226337232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583</v>
      </c>
      <c r="B43" s="1" t="s">
        <v>77</v>
      </c>
      <c r="C43" s="63" t="s">
        <v>584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4"/>
      <c r="O43" s="64"/>
      <c r="P43" s="64"/>
      <c r="Q43" s="64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5">
    <mergeCell ref="A1:Q1"/>
    <mergeCell ref="A2:Q2"/>
    <mergeCell ref="A7:Q7"/>
    <mergeCell ref="A28:Q28"/>
    <mergeCell ref="C43:Q4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8" t="s">
        <v>585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586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414</v>
      </c>
      <c r="B7" s="1" t="s">
        <v>48</v>
      </c>
      <c r="C7" s="19">
        <f>'Raw Operating'!C18</f>
        <v>0.46</v>
      </c>
      <c r="D7" s="19">
        <f>'Raw Operating'!D18</f>
        <v>0.48</v>
      </c>
      <c r="E7" s="19">
        <f>'Raw Operating'!E18</f>
        <v>0.49</v>
      </c>
      <c r="F7" s="19">
        <f>'Raw Operating'!F18</f>
        <v>0.49</v>
      </c>
      <c r="G7" s="19">
        <f>'Raw Operating'!G18</f>
        <v>0.48</v>
      </c>
      <c r="H7" s="19">
        <f>'Raw Operating'!H18</f>
        <v>0.48</v>
      </c>
      <c r="I7" s="19">
        <f>'Raw Operating'!I18</f>
        <v>0.51800000000000002</v>
      </c>
      <c r="J7" s="19">
        <f>'Raw Operating'!J18</f>
        <v>0.499</v>
      </c>
      <c r="K7" s="19">
        <f>'Raw Operating'!K18</f>
        <v>0.48299999999999998</v>
      </c>
      <c r="L7" s="19">
        <f>'Raw Operating'!L18</f>
        <v>0.54799999999999993</v>
      </c>
      <c r="M7" s="19">
        <f>'Raw Operating'!M18</f>
        <v>0.56899999999999995</v>
      </c>
      <c r="N7" s="24">
        <f>M7</f>
        <v>0.56899999999999995</v>
      </c>
      <c r="O7" s="24">
        <f>N7</f>
        <v>0.56899999999999995</v>
      </c>
      <c r="P7" s="24">
        <f>O7</f>
        <v>0.56899999999999995</v>
      </c>
      <c r="Q7" s="24">
        <f>P7</f>
        <v>0.56899999999999995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587</v>
      </c>
      <c r="B8" s="1" t="s">
        <v>46</v>
      </c>
      <c r="C8" s="18">
        <f>IF(C7="","",C7*'Annual P&amp;L'!C7)</f>
        <v>12339.06244064</v>
      </c>
      <c r="D8" s="18">
        <f>IF(D7="","",D7*'Annual P&amp;L'!D7)</f>
        <v>13450.08</v>
      </c>
      <c r="E8" s="18">
        <f>IF(E7="","",E7*'Annual P&amp;L'!E7)</f>
        <v>14657.86</v>
      </c>
      <c r="F8" s="18">
        <f>IF(F7="","",F7*'Annual P&amp;L'!F7)</f>
        <v>18013.38</v>
      </c>
      <c r="G8" s="18">
        <f>IF(G7="","",G7*'Annual P&amp;L'!G7)</f>
        <v>20082.719999999998</v>
      </c>
      <c r="H8" s="18">
        <f>IF(H7="","",H7*'Annual P&amp;L'!H7)</f>
        <v>22381.439999999999</v>
      </c>
      <c r="I8" s="18">
        <f>IF(I7="","",I7*'Annual P&amp;L'!I7)</f>
        <v>33317.760000000002</v>
      </c>
      <c r="J8" s="18">
        <f>IF(J7="","",J7*'Annual P&amp;L'!J7)</f>
        <v>39992.853999999999</v>
      </c>
      <c r="K8" s="18">
        <f>IF(K7="","",K7*'Annual P&amp;L'!K7)</f>
        <v>44334.57</v>
      </c>
      <c r="L8" s="18">
        <f>IF(L7="","",L7*'Annual P&amp;L'!L7)</f>
        <v>66161.683999999994</v>
      </c>
      <c r="M8" s="18">
        <f>IF(M7="","",M7*'Annual P&amp;L'!M7)</f>
        <v>93331.362999999998</v>
      </c>
      <c r="N8" s="25">
        <f>IF(N7="","",N7*'Annual P&amp;L'!N7)</f>
        <v>130030.02742079399</v>
      </c>
      <c r="O8" s="25">
        <f>IF(O7="","",O7*'Annual P&amp;L'!O7)</f>
        <v>167192.66154735637</v>
      </c>
      <c r="P8" s="25">
        <f>IF(P7="","",P7*'Annual P&amp;L'!P7)</f>
        <v>210311.55637767477</v>
      </c>
      <c r="Q8" s="25">
        <f>IF(Q7="","",Q7*'Annual P&amp;L'!Q7)</f>
        <v>260090.76616783638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415</v>
      </c>
      <c r="B9" s="1" t="s">
        <v>48</v>
      </c>
      <c r="C9" s="19">
        <f>'Raw Operating'!C19</f>
        <v>0.34</v>
      </c>
      <c r="D9" s="19">
        <f>'Raw Operating'!D19</f>
        <v>0.33</v>
      </c>
      <c r="E9" s="19">
        <f>'Raw Operating'!E19</f>
        <v>0.31</v>
      </c>
      <c r="F9" s="19">
        <f>'Raw Operating'!F19</f>
        <v>0.33</v>
      </c>
      <c r="G9" s="19">
        <f>'Raw Operating'!G19</f>
        <v>0.37</v>
      </c>
      <c r="H9" s="19">
        <f>'Raw Operating'!H19</f>
        <v>0.37</v>
      </c>
      <c r="I9" s="19">
        <f>'Raw Operating'!I19</f>
        <v>0.35399999999999998</v>
      </c>
      <c r="J9" s="19">
        <f>'Raw Operating'!J19</f>
        <v>0.38900000000000001</v>
      </c>
      <c r="K9" s="19">
        <f>'Raw Operating'!K19</f>
        <v>0.39399999999999996</v>
      </c>
      <c r="L9" s="19">
        <f>'Raw Operating'!L19</f>
        <v>0.33700000000000002</v>
      </c>
      <c r="M9" s="19">
        <f>'Raw Operating'!M19</f>
        <v>0.28899999999999998</v>
      </c>
      <c r="N9" s="24">
        <f>M9</f>
        <v>0.28899999999999998</v>
      </c>
      <c r="O9" s="24">
        <f>N9</f>
        <v>0.28899999999999998</v>
      </c>
      <c r="P9" s="24">
        <f>O9</f>
        <v>0.28899999999999998</v>
      </c>
      <c r="Q9" s="24">
        <f>P9</f>
        <v>0.28899999999999998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588</v>
      </c>
      <c r="B10" s="1" t="s">
        <v>46</v>
      </c>
      <c r="C10" s="18">
        <f>IF(C9="","",C9*'Annual P&amp;L'!C7)</f>
        <v>9120.1765865600009</v>
      </c>
      <c r="D10" s="18">
        <f>IF(D9="","",D9*'Annual P&amp;L'!D7)</f>
        <v>9246.93</v>
      </c>
      <c r="E10" s="18">
        <f>IF(E9="","",E9*'Annual P&amp;L'!E7)</f>
        <v>9273.34</v>
      </c>
      <c r="F10" s="18">
        <f>IF(F9="","",F9*'Annual P&amp;L'!F7)</f>
        <v>12131.460000000001</v>
      </c>
      <c r="G10" s="18">
        <f>IF(G9="","",G9*'Annual P&amp;L'!G7)</f>
        <v>15480.43</v>
      </c>
      <c r="H10" s="18">
        <f>IF(H9="","",H9*'Annual P&amp;L'!H7)</f>
        <v>17252.36</v>
      </c>
      <c r="I10" s="18">
        <f>IF(I9="","",I9*'Annual P&amp;L'!I7)</f>
        <v>22769.279999999999</v>
      </c>
      <c r="J10" s="18">
        <f>IF(J9="","",J9*'Annual P&amp;L'!J7)</f>
        <v>31176.794000000002</v>
      </c>
      <c r="K10" s="18">
        <f>IF(K9="","",K9*'Annual P&amp;L'!K7)</f>
        <v>36165.259999999995</v>
      </c>
      <c r="L10" s="18">
        <f>IF(L9="","",L9*'Annual P&amp;L'!L7)</f>
        <v>40687.021000000001</v>
      </c>
      <c r="M10" s="18">
        <f>IF(M9="","",M9*'Annual P&amp;L'!M7)</f>
        <v>47403.803</v>
      </c>
      <c r="N10" s="25">
        <f>IF(N9="","",N9*'Annual P&amp;L'!N7)</f>
        <v>66043.370693513993</v>
      </c>
      <c r="O10" s="25">
        <f>IF(O9="","",O9*'Annual P&amp;L'!O7)</f>
        <v>84918.592596108952</v>
      </c>
      <c r="P10" s="25">
        <f>IF(P9="","",P9*'Annual P&amp;L'!P7)</f>
        <v>106819.05060307209</v>
      </c>
      <c r="Q10" s="25">
        <f>IF(Q9="","",Q9*'Annual P&amp;L'!Q7)</f>
        <v>132102.33993410319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589</v>
      </c>
      <c r="B11" s="1" t="s">
        <v>48</v>
      </c>
      <c r="C11" s="19">
        <f>'Raw Operating'!C20</f>
        <v>0.2</v>
      </c>
      <c r="D11" s="19">
        <f>'Raw Operating'!D20</f>
        <v>0.19</v>
      </c>
      <c r="E11" s="19">
        <f>'Raw Operating'!E20</f>
        <v>0.2</v>
      </c>
      <c r="F11" s="19">
        <f>'Raw Operating'!F20</f>
        <v>0.18</v>
      </c>
      <c r="G11" s="19">
        <f>'Raw Operating'!G20</f>
        <v>0.15</v>
      </c>
      <c r="H11" s="19">
        <f>'Raw Operating'!H20</f>
        <v>0.15</v>
      </c>
      <c r="I11" s="19">
        <f>'Raw Operating'!I20</f>
        <v>0.128</v>
      </c>
      <c r="J11" s="19">
        <f>'Raw Operating'!J20</f>
        <v>0.11199999999999999</v>
      </c>
      <c r="K11" s="19">
        <f>'Raw Operating'!K20</f>
        <v>0.12300000000000001</v>
      </c>
      <c r="L11" s="19">
        <f>'Raw Operating'!L20</f>
        <v>0.115</v>
      </c>
      <c r="M11" s="19">
        <f>'Raw Operating'!M20</f>
        <v>0.14199999999999999</v>
      </c>
      <c r="N11" s="24">
        <f>M11</f>
        <v>0.14199999999999999</v>
      </c>
      <c r="O11" s="24">
        <f>N11</f>
        <v>0.14199999999999999</v>
      </c>
      <c r="P11" s="24">
        <f>O11</f>
        <v>0.14199999999999999</v>
      </c>
      <c r="Q11" s="24">
        <f>P11</f>
        <v>0.14199999999999999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590</v>
      </c>
      <c r="B12" s="1" t="s">
        <v>46</v>
      </c>
      <c r="C12" s="18">
        <f>IF(C11="","",C11*'Annual P&amp;L'!C7)</f>
        <v>5364.8097568000003</v>
      </c>
      <c r="D12" s="18">
        <f>IF(D11="","",D11*'Annual P&amp;L'!D7)</f>
        <v>5323.99</v>
      </c>
      <c r="E12" s="18">
        <f>IF(E11="","",E11*'Annual P&amp;L'!E7)</f>
        <v>5982.8</v>
      </c>
      <c r="F12" s="18">
        <f>IF(F11="","",F11*'Annual P&amp;L'!F7)</f>
        <v>6617.16</v>
      </c>
      <c r="G12" s="18">
        <f>IF(G11="","",G11*'Annual P&amp;L'!G7)</f>
        <v>6275.8499999999995</v>
      </c>
      <c r="H12" s="18">
        <f>IF(H11="","",H11*'Annual P&amp;L'!H7)</f>
        <v>6994.2</v>
      </c>
      <c r="I12" s="18">
        <f>IF(I11="","",I11*'Annual P&amp;L'!I7)</f>
        <v>8232.9600000000009</v>
      </c>
      <c r="J12" s="18">
        <f>IF(J11="","",J11*'Annual P&amp;L'!J7)</f>
        <v>8976.351999999999</v>
      </c>
      <c r="K12" s="18">
        <f>IF(K11="","",K11*'Annual P&amp;L'!K7)</f>
        <v>11290.170000000002</v>
      </c>
      <c r="L12" s="18">
        <f>IF(L11="","",L11*'Annual P&amp;L'!L7)</f>
        <v>13884.295</v>
      </c>
      <c r="M12" s="18">
        <f>IF(M11="","",M11*'Annual P&amp;L'!M7)</f>
        <v>23291.833999999999</v>
      </c>
      <c r="N12" s="25">
        <f>IF(N11="","",N11*'Annual P&amp;L'!N7)</f>
        <v>32450.375911691997</v>
      </c>
      <c r="O12" s="25">
        <f>IF(O11="","",O11*'Annual P&amp;L'!O7)</f>
        <v>41724.706396704052</v>
      </c>
      <c r="P12" s="25">
        <f>IF(P11="","",P11*'Annual P&amp;L'!P7)</f>
        <v>52485.485071405659</v>
      </c>
      <c r="Q12" s="25">
        <f>IF(Q11="","",Q11*'Annual P&amp;L'!Q7)</f>
        <v>64908.416161393259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591</v>
      </c>
      <c r="B13" s="1" t="s">
        <v>48</v>
      </c>
      <c r="C13" s="19">
        <f t="shared" ref="C13:Q13" si="0">IF(COUNT(C7,C9,C11)=0,"",SUM(C7,C9,C11))</f>
        <v>1</v>
      </c>
      <c r="D13" s="19">
        <f t="shared" si="0"/>
        <v>1</v>
      </c>
      <c r="E13" s="19">
        <f t="shared" si="0"/>
        <v>1</v>
      </c>
      <c r="F13" s="19">
        <f t="shared" si="0"/>
        <v>1</v>
      </c>
      <c r="G13" s="19">
        <f t="shared" si="0"/>
        <v>1</v>
      </c>
      <c r="H13" s="19">
        <f t="shared" si="0"/>
        <v>1</v>
      </c>
      <c r="I13" s="19">
        <f t="shared" si="0"/>
        <v>1</v>
      </c>
      <c r="J13" s="19">
        <f t="shared" si="0"/>
        <v>1</v>
      </c>
      <c r="K13" s="19">
        <f t="shared" si="0"/>
        <v>1</v>
      </c>
      <c r="L13" s="19">
        <f t="shared" si="0"/>
        <v>1</v>
      </c>
      <c r="M13" s="19">
        <f t="shared" si="0"/>
        <v>0.99999999999999989</v>
      </c>
      <c r="N13" s="24">
        <f t="shared" si="0"/>
        <v>0.99999999999999989</v>
      </c>
      <c r="O13" s="24">
        <f t="shared" si="0"/>
        <v>0.99999999999999989</v>
      </c>
      <c r="P13" s="24">
        <f t="shared" si="0"/>
        <v>0.99999999999999989</v>
      </c>
      <c r="Q13" s="24">
        <f t="shared" si="0"/>
        <v>0.99999999999999989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417</v>
      </c>
      <c r="B14" s="1" t="s">
        <v>48</v>
      </c>
      <c r="C14" s="19">
        <f>'Raw Operating'!C21</f>
        <v>0.59</v>
      </c>
      <c r="D14" s="19">
        <f>'Raw Operating'!D21</f>
        <v>0.6</v>
      </c>
      <c r="E14" s="19">
        <f>'Raw Operating'!E21</f>
        <v>0.61</v>
      </c>
      <c r="F14" s="19">
        <f>'Raw Operating'!F21</f>
        <v>0.65</v>
      </c>
      <c r="G14" s="19">
        <f>'Raw Operating'!G21</f>
        <v>0.64</v>
      </c>
      <c r="H14" s="19">
        <f>'Raw Operating'!H21</f>
        <v>0.62</v>
      </c>
      <c r="I14" s="19">
        <f>'Raw Operating'!I21</f>
        <v>0.56000000000000005</v>
      </c>
      <c r="J14" s="19">
        <f>'Raw Operating'!J21</f>
        <v>0.501</v>
      </c>
      <c r="K14" s="19">
        <f>'Raw Operating'!K21</f>
        <v>0.48299999999999998</v>
      </c>
      <c r="L14" s="19">
        <f>'Raw Operating'!L21</f>
        <v>0.46799999999999997</v>
      </c>
      <c r="M14" s="19">
        <f>'Raw Operating'!M21</f>
        <v>0.47600000000000003</v>
      </c>
      <c r="N14" s="24">
        <f>M14</f>
        <v>0.47600000000000003</v>
      </c>
      <c r="O14" s="24">
        <f>N14</f>
        <v>0.47600000000000003</v>
      </c>
      <c r="P14" s="24">
        <f>O14</f>
        <v>0.47600000000000003</v>
      </c>
      <c r="Q14" s="24">
        <f>P14</f>
        <v>0.47600000000000003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418</v>
      </c>
      <c r="B15" s="1" t="s">
        <v>48</v>
      </c>
      <c r="C15" s="19">
        <f>'Raw Operating'!C22</f>
        <v>0.41</v>
      </c>
      <c r="D15" s="19">
        <f>'Raw Operating'!D22</f>
        <v>0.4</v>
      </c>
      <c r="E15" s="19">
        <f>'Raw Operating'!E22</f>
        <v>0.39</v>
      </c>
      <c r="F15" s="19">
        <f>'Raw Operating'!F22</f>
        <v>0.35</v>
      </c>
      <c r="G15" s="19">
        <f>'Raw Operating'!G22</f>
        <v>0.36</v>
      </c>
      <c r="H15" s="19">
        <f>'Raw Operating'!H22</f>
        <v>0.38</v>
      </c>
      <c r="I15" s="19">
        <f>'Raw Operating'!I22</f>
        <v>0.44</v>
      </c>
      <c r="J15" s="19">
        <f>'Raw Operating'!J22</f>
        <v>0.499</v>
      </c>
      <c r="K15" s="19">
        <f>'Raw Operating'!K22</f>
        <v>0.51700000000000002</v>
      </c>
      <c r="L15" s="19">
        <f>'Raw Operating'!L22</f>
        <v>0.53200000000000003</v>
      </c>
      <c r="M15" s="19">
        <f>'Raw Operating'!M22</f>
        <v>0.52400000000000002</v>
      </c>
      <c r="N15" s="24">
        <f>1-N14</f>
        <v>0.52400000000000002</v>
      </c>
      <c r="O15" s="24">
        <f>1-O14</f>
        <v>0.52400000000000002</v>
      </c>
      <c r="P15" s="24">
        <f>1-P14</f>
        <v>0.52400000000000002</v>
      </c>
      <c r="Q15" s="24">
        <f>1-Q14</f>
        <v>0.52400000000000002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592</v>
      </c>
      <c r="B16" s="1" t="s">
        <v>48</v>
      </c>
      <c r="C16" s="19">
        <f t="shared" ref="C16:Q16" si="1">IF(COUNT(C14:C15)=0,"",SUM(C14:C15))</f>
        <v>1</v>
      </c>
      <c r="D16" s="19">
        <f t="shared" si="1"/>
        <v>1</v>
      </c>
      <c r="E16" s="19">
        <f t="shared" si="1"/>
        <v>1</v>
      </c>
      <c r="F16" s="19">
        <f t="shared" si="1"/>
        <v>1</v>
      </c>
      <c r="G16" s="19">
        <f t="shared" si="1"/>
        <v>1</v>
      </c>
      <c r="H16" s="19">
        <f t="shared" si="1"/>
        <v>1</v>
      </c>
      <c r="I16" s="19">
        <f t="shared" si="1"/>
        <v>1</v>
      </c>
      <c r="J16" s="19">
        <f t="shared" si="1"/>
        <v>1</v>
      </c>
      <c r="K16" s="19">
        <f t="shared" si="1"/>
        <v>1</v>
      </c>
      <c r="L16" s="19">
        <f t="shared" si="1"/>
        <v>1</v>
      </c>
      <c r="M16" s="19">
        <f t="shared" si="1"/>
        <v>1</v>
      </c>
      <c r="N16" s="24">
        <f t="shared" si="1"/>
        <v>1</v>
      </c>
      <c r="O16" s="24">
        <f t="shared" si="1"/>
        <v>1</v>
      </c>
      <c r="P16" s="24">
        <f t="shared" si="1"/>
        <v>1</v>
      </c>
      <c r="Q16" s="24">
        <f t="shared" si="1"/>
        <v>1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419</v>
      </c>
      <c r="B17" s="1" t="s">
        <v>48</v>
      </c>
      <c r="C17" s="19">
        <f>'Raw Operating'!C23</f>
        <v>0.45</v>
      </c>
      <c r="D17" s="19">
        <f>'Raw Operating'!D23</f>
        <v>0.48</v>
      </c>
      <c r="E17" s="19">
        <f>'Raw Operating'!E23</f>
        <v>0.46</v>
      </c>
      <c r="F17" s="19">
        <f>'Raw Operating'!F23</f>
        <v>0.47</v>
      </c>
      <c r="G17" s="19">
        <f>'Raw Operating'!G23</f>
        <v>0.48</v>
      </c>
      <c r="H17" s="19">
        <f>'Raw Operating'!H23</f>
        <v>0.54</v>
      </c>
      <c r="I17" s="19">
        <f>'Raw Operating'!I23</f>
        <v>0.54</v>
      </c>
      <c r="J17" s="19">
        <f>'Raw Operating'!J23</f>
        <v>0.52</v>
      </c>
      <c r="K17" s="19">
        <f>'Raw Operating'!K23</f>
        <v>0.504</v>
      </c>
      <c r="L17" s="19">
        <f>'Raw Operating'!L23</f>
        <v>0.46200000000000002</v>
      </c>
      <c r="M17" s="19">
        <f>'Raw Operating'!M23</f>
        <v>0.46899999999999997</v>
      </c>
      <c r="N17" s="24">
        <f>1-N18</f>
        <v>0.43000000000000005</v>
      </c>
      <c r="O17" s="24">
        <f>1-O18</f>
        <v>0.43999999999999995</v>
      </c>
      <c r="P17" s="24">
        <f>1-P18</f>
        <v>0.44999999999999996</v>
      </c>
      <c r="Q17" s="24">
        <f>1-Q18</f>
        <v>0.45999999999999996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151</v>
      </c>
      <c r="B18" s="1" t="s">
        <v>48</v>
      </c>
      <c r="C18" s="19">
        <f>'Raw Operating'!C24</f>
        <v>0.55000000000000004</v>
      </c>
      <c r="D18" s="19">
        <f>'Raw Operating'!D24</f>
        <v>0.52</v>
      </c>
      <c r="E18" s="19">
        <f>'Raw Operating'!E24</f>
        <v>0.54</v>
      </c>
      <c r="F18" s="19">
        <f>'Raw Operating'!F24</f>
        <v>0.53</v>
      </c>
      <c r="G18" s="19">
        <f>'Raw Operating'!G24</f>
        <v>0.52</v>
      </c>
      <c r="H18" s="19">
        <f>'Raw Operating'!H24</f>
        <v>0.46</v>
      </c>
      <c r="I18" s="19">
        <f>'Raw Operating'!I24</f>
        <v>0.46</v>
      </c>
      <c r="J18" s="19">
        <f>'Raw Operating'!J24</f>
        <v>0.48</v>
      </c>
      <c r="K18" s="19">
        <f>'Raw Operating'!K24</f>
        <v>0.496</v>
      </c>
      <c r="L18" s="19">
        <f>'Raw Operating'!L24</f>
        <v>0.53799999999999992</v>
      </c>
      <c r="M18" s="19">
        <f>'Raw Operating'!M24</f>
        <v>0.53100000000000003</v>
      </c>
      <c r="N18" s="24">
        <f>Assumptions!C12</f>
        <v>0.56999999999999995</v>
      </c>
      <c r="O18" s="24">
        <f>Assumptions!D12</f>
        <v>0.56000000000000005</v>
      </c>
      <c r="P18" s="24">
        <f>Assumptions!E12</f>
        <v>0.55000000000000004</v>
      </c>
      <c r="Q18" s="24">
        <f>Assumptions!F12</f>
        <v>0.54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593</v>
      </c>
      <c r="B19" s="1" t="s">
        <v>48</v>
      </c>
      <c r="C19" s="19">
        <f t="shared" ref="C19:Q19" si="2">IF(COUNT(C17:C18)=0,"",SUM(C17:C18))</f>
        <v>1</v>
      </c>
      <c r="D19" s="19">
        <f t="shared" si="2"/>
        <v>1</v>
      </c>
      <c r="E19" s="19">
        <f t="shared" si="2"/>
        <v>1</v>
      </c>
      <c r="F19" s="19">
        <f t="shared" si="2"/>
        <v>1</v>
      </c>
      <c r="G19" s="19">
        <f t="shared" si="2"/>
        <v>1</v>
      </c>
      <c r="H19" s="19">
        <f t="shared" si="2"/>
        <v>1</v>
      </c>
      <c r="I19" s="19">
        <f t="shared" si="2"/>
        <v>1</v>
      </c>
      <c r="J19" s="19">
        <f t="shared" si="2"/>
        <v>1</v>
      </c>
      <c r="K19" s="19">
        <f t="shared" si="2"/>
        <v>1</v>
      </c>
      <c r="L19" s="19">
        <f t="shared" si="2"/>
        <v>1</v>
      </c>
      <c r="M19" s="19">
        <f t="shared" si="2"/>
        <v>1</v>
      </c>
      <c r="N19" s="24">
        <f t="shared" si="2"/>
        <v>1</v>
      </c>
      <c r="O19" s="24">
        <f t="shared" si="2"/>
        <v>1</v>
      </c>
      <c r="P19" s="24">
        <f t="shared" si="2"/>
        <v>1</v>
      </c>
      <c r="Q19" s="24">
        <f t="shared" si="2"/>
        <v>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594</v>
      </c>
      <c r="B20" s="1" t="s">
        <v>46</v>
      </c>
      <c r="C20" s="18">
        <f>C18*'Annual P&amp;L'!C7</f>
        <v>14753.2268312</v>
      </c>
      <c r="D20" s="18">
        <f>D18*'Annual P&amp;L'!D7</f>
        <v>14570.92</v>
      </c>
      <c r="E20" s="18">
        <f>E18*'Annual P&amp;L'!E7</f>
        <v>16153.560000000001</v>
      </c>
      <c r="F20" s="18">
        <f>F18*'Annual P&amp;L'!F7</f>
        <v>19483.86</v>
      </c>
      <c r="G20" s="18">
        <f>G18*'Annual P&amp;L'!G7</f>
        <v>21756.280000000002</v>
      </c>
      <c r="H20" s="18">
        <f>H18*'Annual P&amp;L'!H7</f>
        <v>21448.880000000001</v>
      </c>
      <c r="I20" s="18">
        <f>I18*'Annual P&amp;L'!I7</f>
        <v>29587.200000000001</v>
      </c>
      <c r="J20" s="18">
        <f>J18*'Annual P&amp;L'!J7</f>
        <v>38470.080000000002</v>
      </c>
      <c r="K20" s="18">
        <f>K18*'Annual P&amp;L'!K7</f>
        <v>45527.839999999997</v>
      </c>
      <c r="L20" s="18">
        <f>L18*'Annual P&amp;L'!L7</f>
        <v>64954.353999999992</v>
      </c>
      <c r="M20" s="18">
        <f>M18*'Annual P&amp;L'!M7</f>
        <v>87098.337</v>
      </c>
      <c r="N20" s="25">
        <f>N18*'Annual P&amp;L'!N7</f>
        <v>130258.55119481999</v>
      </c>
      <c r="O20" s="25">
        <f>O18*'Annual P&amp;L'!O7</f>
        <v>164548.13790249487</v>
      </c>
      <c r="P20" s="25">
        <f>P18*'Annual P&amp;L'!P7</f>
        <v>203288.85062868393</v>
      </c>
      <c r="Q20" s="25">
        <f>Q18*'Annual P&amp;L'!Q7</f>
        <v>246834.82202219975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595</v>
      </c>
      <c r="B21" s="1" t="s">
        <v>46</v>
      </c>
      <c r="C21" s="18">
        <f>C17*'Annual P&amp;L'!C7</f>
        <v>12070.821952799999</v>
      </c>
      <c r="D21" s="18">
        <f>D17*'Annual P&amp;L'!D7</f>
        <v>13450.08</v>
      </c>
      <c r="E21" s="18">
        <f>E17*'Annual P&amp;L'!E7</f>
        <v>13760.44</v>
      </c>
      <c r="F21" s="18">
        <f>F17*'Annual P&amp;L'!F7</f>
        <v>17278.14</v>
      </c>
      <c r="G21" s="18">
        <f>G17*'Annual P&amp;L'!G7</f>
        <v>20082.719999999998</v>
      </c>
      <c r="H21" s="18">
        <f>H17*'Annual P&amp;L'!H7</f>
        <v>25179.120000000003</v>
      </c>
      <c r="I21" s="18">
        <f>I17*'Annual P&amp;L'!I7</f>
        <v>34732.800000000003</v>
      </c>
      <c r="J21" s="18">
        <f>J17*'Annual P&amp;L'!J7</f>
        <v>41675.919999999998</v>
      </c>
      <c r="K21" s="18">
        <f>K17*'Annual P&amp;L'!K7</f>
        <v>46262.16</v>
      </c>
      <c r="L21" s="18">
        <f>L17*'Annual P&amp;L'!L7</f>
        <v>55778.646000000001</v>
      </c>
      <c r="M21" s="18">
        <f>M17*'Annual P&amp;L'!M7</f>
        <v>76928.663</v>
      </c>
      <c r="N21" s="25">
        <f>N17*'Annual P&amp;L'!N7</f>
        <v>98265.222831180014</v>
      </c>
      <c r="O21" s="25">
        <f>O17*'Annual P&amp;L'!O7</f>
        <v>129287.82263767452</v>
      </c>
      <c r="P21" s="25">
        <f>P17*'Annual P&amp;L'!P7</f>
        <v>166327.24142346863</v>
      </c>
      <c r="Q21" s="25">
        <f>Q17*'Annual P&amp;L'!Q7</f>
        <v>210266.70024113311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  <c r="O22" s="17"/>
      <c r="P22" s="17"/>
      <c r="Q22" s="17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  <c r="O23" s="17"/>
      <c r="P23" s="17"/>
      <c r="Q23" s="17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7"/>
      <c r="O24" s="17"/>
      <c r="P24" s="17"/>
      <c r="Q24" s="1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  <c r="O25" s="17"/>
      <c r="P25" s="17"/>
      <c r="Q25" s="1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7"/>
      <c r="O26" s="17"/>
      <c r="P26" s="17"/>
      <c r="Q26" s="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  <c r="O27" s="17"/>
      <c r="P27" s="17"/>
      <c r="Q27" s="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  <c r="O28" s="17"/>
      <c r="P28" s="17"/>
      <c r="Q28" s="1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  <c r="O29" s="17"/>
      <c r="P29" s="17"/>
      <c r="Q29" s="1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  <c r="O30" s="17"/>
      <c r="P30" s="17"/>
      <c r="Q30" s="1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  <c r="O31" s="17"/>
      <c r="P31" s="17"/>
      <c r="Q31" s="1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  <c r="O32" s="17"/>
      <c r="P32" s="17"/>
      <c r="Q32" s="1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  <c r="O33" s="17"/>
      <c r="P33" s="17"/>
      <c r="Q33" s="1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  <c r="O34" s="17"/>
      <c r="P34" s="17"/>
      <c r="Q34" s="1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8" t="s">
        <v>596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597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444</v>
      </c>
      <c r="B7" s="1" t="s">
        <v>64</v>
      </c>
      <c r="C7" s="22">
        <f>'Raw Operating'!C53</f>
        <v>51</v>
      </c>
      <c r="D7" s="22">
        <f>'Raw Operating'!D53</f>
        <v>55</v>
      </c>
      <c r="E7" s="22">
        <f>'Raw Operating'!E53</f>
        <v>60</v>
      </c>
      <c r="F7" s="22">
        <f>'Raw Operating'!F53</f>
        <v>66</v>
      </c>
      <c r="G7" s="22">
        <f>'Raw Operating'!G53</f>
        <v>80</v>
      </c>
      <c r="H7" s="22">
        <f>'Raw Operating'!H53</f>
        <v>88</v>
      </c>
      <c r="I7" s="22">
        <f>'Raw Operating'!I53</f>
        <v>100</v>
      </c>
      <c r="J7" s="22">
        <f>'Raw Operating'!J53</f>
        <v>101</v>
      </c>
      <c r="K7" s="22">
        <f>'Raw Operating'!K53</f>
        <v>112</v>
      </c>
      <c r="L7" s="22">
        <f>'Raw Operating'!L53</f>
        <v>173</v>
      </c>
      <c r="M7" s="22">
        <f>'Raw Operating'!M53</f>
        <v>167</v>
      </c>
      <c r="N7" s="26">
        <f>ROUND(M7*(1+'Annual P&amp;L'!N8),0)</f>
        <v>233</v>
      </c>
      <c r="O7" s="26">
        <f>ROUND(N7*(1+'Annual P&amp;L'!O8),0)</f>
        <v>300</v>
      </c>
      <c r="P7" s="26">
        <f>ROUND(O7*(1+'Annual P&amp;L'!P8),0)</f>
        <v>377</v>
      </c>
      <c r="Q7" s="26">
        <f>ROUND(P7*(1+'Annual P&amp;L'!Q8),0)</f>
        <v>466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445</v>
      </c>
      <c r="B8" s="1" t="s">
        <v>64</v>
      </c>
      <c r="C8" s="22">
        <f>'Raw Operating'!C54</f>
        <v>16</v>
      </c>
      <c r="D8" s="22">
        <f>'Raw Operating'!D54</f>
        <v>10</v>
      </c>
      <c r="E8" s="22">
        <f>'Raw Operating'!E54</f>
        <v>13</v>
      </c>
      <c r="F8" s="22">
        <f>'Raw Operating'!F54</f>
        <v>16</v>
      </c>
      <c r="G8" s="22">
        <f>'Raw Operating'!G54</f>
        <v>15</v>
      </c>
      <c r="H8" s="22">
        <f>'Raw Operating'!H54</f>
        <v>16</v>
      </c>
      <c r="I8" s="22">
        <f>'Raw Operating'!I54</f>
        <v>19</v>
      </c>
      <c r="J8" s="22">
        <f>'Raw Operating'!J54</f>
        <v>23</v>
      </c>
      <c r="K8" s="22">
        <f>'Raw Operating'!K54</f>
        <v>24</v>
      </c>
      <c r="L8" s="22">
        <f>'Raw Operating'!L54</f>
        <v>35</v>
      </c>
      <c r="M8" s="22">
        <f>'Raw Operating'!M54</f>
        <v>42</v>
      </c>
      <c r="N8" s="26">
        <f>ROUND(M8*(1+'Annual P&amp;L'!N8),0)</f>
        <v>59</v>
      </c>
      <c r="O8" s="26">
        <f>ROUND(N8*(1+'Annual P&amp;L'!O8),0)</f>
        <v>76</v>
      </c>
      <c r="P8" s="26">
        <f>ROUND(O8*(1+'Annual P&amp;L'!P8),0)</f>
        <v>96</v>
      </c>
      <c r="Q8" s="26">
        <f>ROUND(P8*(1+'Annual P&amp;L'!Q8),0)</f>
        <v>119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446</v>
      </c>
      <c r="B9" s="1" t="s">
        <v>64</v>
      </c>
      <c r="C9" s="22">
        <f>'Raw Operating'!C55</f>
        <v>0</v>
      </c>
      <c r="D9" s="22">
        <f>'Raw Operating'!D55</f>
        <v>0</v>
      </c>
      <c r="E9" s="22">
        <f>'Raw Operating'!E55</f>
        <v>0</v>
      </c>
      <c r="F9" s="22">
        <f>'Raw Operating'!F55</f>
        <v>0</v>
      </c>
      <c r="G9" s="22">
        <f>'Raw Operating'!G55</f>
        <v>0</v>
      </c>
      <c r="H9" s="22">
        <f>'Raw Operating'!H55</f>
        <v>0</v>
      </c>
      <c r="I9" s="22">
        <f>'Raw Operating'!I55</f>
        <v>0</v>
      </c>
      <c r="J9" s="22">
        <f>'Raw Operating'!J55</f>
        <v>0</v>
      </c>
      <c r="K9" s="22">
        <f>'Raw Operating'!K55</f>
        <v>0</v>
      </c>
      <c r="L9" s="22">
        <f>'Raw Operating'!L55</f>
        <v>0</v>
      </c>
      <c r="M9" s="22">
        <f>'Raw Operating'!M55</f>
        <v>23</v>
      </c>
      <c r="N9" s="26">
        <f>ROUND(M9*(1+'Annual P&amp;L'!N8),0)</f>
        <v>32</v>
      </c>
      <c r="O9" s="26">
        <f>ROUND(N9*(1+'Annual P&amp;L'!O8),0)</f>
        <v>41</v>
      </c>
      <c r="P9" s="26">
        <f>ROUND(O9*(1+'Annual P&amp;L'!P8),0)</f>
        <v>52</v>
      </c>
      <c r="Q9" s="26">
        <f>ROUND(P9*(1+'Annual P&amp;L'!Q8),0)</f>
        <v>64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447</v>
      </c>
      <c r="B10" s="1" t="s">
        <v>64</v>
      </c>
      <c r="C10" s="22">
        <f>'Raw Operating'!C56</f>
        <v>0</v>
      </c>
      <c r="D10" s="22">
        <f>'Raw Operating'!D56</f>
        <v>0</v>
      </c>
      <c r="E10" s="22">
        <f>'Raw Operating'!E56</f>
        <v>0</v>
      </c>
      <c r="F10" s="22">
        <f>'Raw Operating'!F56</f>
        <v>0</v>
      </c>
      <c r="G10" s="22">
        <f>'Raw Operating'!G56</f>
        <v>0</v>
      </c>
      <c r="H10" s="22">
        <f>'Raw Operating'!H56</f>
        <v>0</v>
      </c>
      <c r="I10" s="22">
        <f>'Raw Operating'!I56</f>
        <v>0</v>
      </c>
      <c r="J10" s="22">
        <f>'Raw Operating'!J56</f>
        <v>0</v>
      </c>
      <c r="K10" s="22">
        <f>'Raw Operating'!K56</f>
        <v>0</v>
      </c>
      <c r="L10" s="22">
        <f>'Raw Operating'!L56</f>
        <v>0</v>
      </c>
      <c r="M10" s="22">
        <f>'Raw Operating'!M56</f>
        <v>9</v>
      </c>
      <c r="N10" s="26">
        <f>ROUND(M10*(1+'Annual P&amp;L'!N8),0)</f>
        <v>13</v>
      </c>
      <c r="O10" s="26">
        <f>ROUND(N10*(1+'Annual P&amp;L'!O8),0)</f>
        <v>17</v>
      </c>
      <c r="P10" s="26">
        <f>ROUND(O10*(1+'Annual P&amp;L'!P8),0)</f>
        <v>21</v>
      </c>
      <c r="Q10" s="26">
        <f>ROUND(P10*(1+'Annual P&amp;L'!Q8),0)</f>
        <v>26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448</v>
      </c>
      <c r="B11" s="1" t="s">
        <v>64</v>
      </c>
      <c r="C11" s="22">
        <f>'Raw Operating'!C57</f>
        <v>0</v>
      </c>
      <c r="D11" s="22">
        <f>'Raw Operating'!D57</f>
        <v>0</v>
      </c>
      <c r="E11" s="22">
        <f>'Raw Operating'!E57</f>
        <v>0</v>
      </c>
      <c r="F11" s="22">
        <f>'Raw Operating'!F57</f>
        <v>0</v>
      </c>
      <c r="G11" s="22">
        <f>'Raw Operating'!G57</f>
        <v>0</v>
      </c>
      <c r="H11" s="22">
        <f>'Raw Operating'!H57</f>
        <v>0</v>
      </c>
      <c r="I11" s="22">
        <f>'Raw Operating'!I57</f>
        <v>0</v>
      </c>
      <c r="J11" s="22">
        <f>'Raw Operating'!J57</f>
        <v>0</v>
      </c>
      <c r="K11" s="22">
        <f>'Raw Operating'!K57</f>
        <v>0</v>
      </c>
      <c r="L11" s="22">
        <f>'Raw Operating'!L57</f>
        <v>0</v>
      </c>
      <c r="M11" s="22">
        <f>'Raw Operating'!M57</f>
        <v>3</v>
      </c>
      <c r="N11" s="26">
        <f>ROUND(M11*(1+'Annual P&amp;L'!N8),0)</f>
        <v>4</v>
      </c>
      <c r="O11" s="26">
        <f>ROUND(N11*(1+'Annual P&amp;L'!O8),0)</f>
        <v>5</v>
      </c>
      <c r="P11" s="26">
        <f>ROUND(O11*(1+'Annual P&amp;L'!P8),0)</f>
        <v>6</v>
      </c>
      <c r="Q11" s="26">
        <f>ROUND(P11*(1+'Annual P&amp;L'!Q8),0)</f>
        <v>7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449</v>
      </c>
      <c r="B12" s="1" t="s">
        <v>64</v>
      </c>
      <c r="C12" s="22">
        <f>'Raw Operating'!C58</f>
        <v>0</v>
      </c>
      <c r="D12" s="22">
        <f>'Raw Operating'!D58</f>
        <v>0</v>
      </c>
      <c r="E12" s="22">
        <f>'Raw Operating'!E58</f>
        <v>0</v>
      </c>
      <c r="F12" s="22">
        <f>'Raw Operating'!F58</f>
        <v>0</v>
      </c>
      <c r="G12" s="22">
        <f>'Raw Operating'!G58</f>
        <v>0</v>
      </c>
      <c r="H12" s="22">
        <f>'Raw Operating'!H58</f>
        <v>0</v>
      </c>
      <c r="I12" s="22">
        <f>'Raw Operating'!I58</f>
        <v>0</v>
      </c>
      <c r="J12" s="22">
        <f>'Raw Operating'!J58</f>
        <v>0</v>
      </c>
      <c r="K12" s="22">
        <f>'Raw Operating'!K58</f>
        <v>0</v>
      </c>
      <c r="L12" s="22">
        <f>'Raw Operating'!L58</f>
        <v>0</v>
      </c>
      <c r="M12" s="22">
        <f>'Raw Operating'!M58</f>
        <v>1</v>
      </c>
      <c r="N12" s="26">
        <f>ROUND(M12*(1+'Annual P&amp;L'!N8),0)</f>
        <v>1</v>
      </c>
      <c r="O12" s="26">
        <f>ROUND(N12*(1+'Annual P&amp;L'!O8),0)</f>
        <v>1</v>
      </c>
      <c r="P12" s="26">
        <f>ROUND(O12*(1+'Annual P&amp;L'!P8),0)</f>
        <v>1</v>
      </c>
      <c r="Q12" s="26">
        <f>ROUND(P12*(1+'Annual P&amp;L'!Q8),0)</f>
        <v>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450</v>
      </c>
      <c r="B13" s="1" t="s">
        <v>64</v>
      </c>
      <c r="C13" s="22">
        <f>'Raw Operating'!C59</f>
        <v>6</v>
      </c>
      <c r="D13" s="22">
        <f>'Raw Operating'!D59</f>
        <v>8</v>
      </c>
      <c r="E13" s="22">
        <f>'Raw Operating'!E59</f>
        <v>7</v>
      </c>
      <c r="F13" s="22">
        <f>'Raw Operating'!F59</f>
        <v>8</v>
      </c>
      <c r="G13" s="22">
        <f>'Raw Operating'!G59</f>
        <v>0</v>
      </c>
      <c r="H13" s="22">
        <f>'Raw Operating'!H59</f>
        <v>0</v>
      </c>
      <c r="I13" s="22">
        <f>'Raw Operating'!I59</f>
        <v>18</v>
      </c>
      <c r="J13" s="22">
        <f>'Raw Operating'!J59</f>
        <v>21</v>
      </c>
      <c r="K13" s="22">
        <f>'Raw Operating'!K59</f>
        <v>24</v>
      </c>
      <c r="L13" s="22">
        <f>'Raw Operating'!L59</f>
        <v>31</v>
      </c>
      <c r="M13" s="22">
        <f>'Raw Operating'!M59</f>
        <v>0</v>
      </c>
      <c r="N13" s="26">
        <f>ROUND(M13*(1+'Annual P&amp;L'!N8),0)</f>
        <v>0</v>
      </c>
      <c r="O13" s="26">
        <f>ROUND(N13*(1+'Annual P&amp;L'!O8),0)</f>
        <v>0</v>
      </c>
      <c r="P13" s="26">
        <f>ROUND(O13*(1+'Annual P&amp;L'!P8),0)</f>
        <v>0</v>
      </c>
      <c r="Q13" s="26">
        <f>ROUND(P13*(1+'Annual P&amp;L'!Q8),0)</f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598</v>
      </c>
      <c r="B14" s="1" t="s">
        <v>64</v>
      </c>
      <c r="C14" s="22">
        <f t="shared" ref="C14:Q14" si="0">SUM(C7:C12)</f>
        <v>67</v>
      </c>
      <c r="D14" s="22">
        <f t="shared" si="0"/>
        <v>65</v>
      </c>
      <c r="E14" s="22">
        <f t="shared" si="0"/>
        <v>73</v>
      </c>
      <c r="F14" s="22">
        <f t="shared" si="0"/>
        <v>82</v>
      </c>
      <c r="G14" s="22">
        <f t="shared" si="0"/>
        <v>95</v>
      </c>
      <c r="H14" s="22">
        <f t="shared" si="0"/>
        <v>104</v>
      </c>
      <c r="I14" s="22">
        <f t="shared" si="0"/>
        <v>119</v>
      </c>
      <c r="J14" s="22">
        <f t="shared" si="0"/>
        <v>124</v>
      </c>
      <c r="K14" s="22">
        <f t="shared" si="0"/>
        <v>136</v>
      </c>
      <c r="L14" s="22">
        <f t="shared" si="0"/>
        <v>208</v>
      </c>
      <c r="M14" s="22">
        <f t="shared" si="0"/>
        <v>245</v>
      </c>
      <c r="N14" s="26">
        <f t="shared" si="0"/>
        <v>342</v>
      </c>
      <c r="O14" s="26">
        <f t="shared" si="0"/>
        <v>440</v>
      </c>
      <c r="P14" s="26">
        <f t="shared" si="0"/>
        <v>553</v>
      </c>
      <c r="Q14" s="26">
        <f t="shared" si="0"/>
        <v>683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599</v>
      </c>
      <c r="B15" s="1" t="s">
        <v>48</v>
      </c>
      <c r="C15" s="19">
        <f>'Raw Operating'!C26</f>
        <v>0.32</v>
      </c>
      <c r="D15" s="19">
        <f>'Raw Operating'!D26</f>
        <v>0.33</v>
      </c>
      <c r="E15" s="19">
        <f>'Raw Operating'!E26</f>
        <v>0.3</v>
      </c>
      <c r="F15" s="19">
        <f>'Raw Operating'!F26</f>
        <v>0.28000000000000003</v>
      </c>
      <c r="G15" s="19">
        <f>'Raw Operating'!G26</f>
        <v>0.28000000000000003</v>
      </c>
      <c r="H15" s="19">
        <f>'Raw Operating'!H26</f>
        <v>0.24</v>
      </c>
      <c r="I15" s="19">
        <f>'Raw Operating'!I26</f>
        <v>0.22899999999999998</v>
      </c>
      <c r="J15" s="19">
        <f>'Raw Operating'!J26</f>
        <v>0.23199999999999998</v>
      </c>
      <c r="K15" s="19">
        <f>'Raw Operating'!K26</f>
        <v>0.23499999999999999</v>
      </c>
      <c r="L15" s="19">
        <f>'Raw Operating'!L26</f>
        <v>0.18600000000000003</v>
      </c>
      <c r="M15" s="19">
        <f>'Raw Operating'!M26</f>
        <v>0.21</v>
      </c>
      <c r="N15" s="24">
        <f t="shared" ref="N15:Q16" si="1">M15</f>
        <v>0.21</v>
      </c>
      <c r="O15" s="24">
        <f t="shared" si="1"/>
        <v>0.21</v>
      </c>
      <c r="P15" s="24">
        <f t="shared" si="1"/>
        <v>0.21</v>
      </c>
      <c r="Q15" s="24">
        <f t="shared" si="1"/>
        <v>0.21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600</v>
      </c>
      <c r="B16" s="1" t="s">
        <v>48</v>
      </c>
      <c r="C16" s="19">
        <f>'Raw Operating'!C27</f>
        <v>0.44</v>
      </c>
      <c r="D16" s="19">
        <f>'Raw Operating'!D27</f>
        <v>0.45</v>
      </c>
      <c r="E16" s="19">
        <f>'Raw Operating'!E27</f>
        <v>0.42</v>
      </c>
      <c r="F16" s="19">
        <f>'Raw Operating'!F27</f>
        <v>0.39</v>
      </c>
      <c r="G16" s="19">
        <f>'Raw Operating'!G27</f>
        <v>0.38</v>
      </c>
      <c r="H16" s="19">
        <f>'Raw Operating'!H27</f>
        <v>0.34</v>
      </c>
      <c r="I16" s="19">
        <f>'Raw Operating'!I27</f>
        <v>0.34</v>
      </c>
      <c r="J16" s="19">
        <f>'Raw Operating'!J27</f>
        <v>0.35499999999999998</v>
      </c>
      <c r="K16" s="19">
        <f>'Raw Operating'!K27</f>
        <v>0.34499999999999997</v>
      </c>
      <c r="L16" s="19">
        <f>'Raw Operating'!L27</f>
        <v>0.28399999999999997</v>
      </c>
      <c r="M16" s="19">
        <f>'Raw Operating'!M27</f>
        <v>0.308</v>
      </c>
      <c r="N16" s="24">
        <f t="shared" si="1"/>
        <v>0.308</v>
      </c>
      <c r="O16" s="24">
        <f t="shared" si="1"/>
        <v>0.308</v>
      </c>
      <c r="P16" s="24">
        <f t="shared" si="1"/>
        <v>0.308</v>
      </c>
      <c r="Q16" s="24">
        <f t="shared" si="1"/>
        <v>0.308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420</v>
      </c>
      <c r="B17" s="1" t="s">
        <v>48</v>
      </c>
      <c r="C17" s="19">
        <f>'Raw Operating'!C25</f>
        <v>0.91</v>
      </c>
      <c r="D17" s="19">
        <f>'Raw Operating'!D25</f>
        <v>0.91</v>
      </c>
      <c r="E17" s="19">
        <f>'Raw Operating'!E25</f>
        <v>0.89</v>
      </c>
      <c r="F17" s="19">
        <f>'Raw Operating'!F25</f>
        <v>0.9</v>
      </c>
      <c r="G17" s="19">
        <f>'Raw Operating'!G25</f>
        <v>0.89</v>
      </c>
      <c r="H17" s="19">
        <f>'Raw Operating'!H25</f>
        <v>0.89</v>
      </c>
      <c r="I17" s="19">
        <f>'Raw Operating'!I25</f>
        <v>0.93</v>
      </c>
      <c r="J17" s="19">
        <f>'Raw Operating'!J25</f>
        <v>0.92</v>
      </c>
      <c r="K17" s="19">
        <f>'Raw Operating'!K25</f>
        <v>0.92</v>
      </c>
      <c r="L17" s="19">
        <f>'Raw Operating'!L25</f>
        <v>0.94</v>
      </c>
      <c r="M17" s="19">
        <f>'Raw Operating'!M25</f>
        <v>0.95499999999999996</v>
      </c>
      <c r="N17" s="24">
        <f>Assumptions!C6</f>
        <v>0.95499999999999996</v>
      </c>
      <c r="O17" s="24">
        <f>Assumptions!D6</f>
        <v>0.95699999999999996</v>
      </c>
      <c r="P17" s="24">
        <f>Assumptions!E6</f>
        <v>0.96</v>
      </c>
      <c r="Q17" s="24">
        <f>Assumptions!F6</f>
        <v>0.96199999999999997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423</v>
      </c>
      <c r="B18" s="1" t="s">
        <v>64</v>
      </c>
      <c r="C18" s="22">
        <f>'Raw Operating'!C28</f>
        <v>28</v>
      </c>
      <c r="D18" s="22">
        <f>'Raw Operating'!D28</f>
        <v>15</v>
      </c>
      <c r="E18" s="22">
        <f>'Raw Operating'!E28</f>
        <v>31</v>
      </c>
      <c r="F18" s="22">
        <f>'Raw Operating'!F28</f>
        <v>40</v>
      </c>
      <c r="G18" s="22">
        <f>'Raw Operating'!G28</f>
        <v>41</v>
      </c>
      <c r="H18" s="22">
        <f>'Raw Operating'!H28</f>
        <v>45</v>
      </c>
      <c r="I18" s="22">
        <f>'Raw Operating'!I28</f>
        <v>47</v>
      </c>
      <c r="J18" s="22">
        <f>'Raw Operating'!J28</f>
        <v>44</v>
      </c>
      <c r="K18" s="22">
        <f>'Raw Operating'!K28</f>
        <v>29</v>
      </c>
      <c r="L18" s="22">
        <f>'Raw Operating'!L28</f>
        <v>47</v>
      </c>
      <c r="M18" s="22">
        <f>'Raw Operating'!M28</f>
        <v>31</v>
      </c>
      <c r="N18" s="26">
        <f>ROUND(M18*(1+'Annual P&amp;L'!N8),0)</f>
        <v>43</v>
      </c>
      <c r="O18" s="26">
        <f>ROUND(N18*(1+'Annual P&amp;L'!O8),0)</f>
        <v>55</v>
      </c>
      <c r="P18" s="26">
        <f>ROUND(O18*(1+'Annual P&amp;L'!P8),0)</f>
        <v>69</v>
      </c>
      <c r="Q18" s="26">
        <f>ROUND(P18*(1+'Annual P&amp;L'!Q8),0)</f>
        <v>85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601</v>
      </c>
      <c r="B19" s="1" t="s">
        <v>49</v>
      </c>
      <c r="C19" s="21">
        <f>IFERROR('Order Book &amp; Revenue'!C33/C14,"")</f>
        <v>0</v>
      </c>
      <c r="D19" s="21">
        <f>IFERROR('Order Book &amp; Revenue'!D33/D14,"")</f>
        <v>0</v>
      </c>
      <c r="E19" s="21">
        <f>IFERROR('Order Book &amp; Revenue'!E33/E14,"")</f>
        <v>0</v>
      </c>
      <c r="F19" s="21">
        <f>IFERROR('Order Book &amp; Revenue'!F33/F14,"")</f>
        <v>0</v>
      </c>
      <c r="G19" s="21">
        <f>IFERROR('Order Book &amp; Revenue'!G33/G14,"")</f>
        <v>0</v>
      </c>
      <c r="H19" s="21">
        <f>IFERROR('Order Book &amp; Revenue'!H33/H14,"")</f>
        <v>0</v>
      </c>
      <c r="I19" s="21">
        <f>IFERROR('Order Book &amp; Revenue'!I33/I14,"")</f>
        <v>7.2815126050420167</v>
      </c>
      <c r="J19" s="21">
        <f>IFERROR('Order Book &amp; Revenue'!J33/J14,"")</f>
        <v>8.0782258064516128</v>
      </c>
      <c r="K19" s="21">
        <f>IFERROR('Order Book &amp; Revenue'!K33/K14,"")</f>
        <v>8.2257352941176478</v>
      </c>
      <c r="L19" s="21">
        <f>IFERROR('Order Book &amp; Revenue'!L33/L14,"")</f>
        <v>6.9615384615384617</v>
      </c>
      <c r="M19" s="21">
        <f>IFERROR('Order Book &amp; Revenue'!M33/M14,"")</f>
        <v>7.6326530612244898</v>
      </c>
      <c r="N19" s="23">
        <f>IFERROR('Order Book &amp; Revenue'!N33/N14,"")</f>
        <v>7.108491166666667</v>
      </c>
      <c r="O19" s="23">
        <f>IFERROR('Order Book &amp; Revenue'!O33/O14,"")</f>
        <v>7.0295684339753448</v>
      </c>
      <c r="P19" s="23">
        <f>IFERROR('Order Book &amp; Revenue'!P33/P14,"")</f>
        <v>6.9623284367870806</v>
      </c>
      <c r="Q19" s="23">
        <f>IFERROR('Order Book &amp; Revenue'!Q33/Q14,"")</f>
        <v>6.8995414750469104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602</v>
      </c>
      <c r="B20" s="1" t="s">
        <v>49</v>
      </c>
      <c r="C20" s="21">
        <f>IFERROR('Order Book &amp; Revenue'!C33/C13,"")</f>
        <v>0</v>
      </c>
      <c r="D20" s="21">
        <f>IFERROR('Order Book &amp; Revenue'!D33/D13,"")</f>
        <v>0</v>
      </c>
      <c r="E20" s="21">
        <f>IFERROR('Order Book &amp; Revenue'!E33/E13,"")</f>
        <v>0</v>
      </c>
      <c r="F20" s="21">
        <f>IFERROR('Order Book &amp; Revenue'!F33/F13,"")</f>
        <v>0</v>
      </c>
      <c r="G20" s="21" t="str">
        <f>IFERROR('Order Book &amp; Revenue'!G33/G13,"")</f>
        <v/>
      </c>
      <c r="H20" s="21" t="str">
        <f>IFERROR('Order Book &amp; Revenue'!H33/H13,"")</f>
        <v/>
      </c>
      <c r="I20" s="21">
        <f>IFERROR('Order Book &amp; Revenue'!I33/I13,"")</f>
        <v>48.138888888888886</v>
      </c>
      <c r="J20" s="21">
        <f>IFERROR('Order Book &amp; Revenue'!J33/J13,"")</f>
        <v>47.7</v>
      </c>
      <c r="K20" s="21">
        <f>IFERROR('Order Book &amp; Revenue'!K33/K13,"")</f>
        <v>46.612500000000004</v>
      </c>
      <c r="L20" s="21">
        <f>IFERROR('Order Book &amp; Revenue'!L33/L13,"")</f>
        <v>46.70967741935484</v>
      </c>
      <c r="M20" s="21" t="str">
        <f>IFERROR('Order Book &amp; Revenue'!M33/M13,"")</f>
        <v/>
      </c>
      <c r="N20" s="23" t="str">
        <f>IFERROR('Order Book &amp; Revenue'!N33/N13,"")</f>
        <v/>
      </c>
      <c r="O20" s="23" t="str">
        <f>IFERROR('Order Book &amp; Revenue'!O33/O13,"")</f>
        <v/>
      </c>
      <c r="P20" s="23" t="str">
        <f>IFERROR('Order Book &amp; Revenue'!P33/P13,"")</f>
        <v/>
      </c>
      <c r="Q20" s="23" t="str">
        <f>IFERROR('Order Book &amp; Revenue'!Q33/Q13,"")</f>
        <v/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603</v>
      </c>
      <c r="B21" s="1" t="s">
        <v>49</v>
      </c>
      <c r="C21" s="21">
        <f>'Order Book &amp; Revenue'!C15</f>
        <v>420</v>
      </c>
      <c r="D21" s="21">
        <f>'Order Book &amp; Revenue'!D15</f>
        <v>457</v>
      </c>
      <c r="E21" s="21">
        <f>'Order Book &amp; Revenue'!E15</f>
        <v>507</v>
      </c>
      <c r="F21" s="21">
        <f>'Order Book &amp; Revenue'!F15</f>
        <v>646</v>
      </c>
      <c r="G21" s="21">
        <f>'Order Book &amp; Revenue'!G15</f>
        <v>748</v>
      </c>
      <c r="H21" s="21">
        <f>'Order Book &amp; Revenue'!H15</f>
        <v>781</v>
      </c>
      <c r="I21" s="21">
        <f>'Order Book &amp; Revenue'!I15</f>
        <v>1151</v>
      </c>
      <c r="J21" s="21">
        <f>'Order Book &amp; Revenue'!J15</f>
        <v>1265</v>
      </c>
      <c r="K21" s="21">
        <f>'Order Book &amp; Revenue'!K15</f>
        <v>1973</v>
      </c>
      <c r="L21" s="21">
        <f>'Order Book &amp; Revenue'!L15</f>
        <v>3456</v>
      </c>
      <c r="M21" s="21">
        <f>'Order Book &amp; Revenue'!M15</f>
        <v>2262</v>
      </c>
      <c r="N21" s="23">
        <f>'Order Book &amp; Revenue'!N15</f>
        <v>2488.2000000000003</v>
      </c>
      <c r="O21" s="23">
        <f>'Order Book &amp; Revenue'!O15</f>
        <v>2737.0200000000004</v>
      </c>
      <c r="P21" s="23">
        <f>'Order Book &amp; Revenue'!P15</f>
        <v>2983.3518000000008</v>
      </c>
      <c r="Q21" s="23">
        <f>'Order Book &amp; Revenue'!Q15</f>
        <v>3222.019944000001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604</v>
      </c>
      <c r="B22" s="1" t="s">
        <v>72</v>
      </c>
      <c r="C22" s="32" t="str">
        <f>IFERROR(C21/'Order Book &amp; Revenue'!C33,"")</f>
        <v/>
      </c>
      <c r="D22" s="32" t="str">
        <f>IFERROR(D21/'Order Book &amp; Revenue'!D33,"")</f>
        <v/>
      </c>
      <c r="E22" s="32" t="str">
        <f>IFERROR(E21/'Order Book &amp; Revenue'!E33,"")</f>
        <v/>
      </c>
      <c r="F22" s="32" t="str">
        <f>IFERROR(F21/'Order Book &amp; Revenue'!F33,"")</f>
        <v/>
      </c>
      <c r="G22" s="32" t="str">
        <f>IFERROR(G21/'Order Book &amp; Revenue'!G33,"")</f>
        <v/>
      </c>
      <c r="H22" s="32" t="str">
        <f>IFERROR(H21/'Order Book &amp; Revenue'!H33,"")</f>
        <v/>
      </c>
      <c r="I22" s="32">
        <f>IFERROR(I21/'Order Book &amp; Revenue'!I33,"")</f>
        <v>1.3283323716099249</v>
      </c>
      <c r="J22" s="32">
        <f>IFERROR(J21/'Order Book &amp; Revenue'!J33,"")</f>
        <v>1.2628531496456024</v>
      </c>
      <c r="K22" s="32">
        <f>IFERROR(K21/'Order Book &amp; Revenue'!K33,"")</f>
        <v>1.7636542415303476</v>
      </c>
      <c r="L22" s="32">
        <f>IFERROR(L21/'Order Book &amp; Revenue'!L33,"")</f>
        <v>2.3867403314917128</v>
      </c>
      <c r="M22" s="32">
        <f>IFERROR(M21/'Order Book &amp; Revenue'!M33,"")</f>
        <v>1.2096256684491979</v>
      </c>
      <c r="N22" s="33">
        <f>IFERROR(N21/'Order Book &amp; Revenue'!N33,"")</f>
        <v>1.0234856351242887</v>
      </c>
      <c r="O22" s="33">
        <f>IFERROR(O21/'Order Book &amp; Revenue'!O33,"")</f>
        <v>0.88490496371513361</v>
      </c>
      <c r="P22" s="33">
        <f>IFERROR(P21/'Order Book &amp; Revenue'!P33,"")</f>
        <v>0.77486283459646832</v>
      </c>
      <c r="Q22" s="33">
        <f>IFERROR(Q21/'Order Book &amp; Revenue'!Q33,"")</f>
        <v>0.68373418014554421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50</v>
      </c>
      <c r="B23" s="1" t="s">
        <v>49</v>
      </c>
      <c r="C23" s="21">
        <f>'Order Book &amp; Revenue'!C10</f>
        <v>301</v>
      </c>
      <c r="D23" s="21">
        <f>'Order Book &amp; Revenue'!D10</f>
        <v>320</v>
      </c>
      <c r="E23" s="21">
        <f>'Order Book &amp; Revenue'!E10</f>
        <v>339</v>
      </c>
      <c r="F23" s="21">
        <f>'Order Book &amp; Revenue'!F10</f>
        <v>390</v>
      </c>
      <c r="G23" s="21">
        <f>'Order Book &amp; Revenue'!G10</f>
        <v>468</v>
      </c>
      <c r="H23" s="21">
        <f>'Order Book &amp; Revenue'!H10</f>
        <v>520</v>
      </c>
      <c r="I23" s="21">
        <f>'Order Book &amp; Revenue'!I10</f>
        <v>720</v>
      </c>
      <c r="J23" s="21">
        <f>'Order Book &amp; Revenue'!J10</f>
        <v>869</v>
      </c>
      <c r="K23" s="21">
        <f>'Order Book &amp; Revenue'!K10</f>
        <v>1019</v>
      </c>
      <c r="L23" s="21">
        <f>'Order Book &amp; Revenue'!L10</f>
        <v>1505</v>
      </c>
      <c r="M23" s="21">
        <f>'Order Book &amp; Revenue'!M10</f>
        <v>1752</v>
      </c>
      <c r="N23" s="23">
        <f>'Order Book &amp; Revenue'!N10</f>
        <v>2242</v>
      </c>
      <c r="O23" s="23">
        <f>'Order Book &amp; Revenue'!O10</f>
        <v>2466.2000000000003</v>
      </c>
      <c r="P23" s="23">
        <f>'Order Book &amp; Revenue'!P10</f>
        <v>2688.1580000000004</v>
      </c>
      <c r="Q23" s="23">
        <f>'Order Book &amp; Revenue'!Q10</f>
        <v>2903.2106400000007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605</v>
      </c>
      <c r="B24" s="1" t="s">
        <v>72</v>
      </c>
      <c r="C24" s="32" t="str">
        <f>IFERROR(C23/'Order Book &amp; Revenue'!C33,"")</f>
        <v/>
      </c>
      <c r="D24" s="32" t="str">
        <f>IFERROR(D23/'Order Book &amp; Revenue'!D33,"")</f>
        <v/>
      </c>
      <c r="E24" s="32" t="str">
        <f>IFERROR(E23/'Order Book &amp; Revenue'!E33,"")</f>
        <v/>
      </c>
      <c r="F24" s="32" t="str">
        <f>IFERROR(F23/'Order Book &amp; Revenue'!F33,"")</f>
        <v/>
      </c>
      <c r="G24" s="32" t="str">
        <f>IFERROR(G23/'Order Book &amp; Revenue'!G33,"")</f>
        <v/>
      </c>
      <c r="H24" s="32" t="str">
        <f>IFERROR(H23/'Order Book &amp; Revenue'!H33,"")</f>
        <v/>
      </c>
      <c r="I24" s="32">
        <f>IFERROR(I23/'Order Book &amp; Revenue'!I33,"")</f>
        <v>0.83092902481246389</v>
      </c>
      <c r="J24" s="32">
        <f>IFERROR(J23/'Order Book &amp; Revenue'!J33,"")</f>
        <v>0.86752520714784864</v>
      </c>
      <c r="K24" s="32">
        <f>IFERROR(K23/'Order Book &amp; Revenue'!K33,"")</f>
        <v>0.91087869848931791</v>
      </c>
      <c r="L24" s="32">
        <f>IFERROR(L23/'Order Book &amp; Revenue'!L33,"")</f>
        <v>1.0393646408839778</v>
      </c>
      <c r="M24" s="32">
        <f>IFERROR(M23/'Order Book &amp; Revenue'!M33,"")</f>
        <v>0.93689839572192513</v>
      </c>
      <c r="N24" s="33">
        <f>IFERROR(N23/'Order Book &amp; Revenue'!N33,"")</f>
        <v>0.92221477129999796</v>
      </c>
      <c r="O24" s="33">
        <f>IFERROR(O23/'Order Book &amp; Revenue'!O33,"")</f>
        <v>0.79734624573962287</v>
      </c>
      <c r="P24" s="33">
        <f>IFERROR(P23/'Order Book &amp; Revenue'!P33,"")</f>
        <v>0.69819245847009148</v>
      </c>
      <c r="Q24" s="33">
        <f>IFERROR(Q23/'Order Book &amp; Revenue'!Q33,"")</f>
        <v>0.61608071372329798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  <c r="O25" s="17"/>
      <c r="P25" s="17"/>
      <c r="Q25" s="1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7"/>
      <c r="O26" s="17"/>
      <c r="P26" s="17"/>
      <c r="Q26" s="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  <c r="O27" s="17"/>
      <c r="P27" s="17"/>
      <c r="Q27" s="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  <c r="O28" s="17"/>
      <c r="P28" s="17"/>
      <c r="Q28" s="1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  <c r="O29" s="17"/>
      <c r="P29" s="17"/>
      <c r="Q29" s="1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  <c r="O30" s="17"/>
      <c r="P30" s="17"/>
      <c r="Q30" s="1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  <c r="O31" s="17"/>
      <c r="P31" s="17"/>
      <c r="Q31" s="1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  <c r="O32" s="17"/>
      <c r="P32" s="17"/>
      <c r="Q32" s="1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  <c r="O33" s="17"/>
      <c r="P33" s="17"/>
      <c r="Q33" s="1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  <c r="O34" s="17"/>
      <c r="P34" s="17"/>
      <c r="Q34" s="1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8" t="s">
        <v>606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607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608</v>
      </c>
      <c r="B7" s="1" t="s">
        <v>64</v>
      </c>
      <c r="C7" s="22">
        <f>'Raw Operating'!C43</f>
        <v>9476</v>
      </c>
      <c r="D7" s="22">
        <f>'Raw Operating'!D43</f>
        <v>8853</v>
      </c>
      <c r="E7" s="22">
        <f>'Raw Operating'!E43</f>
        <v>9423</v>
      </c>
      <c r="F7" s="22">
        <f>'Raw Operating'!F43</f>
        <v>10263</v>
      </c>
      <c r="G7" s="22">
        <f>'Raw Operating'!G43</f>
        <v>11156</v>
      </c>
      <c r="H7" s="22">
        <f>'Raw Operating'!H43</f>
        <v>12391</v>
      </c>
      <c r="I7" s="22">
        <f>'Raw Operating'!I43</f>
        <v>22500</v>
      </c>
      <c r="J7" s="22">
        <f>'Raw Operating'!J43</f>
        <v>23224</v>
      </c>
      <c r="K7" s="22">
        <f>'Raw Operating'!K43</f>
        <v>24726</v>
      </c>
      <c r="L7" s="22">
        <f>'Raw Operating'!L43</f>
        <v>33497</v>
      </c>
      <c r="M7" s="22">
        <f>'Raw Operating'!M43</f>
        <v>35777</v>
      </c>
      <c r="N7" s="26">
        <f>M7*(1+MAX(0,'Annual P&amp;L'!N8*0.45))</f>
        <v>42107.515634302224</v>
      </c>
      <c r="O7" s="26">
        <f>N7*(1+MAX(0,'Annual P&amp;L'!O8*0.45))</f>
        <v>47522.970839848284</v>
      </c>
      <c r="P7" s="26">
        <f>O7*(1+MAX(0,'Annual P&amp;L'!P8*0.45))</f>
        <v>53038.237378561083</v>
      </c>
      <c r="Q7" s="26">
        <f>P7*(1+MAX(0,'Annual P&amp;L'!Q8*0.45))</f>
        <v>58687.430964870444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435</v>
      </c>
      <c r="B8" s="1" t="s">
        <v>64</v>
      </c>
      <c r="C8" s="22">
        <f>'Raw Operating'!C44</f>
        <v>0</v>
      </c>
      <c r="D8" s="22">
        <f>'Raw Operating'!D44</f>
        <v>0</v>
      </c>
      <c r="E8" s="22">
        <f>'Raw Operating'!E44</f>
        <v>0</v>
      </c>
      <c r="F8" s="22">
        <f>'Raw Operating'!F44</f>
        <v>0</v>
      </c>
      <c r="G8" s="22">
        <f>'Raw Operating'!G44</f>
        <v>0</v>
      </c>
      <c r="H8" s="22">
        <f>'Raw Operating'!H44</f>
        <v>0</v>
      </c>
      <c r="I8" s="22">
        <f>'Raw Operating'!I44</f>
        <v>14903</v>
      </c>
      <c r="J8" s="22">
        <f>'Raw Operating'!J44</f>
        <v>16182</v>
      </c>
      <c r="K8" s="22">
        <f>'Raw Operating'!K44</f>
        <v>16930</v>
      </c>
      <c r="L8" s="22">
        <f>'Raw Operating'!L44</f>
        <v>23510</v>
      </c>
      <c r="M8" s="22">
        <f>'Raw Operating'!M44</f>
        <v>25062</v>
      </c>
      <c r="N8" s="26">
        <f>N10*0.75</f>
        <v>29696.938294536216</v>
      </c>
      <c r="O8" s="26">
        <f>O10*0.75</f>
        <v>33516.266902584393</v>
      </c>
      <c r="P8" s="26">
        <f>P10*0.75</f>
        <v>37405.988906146347</v>
      </c>
      <c r="Q8" s="26">
        <f>Q10*0.75</f>
        <v>41390.164909392966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436</v>
      </c>
      <c r="B9" s="1" t="s">
        <v>64</v>
      </c>
      <c r="C9" s="22">
        <f>'Raw Operating'!C45</f>
        <v>0</v>
      </c>
      <c r="D9" s="22">
        <f>'Raw Operating'!D45</f>
        <v>0</v>
      </c>
      <c r="E9" s="22">
        <f>'Raw Operating'!E45</f>
        <v>0</v>
      </c>
      <c r="F9" s="22">
        <f>'Raw Operating'!F45</f>
        <v>0</v>
      </c>
      <c r="G9" s="22">
        <f>'Raw Operating'!G45</f>
        <v>0</v>
      </c>
      <c r="H9" s="22">
        <f>'Raw Operating'!H45</f>
        <v>0</v>
      </c>
      <c r="I9" s="22">
        <f>'Raw Operating'!I45</f>
        <v>6391</v>
      </c>
      <c r="J9" s="22">
        <f>'Raw Operating'!J45</f>
        <v>5633</v>
      </c>
      <c r="K9" s="22">
        <f>'Raw Operating'!K45</f>
        <v>6313</v>
      </c>
      <c r="L9" s="22">
        <f>'Raw Operating'!L45</f>
        <v>7844</v>
      </c>
      <c r="M9" s="22">
        <f>'Raw Operating'!M45</f>
        <v>8581</v>
      </c>
      <c r="N9" s="26">
        <f>N10-N8</f>
        <v>9898.9794315120744</v>
      </c>
      <c r="O9" s="26">
        <f>O10-O8</f>
        <v>11172.088967528129</v>
      </c>
      <c r="P9" s="26">
        <f>P10-P8</f>
        <v>12468.662968715449</v>
      </c>
      <c r="Q9" s="26">
        <f>Q10-Q8</f>
        <v>13796.721636464325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437</v>
      </c>
      <c r="B10" s="1" t="s">
        <v>64</v>
      </c>
      <c r="C10" s="22">
        <f>'Raw Operating'!C46</f>
        <v>8743</v>
      </c>
      <c r="D10" s="22">
        <f>'Raw Operating'!D46</f>
        <v>8066</v>
      </c>
      <c r="E10" s="22">
        <f>'Raw Operating'!E46</f>
        <v>8588</v>
      </c>
      <c r="F10" s="22">
        <f>'Raw Operating'!F46</f>
        <v>9363</v>
      </c>
      <c r="G10" s="22">
        <f>'Raw Operating'!G46</f>
        <v>10274</v>
      </c>
      <c r="H10" s="22">
        <f>'Raw Operating'!H46</f>
        <v>11469</v>
      </c>
      <c r="I10" s="22">
        <f>'Raw Operating'!I46</f>
        <v>21294</v>
      </c>
      <c r="J10" s="22">
        <f>'Raw Operating'!J46</f>
        <v>21815</v>
      </c>
      <c r="K10" s="22">
        <f>'Raw Operating'!K46</f>
        <v>23243</v>
      </c>
      <c r="L10" s="22">
        <f>'Raw Operating'!L46</f>
        <v>31354</v>
      </c>
      <c r="M10" s="22">
        <f>'Raw Operating'!M46</f>
        <v>33643</v>
      </c>
      <c r="N10" s="26">
        <f>N7*M11</f>
        <v>39595.91772604829</v>
      </c>
      <c r="O10" s="26">
        <f>O7*N11</f>
        <v>44688.355870112522</v>
      </c>
      <c r="P10" s="26">
        <f>P7*O11</f>
        <v>49874.651874861796</v>
      </c>
      <c r="Q10" s="26">
        <f>Q7*P11</f>
        <v>55186.886545857291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609</v>
      </c>
      <c r="B11" s="1" t="s">
        <v>48</v>
      </c>
      <c r="C11" s="19">
        <f t="shared" ref="C11:Q11" si="0">IFERROR(C10/C7,"")</f>
        <v>0.92264668636555514</v>
      </c>
      <c r="D11" s="19">
        <f t="shared" si="0"/>
        <v>0.91110358070710495</v>
      </c>
      <c r="E11" s="19">
        <f t="shared" si="0"/>
        <v>0.91138703173087132</v>
      </c>
      <c r="F11" s="19">
        <f t="shared" si="0"/>
        <v>0.91230634317451043</v>
      </c>
      <c r="G11" s="19">
        <f t="shared" si="0"/>
        <v>0.92093940480458947</v>
      </c>
      <c r="H11" s="19">
        <f t="shared" si="0"/>
        <v>0.9255911548704705</v>
      </c>
      <c r="I11" s="19">
        <f t="shared" si="0"/>
        <v>0.94640000000000002</v>
      </c>
      <c r="J11" s="19">
        <f t="shared" si="0"/>
        <v>0.9393300034447124</v>
      </c>
      <c r="K11" s="19">
        <f t="shared" si="0"/>
        <v>0.94002264822454096</v>
      </c>
      <c r="L11" s="19">
        <f t="shared" si="0"/>
        <v>0.93602412156312509</v>
      </c>
      <c r="M11" s="19">
        <f t="shared" si="0"/>
        <v>0.94035274058752827</v>
      </c>
      <c r="N11" s="24">
        <f t="shared" si="0"/>
        <v>0.94035274058752827</v>
      </c>
      <c r="O11" s="24">
        <f t="shared" si="0"/>
        <v>0.94035274058752827</v>
      </c>
      <c r="P11" s="24">
        <f t="shared" si="0"/>
        <v>0.94035274058752827</v>
      </c>
      <c r="Q11" s="24">
        <f t="shared" si="0"/>
        <v>0.94035274058752827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439</v>
      </c>
      <c r="B12" s="1" t="s">
        <v>48</v>
      </c>
      <c r="C12" s="19">
        <f>'Raw Operating'!C48</f>
        <v>0.79</v>
      </c>
      <c r="D12" s="19">
        <f>'Raw Operating'!D48</f>
        <v>0.81</v>
      </c>
      <c r="E12" s="19">
        <f>'Raw Operating'!E48</f>
        <v>0.79500000000000004</v>
      </c>
      <c r="F12" s="19">
        <f>'Raw Operating'!F48</f>
        <v>0.79299999999999993</v>
      </c>
      <c r="G12" s="19">
        <f>'Raw Operating'!G48</f>
        <v>0.78099999999999992</v>
      </c>
      <c r="H12" s="19">
        <f>'Raw Operating'!H48</f>
        <v>0.81</v>
      </c>
      <c r="I12" s="19">
        <f>'Raw Operating'!I48</f>
        <v>0.7609999999999999</v>
      </c>
      <c r="J12" s="19">
        <f>'Raw Operating'!J48</f>
        <v>0.81499999999999995</v>
      </c>
      <c r="K12" s="19">
        <f>'Raw Operating'!K48</f>
        <v>0.81700000000000006</v>
      </c>
      <c r="L12" s="19">
        <f>'Raw Operating'!L48</f>
        <v>0.82</v>
      </c>
      <c r="M12" s="19">
        <f>'Raw Operating'!M48</f>
        <v>0.82499999999999996</v>
      </c>
      <c r="N12" s="24">
        <f>MIN(0.85,M12+0.005)</f>
        <v>0.83</v>
      </c>
      <c r="O12" s="24">
        <f>MIN(0.85,N12+0.005)</f>
        <v>0.83499999999999996</v>
      </c>
      <c r="P12" s="24">
        <f>MIN(0.85,O12+0.005)</f>
        <v>0.84</v>
      </c>
      <c r="Q12" s="24">
        <f>MIN(0.85,P12+0.005)</f>
        <v>0.84499999999999997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440</v>
      </c>
      <c r="B13" s="1" t="s">
        <v>48</v>
      </c>
      <c r="C13" s="19">
        <f>'Raw Operating'!C49</f>
        <v>0.127</v>
      </c>
      <c r="D13" s="19">
        <f>'Raw Operating'!D49</f>
        <v>0.127</v>
      </c>
      <c r="E13" s="19">
        <f>'Raw Operating'!E49</f>
        <v>0.105</v>
      </c>
      <c r="F13" s="19">
        <f>'Raw Operating'!F49</f>
        <v>0.122</v>
      </c>
      <c r="G13" s="19">
        <f>'Raw Operating'!G49</f>
        <v>0.11800000000000001</v>
      </c>
      <c r="H13" s="19">
        <f>'Raw Operating'!H49</f>
        <v>0.105</v>
      </c>
      <c r="I13" s="19">
        <f>'Raw Operating'!I49</f>
        <v>0.17699999999999999</v>
      </c>
      <c r="J13" s="19">
        <f>'Raw Operating'!J49</f>
        <v>0.14099999999999999</v>
      </c>
      <c r="K13" s="19">
        <f>'Raw Operating'!K49</f>
        <v>0.115</v>
      </c>
      <c r="L13" s="19">
        <f>'Raw Operating'!L49</f>
        <v>0.109</v>
      </c>
      <c r="M13" s="19">
        <f>'Raw Operating'!M49</f>
        <v>0.10800000000000001</v>
      </c>
      <c r="N13" s="24">
        <f>MAX(0.09,M13-0.003)</f>
        <v>0.10500000000000001</v>
      </c>
      <c r="O13" s="24">
        <f>MAX(0.09,N13-0.003)</f>
        <v>0.10200000000000001</v>
      </c>
      <c r="P13" s="24">
        <f>MAX(0.09,O13-0.003)</f>
        <v>9.9000000000000005E-2</v>
      </c>
      <c r="Q13" s="24">
        <f>MAX(0.09,P13-0.003)</f>
        <v>9.6000000000000002E-2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438</v>
      </c>
      <c r="B14" s="1" t="s">
        <v>67</v>
      </c>
      <c r="C14" s="22">
        <f>'Raw Operating'!C47</f>
        <v>0</v>
      </c>
      <c r="D14" s="22">
        <f>'Raw Operating'!D47</f>
        <v>0</v>
      </c>
      <c r="E14" s="22">
        <f>'Raw Operating'!E47</f>
        <v>0</v>
      </c>
      <c r="F14" s="22">
        <f>'Raw Operating'!F47</f>
        <v>0</v>
      </c>
      <c r="G14" s="22">
        <f>'Raw Operating'!G47</f>
        <v>0</v>
      </c>
      <c r="H14" s="22">
        <f>'Raw Operating'!H47</f>
        <v>0</v>
      </c>
      <c r="I14" s="22">
        <f>'Raw Operating'!I47</f>
        <v>0</v>
      </c>
      <c r="J14" s="22">
        <f>'Raw Operating'!J47</f>
        <v>0</v>
      </c>
      <c r="K14" s="22">
        <f>'Raw Operating'!K47</f>
        <v>0</v>
      </c>
      <c r="L14" s="22">
        <f>'Raw Operating'!L47</f>
        <v>0</v>
      </c>
      <c r="M14" s="22">
        <f>'Raw Operating'!M47</f>
        <v>71795</v>
      </c>
      <c r="N14" s="26">
        <f>IFERROR('Order Book &amp; Revenue'!N33*1000000/N8,"")</f>
        <v>81863.791980444192</v>
      </c>
      <c r="O14" s="26">
        <f>IFERROR('Order Book &amp; Revenue'!O33*1000000/O8,"")</f>
        <v>92283.848912500864</v>
      </c>
      <c r="P14" s="26">
        <f>IFERROR('Order Book &amp; Revenue'!P33*1000000/P8,"")</f>
        <v>102929.17626649399</v>
      </c>
      <c r="Q14" s="26">
        <f>IFERROR('Order Book &amp; Revenue'!Q33*1000000/Q8,"")</f>
        <v>113852.81594728859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610</v>
      </c>
      <c r="B15" s="1" t="s">
        <v>67</v>
      </c>
      <c r="C15" s="22">
        <f>IFERROR('Order Book &amp; Revenue'!C33*1000000/C10,"")</f>
        <v>0</v>
      </c>
      <c r="D15" s="22">
        <f>IFERROR('Order Book &amp; Revenue'!D33*1000000/D10,"")</f>
        <v>0</v>
      </c>
      <c r="E15" s="22">
        <f>IFERROR('Order Book &amp; Revenue'!E33*1000000/E10,"")</f>
        <v>0</v>
      </c>
      <c r="F15" s="22">
        <f>IFERROR('Order Book &amp; Revenue'!F33*1000000/F10,"")</f>
        <v>0</v>
      </c>
      <c r="G15" s="22">
        <f>IFERROR('Order Book &amp; Revenue'!G33*1000000/G10,"")</f>
        <v>0</v>
      </c>
      <c r="H15" s="22">
        <f>IFERROR('Order Book &amp; Revenue'!H33*1000000/H10,"")</f>
        <v>0</v>
      </c>
      <c r="I15" s="22">
        <f>IFERROR('Order Book &amp; Revenue'!I33*1000000/I10,"")</f>
        <v>40692.213769136848</v>
      </c>
      <c r="J15" s="22">
        <f>IFERROR('Order Book &amp; Revenue'!J33*1000000/J10,"")</f>
        <v>45917.946367178549</v>
      </c>
      <c r="K15" s="22">
        <f>IFERROR('Order Book &amp; Revenue'!K33*1000000/K10,"")</f>
        <v>48130.619971604356</v>
      </c>
      <c r="L15" s="22">
        <f>IFERROR('Order Book &amp; Revenue'!L33*1000000/L10,"")</f>
        <v>46182.305288001531</v>
      </c>
      <c r="M15" s="22">
        <f>IFERROR('Order Book &amp; Revenue'!M33*1000000/M10,"")</f>
        <v>55583.628094997475</v>
      </c>
      <c r="N15" s="26">
        <f>IFERROR('Order Book &amp; Revenue'!N33*1000000/N10,"")</f>
        <v>61397.843985333144</v>
      </c>
      <c r="O15" s="26">
        <f>IFERROR('Order Book &amp; Revenue'!O33*1000000/O10,"")</f>
        <v>69212.886684375655</v>
      </c>
      <c r="P15" s="26">
        <f>IFERROR('Order Book &amp; Revenue'!P33*1000000/P10,"")</f>
        <v>77196.882199870481</v>
      </c>
      <c r="Q15" s="26">
        <f>IFERROR('Order Book &amp; Revenue'!Q33*1000000/Q10,"")</f>
        <v>85389.611960466427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611</v>
      </c>
      <c r="B16" s="1" t="s">
        <v>48</v>
      </c>
      <c r="C16" s="1"/>
      <c r="D16" s="19">
        <f t="shared" ref="D16:Q16" si="1">IFERROR(D7/C7-1,"")</f>
        <v>-6.5745040101308549E-2</v>
      </c>
      <c r="E16" s="19">
        <f t="shared" si="1"/>
        <v>6.4384954252795668E-2</v>
      </c>
      <c r="F16" s="19">
        <f t="shared" si="1"/>
        <v>8.9143584845590595E-2</v>
      </c>
      <c r="G16" s="19">
        <f t="shared" si="1"/>
        <v>8.701159505018019E-2</v>
      </c>
      <c r="H16" s="19">
        <f t="shared" si="1"/>
        <v>0.11070276084618147</v>
      </c>
      <c r="I16" s="19">
        <f t="shared" si="1"/>
        <v>0.81583407311758527</v>
      </c>
      <c r="J16" s="19">
        <f t="shared" si="1"/>
        <v>3.2177777777777861E-2</v>
      </c>
      <c r="K16" s="19">
        <f t="shared" si="1"/>
        <v>6.4674474681364114E-2</v>
      </c>
      <c r="L16" s="19">
        <f t="shared" si="1"/>
        <v>0.35472781687292732</v>
      </c>
      <c r="M16" s="19">
        <f t="shared" si="1"/>
        <v>6.8065796937039069E-2</v>
      </c>
      <c r="N16" s="24">
        <f t="shared" si="1"/>
        <v>0.17694372458009955</v>
      </c>
      <c r="O16" s="24">
        <f t="shared" si="1"/>
        <v>0.1286101809610074</v>
      </c>
      <c r="P16" s="24">
        <f t="shared" si="1"/>
        <v>0.11605475081301564</v>
      </c>
      <c r="Q16" s="24">
        <f t="shared" si="1"/>
        <v>0.1065117142937495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47</v>
      </c>
      <c r="B17" s="1" t="s">
        <v>48</v>
      </c>
      <c r="C17" s="1"/>
      <c r="D17" s="19">
        <f>'Annual P&amp;L'!D8</f>
        <v>4.462231729588706E-2</v>
      </c>
      <c r="E17" s="19">
        <f>'Annual P&amp;L'!E8</f>
        <v>6.7556475500517577E-2</v>
      </c>
      <c r="F17" s="19">
        <f>'Annual P&amp;L'!F8</f>
        <v>0.22892291234873308</v>
      </c>
      <c r="G17" s="19">
        <f>'Annual P&amp;L'!G8</f>
        <v>0.13810456449594688</v>
      </c>
      <c r="H17" s="19">
        <f>'Annual P&amp;L'!H8</f>
        <v>0.11446258275771415</v>
      </c>
      <c r="I17" s="19">
        <f>'Annual P&amp;L'!I8</f>
        <v>0.37942866946898857</v>
      </c>
      <c r="J17" s="19">
        <f>'Annual P&amp;L'!J8</f>
        <v>0.24605099502487571</v>
      </c>
      <c r="K17" s="19">
        <f>'Annual P&amp;L'!K8</f>
        <v>0.14528485513937062</v>
      </c>
      <c r="L17" s="19">
        <f>'Annual P&amp;L'!L8</f>
        <v>0.31531757272033989</v>
      </c>
      <c r="M17" s="19">
        <f>'Annual P&amp;L'!M8</f>
        <v>0.35859292819693045</v>
      </c>
      <c r="N17" s="24">
        <f>'Annual P&amp;L'!N8</f>
        <v>0.39320827684466586</v>
      </c>
      <c r="O17" s="24">
        <f>'Annual P&amp;L'!O8</f>
        <v>0.28580040213557201</v>
      </c>
      <c r="P17" s="24">
        <f>'Annual P&amp;L'!P8</f>
        <v>0.25789944625114569</v>
      </c>
      <c r="Q17" s="24">
        <f>'Annual P&amp;L'!Q8</f>
        <v>0.23669269843055463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612</v>
      </c>
      <c r="B18" s="1" t="s">
        <v>613</v>
      </c>
      <c r="C18" s="1"/>
      <c r="D18" s="19">
        <f t="shared" ref="D18:Q18" si="2">D17-D16</f>
        <v>0.11036735739719561</v>
      </c>
      <c r="E18" s="19">
        <f t="shared" si="2"/>
        <v>3.171521247721909E-3</v>
      </c>
      <c r="F18" s="19">
        <f t="shared" si="2"/>
        <v>0.13977932750314248</v>
      </c>
      <c r="G18" s="19">
        <f t="shared" si="2"/>
        <v>5.1092969445766689E-2</v>
      </c>
      <c r="H18" s="19">
        <f t="shared" si="2"/>
        <v>3.7598219115326792E-3</v>
      </c>
      <c r="I18" s="19">
        <f t="shared" si="2"/>
        <v>-0.4364054036485967</v>
      </c>
      <c r="J18" s="19">
        <f t="shared" si="2"/>
        <v>0.21387321724709785</v>
      </c>
      <c r="K18" s="19">
        <f t="shared" si="2"/>
        <v>8.0610380458006503E-2</v>
      </c>
      <c r="L18" s="19">
        <f t="shared" si="2"/>
        <v>-3.9410244152587426E-2</v>
      </c>
      <c r="M18" s="19">
        <f t="shared" si="2"/>
        <v>0.29052713125989138</v>
      </c>
      <c r="N18" s="24">
        <f t="shared" si="2"/>
        <v>0.21626455226456631</v>
      </c>
      <c r="O18" s="24">
        <f t="shared" si="2"/>
        <v>0.1571902211745646</v>
      </c>
      <c r="P18" s="24">
        <f t="shared" si="2"/>
        <v>0.14184469543813005</v>
      </c>
      <c r="Q18" s="24">
        <f t="shared" si="2"/>
        <v>0.13018098413680512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594</v>
      </c>
      <c r="B19" s="1" t="s">
        <v>49</v>
      </c>
      <c r="C19" s="21">
        <f>'Order Book &amp; Revenue'!C9*'Order Book &amp; Revenue'!C22</f>
        <v>0</v>
      </c>
      <c r="D19" s="21">
        <f>'Order Book &amp; Revenue'!D9*'Order Book &amp; Revenue'!D22</f>
        <v>0</v>
      </c>
      <c r="E19" s="21">
        <f>'Order Book &amp; Revenue'!E9*'Order Book &amp; Revenue'!E22</f>
        <v>0</v>
      </c>
      <c r="F19" s="21">
        <f>'Order Book &amp; Revenue'!F9*'Order Book &amp; Revenue'!F22</f>
        <v>0</v>
      </c>
      <c r="G19" s="21">
        <f>'Order Book &amp; Revenue'!G9*'Order Book &amp; Revenue'!G22</f>
        <v>0</v>
      </c>
      <c r="H19" s="21">
        <f>'Order Book &amp; Revenue'!H9*'Order Book &amp; Revenue'!H22</f>
        <v>0</v>
      </c>
      <c r="I19" s="21">
        <f>'Order Book &amp; Revenue'!I9*'Order Book &amp; Revenue'!I22</f>
        <v>0</v>
      </c>
      <c r="J19" s="21">
        <f>'Order Book &amp; Revenue'!J9*'Order Book &amp; Revenue'!J22</f>
        <v>0</v>
      </c>
      <c r="K19" s="21">
        <f>'Order Book &amp; Revenue'!K9*'Order Book &amp; Revenue'!K22</f>
        <v>0</v>
      </c>
      <c r="L19" s="21">
        <f>'Order Book &amp; Revenue'!L9*'Order Book &amp; Revenue'!L22</f>
        <v>0</v>
      </c>
      <c r="M19" s="21">
        <f>'Order Book &amp; Revenue'!M9*'Order Book &amp; Revenue'!M22</f>
        <v>0</v>
      </c>
      <c r="N19" s="23">
        <f>'Order Book &amp; Revenue'!N9*'Order Book &amp; Revenue'!N22</f>
        <v>1017.9344999999998</v>
      </c>
      <c r="O19" s="23">
        <f>'Order Book &amp; Revenue'!O9*'Order Book &amp; Revenue'!O22</f>
        <v>1302.8772444256801</v>
      </c>
      <c r="P19" s="23">
        <f>'Order Book &amp; Revenue'!P9*'Order Book &amp; Revenue'!P22</f>
        <v>1633.1093385811523</v>
      </c>
      <c r="Q19" s="23">
        <f>'Order Book &amp; Revenue'!Q9*'Order Book &amp; Revenue'!Q22</f>
        <v>2000.0850781172105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69</v>
      </c>
      <c r="B20" s="1" t="s">
        <v>49</v>
      </c>
      <c r="C20" s="21">
        <f>'Order Book &amp; Revenue'!C24</f>
        <v>0</v>
      </c>
      <c r="D20" s="21">
        <f>'Order Book &amp; Revenue'!D24</f>
        <v>0</v>
      </c>
      <c r="E20" s="21">
        <f>'Order Book &amp; Revenue'!E24</f>
        <v>0</v>
      </c>
      <c r="F20" s="21">
        <f>'Order Book &amp; Revenue'!F24</f>
        <v>0</v>
      </c>
      <c r="G20" s="21">
        <f>'Order Book &amp; Revenue'!G24</f>
        <v>0</v>
      </c>
      <c r="H20" s="21">
        <f>'Order Book &amp; Revenue'!H24</f>
        <v>0</v>
      </c>
      <c r="I20" s="21">
        <f>'Order Book &amp; Revenue'!I24</f>
        <v>0</v>
      </c>
      <c r="J20" s="21">
        <f>'Order Book &amp; Revenue'!J24</f>
        <v>0</v>
      </c>
      <c r="K20" s="21">
        <f>'Order Book &amp; Revenue'!K24</f>
        <v>0</v>
      </c>
      <c r="L20" s="21">
        <f>'Order Book &amp; Revenue'!L24</f>
        <v>0</v>
      </c>
      <c r="M20" s="21">
        <f>'Order Book &amp; Revenue'!M24</f>
        <v>0</v>
      </c>
      <c r="N20" s="23">
        <f>'Order Book &amp; Revenue'!N24</f>
        <v>-10.179344999999998</v>
      </c>
      <c r="O20" s="23">
        <f>'Order Book &amp; Revenue'!O24</f>
        <v>-13.028772444256802</v>
      </c>
      <c r="P20" s="23">
        <f>'Order Book &amp; Revenue'!P24</f>
        <v>-13.064874708649219</v>
      </c>
      <c r="Q20" s="23">
        <f>'Order Book &amp; Revenue'!Q24</f>
        <v>-10.000425390586052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157</v>
      </c>
      <c r="B21" s="1" t="s">
        <v>49</v>
      </c>
      <c r="C21" s="21">
        <f>'Order Book &amp; Revenue'!C28</f>
        <v>0</v>
      </c>
      <c r="D21" s="21">
        <f>'Order Book &amp; Revenue'!D28</f>
        <v>0</v>
      </c>
      <c r="E21" s="21">
        <f>'Order Book &amp; Revenue'!E28</f>
        <v>0</v>
      </c>
      <c r="F21" s="21">
        <f>'Order Book &amp; Revenue'!F28</f>
        <v>0</v>
      </c>
      <c r="G21" s="21">
        <f>'Order Book &amp; Revenue'!G28</f>
        <v>0</v>
      </c>
      <c r="H21" s="21">
        <f>'Order Book &amp; Revenue'!H28</f>
        <v>0</v>
      </c>
      <c r="I21" s="21">
        <f>'Order Book &amp; Revenue'!I28</f>
        <v>0</v>
      </c>
      <c r="J21" s="21">
        <f>'Order Book &amp; Revenue'!J28</f>
        <v>0</v>
      </c>
      <c r="K21" s="21">
        <f>'Order Book &amp; Revenue'!K28</f>
        <v>0</v>
      </c>
      <c r="L21" s="21">
        <f>'Order Book &amp; Revenue'!L28</f>
        <v>0</v>
      </c>
      <c r="M21" s="21">
        <f>'Order Book &amp; Revenue'!M28</f>
        <v>0</v>
      </c>
      <c r="N21" s="23">
        <f>'Order Book &amp; Revenue'!N28</f>
        <v>35.716999999999999</v>
      </c>
      <c r="O21" s="23">
        <f>'Order Book &amp; Revenue'!O28</f>
        <v>69.796995237090002</v>
      </c>
      <c r="P21" s="23">
        <f>'Order Book &amp; Revenue'!P28</f>
        <v>103.92513972789151</v>
      </c>
      <c r="Q21" s="23">
        <f>'Order Book &amp; Revenue'!Q28</f>
        <v>148.15445023090447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614</v>
      </c>
      <c r="B22" s="1" t="s">
        <v>49</v>
      </c>
      <c r="C22" s="21">
        <f t="shared" ref="C22:Q22" si="3">SUM(C20:C21)</f>
        <v>0</v>
      </c>
      <c r="D22" s="21">
        <f t="shared" si="3"/>
        <v>0</v>
      </c>
      <c r="E22" s="21">
        <f t="shared" si="3"/>
        <v>0</v>
      </c>
      <c r="F22" s="21">
        <f t="shared" si="3"/>
        <v>0</v>
      </c>
      <c r="G22" s="21">
        <f t="shared" si="3"/>
        <v>0</v>
      </c>
      <c r="H22" s="21">
        <f t="shared" si="3"/>
        <v>0</v>
      </c>
      <c r="I22" s="21">
        <f t="shared" si="3"/>
        <v>0</v>
      </c>
      <c r="J22" s="21">
        <f t="shared" si="3"/>
        <v>0</v>
      </c>
      <c r="K22" s="21">
        <f t="shared" si="3"/>
        <v>0</v>
      </c>
      <c r="L22" s="21">
        <f t="shared" si="3"/>
        <v>0</v>
      </c>
      <c r="M22" s="21">
        <f t="shared" si="3"/>
        <v>0</v>
      </c>
      <c r="N22" s="23">
        <f t="shared" si="3"/>
        <v>25.537655000000001</v>
      </c>
      <c r="O22" s="23">
        <f t="shared" si="3"/>
        <v>56.7682227928332</v>
      </c>
      <c r="P22" s="23">
        <f t="shared" si="3"/>
        <v>90.860265019242291</v>
      </c>
      <c r="Q22" s="23">
        <f t="shared" si="3"/>
        <v>138.15402484031841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615</v>
      </c>
      <c r="B23" s="1" t="s">
        <v>48</v>
      </c>
      <c r="C23" s="19">
        <f>'Raw Operating'!C30</f>
        <v>0</v>
      </c>
      <c r="D23" s="19">
        <f>'Raw Operating'!D30</f>
        <v>0</v>
      </c>
      <c r="E23" s="19">
        <f>'Raw Operating'!E30</f>
        <v>0</v>
      </c>
      <c r="F23" s="19">
        <f>'Raw Operating'!F30</f>
        <v>0</v>
      </c>
      <c r="G23" s="19">
        <f>'Raw Operating'!G30</f>
        <v>0</v>
      </c>
      <c r="H23" s="19">
        <f>'Raw Operating'!H30</f>
        <v>0</v>
      </c>
      <c r="I23" s="19">
        <f>'Raw Operating'!I30</f>
        <v>0</v>
      </c>
      <c r="J23" s="19">
        <f>'Raw Operating'!J30</f>
        <v>0.36299999999999999</v>
      </c>
      <c r="K23" s="19">
        <f>'Raw Operating'!K30</f>
        <v>0.35200000000000004</v>
      </c>
      <c r="L23" s="19">
        <f>'Raw Operating'!L30</f>
        <v>0.41299999999999998</v>
      </c>
      <c r="M23" s="19">
        <f>'Raw Operating'!M30</f>
        <v>0.441</v>
      </c>
      <c r="N23" s="24">
        <f>'Vertical &amp; Services'!N29</f>
        <v>0.441</v>
      </c>
      <c r="O23" s="24">
        <f>'Vertical &amp; Services'!O29</f>
        <v>0.441</v>
      </c>
      <c r="P23" s="24">
        <f>'Vertical &amp; Services'!P29</f>
        <v>0.441</v>
      </c>
      <c r="Q23" s="24">
        <f>'Vertical &amp; Services'!Q29</f>
        <v>0.441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616</v>
      </c>
      <c r="B24" s="1" t="s">
        <v>64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6">
        <v>40</v>
      </c>
      <c r="N24" s="17"/>
      <c r="O24" s="17"/>
      <c r="P24" s="17"/>
      <c r="Q24" s="1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617</v>
      </c>
      <c r="B25" s="1" t="s">
        <v>64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6">
        <v>50</v>
      </c>
      <c r="N25" s="17"/>
      <c r="O25" s="17"/>
      <c r="P25" s="17"/>
      <c r="Q25" s="1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618</v>
      </c>
      <c r="B26" s="1" t="s">
        <v>64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6">
        <v>150</v>
      </c>
      <c r="N26" s="17"/>
      <c r="O26" s="17"/>
      <c r="P26" s="17"/>
      <c r="Q26" s="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619</v>
      </c>
      <c r="B27" s="1" t="s">
        <v>620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0" t="s">
        <v>621</v>
      </c>
      <c r="N27" s="17"/>
      <c r="O27" s="17"/>
      <c r="P27" s="17"/>
      <c r="Q27" s="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622</v>
      </c>
      <c r="B28" s="1" t="s">
        <v>77</v>
      </c>
      <c r="C28" s="63" t="s">
        <v>623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4"/>
      <c r="O28" s="64"/>
      <c r="P28" s="64"/>
      <c r="Q28" s="64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  <c r="O29" s="17"/>
      <c r="P29" s="17"/>
      <c r="Q29" s="1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  <c r="O30" s="17"/>
      <c r="P30" s="17"/>
      <c r="Q30" s="1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  <c r="O31" s="17"/>
      <c r="P31" s="17"/>
      <c r="Q31" s="1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  <c r="O32" s="17"/>
      <c r="P32" s="17"/>
      <c r="Q32" s="1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  <c r="O33" s="17"/>
      <c r="P33" s="17"/>
      <c r="Q33" s="1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  <c r="O34" s="17"/>
      <c r="P34" s="17"/>
      <c r="Q34" s="1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3">
    <mergeCell ref="A1:Q1"/>
    <mergeCell ref="A2:Q2"/>
    <mergeCell ref="C28:Q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8" t="s">
        <v>624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625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70</v>
      </c>
      <c r="B7" s="1" t="s">
        <v>58</v>
      </c>
      <c r="C7" s="12">
        <v>99.339996337890625</v>
      </c>
      <c r="D7" s="12">
        <v>87.120002746582031</v>
      </c>
      <c r="E7" s="12">
        <v>173</v>
      </c>
      <c r="F7" s="12">
        <v>266.79000854492188</v>
      </c>
      <c r="G7" s="12">
        <v>229.55000305175781</v>
      </c>
      <c r="H7" s="12">
        <v>585.3900146484375</v>
      </c>
      <c r="I7" s="12">
        <v>891.5</v>
      </c>
      <c r="J7" s="12">
        <v>762.82000732421875</v>
      </c>
      <c r="K7" s="12">
        <v>1100.489990234375</v>
      </c>
      <c r="L7" s="12">
        <v>1621.8399658203125</v>
      </c>
      <c r="M7" s="12">
        <v>1114.699951171875</v>
      </c>
      <c r="N7" s="31">
        <f>Assumptions!C55</f>
        <v>2014.5999755859375</v>
      </c>
      <c r="O7" s="31">
        <f>Assumptions!D55</f>
        <v>2014.5999755859375</v>
      </c>
      <c r="P7" s="31">
        <f>Assumptions!E55</f>
        <v>2014.5999755859375</v>
      </c>
      <c r="Q7" s="31">
        <f>Assumptions!F55</f>
        <v>2014.5999755859375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221</v>
      </c>
      <c r="B8" s="1" t="s">
        <v>222</v>
      </c>
      <c r="C8" s="22">
        <f>'Annual P&amp;L'!C33</f>
        <v>307.31402568605932</v>
      </c>
      <c r="D8" s="22">
        <f>'Annual P&amp;L'!D33</f>
        <v>307.1726848440187</v>
      </c>
      <c r="E8" s="22">
        <f>'Annual P&amp;L'!E33</f>
        <v>308.99867666519623</v>
      </c>
      <c r="F8" s="22">
        <f>'Annual P&amp;L'!F33</f>
        <v>311.52479530356862</v>
      </c>
      <c r="G8" s="22">
        <f>'Annual P&amp;L'!G33</f>
        <v>312.80822882908274</v>
      </c>
      <c r="H8" s="22">
        <f>'Annual P&amp;L'!H33</f>
        <v>310.82003001773774</v>
      </c>
      <c r="I8" s="22">
        <f>'Annual P&amp;L'!I33</f>
        <v>310.59894855426211</v>
      </c>
      <c r="J8" s="22">
        <f>'Annual P&amp;L'!J33</f>
        <v>311.03738904330675</v>
      </c>
      <c r="K8" s="22">
        <f>'Annual P&amp;L'!K33</f>
        <v>311.75245003472492</v>
      </c>
      <c r="L8" s="22">
        <f>'Annual P&amp;L'!L33</f>
        <v>332.6915198689062</v>
      </c>
      <c r="M8" s="22">
        <f>'Annual P&amp;L'!M33</f>
        <v>338.93246187363837</v>
      </c>
      <c r="N8" s="26">
        <f>'Annual P&amp;L'!N33</f>
        <v>425</v>
      </c>
      <c r="O8" s="26">
        <f>'Annual P&amp;L'!O33</f>
        <v>425</v>
      </c>
      <c r="P8" s="26">
        <f>'Annual P&amp;L'!P33</f>
        <v>425</v>
      </c>
      <c r="Q8" s="26">
        <f>'Annual P&amp;L'!Q33</f>
        <v>425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626</v>
      </c>
      <c r="B9" s="1" t="s">
        <v>46</v>
      </c>
      <c r="C9" s="18">
        <f t="shared" ref="C9:Q9" si="0">IF(C7="","",C7*C8)</f>
        <v>30528.574186235557</v>
      </c>
      <c r="D9" s="18">
        <f t="shared" si="0"/>
        <v>26760.885147285888</v>
      </c>
      <c r="E9" s="18">
        <f t="shared" si="0"/>
        <v>53456.771063078944</v>
      </c>
      <c r="F9" s="18">
        <f t="shared" si="0"/>
        <v>83111.702800994113</v>
      </c>
      <c r="G9" s="18">
        <f t="shared" si="0"/>
        <v>71805.129882330904</v>
      </c>
      <c r="H9" s="18">
        <f t="shared" si="0"/>
        <v>181950.94192511128</v>
      </c>
      <c r="I9" s="18">
        <f t="shared" si="0"/>
        <v>276898.96263612469</v>
      </c>
      <c r="J9" s="18">
        <f t="shared" si="0"/>
        <v>237265.54338812112</v>
      </c>
      <c r="K9" s="18">
        <f t="shared" si="0"/>
        <v>343080.45069425693</v>
      </c>
      <c r="L9" s="18">
        <f t="shared" si="0"/>
        <v>539572.40321289469</v>
      </c>
      <c r="M9" s="18">
        <f t="shared" si="0"/>
        <v>377807.9987011081</v>
      </c>
      <c r="N9" s="25">
        <f t="shared" si="0"/>
        <v>856204.98962402344</v>
      </c>
      <c r="O9" s="25">
        <f t="shared" si="0"/>
        <v>856204.98962402344</v>
      </c>
      <c r="P9" s="25">
        <f t="shared" si="0"/>
        <v>856204.98962402344</v>
      </c>
      <c r="Q9" s="25">
        <f t="shared" si="0"/>
        <v>856204.98962402344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627</v>
      </c>
      <c r="B10" s="1" t="s">
        <v>46</v>
      </c>
      <c r="C10" s="18">
        <f>SUM('Annual Balance Sheet'!C21,'Annual Balance Sheet'!C23)</f>
        <v>3361.9516739999999</v>
      </c>
      <c r="D10" s="18">
        <f>SUM('Annual Balance Sheet'!D21,'Annual Balance Sheet'!D23)</f>
        <v>4075</v>
      </c>
      <c r="E10" s="18">
        <f>SUM('Annual Balance Sheet'!E21,'Annual Balance Sheet'!E23)</f>
        <v>4183</v>
      </c>
      <c r="F10" s="18">
        <f>SUM('Annual Balance Sheet'!F21,'Annual Balance Sheet'!F23)</f>
        <v>5576</v>
      </c>
      <c r="G10" s="18">
        <f>SUM('Annual Balance Sheet'!G21,'Annual Balance Sheet'!G23)</f>
        <v>9034</v>
      </c>
      <c r="H10" s="18">
        <f>SUM('Annual Balance Sheet'!H21,'Annual Balance Sheet'!H23)</f>
        <v>8122</v>
      </c>
      <c r="I10" s="18">
        <f>SUM('Annual Balance Sheet'!I21,'Annual Balance Sheet'!I23)</f>
        <v>4535</v>
      </c>
      <c r="J10" s="18">
        <f>SUM('Annual Balance Sheet'!J21,'Annual Balance Sheet'!J23)</f>
        <v>5787</v>
      </c>
      <c r="K10" s="18">
        <f>SUM('Annual Balance Sheet'!K21,'Annual Balance Sheet'!K23)</f>
        <v>3352</v>
      </c>
      <c r="L10" s="18">
        <f>SUM('Annual Balance Sheet'!L21,'Annual Balance Sheet'!L23)</f>
        <v>8832</v>
      </c>
      <c r="M10" s="18">
        <f>SUM('Annual Balance Sheet'!M21,'Annual Balance Sheet'!M23)</f>
        <v>10992</v>
      </c>
      <c r="N10" s="25">
        <f>SUM('Annual Balance Sheet'!N21,'Annual Balance Sheet'!N23)</f>
        <v>13436.218905427551</v>
      </c>
      <c r="O10" s="25">
        <f>SUM('Annual Balance Sheet'!O21,'Annual Balance Sheet'!O23)</f>
        <v>8327.861789081715</v>
      </c>
      <c r="P10" s="25">
        <f>SUM('Annual Balance Sheet'!P21,'Annual Balance Sheet'!P23)</f>
        <v>3716.7486665003271</v>
      </c>
      <c r="Q10" s="25">
        <f>SUM('Annual Balance Sheet'!Q21,'Annual Balance Sheet'!Q23)</f>
        <v>29969.931113009337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628</v>
      </c>
      <c r="B11" s="1" t="s">
        <v>46</v>
      </c>
      <c r="C11" s="18">
        <f>SUM('Annual Balance Sheet'!C35,'Annual Balance Sheet'!C36,'Annual Balance Sheet'!C42,'Annual Balance Sheet'!C43)</f>
        <v>63.791705999999998</v>
      </c>
      <c r="D11" s="18">
        <f>SUM('Annual Balance Sheet'!D35,'Annual Balance Sheet'!D36,'Annual Balance Sheet'!D42,'Annual Balance Sheet'!D43)</f>
        <v>74</v>
      </c>
      <c r="E11" s="18">
        <f>SUM('Annual Balance Sheet'!E35,'Annual Balance Sheet'!E36,'Annual Balance Sheet'!E42,'Annual Balance Sheet'!E43)</f>
        <v>179</v>
      </c>
      <c r="F11" s="18">
        <f>SUM('Annual Balance Sheet'!F35,'Annual Balance Sheet'!F36,'Annual Balance Sheet'!F42,'Annual Balance Sheet'!F43)</f>
        <v>100</v>
      </c>
      <c r="G11" s="18">
        <f>SUM('Annual Balance Sheet'!G35,'Annual Balance Sheet'!G36,'Annual Balance Sheet'!G42,'Annual Balance Sheet'!G43)</f>
        <v>48</v>
      </c>
      <c r="H11" s="18">
        <f>SUM('Annual Balance Sheet'!H35,'Annual Balance Sheet'!H36,'Annual Balance Sheet'!H42,'Annual Balance Sheet'!H43)</f>
        <v>5</v>
      </c>
      <c r="I11" s="18">
        <f>SUM('Annual Balance Sheet'!I35,'Annual Balance Sheet'!I36,'Annual Balance Sheet'!I42,'Annual Balance Sheet'!I43)</f>
        <v>3545</v>
      </c>
      <c r="J11" s="18">
        <f>SUM('Annual Balance Sheet'!J35,'Annual Balance Sheet'!J36,'Annual Balance Sheet'!J42,'Annual Balance Sheet'!J43)</f>
        <v>3395</v>
      </c>
      <c r="K11" s="18">
        <f>SUM('Annual Balance Sheet'!K35,'Annual Balance Sheet'!K36,'Annual Balance Sheet'!K42,'Annual Balance Sheet'!K43)</f>
        <v>6306</v>
      </c>
      <c r="L11" s="18">
        <f>SUM('Annual Balance Sheet'!L35,'Annual Balance Sheet'!L36,'Annual Balance Sheet'!L42,'Annual Balance Sheet'!L43)</f>
        <v>10704</v>
      </c>
      <c r="M11" s="18">
        <f>SUM('Annual Balance Sheet'!M35,'Annual Balance Sheet'!M36,'Annual Balance Sheet'!M42,'Annual Balance Sheet'!M43)</f>
        <v>7278</v>
      </c>
      <c r="N11" s="25">
        <f>SUM('Annual Balance Sheet'!N35,'Annual Balance Sheet'!N36,'Annual Balance Sheet'!N42,'Annual Balance Sheet'!N43)</f>
        <v>50177.868870129998</v>
      </c>
      <c r="O11" s="25">
        <f>SUM('Annual Balance Sheet'!O35,'Annual Balance Sheet'!O36,'Annual Balance Sheet'!O42,'Annual Balance Sheet'!O43)</f>
        <v>30207.581455298347</v>
      </c>
      <c r="P11" s="25">
        <f>SUM('Annual Balance Sheet'!P35,'Annual Balance Sheet'!P36,'Annual Balance Sheet'!P42,'Annual Balance Sheet'!P43)</f>
        <v>5266.2665517345231</v>
      </c>
      <c r="Q11" s="25">
        <f>SUM('Annual Balance Sheet'!Q35,'Annual Balance Sheet'!Q36,'Annual Balance Sheet'!Q42,'Annual Balance Sheet'!Q43)</f>
        <v>6235.2075251175565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629</v>
      </c>
      <c r="B12" s="1" t="s">
        <v>46</v>
      </c>
      <c r="C12" s="18">
        <f t="shared" ref="C12:Q12" si="1">IF(C9="","",C9-C10+C11)</f>
        <v>27230.414218235557</v>
      </c>
      <c r="D12" s="18">
        <f t="shared" si="1"/>
        <v>22759.885147285888</v>
      </c>
      <c r="E12" s="18">
        <f t="shared" si="1"/>
        <v>49452.771063078944</v>
      </c>
      <c r="F12" s="18">
        <f t="shared" si="1"/>
        <v>77635.702800994113</v>
      </c>
      <c r="G12" s="18">
        <f t="shared" si="1"/>
        <v>62819.129882330904</v>
      </c>
      <c r="H12" s="18">
        <f t="shared" si="1"/>
        <v>173833.94192511128</v>
      </c>
      <c r="I12" s="18">
        <f t="shared" si="1"/>
        <v>275908.96263612469</v>
      </c>
      <c r="J12" s="18">
        <f t="shared" si="1"/>
        <v>234873.54338812112</v>
      </c>
      <c r="K12" s="18">
        <f t="shared" si="1"/>
        <v>346034.45069425693</v>
      </c>
      <c r="L12" s="18">
        <f t="shared" si="1"/>
        <v>541444.40321289469</v>
      </c>
      <c r="M12" s="18">
        <f t="shared" si="1"/>
        <v>374093.9987011081</v>
      </c>
      <c r="N12" s="25">
        <f t="shared" si="1"/>
        <v>892946.63958872599</v>
      </c>
      <c r="O12" s="25">
        <f t="shared" si="1"/>
        <v>878084.70929024008</v>
      </c>
      <c r="P12" s="25">
        <f t="shared" si="1"/>
        <v>857754.50750925764</v>
      </c>
      <c r="Q12" s="25">
        <f t="shared" si="1"/>
        <v>832470.26603613165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57</v>
      </c>
      <c r="B13" s="1" t="s">
        <v>58</v>
      </c>
      <c r="C13" s="20">
        <f>'Annual P&amp;L'!C35</f>
        <v>9.11</v>
      </c>
      <c r="D13" s="20">
        <f>'Annual P&amp;L'!D35</f>
        <v>8.1419999999999995</v>
      </c>
      <c r="E13" s="20">
        <f>'Annual P&amp;L'!E35</f>
        <v>9.0680000000000014</v>
      </c>
      <c r="F13" s="20">
        <f>'Annual P&amp;L'!F35</f>
        <v>12.946000000000002</v>
      </c>
      <c r="G13" s="20">
        <f>'Annual P&amp;L'!G35</f>
        <v>14.193999999999999</v>
      </c>
      <c r="H13" s="20">
        <f>'Annual P&amp;L'!H35</f>
        <v>14.658000000000001</v>
      </c>
      <c r="I13" s="20">
        <f>'Annual P&amp;L'!I35</f>
        <v>21.303999999999998</v>
      </c>
      <c r="J13" s="20">
        <f>'Annual P&amp;L'!J35</f>
        <v>22.306000000000001</v>
      </c>
      <c r="K13" s="20">
        <f>'Annual P&amp;L'!K35</f>
        <v>25.917999999999999</v>
      </c>
      <c r="L13" s="20">
        <f>'Annual P&amp;L'!L35</f>
        <v>24.41</v>
      </c>
      <c r="M13" s="20">
        <f>'Annual P&amp;L'!M35</f>
        <v>45.9</v>
      </c>
      <c r="N13" s="31">
        <f>'Annual P&amp;L'!N35</f>
        <v>57.421286955087169</v>
      </c>
      <c r="O13" s="31">
        <f>'Annual P&amp;L'!O35</f>
        <v>81.120718211984155</v>
      </c>
      <c r="P13" s="31">
        <f>'Annual P&amp;L'!P35</f>
        <v>111.06751767688905</v>
      </c>
      <c r="Q13" s="31">
        <f>'Annual P&amp;L'!Q35</f>
        <v>145.2574187318952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71</v>
      </c>
      <c r="B14" s="1" t="s">
        <v>72</v>
      </c>
      <c r="C14" s="32">
        <f t="shared" ref="C14:Q14" si="2">IFERROR(C7/C13,"")</f>
        <v>10.904500146859565</v>
      </c>
      <c r="D14" s="32">
        <f t="shared" si="2"/>
        <v>10.700074029302632</v>
      </c>
      <c r="E14" s="32">
        <f t="shared" si="2"/>
        <v>19.07807675341861</v>
      </c>
      <c r="F14" s="32">
        <f t="shared" si="2"/>
        <v>20.607910439125742</v>
      </c>
      <c r="G14" s="32">
        <f t="shared" si="2"/>
        <v>16.172326550074526</v>
      </c>
      <c r="H14" s="32">
        <f t="shared" si="2"/>
        <v>39.936554417276398</v>
      </c>
      <c r="I14" s="32">
        <f t="shared" si="2"/>
        <v>41.846601577168613</v>
      </c>
      <c r="J14" s="32">
        <f t="shared" si="2"/>
        <v>34.197973967731492</v>
      </c>
      <c r="K14" s="32">
        <f t="shared" si="2"/>
        <v>42.460451818596148</v>
      </c>
      <c r="L14" s="32">
        <f t="shared" si="2"/>
        <v>66.44162088571538</v>
      </c>
      <c r="M14" s="32">
        <f t="shared" si="2"/>
        <v>24.28540198631536</v>
      </c>
      <c r="N14" s="33">
        <f t="shared" si="2"/>
        <v>35.084549344247264</v>
      </c>
      <c r="O14" s="33">
        <f t="shared" si="2"/>
        <v>24.834592444329665</v>
      </c>
      <c r="P14" s="33">
        <f t="shared" si="2"/>
        <v>18.1385162622135</v>
      </c>
      <c r="Q14" s="33">
        <f t="shared" si="2"/>
        <v>13.869170973665234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54</v>
      </c>
      <c r="B15" s="1" t="s">
        <v>46</v>
      </c>
      <c r="C15" s="18">
        <f>'Annual P&amp;L'!C16</f>
        <v>4841.721881999998</v>
      </c>
      <c r="D15" s="18">
        <f>'Annual P&amp;L'!D16</f>
        <v>4794</v>
      </c>
      <c r="E15" s="18">
        <f>'Annual P&amp;L'!E16</f>
        <v>5013</v>
      </c>
      <c r="F15" s="18">
        <f>'Annual P&amp;L'!F16</f>
        <v>6485</v>
      </c>
      <c r="G15" s="18">
        <f>'Annual P&amp;L'!G16</f>
        <v>7233</v>
      </c>
      <c r="H15" s="18">
        <f>'Annual P&amp;L'!H16</f>
        <v>7795</v>
      </c>
      <c r="I15" s="18">
        <f>'Annual P&amp;L'!I16</f>
        <v>11019</v>
      </c>
      <c r="J15" s="18">
        <f>'Annual P&amp;L'!J16</f>
        <v>12807</v>
      </c>
      <c r="K15" s="18">
        <f>'Annual P&amp;L'!K16</f>
        <v>16155.039999999999</v>
      </c>
      <c r="L15" s="18">
        <f>'Annual P&amp;L'!L16</f>
        <v>17264.819</v>
      </c>
      <c r="M15" s="18">
        <f>'Annual P&amp;L'!M16</f>
        <v>30509.022000000001</v>
      </c>
      <c r="N15" s="25">
        <f>'Annual P&amp;L'!N16</f>
        <v>45476.231031174</v>
      </c>
      <c r="O15" s="25">
        <f>'Annual P&amp;L'!O16</f>
        <v>60530.207871274884</v>
      </c>
      <c r="P15" s="25">
        <f>'Annual P&amp;L'!P16</f>
        <v>78358.611515056327</v>
      </c>
      <c r="Q15" s="25">
        <f>'Annual P&amp;L'!Q16</f>
        <v>99191.030331143207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73</v>
      </c>
      <c r="B16" s="1" t="s">
        <v>72</v>
      </c>
      <c r="C16" s="32">
        <f t="shared" ref="C16:Q16" si="3">IFERROR(C12/C15,"")</f>
        <v>5.624117799799631</v>
      </c>
      <c r="D16" s="32">
        <f t="shared" si="3"/>
        <v>4.7475772105310572</v>
      </c>
      <c r="E16" s="32">
        <f t="shared" si="3"/>
        <v>9.8649054584238876</v>
      </c>
      <c r="F16" s="32">
        <f t="shared" si="3"/>
        <v>11.971581002466325</v>
      </c>
      <c r="G16" s="32">
        <f t="shared" si="3"/>
        <v>8.6850725677216793</v>
      </c>
      <c r="H16" s="32">
        <f t="shared" si="3"/>
        <v>22.30069813022595</v>
      </c>
      <c r="I16" s="32">
        <f t="shared" si="3"/>
        <v>25.039383123343743</v>
      </c>
      <c r="J16" s="32">
        <f t="shared" si="3"/>
        <v>18.339466181628886</v>
      </c>
      <c r="K16" s="32">
        <f t="shared" si="3"/>
        <v>21.41959727083665</v>
      </c>
      <c r="L16" s="32">
        <f t="shared" si="3"/>
        <v>31.361139853994107</v>
      </c>
      <c r="M16" s="32">
        <f t="shared" si="3"/>
        <v>12.261749940758772</v>
      </c>
      <c r="N16" s="33">
        <f t="shared" si="3"/>
        <v>19.635458333752641</v>
      </c>
      <c r="O16" s="33">
        <f t="shared" si="3"/>
        <v>14.506553672467108</v>
      </c>
      <c r="P16" s="33">
        <f t="shared" si="3"/>
        <v>10.946525096918585</v>
      </c>
      <c r="Q16" s="33">
        <f t="shared" si="3"/>
        <v>8.3925962181961449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461</v>
      </c>
      <c r="B17" s="1" t="s">
        <v>58</v>
      </c>
      <c r="C17" s="20">
        <f>'Annual P&amp;L'!C37</f>
        <v>2.3939725537707637</v>
      </c>
      <c r="D17" s="20">
        <f>'Annual P&amp;L'!D37</f>
        <v>0</v>
      </c>
      <c r="E17" s="20">
        <f>'Annual P&amp;L'!E37</f>
        <v>1.9965160599571736</v>
      </c>
      <c r="F17" s="20">
        <f>'Annual P&amp;L'!F37</f>
        <v>0</v>
      </c>
      <c r="G17" s="20">
        <f>'Annual P&amp;L'!G37</f>
        <v>0</v>
      </c>
      <c r="H17" s="20">
        <f>'Annual P&amp;L'!H37</f>
        <v>2.2489236172080775</v>
      </c>
      <c r="I17" s="20">
        <f>'Annual P&amp;L'!I37</f>
        <v>10.386309203566571</v>
      </c>
      <c r="J17" s="20">
        <f>'Annual P&amp;L'!J37</f>
        <v>11.590175266647448</v>
      </c>
      <c r="K17" s="20">
        <f>'Annual P&amp;L'!K37</f>
        <v>15.188015841584161</v>
      </c>
      <c r="L17" s="20">
        <f>'Annual P&amp;L'!L37</f>
        <v>15.073217584041375</v>
      </c>
      <c r="M17" s="20">
        <f>'Annual P&amp;L'!M37</f>
        <v>15.752643825930448</v>
      </c>
      <c r="N17" s="31">
        <f>'Annual P&amp;L'!N37</f>
        <v>20.198442647518096</v>
      </c>
      <c r="O17" s="31">
        <f>'Annual P&amp;L'!O37</f>
        <v>30.165493204456418</v>
      </c>
      <c r="P17" s="31">
        <f>'Annual P&amp;L'!P37</f>
        <v>43.534001903504247</v>
      </c>
      <c r="Q17" s="31">
        <f>'Annual P&amp;L'!Q37</f>
        <v>58.394942203776964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630</v>
      </c>
      <c r="B18" s="1" t="s">
        <v>48</v>
      </c>
      <c r="C18" s="19">
        <f t="shared" ref="C18:Q18" si="4">IFERROR(C17/C7,"")</f>
        <v>2.4098778357390032E-2</v>
      </c>
      <c r="D18" s="19">
        <f t="shared" si="4"/>
        <v>0</v>
      </c>
      <c r="E18" s="19">
        <f t="shared" si="4"/>
        <v>1.1540555259868055E-2</v>
      </c>
      <c r="F18" s="19">
        <f t="shared" si="4"/>
        <v>0</v>
      </c>
      <c r="G18" s="19">
        <f t="shared" si="4"/>
        <v>0</v>
      </c>
      <c r="H18" s="19">
        <f t="shared" si="4"/>
        <v>3.841752610964322E-3</v>
      </c>
      <c r="I18" s="19">
        <f t="shared" si="4"/>
        <v>1.1650374877808829E-2</v>
      </c>
      <c r="J18" s="19">
        <f t="shared" si="4"/>
        <v>1.5193853275168904E-2</v>
      </c>
      <c r="K18" s="19">
        <f t="shared" si="4"/>
        <v>1.3801139470927417E-2</v>
      </c>
      <c r="L18" s="19">
        <f t="shared" si="4"/>
        <v>9.2938994609233667E-3</v>
      </c>
      <c r="M18" s="19">
        <f t="shared" si="4"/>
        <v>1.4131734561726518E-2</v>
      </c>
      <c r="N18" s="24">
        <f t="shared" si="4"/>
        <v>1.0026031416804455E-2</v>
      </c>
      <c r="O18" s="24">
        <f t="shared" si="4"/>
        <v>1.4973440668132103E-2</v>
      </c>
      <c r="P18" s="24">
        <f t="shared" si="4"/>
        <v>2.1609253663791281E-2</v>
      </c>
      <c r="Q18" s="24">
        <f t="shared" si="4"/>
        <v>2.8985874571349109E-2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224</v>
      </c>
      <c r="B19" s="1" t="s">
        <v>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3">
        <f>Assumptions!C48</f>
        <v>39</v>
      </c>
      <c r="O19" s="33">
        <f>Assumptions!D48</f>
        <v>36</v>
      </c>
      <c r="P19" s="33">
        <f>Assumptions!E48</f>
        <v>33</v>
      </c>
      <c r="Q19" s="33">
        <f>Assumptions!F48</f>
        <v>31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631</v>
      </c>
      <c r="B20" s="1" t="s">
        <v>58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1">
        <f>N13*N19</f>
        <v>2239.4301912483998</v>
      </c>
      <c r="O20" s="31">
        <f>O13*O19</f>
        <v>2920.3458556314295</v>
      </c>
      <c r="P20" s="31">
        <f>P13*P19</f>
        <v>3665.2280833373388</v>
      </c>
      <c r="Q20" s="31">
        <f>Q13*Q19</f>
        <v>4502.9799806887513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226</v>
      </c>
      <c r="B21" s="1" t="s">
        <v>72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3">
        <f>Assumptions!C49</f>
        <v>22</v>
      </c>
      <c r="O21" s="33">
        <f>Assumptions!D49</f>
        <v>20</v>
      </c>
      <c r="P21" s="33">
        <f>Assumptions!E49</f>
        <v>18.5</v>
      </c>
      <c r="Q21" s="33">
        <f>Assumptions!F49</f>
        <v>17.5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632</v>
      </c>
      <c r="B22" s="1" t="s">
        <v>58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1">
        <f>(N15*N21+N10-N11)/N8</f>
        <v>2267.6127828732365</v>
      </c>
      <c r="O22" s="31">
        <f>(O15*O21+O10-O11)/O8</f>
        <v>2796.9986770806613</v>
      </c>
      <c r="P22" s="31">
        <f>(P15*P21+P10-P11)/P8</f>
        <v>3407.258341513666</v>
      </c>
      <c r="Q22" s="31">
        <f>(Q15*Q21+Q10-Q11)/Q8</f>
        <v>4140.1829514891715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633</v>
      </c>
      <c r="B23" s="1" t="s">
        <v>46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  <c r="O23" s="17"/>
      <c r="P23" s="17"/>
      <c r="Q23" s="17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228</v>
      </c>
      <c r="B24" s="1" t="s">
        <v>48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5">
        <f>'Annual P&amp;L'!N19*(1-'Annual P&amp;L'!N27)+'Annual P&amp;L'!N18+'Annual Cash Flow'!N21</f>
        <v>30404.952414288993</v>
      </c>
      <c r="O24" s="25">
        <f>'Annual P&amp;L'!O19*(1-'Annual P&amp;L'!O27)+'Annual P&amp;L'!O18+'Annual Cash Flow'!O21</f>
        <v>39374.018712382691</v>
      </c>
      <c r="P24" s="25">
        <f>'Annual P&amp;L'!P19*(1-'Annual P&amp;L'!P27)+'Annual P&amp;L'!P18+'Annual Cash Flow'!P21</f>
        <v>51653.848864288309</v>
      </c>
      <c r="Q24" s="25">
        <f>'Annual P&amp;L'!Q19*(1-'Annual P&amp;L'!Q27)+'Annual P&amp;L'!Q18+'Annual Cash Flow'!Q21</f>
        <v>65251.242303090745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230</v>
      </c>
      <c r="B25" s="1" t="s">
        <v>48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4">
        <f>Assumptions!C50</f>
        <v>0.105</v>
      </c>
      <c r="O25" s="24">
        <f>Assumptions!D50</f>
        <v>0.105</v>
      </c>
      <c r="P25" s="24">
        <f>Assumptions!E50</f>
        <v>0.105</v>
      </c>
      <c r="Q25" s="24">
        <f>Assumptions!F50</f>
        <v>0.105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634</v>
      </c>
      <c r="B26" s="1" t="s">
        <v>46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4">
        <f>Assumptions!C51</f>
        <v>5.5E-2</v>
      </c>
      <c r="O26" s="24">
        <f>Assumptions!D51</f>
        <v>5.5E-2</v>
      </c>
      <c r="P26" s="24">
        <f>Assumptions!E51</f>
        <v>5.5E-2</v>
      </c>
      <c r="Q26" s="24">
        <f>Assumptions!F51</f>
        <v>5.5E-2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635</v>
      </c>
      <c r="B27" s="1" t="s">
        <v>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5">
        <f>SUMPRODUCT(N24:$Q$24,1/(1+N25)^(COLUMN(N24:$Q$24)-COLUMN(N24)+1))+$Q$24*(1+$Q$26)/($Q$25-$Q$26)/(1+$Q$25)^(COLUMN($Q$24)-COLUMN(N24)+1)</f>
        <v>1065281.2317112056</v>
      </c>
      <c r="O27" s="25">
        <f>SUMPRODUCT(O24:$Q$24,1/(1+O25)^(COLUMN(O24:$Q$24)-COLUMN(O24)+1))+$Q$24*(1+$Q$26)/($Q$25-$Q$26)/(1+$Q$25)^(COLUMN($Q$24)-COLUMN(O24)+1)</f>
        <v>1146730.8086265933</v>
      </c>
      <c r="P27" s="25">
        <f>SUMPRODUCT(P24:$Q$24,1/(1+P25)^(COLUMN(P24:$Q$24)-COLUMN(P24)+1))+$Q$24*(1+$Q$26)/($Q$25-$Q$26)/(1+$Q$25)^(COLUMN($Q$24)-COLUMN(P24)+1)</f>
        <v>1227763.524820003</v>
      </c>
      <c r="Q27" s="25">
        <f>SUMPRODUCT(Q24:$Q$24,1/(1+Q25)^(COLUMN(Q24:$Q$24)-COLUMN(Q24)+1))+$Q$24*(1+$Q$26)/($Q$25-$Q$26)/(1+$Q$25)^(COLUMN($Q$24)-COLUMN(Q24)+1)</f>
        <v>1305024.8460618148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636</v>
      </c>
      <c r="B28" s="1" t="s">
        <v>48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1">
        <f>(N27+N10-N11)/N8</f>
        <v>2420.0931335211835</v>
      </c>
      <c r="O28" s="31">
        <f>(O27+O10-O11)/O8</f>
        <v>2646.7084446126514</v>
      </c>
      <c r="P28" s="31">
        <f>(P27+P10-P11)/P8</f>
        <v>2885.2094280818092</v>
      </c>
      <c r="Q28" s="31">
        <f>(Q27+Q10-Q11)/Q8</f>
        <v>3126.4931050581331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637</v>
      </c>
      <c r="B29" s="1" t="s">
        <v>48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4">
        <f>Assumptions!C52</f>
        <v>0.4</v>
      </c>
      <c r="O29" s="24">
        <f>Assumptions!D52</f>
        <v>0.4</v>
      </c>
      <c r="P29" s="24">
        <f>Assumptions!E52</f>
        <v>0.4</v>
      </c>
      <c r="Q29" s="24">
        <f>Assumptions!F52</f>
        <v>0.4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638</v>
      </c>
      <c r="B30" s="1" t="s">
        <v>48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4">
        <f>Assumptions!C53</f>
        <v>0.3</v>
      </c>
      <c r="O30" s="24">
        <f>Assumptions!D53</f>
        <v>0.3</v>
      </c>
      <c r="P30" s="24">
        <f>Assumptions!E53</f>
        <v>0.3</v>
      </c>
      <c r="Q30" s="24">
        <f>Assumptions!F53</f>
        <v>0.3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74</v>
      </c>
      <c r="B31" s="1" t="s">
        <v>58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4">
        <f>Assumptions!C54</f>
        <v>0.3</v>
      </c>
      <c r="O31" s="24">
        <f>Assumptions!D54</f>
        <v>0.3</v>
      </c>
      <c r="P31" s="24">
        <f>Assumptions!E54</f>
        <v>0.3</v>
      </c>
      <c r="Q31" s="24">
        <f>Assumptions!F54</f>
        <v>0.3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75</v>
      </c>
      <c r="B32" s="1" t="s">
        <v>48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1">
        <f>SUMPRODUCT(N20,N29)+SUMPRODUCT(N22,N30)+SUMPRODUCT(N28,N31)</f>
        <v>2302.0838514176858</v>
      </c>
      <c r="O32" s="31">
        <f>SUMPRODUCT(O20,O29)+SUMPRODUCT(O22,O30)+SUMPRODUCT(O28,O31)</f>
        <v>2801.2504787605658</v>
      </c>
      <c r="P32" s="31">
        <f>SUMPRODUCT(P20,P29)+SUMPRODUCT(P22,P30)+SUMPRODUCT(P28,P31)</f>
        <v>3353.8315642135781</v>
      </c>
      <c r="Q32" s="31">
        <f>SUMPRODUCT(Q20,Q29)+SUMPRODUCT(Q22,Q30)+SUMPRODUCT(Q28,Q31)</f>
        <v>3981.1948092396919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639</v>
      </c>
      <c r="B33" s="1" t="s">
        <v>77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4">
        <f>IFERROR(N32/N7-1,"")</f>
        <v>0.14270022799346793</v>
      </c>
      <c r="O33" s="24">
        <f>IFERROR(O32/O7-1,"")</f>
        <v>0.39047479038404864</v>
      </c>
      <c r="P33" s="24">
        <f>IFERROR(P32/P7-1,"")</f>
        <v>0.66476303229286549</v>
      </c>
      <c r="Q33" s="24">
        <f>IFERROR(Q32/Q7-1,"")</f>
        <v>0.97617137768592444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 t="str">
        <f>IF(N7="","ENTER PRICE",IF(N33&gt;=0.15,"OUTPERFORM",IF(N33&gt;=-0.05,"NEUTRAL","UNDERPERFORM")))</f>
        <v>NEUTRAL</v>
      </c>
      <c r="O34" s="17" t="str">
        <f>IF(O7="","ENTER PRICE",IF(O33&gt;=0.15,"OUTPERFORM",IF(O33&gt;=-0.05,"NEUTRAL","UNDERPERFORM")))</f>
        <v>OUTPERFORM</v>
      </c>
      <c r="P34" s="17" t="str">
        <f>IF(P7="","ENTER PRICE",IF(P33&gt;=0.15,"OUTPERFORM",IF(P33&gt;=-0.05,"NEUTRAL","UNDERPERFORM")))</f>
        <v>OUTPERFORM</v>
      </c>
      <c r="Q34" s="17" t="str">
        <f>IF(Q7="","ENTER PRICE",IF(Q33&gt;=0.15,"OUTPERFORM",IF(Q33&gt;=-0.05,"NEUTRAL","UNDERPERFORM")))</f>
        <v>OUTPERFORM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U2826"/>
  <sheetViews>
    <sheetView showGridLines="0" workbookViewId="0"/>
  </sheetViews>
  <sheetFormatPr defaultRowHeight="13.8"/>
  <cols>
    <col min="1" max="1" width="14" customWidth="1"/>
    <col min="2" max="3" width="15" customWidth="1"/>
    <col min="4" max="4" width="16" customWidth="1"/>
    <col min="5" max="5" width="10" customWidth="1"/>
    <col min="6" max="6" width="52" customWidth="1"/>
  </cols>
  <sheetData>
    <row r="1" spans="1:47" ht="25.95" customHeight="1">
      <c r="A1" s="58" t="s">
        <v>640</v>
      </c>
      <c r="B1" s="58"/>
      <c r="C1" s="58"/>
      <c r="D1" s="58"/>
      <c r="E1" s="58"/>
      <c r="F1" s="5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641</v>
      </c>
      <c r="B2" s="59"/>
      <c r="C2" s="59"/>
      <c r="D2" s="59"/>
      <c r="E2" s="59"/>
      <c r="F2" s="5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642</v>
      </c>
      <c r="B5" s="4" t="s">
        <v>643</v>
      </c>
      <c r="C5" s="4" t="s">
        <v>644</v>
      </c>
      <c r="D5" s="4" t="s">
        <v>645</v>
      </c>
      <c r="E5" s="4" t="s">
        <v>646</v>
      </c>
      <c r="F5" s="4" t="s">
        <v>647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37">
        <v>42095.15625</v>
      </c>
      <c r="B6" s="35">
        <v>73.239997863769531</v>
      </c>
      <c r="C6" s="35">
        <v>62.104537963867188</v>
      </c>
      <c r="D6" s="40">
        <v>739400</v>
      </c>
      <c r="E6" s="34" t="s">
        <v>648</v>
      </c>
      <c r="F6" s="34" t="s">
        <v>115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37">
        <v>42100.15625</v>
      </c>
      <c r="B7" s="35">
        <v>73.019996643066406</v>
      </c>
      <c r="C7" s="35">
        <v>61.917995452880859</v>
      </c>
      <c r="D7" s="40">
        <v>168125</v>
      </c>
      <c r="E7" s="34" t="s">
        <v>648</v>
      </c>
      <c r="F7" s="34" t="s">
        <v>115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37">
        <v>42101.15625</v>
      </c>
      <c r="B8" s="35">
        <v>73.459999084472656</v>
      </c>
      <c r="C8" s="35">
        <v>62.291114807128906</v>
      </c>
      <c r="D8" s="40">
        <v>75055</v>
      </c>
      <c r="E8" s="34" t="s">
        <v>648</v>
      </c>
      <c r="F8" s="34" t="s">
        <v>115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37">
        <v>42102.15625</v>
      </c>
      <c r="B9" s="35">
        <v>74.230003356933594</v>
      </c>
      <c r="C9" s="35">
        <v>62.944023132324219</v>
      </c>
      <c r="D9" s="40">
        <v>126195</v>
      </c>
      <c r="E9" s="34" t="s">
        <v>648</v>
      </c>
      <c r="F9" s="34" t="s">
        <v>115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37">
        <v>42103.15625</v>
      </c>
      <c r="B10" s="35">
        <v>73.889999389648438</v>
      </c>
      <c r="C10" s="35">
        <v>62.655719757080078</v>
      </c>
      <c r="D10" s="40">
        <v>276380</v>
      </c>
      <c r="E10" s="34" t="s">
        <v>648</v>
      </c>
      <c r="F10" s="34" t="s">
        <v>115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37">
        <v>42104.15625</v>
      </c>
      <c r="B11" s="35">
        <v>74.339996337890625</v>
      </c>
      <c r="C11" s="35">
        <v>63.037300109863281</v>
      </c>
      <c r="D11" s="40">
        <v>170530</v>
      </c>
      <c r="E11" s="34" t="s">
        <v>648</v>
      </c>
      <c r="F11" s="34" t="s">
        <v>115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37">
        <v>42107.15625</v>
      </c>
      <c r="B12" s="35">
        <v>74.519996643066406</v>
      </c>
      <c r="C12" s="35">
        <v>63.189945220947266</v>
      </c>
      <c r="D12" s="40">
        <v>89135</v>
      </c>
      <c r="E12" s="34" t="s">
        <v>648</v>
      </c>
      <c r="F12" s="34" t="s">
        <v>115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37">
        <v>42109.15625</v>
      </c>
      <c r="B13" s="35">
        <v>74.949996948242188</v>
      </c>
      <c r="C13" s="35">
        <v>63.554550170898438</v>
      </c>
      <c r="D13" s="40">
        <v>785090</v>
      </c>
      <c r="E13" s="34" t="s">
        <v>648</v>
      </c>
      <c r="F13" s="34" t="s">
        <v>115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37">
        <v>42110.15625</v>
      </c>
      <c r="B14" s="35">
        <v>75.80999755859375</v>
      </c>
      <c r="C14" s="35">
        <v>64.283798217773438</v>
      </c>
      <c r="D14" s="40">
        <v>388385</v>
      </c>
      <c r="E14" s="34" t="s">
        <v>648</v>
      </c>
      <c r="F14" s="34" t="s">
        <v>115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37">
        <v>42111.15625</v>
      </c>
      <c r="B15" s="35">
        <v>74.660003662109375</v>
      </c>
      <c r="C15" s="35">
        <v>63.308643341064453</v>
      </c>
      <c r="D15" s="40">
        <v>154735</v>
      </c>
      <c r="E15" s="34" t="s">
        <v>648</v>
      </c>
      <c r="F15" s="34" t="s">
        <v>115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37">
        <v>42114.15625</v>
      </c>
      <c r="B16" s="35">
        <v>74.180000305175781</v>
      </c>
      <c r="C16" s="35">
        <v>62.901630401611328</v>
      </c>
      <c r="D16" s="40">
        <v>137000</v>
      </c>
      <c r="E16" s="34" t="s">
        <v>648</v>
      </c>
      <c r="F16" s="34" t="s">
        <v>115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37">
        <v>42115.15625</v>
      </c>
      <c r="B17" s="35">
        <v>73.80999755859375</v>
      </c>
      <c r="C17" s="35">
        <v>62.587879180908203</v>
      </c>
      <c r="D17" s="40">
        <v>155790</v>
      </c>
      <c r="E17" s="34" t="s">
        <v>648</v>
      </c>
      <c r="F17" s="34" t="s">
        <v>115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37">
        <v>42116.15625</v>
      </c>
      <c r="B18" s="35">
        <v>74.180000305175781</v>
      </c>
      <c r="C18" s="35">
        <v>62.901630401611328</v>
      </c>
      <c r="D18" s="40">
        <v>583105</v>
      </c>
      <c r="E18" s="34" t="s">
        <v>648</v>
      </c>
      <c r="F18" s="34" t="s">
        <v>115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37">
        <v>42117.15625</v>
      </c>
      <c r="B19" s="35">
        <v>73.959999084472656</v>
      </c>
      <c r="C19" s="35">
        <v>62.715076446533203</v>
      </c>
      <c r="D19" s="40">
        <v>53725</v>
      </c>
      <c r="E19" s="34" t="s">
        <v>648</v>
      </c>
      <c r="F19" s="34" t="s">
        <v>115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37">
        <v>42118.15625</v>
      </c>
      <c r="B20" s="35">
        <v>72.959999084472656</v>
      </c>
      <c r="C20" s="35">
        <v>61.867118835449219</v>
      </c>
      <c r="D20" s="40">
        <v>317450</v>
      </c>
      <c r="E20" s="34" t="s">
        <v>648</v>
      </c>
      <c r="F20" s="34" t="s">
        <v>115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37">
        <v>42121.15625</v>
      </c>
      <c r="B21" s="35">
        <v>73.349998474121094</v>
      </c>
      <c r="C21" s="35">
        <v>62.197853088378906</v>
      </c>
      <c r="D21" s="40">
        <v>304115</v>
      </c>
      <c r="E21" s="34" t="s">
        <v>648</v>
      </c>
      <c r="F21" s="34" t="s">
        <v>115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37">
        <v>42122.15625</v>
      </c>
      <c r="B22" s="35">
        <v>72.379997253417969</v>
      </c>
      <c r="C22" s="35">
        <v>61.375274658203125</v>
      </c>
      <c r="D22" s="40">
        <v>271645</v>
      </c>
      <c r="E22" s="34" t="s">
        <v>648</v>
      </c>
      <c r="F22" s="34" t="s">
        <v>115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37">
        <v>42123.15625</v>
      </c>
      <c r="B23" s="35">
        <v>71.800003051757813</v>
      </c>
      <c r="C23" s="35">
        <v>60.883506774902344</v>
      </c>
      <c r="D23" s="40">
        <v>444320</v>
      </c>
      <c r="E23" s="34" t="s">
        <v>648</v>
      </c>
      <c r="F23" s="34" t="s">
        <v>115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37">
        <v>42124.15625</v>
      </c>
      <c r="B24" s="35">
        <v>70.169998168945313</v>
      </c>
      <c r="C24" s="35">
        <v>59.501312255859375</v>
      </c>
      <c r="D24" s="40">
        <v>764450</v>
      </c>
      <c r="E24" s="34" t="s">
        <v>648</v>
      </c>
      <c r="F24" s="34" t="s">
        <v>115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37">
        <v>42128.15625</v>
      </c>
      <c r="B25" s="35">
        <v>71.300003051757813</v>
      </c>
      <c r="C25" s="35">
        <v>60.459518432617188</v>
      </c>
      <c r="D25" s="40">
        <v>1026385</v>
      </c>
      <c r="E25" s="34" t="s">
        <v>648</v>
      </c>
      <c r="F25" s="34" t="s">
        <v>115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37">
        <v>42129.15625</v>
      </c>
      <c r="B26" s="35">
        <v>80.400001525878906</v>
      </c>
      <c r="C26" s="35">
        <v>68.175933837890625</v>
      </c>
      <c r="D26" s="40">
        <v>6433560</v>
      </c>
      <c r="E26" s="34" t="s">
        <v>648</v>
      </c>
      <c r="F26" s="34" t="s">
        <v>115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37">
        <v>42130.15625</v>
      </c>
      <c r="B27" s="35">
        <v>76.620002746582031</v>
      </c>
      <c r="C27" s="35">
        <v>64.970657348632813</v>
      </c>
      <c r="D27" s="40">
        <v>1800485</v>
      </c>
      <c r="E27" s="34" t="s">
        <v>648</v>
      </c>
      <c r="F27" s="34" t="s">
        <v>115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37">
        <v>42131.15625</v>
      </c>
      <c r="B28" s="35">
        <v>73.819999694824219</v>
      </c>
      <c r="C28" s="35">
        <v>62.596366882324219</v>
      </c>
      <c r="D28" s="40">
        <v>348080</v>
      </c>
      <c r="E28" s="34" t="s">
        <v>648</v>
      </c>
      <c r="F28" s="34" t="s">
        <v>115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37">
        <v>42132.15625</v>
      </c>
      <c r="B29" s="35">
        <v>74.739997863769531</v>
      </c>
      <c r="C29" s="35">
        <v>63.376491546630859</v>
      </c>
      <c r="D29" s="40">
        <v>259985</v>
      </c>
      <c r="E29" s="34" t="s">
        <v>648</v>
      </c>
      <c r="F29" s="34" t="s">
        <v>115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37">
        <v>42135.15625</v>
      </c>
      <c r="B30" s="35">
        <v>74.489997863769531</v>
      </c>
      <c r="C30" s="35">
        <v>63.164497375488281</v>
      </c>
      <c r="D30" s="40">
        <v>216060</v>
      </c>
      <c r="E30" s="34" t="s">
        <v>648</v>
      </c>
      <c r="F30" s="34" t="s">
        <v>115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37">
        <v>42136.15625</v>
      </c>
      <c r="B31" s="35">
        <v>74.389999389648438</v>
      </c>
      <c r="C31" s="35">
        <v>63.079685211181641</v>
      </c>
      <c r="D31" s="40">
        <v>144705</v>
      </c>
      <c r="E31" s="34" t="s">
        <v>648</v>
      </c>
      <c r="F31" s="34" t="s">
        <v>115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37">
        <v>42137.15625</v>
      </c>
      <c r="B32" s="35">
        <v>74.069999694824219</v>
      </c>
      <c r="C32" s="35">
        <v>62.808345794677734</v>
      </c>
      <c r="D32" s="40">
        <v>156750</v>
      </c>
      <c r="E32" s="34" t="s">
        <v>648</v>
      </c>
      <c r="F32" s="34" t="s">
        <v>115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37">
        <v>42138.15625</v>
      </c>
      <c r="B33" s="35">
        <v>74.580001831054688</v>
      </c>
      <c r="C33" s="35">
        <v>63.240810394287109</v>
      </c>
      <c r="D33" s="40">
        <v>185310</v>
      </c>
      <c r="E33" s="34" t="s">
        <v>648</v>
      </c>
      <c r="F33" s="34" t="s">
        <v>115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37">
        <v>42139.15625</v>
      </c>
      <c r="B34" s="35">
        <v>74.160003662109375</v>
      </c>
      <c r="C34" s="35">
        <v>62.884654998779297</v>
      </c>
      <c r="D34" s="40">
        <v>56465</v>
      </c>
      <c r="E34" s="34" t="s">
        <v>648</v>
      </c>
      <c r="F34" s="34" t="s">
        <v>115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37">
        <v>42142.15625</v>
      </c>
      <c r="B35" s="35">
        <v>76.25</v>
      </c>
      <c r="C35" s="35">
        <v>64.656913757324219</v>
      </c>
      <c r="D35" s="40">
        <v>280795</v>
      </c>
      <c r="E35" s="34" t="s">
        <v>648</v>
      </c>
      <c r="F35" s="34" t="s">
        <v>115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37">
        <v>42143.15625</v>
      </c>
      <c r="B36" s="35">
        <v>77.550003051757813</v>
      </c>
      <c r="C36" s="35">
        <v>65.759262084960938</v>
      </c>
      <c r="D36" s="40">
        <v>346655</v>
      </c>
      <c r="E36" s="34" t="s">
        <v>648</v>
      </c>
      <c r="F36" s="34" t="s">
        <v>115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37">
        <v>42144.15625</v>
      </c>
      <c r="B37" s="35">
        <v>77.199996948242188</v>
      </c>
      <c r="C37" s="35">
        <v>65.462455749511719</v>
      </c>
      <c r="D37" s="40">
        <v>90675</v>
      </c>
      <c r="E37" s="34" t="s">
        <v>648</v>
      </c>
      <c r="F37" s="34" t="s">
        <v>115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37">
        <v>42145.15625</v>
      </c>
      <c r="B38" s="35">
        <v>77.489997863769531</v>
      </c>
      <c r="C38" s="35">
        <v>65.708366394042969</v>
      </c>
      <c r="D38" s="40">
        <v>62060</v>
      </c>
      <c r="E38" s="34" t="s">
        <v>648</v>
      </c>
      <c r="F38" s="34" t="s">
        <v>115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37">
        <v>42146.15625</v>
      </c>
      <c r="B39" s="35">
        <v>77.279998779296875</v>
      </c>
      <c r="C39" s="35">
        <v>65.530311584472656</v>
      </c>
      <c r="D39" s="40">
        <v>77050</v>
      </c>
      <c r="E39" s="34" t="s">
        <v>648</v>
      </c>
      <c r="F39" s="34" t="s">
        <v>115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37">
        <v>42149.15625</v>
      </c>
      <c r="B40" s="35">
        <v>75.569999694824219</v>
      </c>
      <c r="C40" s="35">
        <v>64.080307006835938</v>
      </c>
      <c r="D40" s="40">
        <v>31115</v>
      </c>
      <c r="E40" s="34" t="s">
        <v>648</v>
      </c>
      <c r="F40" s="34" t="s">
        <v>115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37">
        <v>42150.15625</v>
      </c>
      <c r="B41" s="35">
        <v>74.629997253417969</v>
      </c>
      <c r="C41" s="35">
        <v>63.283195495605469</v>
      </c>
      <c r="D41" s="40">
        <v>34975</v>
      </c>
      <c r="E41" s="34" t="s">
        <v>648</v>
      </c>
      <c r="F41" s="34" t="s">
        <v>115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37">
        <v>42151.15625</v>
      </c>
      <c r="B42" s="35">
        <v>76.519996643066406</v>
      </c>
      <c r="C42" s="35">
        <v>64.885841369628906</v>
      </c>
      <c r="D42" s="40">
        <v>118095</v>
      </c>
      <c r="E42" s="34" t="s">
        <v>648</v>
      </c>
      <c r="F42" s="34" t="s">
        <v>115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37">
        <v>42152.15625</v>
      </c>
      <c r="B43" s="35">
        <v>75.949996948242188</v>
      </c>
      <c r="C43" s="35">
        <v>64.402511596679688</v>
      </c>
      <c r="D43" s="40">
        <v>61330</v>
      </c>
      <c r="E43" s="34" t="s">
        <v>648</v>
      </c>
      <c r="F43" s="34" t="s">
        <v>115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37">
        <v>42153.15625</v>
      </c>
      <c r="B44" s="35">
        <v>76.370002746582031</v>
      </c>
      <c r="C44" s="35">
        <v>64.758674621582031</v>
      </c>
      <c r="D44" s="40">
        <v>305970</v>
      </c>
      <c r="E44" s="34" t="s">
        <v>648</v>
      </c>
      <c r="F44" s="34" t="s">
        <v>115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37">
        <v>42156.15625</v>
      </c>
      <c r="B45" s="35">
        <v>77.069999694824219</v>
      </c>
      <c r="C45" s="35">
        <v>65.352226257324219</v>
      </c>
      <c r="D45" s="40">
        <v>48015</v>
      </c>
      <c r="E45" s="34" t="s">
        <v>648</v>
      </c>
      <c r="F45" s="34" t="s">
        <v>115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37">
        <v>42157.15625</v>
      </c>
      <c r="B46" s="35">
        <v>76.629997253417969</v>
      </c>
      <c r="C46" s="35">
        <v>64.979133605957031</v>
      </c>
      <c r="D46" s="40">
        <v>91030</v>
      </c>
      <c r="E46" s="34" t="s">
        <v>648</v>
      </c>
      <c r="F46" s="34" t="s">
        <v>115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37">
        <v>42158.15625</v>
      </c>
      <c r="B47" s="35">
        <v>79.760002136230469</v>
      </c>
      <c r="C47" s="35">
        <v>67.633247375488281</v>
      </c>
      <c r="D47" s="40">
        <v>380740</v>
      </c>
      <c r="E47" s="34" t="s">
        <v>648</v>
      </c>
      <c r="F47" s="34" t="s">
        <v>115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37">
        <v>42159.15625</v>
      </c>
      <c r="B48" s="35">
        <v>80.040000915527344</v>
      </c>
      <c r="C48" s="35">
        <v>67.870674133300781</v>
      </c>
      <c r="D48" s="40">
        <v>394265</v>
      </c>
      <c r="E48" s="34" t="s">
        <v>648</v>
      </c>
      <c r="F48" s="34" t="s">
        <v>115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37">
        <v>42160.15625</v>
      </c>
      <c r="B49" s="35">
        <v>79.199996948242188</v>
      </c>
      <c r="C49" s="35">
        <v>67.158378601074219</v>
      </c>
      <c r="D49" s="40">
        <v>54070</v>
      </c>
      <c r="E49" s="34" t="s">
        <v>648</v>
      </c>
      <c r="F49" s="34" t="s">
        <v>115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37">
        <v>42163.15625</v>
      </c>
      <c r="B50" s="35">
        <v>77.55999755859375</v>
      </c>
      <c r="C50" s="35">
        <v>65.767715454101563</v>
      </c>
      <c r="D50" s="40">
        <v>50585</v>
      </c>
      <c r="E50" s="34" t="s">
        <v>648</v>
      </c>
      <c r="F50" s="34" t="s">
        <v>115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37">
        <v>42164.15625</v>
      </c>
      <c r="B51" s="35">
        <v>77.050003051757813</v>
      </c>
      <c r="C51" s="35">
        <v>65.335281372070313</v>
      </c>
      <c r="D51" s="40">
        <v>32380</v>
      </c>
      <c r="E51" s="34" t="s">
        <v>648</v>
      </c>
      <c r="F51" s="34" t="s">
        <v>115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37">
        <v>42165.15625</v>
      </c>
      <c r="B52" s="35">
        <v>76.400001525878906</v>
      </c>
      <c r="C52" s="35">
        <v>64.784072875976563</v>
      </c>
      <c r="D52" s="40">
        <v>179975</v>
      </c>
      <c r="E52" s="34" t="s">
        <v>648</v>
      </c>
      <c r="F52" s="34" t="s">
        <v>115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37">
        <v>42166.15625</v>
      </c>
      <c r="B53" s="35">
        <v>76.989997863769531</v>
      </c>
      <c r="C53" s="35">
        <v>65.284385681152344</v>
      </c>
      <c r="D53" s="40">
        <v>69960</v>
      </c>
      <c r="E53" s="34" t="s">
        <v>648</v>
      </c>
      <c r="F53" s="34" t="s">
        <v>115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37">
        <v>42167.15625</v>
      </c>
      <c r="B54" s="35">
        <v>76.629997253417969</v>
      </c>
      <c r="C54" s="35">
        <v>64.979133605957031</v>
      </c>
      <c r="D54" s="40">
        <v>22725</v>
      </c>
      <c r="E54" s="34" t="s">
        <v>648</v>
      </c>
      <c r="F54" s="34" t="s">
        <v>115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37">
        <v>42170.15625</v>
      </c>
      <c r="B55" s="35">
        <v>76.660003662109375</v>
      </c>
      <c r="C55" s="35">
        <v>65.004554748535156</v>
      </c>
      <c r="D55" s="40">
        <v>13960</v>
      </c>
      <c r="E55" s="34" t="s">
        <v>648</v>
      </c>
      <c r="F55" s="34" t="s">
        <v>115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37">
        <v>42171.15625</v>
      </c>
      <c r="B56" s="35">
        <v>76.360000610351563</v>
      </c>
      <c r="C56" s="35">
        <v>64.750160217285156</v>
      </c>
      <c r="D56" s="40">
        <v>43720</v>
      </c>
      <c r="E56" s="34" t="s">
        <v>648</v>
      </c>
      <c r="F56" s="34" t="s">
        <v>115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37">
        <v>42172.15625</v>
      </c>
      <c r="B57" s="35">
        <v>76.760002136230469</v>
      </c>
      <c r="C57" s="35">
        <v>65.089385986328125</v>
      </c>
      <c r="D57" s="40">
        <v>21535</v>
      </c>
      <c r="E57" s="34" t="s">
        <v>648</v>
      </c>
      <c r="F57" s="34" t="s">
        <v>115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37">
        <v>42173.15625</v>
      </c>
      <c r="B58" s="35">
        <v>77.30999755859375</v>
      </c>
      <c r="C58" s="35">
        <v>65.555740356445313</v>
      </c>
      <c r="D58" s="40">
        <v>31360</v>
      </c>
      <c r="E58" s="34" t="s">
        <v>648</v>
      </c>
      <c r="F58" s="34" t="s">
        <v>115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37">
        <v>42174.15625</v>
      </c>
      <c r="B59" s="35">
        <v>79.860000610351563</v>
      </c>
      <c r="C59" s="35">
        <v>67.718032836914063</v>
      </c>
      <c r="D59" s="40">
        <v>257310</v>
      </c>
      <c r="E59" s="34" t="s">
        <v>648</v>
      </c>
      <c r="F59" s="34" t="s">
        <v>115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37">
        <v>42177.15625</v>
      </c>
      <c r="B60" s="35">
        <v>80.709999084472656</v>
      </c>
      <c r="C60" s="35">
        <v>68.438804626464844</v>
      </c>
      <c r="D60" s="40">
        <v>146970</v>
      </c>
      <c r="E60" s="34" t="s">
        <v>648</v>
      </c>
      <c r="F60" s="34" t="s">
        <v>115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37">
        <v>42178.15625</v>
      </c>
      <c r="B61" s="35">
        <v>80.610000610351563</v>
      </c>
      <c r="C61" s="35">
        <v>68.35400390625</v>
      </c>
      <c r="D61" s="40">
        <v>1862155</v>
      </c>
      <c r="E61" s="34" t="s">
        <v>648</v>
      </c>
      <c r="F61" s="34" t="s">
        <v>115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37">
        <v>42179.15625</v>
      </c>
      <c r="B62" s="35">
        <v>80.300003051757813</v>
      </c>
      <c r="C62" s="35">
        <v>68.091156005859375</v>
      </c>
      <c r="D62" s="40">
        <v>91200</v>
      </c>
      <c r="E62" s="34" t="s">
        <v>648</v>
      </c>
      <c r="F62" s="34" t="s">
        <v>115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37">
        <v>42180.15625</v>
      </c>
      <c r="B63" s="35">
        <v>78.370002746582031</v>
      </c>
      <c r="C63" s="35">
        <v>66.454582214355469</v>
      </c>
      <c r="D63" s="40">
        <v>50195</v>
      </c>
      <c r="E63" s="34" t="s">
        <v>648</v>
      </c>
      <c r="F63" s="34" t="s">
        <v>115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37">
        <v>42181.15625</v>
      </c>
      <c r="B64" s="35">
        <v>78.580001831054688</v>
      </c>
      <c r="C64" s="35">
        <v>66.632637023925781</v>
      </c>
      <c r="D64" s="40">
        <v>96455</v>
      </c>
      <c r="E64" s="34" t="s">
        <v>648</v>
      </c>
      <c r="F64" s="34" t="s">
        <v>115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37">
        <v>42184.15625</v>
      </c>
      <c r="B65" s="35">
        <v>77.639999389648438</v>
      </c>
      <c r="C65" s="35">
        <v>65.8355712890625</v>
      </c>
      <c r="D65" s="40">
        <v>68220</v>
      </c>
      <c r="E65" s="34" t="s">
        <v>648</v>
      </c>
      <c r="F65" s="34" t="s">
        <v>115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37">
        <v>42185.15625</v>
      </c>
      <c r="B66" s="35">
        <v>78.010002136230469</v>
      </c>
      <c r="C66" s="35">
        <v>66.149314880371094</v>
      </c>
      <c r="D66" s="40">
        <v>209410</v>
      </c>
      <c r="E66" s="34" t="s">
        <v>648</v>
      </c>
      <c r="F66" s="34" t="s">
        <v>115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37">
        <v>42186.15625</v>
      </c>
      <c r="B67" s="35">
        <v>77.599998474121094</v>
      </c>
      <c r="C67" s="35">
        <v>65.801658630371094</v>
      </c>
      <c r="D67" s="40">
        <v>591800</v>
      </c>
      <c r="E67" s="34" t="s">
        <v>648</v>
      </c>
      <c r="F67" s="34" t="s">
        <v>115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37">
        <v>42187.15625</v>
      </c>
      <c r="B68" s="35">
        <v>77.739997863769531</v>
      </c>
      <c r="C68" s="35">
        <v>65.920364379882813</v>
      </c>
      <c r="D68" s="40">
        <v>70920</v>
      </c>
      <c r="E68" s="34" t="s">
        <v>648</v>
      </c>
      <c r="F68" s="34" t="s">
        <v>115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37">
        <v>42188.15625</v>
      </c>
      <c r="B69" s="35">
        <v>78.410003662109375</v>
      </c>
      <c r="C69" s="35">
        <v>66.488510131835938</v>
      </c>
      <c r="D69" s="40">
        <v>135570</v>
      </c>
      <c r="E69" s="34" t="s">
        <v>648</v>
      </c>
      <c r="F69" s="34" t="s">
        <v>115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37">
        <v>42191.15625</v>
      </c>
      <c r="B70" s="35">
        <v>78.709999084472656</v>
      </c>
      <c r="C70" s="35">
        <v>66.742874145507813</v>
      </c>
      <c r="D70" s="40">
        <v>70705</v>
      </c>
      <c r="E70" s="34" t="s">
        <v>648</v>
      </c>
      <c r="F70" s="34" t="s">
        <v>115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37">
        <v>42192.15625</v>
      </c>
      <c r="B71" s="35">
        <v>77.75</v>
      </c>
      <c r="C71" s="35">
        <v>65.928848266601563</v>
      </c>
      <c r="D71" s="40">
        <v>61250</v>
      </c>
      <c r="E71" s="34" t="s">
        <v>648</v>
      </c>
      <c r="F71" s="34" t="s">
        <v>115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37">
        <v>42193.15625</v>
      </c>
      <c r="B72" s="35">
        <v>76.610000610351563</v>
      </c>
      <c r="C72" s="35">
        <v>64.962165832519531</v>
      </c>
      <c r="D72" s="40">
        <v>115945</v>
      </c>
      <c r="E72" s="34" t="s">
        <v>648</v>
      </c>
      <c r="F72" s="34" t="s">
        <v>115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37">
        <v>42194.15625</v>
      </c>
      <c r="B73" s="35">
        <v>76.930000305175781</v>
      </c>
      <c r="C73" s="35">
        <v>65.2335205078125</v>
      </c>
      <c r="D73" s="40">
        <v>94115</v>
      </c>
      <c r="E73" s="34" t="s">
        <v>648</v>
      </c>
      <c r="F73" s="34" t="s">
        <v>115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37">
        <v>42195.15625</v>
      </c>
      <c r="B74" s="35">
        <v>77.790000915527344</v>
      </c>
      <c r="C74" s="35">
        <v>65.962753295898438</v>
      </c>
      <c r="D74" s="40">
        <v>69240</v>
      </c>
      <c r="E74" s="34" t="s">
        <v>648</v>
      </c>
      <c r="F74" s="34" t="s">
        <v>115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37">
        <v>42198.15625</v>
      </c>
      <c r="B75" s="35">
        <v>83.720001220703125</v>
      </c>
      <c r="C75" s="35">
        <v>70.99114990234375</v>
      </c>
      <c r="D75" s="40">
        <v>612270</v>
      </c>
      <c r="E75" s="34" t="s">
        <v>648</v>
      </c>
      <c r="F75" s="34" t="s">
        <v>115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37">
        <v>42199.15625</v>
      </c>
      <c r="B76" s="35">
        <v>92.69000244140625</v>
      </c>
      <c r="C76" s="35">
        <v>78.597373962402344</v>
      </c>
      <c r="D76" s="40">
        <v>10459175</v>
      </c>
      <c r="E76" s="34" t="s">
        <v>648</v>
      </c>
      <c r="F76" s="34" t="s">
        <v>115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37">
        <v>42200.15625</v>
      </c>
      <c r="B77" s="35">
        <v>91.930000305175781</v>
      </c>
      <c r="C77" s="35">
        <v>77.952896118164063</v>
      </c>
      <c r="D77" s="40">
        <v>2900140</v>
      </c>
      <c r="E77" s="34" t="s">
        <v>648</v>
      </c>
      <c r="F77" s="34" t="s">
        <v>115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37">
        <v>42201.15625</v>
      </c>
      <c r="B78" s="35">
        <v>97.319999694824219</v>
      </c>
      <c r="C78" s="35">
        <v>82.523406982421875</v>
      </c>
      <c r="D78" s="40">
        <v>4124775</v>
      </c>
      <c r="E78" s="34" t="s">
        <v>648</v>
      </c>
      <c r="F78" s="34" t="s">
        <v>115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37">
        <v>42202.15625</v>
      </c>
      <c r="B79" s="35">
        <v>95.169998168945313</v>
      </c>
      <c r="C79" s="35">
        <v>80.700294494628906</v>
      </c>
      <c r="D79" s="40">
        <v>1605370</v>
      </c>
      <c r="E79" s="34" t="s">
        <v>648</v>
      </c>
      <c r="F79" s="34" t="s">
        <v>115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37">
        <v>42205.15625</v>
      </c>
      <c r="B80" s="35">
        <v>96.209999084472656</v>
      </c>
      <c r="C80" s="35">
        <v>81.5821533203125</v>
      </c>
      <c r="D80" s="40">
        <v>1196320</v>
      </c>
      <c r="E80" s="34" t="s">
        <v>648</v>
      </c>
      <c r="F80" s="34" t="s">
        <v>115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37">
        <v>42206.15625</v>
      </c>
      <c r="B81" s="35">
        <v>96.290000915527344</v>
      </c>
      <c r="C81" s="35">
        <v>81.650016784667969</v>
      </c>
      <c r="D81" s="40">
        <v>3025940</v>
      </c>
      <c r="E81" s="34" t="s">
        <v>648</v>
      </c>
      <c r="F81" s="34" t="s">
        <v>115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37">
        <v>42207.15625</v>
      </c>
      <c r="B82" s="35">
        <v>99.839996337890625</v>
      </c>
      <c r="C82" s="35">
        <v>84.660285949707031</v>
      </c>
      <c r="D82" s="40">
        <v>1050640</v>
      </c>
      <c r="E82" s="34" t="s">
        <v>648</v>
      </c>
      <c r="F82" s="34" t="s">
        <v>115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37">
        <v>42208.15625</v>
      </c>
      <c r="B83" s="35">
        <v>97.870002746582031</v>
      </c>
      <c r="C83" s="35">
        <v>84.599769592285156</v>
      </c>
      <c r="D83" s="40">
        <v>595360</v>
      </c>
      <c r="E83" s="34" t="s">
        <v>648</v>
      </c>
      <c r="F83" s="34" t="s">
        <v>115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37">
        <v>42209.15625</v>
      </c>
      <c r="B84" s="35">
        <v>97.550003051757813</v>
      </c>
      <c r="C84" s="35">
        <v>84.323135375976563</v>
      </c>
      <c r="D84" s="40">
        <v>681535</v>
      </c>
      <c r="E84" s="34" t="s">
        <v>648</v>
      </c>
      <c r="F84" s="34" t="s">
        <v>115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37">
        <v>42212.15625</v>
      </c>
      <c r="B85" s="35">
        <v>93.519996643066406</v>
      </c>
      <c r="C85" s="35">
        <v>80.839576721191406</v>
      </c>
      <c r="D85" s="40">
        <v>635925</v>
      </c>
      <c r="E85" s="34" t="s">
        <v>648</v>
      </c>
      <c r="F85" s="34" t="s">
        <v>115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37">
        <v>42213.15625</v>
      </c>
      <c r="B86" s="35">
        <v>94.449996948242188</v>
      </c>
      <c r="C86" s="35">
        <v>81.64349365234375</v>
      </c>
      <c r="D86" s="40">
        <v>1163170</v>
      </c>
      <c r="E86" s="34" t="s">
        <v>648</v>
      </c>
      <c r="F86" s="34" t="s">
        <v>115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37">
        <v>42214.15625</v>
      </c>
      <c r="B87" s="35">
        <v>95.550003051757813</v>
      </c>
      <c r="C87" s="35">
        <v>82.594352722167969</v>
      </c>
      <c r="D87" s="40">
        <v>445505</v>
      </c>
      <c r="E87" s="34" t="s">
        <v>648</v>
      </c>
      <c r="F87" s="34" t="s">
        <v>115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37">
        <v>42215.15625</v>
      </c>
      <c r="B88" s="35">
        <v>96.400001525878906</v>
      </c>
      <c r="C88" s="35">
        <v>83.329078674316406</v>
      </c>
      <c r="D88" s="40">
        <v>486185</v>
      </c>
      <c r="E88" s="34" t="s">
        <v>648</v>
      </c>
      <c r="F88" s="34" t="s">
        <v>115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37">
        <v>42216.15625</v>
      </c>
      <c r="B89" s="35">
        <v>96.449996948242188</v>
      </c>
      <c r="C89" s="35">
        <v>83.372276306152344</v>
      </c>
      <c r="D89" s="40">
        <v>484855</v>
      </c>
      <c r="E89" s="34" t="s">
        <v>648</v>
      </c>
      <c r="F89" s="34" t="s">
        <v>115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37">
        <v>42219.15625</v>
      </c>
      <c r="B90" s="35">
        <v>95.94000244140625</v>
      </c>
      <c r="C90" s="35">
        <v>82.931449890136719</v>
      </c>
      <c r="D90" s="40">
        <v>399350</v>
      </c>
      <c r="E90" s="34" t="s">
        <v>648</v>
      </c>
      <c r="F90" s="34" t="s">
        <v>115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37">
        <v>42220.15625</v>
      </c>
      <c r="B91" s="35">
        <v>93.19000244140625</v>
      </c>
      <c r="C91" s="35">
        <v>80.554344177246094</v>
      </c>
      <c r="D91" s="40">
        <v>534940</v>
      </c>
      <c r="E91" s="34" t="s">
        <v>648</v>
      </c>
      <c r="F91" s="34" t="s">
        <v>115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37">
        <v>42221.15625</v>
      </c>
      <c r="B92" s="35">
        <v>92.629997253417969</v>
      </c>
      <c r="C92" s="35">
        <v>80.07025146484375</v>
      </c>
      <c r="D92" s="40">
        <v>606835</v>
      </c>
      <c r="E92" s="34" t="s">
        <v>648</v>
      </c>
      <c r="F92" s="34" t="s">
        <v>115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37">
        <v>42222.15625</v>
      </c>
      <c r="B93" s="35">
        <v>94.370002746582031</v>
      </c>
      <c r="C93" s="35">
        <v>81.574317932128906</v>
      </c>
      <c r="D93" s="40">
        <v>1020060</v>
      </c>
      <c r="E93" s="34" t="s">
        <v>648</v>
      </c>
      <c r="F93" s="34" t="s">
        <v>115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37">
        <v>42223.15625</v>
      </c>
      <c r="B94" s="35">
        <v>95.709999084472656</v>
      </c>
      <c r="C94" s="35">
        <v>82.732620239257813</v>
      </c>
      <c r="D94" s="40">
        <v>1222960</v>
      </c>
      <c r="E94" s="34" t="s">
        <v>648</v>
      </c>
      <c r="F94" s="34" t="s">
        <v>115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37">
        <v>42226.15625</v>
      </c>
      <c r="B95" s="35">
        <v>97</v>
      </c>
      <c r="C95" s="35">
        <v>83.847732543945313</v>
      </c>
      <c r="D95" s="40">
        <v>859420</v>
      </c>
      <c r="E95" s="34" t="s">
        <v>648</v>
      </c>
      <c r="F95" s="34" t="s">
        <v>115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37">
        <v>42227.15625</v>
      </c>
      <c r="B96" s="35">
        <v>103.68000030517578</v>
      </c>
      <c r="C96" s="35">
        <v>89.621994018554688</v>
      </c>
      <c r="D96" s="40">
        <v>2017915</v>
      </c>
      <c r="E96" s="34" t="s">
        <v>648</v>
      </c>
      <c r="F96" s="34" t="s">
        <v>115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37">
        <v>42228.15625</v>
      </c>
      <c r="B97" s="35">
        <v>106.31999969482422</v>
      </c>
      <c r="C97" s="35">
        <v>91.904014587402344</v>
      </c>
      <c r="D97" s="40">
        <v>2978195</v>
      </c>
      <c r="E97" s="34" t="s">
        <v>648</v>
      </c>
      <c r="F97" s="34" t="s">
        <v>115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37">
        <v>42229.15625</v>
      </c>
      <c r="B98" s="35">
        <v>99.480003356933594</v>
      </c>
      <c r="C98" s="35">
        <v>85.991462707519531</v>
      </c>
      <c r="D98" s="40">
        <v>1200495</v>
      </c>
      <c r="E98" s="34" t="s">
        <v>648</v>
      </c>
      <c r="F98" s="34" t="s">
        <v>115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37">
        <v>42230.15625</v>
      </c>
      <c r="B99" s="35">
        <v>101.44999694824219</v>
      </c>
      <c r="C99" s="35">
        <v>87.6943359375</v>
      </c>
      <c r="D99" s="40">
        <v>1259490</v>
      </c>
      <c r="E99" s="34" t="s">
        <v>648</v>
      </c>
      <c r="F99" s="34" t="s">
        <v>115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37">
        <v>42233.15625</v>
      </c>
      <c r="B100" s="35">
        <v>102.62999725341797</v>
      </c>
      <c r="C100" s="35">
        <v>88.71435546875</v>
      </c>
      <c r="D100" s="40">
        <v>1100170</v>
      </c>
      <c r="E100" s="34" t="s">
        <v>648</v>
      </c>
      <c r="F100" s="34" t="s">
        <v>115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37">
        <v>42234.15625</v>
      </c>
      <c r="B101" s="35">
        <v>104.05999755859375</v>
      </c>
      <c r="C101" s="35">
        <v>89.950462341308594</v>
      </c>
      <c r="D101" s="40">
        <v>903675</v>
      </c>
      <c r="E101" s="34" t="s">
        <v>648</v>
      </c>
      <c r="F101" s="34" t="s">
        <v>115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37">
        <v>42235.15625</v>
      </c>
      <c r="B102" s="35">
        <v>103.98999786376953</v>
      </c>
      <c r="C102" s="35">
        <v>89.889930725097656</v>
      </c>
      <c r="D102" s="40">
        <v>672120</v>
      </c>
      <c r="E102" s="34" t="s">
        <v>648</v>
      </c>
      <c r="F102" s="34" t="s">
        <v>115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37">
        <v>42236.15625</v>
      </c>
      <c r="B103" s="35">
        <v>101.80999755859375</v>
      </c>
      <c r="C103" s="35">
        <v>88.005531311035156</v>
      </c>
      <c r="D103" s="40">
        <v>365310</v>
      </c>
      <c r="E103" s="34" t="s">
        <v>648</v>
      </c>
      <c r="F103" s="34" t="s">
        <v>115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37">
        <v>42237.15625</v>
      </c>
      <c r="B104" s="35">
        <v>99.029998779296875</v>
      </c>
      <c r="C104" s="35">
        <v>85.602485656738281</v>
      </c>
      <c r="D104" s="40">
        <v>593275</v>
      </c>
      <c r="E104" s="34" t="s">
        <v>648</v>
      </c>
      <c r="F104" s="34" t="s">
        <v>115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37">
        <v>42240.15625</v>
      </c>
      <c r="B105" s="35">
        <v>90.75</v>
      </c>
      <c r="C105" s="35">
        <v>78.445152282714844</v>
      </c>
      <c r="D105" s="40">
        <v>637250</v>
      </c>
      <c r="E105" s="34" t="s">
        <v>648</v>
      </c>
      <c r="F105" s="34" t="s">
        <v>115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37">
        <v>42241.15625</v>
      </c>
      <c r="B106" s="35">
        <v>87.089996337890625</v>
      </c>
      <c r="C106" s="35">
        <v>75.281440734863281</v>
      </c>
      <c r="D106" s="40">
        <v>982800</v>
      </c>
      <c r="E106" s="34" t="s">
        <v>648</v>
      </c>
      <c r="F106" s="34" t="s">
        <v>115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37">
        <v>42242.15625</v>
      </c>
      <c r="B107" s="35">
        <v>86.139999389648438</v>
      </c>
      <c r="C107" s="35">
        <v>74.460212707519531</v>
      </c>
      <c r="D107" s="40">
        <v>389725</v>
      </c>
      <c r="E107" s="34" t="s">
        <v>648</v>
      </c>
      <c r="F107" s="34" t="s">
        <v>115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37">
        <v>42243.15625</v>
      </c>
      <c r="B108" s="35">
        <v>87.910003662109375</v>
      </c>
      <c r="C108" s="35">
        <v>75.990257263183594</v>
      </c>
      <c r="D108" s="40">
        <v>471400</v>
      </c>
      <c r="E108" s="34" t="s">
        <v>648</v>
      </c>
      <c r="F108" s="34" t="s">
        <v>115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37">
        <v>42244.15625</v>
      </c>
      <c r="B109" s="35">
        <v>86.349998474121094</v>
      </c>
      <c r="C109" s="35">
        <v>74.641777038574219</v>
      </c>
      <c r="D109" s="40">
        <v>622505</v>
      </c>
      <c r="E109" s="34" t="s">
        <v>648</v>
      </c>
      <c r="F109" s="34" t="s">
        <v>115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37">
        <v>42247.15625</v>
      </c>
      <c r="B110" s="35">
        <v>93.269996643066406</v>
      </c>
      <c r="C110" s="35">
        <v>80.623466491699219</v>
      </c>
      <c r="D110" s="40">
        <v>1486540</v>
      </c>
      <c r="E110" s="34" t="s">
        <v>648</v>
      </c>
      <c r="F110" s="34" t="s">
        <v>115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37">
        <v>42248.15625</v>
      </c>
      <c r="B111" s="35">
        <v>93.629997253417969</v>
      </c>
      <c r="C111" s="35">
        <v>80.934677124023438</v>
      </c>
      <c r="D111" s="40">
        <v>1617415</v>
      </c>
      <c r="E111" s="34" t="s">
        <v>648</v>
      </c>
      <c r="F111" s="34" t="s">
        <v>115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37">
        <v>42249.15625</v>
      </c>
      <c r="B112" s="35">
        <v>93.580001831054688</v>
      </c>
      <c r="C112" s="35">
        <v>80.891448974609375</v>
      </c>
      <c r="D112" s="40">
        <v>538005</v>
      </c>
      <c r="E112" s="34" t="s">
        <v>648</v>
      </c>
      <c r="F112" s="34" t="s">
        <v>115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37">
        <v>42250.15625</v>
      </c>
      <c r="B113" s="35">
        <v>92.529998779296875</v>
      </c>
      <c r="C113" s="35">
        <v>79.983802795410156</v>
      </c>
      <c r="D113" s="40">
        <v>158370</v>
      </c>
      <c r="E113" s="34" t="s">
        <v>648</v>
      </c>
      <c r="F113" s="34" t="s">
        <v>115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37">
        <v>42251.15625</v>
      </c>
      <c r="B114" s="35">
        <v>89.620002746582031</v>
      </c>
      <c r="C114" s="35">
        <v>77.468376159667969</v>
      </c>
      <c r="D114" s="40">
        <v>234395</v>
      </c>
      <c r="E114" s="34" t="s">
        <v>648</v>
      </c>
      <c r="F114" s="34" t="s">
        <v>115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37">
        <v>42254.15625</v>
      </c>
      <c r="B115" s="35">
        <v>88.290000915527344</v>
      </c>
      <c r="C115" s="35">
        <v>76.318733215332031</v>
      </c>
      <c r="D115" s="40">
        <v>264420</v>
      </c>
      <c r="E115" s="34" t="s">
        <v>648</v>
      </c>
      <c r="F115" s="34" t="s">
        <v>115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37">
        <v>42255.15625</v>
      </c>
      <c r="B116" s="35">
        <v>85.900001525878906</v>
      </c>
      <c r="C116" s="35">
        <v>74.252777099609375</v>
      </c>
      <c r="D116" s="40">
        <v>305955</v>
      </c>
      <c r="E116" s="34" t="s">
        <v>648</v>
      </c>
      <c r="F116" s="34" t="s">
        <v>115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37">
        <v>42256.15625</v>
      </c>
      <c r="B117" s="35">
        <v>89.040000915527344</v>
      </c>
      <c r="C117" s="35">
        <v>76.967018127441406</v>
      </c>
      <c r="D117" s="40">
        <v>326380</v>
      </c>
      <c r="E117" s="34" t="s">
        <v>648</v>
      </c>
      <c r="F117" s="34" t="s">
        <v>115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37">
        <v>42257.15625</v>
      </c>
      <c r="B118" s="35">
        <v>90.790000915527344</v>
      </c>
      <c r="C118" s="35">
        <v>78.479743957519531</v>
      </c>
      <c r="D118" s="40">
        <v>345600</v>
      </c>
      <c r="E118" s="34" t="s">
        <v>648</v>
      </c>
      <c r="F118" s="34" t="s">
        <v>115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37">
        <v>42258.15625</v>
      </c>
      <c r="B119" s="35">
        <v>90.360000610351563</v>
      </c>
      <c r="C119" s="35">
        <v>78.108047485351563</v>
      </c>
      <c r="D119" s="40">
        <v>1771770</v>
      </c>
      <c r="E119" s="34" t="s">
        <v>648</v>
      </c>
      <c r="F119" s="34" t="s">
        <v>115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37">
        <v>42261.15625</v>
      </c>
      <c r="B120" s="35">
        <v>88.599998474121094</v>
      </c>
      <c r="C120" s="35">
        <v>76.586669921875</v>
      </c>
      <c r="D120" s="40">
        <v>314315</v>
      </c>
      <c r="E120" s="34" t="s">
        <v>648</v>
      </c>
      <c r="F120" s="34" t="s">
        <v>115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37">
        <v>42262.15625</v>
      </c>
      <c r="B121" s="35">
        <v>87.139999389648438</v>
      </c>
      <c r="C121" s="35">
        <v>75.324661254882813</v>
      </c>
      <c r="D121" s="40">
        <v>175710</v>
      </c>
      <c r="E121" s="34" t="s">
        <v>648</v>
      </c>
      <c r="F121" s="34" t="s">
        <v>115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37">
        <v>42263.15625</v>
      </c>
      <c r="B122" s="35">
        <v>90.669998168945313</v>
      </c>
      <c r="C122" s="35">
        <v>78.376007080078125</v>
      </c>
      <c r="D122" s="40">
        <v>353950</v>
      </c>
      <c r="E122" s="34" t="s">
        <v>648</v>
      </c>
      <c r="F122" s="34" t="s">
        <v>115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37">
        <v>42265.15625</v>
      </c>
      <c r="B123" s="35">
        <v>88.099998474121094</v>
      </c>
      <c r="C123" s="35">
        <v>76.154464721679688</v>
      </c>
      <c r="D123" s="40">
        <v>674795</v>
      </c>
      <c r="E123" s="34" t="s">
        <v>648</v>
      </c>
      <c r="F123" s="34" t="s">
        <v>115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37">
        <v>42268.15625</v>
      </c>
      <c r="B124" s="35">
        <v>88.239997863769531</v>
      </c>
      <c r="C124" s="35">
        <v>76.2755126953125</v>
      </c>
      <c r="D124" s="40">
        <v>291560</v>
      </c>
      <c r="E124" s="34" t="s">
        <v>648</v>
      </c>
      <c r="F124" s="34" t="s">
        <v>115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37">
        <v>42269.15625</v>
      </c>
      <c r="B125" s="35">
        <v>88.199996948242188</v>
      </c>
      <c r="C125" s="35">
        <v>76.240921020507813</v>
      </c>
      <c r="D125" s="40">
        <v>709060</v>
      </c>
      <c r="E125" s="34" t="s">
        <v>648</v>
      </c>
      <c r="F125" s="34" t="s">
        <v>115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37">
        <v>42270.15625</v>
      </c>
      <c r="B126" s="35">
        <v>89.529998779296875</v>
      </c>
      <c r="C126" s="35">
        <v>77.390586853027344</v>
      </c>
      <c r="D126" s="40">
        <v>449760</v>
      </c>
      <c r="E126" s="34" t="s">
        <v>648</v>
      </c>
      <c r="F126" s="34" t="s">
        <v>115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37">
        <v>42271.15625</v>
      </c>
      <c r="B127" s="35">
        <v>94.239997863769531</v>
      </c>
      <c r="C127" s="35">
        <v>81.461959838867188</v>
      </c>
      <c r="D127" s="40">
        <v>789085</v>
      </c>
      <c r="E127" s="34" t="s">
        <v>648</v>
      </c>
      <c r="F127" s="34" t="s">
        <v>115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37">
        <v>42275.15625</v>
      </c>
      <c r="B128" s="35">
        <v>95.919998168945313</v>
      </c>
      <c r="C128" s="35">
        <v>82.914154052734375</v>
      </c>
      <c r="D128" s="40">
        <v>964845</v>
      </c>
      <c r="E128" s="34" t="s">
        <v>648</v>
      </c>
      <c r="F128" s="34" t="s">
        <v>115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37">
        <v>42276.15625</v>
      </c>
      <c r="B129" s="35">
        <v>93.260002136230469</v>
      </c>
      <c r="C129" s="35">
        <v>80.614830017089844</v>
      </c>
      <c r="D129" s="40">
        <v>588700</v>
      </c>
      <c r="E129" s="34" t="s">
        <v>648</v>
      </c>
      <c r="F129" s="34" t="s">
        <v>115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37">
        <v>42277.15625</v>
      </c>
      <c r="B130" s="35">
        <v>94.540000915527344</v>
      </c>
      <c r="C130" s="35">
        <v>81.721282958984375</v>
      </c>
      <c r="D130" s="40">
        <v>281150</v>
      </c>
      <c r="E130" s="34" t="s">
        <v>648</v>
      </c>
      <c r="F130" s="34" t="s">
        <v>115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37">
        <v>42278.15625</v>
      </c>
      <c r="B131" s="35">
        <v>94.769996643066406</v>
      </c>
      <c r="C131" s="35">
        <v>81.920120239257813</v>
      </c>
      <c r="D131" s="40">
        <v>227185</v>
      </c>
      <c r="E131" s="34" t="s">
        <v>648</v>
      </c>
      <c r="F131" s="34" t="s">
        <v>115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37">
        <v>42282.15625</v>
      </c>
      <c r="B132" s="35">
        <v>93.169998168945313</v>
      </c>
      <c r="C132" s="35">
        <v>80.537017822265625</v>
      </c>
      <c r="D132" s="40">
        <v>202490</v>
      </c>
      <c r="E132" s="34" t="s">
        <v>648</v>
      </c>
      <c r="F132" s="34" t="s">
        <v>115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37">
        <v>42283.15625</v>
      </c>
      <c r="B133" s="35">
        <v>93.5</v>
      </c>
      <c r="C133" s="35">
        <v>80.822296142578125</v>
      </c>
      <c r="D133" s="40">
        <v>450700</v>
      </c>
      <c r="E133" s="34" t="s">
        <v>648</v>
      </c>
      <c r="F133" s="34" t="s">
        <v>115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37">
        <v>42284.15625</v>
      </c>
      <c r="B134" s="35">
        <v>91.760002136230469</v>
      </c>
      <c r="C134" s="35">
        <v>79.318214416503906</v>
      </c>
      <c r="D134" s="40">
        <v>400790</v>
      </c>
      <c r="E134" s="34" t="s">
        <v>648</v>
      </c>
      <c r="F134" s="34" t="s">
        <v>115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37">
        <v>42285.15625</v>
      </c>
      <c r="B135" s="35">
        <v>91.519996643066406</v>
      </c>
      <c r="C135" s="35">
        <v>79.110740661621094</v>
      </c>
      <c r="D135" s="40">
        <v>287905</v>
      </c>
      <c r="E135" s="34" t="s">
        <v>648</v>
      </c>
      <c r="F135" s="34" t="s">
        <v>115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37">
        <v>42286.15625</v>
      </c>
      <c r="B136" s="35">
        <v>88.720001220703125</v>
      </c>
      <c r="C136" s="35">
        <v>76.690422058105469</v>
      </c>
      <c r="D136" s="40">
        <v>507255</v>
      </c>
      <c r="E136" s="34" t="s">
        <v>648</v>
      </c>
      <c r="F136" s="34" t="s">
        <v>115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37">
        <v>42289.15625</v>
      </c>
      <c r="B137" s="35">
        <v>89.55999755859375</v>
      </c>
      <c r="C137" s="35">
        <v>77.416526794433594</v>
      </c>
      <c r="D137" s="40">
        <v>355140</v>
      </c>
      <c r="E137" s="34" t="s">
        <v>648</v>
      </c>
      <c r="F137" s="34" t="s">
        <v>115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37">
        <v>42290.15625</v>
      </c>
      <c r="B138" s="35">
        <v>90.699996948242188</v>
      </c>
      <c r="C138" s="35">
        <v>78.401924133300781</v>
      </c>
      <c r="D138" s="40">
        <v>1355455</v>
      </c>
      <c r="E138" s="34" t="s">
        <v>648</v>
      </c>
      <c r="F138" s="34" t="s">
        <v>115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37">
        <v>42291.15625</v>
      </c>
      <c r="B139" s="35">
        <v>89.169998168945313</v>
      </c>
      <c r="C139" s="35">
        <v>77.079399108886719</v>
      </c>
      <c r="D139" s="40">
        <v>563550</v>
      </c>
      <c r="E139" s="34" t="s">
        <v>648</v>
      </c>
      <c r="F139" s="34" t="s">
        <v>115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37">
        <v>42292.15625</v>
      </c>
      <c r="B140" s="35">
        <v>91.989997863769531</v>
      </c>
      <c r="C140" s="35">
        <v>79.517013549804688</v>
      </c>
      <c r="D140" s="40">
        <v>704400</v>
      </c>
      <c r="E140" s="34" t="s">
        <v>648</v>
      </c>
      <c r="F140" s="34" t="s">
        <v>115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37">
        <v>42293.15625</v>
      </c>
      <c r="B141" s="35">
        <v>97.639999389648438</v>
      </c>
      <c r="C141" s="35">
        <v>84.400932312011719</v>
      </c>
      <c r="D141" s="40">
        <v>11866270</v>
      </c>
      <c r="E141" s="34" t="s">
        <v>648</v>
      </c>
      <c r="F141" s="34" t="s">
        <v>115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37">
        <v>42296.15625</v>
      </c>
      <c r="B142" s="35">
        <v>112.20999908447266</v>
      </c>
      <c r="C142" s="35">
        <v>96.995399475097656</v>
      </c>
      <c r="D142" s="40">
        <v>10359940</v>
      </c>
      <c r="E142" s="34" t="s">
        <v>648</v>
      </c>
      <c r="F142" s="34" t="s">
        <v>115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37">
        <v>42297.15625</v>
      </c>
      <c r="B143" s="35">
        <v>108.86000061035156</v>
      </c>
      <c r="C143" s="35">
        <v>94.099624633789063</v>
      </c>
      <c r="D143" s="40">
        <v>6937385</v>
      </c>
      <c r="E143" s="34" t="s">
        <v>648</v>
      </c>
      <c r="F143" s="34" t="s">
        <v>115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37">
        <v>42298.15625</v>
      </c>
      <c r="B144" s="35">
        <v>105.22000122070313</v>
      </c>
      <c r="C144" s="35">
        <v>90.953170776367188</v>
      </c>
      <c r="D144" s="40">
        <v>1318955</v>
      </c>
      <c r="E144" s="34" t="s">
        <v>648</v>
      </c>
      <c r="F144" s="34" t="s">
        <v>115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37">
        <v>42300.15625</v>
      </c>
      <c r="B145" s="35">
        <v>105.18000030517578</v>
      </c>
      <c r="C145" s="35">
        <v>90.918594360351563</v>
      </c>
      <c r="D145" s="40">
        <v>2523320</v>
      </c>
      <c r="E145" s="34" t="s">
        <v>648</v>
      </c>
      <c r="F145" s="34" t="s">
        <v>115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37">
        <v>42303.15625</v>
      </c>
      <c r="B146" s="35">
        <v>110.69000244140625</v>
      </c>
      <c r="C146" s="35">
        <v>95.681480407714844</v>
      </c>
      <c r="D146" s="40">
        <v>3545640</v>
      </c>
      <c r="E146" s="34" t="s">
        <v>648</v>
      </c>
      <c r="F146" s="34" t="s">
        <v>115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37">
        <v>42304.15625</v>
      </c>
      <c r="B147" s="35">
        <v>115.84999847412109</v>
      </c>
      <c r="C147" s="35">
        <v>100.14183807373047</v>
      </c>
      <c r="D147" s="40">
        <v>7016025</v>
      </c>
      <c r="E147" s="34" t="s">
        <v>648</v>
      </c>
      <c r="F147" s="34" t="s">
        <v>115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37">
        <v>42305.15625</v>
      </c>
      <c r="B148" s="35">
        <v>113.81999969482422</v>
      </c>
      <c r="C148" s="35">
        <v>98.387092590332031</v>
      </c>
      <c r="D148" s="40">
        <v>1343380</v>
      </c>
      <c r="E148" s="34" t="s">
        <v>648</v>
      </c>
      <c r="F148" s="34" t="s">
        <v>115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37">
        <v>42306.15625</v>
      </c>
      <c r="B149" s="35">
        <v>111.58000183105469</v>
      </c>
      <c r="C149" s="35">
        <v>96.450813293457031</v>
      </c>
      <c r="D149" s="40">
        <v>1586795</v>
      </c>
      <c r="E149" s="34" t="s">
        <v>648</v>
      </c>
      <c r="F149" s="34" t="s">
        <v>115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37">
        <v>42307.15625</v>
      </c>
      <c r="B150" s="35">
        <v>113.15000152587891</v>
      </c>
      <c r="C150" s="35">
        <v>97.807952880859375</v>
      </c>
      <c r="D150" s="40">
        <v>8986430</v>
      </c>
      <c r="E150" s="34" t="s">
        <v>648</v>
      </c>
      <c r="F150" s="34" t="s">
        <v>115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37">
        <v>42310.15625</v>
      </c>
      <c r="B151" s="35">
        <v>118.06999969482422</v>
      </c>
      <c r="C151" s="35">
        <v>102.06082153320313</v>
      </c>
      <c r="D151" s="40">
        <v>2906290</v>
      </c>
      <c r="E151" s="34" t="s">
        <v>648</v>
      </c>
      <c r="F151" s="34" t="s">
        <v>115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37">
        <v>42311.15625</v>
      </c>
      <c r="B152" s="35">
        <v>117.48000335693359</v>
      </c>
      <c r="C152" s="35">
        <v>101.55081939697266</v>
      </c>
      <c r="D152" s="40">
        <v>2105530</v>
      </c>
      <c r="E152" s="34" t="s">
        <v>648</v>
      </c>
      <c r="F152" s="34" t="s">
        <v>115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37">
        <v>42312.15625</v>
      </c>
      <c r="B153" s="35">
        <v>117.01000213623047</v>
      </c>
      <c r="C153" s="35">
        <v>101.14456939697266</v>
      </c>
      <c r="D153" s="40">
        <v>1241980</v>
      </c>
      <c r="E153" s="34" t="s">
        <v>648</v>
      </c>
      <c r="F153" s="34" t="s">
        <v>115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37">
        <v>42313.15625</v>
      </c>
      <c r="B154" s="35">
        <v>114.79000091552734</v>
      </c>
      <c r="C154" s="35">
        <v>99.225547790527344</v>
      </c>
      <c r="D154" s="40">
        <v>729210</v>
      </c>
      <c r="E154" s="34" t="s">
        <v>648</v>
      </c>
      <c r="F154" s="34" t="s">
        <v>115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37">
        <v>42314.15625</v>
      </c>
      <c r="B155" s="35">
        <v>111.34999847412109</v>
      </c>
      <c r="C155" s="35">
        <v>96.251983642578125</v>
      </c>
      <c r="D155" s="40">
        <v>1441350</v>
      </c>
      <c r="E155" s="34" t="s">
        <v>648</v>
      </c>
      <c r="F155" s="34" t="s">
        <v>115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37">
        <v>42317.15625</v>
      </c>
      <c r="B156" s="35">
        <v>118.87000274658203</v>
      </c>
      <c r="C156" s="35">
        <v>102.75237274169922</v>
      </c>
      <c r="D156" s="40">
        <v>2445285</v>
      </c>
      <c r="E156" s="34" t="s">
        <v>648</v>
      </c>
      <c r="F156" s="34" t="s">
        <v>115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37">
        <v>42318.15625</v>
      </c>
      <c r="B157" s="35">
        <v>114.55000305175781</v>
      </c>
      <c r="C157" s="35">
        <v>99.018135070800781</v>
      </c>
      <c r="D157" s="40">
        <v>3553380</v>
      </c>
      <c r="E157" s="34" t="s">
        <v>648</v>
      </c>
      <c r="F157" s="34" t="s">
        <v>115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37">
        <v>42321.15625</v>
      </c>
      <c r="B158" s="35">
        <v>112.91999816894531</v>
      </c>
      <c r="C158" s="35">
        <v>97.609115600585938</v>
      </c>
      <c r="D158" s="40">
        <v>1205885</v>
      </c>
      <c r="E158" s="34" t="s">
        <v>648</v>
      </c>
      <c r="F158" s="34" t="s">
        <v>115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37">
        <v>42324.15625</v>
      </c>
      <c r="B159" s="35">
        <v>118.94000244140625</v>
      </c>
      <c r="C159" s="35">
        <v>102.81285858154297</v>
      </c>
      <c r="D159" s="40">
        <v>2092440</v>
      </c>
      <c r="E159" s="34" t="s">
        <v>648</v>
      </c>
      <c r="F159" s="34" t="s">
        <v>115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37">
        <v>42325.15625</v>
      </c>
      <c r="B160" s="35">
        <v>124.33999633789063</v>
      </c>
      <c r="C160" s="35">
        <v>107.48065948486328</v>
      </c>
      <c r="D160" s="40">
        <v>4059700</v>
      </c>
      <c r="E160" s="34" t="s">
        <v>648</v>
      </c>
      <c r="F160" s="34" t="s">
        <v>115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37">
        <v>42326.15625</v>
      </c>
      <c r="B161" s="35">
        <v>119.59999847412109</v>
      </c>
      <c r="C161" s="35">
        <v>103.38336944580078</v>
      </c>
      <c r="D161" s="40">
        <v>1703930</v>
      </c>
      <c r="E161" s="34" t="s">
        <v>648</v>
      </c>
      <c r="F161" s="34" t="s">
        <v>115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37">
        <v>42327.15625</v>
      </c>
      <c r="B162" s="35">
        <v>121.51000213623047</v>
      </c>
      <c r="C162" s="35">
        <v>105.03440093994141</v>
      </c>
      <c r="D162" s="40">
        <v>928925</v>
      </c>
      <c r="E162" s="34" t="s">
        <v>648</v>
      </c>
      <c r="F162" s="34" t="s">
        <v>115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37">
        <v>42328.15625</v>
      </c>
      <c r="B163" s="35">
        <v>116.79000091552734</v>
      </c>
      <c r="C163" s="35">
        <v>100.95437622070313</v>
      </c>
      <c r="D163" s="40">
        <v>958470</v>
      </c>
      <c r="E163" s="34" t="s">
        <v>648</v>
      </c>
      <c r="F163" s="34" t="s">
        <v>115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37">
        <v>42331.15625</v>
      </c>
      <c r="B164" s="35">
        <v>115.94000244140625</v>
      </c>
      <c r="C164" s="35">
        <v>100.21963500976563</v>
      </c>
      <c r="D164" s="40">
        <v>1070465</v>
      </c>
      <c r="E164" s="34" t="s">
        <v>648</v>
      </c>
      <c r="F164" s="34" t="s">
        <v>115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37">
        <v>42332.15625</v>
      </c>
      <c r="B165" s="35">
        <v>117.52999877929688</v>
      </c>
      <c r="C165" s="35">
        <v>101.59403991699219</v>
      </c>
      <c r="D165" s="40">
        <v>1280770</v>
      </c>
      <c r="E165" s="34" t="s">
        <v>648</v>
      </c>
      <c r="F165" s="34" t="s">
        <v>115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37">
        <v>42334.15625</v>
      </c>
      <c r="B166" s="35">
        <v>117.09999847412109</v>
      </c>
      <c r="C166" s="35">
        <v>101.22235870361328</v>
      </c>
      <c r="D166" s="40">
        <v>534880</v>
      </c>
      <c r="E166" s="34" t="s">
        <v>648</v>
      </c>
      <c r="F166" s="34" t="s">
        <v>115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37">
        <v>42335.15625</v>
      </c>
      <c r="B167" s="35">
        <v>114.34999847412109</v>
      </c>
      <c r="C167" s="35">
        <v>98.845222473144531</v>
      </c>
      <c r="D167" s="40">
        <v>1070715</v>
      </c>
      <c r="E167" s="34" t="s">
        <v>648</v>
      </c>
      <c r="F167" s="34" t="s">
        <v>115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37">
        <v>42338.15625</v>
      </c>
      <c r="B168" s="35">
        <v>113.90000152587891</v>
      </c>
      <c r="C168" s="35">
        <v>98.456245422363281</v>
      </c>
      <c r="D168" s="40">
        <v>792440</v>
      </c>
      <c r="E168" s="34" t="s">
        <v>648</v>
      </c>
      <c r="F168" s="34" t="s">
        <v>115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37">
        <v>42339.15625</v>
      </c>
      <c r="B169" s="35">
        <v>116.30999755859375</v>
      </c>
      <c r="C169" s="35">
        <v>100.53947448730469</v>
      </c>
      <c r="D169" s="40">
        <v>1185080</v>
      </c>
      <c r="E169" s="34" t="s">
        <v>648</v>
      </c>
      <c r="F169" s="34" t="s">
        <v>115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37">
        <v>42340.15625</v>
      </c>
      <c r="B170" s="35">
        <v>114.83999633789063</v>
      </c>
      <c r="C170" s="35">
        <v>99.268791198730469</v>
      </c>
      <c r="D170" s="40">
        <v>442370</v>
      </c>
      <c r="E170" s="34" t="s">
        <v>648</v>
      </c>
      <c r="F170" s="34" t="s">
        <v>115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37">
        <v>42341.15625</v>
      </c>
      <c r="B171" s="35">
        <v>116.01000213623047</v>
      </c>
      <c r="C171" s="35">
        <v>100.2801513671875</v>
      </c>
      <c r="D171" s="40">
        <v>1167035</v>
      </c>
      <c r="E171" s="34" t="s">
        <v>648</v>
      </c>
      <c r="F171" s="34" t="s">
        <v>115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37">
        <v>42342.15625</v>
      </c>
      <c r="B172" s="35">
        <v>116.16000366210938</v>
      </c>
      <c r="C172" s="35">
        <v>100.40981292724609</v>
      </c>
      <c r="D172" s="40">
        <v>1331655</v>
      </c>
      <c r="E172" s="34" t="s">
        <v>648</v>
      </c>
      <c r="F172" s="34" t="s">
        <v>115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37">
        <v>42345.15625</v>
      </c>
      <c r="B173" s="35">
        <v>119.19999694824219</v>
      </c>
      <c r="C173" s="35">
        <v>103.03761291503906</v>
      </c>
      <c r="D173" s="40">
        <v>1094610</v>
      </c>
      <c r="E173" s="34" t="s">
        <v>648</v>
      </c>
      <c r="F173" s="34" t="s">
        <v>115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37">
        <v>42346.15625</v>
      </c>
      <c r="B174" s="35">
        <v>118.87999725341797</v>
      </c>
      <c r="C174" s="35">
        <v>102.76099395751953</v>
      </c>
      <c r="D174" s="40">
        <v>644090</v>
      </c>
      <c r="E174" s="34" t="s">
        <v>648</v>
      </c>
      <c r="F174" s="34" t="s">
        <v>115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37">
        <v>42347.15625</v>
      </c>
      <c r="B175" s="35">
        <v>117.93000030517578</v>
      </c>
      <c r="C175" s="35">
        <v>101.93981170654297</v>
      </c>
      <c r="D175" s="40">
        <v>729510</v>
      </c>
      <c r="E175" s="34" t="s">
        <v>648</v>
      </c>
      <c r="F175" s="34" t="s">
        <v>115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37">
        <v>42348.15625</v>
      </c>
      <c r="B176" s="35">
        <v>117.95999908447266</v>
      </c>
      <c r="C176" s="35">
        <v>101.96575927734375</v>
      </c>
      <c r="D176" s="40">
        <v>834080</v>
      </c>
      <c r="E176" s="34" t="s">
        <v>648</v>
      </c>
      <c r="F176" s="34" t="s">
        <v>115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37">
        <v>42349.15625</v>
      </c>
      <c r="B177" s="35">
        <v>118.23999786376953</v>
      </c>
      <c r="C177" s="35">
        <v>102.20777130126953</v>
      </c>
      <c r="D177" s="40">
        <v>2378500</v>
      </c>
      <c r="E177" s="34" t="s">
        <v>648</v>
      </c>
      <c r="F177" s="34" t="s">
        <v>115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37">
        <v>42352.15625</v>
      </c>
      <c r="B178" s="35">
        <v>117.98000335693359</v>
      </c>
      <c r="C178" s="35">
        <v>101.9830322265625</v>
      </c>
      <c r="D178" s="40">
        <v>291140</v>
      </c>
      <c r="E178" s="34" t="s">
        <v>648</v>
      </c>
      <c r="F178" s="34" t="s">
        <v>115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37">
        <v>42353.15625</v>
      </c>
      <c r="B179" s="35">
        <v>119.58999633789063</v>
      </c>
      <c r="C179" s="35">
        <v>103.37473297119141</v>
      </c>
      <c r="D179" s="40">
        <v>1563575</v>
      </c>
      <c r="E179" s="34" t="s">
        <v>648</v>
      </c>
      <c r="F179" s="34" t="s">
        <v>115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37">
        <v>42354.15625</v>
      </c>
      <c r="B180" s="35">
        <v>117.16000366210938</v>
      </c>
      <c r="C180" s="35">
        <v>101.27420806884766</v>
      </c>
      <c r="D180" s="40">
        <v>353715</v>
      </c>
      <c r="E180" s="34" t="s">
        <v>648</v>
      </c>
      <c r="F180" s="34" t="s">
        <v>115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37">
        <v>42355.15625</v>
      </c>
      <c r="B181" s="35">
        <v>118.86000061035156</v>
      </c>
      <c r="C181" s="35">
        <v>102.74373626708984</v>
      </c>
      <c r="D181" s="40">
        <v>606810</v>
      </c>
      <c r="E181" s="34" t="s">
        <v>648</v>
      </c>
      <c r="F181" s="34" t="s">
        <v>115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37">
        <v>42356.15625</v>
      </c>
      <c r="B182" s="35">
        <v>117.97000122070313</v>
      </c>
      <c r="C182" s="35">
        <v>101.97439575195313</v>
      </c>
      <c r="D182" s="40">
        <v>586500</v>
      </c>
      <c r="E182" s="34" t="s">
        <v>648</v>
      </c>
      <c r="F182" s="34" t="s">
        <v>115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37">
        <v>42359.15625</v>
      </c>
      <c r="B183" s="35">
        <v>117.66000366210938</v>
      </c>
      <c r="C183" s="35">
        <v>101.70641326904297</v>
      </c>
      <c r="D183" s="40">
        <v>815195</v>
      </c>
      <c r="E183" s="34" t="s">
        <v>648</v>
      </c>
      <c r="F183" s="34" t="s">
        <v>115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37">
        <v>42360.15625</v>
      </c>
      <c r="B184" s="35">
        <v>117.88999938964844</v>
      </c>
      <c r="C184" s="35">
        <v>101.90524291992188</v>
      </c>
      <c r="D184" s="40">
        <v>1460835</v>
      </c>
      <c r="E184" s="34" t="s">
        <v>648</v>
      </c>
      <c r="F184" s="34" t="s">
        <v>115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37">
        <v>42361.15625</v>
      </c>
      <c r="B185" s="35">
        <v>118.45999908447266</v>
      </c>
      <c r="C185" s="35">
        <v>102.39794921875</v>
      </c>
      <c r="D185" s="40">
        <v>363250</v>
      </c>
      <c r="E185" s="34" t="s">
        <v>648</v>
      </c>
      <c r="F185" s="34" t="s">
        <v>115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37">
        <v>42362.15625</v>
      </c>
      <c r="B186" s="35">
        <v>117.37000274658203</v>
      </c>
      <c r="C186" s="35">
        <v>101.45574188232422</v>
      </c>
      <c r="D186" s="40">
        <v>274690</v>
      </c>
      <c r="E186" s="34" t="s">
        <v>648</v>
      </c>
      <c r="F186" s="34" t="s">
        <v>115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37">
        <v>42366.15625</v>
      </c>
      <c r="B187" s="35">
        <v>116.98000335693359</v>
      </c>
      <c r="C187" s="35">
        <v>101.11860656738281</v>
      </c>
      <c r="D187" s="40">
        <v>250005</v>
      </c>
      <c r="E187" s="34" t="s">
        <v>648</v>
      </c>
      <c r="F187" s="34" t="s">
        <v>115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37">
        <v>42367.15625</v>
      </c>
      <c r="B188" s="35">
        <v>115.76000213623047</v>
      </c>
      <c r="C188" s="35">
        <v>100.06405639648438</v>
      </c>
      <c r="D188" s="40">
        <v>465190</v>
      </c>
      <c r="E188" s="34" t="s">
        <v>648</v>
      </c>
      <c r="F188" s="34" t="s">
        <v>115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37">
        <v>42368.15625</v>
      </c>
      <c r="B189" s="35">
        <v>115.27999877929688</v>
      </c>
      <c r="C189" s="35">
        <v>99.64910888671875</v>
      </c>
      <c r="D189" s="40">
        <v>244600</v>
      </c>
      <c r="E189" s="34" t="s">
        <v>648</v>
      </c>
      <c r="F189" s="34" t="s">
        <v>115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37">
        <v>42369.15625</v>
      </c>
      <c r="B190" s="35">
        <v>115.91000366210938</v>
      </c>
      <c r="C190" s="35">
        <v>100.19371795654297</v>
      </c>
      <c r="D190" s="40">
        <v>235080</v>
      </c>
      <c r="E190" s="34" t="s">
        <v>648</v>
      </c>
      <c r="F190" s="34" t="s">
        <v>115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37">
        <v>42370.15625</v>
      </c>
      <c r="B191" s="35">
        <v>115.51999664306641</v>
      </c>
      <c r="C191" s="35">
        <v>99.856590270996094</v>
      </c>
      <c r="D191" s="40">
        <v>144260</v>
      </c>
      <c r="E191" s="34" t="s">
        <v>648</v>
      </c>
      <c r="F191" s="34" t="s">
        <v>115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37">
        <v>42373.15625</v>
      </c>
      <c r="B192" s="35">
        <v>116.09999847412109</v>
      </c>
      <c r="C192" s="35">
        <v>100.35792541503906</v>
      </c>
      <c r="D192" s="40">
        <v>417665</v>
      </c>
      <c r="E192" s="34" t="s">
        <v>648</v>
      </c>
      <c r="F192" s="34" t="s">
        <v>115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37">
        <v>42374.15625</v>
      </c>
      <c r="B193" s="35">
        <v>114.62000274658203</v>
      </c>
      <c r="C193" s="35">
        <v>99.078620910644531</v>
      </c>
      <c r="D193" s="40">
        <v>420775</v>
      </c>
      <c r="E193" s="34" t="s">
        <v>648</v>
      </c>
      <c r="F193" s="34" t="s">
        <v>115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37">
        <v>42375.15625</v>
      </c>
      <c r="B194" s="35">
        <v>113.79000091552734</v>
      </c>
      <c r="C194" s="35">
        <v>98.361152648925781</v>
      </c>
      <c r="D194" s="40">
        <v>373400</v>
      </c>
      <c r="E194" s="34" t="s">
        <v>648</v>
      </c>
      <c r="F194" s="34" t="s">
        <v>115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37">
        <v>42376.15625</v>
      </c>
      <c r="B195" s="35">
        <v>107.55999755859375</v>
      </c>
      <c r="C195" s="35">
        <v>92.975883483886719</v>
      </c>
      <c r="D195" s="40">
        <v>638880</v>
      </c>
      <c r="E195" s="34" t="s">
        <v>648</v>
      </c>
      <c r="F195" s="34" t="s">
        <v>115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37">
        <v>42377.15625</v>
      </c>
      <c r="B196" s="35">
        <v>107.19999694824219</v>
      </c>
      <c r="C196" s="35">
        <v>92.664695739746094</v>
      </c>
      <c r="D196" s="40">
        <v>835960</v>
      </c>
      <c r="E196" s="34" t="s">
        <v>648</v>
      </c>
      <c r="F196" s="34" t="s">
        <v>115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37">
        <v>42380.15625</v>
      </c>
      <c r="B197" s="35">
        <v>108.41000366210938</v>
      </c>
      <c r="C197" s="35">
        <v>93.710639953613281</v>
      </c>
      <c r="D197" s="40">
        <v>1836620</v>
      </c>
      <c r="E197" s="34" t="s">
        <v>648</v>
      </c>
      <c r="F197" s="34" t="s">
        <v>115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37">
        <v>42381.15625</v>
      </c>
      <c r="B198" s="35">
        <v>111.30000305175781</v>
      </c>
      <c r="C198" s="35">
        <v>96.208793640136719</v>
      </c>
      <c r="D198" s="40">
        <v>1375730</v>
      </c>
      <c r="E198" s="34" t="s">
        <v>648</v>
      </c>
      <c r="F198" s="34" t="s">
        <v>115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37">
        <v>42382.15625</v>
      </c>
      <c r="B199" s="35">
        <v>109.27999877929688</v>
      </c>
      <c r="C199" s="35">
        <v>94.462654113769531</v>
      </c>
      <c r="D199" s="40">
        <v>1160220</v>
      </c>
      <c r="E199" s="34" t="s">
        <v>648</v>
      </c>
      <c r="F199" s="34" t="s">
        <v>115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37">
        <v>42383.15625</v>
      </c>
      <c r="B200" s="35">
        <v>114.05999755859375</v>
      </c>
      <c r="C200" s="35">
        <v>98.594558715820313</v>
      </c>
      <c r="D200" s="40">
        <v>2792460</v>
      </c>
      <c r="E200" s="34" t="s">
        <v>648</v>
      </c>
      <c r="F200" s="34" t="s">
        <v>115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37">
        <v>42384.15625</v>
      </c>
      <c r="B201" s="35">
        <v>102.91999816894531</v>
      </c>
      <c r="C201" s="35">
        <v>88.96502685546875</v>
      </c>
      <c r="D201" s="40">
        <v>8650060</v>
      </c>
      <c r="E201" s="34" t="s">
        <v>648</v>
      </c>
      <c r="F201" s="34" t="s">
        <v>115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37">
        <v>42387.15625</v>
      </c>
      <c r="B202" s="35">
        <v>97.470001220703125</v>
      </c>
      <c r="C202" s="35">
        <v>84.253997802734375</v>
      </c>
      <c r="D202" s="40">
        <v>1845505</v>
      </c>
      <c r="E202" s="34" t="s">
        <v>648</v>
      </c>
      <c r="F202" s="34" t="s">
        <v>115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37">
        <v>42388.15625</v>
      </c>
      <c r="B203" s="35">
        <v>94.769996643066406</v>
      </c>
      <c r="C203" s="35">
        <v>81.920120239257813</v>
      </c>
      <c r="D203" s="40">
        <v>1997810</v>
      </c>
      <c r="E203" s="34" t="s">
        <v>648</v>
      </c>
      <c r="F203" s="34" t="s">
        <v>115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37">
        <v>42389.15625</v>
      </c>
      <c r="B204" s="35">
        <v>89.099998474121094</v>
      </c>
      <c r="C204" s="35">
        <v>77.018898010253906</v>
      </c>
      <c r="D204" s="40">
        <v>1601725</v>
      </c>
      <c r="E204" s="34" t="s">
        <v>648</v>
      </c>
      <c r="F204" s="34" t="s">
        <v>115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37">
        <v>42390.15625</v>
      </c>
      <c r="B205" s="35">
        <v>97.919998168945313</v>
      </c>
      <c r="C205" s="35">
        <v>84.642982482910156</v>
      </c>
      <c r="D205" s="40">
        <v>5910370</v>
      </c>
      <c r="E205" s="34" t="s">
        <v>648</v>
      </c>
      <c r="F205" s="34" t="s">
        <v>115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37">
        <v>42391.15625</v>
      </c>
      <c r="B206" s="35">
        <v>96.129997253417969</v>
      </c>
      <c r="C206" s="35">
        <v>83.095672607421875</v>
      </c>
      <c r="D206" s="40">
        <v>2042415</v>
      </c>
      <c r="E206" s="34" t="s">
        <v>648</v>
      </c>
      <c r="F206" s="34" t="s">
        <v>115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37">
        <v>42394.15625</v>
      </c>
      <c r="B207" s="35">
        <v>102.30999755859375</v>
      </c>
      <c r="C207" s="35">
        <v>88.437705993652344</v>
      </c>
      <c r="D207" s="40">
        <v>2021935</v>
      </c>
      <c r="E207" s="34" t="s">
        <v>648</v>
      </c>
      <c r="F207" s="34" t="s">
        <v>115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37">
        <v>42396.15625</v>
      </c>
      <c r="B208" s="35">
        <v>106.16999816894531</v>
      </c>
      <c r="C208" s="35">
        <v>91.774360656738281</v>
      </c>
      <c r="D208" s="40">
        <v>2027935</v>
      </c>
      <c r="E208" s="34" t="s">
        <v>648</v>
      </c>
      <c r="F208" s="34" t="s">
        <v>115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37">
        <v>42397.15625</v>
      </c>
      <c r="B209" s="35">
        <v>106.44000244140625</v>
      </c>
      <c r="C209" s="35">
        <v>92.007759094238281</v>
      </c>
      <c r="D209" s="40">
        <v>762985</v>
      </c>
      <c r="E209" s="34" t="s">
        <v>648</v>
      </c>
      <c r="F209" s="34" t="s">
        <v>115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37">
        <v>42398.15625</v>
      </c>
      <c r="B210" s="35">
        <v>110.33999633789063</v>
      </c>
      <c r="C210" s="35">
        <v>95.378944396972656</v>
      </c>
      <c r="D210" s="40">
        <v>1282045</v>
      </c>
      <c r="E210" s="34" t="s">
        <v>648</v>
      </c>
      <c r="F210" s="34" t="s">
        <v>115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37">
        <v>42401.15625</v>
      </c>
      <c r="B211" s="35">
        <v>106.29000091552734</v>
      </c>
      <c r="C211" s="35">
        <v>91.878089904785156</v>
      </c>
      <c r="D211" s="40">
        <v>701185</v>
      </c>
      <c r="E211" s="34" t="s">
        <v>648</v>
      </c>
      <c r="F211" s="34" t="s">
        <v>115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37">
        <v>42402.15625</v>
      </c>
      <c r="B212" s="35">
        <v>109.93000030517578</v>
      </c>
      <c r="C212" s="35">
        <v>95.024559020996094</v>
      </c>
      <c r="D212" s="40">
        <v>1147275</v>
      </c>
      <c r="E212" s="34" t="s">
        <v>648</v>
      </c>
      <c r="F212" s="34" t="s">
        <v>115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37">
        <v>42403.15625</v>
      </c>
      <c r="B213" s="35">
        <v>107.86000061035156</v>
      </c>
      <c r="C213" s="35">
        <v>93.235183715820313</v>
      </c>
      <c r="D213" s="40">
        <v>346610</v>
      </c>
      <c r="E213" s="34" t="s">
        <v>648</v>
      </c>
      <c r="F213" s="34" t="s">
        <v>115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37">
        <v>42404.15625</v>
      </c>
      <c r="B214" s="35">
        <v>109.37999725341797</v>
      </c>
      <c r="C214" s="35">
        <v>94.549118041992188</v>
      </c>
      <c r="D214" s="40">
        <v>699205</v>
      </c>
      <c r="E214" s="34" t="s">
        <v>648</v>
      </c>
      <c r="F214" s="34" t="s">
        <v>115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37">
        <v>42405.15625</v>
      </c>
      <c r="B215" s="35">
        <v>105.73000335693359</v>
      </c>
      <c r="C215" s="35">
        <v>91.394027709960938</v>
      </c>
      <c r="D215" s="40">
        <v>493830</v>
      </c>
      <c r="E215" s="34" t="s">
        <v>648</v>
      </c>
      <c r="F215" s="34" t="s">
        <v>115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37">
        <v>42408.15625</v>
      </c>
      <c r="B216" s="35">
        <v>105.05999755859375</v>
      </c>
      <c r="C216" s="35">
        <v>90.814872741699219</v>
      </c>
      <c r="D216" s="40">
        <v>374465</v>
      </c>
      <c r="E216" s="34" t="s">
        <v>648</v>
      </c>
      <c r="F216" s="34" t="s">
        <v>115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37">
        <v>42409.15625</v>
      </c>
      <c r="B217" s="35">
        <v>101.77999877929688</v>
      </c>
      <c r="C217" s="35">
        <v>87.979606628417969</v>
      </c>
      <c r="D217" s="40">
        <v>427965</v>
      </c>
      <c r="E217" s="34" t="s">
        <v>648</v>
      </c>
      <c r="F217" s="34" t="s">
        <v>115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37">
        <v>42410.15625</v>
      </c>
      <c r="B218" s="35">
        <v>101.02999877929688</v>
      </c>
      <c r="C218" s="35">
        <v>87.331283569335938</v>
      </c>
      <c r="D218" s="40">
        <v>553735</v>
      </c>
      <c r="E218" s="34" t="s">
        <v>648</v>
      </c>
      <c r="F218" s="34" t="s">
        <v>115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37">
        <v>42411.15625</v>
      </c>
      <c r="B219" s="35">
        <v>97.050003051757813</v>
      </c>
      <c r="C219" s="35">
        <v>83.890937805175781</v>
      </c>
      <c r="D219" s="40">
        <v>674340</v>
      </c>
      <c r="E219" s="34" t="s">
        <v>648</v>
      </c>
      <c r="F219" s="34" t="s">
        <v>115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37">
        <v>42412.15625</v>
      </c>
      <c r="B220" s="35">
        <v>98.180000305175781</v>
      </c>
      <c r="C220" s="35">
        <v>84.867729187011719</v>
      </c>
      <c r="D220" s="40">
        <v>653530</v>
      </c>
      <c r="E220" s="34" t="s">
        <v>648</v>
      </c>
      <c r="F220" s="34" t="s">
        <v>115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37">
        <v>42415.15625</v>
      </c>
      <c r="B221" s="35">
        <v>99.889999389648438</v>
      </c>
      <c r="C221" s="35">
        <v>86.345863342285156</v>
      </c>
      <c r="D221" s="40">
        <v>367530</v>
      </c>
      <c r="E221" s="34" t="s">
        <v>648</v>
      </c>
      <c r="F221" s="34" t="s">
        <v>115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37">
        <v>42416.15625</v>
      </c>
      <c r="B222" s="35">
        <v>99.459999084472656</v>
      </c>
      <c r="C222" s="35">
        <v>85.974151611328125</v>
      </c>
      <c r="D222" s="40">
        <v>439740</v>
      </c>
      <c r="E222" s="34" t="s">
        <v>648</v>
      </c>
      <c r="F222" s="34" t="s">
        <v>115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37">
        <v>42417.15625</v>
      </c>
      <c r="B223" s="35">
        <v>99.300003051757813</v>
      </c>
      <c r="C223" s="35">
        <v>85.83587646484375</v>
      </c>
      <c r="D223" s="40">
        <v>457885</v>
      </c>
      <c r="E223" s="34" t="s">
        <v>648</v>
      </c>
      <c r="F223" s="34" t="s">
        <v>115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37">
        <v>42418.15625</v>
      </c>
      <c r="B224" s="35">
        <v>95.790000915527344</v>
      </c>
      <c r="C224" s="35">
        <v>82.801788330078125</v>
      </c>
      <c r="D224" s="40">
        <v>819725</v>
      </c>
      <c r="E224" s="34" t="s">
        <v>648</v>
      </c>
      <c r="F224" s="34" t="s">
        <v>115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37">
        <v>42419.15625</v>
      </c>
      <c r="B225" s="35">
        <v>93.610000610351563</v>
      </c>
      <c r="C225" s="35">
        <v>80.917388916015625</v>
      </c>
      <c r="D225" s="40">
        <v>965120</v>
      </c>
      <c r="E225" s="34" t="s">
        <v>648</v>
      </c>
      <c r="F225" s="34" t="s">
        <v>115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37">
        <v>42422.15625</v>
      </c>
      <c r="B226" s="35">
        <v>93.379997253417969</v>
      </c>
      <c r="C226" s="35">
        <v>80.718544006347656</v>
      </c>
      <c r="D226" s="40">
        <v>427870</v>
      </c>
      <c r="E226" s="34" t="s">
        <v>648</v>
      </c>
      <c r="F226" s="34" t="s">
        <v>115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37">
        <v>42423.15625</v>
      </c>
      <c r="B227" s="35">
        <v>90.760002136230469</v>
      </c>
      <c r="C227" s="35">
        <v>78.45379638671875</v>
      </c>
      <c r="D227" s="40">
        <v>313620</v>
      </c>
      <c r="E227" s="34" t="s">
        <v>648</v>
      </c>
      <c r="F227" s="34" t="s">
        <v>115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37">
        <v>42424.15625</v>
      </c>
      <c r="B228" s="35">
        <v>92.580001831054688</v>
      </c>
      <c r="C228" s="35">
        <v>80.027030944824219</v>
      </c>
      <c r="D228" s="40">
        <v>4388220</v>
      </c>
      <c r="E228" s="34" t="s">
        <v>648</v>
      </c>
      <c r="F228" s="34" t="s">
        <v>115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37">
        <v>42425.15625</v>
      </c>
      <c r="B229" s="35">
        <v>88.970001220703125</v>
      </c>
      <c r="C229" s="35">
        <v>76.906509399414063</v>
      </c>
      <c r="D229" s="40">
        <v>1118510</v>
      </c>
      <c r="E229" s="34" t="s">
        <v>648</v>
      </c>
      <c r="F229" s="34" t="s">
        <v>115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37">
        <v>42426.15625</v>
      </c>
      <c r="B230" s="35">
        <v>85.080001831054688</v>
      </c>
      <c r="C230" s="35">
        <v>73.543960571289063</v>
      </c>
      <c r="D230" s="40">
        <v>1696140</v>
      </c>
      <c r="E230" s="34" t="s">
        <v>648</v>
      </c>
      <c r="F230" s="34" t="s">
        <v>115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37">
        <v>42429.15625</v>
      </c>
      <c r="B231" s="35">
        <v>83.910003662109375</v>
      </c>
      <c r="C231" s="35">
        <v>72.532600402832031</v>
      </c>
      <c r="D231" s="40">
        <v>1191265</v>
      </c>
      <c r="E231" s="34" t="s">
        <v>648</v>
      </c>
      <c r="F231" s="34" t="s">
        <v>115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37">
        <v>42430.15625</v>
      </c>
      <c r="B232" s="35">
        <v>92.930000305175781</v>
      </c>
      <c r="C232" s="35">
        <v>80.32958984375</v>
      </c>
      <c r="D232" s="40">
        <v>3533980</v>
      </c>
      <c r="E232" s="34" t="s">
        <v>648</v>
      </c>
      <c r="F232" s="34" t="s">
        <v>115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37">
        <v>42431.15625</v>
      </c>
      <c r="B233" s="35">
        <v>92.760002136230469</v>
      </c>
      <c r="C233" s="35">
        <v>80.182632446289063</v>
      </c>
      <c r="D233" s="40">
        <v>962760</v>
      </c>
      <c r="E233" s="34" t="s">
        <v>648</v>
      </c>
      <c r="F233" s="34" t="s">
        <v>115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37">
        <v>42432.15625</v>
      </c>
      <c r="B234" s="35">
        <v>98.849998474121094</v>
      </c>
      <c r="C234" s="35">
        <v>85.446868896484375</v>
      </c>
      <c r="D234" s="40">
        <v>1628535</v>
      </c>
      <c r="E234" s="34" t="s">
        <v>648</v>
      </c>
      <c r="F234" s="34" t="s">
        <v>115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37">
        <v>42433.15625</v>
      </c>
      <c r="B235" s="35">
        <v>95.989997863769531</v>
      </c>
      <c r="C235" s="35">
        <v>82.974632263183594</v>
      </c>
      <c r="D235" s="40">
        <v>1548195</v>
      </c>
      <c r="E235" s="34" t="s">
        <v>648</v>
      </c>
      <c r="F235" s="34" t="s">
        <v>115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37">
        <v>42437.15625</v>
      </c>
      <c r="B236" s="35">
        <v>93.279998779296875</v>
      </c>
      <c r="C236" s="35">
        <v>80.63214111328125</v>
      </c>
      <c r="D236" s="40">
        <v>614330</v>
      </c>
      <c r="E236" s="34" t="s">
        <v>648</v>
      </c>
      <c r="F236" s="34" t="s">
        <v>115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37">
        <v>42438.15625</v>
      </c>
      <c r="B237" s="35">
        <v>90.94000244140625</v>
      </c>
      <c r="C237" s="35">
        <v>78.609420776367188</v>
      </c>
      <c r="D237" s="40">
        <v>621010</v>
      </c>
      <c r="E237" s="34" t="s">
        <v>648</v>
      </c>
      <c r="F237" s="34" t="s">
        <v>115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37">
        <v>42439.15625</v>
      </c>
      <c r="B238" s="35">
        <v>93.269996643066406</v>
      </c>
      <c r="C238" s="35">
        <v>80.623466491699219</v>
      </c>
      <c r="D238" s="40">
        <v>2284210</v>
      </c>
      <c r="E238" s="34" t="s">
        <v>648</v>
      </c>
      <c r="F238" s="34" t="s">
        <v>115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37">
        <v>42440.15625</v>
      </c>
      <c r="B239" s="35">
        <v>92.470001220703125</v>
      </c>
      <c r="C239" s="35">
        <v>79.93194580078125</v>
      </c>
      <c r="D239" s="40">
        <v>665095</v>
      </c>
      <c r="E239" s="34" t="s">
        <v>648</v>
      </c>
      <c r="F239" s="34" t="s">
        <v>115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37">
        <v>42443.15625</v>
      </c>
      <c r="B240" s="35">
        <v>94.120002746582031</v>
      </c>
      <c r="C240" s="35">
        <v>81.358222961425781</v>
      </c>
      <c r="D240" s="40">
        <v>1251190</v>
      </c>
      <c r="E240" s="34" t="s">
        <v>648</v>
      </c>
      <c r="F240" s="34" t="s">
        <v>115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37">
        <v>42444.15625</v>
      </c>
      <c r="B241" s="35">
        <v>93.709999084472656</v>
      </c>
      <c r="C241" s="35">
        <v>81.003822326660156</v>
      </c>
      <c r="D241" s="40">
        <v>517810</v>
      </c>
      <c r="E241" s="34" t="s">
        <v>648</v>
      </c>
      <c r="F241" s="34" t="s">
        <v>115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37">
        <v>42445.15625</v>
      </c>
      <c r="B242" s="35">
        <v>96.519996643066406</v>
      </c>
      <c r="C242" s="35">
        <v>83.43280029296875</v>
      </c>
      <c r="D242" s="40">
        <v>1409230</v>
      </c>
      <c r="E242" s="34" t="s">
        <v>648</v>
      </c>
      <c r="F242" s="34" t="s">
        <v>115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37">
        <v>42446.15625</v>
      </c>
      <c r="B243" s="35">
        <v>94.400001525878906</v>
      </c>
      <c r="C243" s="35">
        <v>81.600265502929688</v>
      </c>
      <c r="D243" s="40">
        <v>544760</v>
      </c>
      <c r="E243" s="34" t="s">
        <v>648</v>
      </c>
      <c r="F243" s="34" t="s">
        <v>115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37">
        <v>42447.15625</v>
      </c>
      <c r="B244" s="35">
        <v>98.160003662109375</v>
      </c>
      <c r="C244" s="35">
        <v>84.850433349609375</v>
      </c>
      <c r="D244" s="40">
        <v>1010660</v>
      </c>
      <c r="E244" s="34" t="s">
        <v>648</v>
      </c>
      <c r="F244" s="34" t="s">
        <v>115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37">
        <v>42450.15625</v>
      </c>
      <c r="B245" s="35">
        <v>98.260002136230469</v>
      </c>
      <c r="C245" s="35">
        <v>84.936866760253906</v>
      </c>
      <c r="D245" s="40">
        <v>501360</v>
      </c>
      <c r="E245" s="34" t="s">
        <v>648</v>
      </c>
      <c r="F245" s="34" t="s">
        <v>115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37">
        <v>42451.15625</v>
      </c>
      <c r="B246" s="35">
        <v>98.379997253417969</v>
      </c>
      <c r="C246" s="35">
        <v>85.040618896484375</v>
      </c>
      <c r="D246" s="40">
        <v>665495</v>
      </c>
      <c r="E246" s="34" t="s">
        <v>648</v>
      </c>
      <c r="F246" s="34" t="s">
        <v>115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37">
        <v>42452.15625</v>
      </c>
      <c r="B247" s="35">
        <v>101.05000305175781</v>
      </c>
      <c r="C247" s="35">
        <v>87.348587036132813</v>
      </c>
      <c r="D247" s="40">
        <v>692345</v>
      </c>
      <c r="E247" s="34" t="s">
        <v>648</v>
      </c>
      <c r="F247" s="34" t="s">
        <v>115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37">
        <v>42457.15625</v>
      </c>
      <c r="B248" s="35">
        <v>97.629997253417969</v>
      </c>
      <c r="C248" s="35">
        <v>84.392295837402344</v>
      </c>
      <c r="D248" s="40">
        <v>650525</v>
      </c>
      <c r="E248" s="34" t="s">
        <v>648</v>
      </c>
      <c r="F248" s="34" t="s">
        <v>115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37">
        <v>42458.15625</v>
      </c>
      <c r="B249" s="35">
        <v>97.620002746582031</v>
      </c>
      <c r="C249" s="35">
        <v>84.383644104003906</v>
      </c>
      <c r="D249" s="40">
        <v>500140</v>
      </c>
      <c r="E249" s="34" t="s">
        <v>648</v>
      </c>
      <c r="F249" s="34" t="s">
        <v>115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37">
        <v>42459.15625</v>
      </c>
      <c r="B250" s="35">
        <v>98.910003662109375</v>
      </c>
      <c r="C250" s="35">
        <v>85.498733520507813</v>
      </c>
      <c r="D250" s="40">
        <v>575030</v>
      </c>
      <c r="E250" s="34" t="s">
        <v>648</v>
      </c>
      <c r="F250" s="34" t="s">
        <v>115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37">
        <v>42460.15625</v>
      </c>
      <c r="B251" s="35">
        <v>99.339996337890625</v>
      </c>
      <c r="C251" s="35">
        <v>85.870445251464844</v>
      </c>
      <c r="D251" s="40">
        <v>403990</v>
      </c>
      <c r="E251" s="34" t="s">
        <v>648</v>
      </c>
      <c r="F251" s="34" t="s">
        <v>115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37">
        <v>42461.15625</v>
      </c>
      <c r="B252" s="35">
        <v>99.110000610351563</v>
      </c>
      <c r="C252" s="35">
        <v>85.671638488769531</v>
      </c>
      <c r="D252" s="40">
        <v>875340</v>
      </c>
      <c r="E252" s="34" t="s">
        <v>649</v>
      </c>
      <c r="F252" s="34" t="s">
        <v>115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37">
        <v>42464.15625</v>
      </c>
      <c r="B253" s="35">
        <v>101.51000213623047</v>
      </c>
      <c r="C253" s="35">
        <v>87.7462158203125</v>
      </c>
      <c r="D253" s="40">
        <v>742155</v>
      </c>
      <c r="E253" s="34" t="s">
        <v>649</v>
      </c>
      <c r="F253" s="34" t="s">
        <v>115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37">
        <v>42465.15625</v>
      </c>
      <c r="B254" s="35">
        <v>98.790000915527344</v>
      </c>
      <c r="C254" s="35">
        <v>85.39501953125</v>
      </c>
      <c r="D254" s="40">
        <v>660780</v>
      </c>
      <c r="E254" s="34" t="s">
        <v>649</v>
      </c>
      <c r="F254" s="34" t="s">
        <v>115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37">
        <v>42466.15625</v>
      </c>
      <c r="B255" s="35">
        <v>97.989997863769531</v>
      </c>
      <c r="C255" s="35">
        <v>84.703506469726563</v>
      </c>
      <c r="D255" s="40">
        <v>844575</v>
      </c>
      <c r="E255" s="34" t="s">
        <v>649</v>
      </c>
      <c r="F255" s="34" t="s">
        <v>115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37">
        <v>42467.15625</v>
      </c>
      <c r="B256" s="35">
        <v>98.589996337890625</v>
      </c>
      <c r="C256" s="35">
        <v>85.222114562988281</v>
      </c>
      <c r="D256" s="40">
        <v>292805</v>
      </c>
      <c r="E256" s="34" t="s">
        <v>649</v>
      </c>
      <c r="F256" s="34" t="s">
        <v>115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37">
        <v>42468.15625</v>
      </c>
      <c r="B257" s="35">
        <v>99.800003051757813</v>
      </c>
      <c r="C257" s="35">
        <v>86.268058776855469</v>
      </c>
      <c r="D257" s="40">
        <v>277730</v>
      </c>
      <c r="E257" s="34" t="s">
        <v>649</v>
      </c>
      <c r="F257" s="34" t="s">
        <v>115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37">
        <v>42471.15625</v>
      </c>
      <c r="B258" s="35">
        <v>99.540000915527344</v>
      </c>
      <c r="C258" s="35">
        <v>86.0433349609375</v>
      </c>
      <c r="D258" s="40">
        <v>247910</v>
      </c>
      <c r="E258" s="34" t="s">
        <v>649</v>
      </c>
      <c r="F258" s="34" t="s">
        <v>115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37">
        <v>42472.15625</v>
      </c>
      <c r="B259" s="35">
        <v>99.150001525878906</v>
      </c>
      <c r="C259" s="35">
        <v>85.706207275390625</v>
      </c>
      <c r="D259" s="40">
        <v>203080</v>
      </c>
      <c r="E259" s="34" t="s">
        <v>649</v>
      </c>
      <c r="F259" s="34" t="s">
        <v>115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37">
        <v>42473.15625</v>
      </c>
      <c r="B260" s="35">
        <v>98.849998474121094</v>
      </c>
      <c r="C260" s="35">
        <v>85.446868896484375</v>
      </c>
      <c r="D260" s="40">
        <v>306585</v>
      </c>
      <c r="E260" s="34" t="s">
        <v>649</v>
      </c>
      <c r="F260" s="34" t="s">
        <v>115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>
      <c r="A261" s="38">
        <v>42478.15625</v>
      </c>
      <c r="B261" s="39">
        <v>102.19000244140625</v>
      </c>
      <c r="C261" s="39">
        <v>88.334007263183594</v>
      </c>
      <c r="D261" s="41">
        <v>1046420</v>
      </c>
      <c r="E261" s="36" t="s">
        <v>649</v>
      </c>
      <c r="F261" s="36" t="s">
        <v>115</v>
      </c>
    </row>
    <row r="262" spans="1:47">
      <c r="A262" s="38">
        <v>42480.15625</v>
      </c>
      <c r="B262" s="39">
        <v>100.62999725341797</v>
      </c>
      <c r="C262" s="39">
        <v>86.985519409179688</v>
      </c>
      <c r="D262" s="41">
        <v>501220</v>
      </c>
      <c r="E262" s="36" t="s">
        <v>649</v>
      </c>
      <c r="F262" s="36" t="s">
        <v>115</v>
      </c>
    </row>
    <row r="263" spans="1:47">
      <c r="A263" s="38">
        <v>42481.15625</v>
      </c>
      <c r="B263" s="39">
        <v>100.08999633789063</v>
      </c>
      <c r="C263" s="39">
        <v>86.518730163574219</v>
      </c>
      <c r="D263" s="41">
        <v>1989110</v>
      </c>
      <c r="E263" s="36" t="s">
        <v>649</v>
      </c>
      <c r="F263" s="36" t="s">
        <v>115</v>
      </c>
    </row>
    <row r="264" spans="1:47">
      <c r="A264" s="38">
        <v>42482.15625</v>
      </c>
      <c r="B264" s="39">
        <v>99.959999084472656</v>
      </c>
      <c r="C264" s="39">
        <v>86.4063720703125</v>
      </c>
      <c r="D264" s="41">
        <v>220165</v>
      </c>
      <c r="E264" s="36" t="s">
        <v>649</v>
      </c>
      <c r="F264" s="36" t="s">
        <v>115</v>
      </c>
    </row>
    <row r="265" spans="1:47">
      <c r="A265" s="38">
        <v>42485.15625</v>
      </c>
      <c r="B265" s="39">
        <v>98.959999084472656</v>
      </c>
      <c r="C265" s="39">
        <v>85.541976928710938</v>
      </c>
      <c r="D265" s="41">
        <v>636335</v>
      </c>
      <c r="E265" s="36" t="s">
        <v>649</v>
      </c>
      <c r="F265" s="36" t="s">
        <v>115</v>
      </c>
    </row>
    <row r="266" spans="1:47">
      <c r="A266" s="38">
        <v>42486.15625</v>
      </c>
      <c r="B266" s="39">
        <v>97.389999389648438</v>
      </c>
      <c r="C266" s="39">
        <v>84.184829711914063</v>
      </c>
      <c r="D266" s="41">
        <v>504445</v>
      </c>
      <c r="E266" s="36" t="s">
        <v>649</v>
      </c>
      <c r="F266" s="36" t="s">
        <v>115</v>
      </c>
    </row>
    <row r="267" spans="1:47">
      <c r="A267" s="38">
        <v>42487.15625</v>
      </c>
      <c r="B267" s="39">
        <v>96.150001525878906</v>
      </c>
      <c r="C267" s="39">
        <v>83.11297607421875</v>
      </c>
      <c r="D267" s="41">
        <v>444720</v>
      </c>
      <c r="E267" s="36" t="s">
        <v>649</v>
      </c>
      <c r="F267" s="36" t="s">
        <v>115</v>
      </c>
    </row>
    <row r="268" spans="1:47">
      <c r="A268" s="38">
        <v>42488.15625</v>
      </c>
      <c r="B268" s="39">
        <v>93.930000305175781</v>
      </c>
      <c r="C268" s="39">
        <v>81.193992614746094</v>
      </c>
      <c r="D268" s="41">
        <v>404715</v>
      </c>
      <c r="E268" s="36" t="s">
        <v>649</v>
      </c>
      <c r="F268" s="36" t="s">
        <v>115</v>
      </c>
    </row>
    <row r="269" spans="1:47">
      <c r="A269" s="38">
        <v>42489.15625</v>
      </c>
      <c r="B269" s="39">
        <v>93.930000305175781</v>
      </c>
      <c r="C269" s="39">
        <v>81.193992614746094</v>
      </c>
      <c r="D269" s="41">
        <v>533375</v>
      </c>
      <c r="E269" s="36" t="s">
        <v>649</v>
      </c>
      <c r="F269" s="36" t="s">
        <v>115</v>
      </c>
    </row>
    <row r="270" spans="1:47">
      <c r="A270" s="38">
        <v>42492.15625</v>
      </c>
      <c r="B270" s="39">
        <v>95.510002136230469</v>
      </c>
      <c r="C270" s="39">
        <v>82.559745788574219</v>
      </c>
      <c r="D270" s="41">
        <v>355250</v>
      </c>
      <c r="E270" s="36" t="s">
        <v>649</v>
      </c>
      <c r="F270" s="36" t="s">
        <v>115</v>
      </c>
    </row>
    <row r="271" spans="1:47">
      <c r="A271" s="38">
        <v>42493.15625</v>
      </c>
      <c r="B271" s="39">
        <v>93.480003356933594</v>
      </c>
      <c r="C271" s="39">
        <v>80.805000305175781</v>
      </c>
      <c r="D271" s="41">
        <v>499320</v>
      </c>
      <c r="E271" s="36" t="s">
        <v>649</v>
      </c>
      <c r="F271" s="36" t="s">
        <v>115</v>
      </c>
    </row>
    <row r="272" spans="1:47">
      <c r="A272" s="38">
        <v>42494.15625</v>
      </c>
      <c r="B272" s="39">
        <v>91.930000305175781</v>
      </c>
      <c r="C272" s="39">
        <v>79.465156555175781</v>
      </c>
      <c r="D272" s="41">
        <v>820705</v>
      </c>
      <c r="E272" s="36" t="s">
        <v>649</v>
      </c>
      <c r="F272" s="36" t="s">
        <v>115</v>
      </c>
    </row>
    <row r="273" spans="1:6">
      <c r="A273" s="38">
        <v>42495.15625</v>
      </c>
      <c r="B273" s="39">
        <v>92.129997253417969</v>
      </c>
      <c r="C273" s="39">
        <v>79.638053894042969</v>
      </c>
      <c r="D273" s="41">
        <v>358405</v>
      </c>
      <c r="E273" s="36" t="s">
        <v>649</v>
      </c>
      <c r="F273" s="36" t="s">
        <v>115</v>
      </c>
    </row>
    <row r="274" spans="1:6">
      <c r="A274" s="38">
        <v>42496.15625</v>
      </c>
      <c r="B274" s="39">
        <v>97.519996643066406</v>
      </c>
      <c r="C274" s="39">
        <v>84.297218322753906</v>
      </c>
      <c r="D274" s="41">
        <v>8462325</v>
      </c>
      <c r="E274" s="36" t="s">
        <v>649</v>
      </c>
      <c r="F274" s="36" t="s">
        <v>115</v>
      </c>
    </row>
    <row r="275" spans="1:6">
      <c r="A275" s="38">
        <v>42499.15625</v>
      </c>
      <c r="B275" s="39">
        <v>96.55999755859375</v>
      </c>
      <c r="C275" s="39">
        <v>83.467376708984375</v>
      </c>
      <c r="D275" s="41">
        <v>1332150</v>
      </c>
      <c r="E275" s="36" t="s">
        <v>649</v>
      </c>
      <c r="F275" s="36" t="s">
        <v>115</v>
      </c>
    </row>
    <row r="276" spans="1:6">
      <c r="A276" s="38">
        <v>42500.15625</v>
      </c>
      <c r="B276" s="39">
        <v>94.150001525878906</v>
      </c>
      <c r="C276" s="39">
        <v>81.3841552734375</v>
      </c>
      <c r="D276" s="41">
        <v>607120</v>
      </c>
      <c r="E276" s="36" t="s">
        <v>649</v>
      </c>
      <c r="F276" s="36" t="s">
        <v>115</v>
      </c>
    </row>
    <row r="277" spans="1:6">
      <c r="A277" s="38">
        <v>42501.15625</v>
      </c>
      <c r="B277" s="39">
        <v>95.209999084472656</v>
      </c>
      <c r="C277" s="39">
        <v>82.300430297851563</v>
      </c>
      <c r="D277" s="41">
        <v>629120</v>
      </c>
      <c r="E277" s="36" t="s">
        <v>649</v>
      </c>
      <c r="F277" s="36" t="s">
        <v>115</v>
      </c>
    </row>
    <row r="278" spans="1:6">
      <c r="A278" s="38">
        <v>42502.15625</v>
      </c>
      <c r="B278" s="39">
        <v>94.830001831054688</v>
      </c>
      <c r="C278" s="39">
        <v>81.971954345703125</v>
      </c>
      <c r="D278" s="41">
        <v>355760</v>
      </c>
      <c r="E278" s="36" t="s">
        <v>649</v>
      </c>
      <c r="F278" s="36" t="s">
        <v>115</v>
      </c>
    </row>
    <row r="279" spans="1:6">
      <c r="A279" s="38">
        <v>42503.15625</v>
      </c>
      <c r="B279" s="39">
        <v>94.790000915527344</v>
      </c>
      <c r="C279" s="39">
        <v>81.937370300292969</v>
      </c>
      <c r="D279" s="41">
        <v>614340</v>
      </c>
      <c r="E279" s="36" t="s">
        <v>649</v>
      </c>
      <c r="F279" s="36" t="s">
        <v>115</v>
      </c>
    </row>
    <row r="280" spans="1:6">
      <c r="A280" s="38">
        <v>42506.15625</v>
      </c>
      <c r="B280" s="39">
        <v>94.720001220703125</v>
      </c>
      <c r="C280" s="39">
        <v>81.876861572265625</v>
      </c>
      <c r="D280" s="41">
        <v>440560</v>
      </c>
      <c r="E280" s="36" t="s">
        <v>649</v>
      </c>
      <c r="F280" s="36" t="s">
        <v>115</v>
      </c>
    </row>
    <row r="281" spans="1:6">
      <c r="A281" s="38">
        <v>42507.15625</v>
      </c>
      <c r="B281" s="39">
        <v>95.760002136230469</v>
      </c>
      <c r="C281" s="39">
        <v>82.775871276855469</v>
      </c>
      <c r="D281" s="41">
        <v>866630</v>
      </c>
      <c r="E281" s="36" t="s">
        <v>649</v>
      </c>
      <c r="F281" s="36" t="s">
        <v>115</v>
      </c>
    </row>
    <row r="282" spans="1:6">
      <c r="A282" s="38">
        <v>42508.15625</v>
      </c>
      <c r="B282" s="39">
        <v>95.80999755859375</v>
      </c>
      <c r="C282" s="39">
        <v>82.819053649902344</v>
      </c>
      <c r="D282" s="41">
        <v>600850</v>
      </c>
      <c r="E282" s="36" t="s">
        <v>649</v>
      </c>
      <c r="F282" s="36" t="s">
        <v>115</v>
      </c>
    </row>
    <row r="283" spans="1:6">
      <c r="A283" s="38">
        <v>42509.15625</v>
      </c>
      <c r="B283" s="39">
        <v>94.610000610351563</v>
      </c>
      <c r="C283" s="39">
        <v>81.781784057617188</v>
      </c>
      <c r="D283" s="41">
        <v>446200</v>
      </c>
      <c r="E283" s="36" t="s">
        <v>649</v>
      </c>
      <c r="F283" s="36" t="s">
        <v>115</v>
      </c>
    </row>
    <row r="284" spans="1:6">
      <c r="A284" s="38">
        <v>42510.15625</v>
      </c>
      <c r="B284" s="39">
        <v>94.980003356933594</v>
      </c>
      <c r="C284" s="39">
        <v>82.101631164550781</v>
      </c>
      <c r="D284" s="41">
        <v>325860</v>
      </c>
      <c r="E284" s="36" t="s">
        <v>649</v>
      </c>
      <c r="F284" s="36" t="s">
        <v>115</v>
      </c>
    </row>
    <row r="285" spans="1:6">
      <c r="A285" s="38">
        <v>42513.15625</v>
      </c>
      <c r="B285" s="39">
        <v>95.040000915527344</v>
      </c>
      <c r="C285" s="39">
        <v>82.153472900390625</v>
      </c>
      <c r="D285" s="41">
        <v>176500</v>
      </c>
      <c r="E285" s="36" t="s">
        <v>649</v>
      </c>
      <c r="F285" s="36" t="s">
        <v>115</v>
      </c>
    </row>
    <row r="286" spans="1:6">
      <c r="A286" s="38">
        <v>42514.15625</v>
      </c>
      <c r="B286" s="39">
        <v>95.089996337890625</v>
      </c>
      <c r="C286" s="39">
        <v>82.196685791015625</v>
      </c>
      <c r="D286" s="41">
        <v>233085</v>
      </c>
      <c r="E286" s="36" t="s">
        <v>649</v>
      </c>
      <c r="F286" s="36" t="s">
        <v>115</v>
      </c>
    </row>
    <row r="287" spans="1:6">
      <c r="A287" s="38">
        <v>42515.15625</v>
      </c>
      <c r="B287" s="39">
        <v>95.019996643066406</v>
      </c>
      <c r="C287" s="39">
        <v>82.136184692382813</v>
      </c>
      <c r="D287" s="41">
        <v>203790</v>
      </c>
      <c r="E287" s="36" t="s">
        <v>649</v>
      </c>
      <c r="F287" s="36" t="s">
        <v>115</v>
      </c>
    </row>
    <row r="288" spans="1:6">
      <c r="A288" s="38">
        <v>42516.15625</v>
      </c>
      <c r="B288" s="39">
        <v>94.989997863769531</v>
      </c>
      <c r="C288" s="39">
        <v>82.110252380371094</v>
      </c>
      <c r="D288" s="41">
        <v>195035</v>
      </c>
      <c r="E288" s="36" t="s">
        <v>649</v>
      </c>
      <c r="F288" s="36" t="s">
        <v>115</v>
      </c>
    </row>
    <row r="289" spans="1:6">
      <c r="A289" s="38">
        <v>42517.15625</v>
      </c>
      <c r="B289" s="39">
        <v>94.919998168945313</v>
      </c>
      <c r="C289" s="39">
        <v>82.049736022949219</v>
      </c>
      <c r="D289" s="41">
        <v>319165</v>
      </c>
      <c r="E289" s="36" t="s">
        <v>649</v>
      </c>
      <c r="F289" s="36" t="s">
        <v>115</v>
      </c>
    </row>
    <row r="290" spans="1:6">
      <c r="A290" s="38">
        <v>42520.15625</v>
      </c>
      <c r="B290" s="39">
        <v>95.099998474121094</v>
      </c>
      <c r="C290" s="39">
        <v>82.205329895019531</v>
      </c>
      <c r="D290" s="41">
        <v>220630</v>
      </c>
      <c r="E290" s="36" t="s">
        <v>649</v>
      </c>
      <c r="F290" s="36" t="s">
        <v>115</v>
      </c>
    </row>
    <row r="291" spans="1:6">
      <c r="A291" s="38">
        <v>42521.15625</v>
      </c>
      <c r="B291" s="39">
        <v>97.120002746582031</v>
      </c>
      <c r="C291" s="39">
        <v>83.951461791992188</v>
      </c>
      <c r="D291" s="41">
        <v>1043190</v>
      </c>
      <c r="E291" s="36" t="s">
        <v>649</v>
      </c>
      <c r="F291" s="36" t="s">
        <v>115</v>
      </c>
    </row>
    <row r="292" spans="1:6">
      <c r="A292" s="38">
        <v>42522.15625</v>
      </c>
      <c r="B292" s="39">
        <v>99.400001525878906</v>
      </c>
      <c r="C292" s="39">
        <v>85.92230224609375</v>
      </c>
      <c r="D292" s="41">
        <v>688905</v>
      </c>
      <c r="E292" s="36" t="s">
        <v>649</v>
      </c>
      <c r="F292" s="36" t="s">
        <v>115</v>
      </c>
    </row>
    <row r="293" spans="1:6">
      <c r="A293" s="38">
        <v>42523.15625</v>
      </c>
      <c r="B293" s="39">
        <v>99.989997863769531</v>
      </c>
      <c r="C293" s="39">
        <v>86.432319641113281</v>
      </c>
      <c r="D293" s="41">
        <v>368855</v>
      </c>
      <c r="E293" s="36" t="s">
        <v>649</v>
      </c>
      <c r="F293" s="36" t="s">
        <v>115</v>
      </c>
    </row>
    <row r="294" spans="1:6">
      <c r="A294" s="38">
        <v>42524.15625</v>
      </c>
      <c r="B294" s="39">
        <v>99.400001525878906</v>
      </c>
      <c r="C294" s="39">
        <v>85.92230224609375</v>
      </c>
      <c r="D294" s="41">
        <v>204525</v>
      </c>
      <c r="E294" s="36" t="s">
        <v>649</v>
      </c>
      <c r="F294" s="36" t="s">
        <v>115</v>
      </c>
    </row>
    <row r="295" spans="1:6">
      <c r="A295" s="38">
        <v>42527.15625</v>
      </c>
      <c r="B295" s="39">
        <v>100.93000030517578</v>
      </c>
      <c r="C295" s="39">
        <v>87.244857788085938</v>
      </c>
      <c r="D295" s="41">
        <v>465830</v>
      </c>
      <c r="E295" s="36" t="s">
        <v>649</v>
      </c>
      <c r="F295" s="36" t="s">
        <v>115</v>
      </c>
    </row>
    <row r="296" spans="1:6">
      <c r="A296" s="38">
        <v>42528.15625</v>
      </c>
      <c r="B296" s="39">
        <v>102.58000183105469</v>
      </c>
      <c r="C296" s="39">
        <v>88.671142578125</v>
      </c>
      <c r="D296" s="41">
        <v>1667605</v>
      </c>
      <c r="E296" s="36" t="s">
        <v>649</v>
      </c>
      <c r="F296" s="36" t="s">
        <v>115</v>
      </c>
    </row>
    <row r="297" spans="1:6">
      <c r="A297" s="38">
        <v>42529.15625</v>
      </c>
      <c r="B297" s="39">
        <v>108.26999664306641</v>
      </c>
      <c r="C297" s="39">
        <v>93.589599609375</v>
      </c>
      <c r="D297" s="41">
        <v>1861765</v>
      </c>
      <c r="E297" s="36" t="s">
        <v>649</v>
      </c>
      <c r="F297" s="36" t="s">
        <v>115</v>
      </c>
    </row>
    <row r="298" spans="1:6">
      <c r="A298" s="38">
        <v>42530.15625</v>
      </c>
      <c r="B298" s="39">
        <v>105.33999633789063</v>
      </c>
      <c r="C298" s="39">
        <v>91.056900024414063</v>
      </c>
      <c r="D298" s="41">
        <v>438720</v>
      </c>
      <c r="E298" s="36" t="s">
        <v>649</v>
      </c>
      <c r="F298" s="36" t="s">
        <v>115</v>
      </c>
    </row>
    <row r="299" spans="1:6">
      <c r="A299" s="38">
        <v>42531.15625</v>
      </c>
      <c r="B299" s="39">
        <v>106.47000122070313</v>
      </c>
      <c r="C299" s="39">
        <v>92.03369140625</v>
      </c>
      <c r="D299" s="41">
        <v>1376830</v>
      </c>
      <c r="E299" s="36" t="s">
        <v>649</v>
      </c>
      <c r="F299" s="36" t="s">
        <v>115</v>
      </c>
    </row>
    <row r="300" spans="1:6">
      <c r="A300" s="38">
        <v>42534.15625</v>
      </c>
      <c r="B300" s="39">
        <v>110.98000335693359</v>
      </c>
      <c r="C300" s="39">
        <v>95.932167053222656</v>
      </c>
      <c r="D300" s="41">
        <v>1439175</v>
      </c>
      <c r="E300" s="36" t="s">
        <v>649</v>
      </c>
      <c r="F300" s="36" t="s">
        <v>115</v>
      </c>
    </row>
    <row r="301" spans="1:6">
      <c r="A301" s="38">
        <v>42535.15625</v>
      </c>
      <c r="B301" s="39">
        <v>113.33000183105469</v>
      </c>
      <c r="C301" s="39">
        <v>97.963523864746094</v>
      </c>
      <c r="D301" s="41">
        <v>770965</v>
      </c>
      <c r="E301" s="36" t="s">
        <v>649</v>
      </c>
      <c r="F301" s="36" t="s">
        <v>115</v>
      </c>
    </row>
    <row r="302" spans="1:6">
      <c r="A302" s="38">
        <v>42536.15625</v>
      </c>
      <c r="B302" s="39">
        <v>111</v>
      </c>
      <c r="C302" s="39">
        <v>95.949455261230469</v>
      </c>
      <c r="D302" s="41">
        <v>1767020</v>
      </c>
      <c r="E302" s="36" t="s">
        <v>649</v>
      </c>
      <c r="F302" s="36" t="s">
        <v>115</v>
      </c>
    </row>
    <row r="303" spans="1:6">
      <c r="A303" s="38">
        <v>42537.15625</v>
      </c>
      <c r="B303" s="39">
        <v>108.79000091552734</v>
      </c>
      <c r="C303" s="39">
        <v>94.039131164550781</v>
      </c>
      <c r="D303" s="41">
        <v>1152150</v>
      </c>
      <c r="E303" s="36" t="s">
        <v>649</v>
      </c>
      <c r="F303" s="36" t="s">
        <v>115</v>
      </c>
    </row>
    <row r="304" spans="1:6">
      <c r="A304" s="38">
        <v>42538.15625</v>
      </c>
      <c r="B304" s="39">
        <v>108.30999755859375</v>
      </c>
      <c r="C304" s="39">
        <v>93.624176025390625</v>
      </c>
      <c r="D304" s="41">
        <v>320000</v>
      </c>
      <c r="E304" s="36" t="s">
        <v>649</v>
      </c>
      <c r="F304" s="36" t="s">
        <v>115</v>
      </c>
    </row>
    <row r="305" spans="1:6">
      <c r="A305" s="38">
        <v>42541.15625</v>
      </c>
      <c r="B305" s="39">
        <v>106.86000061035156</v>
      </c>
      <c r="C305" s="39">
        <v>92.370803833007813</v>
      </c>
      <c r="D305" s="41">
        <v>263275</v>
      </c>
      <c r="E305" s="36" t="s">
        <v>649</v>
      </c>
      <c r="F305" s="36" t="s">
        <v>115</v>
      </c>
    </row>
    <row r="306" spans="1:6">
      <c r="A306" s="38">
        <v>42542.15625</v>
      </c>
      <c r="B306" s="39">
        <v>105.72000122070313</v>
      </c>
      <c r="C306" s="39">
        <v>91.3853759765625</v>
      </c>
      <c r="D306" s="41">
        <v>186560</v>
      </c>
      <c r="E306" s="36" t="s">
        <v>649</v>
      </c>
      <c r="F306" s="36" t="s">
        <v>115</v>
      </c>
    </row>
    <row r="307" spans="1:6">
      <c r="A307" s="38">
        <v>42543.15625</v>
      </c>
      <c r="B307" s="39">
        <v>104.44999694824219</v>
      </c>
      <c r="C307" s="39">
        <v>90.287574768066406</v>
      </c>
      <c r="D307" s="41">
        <v>984870</v>
      </c>
      <c r="E307" s="36" t="s">
        <v>649</v>
      </c>
      <c r="F307" s="36" t="s">
        <v>115</v>
      </c>
    </row>
    <row r="308" spans="1:6">
      <c r="A308" s="38">
        <v>42544.15625</v>
      </c>
      <c r="B308" s="39">
        <v>104.43000030517578</v>
      </c>
      <c r="C308" s="39">
        <v>90.270256042480469</v>
      </c>
      <c r="D308" s="41">
        <v>315025</v>
      </c>
      <c r="E308" s="36" t="s">
        <v>649</v>
      </c>
      <c r="F308" s="36" t="s">
        <v>115</v>
      </c>
    </row>
    <row r="309" spans="1:6">
      <c r="A309" s="38">
        <v>42545.15625</v>
      </c>
      <c r="B309" s="39">
        <v>101.44999694824219</v>
      </c>
      <c r="C309" s="39">
        <v>87.6943359375</v>
      </c>
      <c r="D309" s="41">
        <v>406800</v>
      </c>
      <c r="E309" s="36" t="s">
        <v>649</v>
      </c>
      <c r="F309" s="36" t="s">
        <v>115</v>
      </c>
    </row>
    <row r="310" spans="1:6">
      <c r="A310" s="38">
        <v>42548.15625</v>
      </c>
      <c r="B310" s="39">
        <v>100.31999969482422</v>
      </c>
      <c r="C310" s="39">
        <v>86.717567443847656</v>
      </c>
      <c r="D310" s="41">
        <v>354300</v>
      </c>
      <c r="E310" s="36" t="s">
        <v>649</v>
      </c>
      <c r="F310" s="36" t="s">
        <v>115</v>
      </c>
    </row>
    <row r="311" spans="1:6">
      <c r="A311" s="38">
        <v>42549.15625</v>
      </c>
      <c r="B311" s="39">
        <v>97.879997253417969</v>
      </c>
      <c r="C311" s="39">
        <v>84.608390808105469</v>
      </c>
      <c r="D311" s="41">
        <v>1011145</v>
      </c>
      <c r="E311" s="36" t="s">
        <v>649</v>
      </c>
      <c r="F311" s="36" t="s">
        <v>115</v>
      </c>
    </row>
    <row r="312" spans="1:6">
      <c r="A312" s="38">
        <v>42550.15625</v>
      </c>
      <c r="B312" s="39">
        <v>99.30999755859375</v>
      </c>
      <c r="C312" s="39">
        <v>85.844512939453125</v>
      </c>
      <c r="D312" s="41">
        <v>666565</v>
      </c>
      <c r="E312" s="36" t="s">
        <v>649</v>
      </c>
      <c r="F312" s="36" t="s">
        <v>115</v>
      </c>
    </row>
    <row r="313" spans="1:6">
      <c r="A313" s="38">
        <v>42551.15625</v>
      </c>
      <c r="B313" s="39">
        <v>102.55000305175781</v>
      </c>
      <c r="C313" s="39">
        <v>88.64520263671875</v>
      </c>
      <c r="D313" s="41">
        <v>1864410</v>
      </c>
      <c r="E313" s="36" t="s">
        <v>649</v>
      </c>
      <c r="F313" s="36" t="s">
        <v>115</v>
      </c>
    </row>
    <row r="314" spans="1:6">
      <c r="A314" s="38">
        <v>42552.15625</v>
      </c>
      <c r="B314" s="39">
        <v>103.38999938964844</v>
      </c>
      <c r="C314" s="39">
        <v>89.371307373046875</v>
      </c>
      <c r="D314" s="41">
        <v>3100685</v>
      </c>
      <c r="E314" s="36" t="s">
        <v>649</v>
      </c>
      <c r="F314" s="36" t="s">
        <v>115</v>
      </c>
    </row>
    <row r="315" spans="1:6">
      <c r="A315" s="38">
        <v>42555.15625</v>
      </c>
      <c r="B315" s="39">
        <v>104.73999786376953</v>
      </c>
      <c r="C315" s="39">
        <v>90.538253784179688</v>
      </c>
      <c r="D315" s="41">
        <v>905000</v>
      </c>
      <c r="E315" s="36" t="s">
        <v>649</v>
      </c>
      <c r="F315" s="36" t="s">
        <v>115</v>
      </c>
    </row>
    <row r="316" spans="1:6">
      <c r="A316" s="38">
        <v>42556.15625</v>
      </c>
      <c r="B316" s="39">
        <v>105.94000244140625</v>
      </c>
      <c r="C316" s="39">
        <v>91.575538635253906</v>
      </c>
      <c r="D316" s="41">
        <v>1230090</v>
      </c>
      <c r="E316" s="36" t="s">
        <v>649</v>
      </c>
      <c r="F316" s="36" t="s">
        <v>115</v>
      </c>
    </row>
    <row r="317" spans="1:6">
      <c r="A317" s="38">
        <v>42558.15625</v>
      </c>
      <c r="B317" s="39">
        <v>101.84999847412109</v>
      </c>
      <c r="C317" s="39">
        <v>88.040107727050781</v>
      </c>
      <c r="D317" s="41">
        <v>1271185</v>
      </c>
      <c r="E317" s="36" t="s">
        <v>649</v>
      </c>
      <c r="F317" s="36" t="s">
        <v>115</v>
      </c>
    </row>
    <row r="318" spans="1:6">
      <c r="A318" s="38">
        <v>42559.15625</v>
      </c>
      <c r="B318" s="39">
        <v>100.54000091552734</v>
      </c>
      <c r="C318" s="39">
        <v>86.907730102539063</v>
      </c>
      <c r="D318" s="41">
        <v>818110</v>
      </c>
      <c r="E318" s="36" t="s">
        <v>649</v>
      </c>
      <c r="F318" s="36" t="s">
        <v>115</v>
      </c>
    </row>
    <row r="319" spans="1:6">
      <c r="A319" s="38">
        <v>42562.15625</v>
      </c>
      <c r="B319" s="39">
        <v>100.69999694824219</v>
      </c>
      <c r="C319" s="39">
        <v>87.046051025390625</v>
      </c>
      <c r="D319" s="41">
        <v>633855</v>
      </c>
      <c r="E319" s="36" t="s">
        <v>649</v>
      </c>
      <c r="F319" s="36" t="s">
        <v>115</v>
      </c>
    </row>
    <row r="320" spans="1:6">
      <c r="A320" s="38">
        <v>42563.15625</v>
      </c>
      <c r="B320" s="39">
        <v>100.80999755859375</v>
      </c>
      <c r="C320" s="39">
        <v>87.141120910644531</v>
      </c>
      <c r="D320" s="41">
        <v>842775</v>
      </c>
      <c r="E320" s="36" t="s">
        <v>649</v>
      </c>
      <c r="F320" s="36" t="s">
        <v>115</v>
      </c>
    </row>
    <row r="321" spans="1:6">
      <c r="A321" s="38">
        <v>42564.15625</v>
      </c>
      <c r="B321" s="39">
        <v>100.73000335693359</v>
      </c>
      <c r="C321" s="39">
        <v>87.071975708007813</v>
      </c>
      <c r="D321" s="41">
        <v>460485</v>
      </c>
      <c r="E321" s="36" t="s">
        <v>649</v>
      </c>
      <c r="F321" s="36" t="s">
        <v>115</v>
      </c>
    </row>
    <row r="322" spans="1:6">
      <c r="A322" s="38">
        <v>42565.15625</v>
      </c>
      <c r="B322" s="39">
        <v>99.459999084472656</v>
      </c>
      <c r="C322" s="39">
        <v>85.974151611328125</v>
      </c>
      <c r="D322" s="41">
        <v>515425</v>
      </c>
      <c r="E322" s="36" t="s">
        <v>649</v>
      </c>
      <c r="F322" s="36" t="s">
        <v>115</v>
      </c>
    </row>
    <row r="323" spans="1:6">
      <c r="A323" s="38">
        <v>42566.15625</v>
      </c>
      <c r="B323" s="39">
        <v>94.040000915527344</v>
      </c>
      <c r="C323" s="39">
        <v>81.289077758789063</v>
      </c>
      <c r="D323" s="41">
        <v>9435020</v>
      </c>
      <c r="E323" s="36" t="s">
        <v>649</v>
      </c>
      <c r="F323" s="36" t="s">
        <v>115</v>
      </c>
    </row>
    <row r="324" spans="1:6">
      <c r="A324" s="38">
        <v>42569.15625</v>
      </c>
      <c r="B324" s="39">
        <v>94.529998779296875</v>
      </c>
      <c r="C324" s="39">
        <v>81.712615966796875</v>
      </c>
      <c r="D324" s="41">
        <v>1421250</v>
      </c>
      <c r="E324" s="36" t="s">
        <v>649</v>
      </c>
      <c r="F324" s="36" t="s">
        <v>115</v>
      </c>
    </row>
    <row r="325" spans="1:6">
      <c r="A325" s="38">
        <v>42570.15625</v>
      </c>
      <c r="B325" s="39">
        <v>94.379997253417969</v>
      </c>
      <c r="C325" s="39">
        <v>81.582962036132813</v>
      </c>
      <c r="D325" s="41">
        <v>722570</v>
      </c>
      <c r="E325" s="36" t="s">
        <v>649</v>
      </c>
      <c r="F325" s="36" t="s">
        <v>115</v>
      </c>
    </row>
    <row r="326" spans="1:6">
      <c r="A326" s="38">
        <v>42571.15625</v>
      </c>
      <c r="B326" s="39">
        <v>93.790000915527344</v>
      </c>
      <c r="C326" s="39">
        <v>81.072959899902344</v>
      </c>
      <c r="D326" s="41">
        <v>756335</v>
      </c>
      <c r="E326" s="36" t="s">
        <v>649</v>
      </c>
      <c r="F326" s="36" t="s">
        <v>115</v>
      </c>
    </row>
    <row r="327" spans="1:6">
      <c r="A327" s="38">
        <v>42572.15625</v>
      </c>
      <c r="B327" s="39">
        <v>93.150001525878906</v>
      </c>
      <c r="C327" s="39">
        <v>80.519752502441406</v>
      </c>
      <c r="D327" s="41">
        <v>577365</v>
      </c>
      <c r="E327" s="36" t="s">
        <v>649</v>
      </c>
      <c r="F327" s="36" t="s">
        <v>115</v>
      </c>
    </row>
    <row r="328" spans="1:6">
      <c r="A328" s="38">
        <v>42573.15625</v>
      </c>
      <c r="B328" s="39">
        <v>92.730003356933594</v>
      </c>
      <c r="C328" s="39">
        <v>81.91546630859375</v>
      </c>
      <c r="D328" s="41">
        <v>1074085</v>
      </c>
      <c r="E328" s="36" t="s">
        <v>649</v>
      </c>
      <c r="F328" s="36" t="s">
        <v>115</v>
      </c>
    </row>
    <row r="329" spans="1:6">
      <c r="A329" s="38">
        <v>42576.15625</v>
      </c>
      <c r="B329" s="39">
        <v>92.19000244140625</v>
      </c>
      <c r="C329" s="39">
        <v>81.4384765625</v>
      </c>
      <c r="D329" s="41">
        <v>657640</v>
      </c>
      <c r="E329" s="36" t="s">
        <v>649</v>
      </c>
      <c r="F329" s="36" t="s">
        <v>115</v>
      </c>
    </row>
    <row r="330" spans="1:6">
      <c r="A330" s="38">
        <v>42577.15625</v>
      </c>
      <c r="B330" s="39">
        <v>93.470001220703125</v>
      </c>
      <c r="C330" s="39">
        <v>82.569160461425781</v>
      </c>
      <c r="D330" s="41">
        <v>2275285</v>
      </c>
      <c r="E330" s="36" t="s">
        <v>649</v>
      </c>
      <c r="F330" s="36" t="s">
        <v>115</v>
      </c>
    </row>
    <row r="331" spans="1:6">
      <c r="A331" s="38">
        <v>42578.15625</v>
      </c>
      <c r="B331" s="39">
        <v>92.019996643066406</v>
      </c>
      <c r="C331" s="39">
        <v>81.28826904296875</v>
      </c>
      <c r="D331" s="41">
        <v>817640</v>
      </c>
      <c r="E331" s="36" t="s">
        <v>649</v>
      </c>
      <c r="F331" s="36" t="s">
        <v>115</v>
      </c>
    </row>
    <row r="332" spans="1:6">
      <c r="A332" s="38">
        <v>42579.15625</v>
      </c>
      <c r="B332" s="39">
        <v>93.5</v>
      </c>
      <c r="C332" s="39">
        <v>82.595687866210938</v>
      </c>
      <c r="D332" s="41">
        <v>2264070</v>
      </c>
      <c r="E332" s="36" t="s">
        <v>649</v>
      </c>
      <c r="F332" s="36" t="s">
        <v>115</v>
      </c>
    </row>
    <row r="333" spans="1:6">
      <c r="A333" s="38">
        <v>42580.15625</v>
      </c>
      <c r="B333" s="39">
        <v>90.010002136230469</v>
      </c>
      <c r="C333" s="39">
        <v>79.5126953125</v>
      </c>
      <c r="D333" s="41">
        <v>1888015</v>
      </c>
      <c r="E333" s="36" t="s">
        <v>649</v>
      </c>
      <c r="F333" s="36" t="s">
        <v>115</v>
      </c>
    </row>
    <row r="334" spans="1:6">
      <c r="A334" s="38">
        <v>42583.15625</v>
      </c>
      <c r="B334" s="39">
        <v>89.209999084472656</v>
      </c>
      <c r="C334" s="39">
        <v>78.805984497070313</v>
      </c>
      <c r="D334" s="41">
        <v>1117580</v>
      </c>
      <c r="E334" s="36" t="s">
        <v>649</v>
      </c>
      <c r="F334" s="36" t="s">
        <v>115</v>
      </c>
    </row>
    <row r="335" spans="1:6">
      <c r="A335" s="38">
        <v>42584.15625</v>
      </c>
      <c r="B335" s="39">
        <v>88.470001220703125</v>
      </c>
      <c r="C335" s="39">
        <v>78.152313232421875</v>
      </c>
      <c r="D335" s="41">
        <v>644245</v>
      </c>
      <c r="E335" s="36" t="s">
        <v>649</v>
      </c>
      <c r="F335" s="36" t="s">
        <v>115</v>
      </c>
    </row>
    <row r="336" spans="1:6">
      <c r="A336" s="38">
        <v>42585.15625</v>
      </c>
      <c r="B336" s="39">
        <v>84.449996948242188</v>
      </c>
      <c r="C336" s="39">
        <v>74.601119995117188</v>
      </c>
      <c r="D336" s="41">
        <v>1268010</v>
      </c>
      <c r="E336" s="36" t="s">
        <v>649</v>
      </c>
      <c r="F336" s="36" t="s">
        <v>115</v>
      </c>
    </row>
    <row r="337" spans="1:6">
      <c r="A337" s="38">
        <v>42586.15625</v>
      </c>
      <c r="B337" s="39">
        <v>85.069999694824219</v>
      </c>
      <c r="C337" s="39">
        <v>75.148818969726563</v>
      </c>
      <c r="D337" s="41">
        <v>1675235</v>
      </c>
      <c r="E337" s="36" t="s">
        <v>649</v>
      </c>
      <c r="F337" s="36" t="s">
        <v>115</v>
      </c>
    </row>
    <row r="338" spans="1:6">
      <c r="A338" s="38">
        <v>42587.15625</v>
      </c>
      <c r="B338" s="39">
        <v>84.599998474121094</v>
      </c>
      <c r="C338" s="39">
        <v>74.733612060546875</v>
      </c>
      <c r="D338" s="41">
        <v>1162790</v>
      </c>
      <c r="E338" s="36" t="s">
        <v>649</v>
      </c>
      <c r="F338" s="36" t="s">
        <v>115</v>
      </c>
    </row>
    <row r="339" spans="1:6">
      <c r="A339" s="38">
        <v>42590.15625</v>
      </c>
      <c r="B339" s="39">
        <v>84.339996337890625</v>
      </c>
      <c r="C339" s="39">
        <v>74.503952026367188</v>
      </c>
      <c r="D339" s="41">
        <v>832790</v>
      </c>
      <c r="E339" s="36" t="s">
        <v>649</v>
      </c>
      <c r="F339" s="36" t="s">
        <v>115</v>
      </c>
    </row>
    <row r="340" spans="1:6">
      <c r="A340" s="38">
        <v>42591.15625</v>
      </c>
      <c r="B340" s="39">
        <v>82.959999084472656</v>
      </c>
      <c r="C340" s="39">
        <v>73.284881591796875</v>
      </c>
      <c r="D340" s="41">
        <v>955155</v>
      </c>
      <c r="E340" s="36" t="s">
        <v>649</v>
      </c>
      <c r="F340" s="36" t="s">
        <v>115</v>
      </c>
    </row>
    <row r="341" spans="1:6">
      <c r="A341" s="38">
        <v>42592.15625</v>
      </c>
      <c r="B341" s="39">
        <v>81.459999084472656</v>
      </c>
      <c r="C341" s="39">
        <v>71.959815979003906</v>
      </c>
      <c r="D341" s="41">
        <v>1999185</v>
      </c>
      <c r="E341" s="36" t="s">
        <v>649</v>
      </c>
      <c r="F341" s="36" t="s">
        <v>115</v>
      </c>
    </row>
    <row r="342" spans="1:6">
      <c r="A342" s="38">
        <v>42593.15625</v>
      </c>
      <c r="B342" s="39">
        <v>82.669998168945313</v>
      </c>
      <c r="C342" s="39">
        <v>73.028717041015625</v>
      </c>
      <c r="D342" s="41">
        <v>1265940</v>
      </c>
      <c r="E342" s="36" t="s">
        <v>649</v>
      </c>
      <c r="F342" s="36" t="s">
        <v>115</v>
      </c>
    </row>
    <row r="343" spans="1:6">
      <c r="A343" s="38">
        <v>42594.15625</v>
      </c>
      <c r="B343" s="39">
        <v>82.220001220703125</v>
      </c>
      <c r="C343" s="39">
        <v>72.631195068359375</v>
      </c>
      <c r="D343" s="41">
        <v>723390</v>
      </c>
      <c r="E343" s="36" t="s">
        <v>649</v>
      </c>
      <c r="F343" s="36" t="s">
        <v>115</v>
      </c>
    </row>
    <row r="344" spans="1:6">
      <c r="A344" s="38">
        <v>42598.15625</v>
      </c>
      <c r="B344" s="39">
        <v>82.080001831054688</v>
      </c>
      <c r="C344" s="39">
        <v>72.50750732421875</v>
      </c>
      <c r="D344" s="41">
        <v>1532660</v>
      </c>
      <c r="E344" s="36" t="s">
        <v>649</v>
      </c>
      <c r="F344" s="36" t="s">
        <v>115</v>
      </c>
    </row>
    <row r="345" spans="1:6">
      <c r="A345" s="38">
        <v>42599.15625</v>
      </c>
      <c r="B345" s="39">
        <v>81.550003051757813</v>
      </c>
      <c r="C345" s="39">
        <v>72.039344787597656</v>
      </c>
      <c r="D345" s="41">
        <v>1096915</v>
      </c>
      <c r="E345" s="36" t="s">
        <v>649</v>
      </c>
      <c r="F345" s="36" t="s">
        <v>115</v>
      </c>
    </row>
    <row r="346" spans="1:6">
      <c r="A346" s="38">
        <v>42600.15625</v>
      </c>
      <c r="B346" s="39">
        <v>83.040000915527344</v>
      </c>
      <c r="C346" s="39">
        <v>73.355560302734375</v>
      </c>
      <c r="D346" s="41">
        <v>1684890</v>
      </c>
      <c r="E346" s="36" t="s">
        <v>649</v>
      </c>
      <c r="F346" s="36" t="s">
        <v>115</v>
      </c>
    </row>
    <row r="347" spans="1:6">
      <c r="A347" s="38">
        <v>42601.15625</v>
      </c>
      <c r="B347" s="39">
        <v>84.160003662109375</v>
      </c>
      <c r="C347" s="39">
        <v>74.344947814941406</v>
      </c>
      <c r="D347" s="41">
        <v>2254545</v>
      </c>
      <c r="E347" s="36" t="s">
        <v>649</v>
      </c>
      <c r="F347" s="36" t="s">
        <v>115</v>
      </c>
    </row>
    <row r="348" spans="1:6">
      <c r="A348" s="38">
        <v>42604.15625</v>
      </c>
      <c r="B348" s="39">
        <v>83.489997863769531</v>
      </c>
      <c r="C348" s="39">
        <v>73.753089904785156</v>
      </c>
      <c r="D348" s="41">
        <v>790135</v>
      </c>
      <c r="E348" s="36" t="s">
        <v>649</v>
      </c>
      <c r="F348" s="36" t="s">
        <v>115</v>
      </c>
    </row>
    <row r="349" spans="1:6">
      <c r="A349" s="38">
        <v>42605.15625</v>
      </c>
      <c r="B349" s="39">
        <v>82.480003356933594</v>
      </c>
      <c r="C349" s="39">
        <v>72.860885620117188</v>
      </c>
      <c r="D349" s="41">
        <v>801710</v>
      </c>
      <c r="E349" s="36" t="s">
        <v>649</v>
      </c>
      <c r="F349" s="36" t="s">
        <v>115</v>
      </c>
    </row>
    <row r="350" spans="1:6">
      <c r="A350" s="38">
        <v>42606.15625</v>
      </c>
      <c r="B350" s="39">
        <v>82.150001525878906</v>
      </c>
      <c r="C350" s="39">
        <v>72.569374084472656</v>
      </c>
      <c r="D350" s="41">
        <v>1165070</v>
      </c>
      <c r="E350" s="36" t="s">
        <v>649</v>
      </c>
      <c r="F350" s="36" t="s">
        <v>115</v>
      </c>
    </row>
    <row r="351" spans="1:6">
      <c r="A351" s="38">
        <v>42607.15625</v>
      </c>
      <c r="B351" s="39">
        <v>80.410003662109375</v>
      </c>
      <c r="C351" s="39">
        <v>71.032302856445313</v>
      </c>
      <c r="D351" s="41">
        <v>3859445</v>
      </c>
      <c r="E351" s="36" t="s">
        <v>649</v>
      </c>
      <c r="F351" s="36" t="s">
        <v>115</v>
      </c>
    </row>
    <row r="352" spans="1:6">
      <c r="A352" s="38">
        <v>42608.15625</v>
      </c>
      <c r="B352" s="39">
        <v>79.889999389648438</v>
      </c>
      <c r="C352" s="39">
        <v>70.57293701171875</v>
      </c>
      <c r="D352" s="41">
        <v>1531685</v>
      </c>
      <c r="E352" s="36" t="s">
        <v>649</v>
      </c>
      <c r="F352" s="36" t="s">
        <v>115</v>
      </c>
    </row>
    <row r="353" spans="1:6">
      <c r="A353" s="38">
        <v>42611.15625</v>
      </c>
      <c r="B353" s="39">
        <v>78.239997863769531</v>
      </c>
      <c r="C353" s="39">
        <v>69.115348815917969</v>
      </c>
      <c r="D353" s="41">
        <v>687035</v>
      </c>
      <c r="E353" s="36" t="s">
        <v>649</v>
      </c>
      <c r="F353" s="36" t="s">
        <v>115</v>
      </c>
    </row>
    <row r="354" spans="1:6">
      <c r="A354" s="38">
        <v>42612.15625</v>
      </c>
      <c r="B354" s="39">
        <v>79.129997253417969</v>
      </c>
      <c r="C354" s="39">
        <v>69.901557922363281</v>
      </c>
      <c r="D354" s="41">
        <v>924340</v>
      </c>
      <c r="E354" s="36" t="s">
        <v>649</v>
      </c>
      <c r="F354" s="36" t="s">
        <v>115</v>
      </c>
    </row>
    <row r="355" spans="1:6">
      <c r="A355" s="38">
        <v>42613.15625</v>
      </c>
      <c r="B355" s="39">
        <v>80</v>
      </c>
      <c r="C355" s="39">
        <v>70.670112609863281</v>
      </c>
      <c r="D355" s="41">
        <v>1295745</v>
      </c>
      <c r="E355" s="36" t="s">
        <v>649</v>
      </c>
      <c r="F355" s="36" t="s">
        <v>115</v>
      </c>
    </row>
    <row r="356" spans="1:6">
      <c r="A356" s="38">
        <v>42614.15625</v>
      </c>
      <c r="B356" s="39">
        <v>79.919998168945313</v>
      </c>
      <c r="C356" s="39">
        <v>70.59942626953125</v>
      </c>
      <c r="D356" s="41">
        <v>931535</v>
      </c>
      <c r="E356" s="36" t="s">
        <v>649</v>
      </c>
      <c r="F356" s="36" t="s">
        <v>115</v>
      </c>
    </row>
    <row r="357" spans="1:6">
      <c r="A357" s="38">
        <v>42615.15625</v>
      </c>
      <c r="B357" s="39">
        <v>80.120002746582031</v>
      </c>
      <c r="C357" s="39">
        <v>70.776100158691406</v>
      </c>
      <c r="D357" s="41">
        <v>1076165</v>
      </c>
      <c r="E357" s="36" t="s">
        <v>649</v>
      </c>
      <c r="F357" s="36" t="s">
        <v>115</v>
      </c>
    </row>
    <row r="358" spans="1:6">
      <c r="A358" s="38">
        <v>42619.15625</v>
      </c>
      <c r="B358" s="39">
        <v>79.449996948242188</v>
      </c>
      <c r="C358" s="39">
        <v>70.184249877929688</v>
      </c>
      <c r="D358" s="41">
        <v>664345</v>
      </c>
      <c r="E358" s="36" t="s">
        <v>649</v>
      </c>
      <c r="F358" s="36" t="s">
        <v>115</v>
      </c>
    </row>
    <row r="359" spans="1:6">
      <c r="A359" s="38">
        <v>42620.15625</v>
      </c>
      <c r="B359" s="39">
        <v>79.970001220703125</v>
      </c>
      <c r="C359" s="39">
        <v>70.64361572265625</v>
      </c>
      <c r="D359" s="41">
        <v>754360</v>
      </c>
      <c r="E359" s="36" t="s">
        <v>649</v>
      </c>
      <c r="F359" s="36" t="s">
        <v>115</v>
      </c>
    </row>
    <row r="360" spans="1:6">
      <c r="A360" s="38">
        <v>42621.15625</v>
      </c>
      <c r="B360" s="39">
        <v>78.889999389648438</v>
      </c>
      <c r="C360" s="39">
        <v>69.689552307128906</v>
      </c>
      <c r="D360" s="41">
        <v>455275</v>
      </c>
      <c r="E360" s="36" t="s">
        <v>649</v>
      </c>
      <c r="F360" s="36" t="s">
        <v>115</v>
      </c>
    </row>
    <row r="361" spans="1:6">
      <c r="A361" s="38">
        <v>42622.15625</v>
      </c>
      <c r="B361" s="39">
        <v>80.620002746582031</v>
      </c>
      <c r="C361" s="39">
        <v>71.2177734375</v>
      </c>
      <c r="D361" s="41">
        <v>1684140</v>
      </c>
      <c r="E361" s="36" t="s">
        <v>649</v>
      </c>
      <c r="F361" s="36" t="s">
        <v>115</v>
      </c>
    </row>
    <row r="362" spans="1:6">
      <c r="A362" s="38">
        <v>42625.15625</v>
      </c>
      <c r="B362" s="39">
        <v>81</v>
      </c>
      <c r="C362" s="39">
        <v>71.553489685058594</v>
      </c>
      <c r="D362" s="41">
        <v>3021225</v>
      </c>
      <c r="E362" s="36" t="s">
        <v>649</v>
      </c>
      <c r="F362" s="36" t="s">
        <v>115</v>
      </c>
    </row>
    <row r="363" spans="1:6">
      <c r="A363" s="38">
        <v>42627.15625</v>
      </c>
      <c r="B363" s="39">
        <v>82.199996948242188</v>
      </c>
      <c r="C363" s="39">
        <v>72.613517761230469</v>
      </c>
      <c r="D363" s="41">
        <v>3863105</v>
      </c>
      <c r="E363" s="36" t="s">
        <v>649</v>
      </c>
      <c r="F363" s="36" t="s">
        <v>115</v>
      </c>
    </row>
    <row r="364" spans="1:6">
      <c r="A364" s="38">
        <v>42628.15625</v>
      </c>
      <c r="B364" s="39">
        <v>81.139999389648438</v>
      </c>
      <c r="C364" s="39">
        <v>71.677146911621094</v>
      </c>
      <c r="D364" s="41">
        <v>929270</v>
      </c>
      <c r="E364" s="36" t="s">
        <v>649</v>
      </c>
      <c r="F364" s="36" t="s">
        <v>115</v>
      </c>
    </row>
    <row r="365" spans="1:6">
      <c r="A365" s="38">
        <v>42629.15625</v>
      </c>
      <c r="B365" s="39">
        <v>81.720001220703125</v>
      </c>
      <c r="C365" s="39">
        <v>72.189521789550781</v>
      </c>
      <c r="D365" s="41">
        <v>1847975</v>
      </c>
      <c r="E365" s="36" t="s">
        <v>649</v>
      </c>
      <c r="F365" s="36" t="s">
        <v>115</v>
      </c>
    </row>
    <row r="366" spans="1:6">
      <c r="A366" s="38">
        <v>42632.15625</v>
      </c>
      <c r="B366" s="39">
        <v>82.239997863769531</v>
      </c>
      <c r="C366" s="39">
        <v>72.648857116699219</v>
      </c>
      <c r="D366" s="41">
        <v>897460</v>
      </c>
      <c r="E366" s="36" t="s">
        <v>649</v>
      </c>
      <c r="F366" s="36" t="s">
        <v>115</v>
      </c>
    </row>
    <row r="367" spans="1:6">
      <c r="A367" s="38">
        <v>42633.15625</v>
      </c>
      <c r="B367" s="39">
        <v>81.529998779296875</v>
      </c>
      <c r="C367" s="39">
        <v>72.021644592285156</v>
      </c>
      <c r="D367" s="41">
        <v>988460</v>
      </c>
      <c r="E367" s="36" t="s">
        <v>649</v>
      </c>
      <c r="F367" s="36" t="s">
        <v>115</v>
      </c>
    </row>
    <row r="368" spans="1:6">
      <c r="A368" s="38">
        <v>42634.15625</v>
      </c>
      <c r="B368" s="39">
        <v>82</v>
      </c>
      <c r="C368" s="39">
        <v>72.436866760253906</v>
      </c>
      <c r="D368" s="41">
        <v>429925</v>
      </c>
      <c r="E368" s="36" t="s">
        <v>649</v>
      </c>
      <c r="F368" s="36" t="s">
        <v>115</v>
      </c>
    </row>
    <row r="369" spans="1:6">
      <c r="A369" s="38">
        <v>42635.15625</v>
      </c>
      <c r="B369" s="39">
        <v>82.470001220703125</v>
      </c>
      <c r="C369" s="39">
        <v>72.852035522460938</v>
      </c>
      <c r="D369" s="41">
        <v>1154470</v>
      </c>
      <c r="E369" s="36" t="s">
        <v>649</v>
      </c>
      <c r="F369" s="36" t="s">
        <v>115</v>
      </c>
    </row>
    <row r="370" spans="1:6">
      <c r="A370" s="38">
        <v>42636.15625</v>
      </c>
      <c r="B370" s="39">
        <v>86.269996643066406</v>
      </c>
      <c r="C370" s="39">
        <v>76.2088623046875</v>
      </c>
      <c r="D370" s="41">
        <v>5608735</v>
      </c>
      <c r="E370" s="36" t="s">
        <v>649</v>
      </c>
      <c r="F370" s="36" t="s">
        <v>115</v>
      </c>
    </row>
    <row r="371" spans="1:6">
      <c r="A371" s="38">
        <v>42639.15625</v>
      </c>
      <c r="B371" s="39">
        <v>88.180000305175781</v>
      </c>
      <c r="C371" s="39">
        <v>77.8961181640625</v>
      </c>
      <c r="D371" s="41">
        <v>4276295</v>
      </c>
      <c r="E371" s="36" t="s">
        <v>649</v>
      </c>
      <c r="F371" s="36" t="s">
        <v>115</v>
      </c>
    </row>
    <row r="372" spans="1:6">
      <c r="A372" s="38">
        <v>42640.15625</v>
      </c>
      <c r="B372" s="39">
        <v>88.080001831054688</v>
      </c>
      <c r="C372" s="39">
        <v>77.807777404785156</v>
      </c>
      <c r="D372" s="41">
        <v>1430915</v>
      </c>
      <c r="E372" s="36" t="s">
        <v>649</v>
      </c>
      <c r="F372" s="36" t="s">
        <v>115</v>
      </c>
    </row>
    <row r="373" spans="1:6">
      <c r="A373" s="38">
        <v>42641.15625</v>
      </c>
      <c r="B373" s="39">
        <v>87.80999755859375</v>
      </c>
      <c r="C373" s="39">
        <v>77.569290161132813</v>
      </c>
      <c r="D373" s="41">
        <v>1697765</v>
      </c>
      <c r="E373" s="36" t="s">
        <v>649</v>
      </c>
      <c r="F373" s="36" t="s">
        <v>115</v>
      </c>
    </row>
    <row r="374" spans="1:6">
      <c r="A374" s="38">
        <v>42642.15625</v>
      </c>
      <c r="B374" s="39">
        <v>82.519996643066406</v>
      </c>
      <c r="C374" s="39">
        <v>72.896202087402344</v>
      </c>
      <c r="D374" s="41">
        <v>1541100</v>
      </c>
      <c r="E374" s="36" t="s">
        <v>649</v>
      </c>
      <c r="F374" s="36" t="s">
        <v>115</v>
      </c>
    </row>
    <row r="375" spans="1:6">
      <c r="A375" s="38">
        <v>42643.15625</v>
      </c>
      <c r="B375" s="39">
        <v>83.790000915527344</v>
      </c>
      <c r="C375" s="39">
        <v>74.018089294433594</v>
      </c>
      <c r="D375" s="41">
        <v>1510460</v>
      </c>
      <c r="E375" s="36" t="s">
        <v>649</v>
      </c>
      <c r="F375" s="36" t="s">
        <v>115</v>
      </c>
    </row>
    <row r="376" spans="1:6">
      <c r="A376" s="38">
        <v>42646.15625</v>
      </c>
      <c r="B376" s="39">
        <v>85.269996643066406</v>
      </c>
      <c r="C376" s="39">
        <v>75.325508117675781</v>
      </c>
      <c r="D376" s="41">
        <v>913610</v>
      </c>
      <c r="E376" s="36" t="s">
        <v>649</v>
      </c>
      <c r="F376" s="36" t="s">
        <v>115</v>
      </c>
    </row>
    <row r="377" spans="1:6">
      <c r="A377" s="38">
        <v>42647.15625</v>
      </c>
      <c r="B377" s="39">
        <v>85.199996948242188</v>
      </c>
      <c r="C377" s="39">
        <v>75.263648986816406</v>
      </c>
      <c r="D377" s="41">
        <v>588095</v>
      </c>
      <c r="E377" s="36" t="s">
        <v>649</v>
      </c>
      <c r="F377" s="36" t="s">
        <v>115</v>
      </c>
    </row>
    <row r="378" spans="1:6">
      <c r="A378" s="38">
        <v>42648.15625</v>
      </c>
      <c r="B378" s="39">
        <v>85.029998779296875</v>
      </c>
      <c r="C378" s="39">
        <v>75.11346435546875</v>
      </c>
      <c r="D378" s="41">
        <v>700405</v>
      </c>
      <c r="E378" s="36" t="s">
        <v>649</v>
      </c>
      <c r="F378" s="36" t="s">
        <v>115</v>
      </c>
    </row>
    <row r="379" spans="1:6">
      <c r="A379" s="38">
        <v>42649.15625</v>
      </c>
      <c r="B379" s="39">
        <v>84.150001525878906</v>
      </c>
      <c r="C379" s="39">
        <v>74.336105346679688</v>
      </c>
      <c r="D379" s="41">
        <v>678085</v>
      </c>
      <c r="E379" s="36" t="s">
        <v>649</v>
      </c>
      <c r="F379" s="36" t="s">
        <v>115</v>
      </c>
    </row>
    <row r="380" spans="1:6">
      <c r="A380" s="38">
        <v>42650.15625</v>
      </c>
      <c r="B380" s="39">
        <v>81.650001525878906</v>
      </c>
      <c r="C380" s="39">
        <v>72.127662658691406</v>
      </c>
      <c r="D380" s="41">
        <v>972265</v>
      </c>
      <c r="E380" s="36" t="s">
        <v>649</v>
      </c>
      <c r="F380" s="36" t="s">
        <v>115</v>
      </c>
    </row>
    <row r="381" spans="1:6">
      <c r="A381" s="38">
        <v>42653.15625</v>
      </c>
      <c r="B381" s="39">
        <v>83.099998474121094</v>
      </c>
      <c r="C381" s="39">
        <v>73.408554077148438</v>
      </c>
      <c r="D381" s="41">
        <v>619095</v>
      </c>
      <c r="E381" s="36" t="s">
        <v>649</v>
      </c>
      <c r="F381" s="36" t="s">
        <v>115</v>
      </c>
    </row>
    <row r="382" spans="1:6">
      <c r="A382" s="38">
        <v>42656.15625</v>
      </c>
      <c r="B382" s="39">
        <v>84.319999694824219</v>
      </c>
      <c r="C382" s="39">
        <v>74.486274719238281</v>
      </c>
      <c r="D382" s="41">
        <v>1719385</v>
      </c>
      <c r="E382" s="36" t="s">
        <v>649</v>
      </c>
      <c r="F382" s="36" t="s">
        <v>115</v>
      </c>
    </row>
    <row r="383" spans="1:6">
      <c r="A383" s="38">
        <v>42657.15625</v>
      </c>
      <c r="B383" s="39">
        <v>88.05999755859375</v>
      </c>
      <c r="C383" s="39">
        <v>77.790115356445313</v>
      </c>
      <c r="D383" s="41">
        <v>4362805</v>
      </c>
      <c r="E383" s="36" t="s">
        <v>649</v>
      </c>
      <c r="F383" s="36" t="s">
        <v>115</v>
      </c>
    </row>
    <row r="384" spans="1:6">
      <c r="A384" s="38">
        <v>42660.15625</v>
      </c>
      <c r="B384" s="39">
        <v>82.260002136230469</v>
      </c>
      <c r="C384" s="39">
        <v>72.666534423828125</v>
      </c>
      <c r="D384" s="41">
        <v>5479770</v>
      </c>
      <c r="E384" s="36" t="s">
        <v>649</v>
      </c>
      <c r="F384" s="36" t="s">
        <v>115</v>
      </c>
    </row>
    <row r="385" spans="1:6">
      <c r="A385" s="38">
        <v>42661.15625</v>
      </c>
      <c r="B385" s="39">
        <v>83.19000244140625</v>
      </c>
      <c r="C385" s="39">
        <v>73.488075256347656</v>
      </c>
      <c r="D385" s="41">
        <v>2351010</v>
      </c>
      <c r="E385" s="36" t="s">
        <v>649</v>
      </c>
      <c r="F385" s="36" t="s">
        <v>115</v>
      </c>
    </row>
    <row r="386" spans="1:6">
      <c r="A386" s="38">
        <v>42662.15625</v>
      </c>
      <c r="B386" s="39">
        <v>85.290000915527344</v>
      </c>
      <c r="C386" s="39">
        <v>75.343162536621094</v>
      </c>
      <c r="D386" s="41">
        <v>2622980</v>
      </c>
      <c r="E386" s="36" t="s">
        <v>649</v>
      </c>
      <c r="F386" s="36" t="s">
        <v>115</v>
      </c>
    </row>
    <row r="387" spans="1:6">
      <c r="A387" s="38">
        <v>42663.15625</v>
      </c>
      <c r="B387" s="39">
        <v>84.639999389648438</v>
      </c>
      <c r="C387" s="39">
        <v>74.76898193359375</v>
      </c>
      <c r="D387" s="41">
        <v>907065</v>
      </c>
      <c r="E387" s="36" t="s">
        <v>649</v>
      </c>
      <c r="F387" s="36" t="s">
        <v>115</v>
      </c>
    </row>
    <row r="388" spans="1:6">
      <c r="A388" s="38">
        <v>42664.15625</v>
      </c>
      <c r="B388" s="39">
        <v>85.650001525878906</v>
      </c>
      <c r="C388" s="39">
        <v>75.66119384765625</v>
      </c>
      <c r="D388" s="41">
        <v>885145</v>
      </c>
      <c r="E388" s="36" t="s">
        <v>649</v>
      </c>
      <c r="F388" s="36" t="s">
        <v>115</v>
      </c>
    </row>
    <row r="389" spans="1:6">
      <c r="A389" s="38">
        <v>42667.15625</v>
      </c>
      <c r="B389" s="39">
        <v>85.610000610351563</v>
      </c>
      <c r="C389" s="39">
        <v>75.625846862792969</v>
      </c>
      <c r="D389" s="41">
        <v>1698595</v>
      </c>
      <c r="E389" s="36" t="s">
        <v>649</v>
      </c>
      <c r="F389" s="36" t="s">
        <v>115</v>
      </c>
    </row>
    <row r="390" spans="1:6">
      <c r="A390" s="38">
        <v>42668.15625</v>
      </c>
      <c r="B390" s="39">
        <v>84.709999084472656</v>
      </c>
      <c r="C390" s="39">
        <v>74.830818176269531</v>
      </c>
      <c r="D390" s="41">
        <v>794775</v>
      </c>
      <c r="E390" s="36" t="s">
        <v>649</v>
      </c>
      <c r="F390" s="36" t="s">
        <v>115</v>
      </c>
    </row>
    <row r="391" spans="1:6">
      <c r="A391" s="38">
        <v>42669.15625</v>
      </c>
      <c r="B391" s="39">
        <v>84.629997253417969</v>
      </c>
      <c r="C391" s="39">
        <v>74.760147094726563</v>
      </c>
      <c r="D391" s="41">
        <v>642060</v>
      </c>
      <c r="E391" s="36" t="s">
        <v>649</v>
      </c>
      <c r="F391" s="36" t="s">
        <v>115</v>
      </c>
    </row>
    <row r="392" spans="1:6">
      <c r="A392" s="38">
        <v>42670.15625</v>
      </c>
      <c r="B392" s="39">
        <v>81.760002136230469</v>
      </c>
      <c r="C392" s="39">
        <v>72.224838256835938</v>
      </c>
      <c r="D392" s="41">
        <v>841980</v>
      </c>
      <c r="E392" s="36" t="s">
        <v>649</v>
      </c>
      <c r="F392" s="36" t="s">
        <v>115</v>
      </c>
    </row>
    <row r="393" spans="1:6">
      <c r="A393" s="38">
        <v>42671.15625</v>
      </c>
      <c r="B393" s="39">
        <v>81.370002746582031</v>
      </c>
      <c r="C393" s="39">
        <v>71.880348205566406</v>
      </c>
      <c r="D393" s="41">
        <v>831160</v>
      </c>
      <c r="E393" s="36" t="s">
        <v>649</v>
      </c>
      <c r="F393" s="36" t="s">
        <v>115</v>
      </c>
    </row>
    <row r="394" spans="1:6">
      <c r="A394" s="38">
        <v>42675.15625</v>
      </c>
      <c r="B394" s="39">
        <v>80.879997253417969</v>
      </c>
      <c r="C394" s="39">
        <v>71.447471618652344</v>
      </c>
      <c r="D394" s="41">
        <v>892290</v>
      </c>
      <c r="E394" s="36" t="s">
        <v>649</v>
      </c>
      <c r="F394" s="36" t="s">
        <v>115</v>
      </c>
    </row>
    <row r="395" spans="1:6">
      <c r="A395" s="38">
        <v>42676.15625</v>
      </c>
      <c r="B395" s="39">
        <v>81.160003662109375</v>
      </c>
      <c r="C395" s="39">
        <v>71.694831848144531</v>
      </c>
      <c r="D395" s="41">
        <v>1599895</v>
      </c>
      <c r="E395" s="36" t="s">
        <v>649</v>
      </c>
      <c r="F395" s="36" t="s">
        <v>115</v>
      </c>
    </row>
    <row r="396" spans="1:6">
      <c r="A396" s="38">
        <v>42677.15625</v>
      </c>
      <c r="B396" s="39">
        <v>79.150001525878906</v>
      </c>
      <c r="C396" s="39">
        <v>69.91925048828125</v>
      </c>
      <c r="D396" s="41">
        <v>1345285</v>
      </c>
      <c r="E396" s="36" t="s">
        <v>649</v>
      </c>
      <c r="F396" s="36" t="s">
        <v>115</v>
      </c>
    </row>
    <row r="397" spans="1:6">
      <c r="A397" s="38">
        <v>42678.15625</v>
      </c>
      <c r="B397" s="39">
        <v>80.599998474121094</v>
      </c>
      <c r="C397" s="39">
        <v>71.200119018554688</v>
      </c>
      <c r="D397" s="41">
        <v>2264815</v>
      </c>
      <c r="E397" s="36" t="s">
        <v>649</v>
      </c>
      <c r="F397" s="36" t="s">
        <v>115</v>
      </c>
    </row>
    <row r="398" spans="1:6">
      <c r="A398" s="38">
        <v>42681.15625</v>
      </c>
      <c r="B398" s="39">
        <v>80.980003356933594</v>
      </c>
      <c r="C398" s="39">
        <v>71.53582763671875</v>
      </c>
      <c r="D398" s="41">
        <v>562200</v>
      </c>
      <c r="E398" s="36" t="s">
        <v>649</v>
      </c>
      <c r="F398" s="36" t="s">
        <v>115</v>
      </c>
    </row>
    <row r="399" spans="1:6">
      <c r="A399" s="38">
        <v>42682.15625</v>
      </c>
      <c r="B399" s="39">
        <v>81.449996948242188</v>
      </c>
      <c r="C399" s="39">
        <v>71.95098876953125</v>
      </c>
      <c r="D399" s="41">
        <v>834075</v>
      </c>
      <c r="E399" s="36" t="s">
        <v>649</v>
      </c>
      <c r="F399" s="36" t="s">
        <v>115</v>
      </c>
    </row>
    <row r="400" spans="1:6">
      <c r="A400" s="38">
        <v>42683.15625</v>
      </c>
      <c r="B400" s="39">
        <v>80.790000915527344</v>
      </c>
      <c r="C400" s="39">
        <v>71.367958068847656</v>
      </c>
      <c r="D400" s="41">
        <v>1731825</v>
      </c>
      <c r="E400" s="36" t="s">
        <v>649</v>
      </c>
      <c r="F400" s="36" t="s">
        <v>115</v>
      </c>
    </row>
    <row r="401" spans="1:6">
      <c r="A401" s="38">
        <v>42684.15625</v>
      </c>
      <c r="B401" s="39">
        <v>81.410003662109375</v>
      </c>
      <c r="C401" s="39">
        <v>71.915672302246094</v>
      </c>
      <c r="D401" s="41">
        <v>717795</v>
      </c>
      <c r="E401" s="36" t="s">
        <v>649</v>
      </c>
      <c r="F401" s="36" t="s">
        <v>115</v>
      </c>
    </row>
    <row r="402" spans="1:6">
      <c r="A402" s="38">
        <v>42685.15625</v>
      </c>
      <c r="B402" s="39">
        <v>79.220001220703125</v>
      </c>
      <c r="C402" s="39">
        <v>69.9810791015625</v>
      </c>
      <c r="D402" s="41">
        <v>1084495</v>
      </c>
      <c r="E402" s="36" t="s">
        <v>649</v>
      </c>
      <c r="F402" s="36" t="s">
        <v>115</v>
      </c>
    </row>
    <row r="403" spans="1:6">
      <c r="A403" s="38">
        <v>42689.15625</v>
      </c>
      <c r="B403" s="39">
        <v>79.849998474121094</v>
      </c>
      <c r="C403" s="39">
        <v>70.537590026855469</v>
      </c>
      <c r="D403" s="41">
        <v>1003475</v>
      </c>
      <c r="E403" s="36" t="s">
        <v>649</v>
      </c>
      <c r="F403" s="36" t="s">
        <v>115</v>
      </c>
    </row>
    <row r="404" spans="1:6">
      <c r="A404" s="38">
        <v>42690.15625</v>
      </c>
      <c r="B404" s="39">
        <v>80.089996337890625</v>
      </c>
      <c r="C404" s="39">
        <v>70.749595642089844</v>
      </c>
      <c r="D404" s="41">
        <v>1172450</v>
      </c>
      <c r="E404" s="36" t="s">
        <v>649</v>
      </c>
      <c r="F404" s="36" t="s">
        <v>115</v>
      </c>
    </row>
    <row r="405" spans="1:6">
      <c r="A405" s="38">
        <v>42691.15625</v>
      </c>
      <c r="B405" s="39">
        <v>80.449996948242188</v>
      </c>
      <c r="C405" s="39">
        <v>71.067604064941406</v>
      </c>
      <c r="D405" s="41">
        <v>850575</v>
      </c>
      <c r="E405" s="36" t="s">
        <v>649</v>
      </c>
      <c r="F405" s="36" t="s">
        <v>115</v>
      </c>
    </row>
    <row r="406" spans="1:6">
      <c r="A406" s="38">
        <v>42692.15625</v>
      </c>
      <c r="B406" s="39">
        <v>80.300003051757813</v>
      </c>
      <c r="C406" s="39">
        <v>70.935127258300781</v>
      </c>
      <c r="D406" s="41">
        <v>868405</v>
      </c>
      <c r="E406" s="36" t="s">
        <v>649</v>
      </c>
      <c r="F406" s="36" t="s">
        <v>115</v>
      </c>
    </row>
    <row r="407" spans="1:6">
      <c r="A407" s="38">
        <v>42695.15625</v>
      </c>
      <c r="B407" s="39">
        <v>79.800003051757813</v>
      </c>
      <c r="C407" s="39">
        <v>70.493415832519531</v>
      </c>
      <c r="D407" s="41">
        <v>740375</v>
      </c>
      <c r="E407" s="36" t="s">
        <v>649</v>
      </c>
      <c r="F407" s="36" t="s">
        <v>115</v>
      </c>
    </row>
    <row r="408" spans="1:6">
      <c r="A408" s="38">
        <v>42696.15625</v>
      </c>
      <c r="B408" s="39">
        <v>80.110000610351563</v>
      </c>
      <c r="C408" s="39">
        <v>70.76727294921875</v>
      </c>
      <c r="D408" s="41">
        <v>1684010</v>
      </c>
      <c r="E408" s="36" t="s">
        <v>649</v>
      </c>
      <c r="F408" s="36" t="s">
        <v>115</v>
      </c>
    </row>
    <row r="409" spans="1:6">
      <c r="A409" s="38">
        <v>42697.15625</v>
      </c>
      <c r="B409" s="39">
        <v>79.959999084472656</v>
      </c>
      <c r="C409" s="39">
        <v>70.634773254394531</v>
      </c>
      <c r="D409" s="41">
        <v>710760</v>
      </c>
      <c r="E409" s="36" t="s">
        <v>649</v>
      </c>
      <c r="F409" s="36" t="s">
        <v>115</v>
      </c>
    </row>
    <row r="410" spans="1:6">
      <c r="A410" s="38">
        <v>42698.15625</v>
      </c>
      <c r="B410" s="39">
        <v>80.019996643066406</v>
      </c>
      <c r="C410" s="39">
        <v>70.687774658203125</v>
      </c>
      <c r="D410" s="41">
        <v>1343440</v>
      </c>
      <c r="E410" s="36" t="s">
        <v>649</v>
      </c>
      <c r="F410" s="36" t="s">
        <v>115</v>
      </c>
    </row>
    <row r="411" spans="1:6">
      <c r="A411" s="38">
        <v>42699.15625</v>
      </c>
      <c r="B411" s="39">
        <v>83.480003356933594</v>
      </c>
      <c r="C411" s="39">
        <v>73.744255065917969</v>
      </c>
      <c r="D411" s="41">
        <v>2347240</v>
      </c>
      <c r="E411" s="36" t="s">
        <v>649</v>
      </c>
      <c r="F411" s="36" t="s">
        <v>115</v>
      </c>
    </row>
    <row r="412" spans="1:6">
      <c r="A412" s="38">
        <v>42702.15625</v>
      </c>
      <c r="B412" s="39">
        <v>84.510002136230469</v>
      </c>
      <c r="C412" s="39">
        <v>74.654136657714844</v>
      </c>
      <c r="D412" s="41">
        <v>1162020</v>
      </c>
      <c r="E412" s="36" t="s">
        <v>649</v>
      </c>
      <c r="F412" s="36" t="s">
        <v>115</v>
      </c>
    </row>
    <row r="413" spans="1:6">
      <c r="A413" s="38">
        <v>42703.15625</v>
      </c>
      <c r="B413" s="39">
        <v>85.199996948242188</v>
      </c>
      <c r="C413" s="39">
        <v>75.263648986816406</v>
      </c>
      <c r="D413" s="41">
        <v>993415</v>
      </c>
      <c r="E413" s="36" t="s">
        <v>649</v>
      </c>
      <c r="F413" s="36" t="s">
        <v>115</v>
      </c>
    </row>
    <row r="414" spans="1:6">
      <c r="A414" s="38">
        <v>42704.15625</v>
      </c>
      <c r="B414" s="39">
        <v>85.040000915527344</v>
      </c>
      <c r="C414" s="39">
        <v>75.122329711914063</v>
      </c>
      <c r="D414" s="41">
        <v>861960</v>
      </c>
      <c r="E414" s="36" t="s">
        <v>649</v>
      </c>
      <c r="F414" s="36" t="s">
        <v>115</v>
      </c>
    </row>
    <row r="415" spans="1:6">
      <c r="A415" s="38">
        <v>42705.15625</v>
      </c>
      <c r="B415" s="39">
        <v>85.040000915527344</v>
      </c>
      <c r="C415" s="39">
        <v>75.122329711914063</v>
      </c>
      <c r="D415" s="41">
        <v>798200</v>
      </c>
      <c r="E415" s="36" t="s">
        <v>649</v>
      </c>
      <c r="F415" s="36" t="s">
        <v>115</v>
      </c>
    </row>
    <row r="416" spans="1:6">
      <c r="A416" s="38">
        <v>42706.15625</v>
      </c>
      <c r="B416" s="39">
        <v>84.650001525878906</v>
      </c>
      <c r="C416" s="39">
        <v>74.777824401855469</v>
      </c>
      <c r="D416" s="41">
        <v>499230</v>
      </c>
      <c r="E416" s="36" t="s">
        <v>649</v>
      </c>
      <c r="F416" s="36" t="s">
        <v>115</v>
      </c>
    </row>
    <row r="417" spans="1:6">
      <c r="A417" s="38">
        <v>42709.15625</v>
      </c>
      <c r="B417" s="39">
        <v>84.050003051757813</v>
      </c>
      <c r="C417" s="39">
        <v>74.247764587402344</v>
      </c>
      <c r="D417" s="41">
        <v>721110</v>
      </c>
      <c r="E417" s="36" t="s">
        <v>649</v>
      </c>
      <c r="F417" s="36" t="s">
        <v>115</v>
      </c>
    </row>
    <row r="418" spans="1:6">
      <c r="A418" s="38">
        <v>42710.15625</v>
      </c>
      <c r="B418" s="39">
        <v>85.110000610351563</v>
      </c>
      <c r="C418" s="39">
        <v>75.184150695800781</v>
      </c>
      <c r="D418" s="41">
        <v>845865</v>
      </c>
      <c r="E418" s="36" t="s">
        <v>649</v>
      </c>
      <c r="F418" s="36" t="s">
        <v>115</v>
      </c>
    </row>
    <row r="419" spans="1:6">
      <c r="A419" s="38">
        <v>42711.15625</v>
      </c>
      <c r="B419" s="39">
        <v>84.910003662109375</v>
      </c>
      <c r="C419" s="39">
        <v>75.007476806640625</v>
      </c>
      <c r="D419" s="41">
        <v>381720</v>
      </c>
      <c r="E419" s="36" t="s">
        <v>649</v>
      </c>
      <c r="F419" s="36" t="s">
        <v>115</v>
      </c>
    </row>
    <row r="420" spans="1:6">
      <c r="A420" s="38">
        <v>42712.15625</v>
      </c>
      <c r="B420" s="39">
        <v>85.529998779296875</v>
      </c>
      <c r="C420" s="39">
        <v>75.555168151855469</v>
      </c>
      <c r="D420" s="41">
        <v>1031215</v>
      </c>
      <c r="E420" s="36" t="s">
        <v>649</v>
      </c>
      <c r="F420" s="36" t="s">
        <v>115</v>
      </c>
    </row>
    <row r="421" spans="1:6">
      <c r="A421" s="38">
        <v>42713.15625</v>
      </c>
      <c r="B421" s="39">
        <v>87.580001831054688</v>
      </c>
      <c r="C421" s="39">
        <v>77.3660888671875</v>
      </c>
      <c r="D421" s="41">
        <v>1441875</v>
      </c>
      <c r="E421" s="36" t="s">
        <v>649</v>
      </c>
      <c r="F421" s="36" t="s">
        <v>115</v>
      </c>
    </row>
    <row r="422" spans="1:6">
      <c r="A422" s="38">
        <v>42716.15625</v>
      </c>
      <c r="B422" s="39">
        <v>85.730003356933594</v>
      </c>
      <c r="C422" s="39">
        <v>75.731842041015625</v>
      </c>
      <c r="D422" s="41">
        <v>534690</v>
      </c>
      <c r="E422" s="36" t="s">
        <v>649</v>
      </c>
      <c r="F422" s="36" t="s">
        <v>115</v>
      </c>
    </row>
    <row r="423" spans="1:6">
      <c r="A423" s="38">
        <v>42717.15625</v>
      </c>
      <c r="B423" s="39">
        <v>86.19000244140625</v>
      </c>
      <c r="C423" s="39">
        <v>76.138206481933594</v>
      </c>
      <c r="D423" s="41">
        <v>798065</v>
      </c>
      <c r="E423" s="36" t="s">
        <v>649</v>
      </c>
      <c r="F423" s="36" t="s">
        <v>115</v>
      </c>
    </row>
    <row r="424" spans="1:6">
      <c r="A424" s="38">
        <v>42718.15625</v>
      </c>
      <c r="B424" s="39">
        <v>85.050003051757813</v>
      </c>
      <c r="C424" s="39">
        <v>75.131149291992188</v>
      </c>
      <c r="D424" s="41">
        <v>778520</v>
      </c>
      <c r="E424" s="36" t="s">
        <v>649</v>
      </c>
      <c r="F424" s="36" t="s">
        <v>115</v>
      </c>
    </row>
    <row r="425" spans="1:6">
      <c r="A425" s="38">
        <v>42719.15625</v>
      </c>
      <c r="B425" s="39">
        <v>85.510002136230469</v>
      </c>
      <c r="C425" s="39">
        <v>75.537513732910156</v>
      </c>
      <c r="D425" s="41">
        <v>515590</v>
      </c>
      <c r="E425" s="36" t="s">
        <v>649</v>
      </c>
      <c r="F425" s="36" t="s">
        <v>115</v>
      </c>
    </row>
    <row r="426" spans="1:6">
      <c r="A426" s="38">
        <v>42720.15625</v>
      </c>
      <c r="B426" s="39">
        <v>85.419998168945313</v>
      </c>
      <c r="C426" s="39">
        <v>75.4580078125</v>
      </c>
      <c r="D426" s="41">
        <v>505345</v>
      </c>
      <c r="E426" s="36" t="s">
        <v>649</v>
      </c>
      <c r="F426" s="36" t="s">
        <v>115</v>
      </c>
    </row>
    <row r="427" spans="1:6">
      <c r="A427" s="38">
        <v>42723.15625</v>
      </c>
      <c r="B427" s="39">
        <v>84.680000305175781</v>
      </c>
      <c r="C427" s="39">
        <v>74.804298400878906</v>
      </c>
      <c r="D427" s="41">
        <v>257140</v>
      </c>
      <c r="E427" s="36" t="s">
        <v>649</v>
      </c>
      <c r="F427" s="36" t="s">
        <v>115</v>
      </c>
    </row>
    <row r="428" spans="1:6">
      <c r="A428" s="38">
        <v>42724.15625</v>
      </c>
      <c r="B428" s="39">
        <v>85.769996643066406</v>
      </c>
      <c r="C428" s="39">
        <v>75.767166137695313</v>
      </c>
      <c r="D428" s="41">
        <v>492800</v>
      </c>
      <c r="E428" s="36" t="s">
        <v>649</v>
      </c>
      <c r="F428" s="36" t="s">
        <v>115</v>
      </c>
    </row>
    <row r="429" spans="1:6">
      <c r="A429" s="38">
        <v>42725.15625</v>
      </c>
      <c r="B429" s="39">
        <v>86.629997253417969</v>
      </c>
      <c r="C429" s="39">
        <v>76.526893615722656</v>
      </c>
      <c r="D429" s="41">
        <v>1470920</v>
      </c>
      <c r="E429" s="36" t="s">
        <v>649</v>
      </c>
      <c r="F429" s="36" t="s">
        <v>115</v>
      </c>
    </row>
    <row r="430" spans="1:6">
      <c r="A430" s="38">
        <v>42726.15625</v>
      </c>
      <c r="B430" s="39">
        <v>86.550003051757813</v>
      </c>
      <c r="C430" s="39">
        <v>76.456230163574219</v>
      </c>
      <c r="D430" s="41">
        <v>908305</v>
      </c>
      <c r="E430" s="36" t="s">
        <v>649</v>
      </c>
      <c r="F430" s="36" t="s">
        <v>115</v>
      </c>
    </row>
    <row r="431" spans="1:6">
      <c r="A431" s="38">
        <v>42727.15625</v>
      </c>
      <c r="B431" s="39">
        <v>85.980003356933594</v>
      </c>
      <c r="C431" s="39">
        <v>75.95269775390625</v>
      </c>
      <c r="D431" s="41">
        <v>1606530</v>
      </c>
      <c r="E431" s="36" t="s">
        <v>649</v>
      </c>
      <c r="F431" s="36" t="s">
        <v>115</v>
      </c>
    </row>
    <row r="432" spans="1:6">
      <c r="A432" s="38">
        <v>42730.15625</v>
      </c>
      <c r="B432" s="39">
        <v>82.089996337890625</v>
      </c>
      <c r="C432" s="39">
        <v>72.516349792480469</v>
      </c>
      <c r="D432" s="41">
        <v>792625</v>
      </c>
      <c r="E432" s="36" t="s">
        <v>649</v>
      </c>
      <c r="F432" s="36" t="s">
        <v>115</v>
      </c>
    </row>
    <row r="433" spans="1:6">
      <c r="A433" s="38">
        <v>42731.15625</v>
      </c>
      <c r="B433" s="39">
        <v>84.75</v>
      </c>
      <c r="C433" s="39">
        <v>74.866134643554688</v>
      </c>
      <c r="D433" s="41">
        <v>1605785</v>
      </c>
      <c r="E433" s="36" t="s">
        <v>649</v>
      </c>
      <c r="F433" s="36" t="s">
        <v>115</v>
      </c>
    </row>
    <row r="434" spans="1:6">
      <c r="A434" s="38">
        <v>42732.15625</v>
      </c>
      <c r="B434" s="39">
        <v>84.989997863769531</v>
      </c>
      <c r="C434" s="39">
        <v>75.078117370605469</v>
      </c>
      <c r="D434" s="41">
        <v>649555</v>
      </c>
      <c r="E434" s="36" t="s">
        <v>649</v>
      </c>
      <c r="F434" s="36" t="s">
        <v>115</v>
      </c>
    </row>
    <row r="435" spans="1:6">
      <c r="A435" s="38">
        <v>42733.15625</v>
      </c>
      <c r="B435" s="39">
        <v>84.830001831054688</v>
      </c>
      <c r="C435" s="39">
        <v>74.936798095703125</v>
      </c>
      <c r="D435" s="41">
        <v>1911645</v>
      </c>
      <c r="E435" s="36" t="s">
        <v>649</v>
      </c>
      <c r="F435" s="36" t="s">
        <v>115</v>
      </c>
    </row>
    <row r="436" spans="1:6">
      <c r="A436" s="38">
        <v>42734.15625</v>
      </c>
      <c r="B436" s="39">
        <v>84.94000244140625</v>
      </c>
      <c r="C436" s="39">
        <v>75.033973693847656</v>
      </c>
      <c r="D436" s="41">
        <v>1859720</v>
      </c>
      <c r="E436" s="36" t="s">
        <v>649</v>
      </c>
      <c r="F436" s="36" t="s">
        <v>115</v>
      </c>
    </row>
    <row r="437" spans="1:6">
      <c r="A437" s="38">
        <v>42737.15625</v>
      </c>
      <c r="B437" s="39">
        <v>85.269996643066406</v>
      </c>
      <c r="C437" s="39">
        <v>75.325508117675781</v>
      </c>
      <c r="D437" s="41">
        <v>574825</v>
      </c>
      <c r="E437" s="36" t="s">
        <v>649</v>
      </c>
      <c r="F437" s="36" t="s">
        <v>115</v>
      </c>
    </row>
    <row r="438" spans="1:6">
      <c r="A438" s="38">
        <v>42738.15625</v>
      </c>
      <c r="B438" s="39">
        <v>86.180000305175781</v>
      </c>
      <c r="C438" s="39">
        <v>76.129348754882813</v>
      </c>
      <c r="D438" s="41">
        <v>1043865</v>
      </c>
      <c r="E438" s="36" t="s">
        <v>649</v>
      </c>
      <c r="F438" s="36" t="s">
        <v>115</v>
      </c>
    </row>
    <row r="439" spans="1:6">
      <c r="A439" s="38">
        <v>42739.15625</v>
      </c>
      <c r="B439" s="39">
        <v>87.370002746582031</v>
      </c>
      <c r="C439" s="39">
        <v>77.18060302734375</v>
      </c>
      <c r="D439" s="41">
        <v>1793400</v>
      </c>
      <c r="E439" s="36" t="s">
        <v>649</v>
      </c>
      <c r="F439" s="36" t="s">
        <v>115</v>
      </c>
    </row>
    <row r="440" spans="1:6">
      <c r="A440" s="38">
        <v>42740.15625</v>
      </c>
      <c r="B440" s="39">
        <v>86.110000610351563</v>
      </c>
      <c r="C440" s="39">
        <v>76.067520141601563</v>
      </c>
      <c r="D440" s="41">
        <v>2228925</v>
      </c>
      <c r="E440" s="36" t="s">
        <v>649</v>
      </c>
      <c r="F440" s="36" t="s">
        <v>115</v>
      </c>
    </row>
    <row r="441" spans="1:6">
      <c r="A441" s="38">
        <v>42741.15625</v>
      </c>
      <c r="B441" s="39">
        <v>84.529998779296875</v>
      </c>
      <c r="C441" s="39">
        <v>74.671783447265625</v>
      </c>
      <c r="D441" s="41">
        <v>791455</v>
      </c>
      <c r="E441" s="36" t="s">
        <v>649</v>
      </c>
      <c r="F441" s="36" t="s">
        <v>115</v>
      </c>
    </row>
    <row r="442" spans="1:6">
      <c r="A442" s="38">
        <v>42744.15625</v>
      </c>
      <c r="B442" s="39">
        <v>86.040000915527344</v>
      </c>
      <c r="C442" s="39">
        <v>76.00567626953125</v>
      </c>
      <c r="D442" s="41">
        <v>1090235</v>
      </c>
      <c r="E442" s="36" t="s">
        <v>649</v>
      </c>
      <c r="F442" s="36" t="s">
        <v>115</v>
      </c>
    </row>
    <row r="443" spans="1:6">
      <c r="A443" s="38">
        <v>42745.15625</v>
      </c>
      <c r="B443" s="39">
        <v>86.209999084472656</v>
      </c>
      <c r="C443" s="39">
        <v>76.155860900878906</v>
      </c>
      <c r="D443" s="41">
        <v>1108580</v>
      </c>
      <c r="E443" s="36" t="s">
        <v>649</v>
      </c>
      <c r="F443" s="36" t="s">
        <v>115</v>
      </c>
    </row>
    <row r="444" spans="1:6">
      <c r="A444" s="38">
        <v>42746.15625</v>
      </c>
      <c r="B444" s="39">
        <v>85.919998168945313</v>
      </c>
      <c r="C444" s="39">
        <v>75.899681091308594</v>
      </c>
      <c r="D444" s="41">
        <v>542660</v>
      </c>
      <c r="E444" s="36" t="s">
        <v>649</v>
      </c>
      <c r="F444" s="36" t="s">
        <v>115</v>
      </c>
    </row>
    <row r="445" spans="1:6">
      <c r="A445" s="38">
        <v>42747.15625</v>
      </c>
      <c r="B445" s="39">
        <v>85.980003356933594</v>
      </c>
      <c r="C445" s="39">
        <v>75.95269775390625</v>
      </c>
      <c r="D445" s="41">
        <v>946120</v>
      </c>
      <c r="E445" s="36" t="s">
        <v>649</v>
      </c>
      <c r="F445" s="36" t="s">
        <v>115</v>
      </c>
    </row>
    <row r="446" spans="1:6">
      <c r="A446" s="38">
        <v>42748.15625</v>
      </c>
      <c r="B446" s="39">
        <v>85.080001831054688</v>
      </c>
      <c r="C446" s="39">
        <v>75.157646179199219</v>
      </c>
      <c r="D446" s="41">
        <v>695980</v>
      </c>
      <c r="E446" s="36" t="s">
        <v>649</v>
      </c>
      <c r="F446" s="36" t="s">
        <v>115</v>
      </c>
    </row>
    <row r="447" spans="1:6">
      <c r="A447" s="38">
        <v>42751.15625</v>
      </c>
      <c r="B447" s="39">
        <v>85.260002136230469</v>
      </c>
      <c r="C447" s="39">
        <v>75.316673278808594</v>
      </c>
      <c r="D447" s="41">
        <v>596635</v>
      </c>
      <c r="E447" s="36" t="s">
        <v>649</v>
      </c>
      <c r="F447" s="36" t="s">
        <v>115</v>
      </c>
    </row>
    <row r="448" spans="1:6">
      <c r="A448" s="38">
        <v>42752.15625</v>
      </c>
      <c r="B448" s="39">
        <v>83.129997253417969</v>
      </c>
      <c r="C448" s="39">
        <v>73.43505859375</v>
      </c>
      <c r="D448" s="41">
        <v>7563830</v>
      </c>
      <c r="E448" s="36" t="s">
        <v>649</v>
      </c>
      <c r="F448" s="36" t="s">
        <v>115</v>
      </c>
    </row>
    <row r="449" spans="1:6">
      <c r="A449" s="38">
        <v>42753.15625</v>
      </c>
      <c r="B449" s="39">
        <v>86.769996643066406</v>
      </c>
      <c r="C449" s="39">
        <v>76.650543212890625</v>
      </c>
      <c r="D449" s="41">
        <v>3785375</v>
      </c>
      <c r="E449" s="36" t="s">
        <v>649</v>
      </c>
      <c r="F449" s="36" t="s">
        <v>115</v>
      </c>
    </row>
    <row r="450" spans="1:6">
      <c r="A450" s="38">
        <v>42754.15625</v>
      </c>
      <c r="B450" s="39">
        <v>88.089996337890625</v>
      </c>
      <c r="C450" s="39">
        <v>77.816612243652344</v>
      </c>
      <c r="D450" s="41">
        <v>1602865</v>
      </c>
      <c r="E450" s="36" t="s">
        <v>649</v>
      </c>
      <c r="F450" s="36" t="s">
        <v>115</v>
      </c>
    </row>
    <row r="451" spans="1:6">
      <c r="A451" s="38">
        <v>42755.15625</v>
      </c>
      <c r="B451" s="39">
        <v>88.709999084472656</v>
      </c>
      <c r="C451" s="39">
        <v>78.364295959472656</v>
      </c>
      <c r="D451" s="41">
        <v>2501715</v>
      </c>
      <c r="E451" s="36" t="s">
        <v>649</v>
      </c>
      <c r="F451" s="36" t="s">
        <v>115</v>
      </c>
    </row>
    <row r="452" spans="1:6">
      <c r="A452" s="38">
        <v>42758.15625</v>
      </c>
      <c r="B452" s="39">
        <v>88.400001525878906</v>
      </c>
      <c r="C452" s="39">
        <v>78.0904541015625</v>
      </c>
      <c r="D452" s="41">
        <v>1159870</v>
      </c>
      <c r="E452" s="36" t="s">
        <v>649</v>
      </c>
      <c r="F452" s="36" t="s">
        <v>115</v>
      </c>
    </row>
    <row r="453" spans="1:6">
      <c r="A453" s="38">
        <v>42759.15625</v>
      </c>
      <c r="B453" s="39">
        <v>86.870002746582031</v>
      </c>
      <c r="C453" s="39">
        <v>76.738906860351563</v>
      </c>
      <c r="D453" s="41">
        <v>1656655</v>
      </c>
      <c r="E453" s="36" t="s">
        <v>649</v>
      </c>
      <c r="F453" s="36" t="s">
        <v>115</v>
      </c>
    </row>
    <row r="454" spans="1:6">
      <c r="A454" s="38">
        <v>42760.15625</v>
      </c>
      <c r="B454" s="39">
        <v>87.230003356933594</v>
      </c>
      <c r="C454" s="39">
        <v>77.056900024414063</v>
      </c>
      <c r="D454" s="41">
        <v>1164985</v>
      </c>
      <c r="E454" s="36" t="s">
        <v>649</v>
      </c>
      <c r="F454" s="36" t="s">
        <v>115</v>
      </c>
    </row>
    <row r="455" spans="1:6">
      <c r="A455" s="38">
        <v>42762.15625</v>
      </c>
      <c r="B455" s="39">
        <v>85.669998168945313</v>
      </c>
      <c r="C455" s="39">
        <v>75.6788330078125</v>
      </c>
      <c r="D455" s="41">
        <v>1063160</v>
      </c>
      <c r="E455" s="36" t="s">
        <v>649</v>
      </c>
      <c r="F455" s="36" t="s">
        <v>115</v>
      </c>
    </row>
    <row r="456" spans="1:6">
      <c r="A456" s="38">
        <v>42765.15625</v>
      </c>
      <c r="B456" s="39">
        <v>84.620002746582031</v>
      </c>
      <c r="C456" s="39">
        <v>74.751304626464844</v>
      </c>
      <c r="D456" s="41">
        <v>626575</v>
      </c>
      <c r="E456" s="36" t="s">
        <v>649</v>
      </c>
      <c r="F456" s="36" t="s">
        <v>115</v>
      </c>
    </row>
    <row r="457" spans="1:6">
      <c r="A457" s="38">
        <v>42766.15625</v>
      </c>
      <c r="B457" s="39">
        <v>82.019996643066406</v>
      </c>
      <c r="C457" s="39">
        <v>72.454505920410156</v>
      </c>
      <c r="D457" s="41">
        <v>982020</v>
      </c>
      <c r="E457" s="36" t="s">
        <v>649</v>
      </c>
      <c r="F457" s="36" t="s">
        <v>115</v>
      </c>
    </row>
    <row r="458" spans="1:6">
      <c r="A458" s="38">
        <v>42767.15625</v>
      </c>
      <c r="B458" s="39">
        <v>81.730003356933594</v>
      </c>
      <c r="C458" s="39">
        <v>72.198341369628906</v>
      </c>
      <c r="D458" s="41">
        <v>804465</v>
      </c>
      <c r="E458" s="36" t="s">
        <v>649</v>
      </c>
      <c r="F458" s="36" t="s">
        <v>115</v>
      </c>
    </row>
    <row r="459" spans="1:6">
      <c r="A459" s="38">
        <v>42768.15625</v>
      </c>
      <c r="B459" s="39">
        <v>83.400001525878906</v>
      </c>
      <c r="C459" s="39">
        <v>73.673576354980469</v>
      </c>
      <c r="D459" s="41">
        <v>998015</v>
      </c>
      <c r="E459" s="36" t="s">
        <v>649</v>
      </c>
      <c r="F459" s="36" t="s">
        <v>115</v>
      </c>
    </row>
    <row r="460" spans="1:6">
      <c r="A460" s="38">
        <v>42769.15625</v>
      </c>
      <c r="B460" s="39">
        <v>84.75</v>
      </c>
      <c r="C460" s="39">
        <v>74.866134643554688</v>
      </c>
      <c r="D460" s="41">
        <v>1003605</v>
      </c>
      <c r="E460" s="36" t="s">
        <v>649</v>
      </c>
      <c r="F460" s="36" t="s">
        <v>115</v>
      </c>
    </row>
    <row r="461" spans="1:6">
      <c r="A461" s="38">
        <v>42772.15625</v>
      </c>
      <c r="B461" s="39">
        <v>84.680000305175781</v>
      </c>
      <c r="C461" s="39">
        <v>74.804298400878906</v>
      </c>
      <c r="D461" s="41">
        <v>721365</v>
      </c>
      <c r="E461" s="36" t="s">
        <v>649</v>
      </c>
      <c r="F461" s="36" t="s">
        <v>115</v>
      </c>
    </row>
    <row r="462" spans="1:6">
      <c r="A462" s="38">
        <v>42773.15625</v>
      </c>
      <c r="B462" s="39">
        <v>84.410003662109375</v>
      </c>
      <c r="C462" s="39">
        <v>74.565780639648438</v>
      </c>
      <c r="D462" s="41">
        <v>697970</v>
      </c>
      <c r="E462" s="36" t="s">
        <v>649</v>
      </c>
      <c r="F462" s="36" t="s">
        <v>115</v>
      </c>
    </row>
    <row r="463" spans="1:6">
      <c r="A463" s="38">
        <v>42774.15625</v>
      </c>
      <c r="B463" s="39">
        <v>85.699996948242188</v>
      </c>
      <c r="C463" s="39">
        <v>75.705345153808594</v>
      </c>
      <c r="D463" s="41">
        <v>916100</v>
      </c>
      <c r="E463" s="36" t="s">
        <v>649</v>
      </c>
      <c r="F463" s="36" t="s">
        <v>115</v>
      </c>
    </row>
    <row r="464" spans="1:6">
      <c r="A464" s="38">
        <v>42775.15625</v>
      </c>
      <c r="B464" s="39">
        <v>84.69000244140625</v>
      </c>
      <c r="C464" s="39">
        <v>74.813125610351563</v>
      </c>
      <c r="D464" s="41">
        <v>1021645</v>
      </c>
      <c r="E464" s="36" t="s">
        <v>649</v>
      </c>
      <c r="F464" s="36" t="s">
        <v>115</v>
      </c>
    </row>
    <row r="465" spans="1:6">
      <c r="A465" s="38">
        <v>42776.15625</v>
      </c>
      <c r="B465" s="39">
        <v>84.949996948242188</v>
      </c>
      <c r="C465" s="39">
        <v>75.042816162109375</v>
      </c>
      <c r="D465" s="41">
        <v>1112980</v>
      </c>
      <c r="E465" s="36" t="s">
        <v>649</v>
      </c>
      <c r="F465" s="36" t="s">
        <v>115</v>
      </c>
    </row>
    <row r="466" spans="1:6">
      <c r="A466" s="38">
        <v>42779.15625</v>
      </c>
      <c r="B466" s="39">
        <v>85.55999755859375</v>
      </c>
      <c r="C466" s="39">
        <v>75.581687927246094</v>
      </c>
      <c r="D466" s="41">
        <v>807385</v>
      </c>
      <c r="E466" s="36" t="s">
        <v>649</v>
      </c>
      <c r="F466" s="36" t="s">
        <v>115</v>
      </c>
    </row>
    <row r="467" spans="1:6">
      <c r="A467" s="38">
        <v>42780.15625</v>
      </c>
      <c r="B467" s="39">
        <v>85.389999389648438</v>
      </c>
      <c r="C467" s="39">
        <v>75.431510925292969</v>
      </c>
      <c r="D467" s="41">
        <v>651040</v>
      </c>
      <c r="E467" s="36" t="s">
        <v>649</v>
      </c>
      <c r="F467" s="36" t="s">
        <v>115</v>
      </c>
    </row>
    <row r="468" spans="1:6">
      <c r="A468" s="38">
        <v>42781.15625</v>
      </c>
      <c r="B468" s="39">
        <v>83.629997253417969</v>
      </c>
      <c r="C468" s="39">
        <v>73.876754760742188</v>
      </c>
      <c r="D468" s="41">
        <v>955680</v>
      </c>
      <c r="E468" s="36" t="s">
        <v>649</v>
      </c>
      <c r="F468" s="36" t="s">
        <v>115</v>
      </c>
    </row>
    <row r="469" spans="1:6">
      <c r="A469" s="38">
        <v>42782.15625</v>
      </c>
      <c r="B469" s="39">
        <v>84.739997863769531</v>
      </c>
      <c r="C469" s="39">
        <v>74.8572998046875</v>
      </c>
      <c r="D469" s="41">
        <v>1324550</v>
      </c>
      <c r="E469" s="36" t="s">
        <v>649</v>
      </c>
      <c r="F469" s="36" t="s">
        <v>115</v>
      </c>
    </row>
    <row r="470" spans="1:6">
      <c r="A470" s="38">
        <v>42783.15625</v>
      </c>
      <c r="B470" s="39">
        <v>85.010002136230469</v>
      </c>
      <c r="C470" s="39">
        <v>75.0958251953125</v>
      </c>
      <c r="D470" s="41">
        <v>764615</v>
      </c>
      <c r="E470" s="36" t="s">
        <v>649</v>
      </c>
      <c r="F470" s="36" t="s">
        <v>115</v>
      </c>
    </row>
    <row r="471" spans="1:6">
      <c r="A471" s="38">
        <v>42786.15625</v>
      </c>
      <c r="B471" s="39">
        <v>84.709999084472656</v>
      </c>
      <c r="C471" s="39">
        <v>74.830818176269531</v>
      </c>
      <c r="D471" s="41">
        <v>401965</v>
      </c>
      <c r="E471" s="36" t="s">
        <v>649</v>
      </c>
      <c r="F471" s="36" t="s">
        <v>115</v>
      </c>
    </row>
    <row r="472" spans="1:6">
      <c r="A472" s="38">
        <v>42787.15625</v>
      </c>
      <c r="B472" s="39">
        <v>83.790000915527344</v>
      </c>
      <c r="C472" s="39">
        <v>74.018089294433594</v>
      </c>
      <c r="D472" s="41">
        <v>1433335</v>
      </c>
      <c r="E472" s="36" t="s">
        <v>649</v>
      </c>
      <c r="F472" s="36" t="s">
        <v>115</v>
      </c>
    </row>
    <row r="473" spans="1:6">
      <c r="A473" s="38">
        <v>42788.15625</v>
      </c>
      <c r="B473" s="39">
        <v>83.540000915527344</v>
      </c>
      <c r="C473" s="39">
        <v>73.797248840332031</v>
      </c>
      <c r="D473" s="41">
        <v>962150</v>
      </c>
      <c r="E473" s="36" t="s">
        <v>649</v>
      </c>
      <c r="F473" s="36" t="s">
        <v>115</v>
      </c>
    </row>
    <row r="474" spans="1:6">
      <c r="A474" s="38">
        <v>42789.15625</v>
      </c>
      <c r="B474" s="39">
        <v>84.580001831054688</v>
      </c>
      <c r="C474" s="39">
        <v>74.7159423828125</v>
      </c>
      <c r="D474" s="41">
        <v>946690</v>
      </c>
      <c r="E474" s="36" t="s">
        <v>649</v>
      </c>
      <c r="F474" s="36" t="s">
        <v>115</v>
      </c>
    </row>
    <row r="475" spans="1:6">
      <c r="A475" s="38">
        <v>42793.15625</v>
      </c>
      <c r="B475" s="39">
        <v>83.25</v>
      </c>
      <c r="C475" s="39">
        <v>73.54107666015625</v>
      </c>
      <c r="D475" s="41">
        <v>487170</v>
      </c>
      <c r="E475" s="36" t="s">
        <v>649</v>
      </c>
      <c r="F475" s="36" t="s">
        <v>115</v>
      </c>
    </row>
    <row r="476" spans="1:6">
      <c r="A476" s="38">
        <v>42794.15625</v>
      </c>
      <c r="B476" s="39">
        <v>83.239997863769531</v>
      </c>
      <c r="C476" s="39">
        <v>73.532249450683594</v>
      </c>
      <c r="D476" s="41">
        <v>690640</v>
      </c>
      <c r="E476" s="36" t="s">
        <v>649</v>
      </c>
      <c r="F476" s="36" t="s">
        <v>115</v>
      </c>
    </row>
    <row r="477" spans="1:6">
      <c r="A477" s="38">
        <v>42795.15625</v>
      </c>
      <c r="B477" s="39">
        <v>83.379997253417969</v>
      </c>
      <c r="C477" s="39">
        <v>73.655906677246094</v>
      </c>
      <c r="D477" s="41">
        <v>793245</v>
      </c>
      <c r="E477" s="36" t="s">
        <v>649</v>
      </c>
      <c r="F477" s="36" t="s">
        <v>115</v>
      </c>
    </row>
    <row r="478" spans="1:6">
      <c r="A478" s="38">
        <v>42796.15625</v>
      </c>
      <c r="B478" s="39">
        <v>81.720001220703125</v>
      </c>
      <c r="C478" s="39">
        <v>72.189521789550781</v>
      </c>
      <c r="D478" s="41">
        <v>761425</v>
      </c>
      <c r="E478" s="36" t="s">
        <v>649</v>
      </c>
      <c r="F478" s="36" t="s">
        <v>115</v>
      </c>
    </row>
    <row r="479" spans="1:6">
      <c r="A479" s="38">
        <v>42797.15625</v>
      </c>
      <c r="B479" s="39">
        <v>83.389999389648438</v>
      </c>
      <c r="C479" s="39">
        <v>73.664749145507813</v>
      </c>
      <c r="D479" s="41">
        <v>806995</v>
      </c>
      <c r="E479" s="36" t="s">
        <v>649</v>
      </c>
      <c r="F479" s="36" t="s">
        <v>115</v>
      </c>
    </row>
    <row r="480" spans="1:6">
      <c r="A480" s="38">
        <v>42800.15625</v>
      </c>
      <c r="B480" s="39">
        <v>83.379997253417969</v>
      </c>
      <c r="C480" s="39">
        <v>73.655906677246094</v>
      </c>
      <c r="D480" s="41">
        <v>432110</v>
      </c>
      <c r="E480" s="36" t="s">
        <v>649</v>
      </c>
      <c r="F480" s="36" t="s">
        <v>115</v>
      </c>
    </row>
    <row r="481" spans="1:6">
      <c r="A481" s="38">
        <v>42801.15625</v>
      </c>
      <c r="B481" s="39">
        <v>83.720001220703125</v>
      </c>
      <c r="C481" s="39">
        <v>73.956245422363281</v>
      </c>
      <c r="D481" s="41">
        <v>551010</v>
      </c>
      <c r="E481" s="36" t="s">
        <v>649</v>
      </c>
      <c r="F481" s="36" t="s">
        <v>115</v>
      </c>
    </row>
    <row r="482" spans="1:6">
      <c r="A482" s="38">
        <v>42802.15625</v>
      </c>
      <c r="B482" s="39">
        <v>83.519996643066406</v>
      </c>
      <c r="C482" s="39">
        <v>73.779586791992188</v>
      </c>
      <c r="D482" s="41">
        <v>702610</v>
      </c>
      <c r="E482" s="36" t="s">
        <v>649</v>
      </c>
      <c r="F482" s="36" t="s">
        <v>115</v>
      </c>
    </row>
    <row r="483" spans="1:6">
      <c r="A483" s="38">
        <v>42803.15625</v>
      </c>
      <c r="B483" s="39">
        <v>83.709999084472656</v>
      </c>
      <c r="C483" s="39">
        <v>73.947425842285156</v>
      </c>
      <c r="D483" s="41">
        <v>545780</v>
      </c>
      <c r="E483" s="36" t="s">
        <v>649</v>
      </c>
      <c r="F483" s="36" t="s">
        <v>115</v>
      </c>
    </row>
    <row r="484" spans="1:6">
      <c r="A484" s="38">
        <v>42804.15625</v>
      </c>
      <c r="B484" s="39">
        <v>83.510002136230469</v>
      </c>
      <c r="C484" s="39">
        <v>73.770751953125</v>
      </c>
      <c r="D484" s="41">
        <v>418080</v>
      </c>
      <c r="E484" s="36" t="s">
        <v>649</v>
      </c>
      <c r="F484" s="36" t="s">
        <v>115</v>
      </c>
    </row>
    <row r="485" spans="1:6">
      <c r="A485" s="38">
        <v>42808.15625</v>
      </c>
      <c r="B485" s="39">
        <v>84.599998474121094</v>
      </c>
      <c r="C485" s="39">
        <v>74.733612060546875</v>
      </c>
      <c r="D485" s="41">
        <v>593495</v>
      </c>
      <c r="E485" s="36" t="s">
        <v>649</v>
      </c>
      <c r="F485" s="36" t="s">
        <v>115</v>
      </c>
    </row>
    <row r="486" spans="1:6">
      <c r="A486" s="38">
        <v>42809.15625</v>
      </c>
      <c r="B486" s="39">
        <v>83.44000244140625</v>
      </c>
      <c r="C486" s="39">
        <v>73.708915710449219</v>
      </c>
      <c r="D486" s="41">
        <v>555460</v>
      </c>
      <c r="E486" s="36" t="s">
        <v>649</v>
      </c>
      <c r="F486" s="36" t="s">
        <v>115</v>
      </c>
    </row>
    <row r="487" spans="1:6">
      <c r="A487" s="38">
        <v>42810.15625</v>
      </c>
      <c r="B487" s="39">
        <v>83.300003051757813</v>
      </c>
      <c r="C487" s="39">
        <v>73.585243225097656</v>
      </c>
      <c r="D487" s="41">
        <v>1443360</v>
      </c>
      <c r="E487" s="36" t="s">
        <v>649</v>
      </c>
      <c r="F487" s="36" t="s">
        <v>115</v>
      </c>
    </row>
    <row r="488" spans="1:6">
      <c r="A488" s="38">
        <v>42811.15625</v>
      </c>
      <c r="B488" s="39">
        <v>84.94000244140625</v>
      </c>
      <c r="C488" s="39">
        <v>75.033973693847656</v>
      </c>
      <c r="D488" s="41">
        <v>1250120</v>
      </c>
      <c r="E488" s="36" t="s">
        <v>649</v>
      </c>
      <c r="F488" s="36" t="s">
        <v>115</v>
      </c>
    </row>
    <row r="489" spans="1:6">
      <c r="A489" s="38">
        <v>42814.15625</v>
      </c>
      <c r="B489" s="39">
        <v>84.360000610351563</v>
      </c>
      <c r="C489" s="39">
        <v>74.521621704101563</v>
      </c>
      <c r="D489" s="41">
        <v>922405</v>
      </c>
      <c r="E489" s="36" t="s">
        <v>649</v>
      </c>
      <c r="F489" s="36" t="s">
        <v>115</v>
      </c>
    </row>
    <row r="490" spans="1:6">
      <c r="A490" s="38">
        <v>42815.15625</v>
      </c>
      <c r="B490" s="39">
        <v>83.5</v>
      </c>
      <c r="C490" s="39">
        <v>73.761932373046875</v>
      </c>
      <c r="D490" s="41">
        <v>855255</v>
      </c>
      <c r="E490" s="36" t="s">
        <v>649</v>
      </c>
      <c r="F490" s="36" t="s">
        <v>115</v>
      </c>
    </row>
    <row r="491" spans="1:6">
      <c r="A491" s="38">
        <v>42816.15625</v>
      </c>
      <c r="B491" s="39">
        <v>81.879997253417969</v>
      </c>
      <c r="C491" s="39">
        <v>72.330848693847656</v>
      </c>
      <c r="D491" s="41">
        <v>781750</v>
      </c>
      <c r="E491" s="36" t="s">
        <v>649</v>
      </c>
      <c r="F491" s="36" t="s">
        <v>115</v>
      </c>
    </row>
    <row r="492" spans="1:6">
      <c r="A492" s="38">
        <v>42817.15625</v>
      </c>
      <c r="B492" s="39">
        <v>82.569999694824219</v>
      </c>
      <c r="C492" s="39">
        <v>72.940376281738281</v>
      </c>
      <c r="D492" s="41">
        <v>624250</v>
      </c>
      <c r="E492" s="36" t="s">
        <v>649</v>
      </c>
      <c r="F492" s="36" t="s">
        <v>115</v>
      </c>
    </row>
    <row r="493" spans="1:6">
      <c r="A493" s="38">
        <v>42818.15625</v>
      </c>
      <c r="B493" s="39">
        <v>84.660003662109375</v>
      </c>
      <c r="C493" s="39">
        <v>74.78662109375</v>
      </c>
      <c r="D493" s="41">
        <v>1651870</v>
      </c>
      <c r="E493" s="36" t="s">
        <v>649</v>
      </c>
      <c r="F493" s="36" t="s">
        <v>115</v>
      </c>
    </row>
    <row r="494" spans="1:6">
      <c r="A494" s="38">
        <v>42821.15625</v>
      </c>
      <c r="B494" s="39">
        <v>85.019996643066406</v>
      </c>
      <c r="C494" s="39">
        <v>75.104667663574219</v>
      </c>
      <c r="D494" s="41">
        <v>985525</v>
      </c>
      <c r="E494" s="36" t="s">
        <v>649</v>
      </c>
      <c r="F494" s="36" t="s">
        <v>115</v>
      </c>
    </row>
    <row r="495" spans="1:6">
      <c r="A495" s="38">
        <v>42822.15625</v>
      </c>
      <c r="B495" s="39">
        <v>85</v>
      </c>
      <c r="C495" s="39">
        <v>75.08697509765625</v>
      </c>
      <c r="D495" s="41">
        <v>713755</v>
      </c>
      <c r="E495" s="36" t="s">
        <v>649</v>
      </c>
      <c r="F495" s="36" t="s">
        <v>115</v>
      </c>
    </row>
    <row r="496" spans="1:6">
      <c r="A496" s="38">
        <v>42823.15625</v>
      </c>
      <c r="B496" s="39">
        <v>85.110000610351563</v>
      </c>
      <c r="C496" s="39">
        <v>75.184150695800781</v>
      </c>
      <c r="D496" s="41">
        <v>645005</v>
      </c>
      <c r="E496" s="36" t="s">
        <v>649</v>
      </c>
      <c r="F496" s="36" t="s">
        <v>115</v>
      </c>
    </row>
    <row r="497" spans="1:6">
      <c r="A497" s="38">
        <v>42824.15625</v>
      </c>
      <c r="B497" s="39">
        <v>84.010002136230469</v>
      </c>
      <c r="C497" s="39">
        <v>74.212432861328125</v>
      </c>
      <c r="D497" s="41">
        <v>2254980</v>
      </c>
      <c r="E497" s="36" t="s">
        <v>649</v>
      </c>
      <c r="F497" s="36" t="s">
        <v>115</v>
      </c>
    </row>
    <row r="498" spans="1:6">
      <c r="A498" s="38">
        <v>42825.15625</v>
      </c>
      <c r="B498" s="39">
        <v>87.120002746582031</v>
      </c>
      <c r="C498" s="39">
        <v>76.959747314453125</v>
      </c>
      <c r="D498" s="41">
        <v>1928955</v>
      </c>
      <c r="E498" s="36" t="s">
        <v>649</v>
      </c>
      <c r="F498" s="36" t="s">
        <v>115</v>
      </c>
    </row>
    <row r="499" spans="1:6">
      <c r="A499" s="38">
        <v>42828.15625</v>
      </c>
      <c r="B499" s="39">
        <v>86.989997863769531</v>
      </c>
      <c r="C499" s="39">
        <v>76.84490966796875</v>
      </c>
      <c r="D499" s="41">
        <v>947440</v>
      </c>
      <c r="E499" s="36" t="s">
        <v>650</v>
      </c>
      <c r="F499" s="36" t="s">
        <v>115</v>
      </c>
    </row>
    <row r="500" spans="1:6">
      <c r="A500" s="38">
        <v>42830.15625</v>
      </c>
      <c r="B500" s="39">
        <v>86.629997253417969</v>
      </c>
      <c r="C500" s="39">
        <v>76.526893615722656</v>
      </c>
      <c r="D500" s="41">
        <v>732490</v>
      </c>
      <c r="E500" s="36" t="s">
        <v>650</v>
      </c>
      <c r="F500" s="36" t="s">
        <v>115</v>
      </c>
    </row>
    <row r="501" spans="1:6">
      <c r="A501" s="38">
        <v>42831.15625</v>
      </c>
      <c r="B501" s="39">
        <v>84.790000915527344</v>
      </c>
      <c r="C501" s="39">
        <v>74.901473999023438</v>
      </c>
      <c r="D501" s="41">
        <v>755555</v>
      </c>
      <c r="E501" s="36" t="s">
        <v>650</v>
      </c>
      <c r="F501" s="36" t="s">
        <v>115</v>
      </c>
    </row>
    <row r="502" spans="1:6">
      <c r="A502" s="38">
        <v>42832.15625</v>
      </c>
      <c r="B502" s="39">
        <v>88.55999755859375</v>
      </c>
      <c r="C502" s="39">
        <v>78.231788635253906</v>
      </c>
      <c r="D502" s="41">
        <v>2298020</v>
      </c>
      <c r="E502" s="36" t="s">
        <v>650</v>
      </c>
      <c r="F502" s="36" t="s">
        <v>115</v>
      </c>
    </row>
    <row r="503" spans="1:6">
      <c r="A503" s="38">
        <v>42835.15625</v>
      </c>
      <c r="B503" s="39">
        <v>85.790000915527344</v>
      </c>
      <c r="C503" s="39">
        <v>75.784843444824219</v>
      </c>
      <c r="D503" s="41">
        <v>1570180</v>
      </c>
      <c r="E503" s="36" t="s">
        <v>650</v>
      </c>
      <c r="F503" s="36" t="s">
        <v>115</v>
      </c>
    </row>
    <row r="504" spans="1:6">
      <c r="A504" s="38">
        <v>42836.15625</v>
      </c>
      <c r="B504" s="39">
        <v>85.290000915527344</v>
      </c>
      <c r="C504" s="39">
        <v>75.343162536621094</v>
      </c>
      <c r="D504" s="41">
        <v>1513645</v>
      </c>
      <c r="E504" s="36" t="s">
        <v>650</v>
      </c>
      <c r="F504" s="36" t="s">
        <v>115</v>
      </c>
    </row>
    <row r="505" spans="1:6">
      <c r="A505" s="38">
        <v>42837.15625</v>
      </c>
      <c r="B505" s="39">
        <v>85.319999694824219</v>
      </c>
      <c r="C505" s="39">
        <v>75.369644165039063</v>
      </c>
      <c r="D505" s="41">
        <v>946285</v>
      </c>
      <c r="E505" s="36" t="s">
        <v>650</v>
      </c>
      <c r="F505" s="36" t="s">
        <v>115</v>
      </c>
    </row>
    <row r="506" spans="1:6">
      <c r="A506" s="38">
        <v>42838.15625</v>
      </c>
      <c r="B506" s="39">
        <v>85.260002136230469</v>
      </c>
      <c r="C506" s="39">
        <v>75.316673278808594</v>
      </c>
      <c r="D506" s="41">
        <v>1088475</v>
      </c>
      <c r="E506" s="36" t="s">
        <v>650</v>
      </c>
      <c r="F506" s="36" t="s">
        <v>115</v>
      </c>
    </row>
    <row r="507" spans="1:6">
      <c r="A507" s="38">
        <v>42842.15625</v>
      </c>
      <c r="B507" s="39">
        <v>86.269996643066406</v>
      </c>
      <c r="C507" s="39">
        <v>76.2088623046875</v>
      </c>
      <c r="D507" s="41">
        <v>1063640</v>
      </c>
      <c r="E507" s="36" t="s">
        <v>650</v>
      </c>
      <c r="F507" s="36" t="s">
        <v>115</v>
      </c>
    </row>
    <row r="508" spans="1:6">
      <c r="A508" s="38">
        <v>42843.15625</v>
      </c>
      <c r="B508" s="39">
        <v>86.050003051757813</v>
      </c>
      <c r="C508" s="39">
        <v>76.014533996582031</v>
      </c>
      <c r="D508" s="41">
        <v>1781220</v>
      </c>
      <c r="E508" s="36" t="s">
        <v>650</v>
      </c>
      <c r="F508" s="36" t="s">
        <v>115</v>
      </c>
    </row>
    <row r="509" spans="1:6">
      <c r="A509" s="38">
        <v>42844.15625</v>
      </c>
      <c r="B509" s="39">
        <v>84.410003662109375</v>
      </c>
      <c r="C509" s="39">
        <v>74.565780639648438</v>
      </c>
      <c r="D509" s="41">
        <v>857990</v>
      </c>
      <c r="E509" s="36" t="s">
        <v>650</v>
      </c>
      <c r="F509" s="36" t="s">
        <v>115</v>
      </c>
    </row>
    <row r="510" spans="1:6">
      <c r="A510" s="38">
        <v>42845.15625</v>
      </c>
      <c r="B510" s="39">
        <v>85.25</v>
      </c>
      <c r="C510" s="39">
        <v>75.307823181152344</v>
      </c>
      <c r="D510" s="41">
        <v>832760</v>
      </c>
      <c r="E510" s="36" t="s">
        <v>650</v>
      </c>
      <c r="F510" s="36" t="s">
        <v>115</v>
      </c>
    </row>
    <row r="511" spans="1:6">
      <c r="A511" s="38">
        <v>42846.15625</v>
      </c>
      <c r="B511" s="39">
        <v>84.910003662109375</v>
      </c>
      <c r="C511" s="39">
        <v>75.007476806640625</v>
      </c>
      <c r="D511" s="41">
        <v>875765</v>
      </c>
      <c r="E511" s="36" t="s">
        <v>650</v>
      </c>
      <c r="F511" s="36" t="s">
        <v>115</v>
      </c>
    </row>
    <row r="512" spans="1:6">
      <c r="A512" s="38">
        <v>42849.15625</v>
      </c>
      <c r="B512" s="39">
        <v>85.819999694824219</v>
      </c>
      <c r="C512" s="39">
        <v>75.811355590820313</v>
      </c>
      <c r="D512" s="41">
        <v>914990</v>
      </c>
      <c r="E512" s="36" t="s">
        <v>650</v>
      </c>
      <c r="F512" s="36" t="s">
        <v>115</v>
      </c>
    </row>
    <row r="513" spans="1:6">
      <c r="A513" s="38">
        <v>42850.15625</v>
      </c>
      <c r="B513" s="39">
        <v>87.290000915527344</v>
      </c>
      <c r="C513" s="39">
        <v>77.109901428222656</v>
      </c>
      <c r="D513" s="41">
        <v>1312970</v>
      </c>
      <c r="E513" s="36" t="s">
        <v>650</v>
      </c>
      <c r="F513" s="36" t="s">
        <v>115</v>
      </c>
    </row>
    <row r="514" spans="1:6">
      <c r="A514" s="38">
        <v>42851.15625</v>
      </c>
      <c r="B514" s="39">
        <v>91.709999084472656</v>
      </c>
      <c r="C514" s="39">
        <v>81.014450073242188</v>
      </c>
      <c r="D514" s="41">
        <v>7844750</v>
      </c>
      <c r="E514" s="36" t="s">
        <v>650</v>
      </c>
      <c r="F514" s="36" t="s">
        <v>115</v>
      </c>
    </row>
    <row r="515" spans="1:6">
      <c r="A515" s="38">
        <v>42852.15625</v>
      </c>
      <c r="B515" s="39">
        <v>92.620002746582031</v>
      </c>
      <c r="C515" s="39">
        <v>81.818305969238281</v>
      </c>
      <c r="D515" s="41">
        <v>2509650</v>
      </c>
      <c r="E515" s="36" t="s">
        <v>650</v>
      </c>
      <c r="F515" s="36" t="s">
        <v>115</v>
      </c>
    </row>
    <row r="516" spans="1:6">
      <c r="A516" s="38">
        <v>42853.145833333336</v>
      </c>
      <c r="B516" s="39">
        <v>91.769996643066406</v>
      </c>
      <c r="C516" s="39">
        <v>81.067428588867188</v>
      </c>
      <c r="D516" s="41">
        <v>1391010</v>
      </c>
      <c r="E516" s="36" t="s">
        <v>650</v>
      </c>
      <c r="F516" s="36" t="s">
        <v>115</v>
      </c>
    </row>
    <row r="517" spans="1:6">
      <c r="A517" s="38">
        <v>42857.15625</v>
      </c>
      <c r="B517" s="39">
        <v>92.639999389648438</v>
      </c>
      <c r="C517" s="39">
        <v>81.835990905761719</v>
      </c>
      <c r="D517" s="41">
        <v>1465030</v>
      </c>
      <c r="E517" s="36" t="s">
        <v>650</v>
      </c>
      <c r="F517" s="36" t="s">
        <v>115</v>
      </c>
    </row>
    <row r="518" spans="1:6">
      <c r="A518" s="38">
        <v>42858.15625</v>
      </c>
      <c r="B518" s="39">
        <v>94.120002746582031</v>
      </c>
      <c r="C518" s="39">
        <v>83.14337158203125</v>
      </c>
      <c r="D518" s="41">
        <v>2515150</v>
      </c>
      <c r="E518" s="36" t="s">
        <v>650</v>
      </c>
      <c r="F518" s="36" t="s">
        <v>115</v>
      </c>
    </row>
    <row r="519" spans="1:6">
      <c r="A519" s="38">
        <v>42859.15625</v>
      </c>
      <c r="B519" s="39">
        <v>95.790000915527344</v>
      </c>
      <c r="C519" s="39">
        <v>84.618614196777344</v>
      </c>
      <c r="D519" s="41">
        <v>1469410</v>
      </c>
      <c r="E519" s="36" t="s">
        <v>650</v>
      </c>
      <c r="F519" s="36" t="s">
        <v>115</v>
      </c>
    </row>
    <row r="520" spans="1:6">
      <c r="A520" s="38">
        <v>42860.15625</v>
      </c>
      <c r="B520" s="39">
        <v>94.30999755859375</v>
      </c>
      <c r="C520" s="39">
        <v>83.31121826171875</v>
      </c>
      <c r="D520" s="41">
        <v>1909265</v>
      </c>
      <c r="E520" s="36" t="s">
        <v>650</v>
      </c>
      <c r="F520" s="36" t="s">
        <v>115</v>
      </c>
    </row>
    <row r="521" spans="1:6">
      <c r="A521" s="38">
        <v>42863.15625</v>
      </c>
      <c r="B521" s="39">
        <v>97.80999755859375</v>
      </c>
      <c r="C521" s="39">
        <v>86.403045654296875</v>
      </c>
      <c r="D521" s="41">
        <v>7752755</v>
      </c>
      <c r="E521" s="36" t="s">
        <v>650</v>
      </c>
      <c r="F521" s="36" t="s">
        <v>115</v>
      </c>
    </row>
    <row r="522" spans="1:6">
      <c r="A522" s="38">
        <v>42864.15625</v>
      </c>
      <c r="B522" s="39">
        <v>99.290000915527344</v>
      </c>
      <c r="C522" s="39">
        <v>87.710441589355469</v>
      </c>
      <c r="D522" s="41">
        <v>2684590</v>
      </c>
      <c r="E522" s="36" t="s">
        <v>650</v>
      </c>
      <c r="F522" s="36" t="s">
        <v>115</v>
      </c>
    </row>
    <row r="523" spans="1:6">
      <c r="A523" s="38">
        <v>42865.15625</v>
      </c>
      <c r="B523" s="39">
        <v>105.45999908447266</v>
      </c>
      <c r="C523" s="39">
        <v>93.160873413085938</v>
      </c>
      <c r="D523" s="41">
        <v>4868865</v>
      </c>
      <c r="E523" s="36" t="s">
        <v>650</v>
      </c>
      <c r="F523" s="36" t="s">
        <v>115</v>
      </c>
    </row>
    <row r="524" spans="1:6">
      <c r="A524" s="38">
        <v>42866.15625</v>
      </c>
      <c r="B524" s="39">
        <v>101.94999694824219</v>
      </c>
      <c r="C524" s="39">
        <v>90.060203552246094</v>
      </c>
      <c r="D524" s="41">
        <v>2321275</v>
      </c>
      <c r="E524" s="36" t="s">
        <v>650</v>
      </c>
      <c r="F524" s="36" t="s">
        <v>115</v>
      </c>
    </row>
    <row r="525" spans="1:6">
      <c r="A525" s="38">
        <v>42867.15625</v>
      </c>
      <c r="B525" s="39">
        <v>105.48000335693359</v>
      </c>
      <c r="C525" s="39">
        <v>93.17852783203125</v>
      </c>
      <c r="D525" s="41">
        <v>5021130</v>
      </c>
      <c r="E525" s="36" t="s">
        <v>650</v>
      </c>
      <c r="F525" s="36" t="s">
        <v>115</v>
      </c>
    </row>
    <row r="526" spans="1:6">
      <c r="A526" s="38">
        <v>42870.15625</v>
      </c>
      <c r="B526" s="39">
        <v>104.54000091552734</v>
      </c>
      <c r="C526" s="39">
        <v>92.348159790039063</v>
      </c>
      <c r="D526" s="41">
        <v>1359895</v>
      </c>
      <c r="E526" s="36" t="s">
        <v>650</v>
      </c>
      <c r="F526" s="36" t="s">
        <v>115</v>
      </c>
    </row>
    <row r="527" spans="1:6">
      <c r="A527" s="38">
        <v>42871.15625</v>
      </c>
      <c r="B527" s="39">
        <v>105.83000183105469</v>
      </c>
      <c r="C527" s="39">
        <v>93.487701416015625</v>
      </c>
      <c r="D527" s="41">
        <v>3318460</v>
      </c>
      <c r="E527" s="36" t="s">
        <v>650</v>
      </c>
      <c r="F527" s="36" t="s">
        <v>115</v>
      </c>
    </row>
    <row r="528" spans="1:6">
      <c r="A528" s="38">
        <v>42872.15625</v>
      </c>
      <c r="B528" s="39">
        <v>104.61000061035156</v>
      </c>
      <c r="C528" s="39">
        <v>92.409996032714844</v>
      </c>
      <c r="D528" s="41">
        <v>2231845</v>
      </c>
      <c r="E528" s="36" t="s">
        <v>650</v>
      </c>
      <c r="F528" s="36" t="s">
        <v>115</v>
      </c>
    </row>
    <row r="529" spans="1:6">
      <c r="A529" s="38">
        <v>42873.15625</v>
      </c>
      <c r="B529" s="39">
        <v>102.69999694824219</v>
      </c>
      <c r="C529" s="39">
        <v>90.722732543945313</v>
      </c>
      <c r="D529" s="41">
        <v>2724430</v>
      </c>
      <c r="E529" s="36" t="s">
        <v>650</v>
      </c>
      <c r="F529" s="36" t="s">
        <v>115</v>
      </c>
    </row>
    <row r="530" spans="1:6">
      <c r="A530" s="38">
        <v>42874.15625</v>
      </c>
      <c r="B530" s="39">
        <v>99.910003662109375</v>
      </c>
      <c r="C530" s="39">
        <v>88.258110046386719</v>
      </c>
      <c r="D530" s="41">
        <v>1823390</v>
      </c>
      <c r="E530" s="36" t="s">
        <v>650</v>
      </c>
      <c r="F530" s="36" t="s">
        <v>115</v>
      </c>
    </row>
    <row r="531" spans="1:6">
      <c r="A531" s="38">
        <v>42877.15625</v>
      </c>
      <c r="B531" s="39">
        <v>97.430000305175781</v>
      </c>
      <c r="C531" s="39">
        <v>86.067337036132813</v>
      </c>
      <c r="D531" s="41">
        <v>2304420</v>
      </c>
      <c r="E531" s="36" t="s">
        <v>650</v>
      </c>
      <c r="F531" s="36" t="s">
        <v>115</v>
      </c>
    </row>
    <row r="532" spans="1:6">
      <c r="A532" s="38">
        <v>42878.15625</v>
      </c>
      <c r="B532" s="39">
        <v>98.19000244140625</v>
      </c>
      <c r="C532" s="39">
        <v>86.738716125488281</v>
      </c>
      <c r="D532" s="41">
        <v>2732385</v>
      </c>
      <c r="E532" s="36" t="s">
        <v>650</v>
      </c>
      <c r="F532" s="36" t="s">
        <v>115</v>
      </c>
    </row>
    <row r="533" spans="1:6">
      <c r="A533" s="38">
        <v>42879.15625</v>
      </c>
      <c r="B533" s="39">
        <v>96.379997253417969</v>
      </c>
      <c r="C533" s="39">
        <v>85.139793395996094</v>
      </c>
      <c r="D533" s="41">
        <v>1592680</v>
      </c>
      <c r="E533" s="36" t="s">
        <v>650</v>
      </c>
      <c r="F533" s="36" t="s">
        <v>115</v>
      </c>
    </row>
    <row r="534" spans="1:6">
      <c r="A534" s="38">
        <v>42880.15625</v>
      </c>
      <c r="B534" s="39">
        <v>98.470001220703125</v>
      </c>
      <c r="C534" s="39">
        <v>86.986045837402344</v>
      </c>
      <c r="D534" s="41">
        <v>1753660</v>
      </c>
      <c r="E534" s="36" t="s">
        <v>650</v>
      </c>
      <c r="F534" s="36" t="s">
        <v>115</v>
      </c>
    </row>
    <row r="535" spans="1:6">
      <c r="A535" s="38">
        <v>42881.15625</v>
      </c>
      <c r="B535" s="39">
        <v>100.05000305175781</v>
      </c>
      <c r="C535" s="39">
        <v>88.381790161132813</v>
      </c>
      <c r="D535" s="41">
        <v>1541190</v>
      </c>
      <c r="E535" s="36" t="s">
        <v>650</v>
      </c>
      <c r="F535" s="36" t="s">
        <v>115</v>
      </c>
    </row>
    <row r="536" spans="1:6">
      <c r="A536" s="38">
        <v>42884.15625</v>
      </c>
      <c r="B536" s="39">
        <v>102.95999908447266</v>
      </c>
      <c r="C536" s="39">
        <v>90.952430725097656</v>
      </c>
      <c r="D536" s="41">
        <v>1784320</v>
      </c>
      <c r="E536" s="36" t="s">
        <v>650</v>
      </c>
      <c r="F536" s="36" t="s">
        <v>115</v>
      </c>
    </row>
    <row r="537" spans="1:6">
      <c r="A537" s="38">
        <v>42885.15625</v>
      </c>
      <c r="B537" s="39">
        <v>104.81999969482422</v>
      </c>
      <c r="C537" s="39">
        <v>92.595504760742188</v>
      </c>
      <c r="D537" s="41">
        <v>1448635</v>
      </c>
      <c r="E537" s="36" t="s">
        <v>650</v>
      </c>
      <c r="F537" s="36" t="s">
        <v>115</v>
      </c>
    </row>
    <row r="538" spans="1:6">
      <c r="A538" s="38">
        <v>42886.15625</v>
      </c>
      <c r="B538" s="39">
        <v>104.51000213623047</v>
      </c>
      <c r="C538" s="39">
        <v>92.321640014648438</v>
      </c>
      <c r="D538" s="41">
        <v>1611855</v>
      </c>
      <c r="E538" s="36" t="s">
        <v>650</v>
      </c>
      <c r="F538" s="36" t="s">
        <v>115</v>
      </c>
    </row>
    <row r="539" spans="1:6">
      <c r="A539" s="38">
        <v>42887.15625</v>
      </c>
      <c r="B539" s="39">
        <v>107.36000061035156</v>
      </c>
      <c r="C539" s="39">
        <v>94.839271545410156</v>
      </c>
      <c r="D539" s="41">
        <v>2506165</v>
      </c>
      <c r="E539" s="36" t="s">
        <v>650</v>
      </c>
      <c r="F539" s="36" t="s">
        <v>115</v>
      </c>
    </row>
    <row r="540" spans="1:6">
      <c r="A540" s="38">
        <v>42888.15625</v>
      </c>
      <c r="B540" s="39">
        <v>108.11000061035156</v>
      </c>
      <c r="C540" s="39">
        <v>95.501815795898438</v>
      </c>
      <c r="D540" s="41">
        <v>1293460</v>
      </c>
      <c r="E540" s="36" t="s">
        <v>650</v>
      </c>
      <c r="F540" s="36" t="s">
        <v>115</v>
      </c>
    </row>
    <row r="541" spans="1:6">
      <c r="A541" s="38">
        <v>42891.15625</v>
      </c>
      <c r="B541" s="39">
        <v>111.19000244140625</v>
      </c>
      <c r="C541" s="39">
        <v>98.222618103027344</v>
      </c>
      <c r="D541" s="41">
        <v>2044850</v>
      </c>
      <c r="E541" s="36" t="s">
        <v>650</v>
      </c>
      <c r="F541" s="36" t="s">
        <v>115</v>
      </c>
    </row>
    <row r="542" spans="1:6">
      <c r="A542" s="38">
        <v>42892.15625</v>
      </c>
      <c r="B542" s="39">
        <v>109.73000335693359</v>
      </c>
      <c r="C542" s="39">
        <v>96.932876586914063</v>
      </c>
      <c r="D542" s="41">
        <v>3958685</v>
      </c>
      <c r="E542" s="36" t="s">
        <v>650</v>
      </c>
      <c r="F542" s="36" t="s">
        <v>115</v>
      </c>
    </row>
    <row r="543" spans="1:6">
      <c r="A543" s="38">
        <v>42893.15625</v>
      </c>
      <c r="B543" s="39">
        <v>107.12000274658203</v>
      </c>
      <c r="C543" s="39">
        <v>94.627265930175781</v>
      </c>
      <c r="D543" s="41">
        <v>2895210</v>
      </c>
      <c r="E543" s="36" t="s">
        <v>650</v>
      </c>
      <c r="F543" s="36" t="s">
        <v>115</v>
      </c>
    </row>
    <row r="544" spans="1:6">
      <c r="A544" s="38">
        <v>42894.15625</v>
      </c>
      <c r="B544" s="39">
        <v>112.98000335693359</v>
      </c>
      <c r="C544" s="39">
        <v>99.803848266601563</v>
      </c>
      <c r="D544" s="41">
        <v>4405270</v>
      </c>
      <c r="E544" s="36" t="s">
        <v>650</v>
      </c>
      <c r="F544" s="36" t="s">
        <v>115</v>
      </c>
    </row>
    <row r="545" spans="1:6">
      <c r="A545" s="38">
        <v>42895.15625</v>
      </c>
      <c r="B545" s="39">
        <v>114.69999694824219</v>
      </c>
      <c r="C545" s="39">
        <v>101.32326507568359</v>
      </c>
      <c r="D545" s="41">
        <v>3121270</v>
      </c>
      <c r="E545" s="36" t="s">
        <v>650</v>
      </c>
      <c r="F545" s="36" t="s">
        <v>115</v>
      </c>
    </row>
    <row r="546" spans="1:6">
      <c r="A546" s="38">
        <v>42898.15625</v>
      </c>
      <c r="B546" s="39">
        <v>111.08000183105469</v>
      </c>
      <c r="C546" s="39">
        <v>98.125434875488281</v>
      </c>
      <c r="D546" s="41">
        <v>1256820</v>
      </c>
      <c r="E546" s="36" t="s">
        <v>650</v>
      </c>
      <c r="F546" s="36" t="s">
        <v>115</v>
      </c>
    </row>
    <row r="547" spans="1:6">
      <c r="A547" s="38">
        <v>42899.15625</v>
      </c>
      <c r="B547" s="39">
        <v>110.62000274658203</v>
      </c>
      <c r="C547" s="39">
        <v>97.719085693359375</v>
      </c>
      <c r="D547" s="41">
        <v>1316090</v>
      </c>
      <c r="E547" s="36" t="s">
        <v>650</v>
      </c>
      <c r="F547" s="36" t="s">
        <v>115</v>
      </c>
    </row>
    <row r="548" spans="1:6">
      <c r="A548" s="38">
        <v>42900.15625</v>
      </c>
      <c r="B548" s="39">
        <v>113.13999938964844</v>
      </c>
      <c r="C548" s="39">
        <v>99.945175170898438</v>
      </c>
      <c r="D548" s="41">
        <v>2339595</v>
      </c>
      <c r="E548" s="36" t="s">
        <v>650</v>
      </c>
      <c r="F548" s="36" t="s">
        <v>115</v>
      </c>
    </row>
    <row r="549" spans="1:6">
      <c r="A549" s="38">
        <v>42901.15625</v>
      </c>
      <c r="B549" s="39">
        <v>113.26000213623047</v>
      </c>
      <c r="C549" s="39">
        <v>100.05119323730469</v>
      </c>
      <c r="D549" s="41">
        <v>1329310</v>
      </c>
      <c r="E549" s="36" t="s">
        <v>650</v>
      </c>
      <c r="F549" s="36" t="s">
        <v>115</v>
      </c>
    </row>
    <row r="550" spans="1:6">
      <c r="A550" s="38">
        <v>42902.15625</v>
      </c>
      <c r="B550" s="39">
        <v>113.66999816894531</v>
      </c>
      <c r="C550" s="39">
        <v>100.41338348388672</v>
      </c>
      <c r="D550" s="41">
        <v>3346280</v>
      </c>
      <c r="E550" s="36" t="s">
        <v>650</v>
      </c>
      <c r="F550" s="36" t="s">
        <v>115</v>
      </c>
    </row>
    <row r="551" spans="1:6">
      <c r="A551" s="38">
        <v>42905.15625</v>
      </c>
      <c r="B551" s="39">
        <v>114.16000366210938</v>
      </c>
      <c r="C551" s="39">
        <v>100.84622955322266</v>
      </c>
      <c r="D551" s="41">
        <v>1327705</v>
      </c>
      <c r="E551" s="36" t="s">
        <v>650</v>
      </c>
      <c r="F551" s="36" t="s">
        <v>115</v>
      </c>
    </row>
    <row r="552" spans="1:6">
      <c r="A552" s="38">
        <v>42906.15625</v>
      </c>
      <c r="B552" s="39">
        <v>115.31999969482422</v>
      </c>
      <c r="C552" s="39">
        <v>101.87095642089844</v>
      </c>
      <c r="D552" s="41">
        <v>4677485</v>
      </c>
      <c r="E552" s="36" t="s">
        <v>650</v>
      </c>
      <c r="F552" s="36" t="s">
        <v>115</v>
      </c>
    </row>
    <row r="553" spans="1:6">
      <c r="A553" s="38">
        <v>42907.15625</v>
      </c>
      <c r="B553" s="39">
        <v>116.26999664306641</v>
      </c>
      <c r="C553" s="39">
        <v>102.71015167236328</v>
      </c>
      <c r="D553" s="41">
        <v>2677790</v>
      </c>
      <c r="E553" s="36" t="s">
        <v>650</v>
      </c>
      <c r="F553" s="36" t="s">
        <v>115</v>
      </c>
    </row>
    <row r="554" spans="1:6">
      <c r="A554" s="38">
        <v>42908.15625</v>
      </c>
      <c r="B554" s="39">
        <v>114.58000183105469</v>
      </c>
      <c r="C554" s="39">
        <v>101.21725463867188</v>
      </c>
      <c r="D554" s="41">
        <v>1738500</v>
      </c>
      <c r="E554" s="36" t="s">
        <v>650</v>
      </c>
      <c r="F554" s="36" t="s">
        <v>115</v>
      </c>
    </row>
    <row r="555" spans="1:6">
      <c r="A555" s="38">
        <v>42909.15625</v>
      </c>
      <c r="B555" s="39">
        <v>112.72000122070313</v>
      </c>
      <c r="C555" s="39">
        <v>99.574188232421875</v>
      </c>
      <c r="D555" s="41">
        <v>1107150</v>
      </c>
      <c r="E555" s="36" t="s">
        <v>650</v>
      </c>
      <c r="F555" s="36" t="s">
        <v>115</v>
      </c>
    </row>
    <row r="556" spans="1:6">
      <c r="A556" s="38">
        <v>42913.15625</v>
      </c>
      <c r="B556" s="39">
        <v>111.70999908447266</v>
      </c>
      <c r="C556" s="39">
        <v>98.681968688964844</v>
      </c>
      <c r="D556" s="41">
        <v>1270635</v>
      </c>
      <c r="E556" s="36" t="s">
        <v>650</v>
      </c>
      <c r="F556" s="36" t="s">
        <v>115</v>
      </c>
    </row>
    <row r="557" spans="1:6">
      <c r="A557" s="38">
        <v>42914.15625</v>
      </c>
      <c r="B557" s="39">
        <v>115.45999908447266</v>
      </c>
      <c r="C557" s="39">
        <v>101.99464416503906</v>
      </c>
      <c r="D557" s="41">
        <v>5637075</v>
      </c>
      <c r="E557" s="36" t="s">
        <v>650</v>
      </c>
      <c r="F557" s="36" t="s">
        <v>115</v>
      </c>
    </row>
    <row r="558" spans="1:6">
      <c r="A558" s="38">
        <v>42915.15625</v>
      </c>
      <c r="B558" s="39">
        <v>114.41999816894531</v>
      </c>
      <c r="C558" s="39">
        <v>101.07590484619141</v>
      </c>
      <c r="D558" s="41">
        <v>3824925</v>
      </c>
      <c r="E558" s="36" t="s">
        <v>650</v>
      </c>
      <c r="F558" s="36" t="s">
        <v>115</v>
      </c>
    </row>
    <row r="559" spans="1:6">
      <c r="A559" s="38">
        <v>42916.15625</v>
      </c>
      <c r="B559" s="39">
        <v>115.48999786376953</v>
      </c>
      <c r="C559" s="39">
        <v>102.02113342285156</v>
      </c>
      <c r="D559" s="41">
        <v>1800385</v>
      </c>
      <c r="E559" s="36" t="s">
        <v>650</v>
      </c>
      <c r="F559" s="36" t="s">
        <v>115</v>
      </c>
    </row>
    <row r="560" spans="1:6">
      <c r="A560" s="38">
        <v>42919.15625</v>
      </c>
      <c r="B560" s="39">
        <v>113.11000061035156</v>
      </c>
      <c r="C560" s="39">
        <v>99.918678283691406</v>
      </c>
      <c r="D560" s="41">
        <v>1346075</v>
      </c>
      <c r="E560" s="36" t="s">
        <v>650</v>
      </c>
      <c r="F560" s="36" t="s">
        <v>115</v>
      </c>
    </row>
    <row r="561" spans="1:6">
      <c r="A561" s="38">
        <v>42920.15625</v>
      </c>
      <c r="B561" s="39">
        <v>113.04000091552734</v>
      </c>
      <c r="C561" s="39">
        <v>99.856880187988281</v>
      </c>
      <c r="D561" s="41">
        <v>1499260</v>
      </c>
      <c r="E561" s="36" t="s">
        <v>650</v>
      </c>
      <c r="F561" s="36" t="s">
        <v>115</v>
      </c>
    </row>
    <row r="562" spans="1:6">
      <c r="A562" s="38">
        <v>42921.15625</v>
      </c>
      <c r="B562" s="39">
        <v>113.54000091552734</v>
      </c>
      <c r="C562" s="39">
        <v>100.29855346679688</v>
      </c>
      <c r="D562" s="41">
        <v>800040</v>
      </c>
      <c r="E562" s="36" t="s">
        <v>650</v>
      </c>
      <c r="F562" s="36" t="s">
        <v>115</v>
      </c>
    </row>
    <row r="563" spans="1:6">
      <c r="A563" s="38">
        <v>42922.15625</v>
      </c>
      <c r="B563" s="39">
        <v>111.12999725341797</v>
      </c>
      <c r="C563" s="39">
        <v>98.169593811035156</v>
      </c>
      <c r="D563" s="41">
        <v>1148425</v>
      </c>
      <c r="E563" s="36" t="s">
        <v>650</v>
      </c>
      <c r="F563" s="36" t="s">
        <v>115</v>
      </c>
    </row>
    <row r="564" spans="1:6">
      <c r="A564" s="38">
        <v>42923.15625</v>
      </c>
      <c r="B564" s="39">
        <v>111.44999694824219</v>
      </c>
      <c r="C564" s="39">
        <v>98.4522705078125</v>
      </c>
      <c r="D564" s="41">
        <v>1620215</v>
      </c>
      <c r="E564" s="36" t="s">
        <v>650</v>
      </c>
      <c r="F564" s="36" t="s">
        <v>115</v>
      </c>
    </row>
    <row r="565" spans="1:6">
      <c r="A565" s="38">
        <v>42926.15625</v>
      </c>
      <c r="B565" s="39">
        <v>113.18000030517578</v>
      </c>
      <c r="C565" s="39">
        <v>99.98052978515625</v>
      </c>
      <c r="D565" s="41">
        <v>428635</v>
      </c>
      <c r="E565" s="36" t="s">
        <v>650</v>
      </c>
      <c r="F565" s="36" t="s">
        <v>115</v>
      </c>
    </row>
    <row r="566" spans="1:6">
      <c r="A566" s="38">
        <v>42927.15625</v>
      </c>
      <c r="B566" s="39">
        <v>117.73999786376953</v>
      </c>
      <c r="C566" s="39">
        <v>104.00872039794922</v>
      </c>
      <c r="D566" s="41">
        <v>7763640</v>
      </c>
      <c r="E566" s="36" t="s">
        <v>650</v>
      </c>
      <c r="F566" s="36" t="s">
        <v>115</v>
      </c>
    </row>
    <row r="567" spans="1:6">
      <c r="A567" s="38">
        <v>42928.15625</v>
      </c>
      <c r="B567" s="39">
        <v>115.73999786376953</v>
      </c>
      <c r="C567" s="39">
        <v>102.24196624755859</v>
      </c>
      <c r="D567" s="41">
        <v>2641910</v>
      </c>
      <c r="E567" s="36" t="s">
        <v>650</v>
      </c>
      <c r="F567" s="36" t="s">
        <v>115</v>
      </c>
    </row>
    <row r="568" spans="1:6">
      <c r="A568" s="38">
        <v>42929.15625</v>
      </c>
      <c r="B568" s="39">
        <v>114.19999694824219</v>
      </c>
      <c r="C568" s="39">
        <v>100.88157653808594</v>
      </c>
      <c r="D568" s="41">
        <v>4054635</v>
      </c>
      <c r="E568" s="36" t="s">
        <v>650</v>
      </c>
      <c r="F568" s="36" t="s">
        <v>115</v>
      </c>
    </row>
    <row r="569" spans="1:6">
      <c r="A569" s="38">
        <v>42930.15625</v>
      </c>
      <c r="B569" s="39">
        <v>112.58000183105469</v>
      </c>
      <c r="C569" s="39">
        <v>99.450515747070313</v>
      </c>
      <c r="D569" s="41">
        <v>2281210</v>
      </c>
      <c r="E569" s="36" t="s">
        <v>650</v>
      </c>
      <c r="F569" s="36" t="s">
        <v>115</v>
      </c>
    </row>
    <row r="570" spans="1:6">
      <c r="A570" s="38">
        <v>42933.15625</v>
      </c>
      <c r="B570" s="39">
        <v>110.87999725341797</v>
      </c>
      <c r="C570" s="39">
        <v>97.948753356933594</v>
      </c>
      <c r="D570" s="41">
        <v>1894805</v>
      </c>
      <c r="E570" s="36" t="s">
        <v>650</v>
      </c>
      <c r="F570" s="36" t="s">
        <v>115</v>
      </c>
    </row>
    <row r="571" spans="1:6">
      <c r="A571" s="38">
        <v>42934.15625</v>
      </c>
      <c r="B571" s="39">
        <v>109.66999816894531</v>
      </c>
      <c r="C571" s="39">
        <v>96.879867553710938</v>
      </c>
      <c r="D571" s="41">
        <v>2108080</v>
      </c>
      <c r="E571" s="36" t="s">
        <v>650</v>
      </c>
      <c r="F571" s="36" t="s">
        <v>115</v>
      </c>
    </row>
    <row r="572" spans="1:6">
      <c r="A572" s="38">
        <v>42935.15625</v>
      </c>
      <c r="B572" s="39">
        <v>110.01000213623047</v>
      </c>
      <c r="C572" s="39">
        <v>97.180221557617188</v>
      </c>
      <c r="D572" s="41">
        <v>1761090</v>
      </c>
      <c r="E572" s="36" t="s">
        <v>650</v>
      </c>
      <c r="F572" s="36" t="s">
        <v>115</v>
      </c>
    </row>
    <row r="573" spans="1:6">
      <c r="A573" s="38">
        <v>42936.15625</v>
      </c>
      <c r="B573" s="39">
        <v>109.05999755859375</v>
      </c>
      <c r="C573" s="39">
        <v>96.341011047363281</v>
      </c>
      <c r="D573" s="41">
        <v>6000745</v>
      </c>
      <c r="E573" s="36" t="s">
        <v>650</v>
      </c>
      <c r="F573" s="36" t="s">
        <v>115</v>
      </c>
    </row>
    <row r="574" spans="1:6">
      <c r="A574" s="38">
        <v>42937.15625</v>
      </c>
      <c r="B574" s="39">
        <v>108.73000335693359</v>
      </c>
      <c r="C574" s="39">
        <v>96.049507141113281</v>
      </c>
      <c r="D574" s="41">
        <v>1998400</v>
      </c>
      <c r="E574" s="36" t="s">
        <v>650</v>
      </c>
      <c r="F574" s="36" t="s">
        <v>115</v>
      </c>
    </row>
    <row r="575" spans="1:6">
      <c r="A575" s="38">
        <v>42940.15625</v>
      </c>
      <c r="B575" s="39">
        <v>107.41000366210938</v>
      </c>
      <c r="C575" s="39">
        <v>94.883453369140625</v>
      </c>
      <c r="D575" s="41">
        <v>2003595</v>
      </c>
      <c r="E575" s="36" t="s">
        <v>650</v>
      </c>
      <c r="F575" s="36" t="s">
        <v>115</v>
      </c>
    </row>
    <row r="576" spans="1:6">
      <c r="A576" s="38">
        <v>42941.15625</v>
      </c>
      <c r="B576" s="39">
        <v>105.73999786376953</v>
      </c>
      <c r="C576" s="39">
        <v>93.408180236816406</v>
      </c>
      <c r="D576" s="41">
        <v>1876280</v>
      </c>
      <c r="E576" s="36" t="s">
        <v>650</v>
      </c>
      <c r="F576" s="36" t="s">
        <v>115</v>
      </c>
    </row>
    <row r="577" spans="1:6">
      <c r="A577" s="38">
        <v>42942.15625</v>
      </c>
      <c r="B577" s="39">
        <v>104.38999938964844</v>
      </c>
      <c r="C577" s="39">
        <v>92.215652465820313</v>
      </c>
      <c r="D577" s="41">
        <v>1388680</v>
      </c>
      <c r="E577" s="36" t="s">
        <v>650</v>
      </c>
      <c r="F577" s="36" t="s">
        <v>115</v>
      </c>
    </row>
    <row r="578" spans="1:6">
      <c r="A578" s="38">
        <v>42943.15625</v>
      </c>
      <c r="B578" s="39">
        <v>104.83000183105469</v>
      </c>
      <c r="C578" s="39">
        <v>92.604339599609375</v>
      </c>
      <c r="D578" s="41">
        <v>1792590</v>
      </c>
      <c r="E578" s="36" t="s">
        <v>650</v>
      </c>
      <c r="F578" s="36" t="s">
        <v>115</v>
      </c>
    </row>
    <row r="579" spans="1:6">
      <c r="A579" s="38">
        <v>42944.15625</v>
      </c>
      <c r="B579" s="39">
        <v>103.58000183105469</v>
      </c>
      <c r="C579" s="39">
        <v>91.500106811523438</v>
      </c>
      <c r="D579" s="41">
        <v>1133715</v>
      </c>
      <c r="E579" s="36" t="s">
        <v>650</v>
      </c>
      <c r="F579" s="36" t="s">
        <v>115</v>
      </c>
    </row>
    <row r="580" spans="1:6">
      <c r="A580" s="38">
        <v>42947.15625</v>
      </c>
      <c r="B580" s="39">
        <v>103.09999847412109</v>
      </c>
      <c r="C580" s="39">
        <v>91.076080322265625</v>
      </c>
      <c r="D580" s="41">
        <v>1595475</v>
      </c>
      <c r="E580" s="36" t="s">
        <v>650</v>
      </c>
      <c r="F580" s="36" t="s">
        <v>115</v>
      </c>
    </row>
    <row r="581" spans="1:6">
      <c r="A581" s="38">
        <v>42948.15625</v>
      </c>
      <c r="B581" s="39">
        <v>101.12999725341797</v>
      </c>
      <c r="C581" s="39">
        <v>89.335838317871094</v>
      </c>
      <c r="D581" s="41">
        <v>2029515</v>
      </c>
      <c r="E581" s="36" t="s">
        <v>650</v>
      </c>
      <c r="F581" s="36" t="s">
        <v>115</v>
      </c>
    </row>
    <row r="582" spans="1:6">
      <c r="A582" s="38">
        <v>42949.15625</v>
      </c>
      <c r="B582" s="39">
        <v>102.12000274658203</v>
      </c>
      <c r="C582" s="39">
        <v>90.210403442382813</v>
      </c>
      <c r="D582" s="41">
        <v>3392940</v>
      </c>
      <c r="E582" s="36" t="s">
        <v>650</v>
      </c>
      <c r="F582" s="36" t="s">
        <v>115</v>
      </c>
    </row>
    <row r="583" spans="1:6">
      <c r="A583" s="38">
        <v>42950.15625</v>
      </c>
      <c r="B583" s="39">
        <v>100.41000366210938</v>
      </c>
      <c r="C583" s="39">
        <v>88.6998291015625</v>
      </c>
      <c r="D583" s="41">
        <v>1748395</v>
      </c>
      <c r="E583" s="36" t="s">
        <v>650</v>
      </c>
      <c r="F583" s="36" t="s">
        <v>115</v>
      </c>
    </row>
    <row r="584" spans="1:6">
      <c r="A584" s="38">
        <v>42951.15625</v>
      </c>
      <c r="B584" s="39">
        <v>100.55999755859375</v>
      </c>
      <c r="C584" s="39">
        <v>88.832328796386719</v>
      </c>
      <c r="D584" s="41">
        <v>1350320</v>
      </c>
      <c r="E584" s="36" t="s">
        <v>650</v>
      </c>
      <c r="F584" s="36" t="s">
        <v>115</v>
      </c>
    </row>
    <row r="585" spans="1:6">
      <c r="A585" s="38">
        <v>42954.15625</v>
      </c>
      <c r="B585" s="39">
        <v>99.919998168945313</v>
      </c>
      <c r="C585" s="39">
        <v>88.266944885253906</v>
      </c>
      <c r="D585" s="41">
        <v>1390130</v>
      </c>
      <c r="E585" s="36" t="s">
        <v>650</v>
      </c>
      <c r="F585" s="36" t="s">
        <v>115</v>
      </c>
    </row>
    <row r="586" spans="1:6">
      <c r="A586" s="38">
        <v>42955.15625</v>
      </c>
      <c r="B586" s="39">
        <v>97.839996337890625</v>
      </c>
      <c r="C586" s="39">
        <v>86.42950439453125</v>
      </c>
      <c r="D586" s="41">
        <v>1215605</v>
      </c>
      <c r="E586" s="36" t="s">
        <v>650</v>
      </c>
      <c r="F586" s="36" t="s">
        <v>115</v>
      </c>
    </row>
    <row r="587" spans="1:6">
      <c r="A587" s="38">
        <v>42956.15625</v>
      </c>
      <c r="B587" s="39">
        <v>96.489997863769531</v>
      </c>
      <c r="C587" s="39">
        <v>85.236953735351563</v>
      </c>
      <c r="D587" s="41">
        <v>1825670</v>
      </c>
      <c r="E587" s="36" t="s">
        <v>650</v>
      </c>
      <c r="F587" s="36" t="s">
        <v>115</v>
      </c>
    </row>
    <row r="588" spans="1:6">
      <c r="A588" s="38">
        <v>42957.15625</v>
      </c>
      <c r="B588" s="39">
        <v>95.069999694824219</v>
      </c>
      <c r="C588" s="39">
        <v>83.9825439453125</v>
      </c>
      <c r="D588" s="41">
        <v>1775755</v>
      </c>
      <c r="E588" s="36" t="s">
        <v>650</v>
      </c>
      <c r="F588" s="36" t="s">
        <v>115</v>
      </c>
    </row>
    <row r="589" spans="1:6">
      <c r="A589" s="38">
        <v>42958.15625</v>
      </c>
      <c r="B589" s="39">
        <v>95.919998168945313</v>
      </c>
      <c r="C589" s="39">
        <v>84.733444213867188</v>
      </c>
      <c r="D589" s="41">
        <v>2064870</v>
      </c>
      <c r="E589" s="36" t="s">
        <v>650</v>
      </c>
      <c r="F589" s="36" t="s">
        <v>115</v>
      </c>
    </row>
    <row r="590" spans="1:6">
      <c r="A590" s="38">
        <v>42961.15625</v>
      </c>
      <c r="B590" s="39">
        <v>97.139999389648438</v>
      </c>
      <c r="C590" s="39">
        <v>85.8111572265625</v>
      </c>
      <c r="D590" s="41">
        <v>540845</v>
      </c>
      <c r="E590" s="36" t="s">
        <v>650</v>
      </c>
      <c r="F590" s="36" t="s">
        <v>115</v>
      </c>
    </row>
    <row r="591" spans="1:6">
      <c r="A591" s="38">
        <v>42963.15625</v>
      </c>
      <c r="B591" s="39">
        <v>98.169998168945313</v>
      </c>
      <c r="C591" s="39">
        <v>86.721054077148438</v>
      </c>
      <c r="D591" s="41">
        <v>1476970</v>
      </c>
      <c r="E591" s="36" t="s">
        <v>650</v>
      </c>
      <c r="F591" s="36" t="s">
        <v>115</v>
      </c>
    </row>
    <row r="592" spans="1:6">
      <c r="A592" s="38">
        <v>42964.15625</v>
      </c>
      <c r="B592" s="39">
        <v>99.819999694824219</v>
      </c>
      <c r="C592" s="39">
        <v>88.178611755371094</v>
      </c>
      <c r="D592" s="41">
        <v>3154720</v>
      </c>
      <c r="E592" s="36" t="s">
        <v>650</v>
      </c>
      <c r="F592" s="36" t="s">
        <v>115</v>
      </c>
    </row>
    <row r="593" spans="1:6">
      <c r="A593" s="38">
        <v>42965.15625</v>
      </c>
      <c r="B593" s="39">
        <v>99.330001831054688</v>
      </c>
      <c r="C593" s="39">
        <v>87.745735168457031</v>
      </c>
      <c r="D593" s="41">
        <v>1091965</v>
      </c>
      <c r="E593" s="36" t="s">
        <v>650</v>
      </c>
      <c r="F593" s="36" t="s">
        <v>115</v>
      </c>
    </row>
    <row r="594" spans="1:6">
      <c r="A594" s="38">
        <v>42968.15625</v>
      </c>
      <c r="B594" s="39">
        <v>96.709999084472656</v>
      </c>
      <c r="C594" s="39">
        <v>85.431312561035156</v>
      </c>
      <c r="D594" s="41">
        <v>477170</v>
      </c>
      <c r="E594" s="36" t="s">
        <v>650</v>
      </c>
      <c r="F594" s="36" t="s">
        <v>115</v>
      </c>
    </row>
    <row r="595" spans="1:6">
      <c r="A595" s="38">
        <v>42969.15625</v>
      </c>
      <c r="B595" s="39">
        <v>96.839996337890625</v>
      </c>
      <c r="C595" s="39">
        <v>85.546142578125</v>
      </c>
      <c r="D595" s="41">
        <v>1752705</v>
      </c>
      <c r="E595" s="36" t="s">
        <v>650</v>
      </c>
      <c r="F595" s="36" t="s">
        <v>115</v>
      </c>
    </row>
    <row r="596" spans="1:6">
      <c r="A596" s="38">
        <v>42970.15625</v>
      </c>
      <c r="B596" s="39">
        <v>99.19000244140625</v>
      </c>
      <c r="C596" s="39">
        <v>87.622100830078125</v>
      </c>
      <c r="D596" s="41">
        <v>1331325</v>
      </c>
      <c r="E596" s="36" t="s">
        <v>650</v>
      </c>
      <c r="F596" s="36" t="s">
        <v>115</v>
      </c>
    </row>
    <row r="597" spans="1:6">
      <c r="A597" s="38">
        <v>42971.15625</v>
      </c>
      <c r="B597" s="39">
        <v>99.419998168945313</v>
      </c>
      <c r="C597" s="39">
        <v>87.825263977050781</v>
      </c>
      <c r="D597" s="41">
        <v>1769080</v>
      </c>
      <c r="E597" s="36" t="s">
        <v>650</v>
      </c>
      <c r="F597" s="36" t="s">
        <v>115</v>
      </c>
    </row>
    <row r="598" spans="1:6">
      <c r="A598" s="38">
        <v>42975.15625</v>
      </c>
      <c r="B598" s="39">
        <v>99.019996643066406</v>
      </c>
      <c r="C598" s="39">
        <v>87.471908569335938</v>
      </c>
      <c r="D598" s="41">
        <v>2892775</v>
      </c>
      <c r="E598" s="36" t="s">
        <v>650</v>
      </c>
      <c r="F598" s="36" t="s">
        <v>115</v>
      </c>
    </row>
    <row r="599" spans="1:6">
      <c r="A599" s="38">
        <v>42976.15625</v>
      </c>
      <c r="B599" s="39">
        <v>99.650001525878906</v>
      </c>
      <c r="C599" s="39">
        <v>88.028434753417969</v>
      </c>
      <c r="D599" s="41">
        <v>1244415</v>
      </c>
      <c r="E599" s="36" t="s">
        <v>650</v>
      </c>
      <c r="F599" s="36" t="s">
        <v>115</v>
      </c>
    </row>
    <row r="600" spans="1:6">
      <c r="A600" s="38">
        <v>42977.15625</v>
      </c>
      <c r="B600" s="39">
        <v>100.44999694824219</v>
      </c>
      <c r="C600" s="39">
        <v>88.735137939453125</v>
      </c>
      <c r="D600" s="41">
        <v>1632435</v>
      </c>
      <c r="E600" s="36" t="s">
        <v>650</v>
      </c>
      <c r="F600" s="36" t="s">
        <v>115</v>
      </c>
    </row>
    <row r="601" spans="1:6">
      <c r="A601" s="38">
        <v>42978.15625</v>
      </c>
      <c r="B601" s="39">
        <v>99.709999084472656</v>
      </c>
      <c r="C601" s="39">
        <v>88.081428527832031</v>
      </c>
      <c r="D601" s="41">
        <v>1914775</v>
      </c>
      <c r="E601" s="36" t="s">
        <v>650</v>
      </c>
      <c r="F601" s="36" t="s">
        <v>115</v>
      </c>
    </row>
    <row r="602" spans="1:6">
      <c r="A602" s="38">
        <v>42979.15625</v>
      </c>
      <c r="B602" s="39">
        <v>102.65000152587891</v>
      </c>
      <c r="C602" s="39">
        <v>90.6785888671875</v>
      </c>
      <c r="D602" s="41">
        <v>1821185</v>
      </c>
      <c r="E602" s="36" t="s">
        <v>650</v>
      </c>
      <c r="F602" s="36" t="s">
        <v>115</v>
      </c>
    </row>
    <row r="603" spans="1:6">
      <c r="A603" s="38">
        <v>42982.15625</v>
      </c>
      <c r="B603" s="39">
        <v>102.08000183105469</v>
      </c>
      <c r="C603" s="39">
        <v>90.175071716308594</v>
      </c>
      <c r="D603" s="41">
        <v>1035650</v>
      </c>
      <c r="E603" s="36" t="s">
        <v>650</v>
      </c>
      <c r="F603" s="36" t="s">
        <v>115</v>
      </c>
    </row>
    <row r="604" spans="1:6">
      <c r="A604" s="38">
        <v>42983.15625</v>
      </c>
      <c r="B604" s="39">
        <v>102.97000122070313</v>
      </c>
      <c r="C604" s="39">
        <v>90.961273193359375</v>
      </c>
      <c r="D604" s="41">
        <v>1677130</v>
      </c>
      <c r="E604" s="36" t="s">
        <v>650</v>
      </c>
      <c r="F604" s="36" t="s">
        <v>115</v>
      </c>
    </row>
    <row r="605" spans="1:6">
      <c r="A605" s="38">
        <v>42984.15625</v>
      </c>
      <c r="B605" s="39">
        <v>102.47000122070313</v>
      </c>
      <c r="C605" s="39">
        <v>90.519561767578125</v>
      </c>
      <c r="D605" s="41">
        <v>593165</v>
      </c>
      <c r="E605" s="36" t="s">
        <v>650</v>
      </c>
      <c r="F605" s="36" t="s">
        <v>115</v>
      </c>
    </row>
    <row r="606" spans="1:6">
      <c r="A606" s="38">
        <v>42985.15625</v>
      </c>
      <c r="B606" s="39">
        <v>101.11000061035156</v>
      </c>
      <c r="C606" s="39">
        <v>89.31817626953125</v>
      </c>
      <c r="D606" s="41">
        <v>1496070</v>
      </c>
      <c r="E606" s="36" t="s">
        <v>650</v>
      </c>
      <c r="F606" s="36" t="s">
        <v>115</v>
      </c>
    </row>
    <row r="607" spans="1:6">
      <c r="A607" s="38">
        <v>42986.15625</v>
      </c>
      <c r="B607" s="39">
        <v>99.069999694824219</v>
      </c>
      <c r="C607" s="39">
        <v>87.516082763671875</v>
      </c>
      <c r="D607" s="41">
        <v>2188260</v>
      </c>
      <c r="E607" s="36" t="s">
        <v>650</v>
      </c>
      <c r="F607" s="36" t="s">
        <v>115</v>
      </c>
    </row>
    <row r="608" spans="1:6">
      <c r="A608" s="38">
        <v>42989.15625</v>
      </c>
      <c r="B608" s="39">
        <v>99.739997863769531</v>
      </c>
      <c r="C608" s="39">
        <v>88.107925415039063</v>
      </c>
      <c r="D608" s="41">
        <v>1635520</v>
      </c>
      <c r="E608" s="36" t="s">
        <v>650</v>
      </c>
      <c r="F608" s="36" t="s">
        <v>115</v>
      </c>
    </row>
    <row r="609" spans="1:6">
      <c r="A609" s="38">
        <v>42990.15625</v>
      </c>
      <c r="B609" s="39">
        <v>100.98999786376953</v>
      </c>
      <c r="C609" s="39">
        <v>89.212181091308594</v>
      </c>
      <c r="D609" s="41">
        <v>1097880</v>
      </c>
      <c r="E609" s="36" t="s">
        <v>650</v>
      </c>
      <c r="F609" s="36" t="s">
        <v>115</v>
      </c>
    </row>
    <row r="610" spans="1:6">
      <c r="A610" s="38">
        <v>42991.15625</v>
      </c>
      <c r="B610" s="39">
        <v>100.13999938964844</v>
      </c>
      <c r="C610" s="39">
        <v>88.461296081542969</v>
      </c>
      <c r="D610" s="41">
        <v>1160925</v>
      </c>
      <c r="E610" s="36" t="s">
        <v>650</v>
      </c>
      <c r="F610" s="36" t="s">
        <v>115</v>
      </c>
    </row>
    <row r="611" spans="1:6">
      <c r="A611" s="38">
        <v>42992.15625</v>
      </c>
      <c r="B611" s="39">
        <v>98.94000244140625</v>
      </c>
      <c r="C611" s="39">
        <v>89.639091491699219</v>
      </c>
      <c r="D611" s="41">
        <v>1496675</v>
      </c>
      <c r="E611" s="36" t="s">
        <v>650</v>
      </c>
      <c r="F611" s="36" t="s">
        <v>115</v>
      </c>
    </row>
    <row r="612" spans="1:6">
      <c r="A612" s="38">
        <v>42993.15625</v>
      </c>
      <c r="B612" s="39">
        <v>99.919998168945313</v>
      </c>
      <c r="C612" s="39">
        <v>90.526954650878906</v>
      </c>
      <c r="D612" s="41">
        <v>1746325</v>
      </c>
      <c r="E612" s="36" t="s">
        <v>650</v>
      </c>
      <c r="F612" s="36" t="s">
        <v>115</v>
      </c>
    </row>
    <row r="613" spans="1:6">
      <c r="A613" s="38">
        <v>42996.15625</v>
      </c>
      <c r="B613" s="39">
        <v>100.45999908447266</v>
      </c>
      <c r="C613" s="39">
        <v>91.016197204589844</v>
      </c>
      <c r="D613" s="41">
        <v>1094315</v>
      </c>
      <c r="E613" s="36" t="s">
        <v>650</v>
      </c>
      <c r="F613" s="36" t="s">
        <v>115</v>
      </c>
    </row>
    <row r="614" spans="1:6">
      <c r="A614" s="38">
        <v>42997.15625</v>
      </c>
      <c r="B614" s="39">
        <v>101.25</v>
      </c>
      <c r="C614" s="39">
        <v>91.73193359375</v>
      </c>
      <c r="D614" s="41">
        <v>1376895</v>
      </c>
      <c r="E614" s="36" t="s">
        <v>650</v>
      </c>
      <c r="F614" s="36" t="s">
        <v>115</v>
      </c>
    </row>
    <row r="615" spans="1:6">
      <c r="A615" s="38">
        <v>42998.15625</v>
      </c>
      <c r="B615" s="39">
        <v>106.48999786376953</v>
      </c>
      <c r="C615" s="39">
        <v>96.479331970214844</v>
      </c>
      <c r="D615" s="41">
        <v>4265200</v>
      </c>
      <c r="E615" s="36" t="s">
        <v>650</v>
      </c>
      <c r="F615" s="36" t="s">
        <v>115</v>
      </c>
    </row>
    <row r="616" spans="1:6">
      <c r="A616" s="38">
        <v>42999.15625</v>
      </c>
      <c r="B616" s="39">
        <v>107.75</v>
      </c>
      <c r="C616" s="39">
        <v>97.620903015136719</v>
      </c>
      <c r="D616" s="41">
        <v>2812485</v>
      </c>
      <c r="E616" s="36" t="s">
        <v>650</v>
      </c>
      <c r="F616" s="36" t="s">
        <v>115</v>
      </c>
    </row>
    <row r="617" spans="1:6">
      <c r="A617" s="38">
        <v>43000.15625</v>
      </c>
      <c r="B617" s="39">
        <v>103.87999725341797</v>
      </c>
      <c r="C617" s="39">
        <v>94.114700317382813</v>
      </c>
      <c r="D617" s="41">
        <v>2745960</v>
      </c>
      <c r="E617" s="36" t="s">
        <v>650</v>
      </c>
      <c r="F617" s="36" t="s">
        <v>115</v>
      </c>
    </row>
    <row r="618" spans="1:6">
      <c r="A618" s="38">
        <v>43003.15625</v>
      </c>
      <c r="B618" s="39">
        <v>101.01000213623047</v>
      </c>
      <c r="C618" s="39">
        <v>91.514503479003906</v>
      </c>
      <c r="D618" s="41">
        <v>1486485</v>
      </c>
      <c r="E618" s="36" t="s">
        <v>650</v>
      </c>
      <c r="F618" s="36" t="s">
        <v>115</v>
      </c>
    </row>
    <row r="619" spans="1:6">
      <c r="A619" s="38">
        <v>43004.15625</v>
      </c>
      <c r="B619" s="39">
        <v>102.84999847412109</v>
      </c>
      <c r="C619" s="39">
        <v>93.1815185546875</v>
      </c>
      <c r="D619" s="41">
        <v>1667525</v>
      </c>
      <c r="E619" s="36" t="s">
        <v>650</v>
      </c>
      <c r="F619" s="36" t="s">
        <v>115</v>
      </c>
    </row>
    <row r="620" spans="1:6">
      <c r="A620" s="38">
        <v>43005.15625</v>
      </c>
      <c r="B620" s="39">
        <v>104.87999725341797</v>
      </c>
      <c r="C620" s="39">
        <v>95.02069091796875</v>
      </c>
      <c r="D620" s="41">
        <v>4708640</v>
      </c>
      <c r="E620" s="36" t="s">
        <v>650</v>
      </c>
      <c r="F620" s="36" t="s">
        <v>115</v>
      </c>
    </row>
    <row r="621" spans="1:6">
      <c r="A621" s="38">
        <v>43006.15625</v>
      </c>
      <c r="B621" s="39">
        <v>109.56999969482422</v>
      </c>
      <c r="C621" s="39">
        <v>99.269813537597656</v>
      </c>
      <c r="D621" s="41">
        <v>5959610</v>
      </c>
      <c r="E621" s="36" t="s">
        <v>650</v>
      </c>
      <c r="F621" s="36" t="s">
        <v>115</v>
      </c>
    </row>
    <row r="622" spans="1:6">
      <c r="A622" s="38">
        <v>43007.15625</v>
      </c>
      <c r="B622" s="39">
        <v>108.51000213623047</v>
      </c>
      <c r="C622" s="39">
        <v>98.3094482421875</v>
      </c>
      <c r="D622" s="41">
        <v>1815065</v>
      </c>
      <c r="E622" s="36" t="s">
        <v>650</v>
      </c>
      <c r="F622" s="36" t="s">
        <v>115</v>
      </c>
    </row>
    <row r="623" spans="1:6">
      <c r="A623" s="38">
        <v>43011.15625</v>
      </c>
      <c r="B623" s="39">
        <v>109.98000335693359</v>
      </c>
      <c r="C623" s="39">
        <v>99.641265869140625</v>
      </c>
      <c r="D623" s="41">
        <v>2255985</v>
      </c>
      <c r="E623" s="36" t="s">
        <v>650</v>
      </c>
      <c r="F623" s="36" t="s">
        <v>115</v>
      </c>
    </row>
    <row r="624" spans="1:6">
      <c r="A624" s="38">
        <v>43012.15625</v>
      </c>
      <c r="B624" s="39">
        <v>109.44000244140625</v>
      </c>
      <c r="C624" s="39">
        <v>99.152023315429688</v>
      </c>
      <c r="D624" s="41">
        <v>1193545</v>
      </c>
      <c r="E624" s="36" t="s">
        <v>650</v>
      </c>
      <c r="F624" s="36" t="s">
        <v>115</v>
      </c>
    </row>
    <row r="625" spans="1:6">
      <c r="A625" s="38">
        <v>43013.15625</v>
      </c>
      <c r="B625" s="39">
        <v>112.43000030517578</v>
      </c>
      <c r="C625" s="39">
        <v>101.86095428466797</v>
      </c>
      <c r="D625" s="41">
        <v>1819255</v>
      </c>
      <c r="E625" s="36" t="s">
        <v>650</v>
      </c>
      <c r="F625" s="36" t="s">
        <v>115</v>
      </c>
    </row>
    <row r="626" spans="1:6">
      <c r="A626" s="38">
        <v>43014.15625</v>
      </c>
      <c r="B626" s="39">
        <v>113.12000274658203</v>
      </c>
      <c r="C626" s="39">
        <v>102.486083984375</v>
      </c>
      <c r="D626" s="41">
        <v>1038525</v>
      </c>
      <c r="E626" s="36" t="s">
        <v>650</v>
      </c>
      <c r="F626" s="36" t="s">
        <v>115</v>
      </c>
    </row>
    <row r="627" spans="1:6">
      <c r="A627" s="38">
        <v>43017.15625</v>
      </c>
      <c r="B627" s="39">
        <v>113.66999816894531</v>
      </c>
      <c r="C627" s="39">
        <v>102.98439025878906</v>
      </c>
      <c r="D627" s="41">
        <v>644125</v>
      </c>
      <c r="E627" s="36" t="s">
        <v>650</v>
      </c>
      <c r="F627" s="36" t="s">
        <v>115</v>
      </c>
    </row>
    <row r="628" spans="1:6">
      <c r="A628" s="38">
        <v>43018.15625</v>
      </c>
      <c r="B628" s="39">
        <v>120.88999938964844</v>
      </c>
      <c r="C628" s="39">
        <v>109.52565765380859</v>
      </c>
      <c r="D628" s="41">
        <v>4118210</v>
      </c>
      <c r="E628" s="36" t="s">
        <v>650</v>
      </c>
      <c r="F628" s="36" t="s">
        <v>115</v>
      </c>
    </row>
    <row r="629" spans="1:6">
      <c r="A629" s="38">
        <v>43019.15625</v>
      </c>
      <c r="B629" s="39">
        <v>118.73999786376953</v>
      </c>
      <c r="C629" s="39">
        <v>107.57778930664063</v>
      </c>
      <c r="D629" s="41">
        <v>4876870</v>
      </c>
      <c r="E629" s="36" t="s">
        <v>650</v>
      </c>
      <c r="F629" s="36" t="s">
        <v>115</v>
      </c>
    </row>
    <row r="630" spans="1:6">
      <c r="A630" s="38">
        <v>43020.15625</v>
      </c>
      <c r="B630" s="39">
        <v>122.55000305175781</v>
      </c>
      <c r="C630" s="39">
        <v>111.02961730957031</v>
      </c>
      <c r="D630" s="41">
        <v>5320730</v>
      </c>
      <c r="E630" s="36" t="s">
        <v>650</v>
      </c>
      <c r="F630" s="36" t="s">
        <v>115</v>
      </c>
    </row>
    <row r="631" spans="1:6">
      <c r="A631" s="38">
        <v>43021.15625</v>
      </c>
      <c r="B631" s="39">
        <v>124.69000244140625</v>
      </c>
      <c r="C631" s="39">
        <v>112.96843719482422</v>
      </c>
      <c r="D631" s="41">
        <v>8426550</v>
      </c>
      <c r="E631" s="36" t="s">
        <v>650</v>
      </c>
      <c r="F631" s="36" t="s">
        <v>115</v>
      </c>
    </row>
    <row r="632" spans="1:6">
      <c r="A632" s="38">
        <v>43024.15625</v>
      </c>
      <c r="B632" s="39">
        <v>125.16000366210938</v>
      </c>
      <c r="C632" s="39">
        <v>113.39427947998047</v>
      </c>
      <c r="D632" s="41">
        <v>3069470</v>
      </c>
      <c r="E632" s="36" t="s">
        <v>650</v>
      </c>
      <c r="F632" s="36" t="s">
        <v>115</v>
      </c>
    </row>
    <row r="633" spans="1:6">
      <c r="A633" s="38">
        <v>43025.145833333336</v>
      </c>
      <c r="B633" s="39">
        <v>126.70999908447266</v>
      </c>
      <c r="C633" s="39">
        <v>114.79857635498047</v>
      </c>
      <c r="D633" s="41">
        <v>3092125</v>
      </c>
      <c r="E633" s="36" t="s">
        <v>650</v>
      </c>
      <c r="F633" s="36" t="s">
        <v>115</v>
      </c>
    </row>
    <row r="634" spans="1:6">
      <c r="A634" s="38">
        <v>43026.15625</v>
      </c>
      <c r="B634" s="39">
        <v>122.72000122070313</v>
      </c>
      <c r="C634" s="39">
        <v>111.18364715576172</v>
      </c>
      <c r="D634" s="41">
        <v>11622455</v>
      </c>
      <c r="E634" s="36" t="s">
        <v>650</v>
      </c>
      <c r="F634" s="36" t="s">
        <v>115</v>
      </c>
    </row>
    <row r="635" spans="1:6">
      <c r="A635" s="38">
        <v>43027.145833333336</v>
      </c>
      <c r="B635" s="39">
        <v>122.37000274658203</v>
      </c>
      <c r="C635" s="39">
        <v>110.86651611328125</v>
      </c>
      <c r="D635" s="41">
        <v>534495</v>
      </c>
      <c r="E635" s="36" t="s">
        <v>650</v>
      </c>
      <c r="F635" s="36" t="s">
        <v>115</v>
      </c>
    </row>
    <row r="636" spans="1:6">
      <c r="A636" s="38">
        <v>43031.15625</v>
      </c>
      <c r="B636" s="39">
        <v>122.47000122070313</v>
      </c>
      <c r="C636" s="39">
        <v>110.95714569091797</v>
      </c>
      <c r="D636" s="41">
        <v>2449375</v>
      </c>
      <c r="E636" s="36" t="s">
        <v>650</v>
      </c>
      <c r="F636" s="36" t="s">
        <v>115</v>
      </c>
    </row>
    <row r="637" spans="1:6">
      <c r="A637" s="38">
        <v>43032.15625</v>
      </c>
      <c r="B637" s="39">
        <v>121.66000366210938</v>
      </c>
      <c r="C637" s="39">
        <v>110.22328186035156</v>
      </c>
      <c r="D637" s="41">
        <v>1412250</v>
      </c>
      <c r="E637" s="36" t="s">
        <v>650</v>
      </c>
      <c r="F637" s="36" t="s">
        <v>115</v>
      </c>
    </row>
    <row r="638" spans="1:6">
      <c r="A638" s="38">
        <v>43033.15625</v>
      </c>
      <c r="B638" s="39">
        <v>122.55999755859375</v>
      </c>
      <c r="C638" s="39">
        <v>111.03868865966797</v>
      </c>
      <c r="D638" s="41">
        <v>2205630</v>
      </c>
      <c r="E638" s="36" t="s">
        <v>650</v>
      </c>
      <c r="F638" s="36" t="s">
        <v>115</v>
      </c>
    </row>
    <row r="639" spans="1:6">
      <c r="A639" s="38">
        <v>43034.15625</v>
      </c>
      <c r="B639" s="39">
        <v>121.81999969482422</v>
      </c>
      <c r="C639" s="39">
        <v>110.36824798583984</v>
      </c>
      <c r="D639" s="41">
        <v>2449550</v>
      </c>
      <c r="E639" s="36" t="s">
        <v>650</v>
      </c>
      <c r="F639" s="36" t="s">
        <v>115</v>
      </c>
    </row>
    <row r="640" spans="1:6">
      <c r="A640" s="38">
        <v>43035.15625</v>
      </c>
      <c r="B640" s="39">
        <v>128.24000549316406</v>
      </c>
      <c r="C640" s="39">
        <v>116.18470764160156</v>
      </c>
      <c r="D640" s="41">
        <v>3530395</v>
      </c>
      <c r="E640" s="36" t="s">
        <v>650</v>
      </c>
      <c r="F640" s="36" t="s">
        <v>115</v>
      </c>
    </row>
    <row r="641" spans="1:6">
      <c r="A641" s="38">
        <v>43038.15625</v>
      </c>
      <c r="B641" s="39">
        <v>128.46000671386719</v>
      </c>
      <c r="C641" s="39">
        <v>116.38405609130859</v>
      </c>
      <c r="D641" s="41">
        <v>1385305</v>
      </c>
      <c r="E641" s="36" t="s">
        <v>650</v>
      </c>
      <c r="F641" s="36" t="s">
        <v>115</v>
      </c>
    </row>
    <row r="642" spans="1:6">
      <c r="A642" s="38">
        <v>43039.15625</v>
      </c>
      <c r="B642" s="39">
        <v>135.38999938964844</v>
      </c>
      <c r="C642" s="39">
        <v>122.66259002685547</v>
      </c>
      <c r="D642" s="41">
        <v>9345065</v>
      </c>
      <c r="E642" s="36" t="s">
        <v>650</v>
      </c>
      <c r="F642" s="36" t="s">
        <v>115</v>
      </c>
    </row>
    <row r="643" spans="1:6">
      <c r="A643" s="38">
        <v>43040.15625</v>
      </c>
      <c r="B643" s="39">
        <v>130.82000732421875</v>
      </c>
      <c r="C643" s="39">
        <v>118.52220153808594</v>
      </c>
      <c r="D643" s="41">
        <v>2588455</v>
      </c>
      <c r="E643" s="36" t="s">
        <v>650</v>
      </c>
      <c r="F643" s="36" t="s">
        <v>115</v>
      </c>
    </row>
    <row r="644" spans="1:6">
      <c r="A644" s="38">
        <v>43041.15625</v>
      </c>
      <c r="B644" s="39">
        <v>128.55000305175781</v>
      </c>
      <c r="C644" s="39">
        <v>116.465576171875</v>
      </c>
      <c r="D644" s="41">
        <v>2578535</v>
      </c>
      <c r="E644" s="36" t="s">
        <v>650</v>
      </c>
      <c r="F644" s="36" t="s">
        <v>115</v>
      </c>
    </row>
    <row r="645" spans="1:6">
      <c r="A645" s="38">
        <v>43042.15625</v>
      </c>
      <c r="B645" s="39">
        <v>129.77000427246094</v>
      </c>
      <c r="C645" s="39">
        <v>117.57088470458984</v>
      </c>
      <c r="D645" s="41">
        <v>1205690</v>
      </c>
      <c r="E645" s="36" t="s">
        <v>650</v>
      </c>
      <c r="F645" s="36" t="s">
        <v>115</v>
      </c>
    </row>
    <row r="646" spans="1:6">
      <c r="A646" s="38">
        <v>43045.15625</v>
      </c>
      <c r="B646" s="39">
        <v>127.18000030517578</v>
      </c>
      <c r="C646" s="39">
        <v>115.224365234375</v>
      </c>
      <c r="D646" s="41">
        <v>1258980</v>
      </c>
      <c r="E646" s="36" t="s">
        <v>650</v>
      </c>
      <c r="F646" s="36" t="s">
        <v>115</v>
      </c>
    </row>
    <row r="647" spans="1:6">
      <c r="A647" s="38">
        <v>43046.15625</v>
      </c>
      <c r="B647" s="39">
        <v>127.84999847412109</v>
      </c>
      <c r="C647" s="39">
        <v>115.83137512207031</v>
      </c>
      <c r="D647" s="41">
        <v>2257620</v>
      </c>
      <c r="E647" s="36" t="s">
        <v>650</v>
      </c>
      <c r="F647" s="36" t="s">
        <v>115</v>
      </c>
    </row>
    <row r="648" spans="1:6">
      <c r="A648" s="38">
        <v>43047.15625</v>
      </c>
      <c r="B648" s="39">
        <v>128.52000427246094</v>
      </c>
      <c r="C648" s="39">
        <v>116.43840789794922</v>
      </c>
      <c r="D648" s="41">
        <v>1791215</v>
      </c>
      <c r="E648" s="36" t="s">
        <v>650</v>
      </c>
      <c r="F648" s="36" t="s">
        <v>115</v>
      </c>
    </row>
    <row r="649" spans="1:6">
      <c r="A649" s="38">
        <v>43048.15625</v>
      </c>
      <c r="B649" s="39">
        <v>132.00999450683594</v>
      </c>
      <c r="C649" s="39">
        <v>119.60032653808594</v>
      </c>
      <c r="D649" s="41">
        <v>5530445</v>
      </c>
      <c r="E649" s="36" t="s">
        <v>650</v>
      </c>
      <c r="F649" s="36" t="s">
        <v>115</v>
      </c>
    </row>
    <row r="650" spans="1:6">
      <c r="A650" s="38">
        <v>43049.15625</v>
      </c>
      <c r="B650" s="39">
        <v>125.04000091552734</v>
      </c>
      <c r="C650" s="39">
        <v>113.28553771972656</v>
      </c>
      <c r="D650" s="41">
        <v>1868770</v>
      </c>
      <c r="E650" s="36" t="s">
        <v>650</v>
      </c>
      <c r="F650" s="36" t="s">
        <v>115</v>
      </c>
    </row>
    <row r="651" spans="1:6">
      <c r="A651" s="38">
        <v>43052.15625</v>
      </c>
      <c r="B651" s="39">
        <v>127.04000091552734</v>
      </c>
      <c r="C651" s="39">
        <v>115.09752655029297</v>
      </c>
      <c r="D651" s="41">
        <v>1200690</v>
      </c>
      <c r="E651" s="36" t="s">
        <v>650</v>
      </c>
      <c r="F651" s="36" t="s">
        <v>115</v>
      </c>
    </row>
    <row r="652" spans="1:6">
      <c r="A652" s="38">
        <v>43053.15625</v>
      </c>
      <c r="B652" s="39">
        <v>130.11000061035156</v>
      </c>
      <c r="C652" s="39">
        <v>117.87892913818359</v>
      </c>
      <c r="D652" s="41">
        <v>3787870</v>
      </c>
      <c r="E652" s="36" t="s">
        <v>650</v>
      </c>
      <c r="F652" s="36" t="s">
        <v>115</v>
      </c>
    </row>
    <row r="653" spans="1:6">
      <c r="A653" s="38">
        <v>43054.15625</v>
      </c>
      <c r="B653" s="39">
        <v>126.30000305175781</v>
      </c>
      <c r="C653" s="39">
        <v>114.42710113525391</v>
      </c>
      <c r="D653" s="41">
        <v>1572840</v>
      </c>
      <c r="E653" s="36" t="s">
        <v>650</v>
      </c>
      <c r="F653" s="36" t="s">
        <v>115</v>
      </c>
    </row>
    <row r="654" spans="1:6">
      <c r="A654" s="38">
        <v>43055.15625</v>
      </c>
      <c r="B654" s="39">
        <v>127.54000091552734</v>
      </c>
      <c r="C654" s="39">
        <v>115.55052185058594</v>
      </c>
      <c r="D654" s="41">
        <v>1120330</v>
      </c>
      <c r="E654" s="36" t="s">
        <v>650</v>
      </c>
      <c r="F654" s="36" t="s">
        <v>115</v>
      </c>
    </row>
    <row r="655" spans="1:6">
      <c r="A655" s="38">
        <v>43056.15625</v>
      </c>
      <c r="B655" s="39">
        <v>128.44000244140625</v>
      </c>
      <c r="C655" s="39">
        <v>116.36592102050781</v>
      </c>
      <c r="D655" s="41">
        <v>1659225</v>
      </c>
      <c r="E655" s="36" t="s">
        <v>650</v>
      </c>
      <c r="F655" s="36" t="s">
        <v>115</v>
      </c>
    </row>
    <row r="656" spans="1:6">
      <c r="A656" s="38">
        <v>43059.15625</v>
      </c>
      <c r="B656" s="39">
        <v>128.3800048828125</v>
      </c>
      <c r="C656" s="39">
        <v>116.31156921386719</v>
      </c>
      <c r="D656" s="41">
        <v>890145</v>
      </c>
      <c r="E656" s="36" t="s">
        <v>650</v>
      </c>
      <c r="F656" s="36" t="s">
        <v>115</v>
      </c>
    </row>
    <row r="657" spans="1:6">
      <c r="A657" s="38">
        <v>43060.15625</v>
      </c>
      <c r="B657" s="39">
        <v>127.43000030517578</v>
      </c>
      <c r="C657" s="39">
        <v>115.45087432861328</v>
      </c>
      <c r="D657" s="41">
        <v>814070</v>
      </c>
      <c r="E657" s="36" t="s">
        <v>650</v>
      </c>
      <c r="F657" s="36" t="s">
        <v>115</v>
      </c>
    </row>
    <row r="658" spans="1:6">
      <c r="A658" s="38">
        <v>43061.15625</v>
      </c>
      <c r="B658" s="39">
        <v>127.95999908447266</v>
      </c>
      <c r="C658" s="39">
        <v>115.93104553222656</v>
      </c>
      <c r="D658" s="41">
        <v>1309900</v>
      </c>
      <c r="E658" s="36" t="s">
        <v>650</v>
      </c>
      <c r="F658" s="36" t="s">
        <v>115</v>
      </c>
    </row>
    <row r="659" spans="1:6">
      <c r="A659" s="38">
        <v>43062.15625</v>
      </c>
      <c r="B659" s="39">
        <v>131.21000671386719</v>
      </c>
      <c r="C659" s="39">
        <v>118.87554168701172</v>
      </c>
      <c r="D659" s="41">
        <v>2355100</v>
      </c>
      <c r="E659" s="36" t="s">
        <v>650</v>
      </c>
      <c r="F659" s="36" t="s">
        <v>115</v>
      </c>
    </row>
    <row r="660" spans="1:6">
      <c r="A660" s="38">
        <v>43063.15625</v>
      </c>
      <c r="B660" s="39">
        <v>131.78999328613281</v>
      </c>
      <c r="C660" s="39">
        <v>119.4010009765625</v>
      </c>
      <c r="D660" s="41">
        <v>1777370</v>
      </c>
      <c r="E660" s="36" t="s">
        <v>650</v>
      </c>
      <c r="F660" s="36" t="s">
        <v>115</v>
      </c>
    </row>
    <row r="661" spans="1:6">
      <c r="A661" s="38">
        <v>43066.15625</v>
      </c>
      <c r="B661" s="39">
        <v>128.00999450683594</v>
      </c>
      <c r="C661" s="39">
        <v>115.97634887695313</v>
      </c>
      <c r="D661" s="41">
        <v>2106620</v>
      </c>
      <c r="E661" s="36" t="s">
        <v>650</v>
      </c>
      <c r="F661" s="36" t="s">
        <v>115</v>
      </c>
    </row>
    <row r="662" spans="1:6">
      <c r="A662" s="38">
        <v>43067.15625</v>
      </c>
      <c r="B662" s="39">
        <v>127.80999755859375</v>
      </c>
      <c r="C662" s="39">
        <v>115.79515075683594</v>
      </c>
      <c r="D662" s="41">
        <v>1593815</v>
      </c>
      <c r="E662" s="36" t="s">
        <v>650</v>
      </c>
      <c r="F662" s="36" t="s">
        <v>115</v>
      </c>
    </row>
    <row r="663" spans="1:6">
      <c r="A663" s="38">
        <v>43068.15625</v>
      </c>
      <c r="B663" s="39">
        <v>126.51999664306641</v>
      </c>
      <c r="C663" s="39">
        <v>114.62640380859375</v>
      </c>
      <c r="D663" s="41">
        <v>978675</v>
      </c>
      <c r="E663" s="36" t="s">
        <v>650</v>
      </c>
      <c r="F663" s="36" t="s">
        <v>115</v>
      </c>
    </row>
    <row r="664" spans="1:6">
      <c r="A664" s="38">
        <v>43069.15625</v>
      </c>
      <c r="B664" s="39">
        <v>127.80000305175781</v>
      </c>
      <c r="C664" s="39">
        <v>115.78608703613281</v>
      </c>
      <c r="D664" s="41">
        <v>3278575</v>
      </c>
      <c r="E664" s="36" t="s">
        <v>650</v>
      </c>
      <c r="F664" s="36" t="s">
        <v>115</v>
      </c>
    </row>
    <row r="665" spans="1:6">
      <c r="A665" s="38">
        <v>43070.15625</v>
      </c>
      <c r="B665" s="39">
        <v>126.26999664306641</v>
      </c>
      <c r="C665" s="39">
        <v>114.39990234375</v>
      </c>
      <c r="D665" s="41">
        <v>1069475</v>
      </c>
      <c r="E665" s="36" t="s">
        <v>650</v>
      </c>
      <c r="F665" s="36" t="s">
        <v>115</v>
      </c>
    </row>
    <row r="666" spans="1:6">
      <c r="A666" s="38">
        <v>43073.15625</v>
      </c>
      <c r="B666" s="39">
        <v>124.73999786376953</v>
      </c>
      <c r="C666" s="39">
        <v>113.01374816894531</v>
      </c>
      <c r="D666" s="41">
        <v>1691675</v>
      </c>
      <c r="E666" s="36" t="s">
        <v>650</v>
      </c>
      <c r="F666" s="36" t="s">
        <v>115</v>
      </c>
    </row>
    <row r="667" spans="1:6">
      <c r="A667" s="38">
        <v>43074.15625</v>
      </c>
      <c r="B667" s="39">
        <v>127.66999816894531</v>
      </c>
      <c r="C667" s="39">
        <v>115.66831970214844</v>
      </c>
      <c r="D667" s="41">
        <v>1167915</v>
      </c>
      <c r="E667" s="36" t="s">
        <v>650</v>
      </c>
      <c r="F667" s="36" t="s">
        <v>115</v>
      </c>
    </row>
    <row r="668" spans="1:6">
      <c r="A668" s="38">
        <v>43075.15625</v>
      </c>
      <c r="B668" s="39">
        <v>126.87000274658203</v>
      </c>
      <c r="C668" s="39">
        <v>114.94351196289063</v>
      </c>
      <c r="D668" s="41">
        <v>2542895</v>
      </c>
      <c r="E668" s="36" t="s">
        <v>650</v>
      </c>
      <c r="F668" s="36" t="s">
        <v>115</v>
      </c>
    </row>
    <row r="669" spans="1:6">
      <c r="A669" s="38">
        <v>43076.15625</v>
      </c>
      <c r="B669" s="39">
        <v>125.68000030517578</v>
      </c>
      <c r="C669" s="39">
        <v>113.86538696289063</v>
      </c>
      <c r="D669" s="41">
        <v>1497015</v>
      </c>
      <c r="E669" s="36" t="s">
        <v>650</v>
      </c>
      <c r="F669" s="36" t="s">
        <v>115</v>
      </c>
    </row>
    <row r="670" spans="1:6">
      <c r="A670" s="38">
        <v>43077.15625</v>
      </c>
      <c r="B670" s="39">
        <v>126.09999847412109</v>
      </c>
      <c r="C670" s="39">
        <v>114.24591827392578</v>
      </c>
      <c r="D670" s="41">
        <v>930455</v>
      </c>
      <c r="E670" s="36" t="s">
        <v>650</v>
      </c>
      <c r="F670" s="36" t="s">
        <v>115</v>
      </c>
    </row>
    <row r="671" spans="1:6">
      <c r="A671" s="38">
        <v>43080.15625</v>
      </c>
      <c r="B671" s="39">
        <v>128.53999328613281</v>
      </c>
      <c r="C671" s="39">
        <v>116.45651245117188</v>
      </c>
      <c r="D671" s="41">
        <v>1079135</v>
      </c>
      <c r="E671" s="36" t="s">
        <v>650</v>
      </c>
      <c r="F671" s="36" t="s">
        <v>115</v>
      </c>
    </row>
    <row r="672" spans="1:6">
      <c r="A672" s="38">
        <v>43081.15625</v>
      </c>
      <c r="B672" s="39">
        <v>126.22000122070313</v>
      </c>
      <c r="C672" s="39">
        <v>114.3546142578125</v>
      </c>
      <c r="D672" s="41">
        <v>2408180</v>
      </c>
      <c r="E672" s="36" t="s">
        <v>650</v>
      </c>
      <c r="F672" s="36" t="s">
        <v>115</v>
      </c>
    </row>
    <row r="673" spans="1:6">
      <c r="A673" s="38">
        <v>43082.15625</v>
      </c>
      <c r="B673" s="39">
        <v>122.65000152587891</v>
      </c>
      <c r="C673" s="39">
        <v>111.12020111083984</v>
      </c>
      <c r="D673" s="41">
        <v>1559160</v>
      </c>
      <c r="E673" s="36" t="s">
        <v>650</v>
      </c>
      <c r="F673" s="36" t="s">
        <v>115</v>
      </c>
    </row>
    <row r="674" spans="1:6">
      <c r="A674" s="38">
        <v>43083.15625</v>
      </c>
      <c r="B674" s="39">
        <v>123.62000274658203</v>
      </c>
      <c r="C674" s="39">
        <v>111.99904632568359</v>
      </c>
      <c r="D674" s="41">
        <v>2116510</v>
      </c>
      <c r="E674" s="36" t="s">
        <v>650</v>
      </c>
      <c r="F674" s="36" t="s">
        <v>115</v>
      </c>
    </row>
    <row r="675" spans="1:6">
      <c r="A675" s="38">
        <v>43084.15625</v>
      </c>
      <c r="B675" s="39">
        <v>122.77999877929688</v>
      </c>
      <c r="C675" s="39">
        <v>111.23797607421875</v>
      </c>
      <c r="D675" s="41">
        <v>805360</v>
      </c>
      <c r="E675" s="36" t="s">
        <v>650</v>
      </c>
      <c r="F675" s="36" t="s">
        <v>115</v>
      </c>
    </row>
    <row r="676" spans="1:6">
      <c r="A676" s="38">
        <v>43087.15625</v>
      </c>
      <c r="B676" s="39">
        <v>123.45999908447266</v>
      </c>
      <c r="C676" s="39">
        <v>111.85405731201172</v>
      </c>
      <c r="D676" s="41">
        <v>1332810</v>
      </c>
      <c r="E676" s="36" t="s">
        <v>650</v>
      </c>
      <c r="F676" s="36" t="s">
        <v>115</v>
      </c>
    </row>
    <row r="677" spans="1:6">
      <c r="A677" s="38">
        <v>43088.15625</v>
      </c>
      <c r="B677" s="39">
        <v>124.45999908447266</v>
      </c>
      <c r="C677" s="39">
        <v>112.76007843017578</v>
      </c>
      <c r="D677" s="41">
        <v>2142630</v>
      </c>
      <c r="E677" s="36" t="s">
        <v>650</v>
      </c>
      <c r="F677" s="36" t="s">
        <v>115</v>
      </c>
    </row>
    <row r="678" spans="1:6">
      <c r="A678" s="38">
        <v>43089.15625</v>
      </c>
      <c r="B678" s="39">
        <v>127.98000335693359</v>
      </c>
      <c r="C678" s="39">
        <v>115.94915008544922</v>
      </c>
      <c r="D678" s="41">
        <v>1714535</v>
      </c>
      <c r="E678" s="36" t="s">
        <v>650</v>
      </c>
      <c r="F678" s="36" t="s">
        <v>115</v>
      </c>
    </row>
    <row r="679" spans="1:6">
      <c r="A679" s="38">
        <v>43090.15625</v>
      </c>
      <c r="B679" s="39">
        <v>130.05000305175781</v>
      </c>
      <c r="C679" s="39">
        <v>117.8245849609375</v>
      </c>
      <c r="D679" s="41">
        <v>1582795</v>
      </c>
      <c r="E679" s="36" t="s">
        <v>650</v>
      </c>
      <c r="F679" s="36" t="s">
        <v>115</v>
      </c>
    </row>
    <row r="680" spans="1:6">
      <c r="A680" s="38">
        <v>43091.15625</v>
      </c>
      <c r="B680" s="39">
        <v>128.80999755859375</v>
      </c>
      <c r="C680" s="39">
        <v>116.70112609863281</v>
      </c>
      <c r="D680" s="41">
        <v>1005210</v>
      </c>
      <c r="E680" s="36" t="s">
        <v>650</v>
      </c>
      <c r="F680" s="36" t="s">
        <v>115</v>
      </c>
    </row>
    <row r="681" spans="1:6">
      <c r="A681" s="38">
        <v>43095.15625</v>
      </c>
      <c r="B681" s="39">
        <v>127.13999938964844</v>
      </c>
      <c r="C681" s="39">
        <v>115.18813323974609</v>
      </c>
      <c r="D681" s="41">
        <v>1042520</v>
      </c>
      <c r="E681" s="36" t="s">
        <v>650</v>
      </c>
      <c r="F681" s="36" t="s">
        <v>115</v>
      </c>
    </row>
    <row r="682" spans="1:6">
      <c r="A682" s="38">
        <v>43096.15625</v>
      </c>
      <c r="B682" s="39">
        <v>128.03999328613281</v>
      </c>
      <c r="C682" s="39">
        <v>116.00352478027344</v>
      </c>
      <c r="D682" s="41">
        <v>1099235</v>
      </c>
      <c r="E682" s="36" t="s">
        <v>650</v>
      </c>
      <c r="F682" s="36" t="s">
        <v>115</v>
      </c>
    </row>
    <row r="683" spans="1:6">
      <c r="A683" s="38">
        <v>43097.15625</v>
      </c>
      <c r="B683" s="39">
        <v>129.91000366210938</v>
      </c>
      <c r="C683" s="39">
        <v>117.69775390625</v>
      </c>
      <c r="D683" s="41">
        <v>2698110</v>
      </c>
      <c r="E683" s="36" t="s">
        <v>650</v>
      </c>
      <c r="F683" s="36" t="s">
        <v>115</v>
      </c>
    </row>
    <row r="684" spans="1:6">
      <c r="A684" s="38">
        <v>43098.15625</v>
      </c>
      <c r="B684" s="39">
        <v>129.00999450683594</v>
      </c>
      <c r="C684" s="39">
        <v>116.88232421875</v>
      </c>
      <c r="D684" s="41">
        <v>2134965</v>
      </c>
      <c r="E684" s="36" t="s">
        <v>650</v>
      </c>
      <c r="F684" s="36" t="s">
        <v>115</v>
      </c>
    </row>
    <row r="685" spans="1:6">
      <c r="A685" s="38">
        <v>43101.15625</v>
      </c>
      <c r="B685" s="39">
        <v>130.75999450683594</v>
      </c>
      <c r="C685" s="39">
        <v>118.46784210205078</v>
      </c>
      <c r="D685" s="41">
        <v>1066295</v>
      </c>
      <c r="E685" s="36" t="s">
        <v>650</v>
      </c>
      <c r="F685" s="36" t="s">
        <v>115</v>
      </c>
    </row>
    <row r="686" spans="1:6">
      <c r="A686" s="38">
        <v>43102.15625</v>
      </c>
      <c r="B686" s="39">
        <v>128.50999450683594</v>
      </c>
      <c r="C686" s="39">
        <v>116.42932891845703</v>
      </c>
      <c r="D686" s="41">
        <v>1976870</v>
      </c>
      <c r="E686" s="36" t="s">
        <v>650</v>
      </c>
      <c r="F686" s="36" t="s">
        <v>115</v>
      </c>
    </row>
    <row r="687" spans="1:6">
      <c r="A687" s="38">
        <v>43103.15625</v>
      </c>
      <c r="B687" s="39">
        <v>129.19000244140625</v>
      </c>
      <c r="C687" s="39">
        <v>117.04541778564453</v>
      </c>
      <c r="D687" s="41">
        <v>1551260</v>
      </c>
      <c r="E687" s="36" t="s">
        <v>650</v>
      </c>
      <c r="F687" s="36" t="s">
        <v>115</v>
      </c>
    </row>
    <row r="688" spans="1:6">
      <c r="A688" s="38">
        <v>43104.15625</v>
      </c>
      <c r="B688" s="39">
        <v>130.6300048828125</v>
      </c>
      <c r="C688" s="39">
        <v>118.35004425048828</v>
      </c>
      <c r="D688" s="41">
        <v>1383870</v>
      </c>
      <c r="E688" s="36" t="s">
        <v>650</v>
      </c>
      <c r="F688" s="36" t="s">
        <v>115</v>
      </c>
    </row>
    <row r="689" spans="1:6">
      <c r="A689" s="38">
        <v>43105.15625</v>
      </c>
      <c r="B689" s="39">
        <v>133.89999389648438</v>
      </c>
      <c r="C689" s="39">
        <v>121.31264495849609</v>
      </c>
      <c r="D689" s="41">
        <v>2123295</v>
      </c>
      <c r="E689" s="36" t="s">
        <v>650</v>
      </c>
      <c r="F689" s="36" t="s">
        <v>115</v>
      </c>
    </row>
    <row r="690" spans="1:6">
      <c r="A690" s="38">
        <v>43108.15625</v>
      </c>
      <c r="B690" s="39">
        <v>140.80999755859375</v>
      </c>
      <c r="C690" s="39">
        <v>127.57308959960938</v>
      </c>
      <c r="D690" s="41">
        <v>4547385</v>
      </c>
      <c r="E690" s="36" t="s">
        <v>650</v>
      </c>
      <c r="F690" s="36" t="s">
        <v>115</v>
      </c>
    </row>
    <row r="691" spans="1:6">
      <c r="A691" s="38">
        <v>43109.15625</v>
      </c>
      <c r="B691" s="39">
        <v>137.97999572753906</v>
      </c>
      <c r="C691" s="39">
        <v>125.00910186767578</v>
      </c>
      <c r="D691" s="41">
        <v>1801200</v>
      </c>
      <c r="E691" s="36" t="s">
        <v>650</v>
      </c>
      <c r="F691" s="36" t="s">
        <v>115</v>
      </c>
    </row>
    <row r="692" spans="1:6">
      <c r="A692" s="38">
        <v>43110.15625</v>
      </c>
      <c r="B692" s="39">
        <v>143.83000183105469</v>
      </c>
      <c r="C692" s="39">
        <v>130.30912780761719</v>
      </c>
      <c r="D692" s="41">
        <v>5950565</v>
      </c>
      <c r="E692" s="36" t="s">
        <v>650</v>
      </c>
      <c r="F692" s="36" t="s">
        <v>115</v>
      </c>
    </row>
    <row r="693" spans="1:6">
      <c r="A693" s="38">
        <v>43111.15625</v>
      </c>
      <c r="B693" s="39">
        <v>143.52999877929688</v>
      </c>
      <c r="C693" s="39">
        <v>130.03732299804688</v>
      </c>
      <c r="D693" s="41">
        <v>5076835</v>
      </c>
      <c r="E693" s="36" t="s">
        <v>650</v>
      </c>
      <c r="F693" s="36" t="s">
        <v>115</v>
      </c>
    </row>
    <row r="694" spans="1:6">
      <c r="A694" s="38">
        <v>43112.15625</v>
      </c>
      <c r="B694" s="39">
        <v>140.25999450683594</v>
      </c>
      <c r="C694" s="39">
        <v>127.07480621337891</v>
      </c>
      <c r="D694" s="41">
        <v>1889545</v>
      </c>
      <c r="E694" s="36" t="s">
        <v>650</v>
      </c>
      <c r="F694" s="36" t="s">
        <v>115</v>
      </c>
    </row>
    <row r="695" spans="1:6">
      <c r="A695" s="38">
        <v>43115.15625</v>
      </c>
      <c r="B695" s="39">
        <v>140.16999816894531</v>
      </c>
      <c r="C695" s="39">
        <v>126.99323272705078</v>
      </c>
      <c r="D695" s="41">
        <v>1161990</v>
      </c>
      <c r="E695" s="36" t="s">
        <v>650</v>
      </c>
      <c r="F695" s="36" t="s">
        <v>115</v>
      </c>
    </row>
    <row r="696" spans="1:6">
      <c r="A696" s="38">
        <v>43116.15625</v>
      </c>
      <c r="B696" s="39">
        <v>141.77000427246094</v>
      </c>
      <c r="C696" s="39">
        <v>128.44288635253906</v>
      </c>
      <c r="D696" s="41">
        <v>4822320</v>
      </c>
      <c r="E696" s="36" t="s">
        <v>650</v>
      </c>
      <c r="F696" s="36" t="s">
        <v>115</v>
      </c>
    </row>
    <row r="697" spans="1:6">
      <c r="A697" s="38">
        <v>43117.15625</v>
      </c>
      <c r="B697" s="39">
        <v>141.21000671386719</v>
      </c>
      <c r="C697" s="39">
        <v>127.93547058105469</v>
      </c>
      <c r="D697" s="41">
        <v>3796160</v>
      </c>
      <c r="E697" s="36" t="s">
        <v>650</v>
      </c>
      <c r="F697" s="36" t="s">
        <v>115</v>
      </c>
    </row>
    <row r="698" spans="1:6">
      <c r="A698" s="38">
        <v>43118.15625</v>
      </c>
      <c r="B698" s="39">
        <v>138.63999938964844</v>
      </c>
      <c r="C698" s="39">
        <v>125.60704803466797</v>
      </c>
      <c r="D698" s="41">
        <v>2548480</v>
      </c>
      <c r="E698" s="36" t="s">
        <v>650</v>
      </c>
      <c r="F698" s="36" t="s">
        <v>115</v>
      </c>
    </row>
    <row r="699" spans="1:6">
      <c r="A699" s="38">
        <v>43119.15625</v>
      </c>
      <c r="B699" s="39">
        <v>145.61000061035156</v>
      </c>
      <c r="C699" s="39">
        <v>131.92185974121094</v>
      </c>
      <c r="D699" s="41">
        <v>11219470</v>
      </c>
      <c r="E699" s="36" t="s">
        <v>650</v>
      </c>
      <c r="F699" s="36" t="s">
        <v>115</v>
      </c>
    </row>
    <row r="700" spans="1:6">
      <c r="A700" s="38">
        <v>43122.15625</v>
      </c>
      <c r="B700" s="39">
        <v>153.14999389648438</v>
      </c>
      <c r="C700" s="39">
        <v>138.75302124023438</v>
      </c>
      <c r="D700" s="41">
        <v>11840570</v>
      </c>
      <c r="E700" s="36" t="s">
        <v>650</v>
      </c>
      <c r="F700" s="36" t="s">
        <v>115</v>
      </c>
    </row>
    <row r="701" spans="1:6">
      <c r="A701" s="38">
        <v>43123.15625</v>
      </c>
      <c r="B701" s="39">
        <v>156.75</v>
      </c>
      <c r="C701" s="39">
        <v>142.01460266113281</v>
      </c>
      <c r="D701" s="41">
        <v>5661885</v>
      </c>
      <c r="E701" s="36" t="s">
        <v>650</v>
      </c>
      <c r="F701" s="36" t="s">
        <v>115</v>
      </c>
    </row>
    <row r="702" spans="1:6">
      <c r="A702" s="38">
        <v>43124.15625</v>
      </c>
      <c r="B702" s="39">
        <v>172.3800048828125</v>
      </c>
      <c r="C702" s="39">
        <v>156.17532348632813</v>
      </c>
      <c r="D702" s="41">
        <v>19322340</v>
      </c>
      <c r="E702" s="36" t="s">
        <v>650</v>
      </c>
      <c r="F702" s="36" t="s">
        <v>115</v>
      </c>
    </row>
    <row r="703" spans="1:6">
      <c r="A703" s="38">
        <v>43125.15625</v>
      </c>
      <c r="B703" s="39">
        <v>182.82000732421875</v>
      </c>
      <c r="C703" s="39">
        <v>165.63388061523438</v>
      </c>
      <c r="D703" s="41">
        <v>23312155</v>
      </c>
      <c r="E703" s="36" t="s">
        <v>650</v>
      </c>
      <c r="F703" s="36" t="s">
        <v>115</v>
      </c>
    </row>
    <row r="704" spans="1:6">
      <c r="A704" s="38">
        <v>43129.15625</v>
      </c>
      <c r="B704" s="39">
        <v>173.27000427246094</v>
      </c>
      <c r="C704" s="39">
        <v>156.98165893554688</v>
      </c>
      <c r="D704" s="41">
        <v>14134455</v>
      </c>
      <c r="E704" s="36" t="s">
        <v>650</v>
      </c>
      <c r="F704" s="36" t="s">
        <v>115</v>
      </c>
    </row>
    <row r="705" spans="1:6">
      <c r="A705" s="38">
        <v>43130.15625</v>
      </c>
      <c r="B705" s="39">
        <v>171.75</v>
      </c>
      <c r="C705" s="39">
        <v>155.60450744628906</v>
      </c>
      <c r="D705" s="41">
        <v>8070045</v>
      </c>
      <c r="E705" s="36" t="s">
        <v>650</v>
      </c>
      <c r="F705" s="36" t="s">
        <v>115</v>
      </c>
    </row>
    <row r="706" spans="1:6">
      <c r="A706" s="38">
        <v>43131.15625</v>
      </c>
      <c r="B706" s="39">
        <v>171.22999572753906</v>
      </c>
      <c r="C706" s="39">
        <v>155.13343811035156</v>
      </c>
      <c r="D706" s="41">
        <v>5346160</v>
      </c>
      <c r="E706" s="36" t="s">
        <v>650</v>
      </c>
      <c r="F706" s="36" t="s">
        <v>115</v>
      </c>
    </row>
    <row r="707" spans="1:6">
      <c r="A707" s="38">
        <v>43132.15625</v>
      </c>
      <c r="B707" s="39">
        <v>167.02000427246094</v>
      </c>
      <c r="C707" s="39">
        <v>151.31922912597656</v>
      </c>
      <c r="D707" s="41">
        <v>3672230</v>
      </c>
      <c r="E707" s="36" t="s">
        <v>650</v>
      </c>
      <c r="F707" s="36" t="s">
        <v>115</v>
      </c>
    </row>
    <row r="708" spans="1:6">
      <c r="A708" s="38">
        <v>43133.15625</v>
      </c>
      <c r="B708" s="39">
        <v>158</v>
      </c>
      <c r="C708" s="39">
        <v>143.14714050292969</v>
      </c>
      <c r="D708" s="41">
        <v>7866290</v>
      </c>
      <c r="E708" s="36" t="s">
        <v>650</v>
      </c>
      <c r="F708" s="36" t="s">
        <v>115</v>
      </c>
    </row>
    <row r="709" spans="1:6">
      <c r="A709" s="38">
        <v>43136.15625</v>
      </c>
      <c r="B709" s="39">
        <v>165.35000610351563</v>
      </c>
      <c r="C709" s="39">
        <v>149.80618286132813</v>
      </c>
      <c r="D709" s="41">
        <v>5329770</v>
      </c>
      <c r="E709" s="36" t="s">
        <v>650</v>
      </c>
      <c r="F709" s="36" t="s">
        <v>115</v>
      </c>
    </row>
    <row r="710" spans="1:6">
      <c r="A710" s="38">
        <v>43137.15625</v>
      </c>
      <c r="B710" s="39">
        <v>166.13999938964844</v>
      </c>
      <c r="C710" s="39">
        <v>150.52192687988281</v>
      </c>
      <c r="D710" s="41">
        <v>5432190</v>
      </c>
      <c r="E710" s="36" t="s">
        <v>650</v>
      </c>
      <c r="F710" s="36" t="s">
        <v>115</v>
      </c>
    </row>
    <row r="711" spans="1:6">
      <c r="A711" s="38">
        <v>43138.15625</v>
      </c>
      <c r="B711" s="39">
        <v>167.61000061035156</v>
      </c>
      <c r="C711" s="39">
        <v>151.85372924804688</v>
      </c>
      <c r="D711" s="41">
        <v>6251915</v>
      </c>
      <c r="E711" s="36" t="s">
        <v>650</v>
      </c>
      <c r="F711" s="36" t="s">
        <v>115</v>
      </c>
    </row>
    <row r="712" spans="1:6">
      <c r="A712" s="38">
        <v>43139.15625</v>
      </c>
      <c r="B712" s="39">
        <v>165.57000732421875</v>
      </c>
      <c r="C712" s="39">
        <v>150.00552368164063</v>
      </c>
      <c r="D712" s="41">
        <v>4802705</v>
      </c>
      <c r="E712" s="36" t="s">
        <v>650</v>
      </c>
      <c r="F712" s="36" t="s">
        <v>115</v>
      </c>
    </row>
    <row r="713" spans="1:6">
      <c r="A713" s="38">
        <v>43140.15625</v>
      </c>
      <c r="B713" s="39">
        <v>165.99000549316406</v>
      </c>
      <c r="C713" s="39">
        <v>150.38601684570313</v>
      </c>
      <c r="D713" s="41">
        <v>2579265</v>
      </c>
      <c r="E713" s="36" t="s">
        <v>650</v>
      </c>
      <c r="F713" s="36" t="s">
        <v>115</v>
      </c>
    </row>
    <row r="714" spans="1:6">
      <c r="A714" s="38">
        <v>43143.15625</v>
      </c>
      <c r="B714" s="39">
        <v>165.80999755859375</v>
      </c>
      <c r="C714" s="39">
        <v>150.22294616699219</v>
      </c>
      <c r="D714" s="41">
        <v>2195865</v>
      </c>
      <c r="E714" s="36" t="s">
        <v>650</v>
      </c>
      <c r="F714" s="36" t="s">
        <v>115</v>
      </c>
    </row>
    <row r="715" spans="1:6">
      <c r="A715" s="38">
        <v>43145.15625</v>
      </c>
      <c r="B715" s="39">
        <v>166.08999633789063</v>
      </c>
      <c r="C715" s="39">
        <v>150.47662353515625</v>
      </c>
      <c r="D715" s="41">
        <v>5236940</v>
      </c>
      <c r="E715" s="36" t="s">
        <v>650</v>
      </c>
      <c r="F715" s="36" t="s">
        <v>115</v>
      </c>
    </row>
    <row r="716" spans="1:6">
      <c r="A716" s="38">
        <v>43146.15625</v>
      </c>
      <c r="B716" s="39">
        <v>165.1199951171875</v>
      </c>
      <c r="C716" s="39">
        <v>149.59780883789063</v>
      </c>
      <c r="D716" s="41">
        <v>4122405</v>
      </c>
      <c r="E716" s="36" t="s">
        <v>650</v>
      </c>
      <c r="F716" s="36" t="s">
        <v>115</v>
      </c>
    </row>
    <row r="717" spans="1:6">
      <c r="A717" s="38">
        <v>43147.15625</v>
      </c>
      <c r="B717" s="39">
        <v>164.05999755859375</v>
      </c>
      <c r="C717" s="39">
        <v>148.63743591308594</v>
      </c>
      <c r="D717" s="41">
        <v>6320960</v>
      </c>
      <c r="E717" s="36" t="s">
        <v>650</v>
      </c>
      <c r="F717" s="36" t="s">
        <v>115</v>
      </c>
    </row>
    <row r="718" spans="1:6">
      <c r="A718" s="38">
        <v>43150.15625</v>
      </c>
      <c r="B718" s="39">
        <v>152.25999450683594</v>
      </c>
      <c r="C718" s="39">
        <v>137.94670104980469</v>
      </c>
      <c r="D718" s="41">
        <v>6019765</v>
      </c>
      <c r="E718" s="36" t="s">
        <v>650</v>
      </c>
      <c r="F718" s="36" t="s">
        <v>115</v>
      </c>
    </row>
    <row r="719" spans="1:6">
      <c r="A719" s="38">
        <v>43151.15625</v>
      </c>
      <c r="B719" s="39">
        <v>151.63999938964844</v>
      </c>
      <c r="C719" s="39">
        <v>137.38499450683594</v>
      </c>
      <c r="D719" s="41">
        <v>6912670</v>
      </c>
      <c r="E719" s="36" t="s">
        <v>650</v>
      </c>
      <c r="F719" s="36" t="s">
        <v>115</v>
      </c>
    </row>
    <row r="720" spans="1:6">
      <c r="A720" s="38">
        <v>43152.15625</v>
      </c>
      <c r="B720" s="39">
        <v>159.07000732421875</v>
      </c>
      <c r="C720" s="39">
        <v>144.11654663085938</v>
      </c>
      <c r="D720" s="41">
        <v>10110260</v>
      </c>
      <c r="E720" s="36" t="s">
        <v>650</v>
      </c>
      <c r="F720" s="36" t="s">
        <v>115</v>
      </c>
    </row>
    <row r="721" spans="1:6">
      <c r="A721" s="38">
        <v>43153.15625</v>
      </c>
      <c r="B721" s="39">
        <v>164.50999450683594</v>
      </c>
      <c r="C721" s="39">
        <v>149.04508972167969</v>
      </c>
      <c r="D721" s="41">
        <v>14592640</v>
      </c>
      <c r="E721" s="36" t="s">
        <v>650</v>
      </c>
      <c r="F721" s="36" t="s">
        <v>115</v>
      </c>
    </row>
    <row r="722" spans="1:6">
      <c r="A722" s="38">
        <v>43154.15625</v>
      </c>
      <c r="B722" s="39">
        <v>166.25</v>
      </c>
      <c r="C722" s="39">
        <v>150.62155151367188</v>
      </c>
      <c r="D722" s="41">
        <v>5991485</v>
      </c>
      <c r="E722" s="36" t="s">
        <v>650</v>
      </c>
      <c r="F722" s="36" t="s">
        <v>115</v>
      </c>
    </row>
    <row r="723" spans="1:6">
      <c r="A723" s="38">
        <v>43157.15625</v>
      </c>
      <c r="B723" s="39">
        <v>166.05999755859375</v>
      </c>
      <c r="C723" s="39">
        <v>150.44944763183594</v>
      </c>
      <c r="D723" s="41">
        <v>3958665</v>
      </c>
      <c r="E723" s="36" t="s">
        <v>650</v>
      </c>
      <c r="F723" s="36" t="s">
        <v>115</v>
      </c>
    </row>
    <row r="724" spans="1:6">
      <c r="A724" s="38">
        <v>43158.15625</v>
      </c>
      <c r="B724" s="39">
        <v>166.55999755859375</v>
      </c>
      <c r="C724" s="39">
        <v>150.90240478515625</v>
      </c>
      <c r="D724" s="41">
        <v>4572205</v>
      </c>
      <c r="E724" s="36" t="s">
        <v>650</v>
      </c>
      <c r="F724" s="36" t="s">
        <v>115</v>
      </c>
    </row>
    <row r="725" spans="1:6">
      <c r="A725" s="38">
        <v>43159.15625</v>
      </c>
      <c r="B725" s="39">
        <v>166.89999389648438</v>
      </c>
      <c r="C725" s="39">
        <v>151.21043395996094</v>
      </c>
      <c r="D725" s="41">
        <v>5907360</v>
      </c>
      <c r="E725" s="36" t="s">
        <v>650</v>
      </c>
      <c r="F725" s="36" t="s">
        <v>115</v>
      </c>
    </row>
    <row r="726" spans="1:6">
      <c r="A726" s="38">
        <v>43160.15625</v>
      </c>
      <c r="B726" s="39">
        <v>174.27999877929688</v>
      </c>
      <c r="C726" s="39">
        <v>157.896728515625</v>
      </c>
      <c r="D726" s="41">
        <v>10129240</v>
      </c>
      <c r="E726" s="36" t="s">
        <v>650</v>
      </c>
      <c r="F726" s="36" t="s">
        <v>115</v>
      </c>
    </row>
    <row r="727" spans="1:6">
      <c r="A727" s="38">
        <v>43164.15625</v>
      </c>
      <c r="B727" s="39">
        <v>175.99000549316406</v>
      </c>
      <c r="C727" s="39">
        <v>159.44596862792969</v>
      </c>
      <c r="D727" s="41">
        <v>8929645</v>
      </c>
      <c r="E727" s="36" t="s">
        <v>650</v>
      </c>
      <c r="F727" s="36" t="s">
        <v>115</v>
      </c>
    </row>
    <row r="728" spans="1:6">
      <c r="A728" s="38">
        <v>43165.15625</v>
      </c>
      <c r="B728" s="39">
        <v>171.8699951171875</v>
      </c>
      <c r="C728" s="39">
        <v>155.7132568359375</v>
      </c>
      <c r="D728" s="41">
        <v>2807720</v>
      </c>
      <c r="E728" s="36" t="s">
        <v>650</v>
      </c>
      <c r="F728" s="36" t="s">
        <v>115</v>
      </c>
    </row>
    <row r="729" spans="1:6">
      <c r="A729" s="38">
        <v>43166.15625</v>
      </c>
      <c r="B729" s="39">
        <v>175.74000549316406</v>
      </c>
      <c r="C729" s="39">
        <v>159.219482421875</v>
      </c>
      <c r="D729" s="41">
        <v>7562510</v>
      </c>
      <c r="E729" s="36" t="s">
        <v>650</v>
      </c>
      <c r="F729" s="36" t="s">
        <v>115</v>
      </c>
    </row>
    <row r="730" spans="1:6">
      <c r="A730" s="38">
        <v>43167.15625</v>
      </c>
      <c r="B730" s="39">
        <v>175.80999755859375</v>
      </c>
      <c r="C730" s="39">
        <v>159.2828369140625</v>
      </c>
      <c r="D730" s="41">
        <v>3762270</v>
      </c>
      <c r="E730" s="36" t="s">
        <v>650</v>
      </c>
      <c r="F730" s="36" t="s">
        <v>115</v>
      </c>
    </row>
    <row r="731" spans="1:6">
      <c r="A731" s="38">
        <v>43168.15625</v>
      </c>
      <c r="B731" s="39">
        <v>175.85000610351563</v>
      </c>
      <c r="C731" s="39">
        <v>159.31913757324219</v>
      </c>
      <c r="D731" s="41">
        <v>2077860</v>
      </c>
      <c r="E731" s="36" t="s">
        <v>650</v>
      </c>
      <c r="F731" s="36" t="s">
        <v>115</v>
      </c>
    </row>
    <row r="732" spans="1:6">
      <c r="A732" s="38">
        <v>43171.15625</v>
      </c>
      <c r="B732" s="39">
        <v>182.1199951171875</v>
      </c>
      <c r="C732" s="39">
        <v>164.99971008300781</v>
      </c>
      <c r="D732" s="41">
        <v>7881920</v>
      </c>
      <c r="E732" s="36" t="s">
        <v>650</v>
      </c>
      <c r="F732" s="36" t="s">
        <v>115</v>
      </c>
    </row>
    <row r="733" spans="1:6">
      <c r="A733" s="38">
        <v>43172.15625</v>
      </c>
      <c r="B733" s="39">
        <v>180.71000671386719</v>
      </c>
      <c r="C733" s="39">
        <v>163.72227478027344</v>
      </c>
      <c r="D733" s="41">
        <v>6115745</v>
      </c>
      <c r="E733" s="36" t="s">
        <v>650</v>
      </c>
      <c r="F733" s="36" t="s">
        <v>115</v>
      </c>
    </row>
    <row r="734" spans="1:6">
      <c r="A734" s="38">
        <v>43173.15625</v>
      </c>
      <c r="B734" s="39">
        <v>186.49000549316406</v>
      </c>
      <c r="C734" s="39">
        <v>168.95892333984375</v>
      </c>
      <c r="D734" s="41">
        <v>5408835</v>
      </c>
      <c r="E734" s="36" t="s">
        <v>650</v>
      </c>
      <c r="F734" s="36" t="s">
        <v>115</v>
      </c>
    </row>
    <row r="735" spans="1:6">
      <c r="A735" s="38">
        <v>43174.15625</v>
      </c>
      <c r="B735" s="39">
        <v>197.75999450683594</v>
      </c>
      <c r="C735" s="39">
        <v>179.16944885253906</v>
      </c>
      <c r="D735" s="41">
        <v>14363780</v>
      </c>
      <c r="E735" s="36" t="s">
        <v>650</v>
      </c>
      <c r="F735" s="36" t="s">
        <v>115</v>
      </c>
    </row>
    <row r="736" spans="1:6">
      <c r="A736" s="38">
        <v>43175.15625</v>
      </c>
      <c r="B736" s="39">
        <v>185.42999267578125</v>
      </c>
      <c r="C736" s="39">
        <v>167.99855041503906</v>
      </c>
      <c r="D736" s="41">
        <v>10160800</v>
      </c>
      <c r="E736" s="36" t="s">
        <v>650</v>
      </c>
      <c r="F736" s="36" t="s">
        <v>115</v>
      </c>
    </row>
    <row r="737" spans="1:6">
      <c r="A737" s="38">
        <v>43178.15625</v>
      </c>
      <c r="B737" s="39">
        <v>176.36000061035156</v>
      </c>
      <c r="C737" s="39">
        <v>159.78115844726563</v>
      </c>
      <c r="D737" s="41">
        <v>9498520</v>
      </c>
      <c r="E737" s="36" t="s">
        <v>650</v>
      </c>
      <c r="F737" s="36" t="s">
        <v>115</v>
      </c>
    </row>
    <row r="738" spans="1:6">
      <c r="A738" s="38">
        <v>43179.15625</v>
      </c>
      <c r="B738" s="39">
        <v>183.61000061035156</v>
      </c>
      <c r="C738" s="39">
        <v>166.34962463378906</v>
      </c>
      <c r="D738" s="41">
        <v>17918760</v>
      </c>
      <c r="E738" s="36" t="s">
        <v>650</v>
      </c>
      <c r="F738" s="36" t="s">
        <v>115</v>
      </c>
    </row>
    <row r="739" spans="1:6">
      <c r="A739" s="38">
        <v>43180.15625</v>
      </c>
      <c r="B739" s="39">
        <v>189.92999267578125</v>
      </c>
      <c r="C739" s="39">
        <v>172.07551574707031</v>
      </c>
      <c r="D739" s="41">
        <v>15023770</v>
      </c>
      <c r="E739" s="36" t="s">
        <v>650</v>
      </c>
      <c r="F739" s="36" t="s">
        <v>115</v>
      </c>
    </row>
    <row r="740" spans="1:6">
      <c r="A740" s="38">
        <v>43181.15625</v>
      </c>
      <c r="B740" s="39">
        <v>186.52000427246094</v>
      </c>
      <c r="C740" s="39">
        <v>168.986083984375</v>
      </c>
      <c r="D740" s="41">
        <v>9070500</v>
      </c>
      <c r="E740" s="36" t="s">
        <v>650</v>
      </c>
      <c r="F740" s="36" t="s">
        <v>115</v>
      </c>
    </row>
    <row r="741" spans="1:6">
      <c r="A741" s="38">
        <v>43182.15625</v>
      </c>
      <c r="B741" s="39">
        <v>178.75999450683594</v>
      </c>
      <c r="C741" s="39">
        <v>161.95553588867188</v>
      </c>
      <c r="D741" s="41">
        <v>9672155</v>
      </c>
      <c r="E741" s="36" t="s">
        <v>650</v>
      </c>
      <c r="F741" s="36" t="s">
        <v>115</v>
      </c>
    </row>
    <row r="742" spans="1:6">
      <c r="A742" s="38">
        <v>43185.15625</v>
      </c>
      <c r="B742" s="39">
        <v>180.30000305175781</v>
      </c>
      <c r="C742" s="39">
        <v>163.35078430175781</v>
      </c>
      <c r="D742" s="41">
        <v>12227470</v>
      </c>
      <c r="E742" s="36" t="s">
        <v>650</v>
      </c>
      <c r="F742" s="36" t="s">
        <v>115</v>
      </c>
    </row>
    <row r="743" spans="1:6">
      <c r="A743" s="38">
        <v>43186.15625</v>
      </c>
      <c r="B743" s="39">
        <v>177.58000183105469</v>
      </c>
      <c r="C743" s="39">
        <v>160.88650512695313</v>
      </c>
      <c r="D743" s="41">
        <v>6719110</v>
      </c>
      <c r="E743" s="36" t="s">
        <v>650</v>
      </c>
      <c r="F743" s="36" t="s">
        <v>115</v>
      </c>
    </row>
    <row r="744" spans="1:6">
      <c r="A744" s="38">
        <v>43187.15625</v>
      </c>
      <c r="B744" s="39">
        <v>173</v>
      </c>
      <c r="C744" s="39">
        <v>156.73709106445313</v>
      </c>
      <c r="D744" s="41">
        <v>11150985</v>
      </c>
      <c r="E744" s="36" t="s">
        <v>650</v>
      </c>
      <c r="F744" s="36" t="s">
        <v>115</v>
      </c>
    </row>
    <row r="745" spans="1:6">
      <c r="A745" s="38">
        <v>43192.15625</v>
      </c>
      <c r="B745" s="39">
        <v>176.27999877929688</v>
      </c>
      <c r="C745" s="39">
        <v>159.70867919921875</v>
      </c>
      <c r="D745" s="41">
        <v>11232475</v>
      </c>
      <c r="E745" s="36" t="s">
        <v>651</v>
      </c>
      <c r="F745" s="36" t="s">
        <v>115</v>
      </c>
    </row>
    <row r="746" spans="1:6">
      <c r="A746" s="38">
        <v>43193.15625</v>
      </c>
      <c r="B746" s="39">
        <v>176.64999389648438</v>
      </c>
      <c r="C746" s="39">
        <v>160.0439453125</v>
      </c>
      <c r="D746" s="41">
        <v>4734565</v>
      </c>
      <c r="E746" s="36" t="s">
        <v>651</v>
      </c>
      <c r="F746" s="36" t="s">
        <v>115</v>
      </c>
    </row>
    <row r="747" spans="1:6">
      <c r="A747" s="38">
        <v>43194.15625</v>
      </c>
      <c r="B747" s="39">
        <v>173.25999450683594</v>
      </c>
      <c r="C747" s="39">
        <v>156.97257995605469</v>
      </c>
      <c r="D747" s="41">
        <v>6125725</v>
      </c>
      <c r="E747" s="36" t="s">
        <v>651</v>
      </c>
      <c r="F747" s="36" t="s">
        <v>115</v>
      </c>
    </row>
    <row r="748" spans="1:6">
      <c r="A748" s="38">
        <v>43195.15625</v>
      </c>
      <c r="B748" s="39">
        <v>175.97000122070313</v>
      </c>
      <c r="C748" s="39">
        <v>159.42784118652344</v>
      </c>
      <c r="D748" s="41">
        <v>3677925</v>
      </c>
      <c r="E748" s="36" t="s">
        <v>651</v>
      </c>
      <c r="F748" s="36" t="s">
        <v>115</v>
      </c>
    </row>
    <row r="749" spans="1:6">
      <c r="A749" s="38">
        <v>43196.15625</v>
      </c>
      <c r="B749" s="39">
        <v>180.69999694824219</v>
      </c>
      <c r="C749" s="39">
        <v>163.71316528320313</v>
      </c>
      <c r="D749" s="41">
        <v>10931390</v>
      </c>
      <c r="E749" s="36" t="s">
        <v>651</v>
      </c>
      <c r="F749" s="36" t="s">
        <v>115</v>
      </c>
    </row>
    <row r="750" spans="1:6">
      <c r="A750" s="38">
        <v>43199.15625</v>
      </c>
      <c r="B750" s="39">
        <v>176.69000244140625</v>
      </c>
      <c r="C750" s="39">
        <v>160.08015441894531</v>
      </c>
      <c r="D750" s="41">
        <v>3456290</v>
      </c>
      <c r="E750" s="36" t="s">
        <v>651</v>
      </c>
      <c r="F750" s="36" t="s">
        <v>115</v>
      </c>
    </row>
    <row r="751" spans="1:6">
      <c r="A751" s="38">
        <v>43200.15625</v>
      </c>
      <c r="B751" s="39">
        <v>177.16999816894531</v>
      </c>
      <c r="C751" s="39">
        <v>160.51502990722656</v>
      </c>
      <c r="D751" s="41">
        <v>4409770</v>
      </c>
      <c r="E751" s="36" t="s">
        <v>651</v>
      </c>
      <c r="F751" s="36" t="s">
        <v>115</v>
      </c>
    </row>
    <row r="752" spans="1:6">
      <c r="A752" s="38">
        <v>43201.15625</v>
      </c>
      <c r="B752" s="39">
        <v>178.19999694824219</v>
      </c>
      <c r="C752" s="39">
        <v>161.44819641113281</v>
      </c>
      <c r="D752" s="41">
        <v>7843190</v>
      </c>
      <c r="E752" s="36" t="s">
        <v>651</v>
      </c>
      <c r="F752" s="36" t="s">
        <v>115</v>
      </c>
    </row>
    <row r="753" spans="1:6">
      <c r="A753" s="38">
        <v>43202.15625</v>
      </c>
      <c r="B753" s="39">
        <v>183.25</v>
      </c>
      <c r="C753" s="39">
        <v>166.02351379394531</v>
      </c>
      <c r="D753" s="41">
        <v>12316490</v>
      </c>
      <c r="E753" s="36" t="s">
        <v>651</v>
      </c>
      <c r="F753" s="36" t="s">
        <v>115</v>
      </c>
    </row>
    <row r="754" spans="1:6">
      <c r="A754" s="38">
        <v>43203.15625</v>
      </c>
      <c r="B754" s="39">
        <v>183.03999328613281</v>
      </c>
      <c r="C754" s="39">
        <v>165.83320617675781</v>
      </c>
      <c r="D754" s="41">
        <v>7864535</v>
      </c>
      <c r="E754" s="36" t="s">
        <v>651</v>
      </c>
      <c r="F754" s="36" t="s">
        <v>115</v>
      </c>
    </row>
    <row r="755" spans="1:6">
      <c r="A755" s="38">
        <v>43206.15625</v>
      </c>
      <c r="B755" s="39">
        <v>182.1300048828125</v>
      </c>
      <c r="C755" s="39">
        <v>165.00877380371094</v>
      </c>
      <c r="D755" s="41">
        <v>3848560</v>
      </c>
      <c r="E755" s="36" t="s">
        <v>651</v>
      </c>
      <c r="F755" s="36" t="s">
        <v>115</v>
      </c>
    </row>
    <row r="756" spans="1:6">
      <c r="A756" s="38">
        <v>43207.15625</v>
      </c>
      <c r="B756" s="39">
        <v>187.02000427246094</v>
      </c>
      <c r="C756" s="39">
        <v>169.43904113769531</v>
      </c>
      <c r="D756" s="41">
        <v>10037245</v>
      </c>
      <c r="E756" s="36" t="s">
        <v>651</v>
      </c>
      <c r="F756" s="36" t="s">
        <v>115</v>
      </c>
    </row>
    <row r="757" spans="1:6">
      <c r="A757" s="38">
        <v>43208.145833333336</v>
      </c>
      <c r="B757" s="39">
        <v>185.63999938964844</v>
      </c>
      <c r="C757" s="39">
        <v>168.18882751464844</v>
      </c>
      <c r="D757" s="41">
        <v>5994545</v>
      </c>
      <c r="E757" s="36" t="s">
        <v>651</v>
      </c>
      <c r="F757" s="36" t="s">
        <v>115</v>
      </c>
    </row>
    <row r="758" spans="1:6">
      <c r="A758" s="38">
        <v>43209.15625</v>
      </c>
      <c r="B758" s="39">
        <v>187.22000122070313</v>
      </c>
      <c r="C758" s="39">
        <v>169.62028503417969</v>
      </c>
      <c r="D758" s="41">
        <v>3933275</v>
      </c>
      <c r="E758" s="36" t="s">
        <v>651</v>
      </c>
      <c r="F758" s="36" t="s">
        <v>115</v>
      </c>
    </row>
    <row r="759" spans="1:6">
      <c r="A759" s="38">
        <v>43210.15625</v>
      </c>
      <c r="B759" s="39">
        <v>198.6300048828125</v>
      </c>
      <c r="C759" s="39">
        <v>179.95765686035156</v>
      </c>
      <c r="D759" s="41">
        <v>16115170</v>
      </c>
      <c r="E759" s="36" t="s">
        <v>651</v>
      </c>
      <c r="F759" s="36" t="s">
        <v>115</v>
      </c>
    </row>
    <row r="760" spans="1:6">
      <c r="A760" s="38">
        <v>43213.15625</v>
      </c>
      <c r="B760" s="39">
        <v>207.13999938964844</v>
      </c>
      <c r="C760" s="39">
        <v>187.66766357421875</v>
      </c>
      <c r="D760" s="41">
        <v>27312495</v>
      </c>
      <c r="E760" s="36" t="s">
        <v>651</v>
      </c>
      <c r="F760" s="36" t="s">
        <v>115</v>
      </c>
    </row>
    <row r="761" spans="1:6">
      <c r="A761" s="38">
        <v>43214.15625</v>
      </c>
      <c r="B761" s="39">
        <v>199.24000549316406</v>
      </c>
      <c r="C761" s="39">
        <v>180.51034545898438</v>
      </c>
      <c r="D761" s="41">
        <v>14153770</v>
      </c>
      <c r="E761" s="36" t="s">
        <v>651</v>
      </c>
      <c r="F761" s="36" t="s">
        <v>115</v>
      </c>
    </row>
    <row r="762" spans="1:6">
      <c r="A762" s="38">
        <v>43215.15625</v>
      </c>
      <c r="B762" s="39">
        <v>217.5</v>
      </c>
      <c r="C762" s="39">
        <v>197.05380249023438</v>
      </c>
      <c r="D762" s="41">
        <v>35018540</v>
      </c>
      <c r="E762" s="36" t="s">
        <v>651</v>
      </c>
      <c r="F762" s="36" t="s">
        <v>115</v>
      </c>
    </row>
    <row r="763" spans="1:6">
      <c r="A763" s="38">
        <v>43216.15625</v>
      </c>
      <c r="B763" s="39">
        <v>229.97999572753906</v>
      </c>
      <c r="C763" s="39">
        <v>208.36062622070313</v>
      </c>
      <c r="D763" s="41">
        <v>45956960</v>
      </c>
      <c r="E763" s="36" t="s">
        <v>651</v>
      </c>
      <c r="F763" s="36" t="s">
        <v>115</v>
      </c>
    </row>
    <row r="764" spans="1:6">
      <c r="A764" s="38">
        <v>43217.15625</v>
      </c>
      <c r="B764" s="39">
        <v>226.61000061035156</v>
      </c>
      <c r="C764" s="39">
        <v>205.30741882324219</v>
      </c>
      <c r="D764" s="41">
        <v>16229235</v>
      </c>
      <c r="E764" s="36" t="s">
        <v>651</v>
      </c>
      <c r="F764" s="36" t="s">
        <v>115</v>
      </c>
    </row>
    <row r="765" spans="1:6">
      <c r="A765" s="38">
        <v>43220.15625</v>
      </c>
      <c r="B765" s="39">
        <v>232.41999816894531</v>
      </c>
      <c r="C765" s="39">
        <v>210.57121276855469</v>
      </c>
      <c r="D765" s="41">
        <v>11448590</v>
      </c>
      <c r="E765" s="36" t="s">
        <v>651</v>
      </c>
      <c r="F765" s="36" t="s">
        <v>115</v>
      </c>
    </row>
    <row r="766" spans="1:6">
      <c r="A766" s="38">
        <v>43222.15625</v>
      </c>
      <c r="B766" s="39">
        <v>219.75999450683594</v>
      </c>
      <c r="C766" s="39">
        <v>199.10128784179688</v>
      </c>
      <c r="D766" s="41">
        <v>12480750</v>
      </c>
      <c r="E766" s="36" t="s">
        <v>651</v>
      </c>
      <c r="F766" s="36" t="s">
        <v>115</v>
      </c>
    </row>
    <row r="767" spans="1:6">
      <c r="A767" s="38">
        <v>43223.15625</v>
      </c>
      <c r="B767" s="39">
        <v>212.02000427246094</v>
      </c>
      <c r="C767" s="39">
        <v>192.08894348144531</v>
      </c>
      <c r="D767" s="41">
        <v>17677730</v>
      </c>
      <c r="E767" s="36" t="s">
        <v>651</v>
      </c>
      <c r="F767" s="36" t="s">
        <v>115</v>
      </c>
    </row>
    <row r="768" spans="1:6">
      <c r="A768" s="38">
        <v>43224.15625</v>
      </c>
      <c r="B768" s="39">
        <v>205.63999938964844</v>
      </c>
      <c r="C768" s="39">
        <v>186.30868530273438</v>
      </c>
      <c r="D768" s="41">
        <v>52181860</v>
      </c>
      <c r="E768" s="36" t="s">
        <v>651</v>
      </c>
      <c r="F768" s="36" t="s">
        <v>115</v>
      </c>
    </row>
    <row r="769" spans="1:6">
      <c r="A769" s="38">
        <v>43227.15625</v>
      </c>
      <c r="B769" s="39">
        <v>205.6199951171875</v>
      </c>
      <c r="C769" s="39">
        <v>186.29057312011719</v>
      </c>
      <c r="D769" s="41">
        <v>18736745</v>
      </c>
      <c r="E769" s="36" t="s">
        <v>651</v>
      </c>
      <c r="F769" s="36" t="s">
        <v>115</v>
      </c>
    </row>
    <row r="770" spans="1:6">
      <c r="A770" s="38">
        <v>43228.15625</v>
      </c>
      <c r="B770" s="39">
        <v>211.97999572753906</v>
      </c>
      <c r="C770" s="39">
        <v>192.05267333984375</v>
      </c>
      <c r="D770" s="41">
        <v>13344540</v>
      </c>
      <c r="E770" s="36" t="s">
        <v>651</v>
      </c>
      <c r="F770" s="36" t="s">
        <v>115</v>
      </c>
    </row>
    <row r="771" spans="1:6">
      <c r="A771" s="38">
        <v>43229.15625</v>
      </c>
      <c r="B771" s="39">
        <v>211.83000183105469</v>
      </c>
      <c r="C771" s="39">
        <v>191.91676330566406</v>
      </c>
      <c r="D771" s="41">
        <v>11017780</v>
      </c>
      <c r="E771" s="36" t="s">
        <v>651</v>
      </c>
      <c r="F771" s="36" t="s">
        <v>115</v>
      </c>
    </row>
    <row r="772" spans="1:6">
      <c r="A772" s="38">
        <v>43230.15625</v>
      </c>
      <c r="B772" s="39">
        <v>207.44000244140625</v>
      </c>
      <c r="C772" s="39">
        <v>187.93948364257813</v>
      </c>
      <c r="D772" s="41">
        <v>7856495</v>
      </c>
      <c r="E772" s="36" t="s">
        <v>651</v>
      </c>
      <c r="F772" s="36" t="s">
        <v>115</v>
      </c>
    </row>
    <row r="773" spans="1:6">
      <c r="A773" s="38">
        <v>43231.15625</v>
      </c>
      <c r="B773" s="39">
        <v>211.80000305175781</v>
      </c>
      <c r="C773" s="39">
        <v>191.88958740234375</v>
      </c>
      <c r="D773" s="41">
        <v>8152255</v>
      </c>
      <c r="E773" s="36" t="s">
        <v>651</v>
      </c>
      <c r="F773" s="36" t="s">
        <v>115</v>
      </c>
    </row>
    <row r="774" spans="1:6">
      <c r="A774" s="38">
        <v>43234.15625</v>
      </c>
      <c r="B774" s="39">
        <v>213.91000366210938</v>
      </c>
      <c r="C774" s="39">
        <v>193.80130004882813</v>
      </c>
      <c r="D774" s="41">
        <v>6828550</v>
      </c>
      <c r="E774" s="36" t="s">
        <v>651</v>
      </c>
      <c r="F774" s="36" t="s">
        <v>115</v>
      </c>
    </row>
    <row r="775" spans="1:6">
      <c r="A775" s="38">
        <v>43235.15625</v>
      </c>
      <c r="B775" s="39">
        <v>211.27000427246094</v>
      </c>
      <c r="C775" s="39">
        <v>191.409423828125</v>
      </c>
      <c r="D775" s="41">
        <v>8723335</v>
      </c>
      <c r="E775" s="36" t="s">
        <v>651</v>
      </c>
      <c r="F775" s="36" t="s">
        <v>115</v>
      </c>
    </row>
    <row r="776" spans="1:6">
      <c r="A776" s="38">
        <v>43236.15625</v>
      </c>
      <c r="B776" s="39">
        <v>215.3699951171875</v>
      </c>
      <c r="C776" s="39">
        <v>195.12399291992188</v>
      </c>
      <c r="D776" s="41">
        <v>8398260</v>
      </c>
      <c r="E776" s="36" t="s">
        <v>651</v>
      </c>
      <c r="F776" s="36" t="s">
        <v>115</v>
      </c>
    </row>
    <row r="777" spans="1:6">
      <c r="A777" s="38">
        <v>43237.15625</v>
      </c>
      <c r="B777" s="39">
        <v>211.36000061035156</v>
      </c>
      <c r="C777" s="39">
        <v>191.49098205566406</v>
      </c>
      <c r="D777" s="41">
        <v>4899875</v>
      </c>
      <c r="E777" s="36" t="s">
        <v>651</v>
      </c>
      <c r="F777" s="36" t="s">
        <v>115</v>
      </c>
    </row>
    <row r="778" spans="1:6">
      <c r="A778" s="38">
        <v>43238.15625</v>
      </c>
      <c r="B778" s="39">
        <v>207.07000732421875</v>
      </c>
      <c r="C778" s="39">
        <v>187.60427856445313</v>
      </c>
      <c r="D778" s="41">
        <v>3141375</v>
      </c>
      <c r="E778" s="36" t="s">
        <v>651</v>
      </c>
      <c r="F778" s="36" t="s">
        <v>115</v>
      </c>
    </row>
    <row r="779" spans="1:6">
      <c r="A779" s="38">
        <v>43241.15625</v>
      </c>
      <c r="B779" s="39">
        <v>209.77999877929688</v>
      </c>
      <c r="C779" s="39">
        <v>190.05952453613281</v>
      </c>
      <c r="D779" s="41">
        <v>4805775</v>
      </c>
      <c r="E779" s="36" t="s">
        <v>651</v>
      </c>
      <c r="F779" s="36" t="s">
        <v>115</v>
      </c>
    </row>
    <row r="780" spans="1:6">
      <c r="A780" s="38">
        <v>43242.15625</v>
      </c>
      <c r="B780" s="39">
        <v>209.77999877929688</v>
      </c>
      <c r="C780" s="39">
        <v>190.05952453613281</v>
      </c>
      <c r="D780" s="41">
        <v>3912030</v>
      </c>
      <c r="E780" s="36" t="s">
        <v>651</v>
      </c>
      <c r="F780" s="36" t="s">
        <v>115</v>
      </c>
    </row>
    <row r="781" spans="1:6">
      <c r="A781" s="38">
        <v>43243.15625</v>
      </c>
      <c r="B781" s="39">
        <v>214.75</v>
      </c>
      <c r="C781" s="39">
        <v>194.56231689453125</v>
      </c>
      <c r="D781" s="41">
        <v>8214215</v>
      </c>
      <c r="E781" s="36" t="s">
        <v>651</v>
      </c>
      <c r="F781" s="36" t="s">
        <v>115</v>
      </c>
    </row>
    <row r="782" spans="1:6">
      <c r="A782" s="38">
        <v>43244.15625</v>
      </c>
      <c r="B782" s="39">
        <v>217.83999633789063</v>
      </c>
      <c r="C782" s="39">
        <v>197.36180114746094</v>
      </c>
      <c r="D782" s="41">
        <v>6654930</v>
      </c>
      <c r="E782" s="36" t="s">
        <v>651</v>
      </c>
      <c r="F782" s="36" t="s">
        <v>115</v>
      </c>
    </row>
    <row r="783" spans="1:6">
      <c r="A783" s="38">
        <v>43245.15625</v>
      </c>
      <c r="B783" s="39">
        <v>224.55999755859375</v>
      </c>
      <c r="C783" s="39">
        <v>203.45013427734375</v>
      </c>
      <c r="D783" s="41">
        <v>11587800</v>
      </c>
      <c r="E783" s="36" t="s">
        <v>651</v>
      </c>
      <c r="F783" s="36" t="s">
        <v>115</v>
      </c>
    </row>
    <row r="784" spans="1:6">
      <c r="A784" s="38">
        <v>43248.15625</v>
      </c>
      <c r="B784" s="39">
        <v>213.64999389648438</v>
      </c>
      <c r="C784" s="39">
        <v>193.56568908691406</v>
      </c>
      <c r="D784" s="41">
        <v>5003260</v>
      </c>
      <c r="E784" s="36" t="s">
        <v>651</v>
      </c>
      <c r="F784" s="36" t="s">
        <v>115</v>
      </c>
    </row>
    <row r="785" spans="1:6">
      <c r="A785" s="38">
        <v>43249.15625</v>
      </c>
      <c r="B785" s="39">
        <v>218.21000671386719</v>
      </c>
      <c r="C785" s="39">
        <v>197.69706726074219</v>
      </c>
      <c r="D785" s="41">
        <v>8047595</v>
      </c>
      <c r="E785" s="36" t="s">
        <v>651</v>
      </c>
      <c r="F785" s="36" t="s">
        <v>115</v>
      </c>
    </row>
    <row r="786" spans="1:6">
      <c r="A786" s="38">
        <v>43250.15625</v>
      </c>
      <c r="B786" s="39">
        <v>217.64999389648438</v>
      </c>
      <c r="C786" s="39">
        <v>197.18966674804688</v>
      </c>
      <c r="D786" s="41">
        <v>4905305</v>
      </c>
      <c r="E786" s="36" t="s">
        <v>651</v>
      </c>
      <c r="F786" s="36" t="s">
        <v>115</v>
      </c>
    </row>
    <row r="787" spans="1:6">
      <c r="A787" s="38">
        <v>43251.15625</v>
      </c>
      <c r="B787" s="39">
        <v>223.41999816894531</v>
      </c>
      <c r="C787" s="39">
        <v>202.41729736328125</v>
      </c>
      <c r="D787" s="41">
        <v>12705035</v>
      </c>
      <c r="E787" s="36" t="s">
        <v>651</v>
      </c>
      <c r="F787" s="36" t="s">
        <v>115</v>
      </c>
    </row>
    <row r="788" spans="1:6">
      <c r="A788" s="38">
        <v>43252.15625</v>
      </c>
      <c r="B788" s="39">
        <v>221.44000244140625</v>
      </c>
      <c r="C788" s="39">
        <v>200.62339782714844</v>
      </c>
      <c r="D788" s="41">
        <v>5130935</v>
      </c>
      <c r="E788" s="36" t="s">
        <v>651</v>
      </c>
      <c r="F788" s="36" t="s">
        <v>115</v>
      </c>
    </row>
    <row r="789" spans="1:6">
      <c r="A789" s="38">
        <v>43255.15625</v>
      </c>
      <c r="B789" s="39">
        <v>217.1300048828125</v>
      </c>
      <c r="C789" s="39">
        <v>196.71858215332031</v>
      </c>
      <c r="D789" s="41">
        <v>3510025</v>
      </c>
      <c r="E789" s="36" t="s">
        <v>651</v>
      </c>
      <c r="F789" s="36" t="s">
        <v>115</v>
      </c>
    </row>
    <row r="790" spans="1:6">
      <c r="A790" s="38">
        <v>43256.15625</v>
      </c>
      <c r="B790" s="39">
        <v>203.88999938964844</v>
      </c>
      <c r="C790" s="39">
        <v>184.72319030761719</v>
      </c>
      <c r="D790" s="41">
        <v>10066860</v>
      </c>
      <c r="E790" s="36" t="s">
        <v>651</v>
      </c>
      <c r="F790" s="36" t="s">
        <v>115</v>
      </c>
    </row>
    <row r="791" spans="1:6">
      <c r="A791" s="38">
        <v>43257.15625</v>
      </c>
      <c r="B791" s="39">
        <v>210.08000183105469</v>
      </c>
      <c r="C791" s="39">
        <v>190.331298828125</v>
      </c>
      <c r="D791" s="41">
        <v>17557250</v>
      </c>
      <c r="E791" s="36" t="s">
        <v>651</v>
      </c>
      <c r="F791" s="36" t="s">
        <v>115</v>
      </c>
    </row>
    <row r="792" spans="1:6">
      <c r="A792" s="38">
        <v>43258.15625</v>
      </c>
      <c r="B792" s="39">
        <v>213.74000549316406</v>
      </c>
      <c r="C792" s="39">
        <v>193.64726257324219</v>
      </c>
      <c r="D792" s="41">
        <v>6199745</v>
      </c>
      <c r="E792" s="36" t="s">
        <v>651</v>
      </c>
      <c r="F792" s="36" t="s">
        <v>115</v>
      </c>
    </row>
    <row r="793" spans="1:6">
      <c r="A793" s="38">
        <v>43259.15625</v>
      </c>
      <c r="B793" s="39">
        <v>214.52999877929688</v>
      </c>
      <c r="C793" s="39">
        <v>194.36296081542969</v>
      </c>
      <c r="D793" s="41">
        <v>5666830</v>
      </c>
      <c r="E793" s="36" t="s">
        <v>651</v>
      </c>
      <c r="F793" s="36" t="s">
        <v>115</v>
      </c>
    </row>
    <row r="794" spans="1:6">
      <c r="A794" s="38">
        <v>43262.15625</v>
      </c>
      <c r="B794" s="39">
        <v>216.94999694824219</v>
      </c>
      <c r="C794" s="39">
        <v>196.55549621582031</v>
      </c>
      <c r="D794" s="41">
        <v>4329485</v>
      </c>
      <c r="E794" s="36" t="s">
        <v>651</v>
      </c>
      <c r="F794" s="36" t="s">
        <v>115</v>
      </c>
    </row>
    <row r="795" spans="1:6">
      <c r="A795" s="38">
        <v>43263.15625</v>
      </c>
      <c r="B795" s="39">
        <v>225.10000610351563</v>
      </c>
      <c r="C795" s="39">
        <v>203.93934631347656</v>
      </c>
      <c r="D795" s="41">
        <v>11303665</v>
      </c>
      <c r="E795" s="36" t="s">
        <v>651</v>
      </c>
      <c r="F795" s="36" t="s">
        <v>115</v>
      </c>
    </row>
    <row r="796" spans="1:6">
      <c r="A796" s="38">
        <v>43264.15625</v>
      </c>
      <c r="B796" s="39">
        <v>224.19999694824219</v>
      </c>
      <c r="C796" s="39">
        <v>203.12394714355469</v>
      </c>
      <c r="D796" s="41">
        <v>5668335</v>
      </c>
      <c r="E796" s="36" t="s">
        <v>651</v>
      </c>
      <c r="F796" s="36" t="s">
        <v>115</v>
      </c>
    </row>
    <row r="797" spans="1:6">
      <c r="A797" s="38">
        <v>43265.15625</v>
      </c>
      <c r="B797" s="39">
        <v>225.61000061035156</v>
      </c>
      <c r="C797" s="39">
        <v>204.40141296386719</v>
      </c>
      <c r="D797" s="41">
        <v>5766815</v>
      </c>
      <c r="E797" s="36" t="s">
        <v>651</v>
      </c>
      <c r="F797" s="36" t="s">
        <v>115</v>
      </c>
    </row>
    <row r="798" spans="1:6">
      <c r="A798" s="38">
        <v>43266.15625</v>
      </c>
      <c r="B798" s="39">
        <v>226.61000061035156</v>
      </c>
      <c r="C798" s="39">
        <v>205.30741882324219</v>
      </c>
      <c r="D798" s="41">
        <v>4180385</v>
      </c>
      <c r="E798" s="36" t="s">
        <v>651</v>
      </c>
      <c r="F798" s="36" t="s">
        <v>115</v>
      </c>
    </row>
    <row r="799" spans="1:6">
      <c r="A799" s="38">
        <v>43269.15625</v>
      </c>
      <c r="B799" s="39">
        <v>222.33999633789063</v>
      </c>
      <c r="C799" s="39">
        <v>201.43879699707031</v>
      </c>
      <c r="D799" s="41">
        <v>3593525</v>
      </c>
      <c r="E799" s="36" t="s">
        <v>651</v>
      </c>
      <c r="F799" s="36" t="s">
        <v>115</v>
      </c>
    </row>
    <row r="800" spans="1:6">
      <c r="A800" s="38">
        <v>43270.15625</v>
      </c>
      <c r="B800" s="39">
        <v>220.82000732421875</v>
      </c>
      <c r="C800" s="39">
        <v>200.06170654296875</v>
      </c>
      <c r="D800" s="41">
        <v>3931300</v>
      </c>
      <c r="E800" s="36" t="s">
        <v>651</v>
      </c>
      <c r="F800" s="36" t="s">
        <v>115</v>
      </c>
    </row>
    <row r="801" spans="1:6">
      <c r="A801" s="38">
        <v>43271.15625</v>
      </c>
      <c r="B801" s="39">
        <v>226.61000061035156</v>
      </c>
      <c r="C801" s="39">
        <v>205.30741882324219</v>
      </c>
      <c r="D801" s="41">
        <v>5002635</v>
      </c>
      <c r="E801" s="36" t="s">
        <v>651</v>
      </c>
      <c r="F801" s="36" t="s">
        <v>115</v>
      </c>
    </row>
    <row r="802" spans="1:6">
      <c r="A802" s="38">
        <v>43272.15625</v>
      </c>
      <c r="B802" s="39">
        <v>223.66000366210938</v>
      </c>
      <c r="C802" s="39">
        <v>202.63473510742188</v>
      </c>
      <c r="D802" s="41">
        <v>7747860</v>
      </c>
      <c r="E802" s="36" t="s">
        <v>651</v>
      </c>
      <c r="F802" s="36" t="s">
        <v>115</v>
      </c>
    </row>
    <row r="803" spans="1:6">
      <c r="A803" s="38">
        <v>43273.15625</v>
      </c>
      <c r="B803" s="39">
        <v>220.25</v>
      </c>
      <c r="C803" s="39">
        <v>199.54527282714844</v>
      </c>
      <c r="D803" s="41">
        <v>4167395</v>
      </c>
      <c r="E803" s="36" t="s">
        <v>651</v>
      </c>
      <c r="F803" s="36" t="s">
        <v>115</v>
      </c>
    </row>
    <row r="804" spans="1:6">
      <c r="A804" s="38">
        <v>43276.15625</v>
      </c>
      <c r="B804" s="39">
        <v>219.17999267578125</v>
      </c>
      <c r="C804" s="39">
        <v>198.57586669921875</v>
      </c>
      <c r="D804" s="41">
        <v>4883330</v>
      </c>
      <c r="E804" s="36" t="s">
        <v>651</v>
      </c>
      <c r="F804" s="36" t="s">
        <v>115</v>
      </c>
    </row>
    <row r="805" spans="1:6">
      <c r="A805" s="38">
        <v>43277.15625</v>
      </c>
      <c r="B805" s="39">
        <v>221.94000244140625</v>
      </c>
      <c r="C805" s="39">
        <v>201.07640075683594</v>
      </c>
      <c r="D805" s="41">
        <v>5007720</v>
      </c>
      <c r="E805" s="36" t="s">
        <v>651</v>
      </c>
      <c r="F805" s="36" t="s">
        <v>115</v>
      </c>
    </row>
    <row r="806" spans="1:6">
      <c r="A806" s="38">
        <v>43278.15625</v>
      </c>
      <c r="B806" s="39">
        <v>217.82000732421875</v>
      </c>
      <c r="C806" s="39">
        <v>197.34373474121094</v>
      </c>
      <c r="D806" s="41">
        <v>4692960</v>
      </c>
      <c r="E806" s="36" t="s">
        <v>651</v>
      </c>
      <c r="F806" s="36" t="s">
        <v>115</v>
      </c>
    </row>
    <row r="807" spans="1:6">
      <c r="A807" s="38">
        <v>43279.15625</v>
      </c>
      <c r="B807" s="39">
        <v>212.13999938964844</v>
      </c>
      <c r="C807" s="39">
        <v>192.19767761230469</v>
      </c>
      <c r="D807" s="41">
        <v>5917945</v>
      </c>
      <c r="E807" s="36" t="s">
        <v>651</v>
      </c>
      <c r="F807" s="36" t="s">
        <v>115</v>
      </c>
    </row>
    <row r="808" spans="1:6">
      <c r="A808" s="38">
        <v>43280.15625</v>
      </c>
      <c r="B808" s="39">
        <v>219.58000183105469</v>
      </c>
      <c r="C808" s="39">
        <v>198.93826293945313</v>
      </c>
      <c r="D808" s="41">
        <v>4837770</v>
      </c>
      <c r="E808" s="36" t="s">
        <v>651</v>
      </c>
      <c r="F808" s="36" t="s">
        <v>115</v>
      </c>
    </row>
    <row r="809" spans="1:6">
      <c r="A809" s="38">
        <v>43283.15625</v>
      </c>
      <c r="B809" s="39">
        <v>220.94000244140625</v>
      </c>
      <c r="C809" s="39">
        <v>200.17044067382813</v>
      </c>
      <c r="D809" s="41">
        <v>4223650</v>
      </c>
      <c r="E809" s="36" t="s">
        <v>651</v>
      </c>
      <c r="F809" s="36" t="s">
        <v>115</v>
      </c>
    </row>
    <row r="810" spans="1:6">
      <c r="A810" s="38">
        <v>43284.15625</v>
      </c>
      <c r="B810" s="39">
        <v>222.44999694824219</v>
      </c>
      <c r="C810" s="39">
        <v>201.53846740722656</v>
      </c>
      <c r="D810" s="41">
        <v>3006465</v>
      </c>
      <c r="E810" s="36" t="s">
        <v>651</v>
      </c>
      <c r="F810" s="36" t="s">
        <v>115</v>
      </c>
    </row>
    <row r="811" spans="1:6">
      <c r="A811" s="38">
        <v>43285.15625</v>
      </c>
      <c r="B811" s="39">
        <v>222.28999328613281</v>
      </c>
      <c r="C811" s="39">
        <v>201.39352416992188</v>
      </c>
      <c r="D811" s="41">
        <v>3944005</v>
      </c>
      <c r="E811" s="36" t="s">
        <v>651</v>
      </c>
      <c r="F811" s="36" t="s">
        <v>115</v>
      </c>
    </row>
    <row r="812" spans="1:6">
      <c r="A812" s="38">
        <v>43286.15625</v>
      </c>
      <c r="B812" s="39">
        <v>218.80000305175781</v>
      </c>
      <c r="C812" s="39">
        <v>198.2315673828125</v>
      </c>
      <c r="D812" s="41">
        <v>3024820</v>
      </c>
      <c r="E812" s="36" t="s">
        <v>651</v>
      </c>
      <c r="F812" s="36" t="s">
        <v>115</v>
      </c>
    </row>
    <row r="813" spans="1:6">
      <c r="A813" s="38">
        <v>43287.15625</v>
      </c>
      <c r="B813" s="39">
        <v>214.44000244140625</v>
      </c>
      <c r="C813" s="39">
        <v>194.28146362304688</v>
      </c>
      <c r="D813" s="41">
        <v>3386365</v>
      </c>
      <c r="E813" s="36" t="s">
        <v>651</v>
      </c>
      <c r="F813" s="36" t="s">
        <v>115</v>
      </c>
    </row>
    <row r="814" spans="1:6">
      <c r="A814" s="38">
        <v>43290.15625</v>
      </c>
      <c r="B814" s="39">
        <v>220.3699951171875</v>
      </c>
      <c r="C814" s="39">
        <v>199.65399169921875</v>
      </c>
      <c r="D814" s="41">
        <v>3951995</v>
      </c>
      <c r="E814" s="36" t="s">
        <v>651</v>
      </c>
      <c r="F814" s="36" t="s">
        <v>115</v>
      </c>
    </row>
    <row r="815" spans="1:6">
      <c r="A815" s="38">
        <v>43291.15625</v>
      </c>
      <c r="B815" s="39">
        <v>223.80000305175781</v>
      </c>
      <c r="C815" s="39">
        <v>202.76153564453125</v>
      </c>
      <c r="D815" s="41">
        <v>4759625</v>
      </c>
      <c r="E815" s="36" t="s">
        <v>651</v>
      </c>
      <c r="F815" s="36" t="s">
        <v>115</v>
      </c>
    </row>
    <row r="816" spans="1:6">
      <c r="A816" s="38">
        <v>43292.15625</v>
      </c>
      <c r="B816" s="39">
        <v>225.63999938964844</v>
      </c>
      <c r="C816" s="39">
        <v>204.42855834960938</v>
      </c>
      <c r="D816" s="41">
        <v>5682390</v>
      </c>
      <c r="E816" s="36" t="s">
        <v>651</v>
      </c>
      <c r="F816" s="36" t="s">
        <v>115</v>
      </c>
    </row>
    <row r="817" spans="1:6">
      <c r="A817" s="38">
        <v>43293.15625</v>
      </c>
      <c r="B817" s="39">
        <v>227.3699951171875</v>
      </c>
      <c r="C817" s="39">
        <v>205.99595642089844</v>
      </c>
      <c r="D817" s="41">
        <v>3474260</v>
      </c>
      <c r="E817" s="36" t="s">
        <v>651</v>
      </c>
      <c r="F817" s="36" t="s">
        <v>115</v>
      </c>
    </row>
    <row r="818" spans="1:6">
      <c r="A818" s="38">
        <v>43294.15625</v>
      </c>
      <c r="B818" s="39">
        <v>227.41000366210938</v>
      </c>
      <c r="C818" s="39">
        <v>206.03221130371094</v>
      </c>
      <c r="D818" s="41">
        <v>6827765</v>
      </c>
      <c r="E818" s="36" t="s">
        <v>651</v>
      </c>
      <c r="F818" s="36" t="s">
        <v>115</v>
      </c>
    </row>
    <row r="819" spans="1:6">
      <c r="A819" s="38">
        <v>43297.15625</v>
      </c>
      <c r="B819" s="39">
        <v>226.91000366210938</v>
      </c>
      <c r="C819" s="39">
        <v>205.57919311523438</v>
      </c>
      <c r="D819" s="41">
        <v>2757170</v>
      </c>
      <c r="E819" s="36" t="s">
        <v>651</v>
      </c>
      <c r="F819" s="36" t="s">
        <v>115</v>
      </c>
    </row>
    <row r="820" spans="1:6">
      <c r="A820" s="38">
        <v>43298.15625</v>
      </c>
      <c r="B820" s="39">
        <v>222.94999694824219</v>
      </c>
      <c r="C820" s="39">
        <v>201.991455078125</v>
      </c>
      <c r="D820" s="41">
        <v>3456905</v>
      </c>
      <c r="E820" s="36" t="s">
        <v>651</v>
      </c>
      <c r="F820" s="36" t="s">
        <v>115</v>
      </c>
    </row>
    <row r="821" spans="1:6">
      <c r="A821" s="38">
        <v>43299.15625</v>
      </c>
      <c r="B821" s="39">
        <v>224</v>
      </c>
      <c r="C821" s="39">
        <v>202.94273376464844</v>
      </c>
      <c r="D821" s="41">
        <v>14520890</v>
      </c>
      <c r="E821" s="36" t="s">
        <v>651</v>
      </c>
      <c r="F821" s="36" t="s">
        <v>115</v>
      </c>
    </row>
    <row r="822" spans="1:6">
      <c r="A822" s="38">
        <v>43300.15625</v>
      </c>
      <c r="B822" s="39">
        <v>220.58000183105469</v>
      </c>
      <c r="C822" s="39">
        <v>199.84422302246094</v>
      </c>
      <c r="D822" s="41">
        <v>8661130</v>
      </c>
      <c r="E822" s="36" t="s">
        <v>651</v>
      </c>
      <c r="F822" s="36" t="s">
        <v>115</v>
      </c>
    </row>
    <row r="823" spans="1:6">
      <c r="A823" s="38">
        <v>43301.15625</v>
      </c>
      <c r="B823" s="39">
        <v>222.55000305175781</v>
      </c>
      <c r="C823" s="39">
        <v>201.62908935546875</v>
      </c>
      <c r="D823" s="41">
        <v>5853175</v>
      </c>
      <c r="E823" s="36" t="s">
        <v>651</v>
      </c>
      <c r="F823" s="36" t="s">
        <v>115</v>
      </c>
    </row>
    <row r="824" spans="1:6">
      <c r="A824" s="38">
        <v>43304.15625</v>
      </c>
      <c r="B824" s="39">
        <v>225.55999755859375</v>
      </c>
      <c r="C824" s="39">
        <v>204.35610961914063</v>
      </c>
      <c r="D824" s="41">
        <v>4244545</v>
      </c>
      <c r="E824" s="36" t="s">
        <v>651</v>
      </c>
      <c r="F824" s="36" t="s">
        <v>115</v>
      </c>
    </row>
    <row r="825" spans="1:6">
      <c r="A825" s="38">
        <v>43305.15625</v>
      </c>
      <c r="B825" s="39">
        <v>243.77000427246094</v>
      </c>
      <c r="C825" s="39">
        <v>220.85430908203125</v>
      </c>
      <c r="D825" s="41">
        <v>14660990</v>
      </c>
      <c r="E825" s="36" t="s">
        <v>651</v>
      </c>
      <c r="F825" s="36" t="s">
        <v>115</v>
      </c>
    </row>
    <row r="826" spans="1:6">
      <c r="A826" s="38">
        <v>43306.15625</v>
      </c>
      <c r="B826" s="39">
        <v>245.94000244140625</v>
      </c>
      <c r="C826" s="39">
        <v>222.82028198242188</v>
      </c>
      <c r="D826" s="41">
        <v>12070850</v>
      </c>
      <c r="E826" s="36" t="s">
        <v>651</v>
      </c>
      <c r="F826" s="36" t="s">
        <v>115</v>
      </c>
    </row>
    <row r="827" spans="1:6">
      <c r="A827" s="38">
        <v>43307.15625</v>
      </c>
      <c r="B827" s="39">
        <v>252.32000732421875</v>
      </c>
      <c r="C827" s="39">
        <v>228.60049438476563</v>
      </c>
      <c r="D827" s="41">
        <v>11174715</v>
      </c>
      <c r="E827" s="36" t="s">
        <v>651</v>
      </c>
      <c r="F827" s="36" t="s">
        <v>115</v>
      </c>
    </row>
    <row r="828" spans="1:6">
      <c r="A828" s="38">
        <v>43308.15625</v>
      </c>
      <c r="B828" s="39">
        <v>250.02000427246094</v>
      </c>
      <c r="C828" s="39">
        <v>226.5167236328125</v>
      </c>
      <c r="D828" s="41">
        <v>3932460</v>
      </c>
      <c r="E828" s="36" t="s">
        <v>651</v>
      </c>
      <c r="F828" s="36" t="s">
        <v>115</v>
      </c>
    </row>
    <row r="829" spans="1:6">
      <c r="A829" s="38">
        <v>43311.15625</v>
      </c>
      <c r="B829" s="39">
        <v>245.44000244140625</v>
      </c>
      <c r="C829" s="39">
        <v>222.36729431152344</v>
      </c>
      <c r="D829" s="41">
        <v>2747735</v>
      </c>
      <c r="E829" s="36" t="s">
        <v>651</v>
      </c>
      <c r="F829" s="36" t="s">
        <v>115</v>
      </c>
    </row>
    <row r="830" spans="1:6">
      <c r="A830" s="38">
        <v>43312.15625</v>
      </c>
      <c r="B830" s="39">
        <v>245.3800048828125</v>
      </c>
      <c r="C830" s="39">
        <v>222.31294250488281</v>
      </c>
      <c r="D830" s="41">
        <v>5216780</v>
      </c>
      <c r="E830" s="36" t="s">
        <v>651</v>
      </c>
      <c r="F830" s="36" t="s">
        <v>115</v>
      </c>
    </row>
    <row r="831" spans="1:6">
      <c r="A831" s="38">
        <v>43313.15625</v>
      </c>
      <c r="B831" s="39">
        <v>249.77999877929688</v>
      </c>
      <c r="C831" s="39">
        <v>226.29930114746094</v>
      </c>
      <c r="D831" s="41">
        <v>5610290</v>
      </c>
      <c r="E831" s="36" t="s">
        <v>651</v>
      </c>
      <c r="F831" s="36" t="s">
        <v>115</v>
      </c>
    </row>
    <row r="832" spans="1:6">
      <c r="A832" s="38">
        <v>43314.15625</v>
      </c>
      <c r="B832" s="39">
        <v>248.53999328613281</v>
      </c>
      <c r="C832" s="39">
        <v>225.17584228515625</v>
      </c>
      <c r="D832" s="41">
        <v>3058035</v>
      </c>
      <c r="E832" s="36" t="s">
        <v>651</v>
      </c>
      <c r="F832" s="36" t="s">
        <v>115</v>
      </c>
    </row>
    <row r="833" spans="1:6">
      <c r="A833" s="38">
        <v>43315.15625</v>
      </c>
      <c r="B833" s="39">
        <v>258.72000122070313</v>
      </c>
      <c r="C833" s="39">
        <v>234.39891052246094</v>
      </c>
      <c r="D833" s="41">
        <v>9416310</v>
      </c>
      <c r="E833" s="36" t="s">
        <v>651</v>
      </c>
      <c r="F833" s="36" t="s">
        <v>115</v>
      </c>
    </row>
    <row r="834" spans="1:6">
      <c r="A834" s="38">
        <v>43318.15625</v>
      </c>
      <c r="B834" s="39">
        <v>260.82998657226563</v>
      </c>
      <c r="C834" s="39">
        <v>236.31053161621094</v>
      </c>
      <c r="D834" s="41">
        <v>6316320</v>
      </c>
      <c r="E834" s="36" t="s">
        <v>651</v>
      </c>
      <c r="F834" s="36" t="s">
        <v>115</v>
      </c>
    </row>
    <row r="835" spans="1:6">
      <c r="A835" s="38">
        <v>43319.15625</v>
      </c>
      <c r="B835" s="39">
        <v>253.69999694824219</v>
      </c>
      <c r="C835" s="39">
        <v>229.85076904296875</v>
      </c>
      <c r="D835" s="41">
        <v>4572565</v>
      </c>
      <c r="E835" s="36" t="s">
        <v>651</v>
      </c>
      <c r="F835" s="36" t="s">
        <v>115</v>
      </c>
    </row>
    <row r="836" spans="1:6">
      <c r="A836" s="38">
        <v>43320.15625</v>
      </c>
      <c r="B836" s="39">
        <v>258.35000610351563</v>
      </c>
      <c r="C836" s="39">
        <v>234.06364440917969</v>
      </c>
      <c r="D836" s="41">
        <v>5081650</v>
      </c>
      <c r="E836" s="36" t="s">
        <v>651</v>
      </c>
      <c r="F836" s="36" t="s">
        <v>115</v>
      </c>
    </row>
    <row r="837" spans="1:6">
      <c r="A837" s="38">
        <v>43321.15625</v>
      </c>
      <c r="B837" s="39">
        <v>252.89999389648438</v>
      </c>
      <c r="C837" s="39">
        <v>229.12599182128906</v>
      </c>
      <c r="D837" s="41">
        <v>3684080</v>
      </c>
      <c r="E837" s="36" t="s">
        <v>651</v>
      </c>
      <c r="F837" s="36" t="s">
        <v>115</v>
      </c>
    </row>
    <row r="838" spans="1:6">
      <c r="A838" s="38">
        <v>43322.15625</v>
      </c>
      <c r="B838" s="39">
        <v>254.74000549316406</v>
      </c>
      <c r="C838" s="39">
        <v>230.79302978515625</v>
      </c>
      <c r="D838" s="41">
        <v>3888610</v>
      </c>
      <c r="E838" s="36" t="s">
        <v>651</v>
      </c>
      <c r="F838" s="36" t="s">
        <v>115</v>
      </c>
    </row>
    <row r="839" spans="1:6">
      <c r="A839" s="38">
        <v>43325.15625</v>
      </c>
      <c r="B839" s="39">
        <v>257.92999267578125</v>
      </c>
      <c r="C839" s="39">
        <v>233.68313598632813</v>
      </c>
      <c r="D839" s="41">
        <v>3512680</v>
      </c>
      <c r="E839" s="36" t="s">
        <v>651</v>
      </c>
      <c r="F839" s="36" t="s">
        <v>115</v>
      </c>
    </row>
    <row r="840" spans="1:6">
      <c r="A840" s="38">
        <v>43326.15625</v>
      </c>
      <c r="B840" s="39">
        <v>267.47000122070313</v>
      </c>
      <c r="C840" s="39">
        <v>242.32630920410156</v>
      </c>
      <c r="D840" s="41">
        <v>7992645</v>
      </c>
      <c r="E840" s="36" t="s">
        <v>651</v>
      </c>
      <c r="F840" s="36" t="s">
        <v>115</v>
      </c>
    </row>
    <row r="841" spans="1:6">
      <c r="A841" s="38">
        <v>43328.15625</v>
      </c>
      <c r="B841" s="39">
        <v>262.45001220703125</v>
      </c>
      <c r="C841" s="39">
        <v>237.77822875976563</v>
      </c>
      <c r="D841" s="41">
        <v>4286095</v>
      </c>
      <c r="E841" s="36" t="s">
        <v>651</v>
      </c>
      <c r="F841" s="36" t="s">
        <v>115</v>
      </c>
    </row>
    <row r="842" spans="1:6">
      <c r="A842" s="38">
        <v>43329.15625</v>
      </c>
      <c r="B842" s="39">
        <v>266.25</v>
      </c>
      <c r="C842" s="39">
        <v>241.22102355957031</v>
      </c>
      <c r="D842" s="41">
        <v>3301640</v>
      </c>
      <c r="E842" s="36" t="s">
        <v>651</v>
      </c>
      <c r="F842" s="36" t="s">
        <v>115</v>
      </c>
    </row>
    <row r="843" spans="1:6">
      <c r="A843" s="38">
        <v>43332.15625</v>
      </c>
      <c r="B843" s="39">
        <v>263.14999389648438</v>
      </c>
      <c r="C843" s="39">
        <v>238.41249084472656</v>
      </c>
      <c r="D843" s="41">
        <v>1934390</v>
      </c>
      <c r="E843" s="36" t="s">
        <v>651</v>
      </c>
      <c r="F843" s="36" t="s">
        <v>115</v>
      </c>
    </row>
    <row r="844" spans="1:6">
      <c r="A844" s="38">
        <v>43333.15625</v>
      </c>
      <c r="B844" s="39">
        <v>275.20001220703125</v>
      </c>
      <c r="C844" s="39">
        <v>249.32969665527344</v>
      </c>
      <c r="D844" s="41">
        <v>8192320</v>
      </c>
      <c r="E844" s="36" t="s">
        <v>651</v>
      </c>
      <c r="F844" s="36" t="s">
        <v>115</v>
      </c>
    </row>
    <row r="845" spans="1:6">
      <c r="A845" s="38">
        <v>43335.15625</v>
      </c>
      <c r="B845" s="39">
        <v>271.6300048828125</v>
      </c>
      <c r="C845" s="39">
        <v>246.0953369140625</v>
      </c>
      <c r="D845" s="41">
        <v>6586255</v>
      </c>
      <c r="E845" s="36" t="s">
        <v>651</v>
      </c>
      <c r="F845" s="36" t="s">
        <v>115</v>
      </c>
    </row>
    <row r="846" spans="1:6">
      <c r="A846" s="38">
        <v>43336.15625</v>
      </c>
      <c r="B846" s="39">
        <v>267.82000732421875</v>
      </c>
      <c r="C846" s="39">
        <v>242.64347839355469</v>
      </c>
      <c r="D846" s="41">
        <v>4739780</v>
      </c>
      <c r="E846" s="36" t="s">
        <v>651</v>
      </c>
      <c r="F846" s="36" t="s">
        <v>115</v>
      </c>
    </row>
    <row r="847" spans="1:6">
      <c r="A847" s="38">
        <v>43339.15625</v>
      </c>
      <c r="B847" s="39">
        <v>268.57000732421875</v>
      </c>
      <c r="C847" s="39">
        <v>243.32295227050781</v>
      </c>
      <c r="D847" s="41">
        <v>3329500</v>
      </c>
      <c r="E847" s="36" t="s">
        <v>651</v>
      </c>
      <c r="F847" s="36" t="s">
        <v>115</v>
      </c>
    </row>
    <row r="848" spans="1:6">
      <c r="A848" s="38">
        <v>43340.15625</v>
      </c>
      <c r="B848" s="39">
        <v>268.3599853515625</v>
      </c>
      <c r="C848" s="39">
        <v>243.13264465332031</v>
      </c>
      <c r="D848" s="41">
        <v>3649315</v>
      </c>
      <c r="E848" s="36" t="s">
        <v>651</v>
      </c>
      <c r="F848" s="36" t="s">
        <v>115</v>
      </c>
    </row>
    <row r="849" spans="1:6">
      <c r="A849" s="38">
        <v>43341.15625</v>
      </c>
      <c r="B849" s="39">
        <v>265.79000854492188</v>
      </c>
      <c r="C849" s="39">
        <v>240.80429077148438</v>
      </c>
      <c r="D849" s="41">
        <v>3096790</v>
      </c>
      <c r="E849" s="36" t="s">
        <v>651</v>
      </c>
      <c r="F849" s="36" t="s">
        <v>115</v>
      </c>
    </row>
    <row r="850" spans="1:6">
      <c r="A850" s="38">
        <v>43342.15625</v>
      </c>
      <c r="B850" s="39">
        <v>271.1099853515625</v>
      </c>
      <c r="C850" s="39">
        <v>245.62419128417969</v>
      </c>
      <c r="D850" s="41">
        <v>3054615</v>
      </c>
      <c r="E850" s="36" t="s">
        <v>651</v>
      </c>
      <c r="F850" s="36" t="s">
        <v>115</v>
      </c>
    </row>
    <row r="851" spans="1:6">
      <c r="A851" s="38">
        <v>43343.15625</v>
      </c>
      <c r="B851" s="39">
        <v>281.33999633789063</v>
      </c>
      <c r="C851" s="39">
        <v>254.89248657226563</v>
      </c>
      <c r="D851" s="41">
        <v>5910780</v>
      </c>
      <c r="E851" s="36" t="s">
        <v>651</v>
      </c>
      <c r="F851" s="36" t="s">
        <v>115</v>
      </c>
    </row>
    <row r="852" spans="1:6">
      <c r="A852" s="38">
        <v>43346.15625</v>
      </c>
      <c r="B852" s="39">
        <v>276.26998901367188</v>
      </c>
      <c r="C852" s="39">
        <v>250.299072265625</v>
      </c>
      <c r="D852" s="41">
        <v>4210385</v>
      </c>
      <c r="E852" s="36" t="s">
        <v>651</v>
      </c>
      <c r="F852" s="36" t="s">
        <v>115</v>
      </c>
    </row>
    <row r="853" spans="1:6">
      <c r="A853" s="38">
        <v>43347.15625</v>
      </c>
      <c r="B853" s="39">
        <v>272.8800048828125</v>
      </c>
      <c r="C853" s="39">
        <v>247.22772216796875</v>
      </c>
      <c r="D853" s="41">
        <v>4081070</v>
      </c>
      <c r="E853" s="36" t="s">
        <v>651</v>
      </c>
      <c r="F853" s="36" t="s">
        <v>115</v>
      </c>
    </row>
    <row r="854" spans="1:6">
      <c r="A854" s="38">
        <v>43348.15625</v>
      </c>
      <c r="B854" s="39">
        <v>269.3800048828125</v>
      </c>
      <c r="C854" s="39">
        <v>244.05677795410156</v>
      </c>
      <c r="D854" s="41">
        <v>4315445</v>
      </c>
      <c r="E854" s="36" t="s">
        <v>651</v>
      </c>
      <c r="F854" s="36" t="s">
        <v>115</v>
      </c>
    </row>
    <row r="855" spans="1:6">
      <c r="A855" s="38">
        <v>43349.15625</v>
      </c>
      <c r="B855" s="39">
        <v>271.239990234375</v>
      </c>
      <c r="C855" s="39">
        <v>245.74188232421875</v>
      </c>
      <c r="D855" s="41">
        <v>4331440</v>
      </c>
      <c r="E855" s="36" t="s">
        <v>651</v>
      </c>
      <c r="F855" s="36" t="s">
        <v>115</v>
      </c>
    </row>
    <row r="856" spans="1:6">
      <c r="A856" s="38">
        <v>43350.15625</v>
      </c>
      <c r="B856" s="39">
        <v>274.29000854492188</v>
      </c>
      <c r="C856" s="39">
        <v>248.50521850585938</v>
      </c>
      <c r="D856" s="41">
        <v>2818025</v>
      </c>
      <c r="E856" s="36" t="s">
        <v>651</v>
      </c>
      <c r="F856" s="36" t="s">
        <v>115</v>
      </c>
    </row>
    <row r="857" spans="1:6">
      <c r="A857" s="38">
        <v>43353.15625</v>
      </c>
      <c r="B857" s="39">
        <v>280.54000854492188</v>
      </c>
      <c r="C857" s="39">
        <v>254.16763305664063</v>
      </c>
      <c r="D857" s="41">
        <v>5555340</v>
      </c>
      <c r="E857" s="36" t="s">
        <v>651</v>
      </c>
      <c r="F857" s="36" t="s">
        <v>115</v>
      </c>
    </row>
    <row r="858" spans="1:6">
      <c r="A858" s="38">
        <v>43354.15625</v>
      </c>
      <c r="B858" s="39">
        <v>263.94000244140625</v>
      </c>
      <c r="C858" s="39">
        <v>239.12820434570313</v>
      </c>
      <c r="D858" s="41">
        <v>4118355</v>
      </c>
      <c r="E858" s="36" t="s">
        <v>651</v>
      </c>
      <c r="F858" s="36" t="s">
        <v>115</v>
      </c>
    </row>
    <row r="859" spans="1:6">
      <c r="A859" s="38">
        <v>43355.15625</v>
      </c>
      <c r="B859" s="39">
        <v>264.26998901367188</v>
      </c>
      <c r="C859" s="39">
        <v>242.17977905273438</v>
      </c>
      <c r="D859" s="41">
        <v>6608745</v>
      </c>
      <c r="E859" s="36" t="s">
        <v>651</v>
      </c>
      <c r="F859" s="36" t="s">
        <v>115</v>
      </c>
    </row>
    <row r="860" spans="1:6">
      <c r="A860" s="38">
        <v>43357.15625</v>
      </c>
      <c r="B860" s="39">
        <v>266.82000732421875</v>
      </c>
      <c r="C860" s="39">
        <v>244.5167236328125</v>
      </c>
      <c r="D860" s="41">
        <v>3643250</v>
      </c>
      <c r="E860" s="36" t="s">
        <v>651</v>
      </c>
      <c r="F860" s="36" t="s">
        <v>115</v>
      </c>
    </row>
    <row r="861" spans="1:6">
      <c r="A861" s="38">
        <v>43360.15625</v>
      </c>
      <c r="B861" s="39">
        <v>269.19000244140625</v>
      </c>
      <c r="C861" s="39">
        <v>246.68853759765625</v>
      </c>
      <c r="D861" s="41">
        <v>4285415</v>
      </c>
      <c r="E861" s="36" t="s">
        <v>651</v>
      </c>
      <c r="F861" s="36" t="s">
        <v>115</v>
      </c>
    </row>
    <row r="862" spans="1:6">
      <c r="A862" s="38">
        <v>43361.15625</v>
      </c>
      <c r="B862" s="39">
        <v>261.42001342773438</v>
      </c>
      <c r="C862" s="39">
        <v>239.56806945800781</v>
      </c>
      <c r="D862" s="41">
        <v>2575345</v>
      </c>
      <c r="E862" s="36" t="s">
        <v>651</v>
      </c>
      <c r="F862" s="36" t="s">
        <v>115</v>
      </c>
    </row>
    <row r="863" spans="1:6">
      <c r="A863" s="38">
        <v>43362.15625</v>
      </c>
      <c r="B863" s="39">
        <v>254.67999267578125</v>
      </c>
      <c r="C863" s="39">
        <v>233.39143371582031</v>
      </c>
      <c r="D863" s="41">
        <v>4345095</v>
      </c>
      <c r="E863" s="36" t="s">
        <v>651</v>
      </c>
      <c r="F863" s="36" t="s">
        <v>115</v>
      </c>
    </row>
    <row r="864" spans="1:6">
      <c r="A864" s="38">
        <v>43364.15625</v>
      </c>
      <c r="B864" s="39">
        <v>242.75</v>
      </c>
      <c r="C864" s="39">
        <v>222.45866394042969</v>
      </c>
      <c r="D864" s="41">
        <v>6201160</v>
      </c>
      <c r="E864" s="36" t="s">
        <v>651</v>
      </c>
      <c r="F864" s="36" t="s">
        <v>115</v>
      </c>
    </row>
    <row r="865" spans="1:6">
      <c r="A865" s="38">
        <v>43367.15625</v>
      </c>
      <c r="B865" s="39">
        <v>245.71000671386719</v>
      </c>
      <c r="C865" s="39">
        <v>225.1712646484375</v>
      </c>
      <c r="D865" s="41">
        <v>5292265</v>
      </c>
      <c r="E865" s="36" t="s">
        <v>651</v>
      </c>
      <c r="F865" s="36" t="s">
        <v>115</v>
      </c>
    </row>
    <row r="866" spans="1:6">
      <c r="A866" s="38">
        <v>43368.15625</v>
      </c>
      <c r="B866" s="39">
        <v>242.77000427246094</v>
      </c>
      <c r="C866" s="39">
        <v>222.47698974609375</v>
      </c>
      <c r="D866" s="41">
        <v>3700230</v>
      </c>
      <c r="E866" s="36" t="s">
        <v>651</v>
      </c>
      <c r="F866" s="36" t="s">
        <v>115</v>
      </c>
    </row>
    <row r="867" spans="1:6">
      <c r="A867" s="38">
        <v>43369.15625</v>
      </c>
      <c r="B867" s="39">
        <v>233.52000427246094</v>
      </c>
      <c r="C867" s="39">
        <v>214.00022888183594</v>
      </c>
      <c r="D867" s="41">
        <v>6074605</v>
      </c>
      <c r="E867" s="36" t="s">
        <v>651</v>
      </c>
      <c r="F867" s="36" t="s">
        <v>115</v>
      </c>
    </row>
    <row r="868" spans="1:6">
      <c r="A868" s="38">
        <v>43370.15625</v>
      </c>
      <c r="B868" s="39">
        <v>223.86000061035156</v>
      </c>
      <c r="C868" s="39">
        <v>205.14767456054688</v>
      </c>
      <c r="D868" s="41">
        <v>6322545</v>
      </c>
      <c r="E868" s="36" t="s">
        <v>651</v>
      </c>
      <c r="F868" s="36" t="s">
        <v>115</v>
      </c>
    </row>
    <row r="869" spans="1:6">
      <c r="A869" s="38">
        <v>43371.15625</v>
      </c>
      <c r="B869" s="39">
        <v>219.41999816894531</v>
      </c>
      <c r="C869" s="39">
        <v>201.07881164550781</v>
      </c>
      <c r="D869" s="41">
        <v>6237175</v>
      </c>
      <c r="E869" s="36" t="s">
        <v>651</v>
      </c>
      <c r="F869" s="36" t="s">
        <v>115</v>
      </c>
    </row>
    <row r="870" spans="1:6">
      <c r="A870" s="38">
        <v>43374.15625</v>
      </c>
      <c r="B870" s="39">
        <v>233.42999267578125</v>
      </c>
      <c r="C870" s="39">
        <v>213.91770935058594</v>
      </c>
      <c r="D870" s="41">
        <v>5417325</v>
      </c>
      <c r="E870" s="36" t="s">
        <v>651</v>
      </c>
      <c r="F870" s="36" t="s">
        <v>115</v>
      </c>
    </row>
    <row r="871" spans="1:6">
      <c r="A871" s="38">
        <v>43376.15625</v>
      </c>
      <c r="B871" s="39">
        <v>241.32000732421875</v>
      </c>
      <c r="C871" s="39">
        <v>221.148193359375</v>
      </c>
      <c r="D871" s="41">
        <v>7535630</v>
      </c>
      <c r="E871" s="36" t="s">
        <v>651</v>
      </c>
      <c r="F871" s="36" t="s">
        <v>115</v>
      </c>
    </row>
    <row r="872" spans="1:6">
      <c r="A872" s="38">
        <v>43377.15625</v>
      </c>
      <c r="B872" s="39">
        <v>239.55999755859375</v>
      </c>
      <c r="C872" s="39">
        <v>219.53530883789063</v>
      </c>
      <c r="D872" s="41">
        <v>5542410</v>
      </c>
      <c r="E872" s="36" t="s">
        <v>651</v>
      </c>
      <c r="F872" s="36" t="s">
        <v>115</v>
      </c>
    </row>
    <row r="873" spans="1:6">
      <c r="A873" s="38">
        <v>43378.15625</v>
      </c>
      <c r="B873" s="39">
        <v>232.55000305175781</v>
      </c>
      <c r="C873" s="39">
        <v>213.11126708984375</v>
      </c>
      <c r="D873" s="41">
        <v>4130570</v>
      </c>
      <c r="E873" s="36" t="s">
        <v>651</v>
      </c>
      <c r="F873" s="36" t="s">
        <v>115</v>
      </c>
    </row>
    <row r="874" spans="1:6">
      <c r="A874" s="38">
        <v>43381.15625</v>
      </c>
      <c r="B874" s="39">
        <v>225.08000183105469</v>
      </c>
      <c r="C874" s="39">
        <v>206.26576232910156</v>
      </c>
      <c r="D874" s="41">
        <v>5200960</v>
      </c>
      <c r="E874" s="36" t="s">
        <v>651</v>
      </c>
      <c r="F874" s="36" t="s">
        <v>115</v>
      </c>
    </row>
    <row r="875" spans="1:6">
      <c r="A875" s="38">
        <v>43382.15625</v>
      </c>
      <c r="B875" s="39">
        <v>223.41000366210938</v>
      </c>
      <c r="C875" s="39">
        <v>204.73530578613281</v>
      </c>
      <c r="D875" s="41">
        <v>4383485</v>
      </c>
      <c r="E875" s="36" t="s">
        <v>651</v>
      </c>
      <c r="F875" s="36" t="s">
        <v>115</v>
      </c>
    </row>
    <row r="876" spans="1:6">
      <c r="A876" s="38">
        <v>43383.15625</v>
      </c>
      <c r="B876" s="39">
        <v>238.69000244140625</v>
      </c>
      <c r="C876" s="39">
        <v>218.73806762695313</v>
      </c>
      <c r="D876" s="41">
        <v>5247205</v>
      </c>
      <c r="E876" s="36" t="s">
        <v>651</v>
      </c>
      <c r="F876" s="36" t="s">
        <v>115</v>
      </c>
    </row>
    <row r="877" spans="1:6">
      <c r="A877" s="38">
        <v>43384.15625</v>
      </c>
      <c r="B877" s="39">
        <v>211.24000549316406</v>
      </c>
      <c r="C877" s="39">
        <v>193.58258056640625</v>
      </c>
      <c r="D877" s="41">
        <v>9138185</v>
      </c>
      <c r="E877" s="36" t="s">
        <v>651</v>
      </c>
      <c r="F877" s="36" t="s">
        <v>115</v>
      </c>
    </row>
    <row r="878" spans="1:6">
      <c r="A878" s="38">
        <v>43385.15625</v>
      </c>
      <c r="B878" s="39">
        <v>208.99000549316406</v>
      </c>
      <c r="C878" s="39">
        <v>191.52064514160156</v>
      </c>
      <c r="D878" s="41">
        <v>9844225</v>
      </c>
      <c r="E878" s="36" t="s">
        <v>651</v>
      </c>
      <c r="F878" s="36" t="s">
        <v>115</v>
      </c>
    </row>
    <row r="879" spans="1:6">
      <c r="A879" s="38">
        <v>43388.15625</v>
      </c>
      <c r="B879" s="39">
        <v>219.03999328613281</v>
      </c>
      <c r="C879" s="39">
        <v>200.73057556152344</v>
      </c>
      <c r="D879" s="41">
        <v>5949335</v>
      </c>
      <c r="E879" s="36" t="s">
        <v>651</v>
      </c>
      <c r="F879" s="36" t="s">
        <v>115</v>
      </c>
    </row>
    <row r="880" spans="1:6">
      <c r="A880" s="38">
        <v>43389.15625</v>
      </c>
      <c r="B880" s="39">
        <v>227.8699951171875</v>
      </c>
      <c r="C880" s="39">
        <v>208.82247924804688</v>
      </c>
      <c r="D880" s="41">
        <v>5261095</v>
      </c>
      <c r="E880" s="36" t="s">
        <v>651</v>
      </c>
      <c r="F880" s="36" t="s">
        <v>115</v>
      </c>
    </row>
    <row r="881" spans="1:6">
      <c r="A881" s="38">
        <v>43390.15625</v>
      </c>
      <c r="B881" s="39">
        <v>238.30999755859375</v>
      </c>
      <c r="C881" s="39">
        <v>218.38980102539063</v>
      </c>
      <c r="D881" s="41">
        <v>24858465</v>
      </c>
      <c r="E881" s="36" t="s">
        <v>651</v>
      </c>
      <c r="F881" s="36" t="s">
        <v>115</v>
      </c>
    </row>
    <row r="882" spans="1:6">
      <c r="A882" s="38">
        <v>43392.15625</v>
      </c>
      <c r="B882" s="39">
        <v>247.64999389648438</v>
      </c>
      <c r="C882" s="39">
        <v>226.94908142089844</v>
      </c>
      <c r="D882" s="41">
        <v>16895940</v>
      </c>
      <c r="E882" s="36" t="s">
        <v>651</v>
      </c>
      <c r="F882" s="36" t="s">
        <v>115</v>
      </c>
    </row>
    <row r="883" spans="1:6">
      <c r="A883" s="38">
        <v>43395.15625</v>
      </c>
      <c r="B883" s="39">
        <v>249.05999755859375</v>
      </c>
      <c r="C883" s="39">
        <v>228.24122619628906</v>
      </c>
      <c r="D883" s="41">
        <v>5429985</v>
      </c>
      <c r="E883" s="36" t="s">
        <v>651</v>
      </c>
      <c r="F883" s="36" t="s">
        <v>115</v>
      </c>
    </row>
    <row r="884" spans="1:6">
      <c r="A884" s="38">
        <v>43396.15625</v>
      </c>
      <c r="B884" s="39">
        <v>244.91999816894531</v>
      </c>
      <c r="C884" s="39">
        <v>224.44728088378906</v>
      </c>
      <c r="D884" s="41">
        <v>3899040</v>
      </c>
      <c r="E884" s="36" t="s">
        <v>651</v>
      </c>
      <c r="F884" s="36" t="s">
        <v>115</v>
      </c>
    </row>
    <row r="885" spans="1:6">
      <c r="A885" s="38">
        <v>43397.15625</v>
      </c>
      <c r="B885" s="39">
        <v>244.80000305175781</v>
      </c>
      <c r="C885" s="39">
        <v>224.33735656738281</v>
      </c>
      <c r="D885" s="41">
        <v>5994640</v>
      </c>
      <c r="E885" s="36" t="s">
        <v>651</v>
      </c>
      <c r="F885" s="36" t="s">
        <v>115</v>
      </c>
    </row>
    <row r="886" spans="1:6">
      <c r="A886" s="38">
        <v>43398.15625</v>
      </c>
      <c r="B886" s="39">
        <v>236.27999877929688</v>
      </c>
      <c r="C886" s="39">
        <v>216.52949523925781</v>
      </c>
      <c r="D886" s="41">
        <v>4456875</v>
      </c>
      <c r="E886" s="36" t="s">
        <v>651</v>
      </c>
      <c r="F886" s="36" t="s">
        <v>115</v>
      </c>
    </row>
    <row r="887" spans="1:6">
      <c r="A887" s="38">
        <v>43399.15625</v>
      </c>
      <c r="B887" s="39">
        <v>238.39999389648438</v>
      </c>
      <c r="C887" s="39">
        <v>218.47230529785156</v>
      </c>
      <c r="D887" s="41">
        <v>4597520</v>
      </c>
      <c r="E887" s="36" t="s">
        <v>651</v>
      </c>
      <c r="F887" s="36" t="s">
        <v>115</v>
      </c>
    </row>
    <row r="888" spans="1:6">
      <c r="A888" s="38">
        <v>43402.15625</v>
      </c>
      <c r="B888" s="39">
        <v>250.52999877929688</v>
      </c>
      <c r="C888" s="39">
        <v>229.58830261230469</v>
      </c>
      <c r="D888" s="41">
        <v>6686630</v>
      </c>
      <c r="E888" s="36" t="s">
        <v>651</v>
      </c>
      <c r="F888" s="36" t="s">
        <v>115</v>
      </c>
    </row>
    <row r="889" spans="1:6">
      <c r="A889" s="38">
        <v>43403.15625</v>
      </c>
      <c r="B889" s="39">
        <v>241.99000549316406</v>
      </c>
      <c r="C889" s="39">
        <v>221.76220703125</v>
      </c>
      <c r="D889" s="41">
        <v>5544760</v>
      </c>
      <c r="E889" s="36" t="s">
        <v>651</v>
      </c>
      <c r="F889" s="36" t="s">
        <v>115</v>
      </c>
    </row>
    <row r="890" spans="1:6">
      <c r="A890" s="38">
        <v>43404.15625</v>
      </c>
      <c r="B890" s="39">
        <v>245.50999450683594</v>
      </c>
      <c r="C890" s="39">
        <v>224.98794555664063</v>
      </c>
      <c r="D890" s="41">
        <v>4072915</v>
      </c>
      <c r="E890" s="36" t="s">
        <v>651</v>
      </c>
      <c r="F890" s="36" t="s">
        <v>115</v>
      </c>
    </row>
    <row r="891" spans="1:6">
      <c r="A891" s="38">
        <v>43405.15625</v>
      </c>
      <c r="B891" s="39">
        <v>239.3800048828125</v>
      </c>
      <c r="C891" s="39">
        <v>219.37040710449219</v>
      </c>
      <c r="D891" s="41">
        <v>3875105</v>
      </c>
      <c r="E891" s="36" t="s">
        <v>651</v>
      </c>
      <c r="F891" s="36" t="s">
        <v>115</v>
      </c>
    </row>
    <row r="892" spans="1:6">
      <c r="A892" s="38">
        <v>43406.15625</v>
      </c>
      <c r="B892" s="39">
        <v>237.6300048828125</v>
      </c>
      <c r="C892" s="39">
        <v>217.76664733886719</v>
      </c>
      <c r="D892" s="41">
        <v>3756570</v>
      </c>
      <c r="E892" s="36" t="s">
        <v>651</v>
      </c>
      <c r="F892" s="36" t="s">
        <v>115</v>
      </c>
    </row>
    <row r="893" spans="1:6">
      <c r="A893" s="38">
        <v>43409.145833333336</v>
      </c>
      <c r="B893" s="39">
        <v>239.74000549316406</v>
      </c>
      <c r="C893" s="39">
        <v>219.70028686523438</v>
      </c>
      <c r="D893" s="41">
        <v>6054235</v>
      </c>
      <c r="E893" s="36" t="s">
        <v>651</v>
      </c>
      <c r="F893" s="36" t="s">
        <v>115</v>
      </c>
    </row>
    <row r="894" spans="1:6">
      <c r="A894" s="38">
        <v>43410.15625</v>
      </c>
      <c r="B894" s="39">
        <v>233.41999816894531</v>
      </c>
      <c r="C894" s="39">
        <v>213.9085693359375</v>
      </c>
      <c r="D894" s="41">
        <v>3001195</v>
      </c>
      <c r="E894" s="36" t="s">
        <v>651</v>
      </c>
      <c r="F894" s="36" t="s">
        <v>115</v>
      </c>
    </row>
    <row r="895" spans="1:6">
      <c r="A895" s="38">
        <v>43411.145833333336</v>
      </c>
      <c r="B895" s="39">
        <v>234.08000183105469</v>
      </c>
      <c r="C895" s="39">
        <v>214.51336669921875</v>
      </c>
      <c r="D895" s="41">
        <v>347225</v>
      </c>
      <c r="E895" s="36" t="s">
        <v>651</v>
      </c>
      <c r="F895" s="36" t="s">
        <v>115</v>
      </c>
    </row>
    <row r="896" spans="1:6">
      <c r="A896" s="38">
        <v>43413.15625</v>
      </c>
      <c r="B896" s="39">
        <v>234.1199951171875</v>
      </c>
      <c r="C896" s="39">
        <v>214.550048828125</v>
      </c>
      <c r="D896" s="41">
        <v>2212375</v>
      </c>
      <c r="E896" s="36" t="s">
        <v>651</v>
      </c>
      <c r="F896" s="36" t="s">
        <v>115</v>
      </c>
    </row>
    <row r="897" spans="1:6">
      <c r="A897" s="38">
        <v>43416.15625</v>
      </c>
      <c r="B897" s="39">
        <v>238.44999694824219</v>
      </c>
      <c r="C897" s="39">
        <v>218.51805114746094</v>
      </c>
      <c r="D897" s="41">
        <v>3470385</v>
      </c>
      <c r="E897" s="36" t="s">
        <v>651</v>
      </c>
      <c r="F897" s="36" t="s">
        <v>115</v>
      </c>
    </row>
    <row r="898" spans="1:6">
      <c r="A898" s="38">
        <v>43417.15625</v>
      </c>
      <c r="B898" s="39">
        <v>234.97999572753906</v>
      </c>
      <c r="C898" s="39">
        <v>215.33816528320313</v>
      </c>
      <c r="D898" s="41">
        <v>4155545</v>
      </c>
      <c r="E898" s="36" t="s">
        <v>651</v>
      </c>
      <c r="F898" s="36" t="s">
        <v>115</v>
      </c>
    </row>
    <row r="899" spans="1:6">
      <c r="A899" s="38">
        <v>43418.15625</v>
      </c>
      <c r="B899" s="39">
        <v>229.61000061035156</v>
      </c>
      <c r="C899" s="39">
        <v>210.41702270507813</v>
      </c>
      <c r="D899" s="41">
        <v>4448105</v>
      </c>
      <c r="E899" s="36" t="s">
        <v>651</v>
      </c>
      <c r="F899" s="36" t="s">
        <v>115</v>
      </c>
    </row>
    <row r="900" spans="1:6">
      <c r="A900" s="38">
        <v>43419.15625</v>
      </c>
      <c r="B900" s="39">
        <v>229.36000061035156</v>
      </c>
      <c r="C900" s="39">
        <v>210.18792724609375</v>
      </c>
      <c r="D900" s="41">
        <v>2869115</v>
      </c>
      <c r="E900" s="36" t="s">
        <v>651</v>
      </c>
      <c r="F900" s="36" t="s">
        <v>115</v>
      </c>
    </row>
    <row r="901" spans="1:6">
      <c r="A901" s="38">
        <v>43420.15625</v>
      </c>
      <c r="B901" s="39">
        <v>225.64999389648438</v>
      </c>
      <c r="C901" s="39">
        <v>206.78807067871094</v>
      </c>
      <c r="D901" s="41">
        <v>2927045</v>
      </c>
      <c r="E901" s="36" t="s">
        <v>651</v>
      </c>
      <c r="F901" s="36" t="s">
        <v>115</v>
      </c>
    </row>
    <row r="902" spans="1:6">
      <c r="A902" s="38">
        <v>43423.15625</v>
      </c>
      <c r="B902" s="39">
        <v>226.60000610351563</v>
      </c>
      <c r="C902" s="39">
        <v>207.65866088867188</v>
      </c>
      <c r="D902" s="41">
        <v>2052380</v>
      </c>
      <c r="E902" s="36" t="s">
        <v>651</v>
      </c>
      <c r="F902" s="36" t="s">
        <v>115</v>
      </c>
    </row>
    <row r="903" spans="1:6">
      <c r="A903" s="38">
        <v>43424.15625</v>
      </c>
      <c r="B903" s="39">
        <v>221.72999572753906</v>
      </c>
      <c r="C903" s="39">
        <v>203.19569396972656</v>
      </c>
      <c r="D903" s="41">
        <v>2780615</v>
      </c>
      <c r="E903" s="36" t="s">
        <v>651</v>
      </c>
      <c r="F903" s="36" t="s">
        <v>115</v>
      </c>
    </row>
    <row r="904" spans="1:6">
      <c r="A904" s="38">
        <v>43425.15625</v>
      </c>
      <c r="B904" s="39">
        <v>217.14999389648438</v>
      </c>
      <c r="C904" s="39">
        <v>198.99853515625</v>
      </c>
      <c r="D904" s="41">
        <v>3411715</v>
      </c>
      <c r="E904" s="36" t="s">
        <v>651</v>
      </c>
      <c r="F904" s="36" t="s">
        <v>115</v>
      </c>
    </row>
    <row r="905" spans="1:6">
      <c r="A905" s="38">
        <v>43426.15625</v>
      </c>
      <c r="B905" s="39">
        <v>211.24000549316406</v>
      </c>
      <c r="C905" s="39">
        <v>193.58258056640625</v>
      </c>
      <c r="D905" s="41">
        <v>4219370</v>
      </c>
      <c r="E905" s="36" t="s">
        <v>651</v>
      </c>
      <c r="F905" s="36" t="s">
        <v>115</v>
      </c>
    </row>
    <row r="906" spans="1:6">
      <c r="A906" s="38">
        <v>43430.15625</v>
      </c>
      <c r="B906" s="39">
        <v>215.53999328613281</v>
      </c>
      <c r="C906" s="39">
        <v>197.52311706542969</v>
      </c>
      <c r="D906" s="41">
        <v>5056900</v>
      </c>
      <c r="E906" s="36" t="s">
        <v>651</v>
      </c>
      <c r="F906" s="36" t="s">
        <v>115</v>
      </c>
    </row>
    <row r="907" spans="1:6">
      <c r="A907" s="38">
        <v>43431.15625</v>
      </c>
      <c r="B907" s="39">
        <v>219.22999572753906</v>
      </c>
      <c r="C907" s="39">
        <v>200.90467834472656</v>
      </c>
      <c r="D907" s="41">
        <v>5416550</v>
      </c>
      <c r="E907" s="36" t="s">
        <v>651</v>
      </c>
      <c r="F907" s="36" t="s">
        <v>115</v>
      </c>
    </row>
    <row r="908" spans="1:6">
      <c r="A908" s="38">
        <v>43432.15625</v>
      </c>
      <c r="B908" s="39">
        <v>219.35000610351563</v>
      </c>
      <c r="C908" s="39">
        <v>201.0146484375</v>
      </c>
      <c r="D908" s="41">
        <v>4382510</v>
      </c>
      <c r="E908" s="36" t="s">
        <v>651</v>
      </c>
      <c r="F908" s="36" t="s">
        <v>115</v>
      </c>
    </row>
    <row r="909" spans="1:6">
      <c r="A909" s="38">
        <v>43433.15625</v>
      </c>
      <c r="B909" s="39">
        <v>217.21000671386719</v>
      </c>
      <c r="C909" s="39">
        <v>199.05352783203125</v>
      </c>
      <c r="D909" s="41">
        <v>3783810</v>
      </c>
      <c r="E909" s="36" t="s">
        <v>651</v>
      </c>
      <c r="F909" s="36" t="s">
        <v>115</v>
      </c>
    </row>
    <row r="910" spans="1:6">
      <c r="A910" s="38">
        <v>43434.15625</v>
      </c>
      <c r="B910" s="39">
        <v>217.96000671386719</v>
      </c>
      <c r="C910" s="39">
        <v>199.7408447265625</v>
      </c>
      <c r="D910" s="41">
        <v>3896085</v>
      </c>
      <c r="E910" s="36" t="s">
        <v>651</v>
      </c>
      <c r="F910" s="36" t="s">
        <v>115</v>
      </c>
    </row>
    <row r="911" spans="1:6">
      <c r="A911" s="38">
        <v>43437.15625</v>
      </c>
      <c r="B911" s="39">
        <v>220.66999816894531</v>
      </c>
      <c r="C911" s="39">
        <v>202.22433471679688</v>
      </c>
      <c r="D911" s="41">
        <v>3143490</v>
      </c>
      <c r="E911" s="36" t="s">
        <v>651</v>
      </c>
      <c r="F911" s="36" t="s">
        <v>115</v>
      </c>
    </row>
    <row r="912" spans="1:6">
      <c r="A912" s="38">
        <v>43438.15625</v>
      </c>
      <c r="B912" s="39">
        <v>223.17999267578125</v>
      </c>
      <c r="C912" s="39">
        <v>204.52450561523438</v>
      </c>
      <c r="D912" s="41">
        <v>5573995</v>
      </c>
      <c r="E912" s="36" t="s">
        <v>651</v>
      </c>
      <c r="F912" s="36" t="s">
        <v>115</v>
      </c>
    </row>
    <row r="913" spans="1:6">
      <c r="A913" s="38">
        <v>43439.15625</v>
      </c>
      <c r="B913" s="39">
        <v>222.52000427246094</v>
      </c>
      <c r="C913" s="39">
        <v>203.919677734375</v>
      </c>
      <c r="D913" s="41">
        <v>3359935</v>
      </c>
      <c r="E913" s="36" t="s">
        <v>651</v>
      </c>
      <c r="F913" s="36" t="s">
        <v>115</v>
      </c>
    </row>
    <row r="914" spans="1:6">
      <c r="A914" s="38">
        <v>43440.15625</v>
      </c>
      <c r="B914" s="39">
        <v>216.02000427246094</v>
      </c>
      <c r="C914" s="39">
        <v>197.96298217773438</v>
      </c>
      <c r="D914" s="41">
        <v>3140415</v>
      </c>
      <c r="E914" s="36" t="s">
        <v>651</v>
      </c>
      <c r="F914" s="36" t="s">
        <v>115</v>
      </c>
    </row>
    <row r="915" spans="1:6">
      <c r="A915" s="38">
        <v>43441.15625</v>
      </c>
      <c r="B915" s="39">
        <v>217.91999816894531</v>
      </c>
      <c r="C915" s="39">
        <v>199.70414733886719</v>
      </c>
      <c r="D915" s="41">
        <v>4230415</v>
      </c>
      <c r="E915" s="36" t="s">
        <v>651</v>
      </c>
      <c r="F915" s="36" t="s">
        <v>115</v>
      </c>
    </row>
    <row r="916" spans="1:6">
      <c r="A916" s="38">
        <v>43444.15625</v>
      </c>
      <c r="B916" s="39">
        <v>211.21000671386719</v>
      </c>
      <c r="C916" s="39">
        <v>193.55514526367188</v>
      </c>
      <c r="D916" s="41">
        <v>2264770</v>
      </c>
      <c r="E916" s="36" t="s">
        <v>651</v>
      </c>
      <c r="F916" s="36" t="s">
        <v>115</v>
      </c>
    </row>
    <row r="917" spans="1:6">
      <c r="A917" s="38">
        <v>43445.15625</v>
      </c>
      <c r="B917" s="39">
        <v>221.53999328613281</v>
      </c>
      <c r="C917" s="39">
        <v>203.02159118652344</v>
      </c>
      <c r="D917" s="41">
        <v>6342335</v>
      </c>
      <c r="E917" s="36" t="s">
        <v>651</v>
      </c>
      <c r="F917" s="36" t="s">
        <v>115</v>
      </c>
    </row>
    <row r="918" spans="1:6">
      <c r="A918" s="38">
        <v>43446.15625</v>
      </c>
      <c r="B918" s="39">
        <v>222.19999694824219</v>
      </c>
      <c r="C918" s="39">
        <v>203.62644958496094</v>
      </c>
      <c r="D918" s="41">
        <v>2721960</v>
      </c>
      <c r="E918" s="36" t="s">
        <v>651</v>
      </c>
      <c r="F918" s="36" t="s">
        <v>115</v>
      </c>
    </row>
    <row r="919" spans="1:6">
      <c r="A919" s="38">
        <v>43447.15625</v>
      </c>
      <c r="B919" s="39">
        <v>224.47000122070313</v>
      </c>
      <c r="C919" s="39">
        <v>205.70668029785156</v>
      </c>
      <c r="D919" s="41">
        <v>2216085</v>
      </c>
      <c r="E919" s="36" t="s">
        <v>651</v>
      </c>
      <c r="F919" s="36" t="s">
        <v>115</v>
      </c>
    </row>
    <row r="920" spans="1:6">
      <c r="A920" s="38">
        <v>43448.15625</v>
      </c>
      <c r="B920" s="39">
        <v>227.83000183105469</v>
      </c>
      <c r="C920" s="39">
        <v>208.78579711914063</v>
      </c>
      <c r="D920" s="41">
        <v>3730490</v>
      </c>
      <c r="E920" s="36" t="s">
        <v>651</v>
      </c>
      <c r="F920" s="36" t="s">
        <v>115</v>
      </c>
    </row>
    <row r="921" spans="1:6">
      <c r="A921" s="38">
        <v>43451.15625</v>
      </c>
      <c r="B921" s="39">
        <v>231.58999633789063</v>
      </c>
      <c r="C921" s="39">
        <v>212.23150634765625</v>
      </c>
      <c r="D921" s="41">
        <v>6728615</v>
      </c>
      <c r="E921" s="36" t="s">
        <v>651</v>
      </c>
      <c r="F921" s="36" t="s">
        <v>115</v>
      </c>
    </row>
    <row r="922" spans="1:6">
      <c r="A922" s="38">
        <v>43452.15625</v>
      </c>
      <c r="B922" s="39">
        <v>225.42999267578125</v>
      </c>
      <c r="C922" s="39">
        <v>206.58642578125</v>
      </c>
      <c r="D922" s="41">
        <v>3675135</v>
      </c>
      <c r="E922" s="36" t="s">
        <v>651</v>
      </c>
      <c r="F922" s="36" t="s">
        <v>115</v>
      </c>
    </row>
    <row r="923" spans="1:6">
      <c r="A923" s="38">
        <v>43453.15625</v>
      </c>
      <c r="B923" s="39">
        <v>226.66999816894531</v>
      </c>
      <c r="C923" s="39">
        <v>207.72274780273438</v>
      </c>
      <c r="D923" s="41">
        <v>4178080</v>
      </c>
      <c r="E923" s="36" t="s">
        <v>651</v>
      </c>
      <c r="F923" s="36" t="s">
        <v>115</v>
      </c>
    </row>
    <row r="924" spans="1:6">
      <c r="A924" s="38">
        <v>43454.15625</v>
      </c>
      <c r="B924" s="39">
        <v>225.5</v>
      </c>
      <c r="C924" s="39">
        <v>206.65061950683594</v>
      </c>
      <c r="D924" s="41">
        <v>3107295</v>
      </c>
      <c r="E924" s="36" t="s">
        <v>651</v>
      </c>
      <c r="F924" s="36" t="s">
        <v>115</v>
      </c>
    </row>
    <row r="925" spans="1:6">
      <c r="A925" s="38">
        <v>43455.15625</v>
      </c>
      <c r="B925" s="39">
        <v>222.57000732421875</v>
      </c>
      <c r="C925" s="39">
        <v>203.96548461914063</v>
      </c>
      <c r="D925" s="41">
        <v>2726320</v>
      </c>
      <c r="E925" s="36" t="s">
        <v>651</v>
      </c>
      <c r="F925" s="36" t="s">
        <v>115</v>
      </c>
    </row>
    <row r="926" spans="1:6">
      <c r="A926" s="38">
        <v>43458.15625</v>
      </c>
      <c r="B926" s="39">
        <v>223.47999572753906</v>
      </c>
      <c r="C926" s="39">
        <v>204.7994384765625</v>
      </c>
      <c r="D926" s="41">
        <v>1918530</v>
      </c>
      <c r="E926" s="36" t="s">
        <v>651</v>
      </c>
      <c r="F926" s="36" t="s">
        <v>115</v>
      </c>
    </row>
    <row r="927" spans="1:6">
      <c r="A927" s="38">
        <v>43460.15625</v>
      </c>
      <c r="B927" s="39">
        <v>223.97000122070313</v>
      </c>
      <c r="C927" s="39">
        <v>205.24847412109375</v>
      </c>
      <c r="D927" s="41">
        <v>2908085</v>
      </c>
      <c r="E927" s="36" t="s">
        <v>651</v>
      </c>
      <c r="F927" s="36" t="s">
        <v>115</v>
      </c>
    </row>
    <row r="928" spans="1:6">
      <c r="A928" s="38">
        <v>43461.15625</v>
      </c>
      <c r="B928" s="39">
        <v>229.96000671386719</v>
      </c>
      <c r="C928" s="39">
        <v>210.73779296875</v>
      </c>
      <c r="D928" s="41">
        <v>5626480</v>
      </c>
      <c r="E928" s="36" t="s">
        <v>651</v>
      </c>
      <c r="F928" s="36" t="s">
        <v>115</v>
      </c>
    </row>
    <row r="929" spans="1:6">
      <c r="A929" s="38">
        <v>43462.15625</v>
      </c>
      <c r="B929" s="39">
        <v>230.8699951171875</v>
      </c>
      <c r="C929" s="39">
        <v>211.57171630859375</v>
      </c>
      <c r="D929" s="41">
        <v>2679650</v>
      </c>
      <c r="E929" s="36" t="s">
        <v>651</v>
      </c>
      <c r="F929" s="36" t="s">
        <v>115</v>
      </c>
    </row>
    <row r="930" spans="1:6">
      <c r="A930" s="38">
        <v>43465.15625</v>
      </c>
      <c r="B930" s="39">
        <v>229.86000061035156</v>
      </c>
      <c r="C930" s="39">
        <v>210.64616394042969</v>
      </c>
      <c r="D930" s="41">
        <v>1565630</v>
      </c>
      <c r="E930" s="36" t="s">
        <v>651</v>
      </c>
      <c r="F930" s="36" t="s">
        <v>115</v>
      </c>
    </row>
    <row r="931" spans="1:6">
      <c r="A931" s="38">
        <v>43466.15625</v>
      </c>
      <c r="B931" s="39">
        <v>230.30000305175781</v>
      </c>
      <c r="C931" s="39">
        <v>211.04939270019531</v>
      </c>
      <c r="D931" s="41">
        <v>1663555</v>
      </c>
      <c r="E931" s="36" t="s">
        <v>651</v>
      </c>
      <c r="F931" s="36" t="s">
        <v>115</v>
      </c>
    </row>
    <row r="932" spans="1:6">
      <c r="A932" s="38">
        <v>43467.15625</v>
      </c>
      <c r="B932" s="39">
        <v>230.66000366210938</v>
      </c>
      <c r="C932" s="39">
        <v>211.37928771972656</v>
      </c>
      <c r="D932" s="41">
        <v>4655055</v>
      </c>
      <c r="E932" s="36" t="s">
        <v>651</v>
      </c>
      <c r="F932" s="36" t="s">
        <v>115</v>
      </c>
    </row>
    <row r="933" spans="1:6">
      <c r="A933" s="38">
        <v>43468.15625</v>
      </c>
      <c r="B933" s="39">
        <v>226.52999877929688</v>
      </c>
      <c r="C933" s="39">
        <v>207.59446716308594</v>
      </c>
      <c r="D933" s="41">
        <v>2179465</v>
      </c>
      <c r="E933" s="36" t="s">
        <v>651</v>
      </c>
      <c r="F933" s="36" t="s">
        <v>115</v>
      </c>
    </row>
    <row r="934" spans="1:6">
      <c r="A934" s="38">
        <v>43469.15625</v>
      </c>
      <c r="B934" s="39">
        <v>224.53999328613281</v>
      </c>
      <c r="C934" s="39">
        <v>205.77081298828125</v>
      </c>
      <c r="D934" s="41">
        <v>3615040</v>
      </c>
      <c r="E934" s="36" t="s">
        <v>651</v>
      </c>
      <c r="F934" s="36" t="s">
        <v>115</v>
      </c>
    </row>
    <row r="935" spans="1:6">
      <c r="A935" s="38">
        <v>43472.15625</v>
      </c>
      <c r="B935" s="39">
        <v>228.27999877929688</v>
      </c>
      <c r="C935" s="39">
        <v>209.19821166992188</v>
      </c>
      <c r="D935" s="41">
        <v>1998250</v>
      </c>
      <c r="E935" s="36" t="s">
        <v>651</v>
      </c>
      <c r="F935" s="36" t="s">
        <v>115</v>
      </c>
    </row>
    <row r="936" spans="1:6">
      <c r="A936" s="38">
        <v>43473.15625</v>
      </c>
      <c r="B936" s="39">
        <v>225.03999328613281</v>
      </c>
      <c r="C936" s="39">
        <v>206.22900390625</v>
      </c>
      <c r="D936" s="41">
        <v>1517325</v>
      </c>
      <c r="E936" s="36" t="s">
        <v>651</v>
      </c>
      <c r="F936" s="36" t="s">
        <v>115</v>
      </c>
    </row>
    <row r="937" spans="1:6">
      <c r="A937" s="38">
        <v>43474.15625</v>
      </c>
      <c r="B937" s="39">
        <v>232.44999694824219</v>
      </c>
      <c r="C937" s="39">
        <v>213.01962280273438</v>
      </c>
      <c r="D937" s="41">
        <v>7720710</v>
      </c>
      <c r="E937" s="36" t="s">
        <v>651</v>
      </c>
      <c r="F937" s="36" t="s">
        <v>115</v>
      </c>
    </row>
    <row r="938" spans="1:6">
      <c r="A938" s="38">
        <v>43475.15625</v>
      </c>
      <c r="B938" s="39">
        <v>230.38999938964844</v>
      </c>
      <c r="C938" s="39">
        <v>211.1318359375</v>
      </c>
      <c r="D938" s="41">
        <v>2238800</v>
      </c>
      <c r="E938" s="36" t="s">
        <v>651</v>
      </c>
      <c r="F938" s="36" t="s">
        <v>115</v>
      </c>
    </row>
    <row r="939" spans="1:6">
      <c r="A939" s="38">
        <v>43476.15625</v>
      </c>
      <c r="B939" s="39">
        <v>232.41000366210938</v>
      </c>
      <c r="C939" s="39">
        <v>212.98298645019531</v>
      </c>
      <c r="D939" s="41">
        <v>2684745</v>
      </c>
      <c r="E939" s="36" t="s">
        <v>651</v>
      </c>
      <c r="F939" s="36" t="s">
        <v>115</v>
      </c>
    </row>
    <row r="940" spans="1:6">
      <c r="A940" s="38">
        <v>43479.15625</v>
      </c>
      <c r="B940" s="39">
        <v>237.53999328613281</v>
      </c>
      <c r="C940" s="39">
        <v>217.68415832519531</v>
      </c>
      <c r="D940" s="41">
        <v>4676865</v>
      </c>
      <c r="E940" s="36" t="s">
        <v>651</v>
      </c>
      <c r="F940" s="36" t="s">
        <v>115</v>
      </c>
    </row>
    <row r="941" spans="1:6">
      <c r="A941" s="38">
        <v>43480.15625</v>
      </c>
      <c r="B941" s="39">
        <v>237.22000122070313</v>
      </c>
      <c r="C941" s="39">
        <v>217.39091491699219</v>
      </c>
      <c r="D941" s="41">
        <v>5209450</v>
      </c>
      <c r="E941" s="36" t="s">
        <v>651</v>
      </c>
      <c r="F941" s="36" t="s">
        <v>115</v>
      </c>
    </row>
    <row r="942" spans="1:6">
      <c r="A942" s="38">
        <v>43481.15625</v>
      </c>
      <c r="B942" s="39">
        <v>241.91999816894531</v>
      </c>
      <c r="C942" s="39">
        <v>221.69805908203125</v>
      </c>
      <c r="D942" s="41">
        <v>6304405</v>
      </c>
      <c r="E942" s="36" t="s">
        <v>651</v>
      </c>
      <c r="F942" s="36" t="s">
        <v>115</v>
      </c>
    </row>
    <row r="943" spans="1:6">
      <c r="A943" s="38">
        <v>43482.15625</v>
      </c>
      <c r="B943" s="39">
        <v>244.42999267578125</v>
      </c>
      <c r="C943" s="39">
        <v>223.99822998046875</v>
      </c>
      <c r="D943" s="41">
        <v>4816605</v>
      </c>
      <c r="E943" s="36" t="s">
        <v>651</v>
      </c>
      <c r="F943" s="36" t="s">
        <v>115</v>
      </c>
    </row>
    <row r="944" spans="1:6">
      <c r="A944" s="38">
        <v>43483.15625</v>
      </c>
      <c r="B944" s="39">
        <v>244.94999694824219</v>
      </c>
      <c r="C944" s="39">
        <v>224.47477722167969</v>
      </c>
      <c r="D944" s="41">
        <v>7402395</v>
      </c>
      <c r="E944" s="36" t="s">
        <v>651</v>
      </c>
      <c r="F944" s="36" t="s">
        <v>115</v>
      </c>
    </row>
    <row r="945" spans="1:6">
      <c r="A945" s="38">
        <v>43486.15625</v>
      </c>
      <c r="B945" s="39">
        <v>253.82000732421875</v>
      </c>
      <c r="C945" s="39">
        <v>232.60334777832031</v>
      </c>
      <c r="D945" s="41">
        <v>12335545</v>
      </c>
      <c r="E945" s="36" t="s">
        <v>651</v>
      </c>
      <c r="F945" s="36" t="s">
        <v>115</v>
      </c>
    </row>
    <row r="946" spans="1:6">
      <c r="A946" s="38">
        <v>43487.15625</v>
      </c>
      <c r="B946" s="39">
        <v>259.07000732421875</v>
      </c>
      <c r="C946" s="39">
        <v>237.41452026367188</v>
      </c>
      <c r="D946" s="41">
        <v>9362540</v>
      </c>
      <c r="E946" s="36" t="s">
        <v>651</v>
      </c>
      <c r="F946" s="36" t="s">
        <v>115</v>
      </c>
    </row>
    <row r="947" spans="1:6">
      <c r="A947" s="38">
        <v>43488.15625</v>
      </c>
      <c r="B947" s="39">
        <v>254.99000549316406</v>
      </c>
      <c r="C947" s="39">
        <v>233.675537109375</v>
      </c>
      <c r="D947" s="41">
        <v>3689780</v>
      </c>
      <c r="E947" s="36" t="s">
        <v>651</v>
      </c>
      <c r="F947" s="36" t="s">
        <v>115</v>
      </c>
    </row>
    <row r="948" spans="1:6">
      <c r="A948" s="38">
        <v>43489.15625</v>
      </c>
      <c r="B948" s="39">
        <v>260.1400146484375</v>
      </c>
      <c r="C948" s="39">
        <v>238.39501953125</v>
      </c>
      <c r="D948" s="41">
        <v>5517530</v>
      </c>
      <c r="E948" s="36" t="s">
        <v>651</v>
      </c>
      <c r="F948" s="36" t="s">
        <v>115</v>
      </c>
    </row>
    <row r="949" spans="1:6">
      <c r="A949" s="38">
        <v>43490.15625</v>
      </c>
      <c r="B949" s="39">
        <v>258.94000244140625</v>
      </c>
      <c r="C949" s="39">
        <v>237.29533386230469</v>
      </c>
      <c r="D949" s="41">
        <v>6006060</v>
      </c>
      <c r="E949" s="36" t="s">
        <v>651</v>
      </c>
      <c r="F949" s="36" t="s">
        <v>115</v>
      </c>
    </row>
    <row r="950" spans="1:6">
      <c r="A950" s="38">
        <v>43493.15625</v>
      </c>
      <c r="B950" s="39">
        <v>258.20001220703125</v>
      </c>
      <c r="C950" s="39">
        <v>236.61723327636719</v>
      </c>
      <c r="D950" s="41">
        <v>3353680</v>
      </c>
      <c r="E950" s="36" t="s">
        <v>651</v>
      </c>
      <c r="F950" s="36" t="s">
        <v>115</v>
      </c>
    </row>
    <row r="951" spans="1:6">
      <c r="A951" s="38">
        <v>43494.15625</v>
      </c>
      <c r="B951" s="39">
        <v>261.04000854492188</v>
      </c>
      <c r="C951" s="39">
        <v>239.21983337402344</v>
      </c>
      <c r="D951" s="41">
        <v>4226210</v>
      </c>
      <c r="E951" s="36" t="s">
        <v>651</v>
      </c>
      <c r="F951" s="36" t="s">
        <v>115</v>
      </c>
    </row>
    <row r="952" spans="1:6">
      <c r="A952" s="38">
        <v>43495.15625</v>
      </c>
      <c r="B952" s="39">
        <v>257.22000122070313</v>
      </c>
      <c r="C952" s="39">
        <v>235.71913146972656</v>
      </c>
      <c r="D952" s="41">
        <v>3126605</v>
      </c>
      <c r="E952" s="36" t="s">
        <v>651</v>
      </c>
      <c r="F952" s="36" t="s">
        <v>115</v>
      </c>
    </row>
    <row r="953" spans="1:6">
      <c r="A953" s="38">
        <v>43496.15625</v>
      </c>
      <c r="B953" s="39">
        <v>262.14999389648438</v>
      </c>
      <c r="C953" s="39">
        <v>240.23699951171875</v>
      </c>
      <c r="D953" s="41">
        <v>2710650</v>
      </c>
      <c r="E953" s="36" t="s">
        <v>651</v>
      </c>
      <c r="F953" s="36" t="s">
        <v>115</v>
      </c>
    </row>
    <row r="954" spans="1:6">
      <c r="A954" s="38">
        <v>43497.15625</v>
      </c>
      <c r="B954" s="39">
        <v>263.8900146484375</v>
      </c>
      <c r="C954" s="39">
        <v>241.83163452148438</v>
      </c>
      <c r="D954" s="41">
        <v>4863595</v>
      </c>
      <c r="E954" s="36" t="s">
        <v>651</v>
      </c>
      <c r="F954" s="36" t="s">
        <v>115</v>
      </c>
    </row>
    <row r="955" spans="1:6">
      <c r="A955" s="38">
        <v>43500.15625</v>
      </c>
      <c r="B955" s="39">
        <v>261.97000122070313</v>
      </c>
      <c r="C955" s="39">
        <v>240.07206726074219</v>
      </c>
      <c r="D955" s="41">
        <v>1768175</v>
      </c>
      <c r="E955" s="36" t="s">
        <v>651</v>
      </c>
      <c r="F955" s="36" t="s">
        <v>115</v>
      </c>
    </row>
    <row r="956" spans="1:6">
      <c r="A956" s="38">
        <v>43501.15625</v>
      </c>
      <c r="B956" s="39">
        <v>264.51998901367188</v>
      </c>
      <c r="C956" s="39">
        <v>242.408935546875</v>
      </c>
      <c r="D956" s="41">
        <v>2363015</v>
      </c>
      <c r="E956" s="36" t="s">
        <v>651</v>
      </c>
      <c r="F956" s="36" t="s">
        <v>115</v>
      </c>
    </row>
    <row r="957" spans="1:6">
      <c r="A957" s="38">
        <v>43502.15625</v>
      </c>
      <c r="B957" s="39">
        <v>259.32998657226563</v>
      </c>
      <c r="C957" s="39">
        <v>237.6527099609375</v>
      </c>
      <c r="D957" s="41">
        <v>2801950</v>
      </c>
      <c r="E957" s="36" t="s">
        <v>651</v>
      </c>
      <c r="F957" s="36" t="s">
        <v>115</v>
      </c>
    </row>
    <row r="958" spans="1:6">
      <c r="A958" s="38">
        <v>43503.15625</v>
      </c>
      <c r="B958" s="39">
        <v>262.8900146484375</v>
      </c>
      <c r="C958" s="39">
        <v>240.91517639160156</v>
      </c>
      <c r="D958" s="41">
        <v>2732115</v>
      </c>
      <c r="E958" s="36" t="s">
        <v>651</v>
      </c>
      <c r="F958" s="36" t="s">
        <v>115</v>
      </c>
    </row>
    <row r="959" spans="1:6">
      <c r="A959" s="38">
        <v>43504.15625</v>
      </c>
      <c r="B959" s="39">
        <v>261.82998657226563</v>
      </c>
      <c r="C959" s="39">
        <v>239.94375610351563</v>
      </c>
      <c r="D959" s="41">
        <v>3102380</v>
      </c>
      <c r="E959" s="36" t="s">
        <v>651</v>
      </c>
      <c r="F959" s="36" t="s">
        <v>115</v>
      </c>
    </row>
    <row r="960" spans="1:6">
      <c r="A960" s="38">
        <v>43507.15625</v>
      </c>
      <c r="B960" s="39">
        <v>264.92999267578125</v>
      </c>
      <c r="C960" s="39">
        <v>242.78462219238281</v>
      </c>
      <c r="D960" s="41">
        <v>1944620</v>
      </c>
      <c r="E960" s="36" t="s">
        <v>651</v>
      </c>
      <c r="F960" s="36" t="s">
        <v>115</v>
      </c>
    </row>
    <row r="961" spans="1:6">
      <c r="A961" s="38">
        <v>43508.15625</v>
      </c>
      <c r="B961" s="39">
        <v>259.17999267578125</v>
      </c>
      <c r="C961" s="39">
        <v>237.51528930664063</v>
      </c>
      <c r="D961" s="41">
        <v>2138345</v>
      </c>
      <c r="E961" s="36" t="s">
        <v>651</v>
      </c>
      <c r="F961" s="36" t="s">
        <v>115</v>
      </c>
    </row>
    <row r="962" spans="1:6">
      <c r="A962" s="38">
        <v>43510.15625</v>
      </c>
      <c r="B962" s="39">
        <v>261.07000732421875</v>
      </c>
      <c r="C962" s="39">
        <v>239.24734497070313</v>
      </c>
      <c r="D962" s="41">
        <v>1663550</v>
      </c>
      <c r="E962" s="36" t="s">
        <v>651</v>
      </c>
      <c r="F962" s="36" t="s">
        <v>115</v>
      </c>
    </row>
    <row r="963" spans="1:6">
      <c r="A963" s="38">
        <v>43511.15625</v>
      </c>
      <c r="B963" s="39">
        <v>252.80000305175781</v>
      </c>
      <c r="C963" s="39">
        <v>231.66859436035156</v>
      </c>
      <c r="D963" s="41">
        <v>3120945</v>
      </c>
      <c r="E963" s="36" t="s">
        <v>651</v>
      </c>
      <c r="F963" s="36" t="s">
        <v>115</v>
      </c>
    </row>
    <row r="964" spans="1:6">
      <c r="A964" s="38">
        <v>43514.15625</v>
      </c>
      <c r="B964" s="39">
        <v>256.66000366210938</v>
      </c>
      <c r="C964" s="39">
        <v>235.20594787597656</v>
      </c>
      <c r="D964" s="41">
        <v>4528445</v>
      </c>
      <c r="E964" s="36" t="s">
        <v>651</v>
      </c>
      <c r="F964" s="36" t="s">
        <v>115</v>
      </c>
    </row>
    <row r="965" spans="1:6">
      <c r="A965" s="38">
        <v>43515.15625</v>
      </c>
      <c r="B965" s="39">
        <v>255.52000427246094</v>
      </c>
      <c r="C965" s="39">
        <v>234.1612548828125</v>
      </c>
      <c r="D965" s="41">
        <v>2273015</v>
      </c>
      <c r="E965" s="36" t="s">
        <v>651</v>
      </c>
      <c r="F965" s="36" t="s">
        <v>115</v>
      </c>
    </row>
    <row r="966" spans="1:6">
      <c r="A966" s="38">
        <v>43516.15625</v>
      </c>
      <c r="B966" s="39">
        <v>258.35000610351563</v>
      </c>
      <c r="C966" s="39">
        <v>236.75466918945313</v>
      </c>
      <c r="D966" s="41">
        <v>2877970</v>
      </c>
      <c r="E966" s="36" t="s">
        <v>651</v>
      </c>
      <c r="F966" s="36" t="s">
        <v>115</v>
      </c>
    </row>
    <row r="967" spans="1:6">
      <c r="A967" s="38">
        <v>43517.15625</v>
      </c>
      <c r="B967" s="39">
        <v>258.72000122070313</v>
      </c>
      <c r="C967" s="39">
        <v>237.09378051757813</v>
      </c>
      <c r="D967" s="41">
        <v>4468550</v>
      </c>
      <c r="E967" s="36" t="s">
        <v>651</v>
      </c>
      <c r="F967" s="36" t="s">
        <v>115</v>
      </c>
    </row>
    <row r="968" spans="1:6">
      <c r="A968" s="38">
        <v>43518.15625</v>
      </c>
      <c r="B968" s="39">
        <v>256.8599853515625</v>
      </c>
      <c r="C968" s="39">
        <v>235.38923645019531</v>
      </c>
      <c r="D968" s="41">
        <v>3696910</v>
      </c>
      <c r="E968" s="36" t="s">
        <v>651</v>
      </c>
      <c r="F968" s="36" t="s">
        <v>115</v>
      </c>
    </row>
    <row r="969" spans="1:6">
      <c r="A969" s="38">
        <v>43521.15625</v>
      </c>
      <c r="B969" s="39">
        <v>263.23001098632813</v>
      </c>
      <c r="C969" s="39">
        <v>241.22673034667969</v>
      </c>
      <c r="D969" s="41">
        <v>2904695</v>
      </c>
      <c r="E969" s="36" t="s">
        <v>651</v>
      </c>
      <c r="F969" s="36" t="s">
        <v>115</v>
      </c>
    </row>
    <row r="970" spans="1:6">
      <c r="A970" s="38">
        <v>43522.15625</v>
      </c>
      <c r="B970" s="39">
        <v>263.30999755859375</v>
      </c>
      <c r="C970" s="39">
        <v>241.30003356933594</v>
      </c>
      <c r="D970" s="41">
        <v>3802975</v>
      </c>
      <c r="E970" s="36" t="s">
        <v>651</v>
      </c>
      <c r="F970" s="36" t="s">
        <v>115</v>
      </c>
    </row>
    <row r="971" spans="1:6">
      <c r="A971" s="38">
        <v>43523.15625</v>
      </c>
      <c r="B971" s="39">
        <v>264.04000854492188</v>
      </c>
      <c r="C971" s="39">
        <v>241.96908569335938</v>
      </c>
      <c r="D971" s="41">
        <v>4110285</v>
      </c>
      <c r="E971" s="36" t="s">
        <v>651</v>
      </c>
      <c r="F971" s="36" t="s">
        <v>115</v>
      </c>
    </row>
    <row r="972" spans="1:6">
      <c r="A972" s="38">
        <v>43524.15625</v>
      </c>
      <c r="B972" s="39">
        <v>264.1400146484375</v>
      </c>
      <c r="C972" s="39">
        <v>242.06069946289063</v>
      </c>
      <c r="D972" s="41">
        <v>1850075</v>
      </c>
      <c r="E972" s="36" t="s">
        <v>651</v>
      </c>
      <c r="F972" s="36" t="s">
        <v>115</v>
      </c>
    </row>
    <row r="973" spans="1:6">
      <c r="A973" s="38">
        <v>43525.15625</v>
      </c>
      <c r="B973" s="39">
        <v>264.67999267578125</v>
      </c>
      <c r="C973" s="39">
        <v>242.5555419921875</v>
      </c>
      <c r="D973" s="41">
        <v>2919675</v>
      </c>
      <c r="E973" s="36" t="s">
        <v>651</v>
      </c>
      <c r="F973" s="36" t="s">
        <v>115</v>
      </c>
    </row>
    <row r="974" spans="1:6">
      <c r="A974" s="38">
        <v>43529.15625</v>
      </c>
      <c r="B974" s="39">
        <v>262.72000122070313</v>
      </c>
      <c r="C974" s="39">
        <v>240.75936889648438</v>
      </c>
      <c r="D974" s="41">
        <v>2047230</v>
      </c>
      <c r="E974" s="36" t="s">
        <v>651</v>
      </c>
      <c r="F974" s="36" t="s">
        <v>115</v>
      </c>
    </row>
    <row r="975" spans="1:6">
      <c r="A975" s="38">
        <v>43530.15625</v>
      </c>
      <c r="B975" s="39">
        <v>263.33999633789063</v>
      </c>
      <c r="C975" s="39">
        <v>241.32752990722656</v>
      </c>
      <c r="D975" s="41">
        <v>2697985</v>
      </c>
      <c r="E975" s="36" t="s">
        <v>651</v>
      </c>
      <c r="F975" s="36" t="s">
        <v>115</v>
      </c>
    </row>
    <row r="976" spans="1:6">
      <c r="A976" s="38">
        <v>43531.15625</v>
      </c>
      <c r="B976" s="39">
        <v>264.67999267578125</v>
      </c>
      <c r="C976" s="39">
        <v>242.5555419921875</v>
      </c>
      <c r="D976" s="41">
        <v>5681215</v>
      </c>
      <c r="E976" s="36" t="s">
        <v>651</v>
      </c>
      <c r="F976" s="36" t="s">
        <v>115</v>
      </c>
    </row>
    <row r="977" spans="1:6">
      <c r="A977" s="38">
        <v>43532.15625</v>
      </c>
      <c r="B977" s="39">
        <v>262.70999145507813</v>
      </c>
      <c r="C977" s="39">
        <v>240.75015258789063</v>
      </c>
      <c r="D977" s="41">
        <v>2570260</v>
      </c>
      <c r="E977" s="36" t="s">
        <v>651</v>
      </c>
      <c r="F977" s="36" t="s">
        <v>115</v>
      </c>
    </row>
    <row r="978" spans="1:6">
      <c r="A978" s="38">
        <v>43535.15625</v>
      </c>
      <c r="B978" s="39">
        <v>265.55999755859375</v>
      </c>
      <c r="C978" s="39">
        <v>243.36195373535156</v>
      </c>
      <c r="D978" s="41">
        <v>3039440</v>
      </c>
      <c r="E978" s="36" t="s">
        <v>651</v>
      </c>
      <c r="F978" s="36" t="s">
        <v>115</v>
      </c>
    </row>
    <row r="979" spans="1:6">
      <c r="A979" s="38">
        <v>43536.15625</v>
      </c>
      <c r="B979" s="39">
        <v>265.04998779296875</v>
      </c>
      <c r="C979" s="39">
        <v>242.89463806152344</v>
      </c>
      <c r="D979" s="41">
        <v>3202760</v>
      </c>
      <c r="E979" s="36" t="s">
        <v>651</v>
      </c>
      <c r="F979" s="36" t="s">
        <v>115</v>
      </c>
    </row>
    <row r="980" spans="1:6">
      <c r="A980" s="38">
        <v>43537.15625</v>
      </c>
      <c r="B980" s="39">
        <v>266.58999633789063</v>
      </c>
      <c r="C980" s="39">
        <v>244.30595397949219</v>
      </c>
      <c r="D980" s="41">
        <v>2811535</v>
      </c>
      <c r="E980" s="36" t="s">
        <v>651</v>
      </c>
      <c r="F980" s="36" t="s">
        <v>115</v>
      </c>
    </row>
    <row r="981" spans="1:6">
      <c r="A981" s="38">
        <v>43538.15625</v>
      </c>
      <c r="B981" s="39">
        <v>264.02999877929688</v>
      </c>
      <c r="C981" s="39">
        <v>241.95986938476563</v>
      </c>
      <c r="D981" s="41">
        <v>1786605</v>
      </c>
      <c r="E981" s="36" t="s">
        <v>651</v>
      </c>
      <c r="F981" s="36" t="s">
        <v>115</v>
      </c>
    </row>
    <row r="982" spans="1:6">
      <c r="A982" s="38">
        <v>43539.15625</v>
      </c>
      <c r="B982" s="39">
        <v>267.32998657226563</v>
      </c>
      <c r="C982" s="39">
        <v>244.98405456542969</v>
      </c>
      <c r="D982" s="41">
        <v>8347315</v>
      </c>
      <c r="E982" s="36" t="s">
        <v>651</v>
      </c>
      <c r="F982" s="36" t="s">
        <v>115</v>
      </c>
    </row>
    <row r="983" spans="1:6">
      <c r="A983" s="38">
        <v>43542.15625</v>
      </c>
      <c r="B983" s="39">
        <v>263.30999755859375</v>
      </c>
      <c r="C983" s="39">
        <v>241.30003356933594</v>
      </c>
      <c r="D983" s="41">
        <v>2493895</v>
      </c>
      <c r="E983" s="36" t="s">
        <v>651</v>
      </c>
      <c r="F983" s="36" t="s">
        <v>115</v>
      </c>
    </row>
    <row r="984" spans="1:6">
      <c r="A984" s="38">
        <v>43543.15625</v>
      </c>
      <c r="B984" s="39">
        <v>266.5</v>
      </c>
      <c r="C984" s="39">
        <v>244.22344970703125</v>
      </c>
      <c r="D984" s="41">
        <v>2088570</v>
      </c>
      <c r="E984" s="36" t="s">
        <v>651</v>
      </c>
      <c r="F984" s="36" t="s">
        <v>115</v>
      </c>
    </row>
    <row r="985" spans="1:6">
      <c r="A985" s="38">
        <v>43544.15625</v>
      </c>
      <c r="B985" s="39">
        <v>265.60000610351563</v>
      </c>
      <c r="C985" s="39">
        <v>243.39865112304688</v>
      </c>
      <c r="D985" s="41">
        <v>7075430</v>
      </c>
      <c r="E985" s="36" t="s">
        <v>651</v>
      </c>
      <c r="F985" s="36" t="s">
        <v>115</v>
      </c>
    </row>
    <row r="986" spans="1:6">
      <c r="A986" s="38">
        <v>43546.15625</v>
      </c>
      <c r="B986" s="39">
        <v>265.3699951171875</v>
      </c>
      <c r="C986" s="39">
        <v>243.18789672851563</v>
      </c>
      <c r="D986" s="41">
        <v>2005910</v>
      </c>
      <c r="E986" s="36" t="s">
        <v>651</v>
      </c>
      <c r="F986" s="36" t="s">
        <v>115</v>
      </c>
    </row>
    <row r="987" spans="1:6">
      <c r="A987" s="38">
        <v>43549.15625</v>
      </c>
      <c r="B987" s="39">
        <v>263.510009765625</v>
      </c>
      <c r="C987" s="39">
        <v>241.48332214355469</v>
      </c>
      <c r="D987" s="41">
        <v>1988060</v>
      </c>
      <c r="E987" s="36" t="s">
        <v>651</v>
      </c>
      <c r="F987" s="36" t="s">
        <v>115</v>
      </c>
    </row>
    <row r="988" spans="1:6">
      <c r="A988" s="38">
        <v>43550.15625</v>
      </c>
      <c r="B988" s="39">
        <v>261.42999267578125</v>
      </c>
      <c r="C988" s="39">
        <v>239.57722473144531</v>
      </c>
      <c r="D988" s="41">
        <v>2510460</v>
      </c>
      <c r="E988" s="36" t="s">
        <v>651</v>
      </c>
      <c r="F988" s="36" t="s">
        <v>115</v>
      </c>
    </row>
    <row r="989" spans="1:6">
      <c r="A989" s="38">
        <v>43551.15625</v>
      </c>
      <c r="B989" s="39">
        <v>263.1300048828125</v>
      </c>
      <c r="C989" s="39">
        <v>241.1351318359375</v>
      </c>
      <c r="D989" s="41">
        <v>1646615</v>
      </c>
      <c r="E989" s="36" t="s">
        <v>651</v>
      </c>
      <c r="F989" s="36" t="s">
        <v>115</v>
      </c>
    </row>
    <row r="990" spans="1:6">
      <c r="A990" s="38">
        <v>43552.15625</v>
      </c>
      <c r="B990" s="39">
        <v>266.79000854492188</v>
      </c>
      <c r="C990" s="39">
        <v>244.48921203613281</v>
      </c>
      <c r="D990" s="41">
        <v>3756740</v>
      </c>
      <c r="E990" s="36" t="s">
        <v>651</v>
      </c>
      <c r="F990" s="36" t="s">
        <v>115</v>
      </c>
    </row>
    <row r="991" spans="1:6">
      <c r="A991" s="38">
        <v>43556.15625</v>
      </c>
      <c r="B991" s="39">
        <v>266.79000854492188</v>
      </c>
      <c r="C991" s="39">
        <v>244.48921203613281</v>
      </c>
      <c r="D991" s="41">
        <v>1498990</v>
      </c>
      <c r="E991" s="36" t="s">
        <v>652</v>
      </c>
      <c r="F991" s="36" t="s">
        <v>115</v>
      </c>
    </row>
    <row r="992" spans="1:6">
      <c r="A992" s="38">
        <v>43557.15625</v>
      </c>
      <c r="B992" s="39">
        <v>270.22000122070313</v>
      </c>
      <c r="C992" s="39">
        <v>247.63240051269531</v>
      </c>
      <c r="D992" s="41">
        <v>4502195</v>
      </c>
      <c r="E992" s="36" t="s">
        <v>652</v>
      </c>
      <c r="F992" s="36" t="s">
        <v>115</v>
      </c>
    </row>
    <row r="993" spans="1:6">
      <c r="A993" s="38">
        <v>43558.15625</v>
      </c>
      <c r="B993" s="39">
        <v>267.8699951171875</v>
      </c>
      <c r="C993" s="39">
        <v>245.47895812988281</v>
      </c>
      <c r="D993" s="41">
        <v>2774825</v>
      </c>
      <c r="E993" s="36" t="s">
        <v>652</v>
      </c>
      <c r="F993" s="36" t="s">
        <v>115</v>
      </c>
    </row>
    <row r="994" spans="1:6">
      <c r="A994" s="38">
        <v>43559.15625</v>
      </c>
      <c r="B994" s="39">
        <v>265.1300048828125</v>
      </c>
      <c r="C994" s="39">
        <v>242.96797180175781</v>
      </c>
      <c r="D994" s="41">
        <v>1383570</v>
      </c>
      <c r="E994" s="36" t="s">
        <v>652</v>
      </c>
      <c r="F994" s="36" t="s">
        <v>115</v>
      </c>
    </row>
    <row r="995" spans="1:6">
      <c r="A995" s="38">
        <v>43560.15625</v>
      </c>
      <c r="B995" s="39">
        <v>269.6099853515625</v>
      </c>
      <c r="C995" s="39">
        <v>247.07344055175781</v>
      </c>
      <c r="D995" s="41">
        <v>3721970</v>
      </c>
      <c r="E995" s="36" t="s">
        <v>652</v>
      </c>
      <c r="F995" s="36" t="s">
        <v>115</v>
      </c>
    </row>
    <row r="996" spans="1:6">
      <c r="A996" s="38">
        <v>43563.15625</v>
      </c>
      <c r="B996" s="39">
        <v>260.33999633789063</v>
      </c>
      <c r="C996" s="39">
        <v>238.57830810546875</v>
      </c>
      <c r="D996" s="41">
        <v>8862990</v>
      </c>
      <c r="E996" s="36" t="s">
        <v>652</v>
      </c>
      <c r="F996" s="36" t="s">
        <v>115</v>
      </c>
    </row>
    <row r="997" spans="1:6">
      <c r="A997" s="38">
        <v>43564.15625</v>
      </c>
      <c r="B997" s="39">
        <v>259.70999145507813</v>
      </c>
      <c r="C997" s="39">
        <v>238.00100708007813</v>
      </c>
      <c r="D997" s="41">
        <v>3050880</v>
      </c>
      <c r="E997" s="36" t="s">
        <v>652</v>
      </c>
      <c r="F997" s="36" t="s">
        <v>115</v>
      </c>
    </row>
    <row r="998" spans="1:6">
      <c r="A998" s="38">
        <v>43565.15625</v>
      </c>
      <c r="B998" s="39">
        <v>259.6099853515625</v>
      </c>
      <c r="C998" s="39">
        <v>237.90934753417969</v>
      </c>
      <c r="D998" s="41">
        <v>1987740</v>
      </c>
      <c r="E998" s="36" t="s">
        <v>652</v>
      </c>
      <c r="F998" s="36" t="s">
        <v>115</v>
      </c>
    </row>
    <row r="999" spans="1:6">
      <c r="A999" s="38">
        <v>43566.15625</v>
      </c>
      <c r="B999" s="39">
        <v>259.69000244140625</v>
      </c>
      <c r="C999" s="39">
        <v>237.98262023925781</v>
      </c>
      <c r="D999" s="41">
        <v>1285300</v>
      </c>
      <c r="E999" s="36" t="s">
        <v>652</v>
      </c>
      <c r="F999" s="36" t="s">
        <v>115</v>
      </c>
    </row>
    <row r="1000" spans="1:6">
      <c r="A1000" s="38">
        <v>43567.15625</v>
      </c>
      <c r="B1000" s="39">
        <v>259.55999755859375</v>
      </c>
      <c r="C1000" s="39">
        <v>237.86349487304688</v>
      </c>
      <c r="D1000" s="41">
        <v>1251275</v>
      </c>
      <c r="E1000" s="36" t="s">
        <v>652</v>
      </c>
      <c r="F1000" s="36" t="s">
        <v>115</v>
      </c>
    </row>
    <row r="1001" spans="1:6">
      <c r="A1001" s="38">
        <v>43570.15625</v>
      </c>
      <c r="B1001" s="39">
        <v>258.70001220703125</v>
      </c>
      <c r="C1001" s="39">
        <v>237.075439453125</v>
      </c>
      <c r="D1001" s="41">
        <v>1452230</v>
      </c>
      <c r="E1001" s="36" t="s">
        <v>652</v>
      </c>
      <c r="F1001" s="36" t="s">
        <v>115</v>
      </c>
    </row>
    <row r="1002" spans="1:6">
      <c r="A1002" s="38">
        <v>43571.15625</v>
      </c>
      <c r="B1002" s="39">
        <v>259.41000366210938</v>
      </c>
      <c r="C1002" s="39">
        <v>237.72607421875</v>
      </c>
      <c r="D1002" s="41">
        <v>1760080</v>
      </c>
      <c r="E1002" s="36" t="s">
        <v>652</v>
      </c>
      <c r="F1002" s="36" t="s">
        <v>115</v>
      </c>
    </row>
    <row r="1003" spans="1:6">
      <c r="A1003" s="38">
        <v>43573.145833333336</v>
      </c>
      <c r="B1003" s="39">
        <v>262.89999389648438</v>
      </c>
      <c r="C1003" s="39">
        <v>240.92430114746094</v>
      </c>
      <c r="D1003" s="41">
        <v>3609555</v>
      </c>
      <c r="E1003" s="36" t="s">
        <v>652</v>
      </c>
      <c r="F1003" s="36" t="s">
        <v>115</v>
      </c>
    </row>
    <row r="1004" spans="1:6">
      <c r="A1004" s="38">
        <v>43577.15625</v>
      </c>
      <c r="B1004" s="39">
        <v>263.82000732421875</v>
      </c>
      <c r="C1004" s="39">
        <v>241.76744079589844</v>
      </c>
      <c r="D1004" s="41">
        <v>1784420</v>
      </c>
      <c r="E1004" s="36" t="s">
        <v>652</v>
      </c>
      <c r="F1004" s="36" t="s">
        <v>115</v>
      </c>
    </row>
    <row r="1005" spans="1:6">
      <c r="A1005" s="38">
        <v>43578.15625</v>
      </c>
      <c r="B1005" s="39">
        <v>260.73001098632813</v>
      </c>
      <c r="C1005" s="39">
        <v>238.93571472167969</v>
      </c>
      <c r="D1005" s="41">
        <v>1017140</v>
      </c>
      <c r="E1005" s="36" t="s">
        <v>652</v>
      </c>
      <c r="F1005" s="36" t="s">
        <v>115</v>
      </c>
    </row>
    <row r="1006" spans="1:6">
      <c r="A1006" s="38">
        <v>43579.15625</v>
      </c>
      <c r="B1006" s="39">
        <v>261.92999267578125</v>
      </c>
      <c r="C1006" s="39">
        <v>240.03541564941406</v>
      </c>
      <c r="D1006" s="41">
        <v>764825</v>
      </c>
      <c r="E1006" s="36" t="s">
        <v>652</v>
      </c>
      <c r="F1006" s="36" t="s">
        <v>115</v>
      </c>
    </row>
    <row r="1007" spans="1:6">
      <c r="A1007" s="38">
        <v>43580.15625</v>
      </c>
      <c r="B1007" s="39">
        <v>260.26998901367188</v>
      </c>
      <c r="C1007" s="39">
        <v>238.51417541503906</v>
      </c>
      <c r="D1007" s="41">
        <v>1151520</v>
      </c>
      <c r="E1007" s="36" t="s">
        <v>652</v>
      </c>
      <c r="F1007" s="36" t="s">
        <v>115</v>
      </c>
    </row>
    <row r="1008" spans="1:6">
      <c r="A1008" s="38">
        <v>43581.15625</v>
      </c>
      <c r="B1008" s="39">
        <v>262.79998779296875</v>
      </c>
      <c r="C1008" s="39">
        <v>240.83270263671875</v>
      </c>
      <c r="D1008" s="41">
        <v>1333745</v>
      </c>
      <c r="E1008" s="36" t="s">
        <v>652</v>
      </c>
      <c r="F1008" s="36" t="s">
        <v>115</v>
      </c>
    </row>
    <row r="1009" spans="1:6">
      <c r="A1009" s="38">
        <v>43585.15625</v>
      </c>
      <c r="B1009" s="39">
        <v>258.70001220703125</v>
      </c>
      <c r="C1009" s="39">
        <v>237.075439453125</v>
      </c>
      <c r="D1009" s="41">
        <v>1925190</v>
      </c>
      <c r="E1009" s="36" t="s">
        <v>652</v>
      </c>
      <c r="F1009" s="36" t="s">
        <v>115</v>
      </c>
    </row>
    <row r="1010" spans="1:6">
      <c r="A1010" s="38">
        <v>43587.15625</v>
      </c>
      <c r="B1010" s="39">
        <v>256.51998901367188</v>
      </c>
      <c r="C1010" s="39">
        <v>235.07763671875</v>
      </c>
      <c r="D1010" s="41">
        <v>1763325</v>
      </c>
      <c r="E1010" s="36" t="s">
        <v>652</v>
      </c>
      <c r="F1010" s="36" t="s">
        <v>115</v>
      </c>
    </row>
    <row r="1011" spans="1:6">
      <c r="A1011" s="38">
        <v>43588.15625</v>
      </c>
      <c r="B1011" s="39">
        <v>253.50999450683594</v>
      </c>
      <c r="C1011" s="39">
        <v>232.31924438476563</v>
      </c>
      <c r="D1011" s="41">
        <v>2706590</v>
      </c>
      <c r="E1011" s="36" t="s">
        <v>652</v>
      </c>
      <c r="F1011" s="36" t="s">
        <v>115</v>
      </c>
    </row>
    <row r="1012" spans="1:6">
      <c r="A1012" s="38">
        <v>43591.15625</v>
      </c>
      <c r="B1012" s="39">
        <v>251.91000366210938</v>
      </c>
      <c r="C1012" s="39">
        <v>230.85298156738281</v>
      </c>
      <c r="D1012" s="41">
        <v>5164720</v>
      </c>
      <c r="E1012" s="36" t="s">
        <v>652</v>
      </c>
      <c r="F1012" s="36" t="s">
        <v>115</v>
      </c>
    </row>
    <row r="1013" spans="1:6">
      <c r="A1013" s="38">
        <v>43592.145833333336</v>
      </c>
      <c r="B1013" s="39">
        <v>251.16999816894531</v>
      </c>
      <c r="C1013" s="39">
        <v>230.17483520507813</v>
      </c>
      <c r="D1013" s="41">
        <v>1446750</v>
      </c>
      <c r="E1013" s="36" t="s">
        <v>652</v>
      </c>
      <c r="F1013" s="36" t="s">
        <v>115</v>
      </c>
    </row>
    <row r="1014" spans="1:6">
      <c r="A1014" s="38">
        <v>43593.15625</v>
      </c>
      <c r="B1014" s="39">
        <v>247.41999816894531</v>
      </c>
      <c r="C1014" s="39">
        <v>226.73831176757813</v>
      </c>
      <c r="D1014" s="41">
        <v>3851895</v>
      </c>
      <c r="E1014" s="36" t="s">
        <v>652</v>
      </c>
      <c r="F1014" s="36" t="s">
        <v>115</v>
      </c>
    </row>
    <row r="1015" spans="1:6">
      <c r="A1015" s="38">
        <v>43594.15625</v>
      </c>
      <c r="B1015" s="39">
        <v>246.1199951171875</v>
      </c>
      <c r="C1015" s="39">
        <v>225.54696655273438</v>
      </c>
      <c r="D1015" s="41">
        <v>2184160</v>
      </c>
      <c r="E1015" s="36" t="s">
        <v>652</v>
      </c>
      <c r="F1015" s="36" t="s">
        <v>115</v>
      </c>
    </row>
    <row r="1016" spans="1:6">
      <c r="A1016" s="38">
        <v>43595.15625</v>
      </c>
      <c r="B1016" s="39">
        <v>248.94000244140625</v>
      </c>
      <c r="C1016" s="39">
        <v>228.13125610351563</v>
      </c>
      <c r="D1016" s="41">
        <v>3296455</v>
      </c>
      <c r="E1016" s="36" t="s">
        <v>652</v>
      </c>
      <c r="F1016" s="36" t="s">
        <v>115</v>
      </c>
    </row>
    <row r="1017" spans="1:6">
      <c r="A1017" s="38">
        <v>43598.15625</v>
      </c>
      <c r="B1017" s="39">
        <v>249.78999328613281</v>
      </c>
      <c r="C1017" s="39">
        <v>228.91020202636719</v>
      </c>
      <c r="D1017" s="41">
        <v>2423460</v>
      </c>
      <c r="E1017" s="36" t="s">
        <v>652</v>
      </c>
      <c r="F1017" s="36" t="s">
        <v>115</v>
      </c>
    </row>
    <row r="1018" spans="1:6">
      <c r="A1018" s="38">
        <v>43599.15625</v>
      </c>
      <c r="B1018" s="39">
        <v>251.08999633789063</v>
      </c>
      <c r="C1018" s="39">
        <v>230.1015625</v>
      </c>
      <c r="D1018" s="41">
        <v>1373580</v>
      </c>
      <c r="E1018" s="36" t="s">
        <v>652</v>
      </c>
      <c r="F1018" s="36" t="s">
        <v>115</v>
      </c>
    </row>
    <row r="1019" spans="1:6">
      <c r="A1019" s="38">
        <v>43600.15625</v>
      </c>
      <c r="B1019" s="39">
        <v>252</v>
      </c>
      <c r="C1019" s="39">
        <v>230.93547058105469</v>
      </c>
      <c r="D1019" s="41">
        <v>1989775</v>
      </c>
      <c r="E1019" s="36" t="s">
        <v>652</v>
      </c>
      <c r="F1019" s="36" t="s">
        <v>115</v>
      </c>
    </row>
    <row r="1020" spans="1:6">
      <c r="A1020" s="38">
        <v>43601.15625</v>
      </c>
      <c r="B1020" s="39">
        <v>253.75999450683594</v>
      </c>
      <c r="C1020" s="39">
        <v>232.54835510253906</v>
      </c>
      <c r="D1020" s="41">
        <v>1819460</v>
      </c>
      <c r="E1020" s="36" t="s">
        <v>652</v>
      </c>
      <c r="F1020" s="36" t="s">
        <v>115</v>
      </c>
    </row>
    <row r="1021" spans="1:6">
      <c r="A1021" s="38">
        <v>43602.15625</v>
      </c>
      <c r="B1021" s="39">
        <v>252.52999877929688</v>
      </c>
      <c r="C1021" s="39">
        <v>231.42120361328125</v>
      </c>
      <c r="D1021" s="41">
        <v>962055</v>
      </c>
      <c r="E1021" s="36" t="s">
        <v>652</v>
      </c>
      <c r="F1021" s="36" t="s">
        <v>115</v>
      </c>
    </row>
    <row r="1022" spans="1:6">
      <c r="A1022" s="38">
        <v>43605.15625</v>
      </c>
      <c r="B1022" s="39">
        <v>253.72000122070313</v>
      </c>
      <c r="C1022" s="39">
        <v>232.51168823242188</v>
      </c>
      <c r="D1022" s="41">
        <v>795700</v>
      </c>
      <c r="E1022" s="36" t="s">
        <v>652</v>
      </c>
      <c r="F1022" s="36" t="s">
        <v>115</v>
      </c>
    </row>
    <row r="1023" spans="1:6">
      <c r="A1023" s="38">
        <v>43606.15625</v>
      </c>
      <c r="B1023" s="39">
        <v>258.47000122070313</v>
      </c>
      <c r="C1023" s="39">
        <v>236.8646240234375</v>
      </c>
      <c r="D1023" s="41">
        <v>3387260</v>
      </c>
      <c r="E1023" s="36" t="s">
        <v>652</v>
      </c>
      <c r="F1023" s="36" t="s">
        <v>115</v>
      </c>
    </row>
    <row r="1024" spans="1:6">
      <c r="A1024" s="38">
        <v>43607.15625</v>
      </c>
      <c r="B1024" s="39">
        <v>256.79998779296875</v>
      </c>
      <c r="C1024" s="39">
        <v>235.33425903320313</v>
      </c>
      <c r="D1024" s="41">
        <v>1741360</v>
      </c>
      <c r="E1024" s="36" t="s">
        <v>652</v>
      </c>
      <c r="F1024" s="36" t="s">
        <v>115</v>
      </c>
    </row>
    <row r="1025" spans="1:6">
      <c r="A1025" s="38">
        <v>43608.15625</v>
      </c>
      <c r="B1025" s="39">
        <v>256.35000610351563</v>
      </c>
      <c r="C1025" s="39">
        <v>234.92182922363281</v>
      </c>
      <c r="D1025" s="41">
        <v>1254735</v>
      </c>
      <c r="E1025" s="36" t="s">
        <v>652</v>
      </c>
      <c r="F1025" s="36" t="s">
        <v>115</v>
      </c>
    </row>
    <row r="1026" spans="1:6">
      <c r="A1026" s="38">
        <v>43609.15625</v>
      </c>
      <c r="B1026" s="39">
        <v>253.6199951171875</v>
      </c>
      <c r="C1026" s="39">
        <v>232.4200439453125</v>
      </c>
      <c r="D1026" s="41">
        <v>2714720</v>
      </c>
      <c r="E1026" s="36" t="s">
        <v>652</v>
      </c>
      <c r="F1026" s="36" t="s">
        <v>115</v>
      </c>
    </row>
    <row r="1027" spans="1:6">
      <c r="A1027" s="38">
        <v>43612.15625</v>
      </c>
      <c r="B1027" s="39">
        <v>255.30000305175781</v>
      </c>
      <c r="C1027" s="39">
        <v>233.95964050292969</v>
      </c>
      <c r="D1027" s="41">
        <v>1561360</v>
      </c>
      <c r="E1027" s="36" t="s">
        <v>652</v>
      </c>
      <c r="F1027" s="36" t="s">
        <v>115</v>
      </c>
    </row>
    <row r="1028" spans="1:6">
      <c r="A1028" s="38">
        <v>43613.15625</v>
      </c>
      <c r="B1028" s="39">
        <v>253.5</v>
      </c>
      <c r="C1028" s="39">
        <v>232.31005859375</v>
      </c>
      <c r="D1028" s="41">
        <v>3282775</v>
      </c>
      <c r="E1028" s="36" t="s">
        <v>652</v>
      </c>
      <c r="F1028" s="36" t="s">
        <v>115</v>
      </c>
    </row>
    <row r="1029" spans="1:6">
      <c r="A1029" s="38">
        <v>43614.15625</v>
      </c>
      <c r="B1029" s="39">
        <v>257.010009765625</v>
      </c>
      <c r="C1029" s="39">
        <v>235.52671813964844</v>
      </c>
      <c r="D1029" s="41">
        <v>5147195</v>
      </c>
      <c r="E1029" s="36" t="s">
        <v>652</v>
      </c>
      <c r="F1029" s="36" t="s">
        <v>115</v>
      </c>
    </row>
    <row r="1030" spans="1:6">
      <c r="A1030" s="38">
        <v>43615.15625</v>
      </c>
      <c r="B1030" s="39">
        <v>261.6400146484375</v>
      </c>
      <c r="C1030" s="39">
        <v>239.76968383789063</v>
      </c>
      <c r="D1030" s="41">
        <v>4466365</v>
      </c>
      <c r="E1030" s="36" t="s">
        <v>652</v>
      </c>
      <c r="F1030" s="36" t="s">
        <v>115</v>
      </c>
    </row>
    <row r="1031" spans="1:6">
      <c r="A1031" s="38">
        <v>43616.15625</v>
      </c>
      <c r="B1031" s="39">
        <v>261.33999633789063</v>
      </c>
      <c r="C1031" s="39">
        <v>239.49473571777344</v>
      </c>
      <c r="D1031" s="41">
        <v>1902265</v>
      </c>
      <c r="E1031" s="36" t="s">
        <v>652</v>
      </c>
      <c r="F1031" s="36" t="s">
        <v>115</v>
      </c>
    </row>
    <row r="1032" spans="1:6">
      <c r="A1032" s="38">
        <v>43619.15625</v>
      </c>
      <c r="B1032" s="39">
        <v>262.30999755859375</v>
      </c>
      <c r="C1032" s="39">
        <v>240.38363647460938</v>
      </c>
      <c r="D1032" s="41">
        <v>975040</v>
      </c>
      <c r="E1032" s="36" t="s">
        <v>652</v>
      </c>
      <c r="F1032" s="36" t="s">
        <v>115</v>
      </c>
    </row>
    <row r="1033" spans="1:6">
      <c r="A1033" s="38">
        <v>43620.15625</v>
      </c>
      <c r="B1033" s="39">
        <v>261.1400146484375</v>
      </c>
      <c r="C1033" s="39">
        <v>239.31146240234375</v>
      </c>
      <c r="D1033" s="41">
        <v>1205835</v>
      </c>
      <c r="E1033" s="36" t="s">
        <v>652</v>
      </c>
      <c r="F1033" s="36" t="s">
        <v>115</v>
      </c>
    </row>
    <row r="1034" spans="1:6">
      <c r="A1034" s="38">
        <v>43622.15625</v>
      </c>
      <c r="B1034" s="39">
        <v>262.42001342773438</v>
      </c>
      <c r="C1034" s="39">
        <v>240.4844970703125</v>
      </c>
      <c r="D1034" s="41">
        <v>2447680</v>
      </c>
      <c r="E1034" s="36" t="s">
        <v>652</v>
      </c>
      <c r="F1034" s="36" t="s">
        <v>115</v>
      </c>
    </row>
    <row r="1035" spans="1:6">
      <c r="A1035" s="38">
        <v>43623.15625</v>
      </c>
      <c r="B1035" s="39">
        <v>264.48001098632813</v>
      </c>
      <c r="C1035" s="39">
        <v>242.37228393554688</v>
      </c>
      <c r="D1035" s="41">
        <v>2195410</v>
      </c>
      <c r="E1035" s="36" t="s">
        <v>652</v>
      </c>
      <c r="F1035" s="36" t="s">
        <v>115</v>
      </c>
    </row>
    <row r="1036" spans="1:6">
      <c r="A1036" s="38">
        <v>43626.15625</v>
      </c>
      <c r="B1036" s="39">
        <v>267.32998657226563</v>
      </c>
      <c r="C1036" s="39">
        <v>244.98405456542969</v>
      </c>
      <c r="D1036" s="41">
        <v>3969945</v>
      </c>
      <c r="E1036" s="36" t="s">
        <v>652</v>
      </c>
      <c r="F1036" s="36" t="s">
        <v>115</v>
      </c>
    </row>
    <row r="1037" spans="1:6">
      <c r="A1037" s="38">
        <v>43627.15625</v>
      </c>
      <c r="B1037" s="39">
        <v>268.1300048828125</v>
      </c>
      <c r="C1037" s="39">
        <v>245.71719360351563</v>
      </c>
      <c r="D1037" s="41">
        <v>1484470</v>
      </c>
      <c r="E1037" s="36" t="s">
        <v>652</v>
      </c>
      <c r="F1037" s="36" t="s">
        <v>115</v>
      </c>
    </row>
    <row r="1038" spans="1:6">
      <c r="A1038" s="38">
        <v>43628.15625</v>
      </c>
      <c r="B1038" s="39">
        <v>268.07998657226563</v>
      </c>
      <c r="C1038" s="39">
        <v>245.67134094238281</v>
      </c>
      <c r="D1038" s="41">
        <v>1613995</v>
      </c>
      <c r="E1038" s="36" t="s">
        <v>652</v>
      </c>
      <c r="F1038" s="36" t="s">
        <v>115</v>
      </c>
    </row>
    <row r="1039" spans="1:6">
      <c r="A1039" s="38">
        <v>43629.15625</v>
      </c>
      <c r="B1039" s="39">
        <v>268.01998901367188</v>
      </c>
      <c r="C1039" s="39">
        <v>245.61637878417969</v>
      </c>
      <c r="D1039" s="41">
        <v>908425</v>
      </c>
      <c r="E1039" s="36" t="s">
        <v>652</v>
      </c>
      <c r="F1039" s="36" t="s">
        <v>115</v>
      </c>
    </row>
    <row r="1040" spans="1:6">
      <c r="A1040" s="38">
        <v>43630.15625</v>
      </c>
      <c r="B1040" s="39">
        <v>264</v>
      </c>
      <c r="C1040" s="39">
        <v>241.93240356445313</v>
      </c>
      <c r="D1040" s="41">
        <v>2456370</v>
      </c>
      <c r="E1040" s="36" t="s">
        <v>652</v>
      </c>
      <c r="F1040" s="36" t="s">
        <v>115</v>
      </c>
    </row>
    <row r="1041" spans="1:6">
      <c r="A1041" s="38">
        <v>43633.15625</v>
      </c>
      <c r="B1041" s="39">
        <v>263.64999389648438</v>
      </c>
      <c r="C1041" s="39">
        <v>241.61164855957031</v>
      </c>
      <c r="D1041" s="41">
        <v>405580</v>
      </c>
      <c r="E1041" s="36" t="s">
        <v>652</v>
      </c>
      <c r="F1041" s="36" t="s">
        <v>115</v>
      </c>
    </row>
    <row r="1042" spans="1:6">
      <c r="A1042" s="38">
        <v>43634.15625</v>
      </c>
      <c r="B1042" s="39">
        <v>264.54000854492188</v>
      </c>
      <c r="C1042" s="39">
        <v>242.42727661132813</v>
      </c>
      <c r="D1042" s="41">
        <v>515870</v>
      </c>
      <c r="E1042" s="36" t="s">
        <v>652</v>
      </c>
      <c r="F1042" s="36" t="s">
        <v>115</v>
      </c>
    </row>
    <row r="1043" spans="1:6">
      <c r="A1043" s="38">
        <v>43635.15625</v>
      </c>
      <c r="B1043" s="39">
        <v>260.64999389648438</v>
      </c>
      <c r="C1043" s="39">
        <v>238.86245727539063</v>
      </c>
      <c r="D1043" s="41">
        <v>2848495</v>
      </c>
      <c r="E1043" s="36" t="s">
        <v>652</v>
      </c>
      <c r="F1043" s="36" t="s">
        <v>115</v>
      </c>
    </row>
    <row r="1044" spans="1:6">
      <c r="A1044" s="38">
        <v>43636.15625</v>
      </c>
      <c r="B1044" s="39">
        <v>262.04000854492188</v>
      </c>
      <c r="C1044" s="39">
        <v>240.13624572753906</v>
      </c>
      <c r="D1044" s="41">
        <v>890965</v>
      </c>
      <c r="E1044" s="36" t="s">
        <v>652</v>
      </c>
      <c r="F1044" s="36" t="s">
        <v>115</v>
      </c>
    </row>
    <row r="1045" spans="1:6">
      <c r="A1045" s="38">
        <v>43637.15625</v>
      </c>
      <c r="B1045" s="39">
        <v>261.57998657226563</v>
      </c>
      <c r="C1045" s="39">
        <v>239.71464538574219</v>
      </c>
      <c r="D1045" s="41">
        <v>2403595</v>
      </c>
      <c r="E1045" s="36" t="s">
        <v>652</v>
      </c>
      <c r="F1045" s="36" t="s">
        <v>115</v>
      </c>
    </row>
    <row r="1046" spans="1:6">
      <c r="A1046" s="38">
        <v>43640.15625</v>
      </c>
      <c r="B1046" s="39">
        <v>263.95999145507813</v>
      </c>
      <c r="C1046" s="39">
        <v>241.89576721191406</v>
      </c>
      <c r="D1046" s="41">
        <v>1557030</v>
      </c>
      <c r="E1046" s="36" t="s">
        <v>652</v>
      </c>
      <c r="F1046" s="36" t="s">
        <v>115</v>
      </c>
    </row>
    <row r="1047" spans="1:6">
      <c r="A1047" s="38">
        <v>43641.15625</v>
      </c>
      <c r="B1047" s="39">
        <v>268.1400146484375</v>
      </c>
      <c r="C1047" s="39">
        <v>245.72627258300781</v>
      </c>
      <c r="D1047" s="41">
        <v>2756430</v>
      </c>
      <c r="E1047" s="36" t="s">
        <v>652</v>
      </c>
      <c r="F1047" s="36" t="s">
        <v>115</v>
      </c>
    </row>
    <row r="1048" spans="1:6">
      <c r="A1048" s="38">
        <v>43642.15625</v>
      </c>
      <c r="B1048" s="39">
        <v>266.45001220703125</v>
      </c>
      <c r="C1048" s="39">
        <v>244.17762756347656</v>
      </c>
      <c r="D1048" s="41">
        <v>1697985</v>
      </c>
      <c r="E1048" s="36" t="s">
        <v>652</v>
      </c>
      <c r="F1048" s="36" t="s">
        <v>115</v>
      </c>
    </row>
    <row r="1049" spans="1:6">
      <c r="A1049" s="38">
        <v>43643.15625</v>
      </c>
      <c r="B1049" s="39">
        <v>267.17001342773438</v>
      </c>
      <c r="C1049" s="39">
        <v>244.83744812011719</v>
      </c>
      <c r="D1049" s="41">
        <v>1515520</v>
      </c>
      <c r="E1049" s="36" t="s">
        <v>652</v>
      </c>
      <c r="F1049" s="36" t="s">
        <v>115</v>
      </c>
    </row>
    <row r="1050" spans="1:6">
      <c r="A1050" s="38">
        <v>43644.15625</v>
      </c>
      <c r="B1050" s="39">
        <v>269.01998901367188</v>
      </c>
      <c r="C1050" s="39">
        <v>246.53273010253906</v>
      </c>
      <c r="D1050" s="41">
        <v>3570990</v>
      </c>
      <c r="E1050" s="36" t="s">
        <v>652</v>
      </c>
      <c r="F1050" s="36" t="s">
        <v>115</v>
      </c>
    </row>
    <row r="1051" spans="1:6">
      <c r="A1051" s="38">
        <v>43647.15625</v>
      </c>
      <c r="B1051" s="39">
        <v>270.1400146484375</v>
      </c>
      <c r="C1051" s="39">
        <v>247.55915832519531</v>
      </c>
      <c r="D1051" s="41">
        <v>1286730</v>
      </c>
      <c r="E1051" s="36" t="s">
        <v>652</v>
      </c>
      <c r="F1051" s="36" t="s">
        <v>115</v>
      </c>
    </row>
    <row r="1052" spans="1:6">
      <c r="A1052" s="38">
        <v>43648.15625</v>
      </c>
      <c r="B1052" s="39">
        <v>269.17001342773438</v>
      </c>
      <c r="C1052" s="39">
        <v>246.67036437988281</v>
      </c>
      <c r="D1052" s="41">
        <v>1168075</v>
      </c>
      <c r="E1052" s="36" t="s">
        <v>652</v>
      </c>
      <c r="F1052" s="36" t="s">
        <v>115</v>
      </c>
    </row>
    <row r="1053" spans="1:6">
      <c r="A1053" s="38">
        <v>43649.15625</v>
      </c>
      <c r="B1053" s="39">
        <v>266.73001098632813</v>
      </c>
      <c r="C1053" s="39">
        <v>244.43421936035156</v>
      </c>
      <c r="D1053" s="41">
        <v>835165</v>
      </c>
      <c r="E1053" s="36" t="s">
        <v>652</v>
      </c>
      <c r="F1053" s="36" t="s">
        <v>115</v>
      </c>
    </row>
    <row r="1054" spans="1:6">
      <c r="A1054" s="38">
        <v>43650.15625</v>
      </c>
      <c r="B1054" s="39">
        <v>267.6300048828125</v>
      </c>
      <c r="C1054" s="39">
        <v>245.25895690917969</v>
      </c>
      <c r="D1054" s="41">
        <v>1582615</v>
      </c>
      <c r="E1054" s="36" t="s">
        <v>652</v>
      </c>
      <c r="F1054" s="36" t="s">
        <v>115</v>
      </c>
    </row>
    <row r="1055" spans="1:6">
      <c r="A1055" s="38">
        <v>43651.15625</v>
      </c>
      <c r="B1055" s="39">
        <v>264.70001220703125</v>
      </c>
      <c r="C1055" s="39">
        <v>242.57388305664063</v>
      </c>
      <c r="D1055" s="41">
        <v>718165</v>
      </c>
      <c r="E1055" s="36" t="s">
        <v>652</v>
      </c>
      <c r="F1055" s="36" t="s">
        <v>115</v>
      </c>
    </row>
    <row r="1056" spans="1:6">
      <c r="A1056" s="38">
        <v>43654.15625</v>
      </c>
      <c r="B1056" s="39">
        <v>262.20999145507813</v>
      </c>
      <c r="C1056" s="39">
        <v>240.29202270507813</v>
      </c>
      <c r="D1056" s="41">
        <v>2211375</v>
      </c>
      <c r="E1056" s="36" t="s">
        <v>652</v>
      </c>
      <c r="F1056" s="36" t="s">
        <v>115</v>
      </c>
    </row>
    <row r="1057" spans="1:6">
      <c r="A1057" s="38">
        <v>43655.15625</v>
      </c>
      <c r="B1057" s="39">
        <v>262.95001220703125</v>
      </c>
      <c r="C1057" s="39">
        <v>240.97015380859375</v>
      </c>
      <c r="D1057" s="41">
        <v>7587930</v>
      </c>
      <c r="E1057" s="36" t="s">
        <v>652</v>
      </c>
      <c r="F1057" s="36" t="s">
        <v>115</v>
      </c>
    </row>
    <row r="1058" spans="1:6">
      <c r="A1058" s="38">
        <v>43656.15625</v>
      </c>
      <c r="B1058" s="39">
        <v>261.75</v>
      </c>
      <c r="C1058" s="39">
        <v>239.8704833984375</v>
      </c>
      <c r="D1058" s="41">
        <v>4411550</v>
      </c>
      <c r="E1058" s="36" t="s">
        <v>652</v>
      </c>
      <c r="F1058" s="36" t="s">
        <v>115</v>
      </c>
    </row>
    <row r="1059" spans="1:6">
      <c r="A1059" s="38">
        <v>43657.15625</v>
      </c>
      <c r="B1059" s="39">
        <v>263.45001220703125</v>
      </c>
      <c r="C1059" s="39">
        <v>241.42840576171875</v>
      </c>
      <c r="D1059" s="41">
        <v>5448060</v>
      </c>
      <c r="E1059" s="36" t="s">
        <v>652</v>
      </c>
      <c r="F1059" s="36" t="s">
        <v>115</v>
      </c>
    </row>
    <row r="1060" spans="1:6">
      <c r="A1060" s="38">
        <v>43658.15625</v>
      </c>
      <c r="B1060" s="39">
        <v>269.489990234375</v>
      </c>
      <c r="C1060" s="39">
        <v>246.96347045898438</v>
      </c>
      <c r="D1060" s="41">
        <v>6595855</v>
      </c>
      <c r="E1060" s="36" t="s">
        <v>652</v>
      </c>
      <c r="F1060" s="36" t="s">
        <v>115</v>
      </c>
    </row>
    <row r="1061" spans="1:6">
      <c r="A1061" s="38">
        <v>43661.15625</v>
      </c>
      <c r="B1061" s="39">
        <v>269.16000366210938</v>
      </c>
      <c r="C1061" s="39">
        <v>246.66110229492188</v>
      </c>
      <c r="D1061" s="41">
        <v>1897985</v>
      </c>
      <c r="E1061" s="36" t="s">
        <v>652</v>
      </c>
      <c r="F1061" s="36" t="s">
        <v>115</v>
      </c>
    </row>
    <row r="1062" spans="1:6">
      <c r="A1062" s="38">
        <v>43662.15625</v>
      </c>
      <c r="B1062" s="39">
        <v>269.04000854492188</v>
      </c>
      <c r="C1062" s="39">
        <v>246.55116271972656</v>
      </c>
      <c r="D1062" s="41">
        <v>1247020</v>
      </c>
      <c r="E1062" s="36" t="s">
        <v>652</v>
      </c>
      <c r="F1062" s="36" t="s">
        <v>115</v>
      </c>
    </row>
    <row r="1063" spans="1:6">
      <c r="A1063" s="38">
        <v>43663.15625</v>
      </c>
      <c r="B1063" s="39">
        <v>269.17999267578125</v>
      </c>
      <c r="C1063" s="39">
        <v>246.67945861816406</v>
      </c>
      <c r="D1063" s="41">
        <v>2364310</v>
      </c>
      <c r="E1063" s="36" t="s">
        <v>652</v>
      </c>
      <c r="F1063" s="36" t="s">
        <v>115</v>
      </c>
    </row>
    <row r="1064" spans="1:6">
      <c r="A1064" s="38">
        <v>43664.15625</v>
      </c>
      <c r="B1064" s="39">
        <v>268.489990234375</v>
      </c>
      <c r="C1064" s="39">
        <v>246.04708862304688</v>
      </c>
      <c r="D1064" s="41">
        <v>2168000</v>
      </c>
      <c r="E1064" s="36" t="s">
        <v>652</v>
      </c>
      <c r="F1064" s="36" t="s">
        <v>115</v>
      </c>
    </row>
    <row r="1065" spans="1:6">
      <c r="A1065" s="38">
        <v>43665.15625</v>
      </c>
      <c r="B1065" s="39">
        <v>269.35000610351563</v>
      </c>
      <c r="C1065" s="39">
        <v>246.83525085449219</v>
      </c>
      <c r="D1065" s="41">
        <v>2734660</v>
      </c>
      <c r="E1065" s="36" t="s">
        <v>652</v>
      </c>
      <c r="F1065" s="36" t="s">
        <v>115</v>
      </c>
    </row>
    <row r="1066" spans="1:6">
      <c r="A1066" s="38">
        <v>43668.15625</v>
      </c>
      <c r="B1066" s="39">
        <v>268.69000244140625</v>
      </c>
      <c r="C1066" s="39">
        <v>246.23040771484375</v>
      </c>
      <c r="D1066" s="41">
        <v>2017795</v>
      </c>
      <c r="E1066" s="36" t="s">
        <v>652</v>
      </c>
      <c r="F1066" s="36" t="s">
        <v>115</v>
      </c>
    </row>
    <row r="1067" spans="1:6">
      <c r="A1067" s="38">
        <v>43669.15625</v>
      </c>
      <c r="B1067" s="39">
        <v>270.67001342773438</v>
      </c>
      <c r="C1067" s="39">
        <v>248.04489135742188</v>
      </c>
      <c r="D1067" s="41">
        <v>3960160</v>
      </c>
      <c r="E1067" s="36" t="s">
        <v>652</v>
      </c>
      <c r="F1067" s="36" t="s">
        <v>115</v>
      </c>
    </row>
    <row r="1068" spans="1:6">
      <c r="A1068" s="38">
        <v>43670.15625</v>
      </c>
      <c r="B1068" s="39">
        <v>268.3599853515625</v>
      </c>
      <c r="C1068" s="39">
        <v>245.92791748046875</v>
      </c>
      <c r="D1068" s="41">
        <v>4661390</v>
      </c>
      <c r="E1068" s="36" t="s">
        <v>652</v>
      </c>
      <c r="F1068" s="36" t="s">
        <v>115</v>
      </c>
    </row>
    <row r="1069" spans="1:6">
      <c r="A1069" s="38">
        <v>43671.15625</v>
      </c>
      <c r="B1069" s="39">
        <v>266.739990234375</v>
      </c>
      <c r="C1069" s="39">
        <v>244.44337463378906</v>
      </c>
      <c r="D1069" s="41">
        <v>3680625</v>
      </c>
      <c r="E1069" s="36" t="s">
        <v>652</v>
      </c>
      <c r="F1069" s="36" t="s">
        <v>115</v>
      </c>
    </row>
    <row r="1070" spans="1:6">
      <c r="A1070" s="38">
        <v>43672.15625</v>
      </c>
      <c r="B1070" s="39">
        <v>254.77000427246094</v>
      </c>
      <c r="C1070" s="39">
        <v>233.47389221191406</v>
      </c>
      <c r="D1070" s="41">
        <v>5722815</v>
      </c>
      <c r="E1070" s="36" t="s">
        <v>652</v>
      </c>
      <c r="F1070" s="36" t="s">
        <v>115</v>
      </c>
    </row>
    <row r="1071" spans="1:6">
      <c r="A1071" s="38">
        <v>43675.15625</v>
      </c>
      <c r="B1071" s="39">
        <v>241.24000549316406</v>
      </c>
      <c r="C1071" s="39">
        <v>221.07490539550781</v>
      </c>
      <c r="D1071" s="41">
        <v>3388215</v>
      </c>
      <c r="E1071" s="36" t="s">
        <v>652</v>
      </c>
      <c r="F1071" s="36" t="s">
        <v>115</v>
      </c>
    </row>
    <row r="1072" spans="1:6">
      <c r="A1072" s="38">
        <v>43676.15625</v>
      </c>
      <c r="B1072" s="39">
        <v>240.50999450683594</v>
      </c>
      <c r="C1072" s="39">
        <v>220.40591430664063</v>
      </c>
      <c r="D1072" s="41">
        <v>3994830</v>
      </c>
      <c r="E1072" s="36" t="s">
        <v>652</v>
      </c>
      <c r="F1072" s="36" t="s">
        <v>115</v>
      </c>
    </row>
    <row r="1073" spans="1:6">
      <c r="A1073" s="38">
        <v>43677.15625</v>
      </c>
      <c r="B1073" s="39">
        <v>240.71000671386719</v>
      </c>
      <c r="C1073" s="39">
        <v>220.5892333984375</v>
      </c>
      <c r="D1073" s="41">
        <v>2203045</v>
      </c>
      <c r="E1073" s="36" t="s">
        <v>652</v>
      </c>
      <c r="F1073" s="36" t="s">
        <v>115</v>
      </c>
    </row>
    <row r="1074" spans="1:6">
      <c r="A1074" s="38">
        <v>43678.15625</v>
      </c>
      <c r="B1074" s="39">
        <v>240.53999328613281</v>
      </c>
      <c r="C1074" s="39">
        <v>220.43339538574219</v>
      </c>
      <c r="D1074" s="41">
        <v>1946635</v>
      </c>
      <c r="E1074" s="36" t="s">
        <v>652</v>
      </c>
      <c r="F1074" s="36" t="s">
        <v>115</v>
      </c>
    </row>
    <row r="1075" spans="1:6">
      <c r="A1075" s="38">
        <v>43679.15625</v>
      </c>
      <c r="B1075" s="39">
        <v>239.74000549316406</v>
      </c>
      <c r="C1075" s="39">
        <v>219.70028686523438</v>
      </c>
      <c r="D1075" s="41">
        <v>1521110</v>
      </c>
      <c r="E1075" s="36" t="s">
        <v>652</v>
      </c>
      <c r="F1075" s="36" t="s">
        <v>115</v>
      </c>
    </row>
    <row r="1076" spans="1:6">
      <c r="A1076" s="38">
        <v>43682.15625</v>
      </c>
      <c r="B1076" s="39">
        <v>241.07000732421875</v>
      </c>
      <c r="C1076" s="39">
        <v>220.91909790039063</v>
      </c>
      <c r="D1076" s="41">
        <v>1147805</v>
      </c>
      <c r="E1076" s="36" t="s">
        <v>652</v>
      </c>
      <c r="F1076" s="36" t="s">
        <v>115</v>
      </c>
    </row>
    <row r="1077" spans="1:6">
      <c r="A1077" s="38">
        <v>43683.15625</v>
      </c>
      <c r="B1077" s="39">
        <v>244.14999389648438</v>
      </c>
      <c r="C1077" s="39">
        <v>223.74165344238281</v>
      </c>
      <c r="D1077" s="41">
        <v>738055</v>
      </c>
      <c r="E1077" s="36" t="s">
        <v>652</v>
      </c>
      <c r="F1077" s="36" t="s">
        <v>115</v>
      </c>
    </row>
    <row r="1078" spans="1:6">
      <c r="A1078" s="38">
        <v>43684.15625</v>
      </c>
      <c r="B1078" s="39">
        <v>247.74000549316406</v>
      </c>
      <c r="C1078" s="39">
        <v>227.03153991699219</v>
      </c>
      <c r="D1078" s="41">
        <v>929785</v>
      </c>
      <c r="E1078" s="36" t="s">
        <v>652</v>
      </c>
      <c r="F1078" s="36" t="s">
        <v>115</v>
      </c>
    </row>
    <row r="1079" spans="1:6">
      <c r="A1079" s="38">
        <v>43685.15625</v>
      </c>
      <c r="B1079" s="39">
        <v>255.28999328613281</v>
      </c>
      <c r="C1079" s="39">
        <v>233.95046997070313</v>
      </c>
      <c r="D1079" s="41">
        <v>1826670</v>
      </c>
      <c r="E1079" s="36" t="s">
        <v>652</v>
      </c>
      <c r="F1079" s="36" t="s">
        <v>115</v>
      </c>
    </row>
    <row r="1080" spans="1:6">
      <c r="A1080" s="38">
        <v>43686.15625</v>
      </c>
      <c r="B1080" s="39">
        <v>260.01998901367188</v>
      </c>
      <c r="C1080" s="39">
        <v>238.2850341796875</v>
      </c>
      <c r="D1080" s="41">
        <v>2265760</v>
      </c>
      <c r="E1080" s="36" t="s">
        <v>652</v>
      </c>
      <c r="F1080" s="36" t="s">
        <v>115</v>
      </c>
    </row>
    <row r="1081" spans="1:6">
      <c r="A1081" s="38">
        <v>43690.15625</v>
      </c>
      <c r="B1081" s="39">
        <v>262.58999633789063</v>
      </c>
      <c r="C1081" s="39">
        <v>240.64019775390625</v>
      </c>
      <c r="D1081" s="41">
        <v>1989780</v>
      </c>
      <c r="E1081" s="36" t="s">
        <v>652</v>
      </c>
      <c r="F1081" s="36" t="s">
        <v>115</v>
      </c>
    </row>
    <row r="1082" spans="1:6">
      <c r="A1082" s="38">
        <v>43691.15625</v>
      </c>
      <c r="B1082" s="39">
        <v>263.3699951171875</v>
      </c>
      <c r="C1082" s="39">
        <v>241.35508728027344</v>
      </c>
      <c r="D1082" s="41">
        <v>1770450</v>
      </c>
      <c r="E1082" s="36" t="s">
        <v>652</v>
      </c>
      <c r="F1082" s="36" t="s">
        <v>115</v>
      </c>
    </row>
    <row r="1083" spans="1:6">
      <c r="A1083" s="38">
        <v>43693.15625</v>
      </c>
      <c r="B1083" s="39">
        <v>257.8599853515625</v>
      </c>
      <c r="C1083" s="39">
        <v>236.30561828613281</v>
      </c>
      <c r="D1083" s="41">
        <v>1422960</v>
      </c>
      <c r="E1083" s="36" t="s">
        <v>652</v>
      </c>
      <c r="F1083" s="36" t="s">
        <v>115</v>
      </c>
    </row>
    <row r="1084" spans="1:6">
      <c r="A1084" s="38">
        <v>43696.15625</v>
      </c>
      <c r="B1084" s="39">
        <v>265.07000732421875</v>
      </c>
      <c r="C1084" s="39">
        <v>242.91294860839844</v>
      </c>
      <c r="D1084" s="41">
        <v>1243330</v>
      </c>
      <c r="E1084" s="36" t="s">
        <v>652</v>
      </c>
      <c r="F1084" s="36" t="s">
        <v>115</v>
      </c>
    </row>
    <row r="1085" spans="1:6">
      <c r="A1085" s="38">
        <v>43697.15625</v>
      </c>
      <c r="B1085" s="39">
        <v>275.010009765625</v>
      </c>
      <c r="C1085" s="39">
        <v>252.02210998535156</v>
      </c>
      <c r="D1085" s="41">
        <v>3126035</v>
      </c>
      <c r="E1085" s="36" t="s">
        <v>652</v>
      </c>
      <c r="F1085" s="36" t="s">
        <v>115</v>
      </c>
    </row>
    <row r="1086" spans="1:6">
      <c r="A1086" s="38">
        <v>43698.15625</v>
      </c>
      <c r="B1086" s="39">
        <v>273.08999633789063</v>
      </c>
      <c r="C1086" s="39">
        <v>250.26252746582031</v>
      </c>
      <c r="D1086" s="41">
        <v>1620835</v>
      </c>
      <c r="E1086" s="36" t="s">
        <v>652</v>
      </c>
      <c r="F1086" s="36" t="s">
        <v>115</v>
      </c>
    </row>
    <row r="1087" spans="1:6">
      <c r="A1087" s="38">
        <v>43699.15625</v>
      </c>
      <c r="B1087" s="39">
        <v>272.1400146484375</v>
      </c>
      <c r="C1087" s="39">
        <v>249.3919677734375</v>
      </c>
      <c r="D1087" s="41">
        <v>884580</v>
      </c>
      <c r="E1087" s="36" t="s">
        <v>652</v>
      </c>
      <c r="F1087" s="36" t="s">
        <v>115</v>
      </c>
    </row>
    <row r="1088" spans="1:6">
      <c r="A1088" s="38">
        <v>43700.15625</v>
      </c>
      <c r="B1088" s="39">
        <v>275.29000854492188</v>
      </c>
      <c r="C1088" s="39">
        <v>252.27862548828125</v>
      </c>
      <c r="D1088" s="41">
        <v>1632380</v>
      </c>
      <c r="E1088" s="36" t="s">
        <v>652</v>
      </c>
      <c r="F1088" s="36" t="s">
        <v>115</v>
      </c>
    </row>
    <row r="1089" spans="1:6">
      <c r="A1089" s="38">
        <v>43703.15625</v>
      </c>
      <c r="B1089" s="39">
        <v>279.3800048828125</v>
      </c>
      <c r="C1089" s="39">
        <v>256.02676391601563</v>
      </c>
      <c r="D1089" s="41">
        <v>940825</v>
      </c>
      <c r="E1089" s="36" t="s">
        <v>652</v>
      </c>
      <c r="F1089" s="36" t="s">
        <v>115</v>
      </c>
    </row>
    <row r="1090" spans="1:6">
      <c r="A1090" s="38">
        <v>43704.15625</v>
      </c>
      <c r="B1090" s="39">
        <v>288.33999633789063</v>
      </c>
      <c r="C1090" s="39">
        <v>264.23782348632813</v>
      </c>
      <c r="D1090" s="41">
        <v>1684020</v>
      </c>
      <c r="E1090" s="36" t="s">
        <v>652</v>
      </c>
      <c r="F1090" s="36" t="s">
        <v>115</v>
      </c>
    </row>
    <row r="1091" spans="1:6">
      <c r="A1091" s="38">
        <v>43705.15625</v>
      </c>
      <c r="B1091" s="39">
        <v>304.67999267578125</v>
      </c>
      <c r="C1091" s="39">
        <v>279.2119140625</v>
      </c>
      <c r="D1091" s="41">
        <v>4891845</v>
      </c>
      <c r="E1091" s="36" t="s">
        <v>652</v>
      </c>
      <c r="F1091" s="36" t="s">
        <v>115</v>
      </c>
    </row>
    <row r="1092" spans="1:6">
      <c r="A1092" s="38">
        <v>43706.15625</v>
      </c>
      <c r="B1092" s="39">
        <v>303.83999633789063</v>
      </c>
      <c r="C1092" s="39">
        <v>278.44223022460938</v>
      </c>
      <c r="D1092" s="41">
        <v>5023220</v>
      </c>
      <c r="E1092" s="36" t="s">
        <v>652</v>
      </c>
      <c r="F1092" s="36" t="s">
        <v>115</v>
      </c>
    </row>
    <row r="1093" spans="1:6">
      <c r="A1093" s="38">
        <v>43707.15625</v>
      </c>
      <c r="B1093" s="39">
        <v>299.1099853515625</v>
      </c>
      <c r="C1093" s="39">
        <v>274.10757446289063</v>
      </c>
      <c r="D1093" s="41">
        <v>4260045</v>
      </c>
      <c r="E1093" s="36" t="s">
        <v>652</v>
      </c>
      <c r="F1093" s="36" t="s">
        <v>115</v>
      </c>
    </row>
    <row r="1094" spans="1:6">
      <c r="A1094" s="38">
        <v>43711.15625</v>
      </c>
      <c r="B1094" s="39">
        <v>293.39999389648438</v>
      </c>
      <c r="C1094" s="39">
        <v>268.87493896484375</v>
      </c>
      <c r="D1094" s="41">
        <v>2144135</v>
      </c>
      <c r="E1094" s="36" t="s">
        <v>652</v>
      </c>
      <c r="F1094" s="36" t="s">
        <v>115</v>
      </c>
    </row>
    <row r="1095" spans="1:6">
      <c r="A1095" s="38">
        <v>43712.15625</v>
      </c>
      <c r="B1095" s="39">
        <v>292.47000122070313</v>
      </c>
      <c r="C1095" s="39">
        <v>268.02261352539063</v>
      </c>
      <c r="D1095" s="41">
        <v>1106965</v>
      </c>
      <c r="E1095" s="36" t="s">
        <v>652</v>
      </c>
      <c r="F1095" s="36" t="s">
        <v>115</v>
      </c>
    </row>
    <row r="1096" spans="1:6">
      <c r="A1096" s="38">
        <v>43713.15625</v>
      </c>
      <c r="B1096" s="39">
        <v>291.989990234375</v>
      </c>
      <c r="C1096" s="39">
        <v>267.58270263671875</v>
      </c>
      <c r="D1096" s="41">
        <v>1389760</v>
      </c>
      <c r="E1096" s="36" t="s">
        <v>652</v>
      </c>
      <c r="F1096" s="36" t="s">
        <v>115</v>
      </c>
    </row>
    <row r="1097" spans="1:6">
      <c r="A1097" s="38">
        <v>43714.15625</v>
      </c>
      <c r="B1097" s="39">
        <v>289.69000244140625</v>
      </c>
      <c r="C1097" s="39">
        <v>265.47500610351563</v>
      </c>
      <c r="D1097" s="41">
        <v>1452680</v>
      </c>
      <c r="E1097" s="36" t="s">
        <v>652</v>
      </c>
      <c r="F1097" s="36" t="s">
        <v>115</v>
      </c>
    </row>
    <row r="1098" spans="1:6">
      <c r="A1098" s="38">
        <v>43717.15625</v>
      </c>
      <c r="B1098" s="39">
        <v>289.04998779296875</v>
      </c>
      <c r="C1098" s="39">
        <v>264.88848876953125</v>
      </c>
      <c r="D1098" s="41">
        <v>1409230</v>
      </c>
      <c r="E1098" s="36" t="s">
        <v>652</v>
      </c>
      <c r="F1098" s="36" t="s">
        <v>115</v>
      </c>
    </row>
    <row r="1099" spans="1:6">
      <c r="A1099" s="38">
        <v>43719.15625</v>
      </c>
      <c r="B1099" s="39">
        <v>283.83999633789063</v>
      </c>
      <c r="C1099" s="39">
        <v>260.11395263671875</v>
      </c>
      <c r="D1099" s="41">
        <v>1360505</v>
      </c>
      <c r="E1099" s="36" t="s">
        <v>652</v>
      </c>
      <c r="F1099" s="36" t="s">
        <v>115</v>
      </c>
    </row>
    <row r="1100" spans="1:6">
      <c r="A1100" s="38">
        <v>43720.15625</v>
      </c>
      <c r="B1100" s="39">
        <v>282.08999633789063</v>
      </c>
      <c r="C1100" s="39">
        <v>258.51028442382813</v>
      </c>
      <c r="D1100" s="41">
        <v>1618510</v>
      </c>
      <c r="E1100" s="36" t="s">
        <v>652</v>
      </c>
      <c r="F1100" s="36" t="s">
        <v>115</v>
      </c>
    </row>
    <row r="1101" spans="1:6">
      <c r="A1101" s="38">
        <v>43721.15625</v>
      </c>
      <c r="B1101" s="39">
        <v>282.239990234375</v>
      </c>
      <c r="C1101" s="39">
        <v>258.647705078125</v>
      </c>
      <c r="D1101" s="41">
        <v>846155</v>
      </c>
      <c r="E1101" s="36" t="s">
        <v>652</v>
      </c>
      <c r="F1101" s="36" t="s">
        <v>115</v>
      </c>
    </row>
    <row r="1102" spans="1:6">
      <c r="A1102" s="38">
        <v>43724.15625</v>
      </c>
      <c r="B1102" s="39">
        <v>276.39999389648438</v>
      </c>
      <c r="C1102" s="39">
        <v>253.29588317871094</v>
      </c>
      <c r="D1102" s="41">
        <v>1487160</v>
      </c>
      <c r="E1102" s="36" t="s">
        <v>652</v>
      </c>
      <c r="F1102" s="36" t="s">
        <v>115</v>
      </c>
    </row>
    <row r="1103" spans="1:6">
      <c r="A1103" s="38">
        <v>43725.15625</v>
      </c>
      <c r="B1103" s="39">
        <v>274.20001220703125</v>
      </c>
      <c r="C1103" s="39">
        <v>251.27983093261719</v>
      </c>
      <c r="D1103" s="41">
        <v>995880</v>
      </c>
      <c r="E1103" s="36" t="s">
        <v>652</v>
      </c>
      <c r="F1103" s="36" t="s">
        <v>115</v>
      </c>
    </row>
    <row r="1104" spans="1:6">
      <c r="A1104" s="38">
        <v>43726.15625</v>
      </c>
      <c r="B1104" s="39">
        <v>272.42999267578125</v>
      </c>
      <c r="C1104" s="39">
        <v>249.65774536132813</v>
      </c>
      <c r="D1104" s="41">
        <v>3285825</v>
      </c>
      <c r="E1104" s="36" t="s">
        <v>652</v>
      </c>
      <c r="F1104" s="36" t="s">
        <v>115</v>
      </c>
    </row>
    <row r="1105" spans="1:6">
      <c r="A1105" s="38">
        <v>43727.15625</v>
      </c>
      <c r="B1105" s="39">
        <v>273.8900146484375</v>
      </c>
      <c r="C1105" s="39">
        <v>250.99569702148438</v>
      </c>
      <c r="D1105" s="41">
        <v>1588400</v>
      </c>
      <c r="E1105" s="36" t="s">
        <v>652</v>
      </c>
      <c r="F1105" s="36" t="s">
        <v>115</v>
      </c>
    </row>
    <row r="1106" spans="1:6">
      <c r="A1106" s="38">
        <v>43728.15625</v>
      </c>
      <c r="B1106" s="39">
        <v>280.35000610351563</v>
      </c>
      <c r="C1106" s="39">
        <v>256.91567993164063</v>
      </c>
      <c r="D1106" s="41">
        <v>2529920</v>
      </c>
      <c r="E1106" s="36" t="s">
        <v>652</v>
      </c>
      <c r="F1106" s="36" t="s">
        <v>115</v>
      </c>
    </row>
    <row r="1107" spans="1:6">
      <c r="A1107" s="38">
        <v>43731.15625</v>
      </c>
      <c r="B1107" s="39">
        <v>282.04998779296875</v>
      </c>
      <c r="C1107" s="39">
        <v>258.47354125976563</v>
      </c>
      <c r="D1107" s="41">
        <v>1720295</v>
      </c>
      <c r="E1107" s="36" t="s">
        <v>652</v>
      </c>
      <c r="F1107" s="36" t="s">
        <v>115</v>
      </c>
    </row>
    <row r="1108" spans="1:6">
      <c r="A1108" s="38">
        <v>43732.15625</v>
      </c>
      <c r="B1108" s="39">
        <v>285.79998779296875</v>
      </c>
      <c r="C1108" s="39">
        <v>261.91012573242188</v>
      </c>
      <c r="D1108" s="41">
        <v>2864025</v>
      </c>
      <c r="E1108" s="36" t="s">
        <v>652</v>
      </c>
      <c r="F1108" s="36" t="s">
        <v>115</v>
      </c>
    </row>
    <row r="1109" spans="1:6">
      <c r="A1109" s="38">
        <v>43733.15625</v>
      </c>
      <c r="B1109" s="39">
        <v>281.239990234375</v>
      </c>
      <c r="C1109" s="39">
        <v>257.73126220703125</v>
      </c>
      <c r="D1109" s="41">
        <v>811900</v>
      </c>
      <c r="E1109" s="36" t="s">
        <v>652</v>
      </c>
      <c r="F1109" s="36" t="s">
        <v>115</v>
      </c>
    </row>
    <row r="1110" spans="1:6">
      <c r="A1110" s="38">
        <v>43734.15625</v>
      </c>
      <c r="B1110" s="39">
        <v>277.8800048828125</v>
      </c>
      <c r="C1110" s="39">
        <v>254.65220642089844</v>
      </c>
      <c r="D1110" s="41">
        <v>1610530</v>
      </c>
      <c r="E1110" s="36" t="s">
        <v>652</v>
      </c>
      <c r="F1110" s="36" t="s">
        <v>115</v>
      </c>
    </row>
    <row r="1111" spans="1:6">
      <c r="A1111" s="38">
        <v>43735.15625</v>
      </c>
      <c r="B1111" s="39">
        <v>278.80999755859375</v>
      </c>
      <c r="C1111" s="39">
        <v>255.50453186035156</v>
      </c>
      <c r="D1111" s="41">
        <v>1565670</v>
      </c>
      <c r="E1111" s="36" t="s">
        <v>652</v>
      </c>
      <c r="F1111" s="36" t="s">
        <v>115</v>
      </c>
    </row>
    <row r="1112" spans="1:6">
      <c r="A1112" s="38">
        <v>43738.15625</v>
      </c>
      <c r="B1112" s="39">
        <v>278.98001098632813</v>
      </c>
      <c r="C1112" s="39">
        <v>255.66020202636719</v>
      </c>
      <c r="D1112" s="41">
        <v>1475715</v>
      </c>
      <c r="E1112" s="36" t="s">
        <v>652</v>
      </c>
      <c r="F1112" s="36" t="s">
        <v>115</v>
      </c>
    </row>
    <row r="1113" spans="1:6">
      <c r="A1113" s="38">
        <v>43739.15625</v>
      </c>
      <c r="B1113" s="39">
        <v>269.92999267578125</v>
      </c>
      <c r="C1113" s="39">
        <v>247.36663818359375</v>
      </c>
      <c r="D1113" s="41">
        <v>1573760</v>
      </c>
      <c r="E1113" s="36" t="s">
        <v>652</v>
      </c>
      <c r="F1113" s="36" t="s">
        <v>115</v>
      </c>
    </row>
    <row r="1114" spans="1:6">
      <c r="A1114" s="38">
        <v>43741.15625</v>
      </c>
      <c r="B1114" s="39">
        <v>273.60000610351563</v>
      </c>
      <c r="C1114" s="39">
        <v>250.72999572753906</v>
      </c>
      <c r="D1114" s="41">
        <v>1342635</v>
      </c>
      <c r="E1114" s="36" t="s">
        <v>652</v>
      </c>
      <c r="F1114" s="36" t="s">
        <v>115</v>
      </c>
    </row>
    <row r="1115" spans="1:6">
      <c r="A1115" s="38">
        <v>43742.15625</v>
      </c>
      <c r="B1115" s="39">
        <v>276</v>
      </c>
      <c r="C1115" s="39">
        <v>252.92930603027344</v>
      </c>
      <c r="D1115" s="41">
        <v>1653545</v>
      </c>
      <c r="E1115" s="36" t="s">
        <v>652</v>
      </c>
      <c r="F1115" s="36" t="s">
        <v>115</v>
      </c>
    </row>
    <row r="1116" spans="1:6">
      <c r="A1116" s="38">
        <v>43745.15625</v>
      </c>
      <c r="B1116" s="39">
        <v>276.92001342773438</v>
      </c>
      <c r="C1116" s="39">
        <v>253.77238464355469</v>
      </c>
      <c r="D1116" s="41">
        <v>924520</v>
      </c>
      <c r="E1116" s="36" t="s">
        <v>652</v>
      </c>
      <c r="F1116" s="36" t="s">
        <v>115</v>
      </c>
    </row>
    <row r="1117" spans="1:6">
      <c r="A1117" s="38">
        <v>43747.15625</v>
      </c>
      <c r="B1117" s="39">
        <v>274.67001342773438</v>
      </c>
      <c r="C1117" s="39">
        <v>251.71049499511719</v>
      </c>
      <c r="D1117" s="41">
        <v>886300</v>
      </c>
      <c r="E1117" s="36" t="s">
        <v>652</v>
      </c>
      <c r="F1117" s="36" t="s">
        <v>115</v>
      </c>
    </row>
    <row r="1118" spans="1:6">
      <c r="A1118" s="38">
        <v>43748.15625</v>
      </c>
      <c r="B1118" s="39">
        <v>272.22000122070313</v>
      </c>
      <c r="C1118" s="39">
        <v>249.46528625488281</v>
      </c>
      <c r="D1118" s="41">
        <v>763030</v>
      </c>
      <c r="E1118" s="36" t="s">
        <v>652</v>
      </c>
      <c r="F1118" s="36" t="s">
        <v>115</v>
      </c>
    </row>
    <row r="1119" spans="1:6">
      <c r="A1119" s="38">
        <v>43749.15625</v>
      </c>
      <c r="B1119" s="39">
        <v>282.42001342773438</v>
      </c>
      <c r="C1119" s="39">
        <v>258.81265258789063</v>
      </c>
      <c r="D1119" s="41">
        <v>1988800</v>
      </c>
      <c r="E1119" s="36" t="s">
        <v>652</v>
      </c>
      <c r="F1119" s="36" t="s">
        <v>115</v>
      </c>
    </row>
    <row r="1120" spans="1:6">
      <c r="A1120" s="38">
        <v>43752.15625</v>
      </c>
      <c r="B1120" s="39">
        <v>279.29998779296875</v>
      </c>
      <c r="C1120" s="39">
        <v>255.95350646972656</v>
      </c>
      <c r="D1120" s="41">
        <v>1017795</v>
      </c>
      <c r="E1120" s="36" t="s">
        <v>652</v>
      </c>
      <c r="F1120" s="36" t="s">
        <v>115</v>
      </c>
    </row>
    <row r="1121" spans="1:6">
      <c r="A1121" s="38">
        <v>43753.15625</v>
      </c>
      <c r="B1121" s="39">
        <v>284.94000244140625</v>
      </c>
      <c r="C1121" s="39">
        <v>261.12197875976563</v>
      </c>
      <c r="D1121" s="41">
        <v>2019925</v>
      </c>
      <c r="E1121" s="36" t="s">
        <v>652</v>
      </c>
      <c r="F1121" s="36" t="s">
        <v>115</v>
      </c>
    </row>
    <row r="1122" spans="1:6">
      <c r="A1122" s="38">
        <v>43754.15625</v>
      </c>
      <c r="B1122" s="39">
        <v>281.89999389648438</v>
      </c>
      <c r="C1122" s="39">
        <v>258.33612060546875</v>
      </c>
      <c r="D1122" s="41">
        <v>1500090</v>
      </c>
      <c r="E1122" s="36" t="s">
        <v>652</v>
      </c>
      <c r="F1122" s="36" t="s">
        <v>115</v>
      </c>
    </row>
    <row r="1123" spans="1:6">
      <c r="A1123" s="38">
        <v>43755.15625</v>
      </c>
      <c r="B1123" s="39">
        <v>281.33999633789063</v>
      </c>
      <c r="C1123" s="39">
        <v>257.82296752929688</v>
      </c>
      <c r="D1123" s="41">
        <v>574445</v>
      </c>
      <c r="E1123" s="36" t="s">
        <v>652</v>
      </c>
      <c r="F1123" s="36" t="s">
        <v>115</v>
      </c>
    </row>
    <row r="1124" spans="1:6">
      <c r="A1124" s="38">
        <v>43756.15625</v>
      </c>
      <c r="B1124" s="39">
        <v>287.30999755859375</v>
      </c>
      <c r="C1124" s="39">
        <v>263.29385375976563</v>
      </c>
      <c r="D1124" s="41">
        <v>1387385</v>
      </c>
      <c r="E1124" s="36" t="s">
        <v>652</v>
      </c>
      <c r="F1124" s="36" t="s">
        <v>115</v>
      </c>
    </row>
    <row r="1125" spans="1:6">
      <c r="A1125" s="38">
        <v>43760.15625</v>
      </c>
      <c r="B1125" s="39">
        <v>290.44000244140625</v>
      </c>
      <c r="C1125" s="39">
        <v>266.162353515625</v>
      </c>
      <c r="D1125" s="41">
        <v>1495435</v>
      </c>
      <c r="E1125" s="36" t="s">
        <v>652</v>
      </c>
      <c r="F1125" s="36" t="s">
        <v>115</v>
      </c>
    </row>
    <row r="1126" spans="1:6">
      <c r="A1126" s="38">
        <v>43761.15625</v>
      </c>
      <c r="B1126" s="39">
        <v>293.73001098632813</v>
      </c>
      <c r="C1126" s="39">
        <v>269.17724609375</v>
      </c>
      <c r="D1126" s="41">
        <v>2261745</v>
      </c>
      <c r="E1126" s="36" t="s">
        <v>652</v>
      </c>
      <c r="F1126" s="36" t="s">
        <v>115</v>
      </c>
    </row>
    <row r="1127" spans="1:6">
      <c r="A1127" s="38">
        <v>43762.15625</v>
      </c>
      <c r="B1127" s="39">
        <v>298.32000732421875</v>
      </c>
      <c r="C1127" s="39">
        <v>273.38363647460938</v>
      </c>
      <c r="D1127" s="41">
        <v>5276105</v>
      </c>
      <c r="E1127" s="36" t="s">
        <v>652</v>
      </c>
      <c r="F1127" s="36" t="s">
        <v>115</v>
      </c>
    </row>
    <row r="1128" spans="1:6">
      <c r="A1128" s="38">
        <v>43763.145833333336</v>
      </c>
      <c r="B1128" s="39">
        <v>301.02999877929688</v>
      </c>
      <c r="C1128" s="39">
        <v>275.86709594726563</v>
      </c>
      <c r="D1128" s="41">
        <v>1910450</v>
      </c>
      <c r="E1128" s="36" t="s">
        <v>652</v>
      </c>
      <c r="F1128" s="36" t="s">
        <v>115</v>
      </c>
    </row>
    <row r="1129" spans="1:6">
      <c r="A1129" s="38">
        <v>43765.489583333336</v>
      </c>
      <c r="B1129" s="39">
        <v>301.22000122070313</v>
      </c>
      <c r="C1129" s="39">
        <v>276.04122924804688</v>
      </c>
      <c r="D1129" s="41">
        <v>148480</v>
      </c>
      <c r="E1129" s="36" t="s">
        <v>652</v>
      </c>
      <c r="F1129" s="36" t="s">
        <v>115</v>
      </c>
    </row>
    <row r="1130" spans="1:6">
      <c r="A1130" s="38">
        <v>43767.15625</v>
      </c>
      <c r="B1130" s="39">
        <v>303.47000122070313</v>
      </c>
      <c r="C1130" s="39">
        <v>278.1031494140625</v>
      </c>
      <c r="D1130" s="41">
        <v>1344355</v>
      </c>
      <c r="E1130" s="36" t="s">
        <v>652</v>
      </c>
      <c r="F1130" s="36" t="s">
        <v>115</v>
      </c>
    </row>
    <row r="1131" spans="1:6">
      <c r="A1131" s="38">
        <v>43768.15625</v>
      </c>
      <c r="B1131" s="39">
        <v>315.6300048828125</v>
      </c>
      <c r="C1131" s="39">
        <v>289.24658203125</v>
      </c>
      <c r="D1131" s="41">
        <v>2686170</v>
      </c>
      <c r="E1131" s="36" t="s">
        <v>652</v>
      </c>
      <c r="F1131" s="36" t="s">
        <v>115</v>
      </c>
    </row>
    <row r="1132" spans="1:6">
      <c r="A1132" s="38">
        <v>43769.15625</v>
      </c>
      <c r="B1132" s="39">
        <v>309.739990234375</v>
      </c>
      <c r="C1132" s="39">
        <v>283.84893798828125</v>
      </c>
      <c r="D1132" s="41">
        <v>3586920</v>
      </c>
      <c r="E1132" s="36" t="s">
        <v>652</v>
      </c>
      <c r="F1132" s="36" t="s">
        <v>115</v>
      </c>
    </row>
    <row r="1133" spans="1:6">
      <c r="A1133" s="38">
        <v>43770.15625</v>
      </c>
      <c r="B1133" s="39">
        <v>311.75</v>
      </c>
      <c r="C1133" s="39">
        <v>285.69100952148438</v>
      </c>
      <c r="D1133" s="41">
        <v>1838370</v>
      </c>
      <c r="E1133" s="36" t="s">
        <v>652</v>
      </c>
      <c r="F1133" s="36" t="s">
        <v>115</v>
      </c>
    </row>
    <row r="1134" spans="1:6">
      <c r="A1134" s="38">
        <v>43773.15625</v>
      </c>
      <c r="B1134" s="39">
        <v>317.35000610351563</v>
      </c>
      <c r="C1134" s="39">
        <v>292.70068359375</v>
      </c>
      <c r="D1134" s="41">
        <v>1683270</v>
      </c>
      <c r="E1134" s="36" t="s">
        <v>652</v>
      </c>
      <c r="F1134" s="36" t="s">
        <v>115</v>
      </c>
    </row>
    <row r="1135" spans="1:6">
      <c r="A1135" s="38">
        <v>43774.15625</v>
      </c>
      <c r="B1135" s="39">
        <v>311.8699951171875</v>
      </c>
      <c r="C1135" s="39">
        <v>287.64633178710938</v>
      </c>
      <c r="D1135" s="41">
        <v>549845</v>
      </c>
      <c r="E1135" s="36" t="s">
        <v>652</v>
      </c>
      <c r="F1135" s="36" t="s">
        <v>115</v>
      </c>
    </row>
    <row r="1136" spans="1:6">
      <c r="A1136" s="38">
        <v>43775.15625</v>
      </c>
      <c r="B1136" s="39">
        <v>313.27999877929688</v>
      </c>
      <c r="C1136" s="39">
        <v>288.94674682617188</v>
      </c>
      <c r="D1136" s="41">
        <v>455960</v>
      </c>
      <c r="E1136" s="36" t="s">
        <v>652</v>
      </c>
      <c r="F1136" s="36" t="s">
        <v>115</v>
      </c>
    </row>
    <row r="1137" spans="1:6">
      <c r="A1137" s="38">
        <v>43776.15625</v>
      </c>
      <c r="B1137" s="39">
        <v>314.79998779296875</v>
      </c>
      <c r="C1137" s="39">
        <v>290.34872436523438</v>
      </c>
      <c r="D1137" s="41">
        <v>508905</v>
      </c>
      <c r="E1137" s="36" t="s">
        <v>652</v>
      </c>
      <c r="F1137" s="36" t="s">
        <v>115</v>
      </c>
    </row>
    <row r="1138" spans="1:6">
      <c r="A1138" s="38">
        <v>43777.15625</v>
      </c>
      <c r="B1138" s="39">
        <v>308.07998657226563</v>
      </c>
      <c r="C1138" s="39">
        <v>284.1507568359375</v>
      </c>
      <c r="D1138" s="41">
        <v>617170</v>
      </c>
      <c r="E1138" s="36" t="s">
        <v>652</v>
      </c>
      <c r="F1138" s="36" t="s">
        <v>115</v>
      </c>
    </row>
    <row r="1139" spans="1:6">
      <c r="A1139" s="38">
        <v>43780.15625</v>
      </c>
      <c r="B1139" s="39">
        <v>314.52999877929688</v>
      </c>
      <c r="C1139" s="39">
        <v>290.09976196289063</v>
      </c>
      <c r="D1139" s="41">
        <v>1155880</v>
      </c>
      <c r="E1139" s="36" t="s">
        <v>652</v>
      </c>
      <c r="F1139" s="36" t="s">
        <v>115</v>
      </c>
    </row>
    <row r="1140" spans="1:6">
      <c r="A1140" s="38">
        <v>43782.15625</v>
      </c>
      <c r="B1140" s="39">
        <v>296.6400146484375</v>
      </c>
      <c r="C1140" s="39">
        <v>273.5992431640625</v>
      </c>
      <c r="D1140" s="41">
        <v>1749485</v>
      </c>
      <c r="E1140" s="36" t="s">
        <v>652</v>
      </c>
      <c r="F1140" s="36" t="s">
        <v>115</v>
      </c>
    </row>
    <row r="1141" spans="1:6">
      <c r="A1141" s="38">
        <v>43783.15625</v>
      </c>
      <c r="B1141" s="39">
        <v>300.94000244140625</v>
      </c>
      <c r="C1141" s="39">
        <v>277.56533813476563</v>
      </c>
      <c r="D1141" s="41">
        <v>1480350</v>
      </c>
      <c r="E1141" s="36" t="s">
        <v>652</v>
      </c>
      <c r="F1141" s="36" t="s">
        <v>115</v>
      </c>
    </row>
    <row r="1142" spans="1:6">
      <c r="A1142" s="38">
        <v>43784.15625</v>
      </c>
      <c r="B1142" s="39">
        <v>298.22000122070313</v>
      </c>
      <c r="C1142" s="39">
        <v>275.05657958984375</v>
      </c>
      <c r="D1142" s="41">
        <v>807570</v>
      </c>
      <c r="E1142" s="36" t="s">
        <v>652</v>
      </c>
      <c r="F1142" s="36" t="s">
        <v>115</v>
      </c>
    </row>
    <row r="1143" spans="1:6">
      <c r="A1143" s="38">
        <v>43787.15625</v>
      </c>
      <c r="B1143" s="39">
        <v>303.82000732421875</v>
      </c>
      <c r="C1143" s="39">
        <v>280.22164916992188</v>
      </c>
      <c r="D1143" s="41">
        <v>990155</v>
      </c>
      <c r="E1143" s="36" t="s">
        <v>652</v>
      </c>
      <c r="F1143" s="36" t="s">
        <v>115</v>
      </c>
    </row>
    <row r="1144" spans="1:6">
      <c r="A1144" s="38">
        <v>43788.15625</v>
      </c>
      <c r="B1144" s="39">
        <v>305.79998779296875</v>
      </c>
      <c r="C1144" s="39">
        <v>282.0478515625</v>
      </c>
      <c r="D1144" s="41">
        <v>582030</v>
      </c>
      <c r="E1144" s="36" t="s">
        <v>652</v>
      </c>
      <c r="F1144" s="36" t="s">
        <v>115</v>
      </c>
    </row>
    <row r="1145" spans="1:6">
      <c r="A1145" s="38">
        <v>43789.15625</v>
      </c>
      <c r="B1145" s="39">
        <v>301.760009765625</v>
      </c>
      <c r="C1145" s="39">
        <v>278.32162475585938</v>
      </c>
      <c r="D1145" s="41">
        <v>1395295</v>
      </c>
      <c r="E1145" s="36" t="s">
        <v>652</v>
      </c>
      <c r="F1145" s="36" t="s">
        <v>115</v>
      </c>
    </row>
    <row r="1146" spans="1:6">
      <c r="A1146" s="38">
        <v>43790.15625</v>
      </c>
      <c r="B1146" s="39">
        <v>299.739990234375</v>
      </c>
      <c r="C1146" s="39">
        <v>276.45846557617188</v>
      </c>
      <c r="D1146" s="41">
        <v>412930</v>
      </c>
      <c r="E1146" s="36" t="s">
        <v>652</v>
      </c>
      <c r="F1146" s="36" t="s">
        <v>115</v>
      </c>
    </row>
    <row r="1147" spans="1:6">
      <c r="A1147" s="38">
        <v>43791.15625</v>
      </c>
      <c r="B1147" s="39">
        <v>296.82998657226563</v>
      </c>
      <c r="C1147" s="39">
        <v>273.77450561523438</v>
      </c>
      <c r="D1147" s="41">
        <v>686870</v>
      </c>
      <c r="E1147" s="36" t="s">
        <v>652</v>
      </c>
      <c r="F1147" s="36" t="s">
        <v>115</v>
      </c>
    </row>
    <row r="1148" spans="1:6">
      <c r="A1148" s="38">
        <v>43794.15625</v>
      </c>
      <c r="B1148" s="39">
        <v>300.010009765625</v>
      </c>
      <c r="C1148" s="39">
        <v>276.70751953125</v>
      </c>
      <c r="D1148" s="41">
        <v>518485</v>
      </c>
      <c r="E1148" s="36" t="s">
        <v>652</v>
      </c>
      <c r="F1148" s="36" t="s">
        <v>115</v>
      </c>
    </row>
    <row r="1149" spans="1:6">
      <c r="A1149" s="38">
        <v>43795.15625</v>
      </c>
      <c r="B1149" s="39">
        <v>296.98001098632813</v>
      </c>
      <c r="C1149" s="39">
        <v>273.912841796875</v>
      </c>
      <c r="D1149" s="41">
        <v>1901635</v>
      </c>
      <c r="E1149" s="36" t="s">
        <v>652</v>
      </c>
      <c r="F1149" s="36" t="s">
        <v>115</v>
      </c>
    </row>
    <row r="1150" spans="1:6">
      <c r="A1150" s="38">
        <v>43796.15625</v>
      </c>
      <c r="B1150" s="39">
        <v>298.77999877929688</v>
      </c>
      <c r="C1150" s="39">
        <v>275.5731201171875</v>
      </c>
      <c r="D1150" s="41">
        <v>386625</v>
      </c>
      <c r="E1150" s="36" t="s">
        <v>652</v>
      </c>
      <c r="F1150" s="36" t="s">
        <v>115</v>
      </c>
    </row>
    <row r="1151" spans="1:6">
      <c r="A1151" s="38">
        <v>43797.15625</v>
      </c>
      <c r="B1151" s="39">
        <v>300.98001098632813</v>
      </c>
      <c r="C1151" s="39">
        <v>277.6021728515625</v>
      </c>
      <c r="D1151" s="41">
        <v>832475</v>
      </c>
      <c r="E1151" s="36" t="s">
        <v>652</v>
      </c>
      <c r="F1151" s="36" t="s">
        <v>115</v>
      </c>
    </row>
    <row r="1152" spans="1:6">
      <c r="A1152" s="38">
        <v>43798.15625</v>
      </c>
      <c r="B1152" s="39">
        <v>298.19000244140625</v>
      </c>
      <c r="C1152" s="39">
        <v>275.02886962890625</v>
      </c>
      <c r="D1152" s="41">
        <v>330465</v>
      </c>
      <c r="E1152" s="36" t="s">
        <v>652</v>
      </c>
      <c r="F1152" s="36" t="s">
        <v>115</v>
      </c>
    </row>
    <row r="1153" spans="1:6">
      <c r="A1153" s="38">
        <v>43801.15625</v>
      </c>
      <c r="B1153" s="39">
        <v>292.42001342773438</v>
      </c>
      <c r="C1153" s="39">
        <v>269.70712280273438</v>
      </c>
      <c r="D1153" s="41">
        <v>623310</v>
      </c>
      <c r="E1153" s="36" t="s">
        <v>652</v>
      </c>
      <c r="F1153" s="36" t="s">
        <v>115</v>
      </c>
    </row>
    <row r="1154" spans="1:6">
      <c r="A1154" s="38">
        <v>43802.15625</v>
      </c>
      <c r="B1154" s="39">
        <v>289.27999877929688</v>
      </c>
      <c r="C1154" s="39">
        <v>266.81097412109375</v>
      </c>
      <c r="D1154" s="41">
        <v>545670</v>
      </c>
      <c r="E1154" s="36" t="s">
        <v>652</v>
      </c>
      <c r="F1154" s="36" t="s">
        <v>115</v>
      </c>
    </row>
    <row r="1155" spans="1:6">
      <c r="A1155" s="38">
        <v>43803.15625</v>
      </c>
      <c r="B1155" s="39">
        <v>293.489990234375</v>
      </c>
      <c r="C1155" s="39">
        <v>270.69403076171875</v>
      </c>
      <c r="D1155" s="41">
        <v>724365</v>
      </c>
      <c r="E1155" s="36" t="s">
        <v>652</v>
      </c>
      <c r="F1155" s="36" t="s">
        <v>115</v>
      </c>
    </row>
    <row r="1156" spans="1:6">
      <c r="A1156" s="38">
        <v>43804.15625</v>
      </c>
      <c r="B1156" s="39">
        <v>297.04000854492188</v>
      </c>
      <c r="C1156" s="39">
        <v>273.96829223632813</v>
      </c>
      <c r="D1156" s="41">
        <v>1838795</v>
      </c>
      <c r="E1156" s="36" t="s">
        <v>652</v>
      </c>
      <c r="F1156" s="36" t="s">
        <v>115</v>
      </c>
    </row>
    <row r="1157" spans="1:6">
      <c r="A1157" s="38">
        <v>43805.15625</v>
      </c>
      <c r="B1157" s="39">
        <v>292.82998657226563</v>
      </c>
      <c r="C1157" s="39">
        <v>270.08529663085938</v>
      </c>
      <c r="D1157" s="41">
        <v>384210</v>
      </c>
      <c r="E1157" s="36" t="s">
        <v>652</v>
      </c>
      <c r="F1157" s="36" t="s">
        <v>115</v>
      </c>
    </row>
    <row r="1158" spans="1:6">
      <c r="A1158" s="38">
        <v>43808.15625</v>
      </c>
      <c r="B1158" s="39">
        <v>295.19000244140625</v>
      </c>
      <c r="C1158" s="39">
        <v>272.26190185546875</v>
      </c>
      <c r="D1158" s="41">
        <v>532490</v>
      </c>
      <c r="E1158" s="36" t="s">
        <v>652</v>
      </c>
      <c r="F1158" s="36" t="s">
        <v>115</v>
      </c>
    </row>
    <row r="1159" spans="1:6">
      <c r="A1159" s="38">
        <v>43809.15625</v>
      </c>
      <c r="B1159" s="39">
        <v>287.54998779296875</v>
      </c>
      <c r="C1159" s="39">
        <v>265.21533203125</v>
      </c>
      <c r="D1159" s="41">
        <v>1226670</v>
      </c>
      <c r="E1159" s="36" t="s">
        <v>652</v>
      </c>
      <c r="F1159" s="36" t="s">
        <v>115</v>
      </c>
    </row>
    <row r="1160" spans="1:6">
      <c r="A1160" s="38">
        <v>43810.15625</v>
      </c>
      <c r="B1160" s="39">
        <v>297.30999755859375</v>
      </c>
      <c r="C1160" s="39">
        <v>274.21713256835938</v>
      </c>
      <c r="D1160" s="41">
        <v>1907690</v>
      </c>
      <c r="E1160" s="36" t="s">
        <v>652</v>
      </c>
      <c r="F1160" s="36" t="s">
        <v>115</v>
      </c>
    </row>
    <row r="1161" spans="1:6">
      <c r="A1161" s="38">
        <v>43811.15625</v>
      </c>
      <c r="B1161" s="39">
        <v>296.85000610351563</v>
      </c>
      <c r="C1161" s="39">
        <v>273.79296875</v>
      </c>
      <c r="D1161" s="41">
        <v>467105</v>
      </c>
      <c r="E1161" s="36" t="s">
        <v>652</v>
      </c>
      <c r="F1161" s="36" t="s">
        <v>115</v>
      </c>
    </row>
    <row r="1162" spans="1:6">
      <c r="A1162" s="38">
        <v>43812.15625</v>
      </c>
      <c r="B1162" s="39">
        <v>298.1199951171875</v>
      </c>
      <c r="C1162" s="39">
        <v>274.96432495117188</v>
      </c>
      <c r="D1162" s="41">
        <v>838770</v>
      </c>
      <c r="E1162" s="36" t="s">
        <v>652</v>
      </c>
      <c r="F1162" s="36" t="s">
        <v>115</v>
      </c>
    </row>
    <row r="1163" spans="1:6">
      <c r="A1163" s="38">
        <v>43815.15625</v>
      </c>
      <c r="B1163" s="39">
        <v>294.67999267578125</v>
      </c>
      <c r="C1163" s="39">
        <v>271.79147338867188</v>
      </c>
      <c r="D1163" s="41">
        <v>1306080</v>
      </c>
      <c r="E1163" s="36" t="s">
        <v>652</v>
      </c>
      <c r="F1163" s="36" t="s">
        <v>115</v>
      </c>
    </row>
    <row r="1164" spans="1:6">
      <c r="A1164" s="38">
        <v>43816.15625</v>
      </c>
      <c r="B1164" s="39">
        <v>320.989990234375</v>
      </c>
      <c r="C1164" s="39">
        <v>296.05801391601563</v>
      </c>
      <c r="D1164" s="41">
        <v>20902960</v>
      </c>
      <c r="E1164" s="36" t="s">
        <v>652</v>
      </c>
      <c r="F1164" s="36" t="s">
        <v>115</v>
      </c>
    </row>
    <row r="1165" spans="1:6">
      <c r="A1165" s="38">
        <v>43817.15625</v>
      </c>
      <c r="B1165" s="39">
        <v>320.51998901367188</v>
      </c>
      <c r="C1165" s="39">
        <v>295.62451171875</v>
      </c>
      <c r="D1165" s="41">
        <v>10772995</v>
      </c>
      <c r="E1165" s="36" t="s">
        <v>652</v>
      </c>
      <c r="F1165" s="36" t="s">
        <v>115</v>
      </c>
    </row>
    <row r="1166" spans="1:6">
      <c r="A1166" s="38">
        <v>43818.15625</v>
      </c>
      <c r="B1166" s="39">
        <v>316.07000732421875</v>
      </c>
      <c r="C1166" s="39">
        <v>291.52008056640625</v>
      </c>
      <c r="D1166" s="41">
        <v>2674515</v>
      </c>
      <c r="E1166" s="36" t="s">
        <v>652</v>
      </c>
      <c r="F1166" s="36" t="s">
        <v>115</v>
      </c>
    </row>
    <row r="1167" spans="1:6">
      <c r="A1167" s="38">
        <v>43819.15625</v>
      </c>
      <c r="B1167" s="39">
        <v>316.55999755859375</v>
      </c>
      <c r="C1167" s="39">
        <v>291.97201538085938</v>
      </c>
      <c r="D1167" s="41">
        <v>2744200</v>
      </c>
      <c r="E1167" s="36" t="s">
        <v>652</v>
      </c>
      <c r="F1167" s="36" t="s">
        <v>115</v>
      </c>
    </row>
    <row r="1168" spans="1:6">
      <c r="A1168" s="38">
        <v>43822.15625</v>
      </c>
      <c r="B1168" s="39">
        <v>315.70999145507813</v>
      </c>
      <c r="C1168" s="39">
        <v>291.18804931640625</v>
      </c>
      <c r="D1168" s="41">
        <v>2201045</v>
      </c>
      <c r="E1168" s="36" t="s">
        <v>652</v>
      </c>
      <c r="F1168" s="36" t="s">
        <v>115</v>
      </c>
    </row>
    <row r="1169" spans="1:6">
      <c r="A1169" s="38">
        <v>43823.15625</v>
      </c>
      <c r="B1169" s="39">
        <v>319.57000732421875</v>
      </c>
      <c r="C1169" s="39">
        <v>294.74826049804688</v>
      </c>
      <c r="D1169" s="41">
        <v>14581110</v>
      </c>
      <c r="E1169" s="36" t="s">
        <v>652</v>
      </c>
      <c r="F1169" s="36" t="s">
        <v>115</v>
      </c>
    </row>
    <row r="1170" spans="1:6">
      <c r="A1170" s="38">
        <v>43825.15625</v>
      </c>
      <c r="B1170" s="39">
        <v>321.83999633789063</v>
      </c>
      <c r="C1170" s="39">
        <v>296.84194946289063</v>
      </c>
      <c r="D1170" s="41">
        <v>4468835</v>
      </c>
      <c r="E1170" s="36" t="s">
        <v>652</v>
      </c>
      <c r="F1170" s="36" t="s">
        <v>115</v>
      </c>
    </row>
    <row r="1171" spans="1:6">
      <c r="A1171" s="38">
        <v>43826.15625</v>
      </c>
      <c r="B1171" s="39">
        <v>316.6099853515625</v>
      </c>
      <c r="C1171" s="39">
        <v>292.01815795898438</v>
      </c>
      <c r="D1171" s="41">
        <v>2335350</v>
      </c>
      <c r="E1171" s="36" t="s">
        <v>652</v>
      </c>
      <c r="F1171" s="36" t="s">
        <v>115</v>
      </c>
    </row>
    <row r="1172" spans="1:6">
      <c r="A1172" s="38">
        <v>43829.15625</v>
      </c>
      <c r="B1172" s="39">
        <v>317.27999877929688</v>
      </c>
      <c r="C1172" s="39">
        <v>292.63613891601563</v>
      </c>
      <c r="D1172" s="41">
        <v>1503045</v>
      </c>
      <c r="E1172" s="36" t="s">
        <v>652</v>
      </c>
      <c r="F1172" s="36" t="s">
        <v>115</v>
      </c>
    </row>
    <row r="1173" spans="1:6">
      <c r="A1173" s="38">
        <v>43830.15625</v>
      </c>
      <c r="B1173" s="39">
        <v>317.97000122070313</v>
      </c>
      <c r="C1173" s="39">
        <v>293.27255249023438</v>
      </c>
      <c r="D1173" s="41">
        <v>1238190</v>
      </c>
      <c r="E1173" s="36" t="s">
        <v>652</v>
      </c>
      <c r="F1173" s="36" t="s">
        <v>115</v>
      </c>
    </row>
    <row r="1174" spans="1:6">
      <c r="A1174" s="38">
        <v>43831.15625</v>
      </c>
      <c r="B1174" s="39">
        <v>315.6400146484375</v>
      </c>
      <c r="C1174" s="39">
        <v>291.12350463867188</v>
      </c>
      <c r="D1174" s="41">
        <v>770625</v>
      </c>
      <c r="E1174" s="36" t="s">
        <v>652</v>
      </c>
      <c r="F1174" s="36" t="s">
        <v>115</v>
      </c>
    </row>
    <row r="1175" spans="1:6">
      <c r="A1175" s="38">
        <v>43832.15625</v>
      </c>
      <c r="B1175" s="39">
        <v>315.89999389648438</v>
      </c>
      <c r="C1175" s="39">
        <v>291.36334228515625</v>
      </c>
      <c r="D1175" s="41">
        <v>817855</v>
      </c>
      <c r="E1175" s="36" t="s">
        <v>652</v>
      </c>
      <c r="F1175" s="36" t="s">
        <v>115</v>
      </c>
    </row>
    <row r="1176" spans="1:6">
      <c r="A1176" s="38">
        <v>43833.15625</v>
      </c>
      <c r="B1176" s="39">
        <v>326.19000244140625</v>
      </c>
      <c r="C1176" s="39">
        <v>300.85400390625</v>
      </c>
      <c r="D1176" s="41">
        <v>5907070</v>
      </c>
      <c r="E1176" s="36" t="s">
        <v>652</v>
      </c>
      <c r="F1176" s="36" t="s">
        <v>115</v>
      </c>
    </row>
    <row r="1177" spans="1:6">
      <c r="A1177" s="38">
        <v>43836.15625</v>
      </c>
      <c r="B1177" s="39">
        <v>329.54998779296875</v>
      </c>
      <c r="C1177" s="39">
        <v>303.95315551757813</v>
      </c>
      <c r="D1177" s="41">
        <v>4915305</v>
      </c>
      <c r="E1177" s="36" t="s">
        <v>652</v>
      </c>
      <c r="F1177" s="36" t="s">
        <v>115</v>
      </c>
    </row>
    <row r="1178" spans="1:6">
      <c r="A1178" s="38">
        <v>43837.15625</v>
      </c>
      <c r="B1178" s="39">
        <v>331.14999389648438</v>
      </c>
      <c r="C1178" s="39">
        <v>305.42880249023438</v>
      </c>
      <c r="D1178" s="41">
        <v>2434765</v>
      </c>
      <c r="E1178" s="36" t="s">
        <v>652</v>
      </c>
      <c r="F1178" s="36" t="s">
        <v>115</v>
      </c>
    </row>
    <row r="1179" spans="1:6">
      <c r="A1179" s="38">
        <v>43838.15625</v>
      </c>
      <c r="B1179" s="39">
        <v>345.30999755859375</v>
      </c>
      <c r="C1179" s="39">
        <v>318.48892211914063</v>
      </c>
      <c r="D1179" s="41">
        <v>6166875</v>
      </c>
      <c r="E1179" s="36" t="s">
        <v>652</v>
      </c>
      <c r="F1179" s="36" t="s">
        <v>115</v>
      </c>
    </row>
    <row r="1180" spans="1:6">
      <c r="A1180" s="38">
        <v>43839.15625</v>
      </c>
      <c r="B1180" s="39">
        <v>350.73001098632813</v>
      </c>
      <c r="C1180" s="39">
        <v>323.48794555664063</v>
      </c>
      <c r="D1180" s="41">
        <v>4134840</v>
      </c>
      <c r="E1180" s="36" t="s">
        <v>652</v>
      </c>
      <c r="F1180" s="36" t="s">
        <v>115</v>
      </c>
    </row>
    <row r="1181" spans="1:6">
      <c r="A1181" s="38">
        <v>43840.15625</v>
      </c>
      <c r="B1181" s="39">
        <v>345.10000610351563</v>
      </c>
      <c r="C1181" s="39">
        <v>318.2952880859375</v>
      </c>
      <c r="D1181" s="41">
        <v>2253675</v>
      </c>
      <c r="E1181" s="36" t="s">
        <v>652</v>
      </c>
      <c r="F1181" s="36" t="s">
        <v>115</v>
      </c>
    </row>
    <row r="1182" spans="1:6">
      <c r="A1182" s="38">
        <v>43843.15625</v>
      </c>
      <c r="B1182" s="39">
        <v>354.95001220703125</v>
      </c>
      <c r="C1182" s="39">
        <v>327.38021850585938</v>
      </c>
      <c r="D1182" s="41">
        <v>2684100</v>
      </c>
      <c r="E1182" s="36" t="s">
        <v>652</v>
      </c>
      <c r="F1182" s="36" t="s">
        <v>115</v>
      </c>
    </row>
    <row r="1183" spans="1:6">
      <c r="A1183" s="38">
        <v>43844.15625</v>
      </c>
      <c r="B1183" s="39">
        <v>361.39999389648438</v>
      </c>
      <c r="C1183" s="39">
        <v>333.32916259765625</v>
      </c>
      <c r="D1183" s="41">
        <v>3436720</v>
      </c>
      <c r="E1183" s="36" t="s">
        <v>652</v>
      </c>
      <c r="F1183" s="36" t="s">
        <v>115</v>
      </c>
    </row>
    <row r="1184" spans="1:6">
      <c r="A1184" s="38">
        <v>43845.15625</v>
      </c>
      <c r="B1184" s="39">
        <v>360.91000366210938</v>
      </c>
      <c r="C1184" s="39">
        <v>332.877197265625</v>
      </c>
      <c r="D1184" s="41">
        <v>2190925</v>
      </c>
      <c r="E1184" s="36" t="s">
        <v>652</v>
      </c>
      <c r="F1184" s="36" t="s">
        <v>115</v>
      </c>
    </row>
    <row r="1185" spans="1:6">
      <c r="A1185" s="38">
        <v>43846.15625</v>
      </c>
      <c r="B1185" s="39">
        <v>356.58999633789063</v>
      </c>
      <c r="C1185" s="39">
        <v>328.892822265625</v>
      </c>
      <c r="D1185" s="41">
        <v>1617450</v>
      </c>
      <c r="E1185" s="36" t="s">
        <v>652</v>
      </c>
      <c r="F1185" s="36" t="s">
        <v>115</v>
      </c>
    </row>
    <row r="1186" spans="1:6">
      <c r="A1186" s="38">
        <v>43847.15625</v>
      </c>
      <c r="B1186" s="39">
        <v>359.82000732421875</v>
      </c>
      <c r="C1186" s="39">
        <v>331.87191772460938</v>
      </c>
      <c r="D1186" s="41">
        <v>1315085</v>
      </c>
      <c r="E1186" s="36" t="s">
        <v>652</v>
      </c>
      <c r="F1186" s="36" t="s">
        <v>115</v>
      </c>
    </row>
    <row r="1187" spans="1:6">
      <c r="A1187" s="38">
        <v>43850.15625</v>
      </c>
      <c r="B1187" s="39">
        <v>356.239990234375</v>
      </c>
      <c r="C1187" s="39">
        <v>328.570068359375</v>
      </c>
      <c r="D1187" s="41">
        <v>672565</v>
      </c>
      <c r="E1187" s="36" t="s">
        <v>652</v>
      </c>
      <c r="F1187" s="36" t="s">
        <v>115</v>
      </c>
    </row>
    <row r="1188" spans="1:6">
      <c r="A1188" s="38">
        <v>43851.15625</v>
      </c>
      <c r="B1188" s="39">
        <v>360.32998657226563</v>
      </c>
      <c r="C1188" s="39">
        <v>332.34237670898438</v>
      </c>
      <c r="D1188" s="41">
        <v>1870465</v>
      </c>
      <c r="E1188" s="36" t="s">
        <v>652</v>
      </c>
      <c r="F1188" s="36" t="s">
        <v>115</v>
      </c>
    </row>
    <row r="1189" spans="1:6">
      <c r="A1189" s="38">
        <v>43852.15625</v>
      </c>
      <c r="B1189" s="39">
        <v>374.52999877929688</v>
      </c>
      <c r="C1189" s="39">
        <v>345.43939208984375</v>
      </c>
      <c r="D1189" s="41">
        <v>6054460</v>
      </c>
      <c r="E1189" s="36" t="s">
        <v>652</v>
      </c>
      <c r="F1189" s="36" t="s">
        <v>115</v>
      </c>
    </row>
    <row r="1190" spans="1:6">
      <c r="A1190" s="38">
        <v>43853.15625</v>
      </c>
      <c r="B1190" s="39">
        <v>395.80999755859375</v>
      </c>
      <c r="C1190" s="39">
        <v>365.06649780273438</v>
      </c>
      <c r="D1190" s="41">
        <v>6035705</v>
      </c>
      <c r="E1190" s="36" t="s">
        <v>652</v>
      </c>
      <c r="F1190" s="36" t="s">
        <v>115</v>
      </c>
    </row>
    <row r="1191" spans="1:6">
      <c r="A1191" s="38">
        <v>43854.15625</v>
      </c>
      <c r="B1191" s="39">
        <v>386.41000366210938</v>
      </c>
      <c r="C1191" s="39">
        <v>356.3966064453125</v>
      </c>
      <c r="D1191" s="41">
        <v>5983255</v>
      </c>
      <c r="E1191" s="36" t="s">
        <v>652</v>
      </c>
      <c r="F1191" s="36" t="s">
        <v>115</v>
      </c>
    </row>
    <row r="1192" spans="1:6">
      <c r="A1192" s="38">
        <v>43857.15625</v>
      </c>
      <c r="B1192" s="39">
        <v>389.76998901367188</v>
      </c>
      <c r="C1192" s="39">
        <v>359.49575805664063</v>
      </c>
      <c r="D1192" s="41">
        <v>2141675</v>
      </c>
      <c r="E1192" s="36" t="s">
        <v>652</v>
      </c>
      <c r="F1192" s="36" t="s">
        <v>115</v>
      </c>
    </row>
    <row r="1193" spans="1:6">
      <c r="A1193" s="38">
        <v>43858.15625</v>
      </c>
      <c r="B1193" s="39">
        <v>401.82000732421875</v>
      </c>
      <c r="C1193" s="39">
        <v>370.60971069335938</v>
      </c>
      <c r="D1193" s="41">
        <v>6158280</v>
      </c>
      <c r="E1193" s="36" t="s">
        <v>652</v>
      </c>
      <c r="F1193" s="36" t="s">
        <v>115</v>
      </c>
    </row>
    <row r="1194" spans="1:6">
      <c r="A1194" s="38">
        <v>43859.15625</v>
      </c>
      <c r="B1194" s="39">
        <v>388.20999145507813</v>
      </c>
      <c r="C1194" s="39">
        <v>358.05679321289063</v>
      </c>
      <c r="D1194" s="41">
        <v>9226005</v>
      </c>
      <c r="E1194" s="36" t="s">
        <v>652</v>
      </c>
      <c r="F1194" s="36" t="s">
        <v>115</v>
      </c>
    </row>
    <row r="1195" spans="1:6">
      <c r="A1195" s="38">
        <v>43860.15625</v>
      </c>
      <c r="B1195" s="39">
        <v>369.79998779296875</v>
      </c>
      <c r="C1195" s="39">
        <v>341.07675170898438</v>
      </c>
      <c r="D1195" s="41">
        <v>7573390</v>
      </c>
      <c r="E1195" s="36" t="s">
        <v>652</v>
      </c>
      <c r="F1195" s="36" t="s">
        <v>115</v>
      </c>
    </row>
    <row r="1196" spans="1:6">
      <c r="A1196" s="38">
        <v>43861.15625</v>
      </c>
      <c r="B1196" s="39">
        <v>388.489990234375</v>
      </c>
      <c r="C1196" s="39">
        <v>358.31509399414063</v>
      </c>
      <c r="D1196" s="41">
        <v>5646020</v>
      </c>
      <c r="E1196" s="36" t="s">
        <v>652</v>
      </c>
      <c r="F1196" s="36" t="s">
        <v>115</v>
      </c>
    </row>
    <row r="1197" spans="1:6">
      <c r="A1197" s="38">
        <v>43864.15625</v>
      </c>
      <c r="B1197" s="39">
        <v>377.07998657226563</v>
      </c>
      <c r="C1197" s="39">
        <v>347.7913818359375</v>
      </c>
      <c r="D1197" s="41">
        <v>1707835</v>
      </c>
      <c r="E1197" s="36" t="s">
        <v>652</v>
      </c>
      <c r="F1197" s="36" t="s">
        <v>115</v>
      </c>
    </row>
    <row r="1198" spans="1:6">
      <c r="A1198" s="38">
        <v>43865.15625</v>
      </c>
      <c r="B1198" s="39">
        <v>384.51998901367188</v>
      </c>
      <c r="C1198" s="39">
        <v>354.65335083007813</v>
      </c>
      <c r="D1198" s="41">
        <v>2292385</v>
      </c>
      <c r="E1198" s="36" t="s">
        <v>652</v>
      </c>
      <c r="F1198" s="36" t="s">
        <v>115</v>
      </c>
    </row>
    <row r="1199" spans="1:6">
      <c r="A1199" s="38">
        <v>43866.15625</v>
      </c>
      <c r="B1199" s="39">
        <v>387.08999633789063</v>
      </c>
      <c r="C1199" s="39">
        <v>357.02377319335938</v>
      </c>
      <c r="D1199" s="41">
        <v>1834875</v>
      </c>
      <c r="E1199" s="36" t="s">
        <v>652</v>
      </c>
      <c r="F1199" s="36" t="s">
        <v>115</v>
      </c>
    </row>
    <row r="1200" spans="1:6">
      <c r="A1200" s="38">
        <v>43867.15625</v>
      </c>
      <c r="B1200" s="39">
        <v>379.89999389648438</v>
      </c>
      <c r="C1200" s="39">
        <v>350.392333984375</v>
      </c>
      <c r="D1200" s="41">
        <v>1220810</v>
      </c>
      <c r="E1200" s="36" t="s">
        <v>652</v>
      </c>
      <c r="F1200" s="36" t="s">
        <v>115</v>
      </c>
    </row>
    <row r="1201" spans="1:6">
      <c r="A1201" s="38">
        <v>43868.15625</v>
      </c>
      <c r="B1201" s="39">
        <v>377.14999389648438</v>
      </c>
      <c r="C1201" s="39">
        <v>349.6968994140625</v>
      </c>
      <c r="D1201" s="41">
        <v>1823630</v>
      </c>
      <c r="E1201" s="36" t="s">
        <v>652</v>
      </c>
      <c r="F1201" s="36" t="s">
        <v>115</v>
      </c>
    </row>
    <row r="1202" spans="1:6">
      <c r="A1202" s="38">
        <v>43871.15625</v>
      </c>
      <c r="B1202" s="39">
        <v>371.58999633789063</v>
      </c>
      <c r="C1202" s="39">
        <v>344.5416259765625</v>
      </c>
      <c r="D1202" s="41">
        <v>1343350</v>
      </c>
      <c r="E1202" s="36" t="s">
        <v>652</v>
      </c>
      <c r="F1202" s="36" t="s">
        <v>115</v>
      </c>
    </row>
    <row r="1203" spans="1:6">
      <c r="A1203" s="38">
        <v>43872.15625</v>
      </c>
      <c r="B1203" s="39">
        <v>366.07998657226563</v>
      </c>
      <c r="C1203" s="39">
        <v>339.43264770507813</v>
      </c>
      <c r="D1203" s="41">
        <v>1169800</v>
      </c>
      <c r="E1203" s="36" t="s">
        <v>652</v>
      </c>
      <c r="F1203" s="36" t="s">
        <v>115</v>
      </c>
    </row>
    <row r="1204" spans="1:6">
      <c r="A1204" s="38">
        <v>43873.15625</v>
      </c>
      <c r="B1204" s="39">
        <v>366.73001098632813</v>
      </c>
      <c r="C1204" s="39">
        <v>340.03533935546875</v>
      </c>
      <c r="D1204" s="41">
        <v>2451290</v>
      </c>
      <c r="E1204" s="36" t="s">
        <v>652</v>
      </c>
      <c r="F1204" s="36" t="s">
        <v>115</v>
      </c>
    </row>
    <row r="1205" spans="1:6">
      <c r="A1205" s="38">
        <v>43874.15625</v>
      </c>
      <c r="B1205" s="39">
        <v>364.04000854492188</v>
      </c>
      <c r="C1205" s="39">
        <v>337.54116821289063</v>
      </c>
      <c r="D1205" s="41">
        <v>3103115</v>
      </c>
      <c r="E1205" s="36" t="s">
        <v>652</v>
      </c>
      <c r="F1205" s="36" t="s">
        <v>115</v>
      </c>
    </row>
    <row r="1206" spans="1:6">
      <c r="A1206" s="38">
        <v>43875.15625</v>
      </c>
      <c r="B1206" s="39">
        <v>367.1300048828125</v>
      </c>
      <c r="C1206" s="39">
        <v>340.40621948242188</v>
      </c>
      <c r="D1206" s="41">
        <v>2267390</v>
      </c>
      <c r="E1206" s="36" t="s">
        <v>652</v>
      </c>
      <c r="F1206" s="36" t="s">
        <v>115</v>
      </c>
    </row>
    <row r="1207" spans="1:6">
      <c r="A1207" s="38">
        <v>43878.15625</v>
      </c>
      <c r="B1207" s="39">
        <v>364.83999633789063</v>
      </c>
      <c r="C1207" s="39">
        <v>338.28286743164063</v>
      </c>
      <c r="D1207" s="41">
        <v>1044030</v>
      </c>
      <c r="E1207" s="36" t="s">
        <v>652</v>
      </c>
      <c r="F1207" s="36" t="s">
        <v>115</v>
      </c>
    </row>
    <row r="1208" spans="1:6">
      <c r="A1208" s="38">
        <v>43879.15625</v>
      </c>
      <c r="B1208" s="39">
        <v>369.70999145507813</v>
      </c>
      <c r="C1208" s="39">
        <v>342.79843139648438</v>
      </c>
      <c r="D1208" s="41">
        <v>1392390</v>
      </c>
      <c r="E1208" s="36" t="s">
        <v>652</v>
      </c>
      <c r="F1208" s="36" t="s">
        <v>115</v>
      </c>
    </row>
    <row r="1209" spans="1:6">
      <c r="A1209" s="38">
        <v>43880.15625</v>
      </c>
      <c r="B1209" s="39">
        <v>376.51998901367188</v>
      </c>
      <c r="C1209" s="39">
        <v>349.1126708984375</v>
      </c>
      <c r="D1209" s="41">
        <v>3333280</v>
      </c>
      <c r="E1209" s="36" t="s">
        <v>652</v>
      </c>
      <c r="F1209" s="36" t="s">
        <v>115</v>
      </c>
    </row>
    <row r="1210" spans="1:6">
      <c r="A1210" s="38">
        <v>43881.15625</v>
      </c>
      <c r="B1210" s="39">
        <v>370.8800048828125</v>
      </c>
      <c r="C1210" s="39">
        <v>343.88327026367188</v>
      </c>
      <c r="D1210" s="41">
        <v>2555415</v>
      </c>
      <c r="E1210" s="36" t="s">
        <v>652</v>
      </c>
      <c r="F1210" s="36" t="s">
        <v>115</v>
      </c>
    </row>
    <row r="1211" spans="1:6">
      <c r="A1211" s="38">
        <v>43885.15625</v>
      </c>
      <c r="B1211" s="39">
        <v>367.760009765625</v>
      </c>
      <c r="C1211" s="39">
        <v>340.9903564453125</v>
      </c>
      <c r="D1211" s="41">
        <v>1332380</v>
      </c>
      <c r="E1211" s="36" t="s">
        <v>652</v>
      </c>
      <c r="F1211" s="36" t="s">
        <v>115</v>
      </c>
    </row>
    <row r="1212" spans="1:6">
      <c r="A1212" s="38">
        <v>43886.15625</v>
      </c>
      <c r="B1212" s="39">
        <v>377.8800048828125</v>
      </c>
      <c r="C1212" s="39">
        <v>350.37374877929688</v>
      </c>
      <c r="D1212" s="41">
        <v>3552880</v>
      </c>
      <c r="E1212" s="36" t="s">
        <v>652</v>
      </c>
      <c r="F1212" s="36" t="s">
        <v>115</v>
      </c>
    </row>
    <row r="1213" spans="1:6">
      <c r="A1213" s="38">
        <v>43887.15625</v>
      </c>
      <c r="B1213" s="39">
        <v>377.97000122070313</v>
      </c>
      <c r="C1213" s="39">
        <v>350.45718383789063</v>
      </c>
      <c r="D1213" s="41">
        <v>2754425</v>
      </c>
      <c r="E1213" s="36" t="s">
        <v>652</v>
      </c>
      <c r="F1213" s="36" t="s">
        <v>115</v>
      </c>
    </row>
    <row r="1214" spans="1:6">
      <c r="A1214" s="38">
        <v>43888.15625</v>
      </c>
      <c r="B1214" s="39">
        <v>377.16000366210938</v>
      </c>
      <c r="C1214" s="39">
        <v>349.70608520507813</v>
      </c>
      <c r="D1214" s="41">
        <v>1846745</v>
      </c>
      <c r="E1214" s="36" t="s">
        <v>652</v>
      </c>
      <c r="F1214" s="36" t="s">
        <v>115</v>
      </c>
    </row>
    <row r="1215" spans="1:6">
      <c r="A1215" s="38">
        <v>43889.15625</v>
      </c>
      <c r="B1215" s="39">
        <v>337.95001220703125</v>
      </c>
      <c r="C1215" s="39">
        <v>313.35028076171875</v>
      </c>
      <c r="D1215" s="41">
        <v>3955925</v>
      </c>
      <c r="E1215" s="36" t="s">
        <v>652</v>
      </c>
      <c r="F1215" s="36" t="s">
        <v>115</v>
      </c>
    </row>
    <row r="1216" spans="1:6">
      <c r="A1216" s="38">
        <v>43892.15625</v>
      </c>
      <c r="B1216" s="39">
        <v>358.1300048828125</v>
      </c>
      <c r="C1216" s="39">
        <v>332.06134033203125</v>
      </c>
      <c r="D1216" s="41">
        <v>7058895</v>
      </c>
      <c r="E1216" s="36" t="s">
        <v>652</v>
      </c>
      <c r="F1216" s="36" t="s">
        <v>115</v>
      </c>
    </row>
    <row r="1217" spans="1:6">
      <c r="A1217" s="38">
        <v>43893.15625</v>
      </c>
      <c r="B1217" s="39">
        <v>380.33999633789063</v>
      </c>
      <c r="C1217" s="39">
        <v>352.65463256835938</v>
      </c>
      <c r="D1217" s="41">
        <v>7416555</v>
      </c>
      <c r="E1217" s="36" t="s">
        <v>652</v>
      </c>
      <c r="F1217" s="36" t="s">
        <v>115</v>
      </c>
    </row>
    <row r="1218" spans="1:6">
      <c r="A1218" s="38">
        <v>43894.15625</v>
      </c>
      <c r="B1218" s="39">
        <v>366.1300048828125</v>
      </c>
      <c r="C1218" s="39">
        <v>339.47897338867188</v>
      </c>
      <c r="D1218" s="41">
        <v>4528090</v>
      </c>
      <c r="E1218" s="36" t="s">
        <v>652</v>
      </c>
      <c r="F1218" s="36" t="s">
        <v>115</v>
      </c>
    </row>
    <row r="1219" spans="1:6">
      <c r="A1219" s="38">
        <v>43895.15625</v>
      </c>
      <c r="B1219" s="39">
        <v>365.52999877929688</v>
      </c>
      <c r="C1219" s="39">
        <v>338.92266845703125</v>
      </c>
      <c r="D1219" s="41">
        <v>2177260</v>
      </c>
      <c r="E1219" s="36" t="s">
        <v>652</v>
      </c>
      <c r="F1219" s="36" t="s">
        <v>115</v>
      </c>
    </row>
    <row r="1220" spans="1:6">
      <c r="A1220" s="38">
        <v>43896.15625</v>
      </c>
      <c r="B1220" s="39">
        <v>357.6099853515625</v>
      </c>
      <c r="C1220" s="39">
        <v>331.57919311523438</v>
      </c>
      <c r="D1220" s="41">
        <v>2073970</v>
      </c>
      <c r="E1220" s="36" t="s">
        <v>652</v>
      </c>
      <c r="F1220" s="36" t="s">
        <v>115</v>
      </c>
    </row>
    <row r="1221" spans="1:6">
      <c r="A1221" s="38">
        <v>43899.15625</v>
      </c>
      <c r="B1221" s="39">
        <v>332.17999267578125</v>
      </c>
      <c r="C1221" s="39">
        <v>308.00027465820313</v>
      </c>
      <c r="D1221" s="41">
        <v>2111005</v>
      </c>
      <c r="E1221" s="36" t="s">
        <v>652</v>
      </c>
      <c r="F1221" s="36" t="s">
        <v>115</v>
      </c>
    </row>
    <row r="1222" spans="1:6">
      <c r="A1222" s="38">
        <v>43901.15625</v>
      </c>
      <c r="B1222" s="39">
        <v>325.17999267578125</v>
      </c>
      <c r="C1222" s="39">
        <v>301.50982666015625</v>
      </c>
      <c r="D1222" s="41">
        <v>2392370</v>
      </c>
      <c r="E1222" s="36" t="s">
        <v>652</v>
      </c>
      <c r="F1222" s="36" t="s">
        <v>115</v>
      </c>
    </row>
    <row r="1223" spans="1:6">
      <c r="A1223" s="38">
        <v>43902.15625</v>
      </c>
      <c r="B1223" s="39">
        <v>287.92999267578125</v>
      </c>
      <c r="C1223" s="39">
        <v>266.97128295898438</v>
      </c>
      <c r="D1223" s="41">
        <v>2392625</v>
      </c>
      <c r="E1223" s="36" t="s">
        <v>652</v>
      </c>
      <c r="F1223" s="36" t="s">
        <v>115</v>
      </c>
    </row>
    <row r="1224" spans="1:6">
      <c r="A1224" s="38">
        <v>43903.15625</v>
      </c>
      <c r="B1224" s="39">
        <v>275.739990234375</v>
      </c>
      <c r="C1224" s="39">
        <v>255.66862487792969</v>
      </c>
      <c r="D1224" s="41">
        <v>2001975</v>
      </c>
      <c r="E1224" s="36" t="s">
        <v>652</v>
      </c>
      <c r="F1224" s="36" t="s">
        <v>115</v>
      </c>
    </row>
    <row r="1225" spans="1:6">
      <c r="A1225" s="38">
        <v>43906.15625</v>
      </c>
      <c r="B1225" s="39">
        <v>247.91000366210938</v>
      </c>
      <c r="C1225" s="39">
        <v>229.8643798828125</v>
      </c>
      <c r="D1225" s="41">
        <v>1389060</v>
      </c>
      <c r="E1225" s="36" t="s">
        <v>652</v>
      </c>
      <c r="F1225" s="36" t="s">
        <v>115</v>
      </c>
    </row>
    <row r="1226" spans="1:6">
      <c r="A1226" s="38">
        <v>43907.15625</v>
      </c>
      <c r="B1226" s="39">
        <v>236.3800048828125</v>
      </c>
      <c r="C1226" s="39">
        <v>219.17362976074219</v>
      </c>
      <c r="D1226" s="41">
        <v>2327810</v>
      </c>
      <c r="E1226" s="36" t="s">
        <v>652</v>
      </c>
      <c r="F1226" s="36" t="s">
        <v>115</v>
      </c>
    </row>
    <row r="1227" spans="1:6">
      <c r="A1227" s="38">
        <v>43908.15625</v>
      </c>
      <c r="B1227" s="39">
        <v>223.85000610351563</v>
      </c>
      <c r="C1227" s="39">
        <v>207.55569458007813</v>
      </c>
      <c r="D1227" s="41">
        <v>2160980</v>
      </c>
      <c r="E1227" s="36" t="s">
        <v>652</v>
      </c>
      <c r="F1227" s="36" t="s">
        <v>115</v>
      </c>
    </row>
    <row r="1228" spans="1:6">
      <c r="A1228" s="38">
        <v>43909.15625</v>
      </c>
      <c r="B1228" s="39">
        <v>207.16999816894531</v>
      </c>
      <c r="C1228" s="39">
        <v>192.08992004394531</v>
      </c>
      <c r="D1228" s="41">
        <v>4316220</v>
      </c>
      <c r="E1228" s="36" t="s">
        <v>652</v>
      </c>
      <c r="F1228" s="36" t="s">
        <v>115</v>
      </c>
    </row>
    <row r="1229" spans="1:6">
      <c r="A1229" s="38">
        <v>43910.15625</v>
      </c>
      <c r="B1229" s="39">
        <v>228.6300048828125</v>
      </c>
      <c r="C1229" s="39">
        <v>211.98776245117188</v>
      </c>
      <c r="D1229" s="41">
        <v>3234300</v>
      </c>
      <c r="E1229" s="36" t="s">
        <v>652</v>
      </c>
      <c r="F1229" s="36" t="s">
        <v>115</v>
      </c>
    </row>
    <row r="1230" spans="1:6">
      <c r="A1230" s="38">
        <v>43913.15625</v>
      </c>
      <c r="B1230" s="39">
        <v>172.83999633789063</v>
      </c>
      <c r="C1230" s="39">
        <v>160.25877380371094</v>
      </c>
      <c r="D1230" s="41">
        <v>1241155</v>
      </c>
      <c r="E1230" s="36" t="s">
        <v>652</v>
      </c>
      <c r="F1230" s="36" t="s">
        <v>115</v>
      </c>
    </row>
    <row r="1231" spans="1:6">
      <c r="A1231" s="38">
        <v>43914.15625</v>
      </c>
      <c r="B1231" s="39">
        <v>203.78999328613281</v>
      </c>
      <c r="C1231" s="39">
        <v>188.95591735839844</v>
      </c>
      <c r="D1231" s="41">
        <v>5318470</v>
      </c>
      <c r="E1231" s="36" t="s">
        <v>652</v>
      </c>
      <c r="F1231" s="36" t="s">
        <v>115</v>
      </c>
    </row>
    <row r="1232" spans="1:6">
      <c r="A1232" s="38">
        <v>43915.15625</v>
      </c>
      <c r="B1232" s="39">
        <v>248.58999633789063</v>
      </c>
      <c r="C1232" s="39">
        <v>230.49490356445313</v>
      </c>
      <c r="D1232" s="41">
        <v>4216870</v>
      </c>
      <c r="E1232" s="36" t="s">
        <v>652</v>
      </c>
      <c r="F1232" s="36" t="s">
        <v>115</v>
      </c>
    </row>
    <row r="1233" spans="1:6">
      <c r="A1233" s="38">
        <v>43916.15625</v>
      </c>
      <c r="B1233" s="39">
        <v>233.83999633789063</v>
      </c>
      <c r="C1233" s="39">
        <v>216.81851196289063</v>
      </c>
      <c r="D1233" s="41">
        <v>6289545</v>
      </c>
      <c r="E1233" s="36" t="s">
        <v>652</v>
      </c>
      <c r="F1233" s="36" t="s">
        <v>115</v>
      </c>
    </row>
    <row r="1234" spans="1:6">
      <c r="A1234" s="38">
        <v>43917.15625</v>
      </c>
      <c r="B1234" s="39">
        <v>240.25</v>
      </c>
      <c r="C1234" s="39">
        <v>222.761962890625</v>
      </c>
      <c r="D1234" s="41">
        <v>3319390</v>
      </c>
      <c r="E1234" s="36" t="s">
        <v>652</v>
      </c>
      <c r="F1234" s="36" t="s">
        <v>115</v>
      </c>
    </row>
    <row r="1235" spans="1:6">
      <c r="A1235" s="38">
        <v>43920.15625</v>
      </c>
      <c r="B1235" s="39">
        <v>226.22999572753906</v>
      </c>
      <c r="C1235" s="39">
        <v>209.76246643066406</v>
      </c>
      <c r="D1235" s="41">
        <v>2666500</v>
      </c>
      <c r="E1235" s="36" t="s">
        <v>652</v>
      </c>
      <c r="F1235" s="36" t="s">
        <v>115</v>
      </c>
    </row>
    <row r="1236" spans="1:6">
      <c r="A1236" s="38">
        <v>43921.15625</v>
      </c>
      <c r="B1236" s="39">
        <v>229.55000305175781</v>
      </c>
      <c r="C1236" s="39">
        <v>212.84078979492188</v>
      </c>
      <c r="D1236" s="41">
        <v>1654205</v>
      </c>
      <c r="E1236" s="36" t="s">
        <v>652</v>
      </c>
      <c r="F1236" s="36" t="s">
        <v>115</v>
      </c>
    </row>
    <row r="1237" spans="1:6">
      <c r="A1237" s="38">
        <v>43922.15625</v>
      </c>
      <c r="B1237" s="39">
        <v>232.82000732421875</v>
      </c>
      <c r="C1237" s="39">
        <v>215.87278747558594</v>
      </c>
      <c r="D1237" s="41">
        <v>1689785</v>
      </c>
      <c r="E1237" s="36" t="s">
        <v>653</v>
      </c>
      <c r="F1237" s="36" t="s">
        <v>115</v>
      </c>
    </row>
    <row r="1238" spans="1:6">
      <c r="A1238" s="38">
        <v>43924.15625</v>
      </c>
      <c r="B1238" s="39">
        <v>207.50999450683594</v>
      </c>
      <c r="C1238" s="39">
        <v>192.4051513671875</v>
      </c>
      <c r="D1238" s="41">
        <v>2564240</v>
      </c>
      <c r="E1238" s="36" t="s">
        <v>653</v>
      </c>
      <c r="F1238" s="36" t="s">
        <v>115</v>
      </c>
    </row>
    <row r="1239" spans="1:6">
      <c r="A1239" s="38">
        <v>43928.15625</v>
      </c>
      <c r="B1239" s="39">
        <v>220.50999450683594</v>
      </c>
      <c r="C1239" s="39">
        <v>204.45884704589844</v>
      </c>
      <c r="D1239" s="41">
        <v>1644845</v>
      </c>
      <c r="E1239" s="36" t="s">
        <v>653</v>
      </c>
      <c r="F1239" s="36" t="s">
        <v>115</v>
      </c>
    </row>
    <row r="1240" spans="1:6">
      <c r="A1240" s="38">
        <v>43929.15625</v>
      </c>
      <c r="B1240" s="39">
        <v>220.19999694824219</v>
      </c>
      <c r="C1240" s="39">
        <v>204.17141723632813</v>
      </c>
      <c r="D1240" s="41">
        <v>1749985</v>
      </c>
      <c r="E1240" s="36" t="s">
        <v>653</v>
      </c>
      <c r="F1240" s="36" t="s">
        <v>115</v>
      </c>
    </row>
    <row r="1241" spans="1:6">
      <c r="A1241" s="38">
        <v>43930.15625</v>
      </c>
      <c r="B1241" s="39">
        <v>222.16999816894531</v>
      </c>
      <c r="C1241" s="39">
        <v>205.99798583984375</v>
      </c>
      <c r="D1241" s="41">
        <v>1298975</v>
      </c>
      <c r="E1241" s="36" t="s">
        <v>653</v>
      </c>
      <c r="F1241" s="36" t="s">
        <v>115</v>
      </c>
    </row>
    <row r="1242" spans="1:6">
      <c r="A1242" s="38">
        <v>43934.15625</v>
      </c>
      <c r="B1242" s="39">
        <v>215.07000732421875</v>
      </c>
      <c r="C1242" s="39">
        <v>199.41487121582031</v>
      </c>
      <c r="D1242" s="41">
        <v>1052760</v>
      </c>
      <c r="E1242" s="36" t="s">
        <v>653</v>
      </c>
      <c r="F1242" s="36" t="s">
        <v>115</v>
      </c>
    </row>
    <row r="1243" spans="1:6">
      <c r="A1243" s="38">
        <v>43936.15625</v>
      </c>
      <c r="B1243" s="39">
        <v>218.46000671386719</v>
      </c>
      <c r="C1243" s="39">
        <v>202.55812072753906</v>
      </c>
      <c r="D1243" s="41">
        <v>2531965</v>
      </c>
      <c r="E1243" s="36" t="s">
        <v>653</v>
      </c>
      <c r="F1243" s="36" t="s">
        <v>115</v>
      </c>
    </row>
    <row r="1244" spans="1:6">
      <c r="A1244" s="38">
        <v>43937.15625</v>
      </c>
      <c r="B1244" s="39">
        <v>215.82000732421875</v>
      </c>
      <c r="C1244" s="39">
        <v>200.11030578613281</v>
      </c>
      <c r="D1244" s="41">
        <v>2263400</v>
      </c>
      <c r="E1244" s="36" t="s">
        <v>653</v>
      </c>
      <c r="F1244" s="36" t="s">
        <v>115</v>
      </c>
    </row>
    <row r="1245" spans="1:6">
      <c r="A1245" s="38">
        <v>43938.15625</v>
      </c>
      <c r="B1245" s="39">
        <v>222.44000244140625</v>
      </c>
      <c r="C1245" s="39">
        <v>206.24838256835938</v>
      </c>
      <c r="D1245" s="41">
        <v>2379560</v>
      </c>
      <c r="E1245" s="36" t="s">
        <v>653</v>
      </c>
      <c r="F1245" s="36" t="s">
        <v>115</v>
      </c>
    </row>
    <row r="1246" spans="1:6">
      <c r="A1246" s="38">
        <v>43941.15625</v>
      </c>
      <c r="B1246" s="39">
        <v>217.66999816894531</v>
      </c>
      <c r="C1246" s="39">
        <v>201.8255615234375</v>
      </c>
      <c r="D1246" s="41">
        <v>2628035</v>
      </c>
      <c r="E1246" s="36" t="s">
        <v>653</v>
      </c>
      <c r="F1246" s="36" t="s">
        <v>115</v>
      </c>
    </row>
    <row r="1247" spans="1:6">
      <c r="A1247" s="38">
        <v>43942.15625</v>
      </c>
      <c r="B1247" s="39">
        <v>208.16999816894531</v>
      </c>
      <c r="C1247" s="39">
        <v>193.01707458496094</v>
      </c>
      <c r="D1247" s="41">
        <v>1749565</v>
      </c>
      <c r="E1247" s="36" t="s">
        <v>653</v>
      </c>
      <c r="F1247" s="36" t="s">
        <v>115</v>
      </c>
    </row>
    <row r="1248" spans="1:6">
      <c r="A1248" s="38">
        <v>43943.15625</v>
      </c>
      <c r="B1248" s="39">
        <v>216.14999389648438</v>
      </c>
      <c r="C1248" s="39">
        <v>200.41616821289063</v>
      </c>
      <c r="D1248" s="41">
        <v>1891875</v>
      </c>
      <c r="E1248" s="36" t="s">
        <v>653</v>
      </c>
      <c r="F1248" s="36" t="s">
        <v>115</v>
      </c>
    </row>
    <row r="1249" spans="1:6">
      <c r="A1249" s="38">
        <v>43944.15625</v>
      </c>
      <c r="B1249" s="39">
        <v>235.72999572753906</v>
      </c>
      <c r="C1249" s="39">
        <v>218.57099914550781</v>
      </c>
      <c r="D1249" s="41">
        <v>4324665</v>
      </c>
      <c r="E1249" s="36" t="s">
        <v>653</v>
      </c>
      <c r="F1249" s="36" t="s">
        <v>115</v>
      </c>
    </row>
    <row r="1250" spans="1:6">
      <c r="A1250" s="38">
        <v>43945.15625</v>
      </c>
      <c r="B1250" s="39">
        <v>223.22000122070313</v>
      </c>
      <c r="C1250" s="39">
        <v>206.9715576171875</v>
      </c>
      <c r="D1250" s="41">
        <v>4725000</v>
      </c>
      <c r="E1250" s="36" t="s">
        <v>653</v>
      </c>
      <c r="F1250" s="36" t="s">
        <v>115</v>
      </c>
    </row>
    <row r="1251" spans="1:6">
      <c r="A1251" s="38">
        <v>43948.15625</v>
      </c>
      <c r="B1251" s="39">
        <v>224.30000305175781</v>
      </c>
      <c r="C1251" s="39">
        <v>207.97299194335938</v>
      </c>
      <c r="D1251" s="41">
        <v>5204920</v>
      </c>
      <c r="E1251" s="36" t="s">
        <v>653</v>
      </c>
      <c r="F1251" s="36" t="s">
        <v>115</v>
      </c>
    </row>
    <row r="1252" spans="1:6">
      <c r="A1252" s="38">
        <v>43949.15625</v>
      </c>
      <c r="B1252" s="39">
        <v>235.77999877929688</v>
      </c>
      <c r="C1252" s="39">
        <v>218.61735534667969</v>
      </c>
      <c r="D1252" s="41">
        <v>7206515</v>
      </c>
      <c r="E1252" s="36" t="s">
        <v>653</v>
      </c>
      <c r="F1252" s="36" t="s">
        <v>115</v>
      </c>
    </row>
    <row r="1253" spans="1:6">
      <c r="A1253" s="38">
        <v>43950.15625</v>
      </c>
      <c r="B1253" s="39">
        <v>236.3699951171875</v>
      </c>
      <c r="C1253" s="39">
        <v>219.16441345214844</v>
      </c>
      <c r="D1253" s="41">
        <v>6984930</v>
      </c>
      <c r="E1253" s="36" t="s">
        <v>653</v>
      </c>
      <c r="F1253" s="36" t="s">
        <v>115</v>
      </c>
    </row>
    <row r="1254" spans="1:6">
      <c r="A1254" s="38">
        <v>43951.15625</v>
      </c>
      <c r="B1254" s="39">
        <v>240.69000244140625</v>
      </c>
      <c r="C1254" s="39">
        <v>223.169921875</v>
      </c>
      <c r="D1254" s="41">
        <v>3288590</v>
      </c>
      <c r="E1254" s="36" t="s">
        <v>653</v>
      </c>
      <c r="F1254" s="36" t="s">
        <v>115</v>
      </c>
    </row>
    <row r="1255" spans="1:6">
      <c r="A1255" s="38">
        <v>43955.15625</v>
      </c>
      <c r="B1255" s="39">
        <v>236.30000305175781</v>
      </c>
      <c r="C1255" s="39">
        <v>219.09947204589844</v>
      </c>
      <c r="D1255" s="41">
        <v>4502320</v>
      </c>
      <c r="E1255" s="36" t="s">
        <v>653</v>
      </c>
      <c r="F1255" s="36" t="s">
        <v>115</v>
      </c>
    </row>
    <row r="1256" spans="1:6">
      <c r="A1256" s="38">
        <v>43956.15625</v>
      </c>
      <c r="B1256" s="39">
        <v>237.94999694824219</v>
      </c>
      <c r="C1256" s="39">
        <v>220.62937927246094</v>
      </c>
      <c r="D1256" s="41">
        <v>4006040</v>
      </c>
      <c r="E1256" s="36" t="s">
        <v>653</v>
      </c>
      <c r="F1256" s="36" t="s">
        <v>115</v>
      </c>
    </row>
    <row r="1257" spans="1:6">
      <c r="A1257" s="38">
        <v>43957.15625</v>
      </c>
      <c r="B1257" s="39">
        <v>283.760009765625</v>
      </c>
      <c r="C1257" s="39">
        <v>263.104736328125</v>
      </c>
      <c r="D1257" s="41">
        <v>25742205</v>
      </c>
      <c r="E1257" s="36" t="s">
        <v>653</v>
      </c>
      <c r="F1257" s="36" t="s">
        <v>115</v>
      </c>
    </row>
    <row r="1258" spans="1:6">
      <c r="A1258" s="38">
        <v>43958.15625</v>
      </c>
      <c r="B1258" s="39">
        <v>274.76998901367188</v>
      </c>
      <c r="C1258" s="39">
        <v>254.76911926269531</v>
      </c>
      <c r="D1258" s="41">
        <v>6774095</v>
      </c>
      <c r="E1258" s="36" t="s">
        <v>653</v>
      </c>
      <c r="F1258" s="36" t="s">
        <v>115</v>
      </c>
    </row>
    <row r="1259" spans="1:6">
      <c r="A1259" s="38">
        <v>43959.15625</v>
      </c>
      <c r="B1259" s="39">
        <v>280.510009765625</v>
      </c>
      <c r="C1259" s="39">
        <v>260.09136962890625</v>
      </c>
      <c r="D1259" s="41">
        <v>6482600</v>
      </c>
      <c r="E1259" s="36" t="s">
        <v>653</v>
      </c>
      <c r="F1259" s="36" t="s">
        <v>115</v>
      </c>
    </row>
    <row r="1260" spans="1:6">
      <c r="A1260" s="38">
        <v>43962.15625</v>
      </c>
      <c r="B1260" s="39">
        <v>287.32000732421875</v>
      </c>
      <c r="C1260" s="39">
        <v>266.40573120117188</v>
      </c>
      <c r="D1260" s="41">
        <v>4106795</v>
      </c>
      <c r="E1260" s="36" t="s">
        <v>653</v>
      </c>
      <c r="F1260" s="36" t="s">
        <v>115</v>
      </c>
    </row>
    <row r="1261" spans="1:6">
      <c r="A1261" s="38">
        <v>43963.15625</v>
      </c>
      <c r="B1261" s="39">
        <v>286.20001220703125</v>
      </c>
      <c r="C1261" s="39">
        <v>265.36715698242188</v>
      </c>
      <c r="D1261" s="41">
        <v>3246230</v>
      </c>
      <c r="E1261" s="36" t="s">
        <v>653</v>
      </c>
      <c r="F1261" s="36" t="s">
        <v>115</v>
      </c>
    </row>
    <row r="1262" spans="1:6">
      <c r="A1262" s="38">
        <v>43964.15625</v>
      </c>
      <c r="B1262" s="39">
        <v>283.85000610351563</v>
      </c>
      <c r="C1262" s="39">
        <v>263.18826293945313</v>
      </c>
      <c r="D1262" s="41">
        <v>1978665</v>
      </c>
      <c r="E1262" s="36" t="s">
        <v>653</v>
      </c>
      <c r="F1262" s="36" t="s">
        <v>115</v>
      </c>
    </row>
    <row r="1263" spans="1:6">
      <c r="A1263" s="38">
        <v>43965.15625</v>
      </c>
      <c r="B1263" s="39">
        <v>269.07998657226563</v>
      </c>
      <c r="C1263" s="39">
        <v>251.44216918945313</v>
      </c>
      <c r="D1263" s="41">
        <v>2179545</v>
      </c>
      <c r="E1263" s="36" t="s">
        <v>653</v>
      </c>
      <c r="F1263" s="36" t="s">
        <v>115</v>
      </c>
    </row>
    <row r="1264" spans="1:6">
      <c r="A1264" s="38">
        <v>43966.15625</v>
      </c>
      <c r="B1264" s="39">
        <v>271.73001098632813</v>
      </c>
      <c r="C1264" s="39">
        <v>253.91853332519531</v>
      </c>
      <c r="D1264" s="41">
        <v>1808555</v>
      </c>
      <c r="E1264" s="36" t="s">
        <v>653</v>
      </c>
      <c r="F1264" s="36" t="s">
        <v>115</v>
      </c>
    </row>
    <row r="1265" spans="1:6">
      <c r="A1265" s="38">
        <v>43969.15625</v>
      </c>
      <c r="B1265" s="39">
        <v>268.8699951171875</v>
      </c>
      <c r="C1265" s="39">
        <v>251.24591064453125</v>
      </c>
      <c r="D1265" s="41">
        <v>3730500</v>
      </c>
      <c r="E1265" s="36" t="s">
        <v>653</v>
      </c>
      <c r="F1265" s="36" t="s">
        <v>115</v>
      </c>
    </row>
    <row r="1266" spans="1:6">
      <c r="A1266" s="38">
        <v>43970.15625</v>
      </c>
      <c r="B1266" s="39">
        <v>274.760009765625</v>
      </c>
      <c r="C1266" s="39">
        <v>256.74993896484375</v>
      </c>
      <c r="D1266" s="41">
        <v>3500065</v>
      </c>
      <c r="E1266" s="36" t="s">
        <v>653</v>
      </c>
      <c r="F1266" s="36" t="s">
        <v>115</v>
      </c>
    </row>
    <row r="1267" spans="1:6">
      <c r="A1267" s="38">
        <v>43971.15625</v>
      </c>
      <c r="B1267" s="39">
        <v>283.02999877929688</v>
      </c>
      <c r="C1267" s="39">
        <v>264.477783203125</v>
      </c>
      <c r="D1267" s="41">
        <v>2283500</v>
      </c>
      <c r="E1267" s="36" t="s">
        <v>653</v>
      </c>
      <c r="F1267" s="36" t="s">
        <v>115</v>
      </c>
    </row>
    <row r="1268" spans="1:6">
      <c r="A1268" s="38">
        <v>43972.15625</v>
      </c>
      <c r="B1268" s="39">
        <v>288.45001220703125</v>
      </c>
      <c r="C1268" s="39">
        <v>269.54251098632813</v>
      </c>
      <c r="D1268" s="41">
        <v>2196155</v>
      </c>
      <c r="E1268" s="36" t="s">
        <v>653</v>
      </c>
      <c r="F1268" s="36" t="s">
        <v>115</v>
      </c>
    </row>
    <row r="1269" spans="1:6">
      <c r="A1269" s="38">
        <v>43973.15625</v>
      </c>
      <c r="B1269" s="39">
        <v>301.41000366210938</v>
      </c>
      <c r="C1269" s="39">
        <v>281.65301513671875</v>
      </c>
      <c r="D1269" s="41">
        <v>12470960</v>
      </c>
      <c r="E1269" s="36" t="s">
        <v>653</v>
      </c>
      <c r="F1269" s="36" t="s">
        <v>115</v>
      </c>
    </row>
    <row r="1270" spans="1:6">
      <c r="A1270" s="38">
        <v>43977.15625</v>
      </c>
      <c r="B1270" s="39">
        <v>297.10000610351563</v>
      </c>
      <c r="C1270" s="39">
        <v>277.62551879882813</v>
      </c>
      <c r="D1270" s="41">
        <v>2992990</v>
      </c>
      <c r="E1270" s="36" t="s">
        <v>653</v>
      </c>
      <c r="F1270" s="36" t="s">
        <v>115</v>
      </c>
    </row>
    <row r="1271" spans="1:6">
      <c r="A1271" s="38">
        <v>43978.15625</v>
      </c>
      <c r="B1271" s="39">
        <v>298.76998901367188</v>
      </c>
      <c r="C1271" s="39">
        <v>279.18609619140625</v>
      </c>
      <c r="D1271" s="41">
        <v>3253550</v>
      </c>
      <c r="E1271" s="36" t="s">
        <v>653</v>
      </c>
      <c r="F1271" s="36" t="s">
        <v>115</v>
      </c>
    </row>
    <row r="1272" spans="1:6">
      <c r="A1272" s="38">
        <v>43979.15625</v>
      </c>
      <c r="B1272" s="39">
        <v>294.57998657226563</v>
      </c>
      <c r="C1272" s="39">
        <v>275.27069091796875</v>
      </c>
      <c r="D1272" s="41">
        <v>2360680</v>
      </c>
      <c r="E1272" s="36" t="s">
        <v>653</v>
      </c>
      <c r="F1272" s="36" t="s">
        <v>115</v>
      </c>
    </row>
    <row r="1273" spans="1:6">
      <c r="A1273" s="38">
        <v>43980.15625</v>
      </c>
      <c r="B1273" s="39">
        <v>290.33999633789063</v>
      </c>
      <c r="C1273" s="39">
        <v>271.30868530273438</v>
      </c>
      <c r="D1273" s="41">
        <v>2735905</v>
      </c>
      <c r="E1273" s="36" t="s">
        <v>653</v>
      </c>
      <c r="F1273" s="36" t="s">
        <v>115</v>
      </c>
    </row>
    <row r="1274" spans="1:6">
      <c r="A1274" s="38">
        <v>43983.15625</v>
      </c>
      <c r="B1274" s="39">
        <v>290.19000244140625</v>
      </c>
      <c r="C1274" s="39">
        <v>271.16848754882813</v>
      </c>
      <c r="D1274" s="41">
        <v>3134985</v>
      </c>
      <c r="E1274" s="36" t="s">
        <v>653</v>
      </c>
      <c r="F1274" s="36" t="s">
        <v>115</v>
      </c>
    </row>
    <row r="1275" spans="1:6">
      <c r="A1275" s="38">
        <v>43984.15625</v>
      </c>
      <c r="B1275" s="39">
        <v>291.51998901367188</v>
      </c>
      <c r="C1275" s="39">
        <v>272.41134643554688</v>
      </c>
      <c r="D1275" s="41">
        <v>2288515</v>
      </c>
      <c r="E1275" s="36" t="s">
        <v>653</v>
      </c>
      <c r="F1275" s="36" t="s">
        <v>115</v>
      </c>
    </row>
    <row r="1276" spans="1:6">
      <c r="A1276" s="38">
        <v>43985.15625</v>
      </c>
      <c r="B1276" s="39">
        <v>288.82998657226563</v>
      </c>
      <c r="C1276" s="39">
        <v>269.89764404296875</v>
      </c>
      <c r="D1276" s="41">
        <v>3137975</v>
      </c>
      <c r="E1276" s="36" t="s">
        <v>653</v>
      </c>
      <c r="F1276" s="36" t="s">
        <v>115</v>
      </c>
    </row>
    <row r="1277" spans="1:6">
      <c r="A1277" s="38">
        <v>43986.15625</v>
      </c>
      <c r="B1277" s="39">
        <v>289.05999755859375</v>
      </c>
      <c r="C1277" s="39">
        <v>270.1124267578125</v>
      </c>
      <c r="D1277" s="41">
        <v>1844660</v>
      </c>
      <c r="E1277" s="36" t="s">
        <v>653</v>
      </c>
      <c r="F1277" s="36" t="s">
        <v>115</v>
      </c>
    </row>
    <row r="1278" spans="1:6">
      <c r="A1278" s="38">
        <v>43987.15625</v>
      </c>
      <c r="B1278" s="39">
        <v>293.6300048828125</v>
      </c>
      <c r="C1278" s="39">
        <v>274.38299560546875</v>
      </c>
      <c r="D1278" s="41">
        <v>5769180</v>
      </c>
      <c r="E1278" s="36" t="s">
        <v>653</v>
      </c>
      <c r="F1278" s="36" t="s">
        <v>115</v>
      </c>
    </row>
    <row r="1279" spans="1:6">
      <c r="A1279" s="38">
        <v>43990.15625</v>
      </c>
      <c r="B1279" s="39">
        <v>290.07998657226563</v>
      </c>
      <c r="C1279" s="39">
        <v>271.06564331054688</v>
      </c>
      <c r="D1279" s="41">
        <v>1566795</v>
      </c>
      <c r="E1279" s="36" t="s">
        <v>653</v>
      </c>
      <c r="F1279" s="36" t="s">
        <v>115</v>
      </c>
    </row>
    <row r="1280" spans="1:6">
      <c r="A1280" s="38">
        <v>43991.15625</v>
      </c>
      <c r="B1280" s="39">
        <v>282.8599853515625</v>
      </c>
      <c r="C1280" s="39">
        <v>264.31893920898438</v>
      </c>
      <c r="D1280" s="41">
        <v>3228350</v>
      </c>
      <c r="E1280" s="36" t="s">
        <v>653</v>
      </c>
      <c r="F1280" s="36" t="s">
        <v>115</v>
      </c>
    </row>
    <row r="1281" spans="1:6">
      <c r="A1281" s="38">
        <v>43992.15625</v>
      </c>
      <c r="B1281" s="39">
        <v>280.91000366210938</v>
      </c>
      <c r="C1281" s="39">
        <v>262.49676513671875</v>
      </c>
      <c r="D1281" s="41">
        <v>1879100</v>
      </c>
      <c r="E1281" s="36" t="s">
        <v>653</v>
      </c>
      <c r="F1281" s="36" t="s">
        <v>115</v>
      </c>
    </row>
    <row r="1282" spans="1:6">
      <c r="A1282" s="38">
        <v>43993.15625</v>
      </c>
      <c r="B1282" s="39">
        <v>273.260009765625</v>
      </c>
      <c r="C1282" s="39">
        <v>255.34825134277344</v>
      </c>
      <c r="D1282" s="41">
        <v>1503720</v>
      </c>
      <c r="E1282" s="36" t="s">
        <v>653</v>
      </c>
      <c r="F1282" s="36" t="s">
        <v>115</v>
      </c>
    </row>
    <row r="1283" spans="1:6">
      <c r="A1283" s="38">
        <v>43994.15625</v>
      </c>
      <c r="B1283" s="39">
        <v>268.6300048828125</v>
      </c>
      <c r="C1283" s="39">
        <v>251.021728515625</v>
      </c>
      <c r="D1283" s="41">
        <v>1512490</v>
      </c>
      <c r="E1283" s="36" t="s">
        <v>653</v>
      </c>
      <c r="F1283" s="36" t="s">
        <v>115</v>
      </c>
    </row>
    <row r="1284" spans="1:6">
      <c r="A1284" s="38">
        <v>43997.15625</v>
      </c>
      <c r="B1284" s="39">
        <v>266.58999633789063</v>
      </c>
      <c r="C1284" s="39">
        <v>249.11541748046875</v>
      </c>
      <c r="D1284" s="41">
        <v>1602615</v>
      </c>
      <c r="E1284" s="36" t="s">
        <v>653</v>
      </c>
      <c r="F1284" s="36" t="s">
        <v>115</v>
      </c>
    </row>
    <row r="1285" spans="1:6">
      <c r="A1285" s="38">
        <v>43998.15625</v>
      </c>
      <c r="B1285" s="39">
        <v>269.44000244140625</v>
      </c>
      <c r="C1285" s="39">
        <v>251.77864074707031</v>
      </c>
      <c r="D1285" s="41">
        <v>1273835</v>
      </c>
      <c r="E1285" s="36" t="s">
        <v>653</v>
      </c>
      <c r="F1285" s="36" t="s">
        <v>115</v>
      </c>
    </row>
    <row r="1286" spans="1:6">
      <c r="A1286" s="38">
        <v>43999.15625</v>
      </c>
      <c r="B1286" s="39">
        <v>267.6099853515625</v>
      </c>
      <c r="C1286" s="39">
        <v>250.06854248046875</v>
      </c>
      <c r="D1286" s="41">
        <v>1223200</v>
      </c>
      <c r="E1286" s="36" t="s">
        <v>653</v>
      </c>
      <c r="F1286" s="36" t="s">
        <v>115</v>
      </c>
    </row>
    <row r="1287" spans="1:6">
      <c r="A1287" s="38">
        <v>44000.15625</v>
      </c>
      <c r="B1287" s="39">
        <v>274.010009765625</v>
      </c>
      <c r="C1287" s="39">
        <v>256.04910278320313</v>
      </c>
      <c r="D1287" s="41">
        <v>2545285</v>
      </c>
      <c r="E1287" s="36" t="s">
        <v>653</v>
      </c>
      <c r="F1287" s="36" t="s">
        <v>115</v>
      </c>
    </row>
    <row r="1288" spans="1:6">
      <c r="A1288" s="38">
        <v>44001.15625</v>
      </c>
      <c r="B1288" s="39">
        <v>266.14999389648438</v>
      </c>
      <c r="C1288" s="39">
        <v>248.7042236328125</v>
      </c>
      <c r="D1288" s="41">
        <v>3779790</v>
      </c>
      <c r="E1288" s="36" t="s">
        <v>653</v>
      </c>
      <c r="F1288" s="36" t="s">
        <v>115</v>
      </c>
    </row>
    <row r="1289" spans="1:6">
      <c r="A1289" s="38">
        <v>44004.15625</v>
      </c>
      <c r="B1289" s="39">
        <v>267.30999755859375</v>
      </c>
      <c r="C1289" s="39">
        <v>249.7882080078125</v>
      </c>
      <c r="D1289" s="41">
        <v>1767250</v>
      </c>
      <c r="E1289" s="36" t="s">
        <v>653</v>
      </c>
      <c r="F1289" s="36" t="s">
        <v>115</v>
      </c>
    </row>
    <row r="1290" spans="1:6">
      <c r="A1290" s="38">
        <v>44005.15625</v>
      </c>
      <c r="B1290" s="39">
        <v>273.8599853515625</v>
      </c>
      <c r="C1290" s="39">
        <v>255.90887451171875</v>
      </c>
      <c r="D1290" s="41">
        <v>2242645</v>
      </c>
      <c r="E1290" s="36" t="s">
        <v>653</v>
      </c>
      <c r="F1290" s="36" t="s">
        <v>115</v>
      </c>
    </row>
    <row r="1291" spans="1:6">
      <c r="A1291" s="38">
        <v>44006.15625</v>
      </c>
      <c r="B1291" s="39">
        <v>277.57998657226563</v>
      </c>
      <c r="C1291" s="39">
        <v>259.38504028320313</v>
      </c>
      <c r="D1291" s="41">
        <v>4510940</v>
      </c>
      <c r="E1291" s="36" t="s">
        <v>653</v>
      </c>
      <c r="F1291" s="36" t="s">
        <v>115</v>
      </c>
    </row>
    <row r="1292" spans="1:6">
      <c r="A1292" s="38">
        <v>44007.15625</v>
      </c>
      <c r="B1292" s="39">
        <v>275.70999145507813</v>
      </c>
      <c r="C1292" s="39">
        <v>257.63763427734375</v>
      </c>
      <c r="D1292" s="41">
        <v>3415645</v>
      </c>
      <c r="E1292" s="36" t="s">
        <v>653</v>
      </c>
      <c r="F1292" s="36" t="s">
        <v>115</v>
      </c>
    </row>
    <row r="1293" spans="1:6">
      <c r="A1293" s="38">
        <v>44008.15625</v>
      </c>
      <c r="B1293" s="39">
        <v>292.33999633789063</v>
      </c>
      <c r="C1293" s="39">
        <v>273.17755126953125</v>
      </c>
      <c r="D1293" s="41">
        <v>11570720</v>
      </c>
      <c r="E1293" s="36" t="s">
        <v>653</v>
      </c>
      <c r="F1293" s="36" t="s">
        <v>115</v>
      </c>
    </row>
    <row r="1294" spans="1:6">
      <c r="A1294" s="38">
        <v>44011.15625</v>
      </c>
      <c r="B1294" s="39">
        <v>283.54000854492188</v>
      </c>
      <c r="C1294" s="39">
        <v>264.95440673828125</v>
      </c>
      <c r="D1294" s="41">
        <v>3124935</v>
      </c>
      <c r="E1294" s="36" t="s">
        <v>653</v>
      </c>
      <c r="F1294" s="36" t="s">
        <v>115</v>
      </c>
    </row>
    <row r="1295" spans="1:6">
      <c r="A1295" s="38">
        <v>44012.15625</v>
      </c>
      <c r="B1295" s="39">
        <v>281.83999633789063</v>
      </c>
      <c r="C1295" s="39">
        <v>263.36581420898438</v>
      </c>
      <c r="D1295" s="41">
        <v>1458145</v>
      </c>
      <c r="E1295" s="36" t="s">
        <v>653</v>
      </c>
      <c r="F1295" s="36" t="s">
        <v>115</v>
      </c>
    </row>
    <row r="1296" spans="1:6">
      <c r="A1296" s="38">
        <v>44013.15625</v>
      </c>
      <c r="B1296" s="39">
        <v>276.989990234375</v>
      </c>
      <c r="C1296" s="39">
        <v>258.833740234375</v>
      </c>
      <c r="D1296" s="41">
        <v>1247525</v>
      </c>
      <c r="E1296" s="36" t="s">
        <v>653</v>
      </c>
      <c r="F1296" s="36" t="s">
        <v>115</v>
      </c>
    </row>
    <row r="1297" spans="1:6">
      <c r="A1297" s="38">
        <v>44014.15625</v>
      </c>
      <c r="B1297" s="39">
        <v>282.58999633789063</v>
      </c>
      <c r="C1297" s="39">
        <v>264.06668090820313</v>
      </c>
      <c r="D1297" s="41">
        <v>2776495</v>
      </c>
      <c r="E1297" s="36" t="s">
        <v>653</v>
      </c>
      <c r="F1297" s="36" t="s">
        <v>115</v>
      </c>
    </row>
    <row r="1298" spans="1:6">
      <c r="A1298" s="38">
        <v>44015.15625</v>
      </c>
      <c r="B1298" s="39">
        <v>284.07000732421875</v>
      </c>
      <c r="C1298" s="39">
        <v>265.44964599609375</v>
      </c>
      <c r="D1298" s="41">
        <v>1595680</v>
      </c>
      <c r="E1298" s="36" t="s">
        <v>653</v>
      </c>
      <c r="F1298" s="36" t="s">
        <v>115</v>
      </c>
    </row>
    <row r="1299" spans="1:6">
      <c r="A1299" s="38">
        <v>44018.15625</v>
      </c>
      <c r="B1299" s="39">
        <v>287.25</v>
      </c>
      <c r="C1299" s="39">
        <v>268.42120361328125</v>
      </c>
      <c r="D1299" s="41">
        <v>1644685</v>
      </c>
      <c r="E1299" s="36" t="s">
        <v>653</v>
      </c>
      <c r="F1299" s="36" t="s">
        <v>115</v>
      </c>
    </row>
    <row r="1300" spans="1:6">
      <c r="A1300" s="38">
        <v>44019.15625</v>
      </c>
      <c r="B1300" s="39">
        <v>302.54998779296875</v>
      </c>
      <c r="C1300" s="39">
        <v>282.71835327148438</v>
      </c>
      <c r="D1300" s="41">
        <v>13272105</v>
      </c>
      <c r="E1300" s="36" t="s">
        <v>653</v>
      </c>
      <c r="F1300" s="36" t="s">
        <v>115</v>
      </c>
    </row>
    <row r="1301" spans="1:6">
      <c r="A1301" s="38">
        <v>44020.15625</v>
      </c>
      <c r="B1301" s="39">
        <v>307.760009765625</v>
      </c>
      <c r="C1301" s="39">
        <v>287.5867919921875</v>
      </c>
      <c r="D1301" s="41">
        <v>3745865</v>
      </c>
      <c r="E1301" s="36" t="s">
        <v>653</v>
      </c>
      <c r="F1301" s="36" t="s">
        <v>115</v>
      </c>
    </row>
    <row r="1302" spans="1:6">
      <c r="A1302" s="38">
        <v>44021.15625</v>
      </c>
      <c r="B1302" s="39">
        <v>313.5</v>
      </c>
      <c r="C1302" s="39">
        <v>292.9505615234375</v>
      </c>
      <c r="D1302" s="41">
        <v>6643180</v>
      </c>
      <c r="E1302" s="36" t="s">
        <v>653</v>
      </c>
      <c r="F1302" s="36" t="s">
        <v>115</v>
      </c>
    </row>
    <row r="1303" spans="1:6">
      <c r="A1303" s="38">
        <v>44022.15625</v>
      </c>
      <c r="B1303" s="39">
        <v>318.57998657226563</v>
      </c>
      <c r="C1303" s="39">
        <v>297.69760131835938</v>
      </c>
      <c r="D1303" s="41">
        <v>2665835</v>
      </c>
      <c r="E1303" s="36" t="s">
        <v>653</v>
      </c>
      <c r="F1303" s="36" t="s">
        <v>115</v>
      </c>
    </row>
    <row r="1304" spans="1:6">
      <c r="A1304" s="38">
        <v>44025.15625</v>
      </c>
      <c r="B1304" s="39">
        <v>317.39999389648438</v>
      </c>
      <c r="C1304" s="39">
        <v>296.5948486328125</v>
      </c>
      <c r="D1304" s="41">
        <v>3191950</v>
      </c>
      <c r="E1304" s="36" t="s">
        <v>653</v>
      </c>
      <c r="F1304" s="36" t="s">
        <v>115</v>
      </c>
    </row>
    <row r="1305" spans="1:6">
      <c r="A1305" s="38">
        <v>44026.15625</v>
      </c>
      <c r="B1305" s="39">
        <v>308.3900146484375</v>
      </c>
      <c r="C1305" s="39">
        <v>288.17559814453125</v>
      </c>
      <c r="D1305" s="41">
        <v>2213930</v>
      </c>
      <c r="E1305" s="36" t="s">
        <v>653</v>
      </c>
      <c r="F1305" s="36" t="s">
        <v>115</v>
      </c>
    </row>
    <row r="1306" spans="1:6">
      <c r="A1306" s="38">
        <v>44027.15625</v>
      </c>
      <c r="B1306" s="39">
        <v>337.64999389648438</v>
      </c>
      <c r="C1306" s="39">
        <v>315.517578125</v>
      </c>
      <c r="D1306" s="41">
        <v>10438665</v>
      </c>
      <c r="E1306" s="36" t="s">
        <v>653</v>
      </c>
      <c r="F1306" s="36" t="s">
        <v>115</v>
      </c>
    </row>
    <row r="1307" spans="1:6">
      <c r="A1307" s="38">
        <v>44028.15625</v>
      </c>
      <c r="B1307" s="39">
        <v>330.54998779296875</v>
      </c>
      <c r="C1307" s="39">
        <v>308.88290405273438</v>
      </c>
      <c r="D1307" s="41">
        <v>8190970</v>
      </c>
      <c r="E1307" s="36" t="s">
        <v>653</v>
      </c>
      <c r="F1307" s="36" t="s">
        <v>115</v>
      </c>
    </row>
    <row r="1308" spans="1:6">
      <c r="A1308" s="38">
        <v>44029.15625</v>
      </c>
      <c r="B1308" s="39">
        <v>335.739990234375</v>
      </c>
      <c r="C1308" s="39">
        <v>313.73263549804688</v>
      </c>
      <c r="D1308" s="41">
        <v>3056320</v>
      </c>
      <c r="E1308" s="36" t="s">
        <v>653</v>
      </c>
      <c r="F1308" s="36" t="s">
        <v>115</v>
      </c>
    </row>
    <row r="1309" spans="1:6">
      <c r="A1309" s="38">
        <v>44032.15625</v>
      </c>
      <c r="B1309" s="39">
        <v>338.45999145507813</v>
      </c>
      <c r="C1309" s="39">
        <v>316.27450561523438</v>
      </c>
      <c r="D1309" s="41">
        <v>1426825</v>
      </c>
      <c r="E1309" s="36" t="s">
        <v>653</v>
      </c>
      <c r="F1309" s="36" t="s">
        <v>115</v>
      </c>
    </row>
    <row r="1310" spans="1:6">
      <c r="A1310" s="38">
        <v>44033.15625</v>
      </c>
      <c r="B1310" s="39">
        <v>333.64999389648438</v>
      </c>
      <c r="C1310" s="39">
        <v>311.7796630859375</v>
      </c>
      <c r="D1310" s="41">
        <v>1691725</v>
      </c>
      <c r="E1310" s="36" t="s">
        <v>653</v>
      </c>
      <c r="F1310" s="36" t="s">
        <v>115</v>
      </c>
    </row>
    <row r="1311" spans="1:6">
      <c r="A1311" s="38">
        <v>44034.15625</v>
      </c>
      <c r="B1311" s="39">
        <v>329.45999145507813</v>
      </c>
      <c r="C1311" s="39">
        <v>307.86434936523438</v>
      </c>
      <c r="D1311" s="41">
        <v>1128030</v>
      </c>
      <c r="E1311" s="36" t="s">
        <v>653</v>
      </c>
      <c r="F1311" s="36" t="s">
        <v>115</v>
      </c>
    </row>
    <row r="1312" spans="1:6">
      <c r="A1312" s="38">
        <v>44035.15625</v>
      </c>
      <c r="B1312" s="39">
        <v>327.07000732421875</v>
      </c>
      <c r="C1312" s="39">
        <v>305.63107299804688</v>
      </c>
      <c r="D1312" s="41">
        <v>1318445</v>
      </c>
      <c r="E1312" s="36" t="s">
        <v>653</v>
      </c>
      <c r="F1312" s="36" t="s">
        <v>115</v>
      </c>
    </row>
    <row r="1313" spans="1:6">
      <c r="A1313" s="38">
        <v>44036.15625</v>
      </c>
      <c r="B1313" s="39">
        <v>340.01998901367188</v>
      </c>
      <c r="C1313" s="39">
        <v>317.73214721679688</v>
      </c>
      <c r="D1313" s="41">
        <v>5956620</v>
      </c>
      <c r="E1313" s="36" t="s">
        <v>653</v>
      </c>
      <c r="F1313" s="36" t="s">
        <v>115</v>
      </c>
    </row>
    <row r="1314" spans="1:6">
      <c r="A1314" s="38">
        <v>44039.15625</v>
      </c>
      <c r="B1314" s="39">
        <v>353.91000366210938</v>
      </c>
      <c r="C1314" s="39">
        <v>330.71176147460938</v>
      </c>
      <c r="D1314" s="41">
        <v>9171300</v>
      </c>
      <c r="E1314" s="36" t="s">
        <v>653</v>
      </c>
      <c r="F1314" s="36" t="s">
        <v>115</v>
      </c>
    </row>
    <row r="1315" spans="1:6">
      <c r="A1315" s="38">
        <v>44040.15625</v>
      </c>
      <c r="B1315" s="39">
        <v>353.48001098632813</v>
      </c>
      <c r="C1315" s="39">
        <v>330.3099365234375</v>
      </c>
      <c r="D1315" s="41">
        <v>5385390</v>
      </c>
      <c r="E1315" s="36" t="s">
        <v>653</v>
      </c>
      <c r="F1315" s="36" t="s">
        <v>115</v>
      </c>
    </row>
    <row r="1316" spans="1:6">
      <c r="A1316" s="38">
        <v>44041.15625</v>
      </c>
      <c r="B1316" s="39">
        <v>372.57000732421875</v>
      </c>
      <c r="C1316" s="39">
        <v>348.1485595703125</v>
      </c>
      <c r="D1316" s="41">
        <v>14898510</v>
      </c>
      <c r="E1316" s="36" t="s">
        <v>653</v>
      </c>
      <c r="F1316" s="36" t="s">
        <v>115</v>
      </c>
    </row>
    <row r="1317" spans="1:6">
      <c r="A1317" s="38">
        <v>44042.15625</v>
      </c>
      <c r="B1317" s="39">
        <v>387.30999755859375</v>
      </c>
      <c r="C1317" s="39">
        <v>361.92239379882813</v>
      </c>
      <c r="D1317" s="41">
        <v>6832005</v>
      </c>
      <c r="E1317" s="36" t="s">
        <v>653</v>
      </c>
      <c r="F1317" s="36" t="s">
        <v>115</v>
      </c>
    </row>
    <row r="1318" spans="1:6">
      <c r="A1318" s="38">
        <v>44043.15625</v>
      </c>
      <c r="B1318" s="39">
        <v>385.239990234375</v>
      </c>
      <c r="C1318" s="39">
        <v>359.98809814453125</v>
      </c>
      <c r="D1318" s="41">
        <v>6104525</v>
      </c>
      <c r="E1318" s="36" t="s">
        <v>653</v>
      </c>
      <c r="F1318" s="36" t="s">
        <v>115</v>
      </c>
    </row>
    <row r="1319" spans="1:6">
      <c r="A1319" s="38">
        <v>44046.15625</v>
      </c>
      <c r="B1319" s="39">
        <v>385.73001098632813</v>
      </c>
      <c r="C1319" s="39">
        <v>360.44601440429688</v>
      </c>
      <c r="D1319" s="41">
        <v>2276660</v>
      </c>
      <c r="E1319" s="36" t="s">
        <v>653</v>
      </c>
      <c r="F1319" s="36" t="s">
        <v>115</v>
      </c>
    </row>
    <row r="1320" spans="1:6">
      <c r="A1320" s="38">
        <v>44047.15625</v>
      </c>
      <c r="B1320" s="39">
        <v>388.8900146484375</v>
      </c>
      <c r="C1320" s="39">
        <v>363.3988037109375</v>
      </c>
      <c r="D1320" s="41">
        <v>1980130</v>
      </c>
      <c r="E1320" s="36" t="s">
        <v>653</v>
      </c>
      <c r="F1320" s="36" t="s">
        <v>115</v>
      </c>
    </row>
    <row r="1321" spans="1:6">
      <c r="A1321" s="38">
        <v>44048.15625</v>
      </c>
      <c r="B1321" s="39">
        <v>383.72000122070313</v>
      </c>
      <c r="C1321" s="39">
        <v>358.56768798828125</v>
      </c>
      <c r="D1321" s="41">
        <v>2539370</v>
      </c>
      <c r="E1321" s="36" t="s">
        <v>653</v>
      </c>
      <c r="F1321" s="36" t="s">
        <v>115</v>
      </c>
    </row>
    <row r="1322" spans="1:6">
      <c r="A1322" s="38">
        <v>44049.15625</v>
      </c>
      <c r="B1322" s="39">
        <v>404.739990234375</v>
      </c>
      <c r="C1322" s="39">
        <v>378.20986938476563</v>
      </c>
      <c r="D1322" s="41">
        <v>10528635</v>
      </c>
      <c r="E1322" s="36" t="s">
        <v>653</v>
      </c>
      <c r="F1322" s="36" t="s">
        <v>115</v>
      </c>
    </row>
    <row r="1323" spans="1:6">
      <c r="A1323" s="38">
        <v>44050.15625</v>
      </c>
      <c r="B1323" s="39">
        <v>397.76998901367188</v>
      </c>
      <c r="C1323" s="39">
        <v>371.69680786132813</v>
      </c>
      <c r="D1323" s="41">
        <v>4024090</v>
      </c>
      <c r="E1323" s="36" t="s">
        <v>653</v>
      </c>
      <c r="F1323" s="36" t="s">
        <v>115</v>
      </c>
    </row>
    <row r="1324" spans="1:6">
      <c r="A1324" s="38">
        <v>44053.15625</v>
      </c>
      <c r="B1324" s="39">
        <v>397.82998657226563</v>
      </c>
      <c r="C1324" s="39">
        <v>371.75283813476563</v>
      </c>
      <c r="D1324" s="41">
        <v>1391275</v>
      </c>
      <c r="E1324" s="36" t="s">
        <v>653</v>
      </c>
      <c r="F1324" s="36" t="s">
        <v>115</v>
      </c>
    </row>
    <row r="1325" spans="1:6">
      <c r="A1325" s="38">
        <v>44054.15625</v>
      </c>
      <c r="B1325" s="39">
        <v>395.55999755859375</v>
      </c>
      <c r="C1325" s="39">
        <v>369.63162231445313</v>
      </c>
      <c r="D1325" s="41">
        <v>6392575</v>
      </c>
      <c r="E1325" s="36" t="s">
        <v>653</v>
      </c>
      <c r="F1325" s="36" t="s">
        <v>115</v>
      </c>
    </row>
    <row r="1326" spans="1:6">
      <c r="A1326" s="38">
        <v>44055.15625</v>
      </c>
      <c r="B1326" s="39">
        <v>400.3900146484375</v>
      </c>
      <c r="C1326" s="39">
        <v>374.14498901367188</v>
      </c>
      <c r="D1326" s="41">
        <v>3009615</v>
      </c>
      <c r="E1326" s="36" t="s">
        <v>653</v>
      </c>
      <c r="F1326" s="36" t="s">
        <v>115</v>
      </c>
    </row>
    <row r="1327" spans="1:6">
      <c r="A1327" s="38">
        <v>44056.15625</v>
      </c>
      <c r="B1327" s="39">
        <v>397.67001342773438</v>
      </c>
      <c r="C1327" s="39">
        <v>371.60333251953125</v>
      </c>
      <c r="D1327" s="41">
        <v>2392675</v>
      </c>
      <c r="E1327" s="36" t="s">
        <v>653</v>
      </c>
      <c r="F1327" s="36" t="s">
        <v>115</v>
      </c>
    </row>
    <row r="1328" spans="1:6">
      <c r="A1328" s="38">
        <v>44057.15625</v>
      </c>
      <c r="B1328" s="39">
        <v>395.22000122070313</v>
      </c>
      <c r="C1328" s="39">
        <v>369.31393432617188</v>
      </c>
      <c r="D1328" s="41">
        <v>1692455</v>
      </c>
      <c r="E1328" s="36" t="s">
        <v>653</v>
      </c>
      <c r="F1328" s="36" t="s">
        <v>115</v>
      </c>
    </row>
    <row r="1329" spans="1:6">
      <c r="A1329" s="38">
        <v>44060.15625</v>
      </c>
      <c r="B1329" s="39">
        <v>399.08999633789063</v>
      </c>
      <c r="C1329" s="39">
        <v>372.93020629882813</v>
      </c>
      <c r="D1329" s="41">
        <v>3992130</v>
      </c>
      <c r="E1329" s="36" t="s">
        <v>653</v>
      </c>
      <c r="F1329" s="36" t="s">
        <v>115</v>
      </c>
    </row>
    <row r="1330" spans="1:6">
      <c r="A1330" s="38">
        <v>44061.15625</v>
      </c>
      <c r="B1330" s="39">
        <v>402.29998779296875</v>
      </c>
      <c r="C1330" s="39">
        <v>375.92990112304688</v>
      </c>
      <c r="D1330" s="41">
        <v>1623720</v>
      </c>
      <c r="E1330" s="36" t="s">
        <v>653</v>
      </c>
      <c r="F1330" s="36" t="s">
        <v>115</v>
      </c>
    </row>
    <row r="1331" spans="1:6">
      <c r="A1331" s="38">
        <v>44062.15625</v>
      </c>
      <c r="B1331" s="39">
        <v>403.489990234375</v>
      </c>
      <c r="C1331" s="39">
        <v>377.04183959960938</v>
      </c>
      <c r="D1331" s="41">
        <v>2019690</v>
      </c>
      <c r="E1331" s="36" t="s">
        <v>653</v>
      </c>
      <c r="F1331" s="36" t="s">
        <v>115</v>
      </c>
    </row>
    <row r="1332" spans="1:6">
      <c r="A1332" s="38">
        <v>44063.15625</v>
      </c>
      <c r="B1332" s="39">
        <v>400.5</v>
      </c>
      <c r="C1332" s="39">
        <v>374.24777221679688</v>
      </c>
      <c r="D1332" s="41">
        <v>511515</v>
      </c>
      <c r="E1332" s="36" t="s">
        <v>653</v>
      </c>
      <c r="F1332" s="36" t="s">
        <v>115</v>
      </c>
    </row>
    <row r="1333" spans="1:6">
      <c r="A1333" s="38">
        <v>44064.15625</v>
      </c>
      <c r="B1333" s="39">
        <v>396.92001342773438</v>
      </c>
      <c r="C1333" s="39">
        <v>370.90255737304688</v>
      </c>
      <c r="D1333" s="41">
        <v>632990</v>
      </c>
      <c r="E1333" s="36" t="s">
        <v>653</v>
      </c>
      <c r="F1333" s="36" t="s">
        <v>115</v>
      </c>
    </row>
    <row r="1334" spans="1:6">
      <c r="A1334" s="38">
        <v>44067.15625</v>
      </c>
      <c r="B1334" s="39">
        <v>391.08999633789063</v>
      </c>
      <c r="C1334" s="39">
        <v>365.45458984375</v>
      </c>
      <c r="D1334" s="41">
        <v>702690</v>
      </c>
      <c r="E1334" s="36" t="s">
        <v>653</v>
      </c>
      <c r="F1334" s="36" t="s">
        <v>115</v>
      </c>
    </row>
    <row r="1335" spans="1:6">
      <c r="A1335" s="38">
        <v>44068.15625</v>
      </c>
      <c r="B1335" s="39">
        <v>388.70999145507813</v>
      </c>
      <c r="C1335" s="39">
        <v>363.23062133789063</v>
      </c>
      <c r="D1335" s="41">
        <v>567460</v>
      </c>
      <c r="E1335" s="36" t="s">
        <v>653</v>
      </c>
      <c r="F1335" s="36" t="s">
        <v>115</v>
      </c>
    </row>
    <row r="1336" spans="1:6">
      <c r="A1336" s="38">
        <v>44069.15625</v>
      </c>
      <c r="B1336" s="39">
        <v>390.01998901367188</v>
      </c>
      <c r="C1336" s="39">
        <v>364.45474243164063</v>
      </c>
      <c r="D1336" s="41">
        <v>512565</v>
      </c>
      <c r="E1336" s="36" t="s">
        <v>653</v>
      </c>
      <c r="F1336" s="36" t="s">
        <v>115</v>
      </c>
    </row>
    <row r="1337" spans="1:6">
      <c r="A1337" s="38">
        <v>44070.15625</v>
      </c>
      <c r="B1337" s="39">
        <v>388.02999877929688</v>
      </c>
      <c r="C1337" s="39">
        <v>362.59524536132813</v>
      </c>
      <c r="D1337" s="41">
        <v>749420</v>
      </c>
      <c r="E1337" s="36" t="s">
        <v>653</v>
      </c>
      <c r="F1337" s="36" t="s">
        <v>115</v>
      </c>
    </row>
    <row r="1338" spans="1:6">
      <c r="A1338" s="38">
        <v>44071.15625</v>
      </c>
      <c r="B1338" s="39">
        <v>400.29000854492188</v>
      </c>
      <c r="C1338" s="39">
        <v>374.05166625976563</v>
      </c>
      <c r="D1338" s="41">
        <v>780740</v>
      </c>
      <c r="E1338" s="36" t="s">
        <v>653</v>
      </c>
      <c r="F1338" s="36" t="s">
        <v>115</v>
      </c>
    </row>
    <row r="1339" spans="1:6">
      <c r="A1339" s="38">
        <v>44074.15625</v>
      </c>
      <c r="B1339" s="39">
        <v>384.79998779296875</v>
      </c>
      <c r="C1339" s="39">
        <v>359.57687377929688</v>
      </c>
      <c r="D1339" s="41">
        <v>953320</v>
      </c>
      <c r="E1339" s="36" t="s">
        <v>653</v>
      </c>
      <c r="F1339" s="36" t="s">
        <v>115</v>
      </c>
    </row>
    <row r="1340" spans="1:6">
      <c r="A1340" s="38">
        <v>44075.15625</v>
      </c>
      <c r="B1340" s="39">
        <v>378.20001220703125</v>
      </c>
      <c r="C1340" s="39">
        <v>353.4095458984375</v>
      </c>
      <c r="D1340" s="41">
        <v>566885</v>
      </c>
      <c r="E1340" s="36" t="s">
        <v>653</v>
      </c>
      <c r="F1340" s="36" t="s">
        <v>115</v>
      </c>
    </row>
    <row r="1341" spans="1:6">
      <c r="A1341" s="38">
        <v>44076.15625</v>
      </c>
      <c r="B1341" s="39">
        <v>389.19000244140625</v>
      </c>
      <c r="C1341" s="39">
        <v>363.67910766601563</v>
      </c>
      <c r="D1341" s="41">
        <v>415810</v>
      </c>
      <c r="E1341" s="36" t="s">
        <v>653</v>
      </c>
      <c r="F1341" s="36" t="s">
        <v>115</v>
      </c>
    </row>
    <row r="1342" spans="1:6">
      <c r="A1342" s="38">
        <v>44077.15625</v>
      </c>
      <c r="B1342" s="39">
        <v>392.08999633789063</v>
      </c>
      <c r="C1342" s="39">
        <v>366.38906860351563</v>
      </c>
      <c r="D1342" s="41">
        <v>766285</v>
      </c>
      <c r="E1342" s="36" t="s">
        <v>653</v>
      </c>
      <c r="F1342" s="36" t="s">
        <v>115</v>
      </c>
    </row>
    <row r="1343" spans="1:6">
      <c r="A1343" s="38">
        <v>44078.15625</v>
      </c>
      <c r="B1343" s="39">
        <v>383.82000732421875</v>
      </c>
      <c r="C1343" s="39">
        <v>358.66119384765625</v>
      </c>
      <c r="D1343" s="41">
        <v>419885</v>
      </c>
      <c r="E1343" s="36" t="s">
        <v>653</v>
      </c>
      <c r="F1343" s="36" t="s">
        <v>115</v>
      </c>
    </row>
    <row r="1344" spans="1:6">
      <c r="A1344" s="38">
        <v>44081.15625</v>
      </c>
      <c r="B1344" s="39">
        <v>384.5</v>
      </c>
      <c r="C1344" s="39">
        <v>359.296630859375</v>
      </c>
      <c r="D1344" s="41">
        <v>398190</v>
      </c>
      <c r="E1344" s="36" t="s">
        <v>653</v>
      </c>
      <c r="F1344" s="36" t="s">
        <v>115</v>
      </c>
    </row>
    <row r="1345" spans="1:6">
      <c r="A1345" s="38">
        <v>44082.15625</v>
      </c>
      <c r="B1345" s="39">
        <v>388.82998657226563</v>
      </c>
      <c r="C1345" s="39">
        <v>363.3427734375</v>
      </c>
      <c r="D1345" s="41">
        <v>1126985</v>
      </c>
      <c r="E1345" s="36" t="s">
        <v>653</v>
      </c>
      <c r="F1345" s="36" t="s">
        <v>115</v>
      </c>
    </row>
    <row r="1346" spans="1:6">
      <c r="A1346" s="38">
        <v>44083.15625</v>
      </c>
      <c r="B1346" s="39">
        <v>381.95001220703125</v>
      </c>
      <c r="C1346" s="39">
        <v>356.91375732421875</v>
      </c>
      <c r="D1346" s="41">
        <v>473450</v>
      </c>
      <c r="E1346" s="36" t="s">
        <v>653</v>
      </c>
      <c r="F1346" s="36" t="s">
        <v>115</v>
      </c>
    </row>
    <row r="1347" spans="1:6">
      <c r="A1347" s="38">
        <v>44084.15625</v>
      </c>
      <c r="B1347" s="39">
        <v>382.35000610351563</v>
      </c>
      <c r="C1347" s="39">
        <v>357.28750610351563</v>
      </c>
      <c r="D1347" s="41">
        <v>430450</v>
      </c>
      <c r="E1347" s="36" t="s">
        <v>653</v>
      </c>
      <c r="F1347" s="36" t="s">
        <v>115</v>
      </c>
    </row>
    <row r="1348" spans="1:6">
      <c r="A1348" s="38">
        <v>44085.15625</v>
      </c>
      <c r="B1348" s="39">
        <v>418.1199951171875</v>
      </c>
      <c r="C1348" s="39">
        <v>390.71286010742188</v>
      </c>
      <c r="D1348" s="41">
        <v>8864450</v>
      </c>
      <c r="E1348" s="36" t="s">
        <v>653</v>
      </c>
      <c r="F1348" s="36" t="s">
        <v>115</v>
      </c>
    </row>
    <row r="1349" spans="1:6">
      <c r="A1349" s="38">
        <v>44088.15625</v>
      </c>
      <c r="B1349" s="39">
        <v>430.94000244140625</v>
      </c>
      <c r="C1349" s="39">
        <v>402.69259643554688</v>
      </c>
      <c r="D1349" s="41">
        <v>5455910</v>
      </c>
      <c r="E1349" s="36" t="s">
        <v>653</v>
      </c>
      <c r="F1349" s="36" t="s">
        <v>115</v>
      </c>
    </row>
    <row r="1350" spans="1:6">
      <c r="A1350" s="38">
        <v>44089.15625</v>
      </c>
      <c r="B1350" s="39">
        <v>428.97000122070313</v>
      </c>
      <c r="C1350" s="39">
        <v>400.85165405273438</v>
      </c>
      <c r="D1350" s="41">
        <v>1771505</v>
      </c>
      <c r="E1350" s="36" t="s">
        <v>653</v>
      </c>
      <c r="F1350" s="36" t="s">
        <v>115</v>
      </c>
    </row>
    <row r="1351" spans="1:6">
      <c r="A1351" s="38">
        <v>44090.15625</v>
      </c>
      <c r="B1351" s="39">
        <v>436.30999755859375</v>
      </c>
      <c r="C1351" s="39">
        <v>407.71054077148438</v>
      </c>
      <c r="D1351" s="41">
        <v>1272895</v>
      </c>
      <c r="E1351" s="36" t="s">
        <v>653</v>
      </c>
      <c r="F1351" s="36" t="s">
        <v>115</v>
      </c>
    </row>
    <row r="1352" spans="1:6">
      <c r="A1352" s="38">
        <v>44091.15625</v>
      </c>
      <c r="B1352" s="39">
        <v>451.54000854492188</v>
      </c>
      <c r="C1352" s="39">
        <v>421.9422607421875</v>
      </c>
      <c r="D1352" s="41">
        <v>3455330</v>
      </c>
      <c r="E1352" s="36" t="s">
        <v>653</v>
      </c>
      <c r="F1352" s="36" t="s">
        <v>115</v>
      </c>
    </row>
    <row r="1353" spans="1:6">
      <c r="A1353" s="38">
        <v>44092.15625</v>
      </c>
      <c r="B1353" s="39">
        <v>438.739990234375</v>
      </c>
      <c r="C1353" s="39">
        <v>409.981201171875</v>
      </c>
      <c r="D1353" s="41">
        <v>1468915</v>
      </c>
      <c r="E1353" s="36" t="s">
        <v>653</v>
      </c>
      <c r="F1353" s="36" t="s">
        <v>115</v>
      </c>
    </row>
    <row r="1354" spans="1:6">
      <c r="A1354" s="38">
        <v>44095.15625</v>
      </c>
      <c r="B1354" s="39">
        <v>420.54998779296875</v>
      </c>
      <c r="C1354" s="39">
        <v>392.98355102539063</v>
      </c>
      <c r="D1354" s="41">
        <v>3716985</v>
      </c>
      <c r="E1354" s="36" t="s">
        <v>653</v>
      </c>
      <c r="F1354" s="36" t="s">
        <v>115</v>
      </c>
    </row>
    <row r="1355" spans="1:6">
      <c r="A1355" s="38">
        <v>44096.15625</v>
      </c>
      <c r="B1355" s="39">
        <v>432.260009765625</v>
      </c>
      <c r="C1355" s="39">
        <v>403.926025390625</v>
      </c>
      <c r="D1355" s="41">
        <v>2537965</v>
      </c>
      <c r="E1355" s="36" t="s">
        <v>653</v>
      </c>
      <c r="F1355" s="36" t="s">
        <v>115</v>
      </c>
    </row>
    <row r="1356" spans="1:6">
      <c r="A1356" s="38">
        <v>44097.15625</v>
      </c>
      <c r="B1356" s="39">
        <v>444.67999267578125</v>
      </c>
      <c r="C1356" s="39">
        <v>415.5318603515625</v>
      </c>
      <c r="D1356" s="41">
        <v>2904800</v>
      </c>
      <c r="E1356" s="36" t="s">
        <v>653</v>
      </c>
      <c r="F1356" s="36" t="s">
        <v>115</v>
      </c>
    </row>
    <row r="1357" spans="1:6">
      <c r="A1357" s="38">
        <v>44098.15625</v>
      </c>
      <c r="B1357" s="39">
        <v>422.8900146484375</v>
      </c>
      <c r="C1357" s="39">
        <v>395.17019653320313</v>
      </c>
      <c r="D1357" s="41">
        <v>1486560</v>
      </c>
      <c r="E1357" s="36" t="s">
        <v>653</v>
      </c>
      <c r="F1357" s="36" t="s">
        <v>115</v>
      </c>
    </row>
    <row r="1358" spans="1:6">
      <c r="A1358" s="38">
        <v>44099.15625</v>
      </c>
      <c r="B1358" s="39">
        <v>460.8699951171875</v>
      </c>
      <c r="C1358" s="39">
        <v>430.66061401367188</v>
      </c>
      <c r="D1358" s="41">
        <v>5850170</v>
      </c>
      <c r="E1358" s="36" t="s">
        <v>653</v>
      </c>
      <c r="F1358" s="36" t="s">
        <v>115</v>
      </c>
    </row>
    <row r="1359" spans="1:6">
      <c r="A1359" s="38">
        <v>44102.15625</v>
      </c>
      <c r="B1359" s="39">
        <v>476.79998779296875</v>
      </c>
      <c r="C1359" s="39">
        <v>445.54644775390625</v>
      </c>
      <c r="D1359" s="41">
        <v>3125450</v>
      </c>
      <c r="E1359" s="36" t="s">
        <v>653</v>
      </c>
      <c r="F1359" s="36" t="s">
        <v>115</v>
      </c>
    </row>
    <row r="1360" spans="1:6">
      <c r="A1360" s="38">
        <v>44103.15625</v>
      </c>
      <c r="B1360" s="39">
        <v>466.17001342773438</v>
      </c>
      <c r="C1360" s="39">
        <v>435.61318969726563</v>
      </c>
      <c r="D1360" s="41">
        <v>2140500</v>
      </c>
      <c r="E1360" s="36" t="s">
        <v>653</v>
      </c>
      <c r="F1360" s="36" t="s">
        <v>115</v>
      </c>
    </row>
    <row r="1361" spans="1:6">
      <c r="A1361" s="38">
        <v>44104.15625</v>
      </c>
      <c r="B1361" s="39">
        <v>464.44000244140625</v>
      </c>
      <c r="C1361" s="39">
        <v>433.99661254882813</v>
      </c>
      <c r="D1361" s="41">
        <v>1656815</v>
      </c>
      <c r="E1361" s="36" t="s">
        <v>653</v>
      </c>
      <c r="F1361" s="36" t="s">
        <v>115</v>
      </c>
    </row>
    <row r="1362" spans="1:6">
      <c r="A1362" s="38">
        <v>44105.15625</v>
      </c>
      <c r="B1362" s="39">
        <v>467.16000366210938</v>
      </c>
      <c r="C1362" s="39">
        <v>436.53829956054688</v>
      </c>
      <c r="D1362" s="41">
        <v>1528640</v>
      </c>
      <c r="E1362" s="36" t="s">
        <v>653</v>
      </c>
      <c r="F1362" s="36" t="s">
        <v>115</v>
      </c>
    </row>
    <row r="1363" spans="1:6">
      <c r="A1363" s="38">
        <v>44109.15625</v>
      </c>
      <c r="B1363" s="39">
        <v>469.01998901367188</v>
      </c>
      <c r="C1363" s="39">
        <v>438.27642822265625</v>
      </c>
      <c r="D1363" s="41">
        <v>2791590</v>
      </c>
      <c r="E1363" s="36" t="s">
        <v>653</v>
      </c>
      <c r="F1363" s="36" t="s">
        <v>115</v>
      </c>
    </row>
    <row r="1364" spans="1:6">
      <c r="A1364" s="38">
        <v>44110.15625</v>
      </c>
      <c r="B1364" s="39">
        <v>480.72000122070313</v>
      </c>
      <c r="C1364" s="39">
        <v>449.20956420898438</v>
      </c>
      <c r="D1364" s="41">
        <v>2055495</v>
      </c>
      <c r="E1364" s="36" t="s">
        <v>653</v>
      </c>
      <c r="F1364" s="36" t="s">
        <v>115</v>
      </c>
    </row>
    <row r="1365" spans="1:6">
      <c r="A1365" s="38">
        <v>44111.15625</v>
      </c>
      <c r="B1365" s="39">
        <v>479.07998657226563</v>
      </c>
      <c r="C1365" s="39">
        <v>447.677001953125</v>
      </c>
      <c r="D1365" s="41">
        <v>1223120</v>
      </c>
      <c r="E1365" s="36" t="s">
        <v>653</v>
      </c>
      <c r="F1365" s="36" t="s">
        <v>115</v>
      </c>
    </row>
    <row r="1366" spans="1:6">
      <c r="A1366" s="38">
        <v>44112.15625</v>
      </c>
      <c r="B1366" s="39">
        <v>493.47000122070313</v>
      </c>
      <c r="C1366" s="39">
        <v>461.12380981445313</v>
      </c>
      <c r="D1366" s="41">
        <v>5085030</v>
      </c>
      <c r="E1366" s="36" t="s">
        <v>653</v>
      </c>
      <c r="F1366" s="36" t="s">
        <v>115</v>
      </c>
    </row>
    <row r="1367" spans="1:6">
      <c r="A1367" s="38">
        <v>44113.15625</v>
      </c>
      <c r="B1367" s="39">
        <v>493.29000854492188</v>
      </c>
      <c r="C1367" s="39">
        <v>460.95553588867188</v>
      </c>
      <c r="D1367" s="41">
        <v>1644845</v>
      </c>
      <c r="E1367" s="36" t="s">
        <v>653</v>
      </c>
      <c r="F1367" s="36" t="s">
        <v>115</v>
      </c>
    </row>
    <row r="1368" spans="1:6">
      <c r="A1368" s="38">
        <v>44116.15625</v>
      </c>
      <c r="B1368" s="39">
        <v>533.52001953125</v>
      </c>
      <c r="C1368" s="39">
        <v>498.54864501953125</v>
      </c>
      <c r="D1368" s="41">
        <v>8706705</v>
      </c>
      <c r="E1368" s="36" t="s">
        <v>653</v>
      </c>
      <c r="F1368" s="36" t="s">
        <v>115</v>
      </c>
    </row>
    <row r="1369" spans="1:6">
      <c r="A1369" s="38">
        <v>44117.15625</v>
      </c>
      <c r="B1369" s="39">
        <v>559.5</v>
      </c>
      <c r="C1369" s="39">
        <v>522.82568359375</v>
      </c>
      <c r="D1369" s="41">
        <v>8500000</v>
      </c>
      <c r="E1369" s="36" t="s">
        <v>653</v>
      </c>
      <c r="F1369" s="36" t="s">
        <v>115</v>
      </c>
    </row>
    <row r="1370" spans="1:6">
      <c r="A1370" s="38">
        <v>44118.15625</v>
      </c>
      <c r="B1370" s="39">
        <v>521.34002685546875</v>
      </c>
      <c r="C1370" s="39">
        <v>487.16708374023438</v>
      </c>
      <c r="D1370" s="41">
        <v>6783260</v>
      </c>
      <c r="E1370" s="36" t="s">
        <v>653</v>
      </c>
      <c r="F1370" s="36" t="s">
        <v>115</v>
      </c>
    </row>
    <row r="1371" spans="1:6">
      <c r="A1371" s="38">
        <v>44119.15625</v>
      </c>
      <c r="B1371" s="39">
        <v>501.73001098632813</v>
      </c>
      <c r="C1371" s="39">
        <v>468.84234619140625</v>
      </c>
      <c r="D1371" s="41">
        <v>5275480</v>
      </c>
      <c r="E1371" s="36" t="s">
        <v>653</v>
      </c>
      <c r="F1371" s="36" t="s">
        <v>115</v>
      </c>
    </row>
    <row r="1372" spans="1:6">
      <c r="A1372" s="38">
        <v>44120.15625</v>
      </c>
      <c r="B1372" s="39">
        <v>515.44000244140625</v>
      </c>
      <c r="C1372" s="39">
        <v>481.6536865234375</v>
      </c>
      <c r="D1372" s="41">
        <v>5333280</v>
      </c>
      <c r="E1372" s="36" t="s">
        <v>653</v>
      </c>
      <c r="F1372" s="36" t="s">
        <v>115</v>
      </c>
    </row>
    <row r="1373" spans="1:6">
      <c r="A1373" s="38">
        <v>44123.15625</v>
      </c>
      <c r="B1373" s="39">
        <v>508.69000244140625</v>
      </c>
      <c r="C1373" s="39">
        <v>475.34613037109375</v>
      </c>
      <c r="D1373" s="41">
        <v>3455985</v>
      </c>
      <c r="E1373" s="36" t="s">
        <v>653</v>
      </c>
      <c r="F1373" s="36" t="s">
        <v>115</v>
      </c>
    </row>
    <row r="1374" spans="1:6">
      <c r="A1374" s="38">
        <v>44124.15625</v>
      </c>
      <c r="B1374" s="39">
        <v>515.20001220703125</v>
      </c>
      <c r="C1374" s="39">
        <v>481.429443359375</v>
      </c>
      <c r="D1374" s="41">
        <v>4053645</v>
      </c>
      <c r="E1374" s="36" t="s">
        <v>653</v>
      </c>
      <c r="F1374" s="36" t="s">
        <v>115</v>
      </c>
    </row>
    <row r="1375" spans="1:6">
      <c r="A1375" s="38">
        <v>44125.15625</v>
      </c>
      <c r="B1375" s="39">
        <v>502.32000732421875</v>
      </c>
      <c r="C1375" s="39">
        <v>469.3936767578125</v>
      </c>
      <c r="D1375" s="41">
        <v>3200440</v>
      </c>
      <c r="E1375" s="36" t="s">
        <v>653</v>
      </c>
      <c r="F1375" s="36" t="s">
        <v>115</v>
      </c>
    </row>
    <row r="1376" spans="1:6">
      <c r="A1376" s="38">
        <v>44126.15625</v>
      </c>
      <c r="B1376" s="39">
        <v>491.32998657226563</v>
      </c>
      <c r="C1376" s="39">
        <v>459.12399291992188</v>
      </c>
      <c r="D1376" s="41">
        <v>3756885</v>
      </c>
      <c r="E1376" s="36" t="s">
        <v>653</v>
      </c>
      <c r="F1376" s="36" t="s">
        <v>115</v>
      </c>
    </row>
    <row r="1377" spans="1:6">
      <c r="A1377" s="38">
        <v>44127.15625</v>
      </c>
      <c r="B1377" s="39">
        <v>476.01998901367188</v>
      </c>
      <c r="C1377" s="39">
        <v>444.81759643554688</v>
      </c>
      <c r="D1377" s="41">
        <v>8337545</v>
      </c>
      <c r="E1377" s="36" t="s">
        <v>653</v>
      </c>
      <c r="F1377" s="36" t="s">
        <v>115</v>
      </c>
    </row>
    <row r="1378" spans="1:6">
      <c r="A1378" s="38">
        <v>44130.15625</v>
      </c>
      <c r="B1378" s="39">
        <v>442.42999267578125</v>
      </c>
      <c r="C1378" s="39">
        <v>413.42938232421875</v>
      </c>
      <c r="D1378" s="41">
        <v>30923085</v>
      </c>
      <c r="E1378" s="36" t="s">
        <v>653</v>
      </c>
      <c r="F1378" s="36" t="s">
        <v>115</v>
      </c>
    </row>
    <row r="1379" spans="1:6">
      <c r="A1379" s="38">
        <v>44131.15625</v>
      </c>
      <c r="B1379" s="39">
        <v>445.739990234375</v>
      </c>
      <c r="C1379" s="39">
        <v>416.52243041992188</v>
      </c>
      <c r="D1379" s="41">
        <v>5020670</v>
      </c>
      <c r="E1379" s="36" t="s">
        <v>653</v>
      </c>
      <c r="F1379" s="36" t="s">
        <v>115</v>
      </c>
    </row>
    <row r="1380" spans="1:6">
      <c r="A1380" s="38">
        <v>44132.15625</v>
      </c>
      <c r="B1380" s="39">
        <v>448.45999145507813</v>
      </c>
      <c r="C1380" s="39">
        <v>419.06411743164063</v>
      </c>
      <c r="D1380" s="41">
        <v>2771375</v>
      </c>
      <c r="E1380" s="36" t="s">
        <v>653</v>
      </c>
      <c r="F1380" s="36" t="s">
        <v>115</v>
      </c>
    </row>
    <row r="1381" spans="1:6">
      <c r="A1381" s="38">
        <v>44133.15625</v>
      </c>
      <c r="B1381" s="39">
        <v>440.1400146484375</v>
      </c>
      <c r="C1381" s="39">
        <v>411.28936767578125</v>
      </c>
      <c r="D1381" s="41">
        <v>3179050</v>
      </c>
      <c r="E1381" s="36" t="s">
        <v>653</v>
      </c>
      <c r="F1381" s="36" t="s">
        <v>115</v>
      </c>
    </row>
    <row r="1382" spans="1:6">
      <c r="A1382" s="38">
        <v>44134.15625</v>
      </c>
      <c r="B1382" s="39">
        <v>441.1300048828125</v>
      </c>
      <c r="C1382" s="39">
        <v>412.21456909179688</v>
      </c>
      <c r="D1382" s="41">
        <v>4001285</v>
      </c>
      <c r="E1382" s="36" t="s">
        <v>653</v>
      </c>
      <c r="F1382" s="36" t="s">
        <v>115</v>
      </c>
    </row>
    <row r="1383" spans="1:6">
      <c r="A1383" s="38">
        <v>44137.15625</v>
      </c>
      <c r="B1383" s="39">
        <v>423.57998657226563</v>
      </c>
      <c r="C1383" s="39">
        <v>395.81488037109375</v>
      </c>
      <c r="D1383" s="41">
        <v>2146650</v>
      </c>
      <c r="E1383" s="36" t="s">
        <v>653</v>
      </c>
      <c r="F1383" s="36" t="s">
        <v>115</v>
      </c>
    </row>
    <row r="1384" spans="1:6">
      <c r="A1384" s="38">
        <v>44138.15625</v>
      </c>
      <c r="B1384" s="39">
        <v>425.91000366210938</v>
      </c>
      <c r="C1384" s="39">
        <v>397.99221801757813</v>
      </c>
      <c r="D1384" s="41">
        <v>3442865</v>
      </c>
      <c r="E1384" s="36" t="s">
        <v>653</v>
      </c>
      <c r="F1384" s="36" t="s">
        <v>115</v>
      </c>
    </row>
    <row r="1385" spans="1:6">
      <c r="A1385" s="38">
        <v>44139.15625</v>
      </c>
      <c r="B1385" s="39">
        <v>436.75</v>
      </c>
      <c r="C1385" s="39">
        <v>408.12173461914063</v>
      </c>
      <c r="D1385" s="41">
        <v>4162875</v>
      </c>
      <c r="E1385" s="36" t="s">
        <v>653</v>
      </c>
      <c r="F1385" s="36" t="s">
        <v>115</v>
      </c>
    </row>
    <row r="1386" spans="1:6">
      <c r="A1386" s="38">
        <v>44140.15625</v>
      </c>
      <c r="B1386" s="39">
        <v>439.54998779296875</v>
      </c>
      <c r="C1386" s="39">
        <v>410.7381591796875</v>
      </c>
      <c r="D1386" s="41">
        <v>1786535</v>
      </c>
      <c r="E1386" s="36" t="s">
        <v>653</v>
      </c>
      <c r="F1386" s="36" t="s">
        <v>115</v>
      </c>
    </row>
    <row r="1387" spans="1:6">
      <c r="A1387" s="38">
        <v>44141.15625</v>
      </c>
      <c r="B1387" s="39">
        <v>443.6099853515625</v>
      </c>
      <c r="C1387" s="39">
        <v>414.531982421875</v>
      </c>
      <c r="D1387" s="41">
        <v>1959760</v>
      </c>
      <c r="E1387" s="36" t="s">
        <v>653</v>
      </c>
      <c r="F1387" s="36" t="s">
        <v>115</v>
      </c>
    </row>
    <row r="1388" spans="1:6">
      <c r="A1388" s="38">
        <v>44144.15625</v>
      </c>
      <c r="B1388" s="39">
        <v>466.02999877929688</v>
      </c>
      <c r="C1388" s="39">
        <v>435.48248291015625</v>
      </c>
      <c r="D1388" s="41">
        <v>5132060</v>
      </c>
      <c r="E1388" s="36" t="s">
        <v>653</v>
      </c>
      <c r="F1388" s="36" t="s">
        <v>115</v>
      </c>
    </row>
    <row r="1389" spans="1:6">
      <c r="A1389" s="38">
        <v>44145.15625</v>
      </c>
      <c r="B1389" s="39">
        <v>444.77999877929688</v>
      </c>
      <c r="C1389" s="39">
        <v>415.62530517578125</v>
      </c>
      <c r="D1389" s="41">
        <v>3793030</v>
      </c>
      <c r="E1389" s="36" t="s">
        <v>653</v>
      </c>
      <c r="F1389" s="36" t="s">
        <v>115</v>
      </c>
    </row>
    <row r="1390" spans="1:6">
      <c r="A1390" s="38">
        <v>44146.15625</v>
      </c>
      <c r="B1390" s="39">
        <v>457.94000244140625</v>
      </c>
      <c r="C1390" s="39">
        <v>427.92276000976563</v>
      </c>
      <c r="D1390" s="41">
        <v>2852350</v>
      </c>
      <c r="E1390" s="36" t="s">
        <v>653</v>
      </c>
      <c r="F1390" s="36" t="s">
        <v>115</v>
      </c>
    </row>
    <row r="1391" spans="1:6">
      <c r="A1391" s="38">
        <v>44147.15625</v>
      </c>
      <c r="B1391" s="39">
        <v>467.04998779296875</v>
      </c>
      <c r="C1391" s="39">
        <v>436.435546875</v>
      </c>
      <c r="D1391" s="41">
        <v>3533055</v>
      </c>
      <c r="E1391" s="36" t="s">
        <v>653</v>
      </c>
      <c r="F1391" s="36" t="s">
        <v>115</v>
      </c>
    </row>
    <row r="1392" spans="1:6">
      <c r="A1392" s="38">
        <v>44148.15625</v>
      </c>
      <c r="B1392" s="39">
        <v>460.8599853515625</v>
      </c>
      <c r="C1392" s="39">
        <v>430.65127563476563</v>
      </c>
      <c r="D1392" s="41">
        <v>1934355</v>
      </c>
      <c r="E1392" s="36" t="s">
        <v>653</v>
      </c>
      <c r="F1392" s="36" t="s">
        <v>115</v>
      </c>
    </row>
    <row r="1393" spans="1:6">
      <c r="A1393" s="38">
        <v>44149.489583333336</v>
      </c>
      <c r="B1393" s="39">
        <v>463.79000854492188</v>
      </c>
      <c r="C1393" s="39">
        <v>433.38925170898438</v>
      </c>
      <c r="D1393" s="41">
        <v>226260</v>
      </c>
      <c r="E1393" s="36" t="s">
        <v>653</v>
      </c>
      <c r="F1393" s="36" t="s">
        <v>115</v>
      </c>
    </row>
    <row r="1394" spans="1:6">
      <c r="A1394" s="38">
        <v>44152.15625</v>
      </c>
      <c r="B1394" s="39">
        <v>460.77999877929688</v>
      </c>
      <c r="C1394" s="39">
        <v>430.5765380859375</v>
      </c>
      <c r="D1394" s="41">
        <v>1368420</v>
      </c>
      <c r="E1394" s="36" t="s">
        <v>653</v>
      </c>
      <c r="F1394" s="36" t="s">
        <v>115</v>
      </c>
    </row>
    <row r="1395" spans="1:6">
      <c r="A1395" s="38">
        <v>44153.15625</v>
      </c>
      <c r="B1395" s="39">
        <v>463.6099853515625</v>
      </c>
      <c r="C1395" s="39">
        <v>433.22097778320313</v>
      </c>
      <c r="D1395" s="41">
        <v>1439195</v>
      </c>
      <c r="E1395" s="36" t="s">
        <v>653</v>
      </c>
      <c r="F1395" s="36" t="s">
        <v>115</v>
      </c>
    </row>
    <row r="1396" spans="1:6">
      <c r="A1396" s="38">
        <v>44154.15625</v>
      </c>
      <c r="B1396" s="39">
        <v>466.27999877929688</v>
      </c>
      <c r="C1396" s="39">
        <v>435.71603393554688</v>
      </c>
      <c r="D1396" s="41">
        <v>3509025</v>
      </c>
      <c r="E1396" s="36" t="s">
        <v>653</v>
      </c>
      <c r="F1396" s="36" t="s">
        <v>115</v>
      </c>
    </row>
    <row r="1397" spans="1:6">
      <c r="A1397" s="38">
        <v>44155.15625</v>
      </c>
      <c r="B1397" s="39">
        <v>471</v>
      </c>
      <c r="C1397" s="39">
        <v>440.12664794921875</v>
      </c>
      <c r="D1397" s="41">
        <v>3582630</v>
      </c>
      <c r="E1397" s="36" t="s">
        <v>653</v>
      </c>
      <c r="F1397" s="36" t="s">
        <v>115</v>
      </c>
    </row>
    <row r="1398" spans="1:6">
      <c r="A1398" s="38">
        <v>44158.15625</v>
      </c>
      <c r="B1398" s="39">
        <v>484.92999267578125</v>
      </c>
      <c r="C1398" s="39">
        <v>453.1435546875</v>
      </c>
      <c r="D1398" s="41">
        <v>3021960</v>
      </c>
      <c r="E1398" s="36" t="s">
        <v>653</v>
      </c>
      <c r="F1398" s="36" t="s">
        <v>115</v>
      </c>
    </row>
    <row r="1399" spans="1:6">
      <c r="A1399" s="38">
        <v>44159.15625</v>
      </c>
      <c r="B1399" s="39">
        <v>490.6099853515625</v>
      </c>
      <c r="C1399" s="39">
        <v>458.45120239257813</v>
      </c>
      <c r="D1399" s="41">
        <v>2798690</v>
      </c>
      <c r="E1399" s="36" t="s">
        <v>653</v>
      </c>
      <c r="F1399" s="36" t="s">
        <v>115</v>
      </c>
    </row>
    <row r="1400" spans="1:6">
      <c r="A1400" s="38">
        <v>44160.15625</v>
      </c>
      <c r="B1400" s="39">
        <v>484.8900146484375</v>
      </c>
      <c r="C1400" s="39">
        <v>453.10617065429688</v>
      </c>
      <c r="D1400" s="41">
        <v>2064560</v>
      </c>
      <c r="E1400" s="36" t="s">
        <v>653</v>
      </c>
      <c r="F1400" s="36" t="s">
        <v>115</v>
      </c>
    </row>
    <row r="1401" spans="1:6">
      <c r="A1401" s="38">
        <v>44161.15625</v>
      </c>
      <c r="B1401" s="39">
        <v>490.260009765625</v>
      </c>
      <c r="C1401" s="39">
        <v>458.12420654296875</v>
      </c>
      <c r="D1401" s="41">
        <v>2395350</v>
      </c>
      <c r="E1401" s="36" t="s">
        <v>653</v>
      </c>
      <c r="F1401" s="36" t="s">
        <v>115</v>
      </c>
    </row>
    <row r="1402" spans="1:6">
      <c r="A1402" s="38">
        <v>44162.15625</v>
      </c>
      <c r="B1402" s="39">
        <v>480.1300048828125</v>
      </c>
      <c r="C1402" s="39">
        <v>448.65823364257813</v>
      </c>
      <c r="D1402" s="41">
        <v>1434000</v>
      </c>
      <c r="E1402" s="36" t="s">
        <v>653</v>
      </c>
      <c r="F1402" s="36" t="s">
        <v>115</v>
      </c>
    </row>
    <row r="1403" spans="1:6">
      <c r="A1403" s="38">
        <v>44166.15625</v>
      </c>
      <c r="B1403" s="39">
        <v>491.07998657226563</v>
      </c>
      <c r="C1403" s="39">
        <v>458.89047241210938</v>
      </c>
      <c r="D1403" s="41">
        <v>1576070</v>
      </c>
      <c r="E1403" s="36" t="s">
        <v>653</v>
      </c>
      <c r="F1403" s="36" t="s">
        <v>115</v>
      </c>
    </row>
    <row r="1404" spans="1:6">
      <c r="A1404" s="38">
        <v>44167.15625</v>
      </c>
      <c r="B1404" s="39">
        <v>488.64999389648438</v>
      </c>
      <c r="C1404" s="39">
        <v>456.61972045898438</v>
      </c>
      <c r="D1404" s="41">
        <v>1755105</v>
      </c>
      <c r="E1404" s="36" t="s">
        <v>653</v>
      </c>
      <c r="F1404" s="36" t="s">
        <v>115</v>
      </c>
    </row>
    <row r="1405" spans="1:6">
      <c r="A1405" s="38">
        <v>44168.15625</v>
      </c>
      <c r="B1405" s="39">
        <v>496.92001342773438</v>
      </c>
      <c r="C1405" s="39">
        <v>464.34762573242188</v>
      </c>
      <c r="D1405" s="41">
        <v>3774420</v>
      </c>
      <c r="E1405" s="36" t="s">
        <v>653</v>
      </c>
      <c r="F1405" s="36" t="s">
        <v>115</v>
      </c>
    </row>
    <row r="1406" spans="1:6">
      <c r="A1406" s="38">
        <v>44169.15625</v>
      </c>
      <c r="B1406" s="39">
        <v>489.6300048828125</v>
      </c>
      <c r="C1406" s="39">
        <v>457.53549194335938</v>
      </c>
      <c r="D1406" s="41">
        <v>991350</v>
      </c>
      <c r="E1406" s="36" t="s">
        <v>653</v>
      </c>
      <c r="F1406" s="36" t="s">
        <v>115</v>
      </c>
    </row>
    <row r="1407" spans="1:6">
      <c r="A1407" s="38">
        <v>44172.15625</v>
      </c>
      <c r="B1407" s="39">
        <v>491.1400146484375</v>
      </c>
      <c r="C1407" s="39">
        <v>458.94650268554688</v>
      </c>
      <c r="D1407" s="41">
        <v>1579125</v>
      </c>
      <c r="E1407" s="36" t="s">
        <v>653</v>
      </c>
      <c r="F1407" s="36" t="s">
        <v>115</v>
      </c>
    </row>
    <row r="1408" spans="1:6">
      <c r="A1408" s="38">
        <v>44173.15625</v>
      </c>
      <c r="B1408" s="39">
        <v>495.489990234375</v>
      </c>
      <c r="C1408" s="39">
        <v>463.01138305664063</v>
      </c>
      <c r="D1408" s="41">
        <v>1973255</v>
      </c>
      <c r="E1408" s="36" t="s">
        <v>653</v>
      </c>
      <c r="F1408" s="36" t="s">
        <v>115</v>
      </c>
    </row>
    <row r="1409" spans="1:6">
      <c r="A1409" s="38">
        <v>44174.15625</v>
      </c>
      <c r="B1409" s="39">
        <v>501.51998901367188</v>
      </c>
      <c r="C1409" s="39">
        <v>468.64614868164063</v>
      </c>
      <c r="D1409" s="41">
        <v>3730920</v>
      </c>
      <c r="E1409" s="36" t="s">
        <v>653</v>
      </c>
      <c r="F1409" s="36" t="s">
        <v>115</v>
      </c>
    </row>
    <row r="1410" spans="1:6">
      <c r="A1410" s="38">
        <v>44175.15625</v>
      </c>
      <c r="B1410" s="39">
        <v>496.29000854492188</v>
      </c>
      <c r="C1410" s="39">
        <v>463.75894165039063</v>
      </c>
      <c r="D1410" s="41">
        <v>1153550</v>
      </c>
      <c r="E1410" s="36" t="s">
        <v>653</v>
      </c>
      <c r="F1410" s="36" t="s">
        <v>115</v>
      </c>
    </row>
    <row r="1411" spans="1:6">
      <c r="A1411" s="38">
        <v>44176.15625</v>
      </c>
      <c r="B1411" s="39">
        <v>499.60000610351563</v>
      </c>
      <c r="C1411" s="39">
        <v>466.8519287109375</v>
      </c>
      <c r="D1411" s="41">
        <v>1321840</v>
      </c>
      <c r="E1411" s="36" t="s">
        <v>653</v>
      </c>
      <c r="F1411" s="36" t="s">
        <v>115</v>
      </c>
    </row>
    <row r="1412" spans="1:6">
      <c r="A1412" s="38">
        <v>44179.15625</v>
      </c>
      <c r="B1412" s="39">
        <v>500.6300048828125</v>
      </c>
      <c r="C1412" s="39">
        <v>467.81439208984375</v>
      </c>
      <c r="D1412" s="41">
        <v>678460</v>
      </c>
      <c r="E1412" s="36" t="s">
        <v>653</v>
      </c>
      <c r="F1412" s="36" t="s">
        <v>115</v>
      </c>
    </row>
    <row r="1413" spans="1:6">
      <c r="A1413" s="38">
        <v>44180.15625</v>
      </c>
      <c r="B1413" s="39">
        <v>508.1099853515625</v>
      </c>
      <c r="C1413" s="39">
        <v>474.80413818359375</v>
      </c>
      <c r="D1413" s="41">
        <v>1761135</v>
      </c>
      <c r="E1413" s="36" t="s">
        <v>653</v>
      </c>
      <c r="F1413" s="36" t="s">
        <v>115</v>
      </c>
    </row>
    <row r="1414" spans="1:6">
      <c r="A1414" s="38">
        <v>44181.15625</v>
      </c>
      <c r="B1414" s="39">
        <v>506.82000732421875</v>
      </c>
      <c r="C1414" s="39">
        <v>473.59869384765625</v>
      </c>
      <c r="D1414" s="41">
        <v>1182940</v>
      </c>
      <c r="E1414" s="36" t="s">
        <v>653</v>
      </c>
      <c r="F1414" s="36" t="s">
        <v>115</v>
      </c>
    </row>
    <row r="1415" spans="1:6">
      <c r="A1415" s="38">
        <v>44182.15625</v>
      </c>
      <c r="B1415" s="39">
        <v>502.1099853515625</v>
      </c>
      <c r="C1415" s="39">
        <v>469.19747924804688</v>
      </c>
      <c r="D1415" s="41">
        <v>709385</v>
      </c>
      <c r="E1415" s="36" t="s">
        <v>653</v>
      </c>
      <c r="F1415" s="36" t="s">
        <v>115</v>
      </c>
    </row>
    <row r="1416" spans="1:6">
      <c r="A1416" s="38">
        <v>44183.15625</v>
      </c>
      <c r="B1416" s="39">
        <v>511.3599853515625</v>
      </c>
      <c r="C1416" s="39">
        <v>477.841064453125</v>
      </c>
      <c r="D1416" s="41">
        <v>4872420</v>
      </c>
      <c r="E1416" s="36" t="s">
        <v>653</v>
      </c>
      <c r="F1416" s="36" t="s">
        <v>115</v>
      </c>
    </row>
    <row r="1417" spans="1:6">
      <c r="A1417" s="38">
        <v>44186.15625</v>
      </c>
      <c r="B1417" s="39">
        <v>478</v>
      </c>
      <c r="C1417" s="39">
        <v>446.6678466796875</v>
      </c>
      <c r="D1417" s="41">
        <v>3281990</v>
      </c>
      <c r="E1417" s="36" t="s">
        <v>653</v>
      </c>
      <c r="F1417" s="36" t="s">
        <v>115</v>
      </c>
    </row>
    <row r="1418" spans="1:6">
      <c r="A1418" s="38">
        <v>44187.15625</v>
      </c>
      <c r="B1418" s="39">
        <v>512.6500244140625</v>
      </c>
      <c r="C1418" s="39">
        <v>479.04656982421875</v>
      </c>
      <c r="D1418" s="41">
        <v>3931425</v>
      </c>
      <c r="E1418" s="36" t="s">
        <v>653</v>
      </c>
      <c r="F1418" s="36" t="s">
        <v>115</v>
      </c>
    </row>
    <row r="1419" spans="1:6">
      <c r="A1419" s="38">
        <v>44188.15625</v>
      </c>
      <c r="B1419" s="39">
        <v>526.44000244140625</v>
      </c>
      <c r="C1419" s="39">
        <v>491.93267822265625</v>
      </c>
      <c r="D1419" s="41">
        <v>3893420</v>
      </c>
      <c r="E1419" s="36" t="s">
        <v>653</v>
      </c>
      <c r="F1419" s="36" t="s">
        <v>115</v>
      </c>
    </row>
    <row r="1420" spans="1:6">
      <c r="A1420" s="38">
        <v>44189.15625</v>
      </c>
      <c r="B1420" s="39">
        <v>530.510009765625</v>
      </c>
      <c r="C1420" s="39">
        <v>495.73587036132813</v>
      </c>
      <c r="D1420" s="41">
        <v>3010900</v>
      </c>
      <c r="E1420" s="36" t="s">
        <v>653</v>
      </c>
      <c r="F1420" s="36" t="s">
        <v>115</v>
      </c>
    </row>
    <row r="1421" spans="1:6">
      <c r="A1421" s="38">
        <v>44193.15625</v>
      </c>
      <c r="B1421" s="39">
        <v>538.17999267578125</v>
      </c>
      <c r="C1421" s="39">
        <v>502.903076171875</v>
      </c>
      <c r="D1421" s="41">
        <v>2174530</v>
      </c>
      <c r="E1421" s="36" t="s">
        <v>653</v>
      </c>
      <c r="F1421" s="36" t="s">
        <v>115</v>
      </c>
    </row>
    <row r="1422" spans="1:6">
      <c r="A1422" s="38">
        <v>44194.15625</v>
      </c>
      <c r="B1422" s="39">
        <v>536.0999755859375</v>
      </c>
      <c r="C1422" s="39">
        <v>500.95938110351563</v>
      </c>
      <c r="D1422" s="41">
        <v>1667085</v>
      </c>
      <c r="E1422" s="36" t="s">
        <v>653</v>
      </c>
      <c r="F1422" s="36" t="s">
        <v>115</v>
      </c>
    </row>
    <row r="1423" spans="1:6">
      <c r="A1423" s="38">
        <v>44195.15625</v>
      </c>
      <c r="B1423" s="39">
        <v>538.91998291015625</v>
      </c>
      <c r="C1423" s="39">
        <v>503.59469604492188</v>
      </c>
      <c r="D1423" s="41">
        <v>1200675</v>
      </c>
      <c r="E1423" s="36" t="s">
        <v>653</v>
      </c>
      <c r="F1423" s="36" t="s">
        <v>115</v>
      </c>
    </row>
    <row r="1424" spans="1:6">
      <c r="A1424" s="38">
        <v>44196.15625</v>
      </c>
      <c r="B1424" s="39">
        <v>541.030029296875</v>
      </c>
      <c r="C1424" s="39">
        <v>505.56637573242188</v>
      </c>
      <c r="D1424" s="41">
        <v>877145</v>
      </c>
      <c r="E1424" s="36" t="s">
        <v>653</v>
      </c>
      <c r="F1424" s="36" t="s">
        <v>115</v>
      </c>
    </row>
    <row r="1425" spans="1:6">
      <c r="A1425" s="38">
        <v>44197.15625</v>
      </c>
      <c r="B1425" s="39">
        <v>544.45001220703125</v>
      </c>
      <c r="C1425" s="39">
        <v>508.76211547851563</v>
      </c>
      <c r="D1425" s="41">
        <v>1083785</v>
      </c>
      <c r="E1425" s="36" t="s">
        <v>653</v>
      </c>
      <c r="F1425" s="36" t="s">
        <v>115</v>
      </c>
    </row>
    <row r="1426" spans="1:6">
      <c r="A1426" s="38">
        <v>44200.15625</v>
      </c>
      <c r="B1426" s="39">
        <v>567.71002197265625</v>
      </c>
      <c r="C1426" s="39">
        <v>530.49737548828125</v>
      </c>
      <c r="D1426" s="41">
        <v>2616110</v>
      </c>
      <c r="E1426" s="36" t="s">
        <v>653</v>
      </c>
      <c r="F1426" s="36" t="s">
        <v>115</v>
      </c>
    </row>
    <row r="1427" spans="1:6">
      <c r="A1427" s="38">
        <v>44201.15625</v>
      </c>
      <c r="B1427" s="39">
        <v>576.510009765625</v>
      </c>
      <c r="C1427" s="39">
        <v>538.7205810546875</v>
      </c>
      <c r="D1427" s="41">
        <v>3163585</v>
      </c>
      <c r="E1427" s="36" t="s">
        <v>653</v>
      </c>
      <c r="F1427" s="36" t="s">
        <v>115</v>
      </c>
    </row>
    <row r="1428" spans="1:6">
      <c r="A1428" s="38">
        <v>44202.15625</v>
      </c>
      <c r="B1428" s="39">
        <v>560.30999755859375</v>
      </c>
      <c r="C1428" s="39">
        <v>523.58251953125</v>
      </c>
      <c r="D1428" s="41">
        <v>2184965</v>
      </c>
      <c r="E1428" s="36" t="s">
        <v>653</v>
      </c>
      <c r="F1428" s="36" t="s">
        <v>115</v>
      </c>
    </row>
    <row r="1429" spans="1:6">
      <c r="A1429" s="38">
        <v>44203.15625</v>
      </c>
      <c r="B1429" s="39">
        <v>548.15997314453125</v>
      </c>
      <c r="C1429" s="39">
        <v>512.22900390625</v>
      </c>
      <c r="D1429" s="41">
        <v>1769530</v>
      </c>
      <c r="E1429" s="36" t="s">
        <v>653</v>
      </c>
      <c r="F1429" s="36" t="s">
        <v>115</v>
      </c>
    </row>
    <row r="1430" spans="1:6">
      <c r="A1430" s="38">
        <v>44204.15625</v>
      </c>
      <c r="B1430" s="39">
        <v>560.84002685546875</v>
      </c>
      <c r="C1430" s="39">
        <v>524.0777587890625</v>
      </c>
      <c r="D1430" s="41">
        <v>2492750</v>
      </c>
      <c r="E1430" s="36" t="s">
        <v>653</v>
      </c>
      <c r="F1430" s="36" t="s">
        <v>115</v>
      </c>
    </row>
    <row r="1431" spans="1:6">
      <c r="A1431" s="38">
        <v>44207.15625</v>
      </c>
      <c r="B1431" s="39">
        <v>563.40997314453125</v>
      </c>
      <c r="C1431" s="39">
        <v>526.47943115234375</v>
      </c>
      <c r="D1431" s="41">
        <v>2476365</v>
      </c>
      <c r="E1431" s="36" t="s">
        <v>653</v>
      </c>
      <c r="F1431" s="36" t="s">
        <v>115</v>
      </c>
    </row>
    <row r="1432" spans="1:6">
      <c r="A1432" s="38">
        <v>44208.15625</v>
      </c>
      <c r="B1432" s="39">
        <v>554.469970703125</v>
      </c>
      <c r="C1432" s="39">
        <v>518.12530517578125</v>
      </c>
      <c r="D1432" s="41">
        <v>1113280</v>
      </c>
      <c r="E1432" s="36" t="s">
        <v>653</v>
      </c>
      <c r="F1432" s="36" t="s">
        <v>115</v>
      </c>
    </row>
    <row r="1433" spans="1:6">
      <c r="A1433" s="38">
        <v>44209.15625</v>
      </c>
      <c r="B1433" s="39">
        <v>546.03997802734375</v>
      </c>
      <c r="C1433" s="39">
        <v>510.24789428710938</v>
      </c>
      <c r="D1433" s="41">
        <v>1721815</v>
      </c>
      <c r="E1433" s="36" t="s">
        <v>653</v>
      </c>
      <c r="F1433" s="36" t="s">
        <v>115</v>
      </c>
    </row>
    <row r="1434" spans="1:6">
      <c r="A1434" s="38">
        <v>44210.15625</v>
      </c>
      <c r="B1434" s="39">
        <v>546.79998779296875</v>
      </c>
      <c r="C1434" s="39">
        <v>510.95809936523438</v>
      </c>
      <c r="D1434" s="41">
        <v>1852410</v>
      </c>
      <c r="E1434" s="36" t="s">
        <v>653</v>
      </c>
      <c r="F1434" s="36" t="s">
        <v>115</v>
      </c>
    </row>
    <row r="1435" spans="1:6">
      <c r="A1435" s="38">
        <v>44211.15625</v>
      </c>
      <c r="B1435" s="39">
        <v>527.55999755859375</v>
      </c>
      <c r="C1435" s="39">
        <v>492.97918701171875</v>
      </c>
      <c r="D1435" s="41">
        <v>1879525</v>
      </c>
      <c r="E1435" s="36" t="s">
        <v>653</v>
      </c>
      <c r="F1435" s="36" t="s">
        <v>115</v>
      </c>
    </row>
    <row r="1436" spans="1:6">
      <c r="A1436" s="38">
        <v>44214.15625</v>
      </c>
      <c r="B1436" s="39">
        <v>501.97000122070313</v>
      </c>
      <c r="C1436" s="39">
        <v>469.06658935546875</v>
      </c>
      <c r="D1436" s="41">
        <v>2049960</v>
      </c>
      <c r="E1436" s="36" t="s">
        <v>653</v>
      </c>
      <c r="F1436" s="36" t="s">
        <v>115</v>
      </c>
    </row>
    <row r="1437" spans="1:6">
      <c r="A1437" s="38">
        <v>44215.15625</v>
      </c>
      <c r="B1437" s="39">
        <v>503.39999389648438</v>
      </c>
      <c r="C1437" s="39">
        <v>470.40286254882813</v>
      </c>
      <c r="D1437" s="41">
        <v>2128000</v>
      </c>
      <c r="E1437" s="36" t="s">
        <v>653</v>
      </c>
      <c r="F1437" s="36" t="s">
        <v>115</v>
      </c>
    </row>
    <row r="1438" spans="1:6">
      <c r="A1438" s="38">
        <v>44216.15625</v>
      </c>
      <c r="B1438" s="39">
        <v>524.030029296875</v>
      </c>
      <c r="C1438" s="39">
        <v>489.68060302734375</v>
      </c>
      <c r="D1438" s="41">
        <v>2870790</v>
      </c>
      <c r="E1438" s="36" t="s">
        <v>653</v>
      </c>
      <c r="F1438" s="36" t="s">
        <v>115</v>
      </c>
    </row>
    <row r="1439" spans="1:6">
      <c r="A1439" s="38">
        <v>44217.15625</v>
      </c>
      <c r="B1439" s="39">
        <v>510.92999267578125</v>
      </c>
      <c r="C1439" s="39">
        <v>477.43936157226563</v>
      </c>
      <c r="D1439" s="41">
        <v>1896310</v>
      </c>
      <c r="E1439" s="36" t="s">
        <v>653</v>
      </c>
      <c r="F1439" s="36" t="s">
        <v>115</v>
      </c>
    </row>
    <row r="1440" spans="1:6">
      <c r="A1440" s="38">
        <v>44218.15625</v>
      </c>
      <c r="B1440" s="39">
        <v>498.20001220703125</v>
      </c>
      <c r="C1440" s="39">
        <v>465.54376220703125</v>
      </c>
      <c r="D1440" s="41">
        <v>1623355</v>
      </c>
      <c r="E1440" s="36" t="s">
        <v>653</v>
      </c>
      <c r="F1440" s="36" t="s">
        <v>115</v>
      </c>
    </row>
    <row r="1441" spans="1:6">
      <c r="A1441" s="38">
        <v>44221.15625</v>
      </c>
      <c r="B1441" s="39">
        <v>479.52999877929688</v>
      </c>
      <c r="C1441" s="39">
        <v>448.09744262695313</v>
      </c>
      <c r="D1441" s="41">
        <v>1701740</v>
      </c>
      <c r="E1441" s="36" t="s">
        <v>653</v>
      </c>
      <c r="F1441" s="36" t="s">
        <v>115</v>
      </c>
    </row>
    <row r="1442" spans="1:6">
      <c r="A1442" s="38">
        <v>44223.15625</v>
      </c>
      <c r="B1442" s="39">
        <v>489.6099853515625</v>
      </c>
      <c r="C1442" s="39">
        <v>457.51681518554688</v>
      </c>
      <c r="D1442" s="41">
        <v>2400100</v>
      </c>
      <c r="E1442" s="36" t="s">
        <v>653</v>
      </c>
      <c r="F1442" s="36" t="s">
        <v>115</v>
      </c>
    </row>
    <row r="1443" spans="1:6">
      <c r="A1443" s="38">
        <v>44224.15625</v>
      </c>
      <c r="B1443" s="39">
        <v>484.01998901367188</v>
      </c>
      <c r="C1443" s="39">
        <v>452.29324340820313</v>
      </c>
      <c r="D1443" s="41">
        <v>1465465</v>
      </c>
      <c r="E1443" s="36" t="s">
        <v>653</v>
      </c>
      <c r="F1443" s="36" t="s">
        <v>115</v>
      </c>
    </row>
    <row r="1444" spans="1:6">
      <c r="A1444" s="38">
        <v>44225.15625</v>
      </c>
      <c r="B1444" s="39">
        <v>478.55999755859375</v>
      </c>
      <c r="C1444" s="39">
        <v>447.19107055664063</v>
      </c>
      <c r="D1444" s="41">
        <v>3280875</v>
      </c>
      <c r="E1444" s="36" t="s">
        <v>653</v>
      </c>
      <c r="F1444" s="36" t="s">
        <v>115</v>
      </c>
    </row>
    <row r="1445" spans="1:6">
      <c r="A1445" s="38">
        <v>44228.15625</v>
      </c>
      <c r="B1445" s="39">
        <v>484.760009765625</v>
      </c>
      <c r="C1445" s="39">
        <v>452.98468017578125</v>
      </c>
      <c r="D1445" s="41">
        <v>1204130</v>
      </c>
      <c r="E1445" s="36" t="s">
        <v>653</v>
      </c>
      <c r="F1445" s="36" t="s">
        <v>115</v>
      </c>
    </row>
    <row r="1446" spans="1:6">
      <c r="A1446" s="38">
        <v>44229.15625</v>
      </c>
      <c r="B1446" s="39">
        <v>490.6099853515625</v>
      </c>
      <c r="C1446" s="39">
        <v>458.45120239257813</v>
      </c>
      <c r="D1446" s="41">
        <v>2258420</v>
      </c>
      <c r="E1446" s="36" t="s">
        <v>653</v>
      </c>
      <c r="F1446" s="36" t="s">
        <v>115</v>
      </c>
    </row>
    <row r="1447" spans="1:6">
      <c r="A1447" s="38">
        <v>44230.15625</v>
      </c>
      <c r="B1447" s="39">
        <v>504.64999389648438</v>
      </c>
      <c r="C1447" s="39">
        <v>471.5709228515625</v>
      </c>
      <c r="D1447" s="41">
        <v>2286195</v>
      </c>
      <c r="E1447" s="36" t="s">
        <v>653</v>
      </c>
      <c r="F1447" s="36" t="s">
        <v>115</v>
      </c>
    </row>
    <row r="1448" spans="1:6">
      <c r="A1448" s="38">
        <v>44231.15625</v>
      </c>
      <c r="B1448" s="39">
        <v>509.66000366210938</v>
      </c>
      <c r="C1448" s="39">
        <v>476.2525634765625</v>
      </c>
      <c r="D1448" s="41">
        <v>1436705</v>
      </c>
      <c r="E1448" s="36" t="s">
        <v>653</v>
      </c>
      <c r="F1448" s="36" t="s">
        <v>115</v>
      </c>
    </row>
    <row r="1449" spans="1:6">
      <c r="A1449" s="38">
        <v>44232.15625</v>
      </c>
      <c r="B1449" s="39">
        <v>499.72000122070313</v>
      </c>
      <c r="C1449" s="39">
        <v>466.96408081054688</v>
      </c>
      <c r="D1449" s="41">
        <v>2875395</v>
      </c>
      <c r="E1449" s="36" t="s">
        <v>653</v>
      </c>
      <c r="F1449" s="36" t="s">
        <v>115</v>
      </c>
    </row>
    <row r="1450" spans="1:6">
      <c r="A1450" s="38">
        <v>44235.15625</v>
      </c>
      <c r="B1450" s="39">
        <v>520.92999267578125</v>
      </c>
      <c r="C1450" s="39">
        <v>486.78372192382813</v>
      </c>
      <c r="D1450" s="41">
        <v>2435845</v>
      </c>
      <c r="E1450" s="36" t="s">
        <v>653</v>
      </c>
      <c r="F1450" s="36" t="s">
        <v>115</v>
      </c>
    </row>
    <row r="1451" spans="1:6">
      <c r="A1451" s="38">
        <v>44236.15625</v>
      </c>
      <c r="B1451" s="39">
        <v>508.73001098632813</v>
      </c>
      <c r="C1451" s="39">
        <v>475.38357543945313</v>
      </c>
      <c r="D1451" s="41">
        <v>1775915</v>
      </c>
      <c r="E1451" s="36" t="s">
        <v>653</v>
      </c>
      <c r="F1451" s="36" t="s">
        <v>115</v>
      </c>
    </row>
    <row r="1452" spans="1:6">
      <c r="A1452" s="38">
        <v>44237.15625</v>
      </c>
      <c r="B1452" s="39">
        <v>521.1300048828125</v>
      </c>
      <c r="C1452" s="39">
        <v>486.9705810546875</v>
      </c>
      <c r="D1452" s="41">
        <v>1704220</v>
      </c>
      <c r="E1452" s="36" t="s">
        <v>653</v>
      </c>
      <c r="F1452" s="36" t="s">
        <v>115</v>
      </c>
    </row>
    <row r="1453" spans="1:6">
      <c r="A1453" s="38">
        <v>44238.15625</v>
      </c>
      <c r="B1453" s="39">
        <v>528.1199951171875</v>
      </c>
      <c r="C1453" s="39">
        <v>493.5025634765625</v>
      </c>
      <c r="D1453" s="41">
        <v>1126695</v>
      </c>
      <c r="E1453" s="36" t="s">
        <v>653</v>
      </c>
      <c r="F1453" s="36" t="s">
        <v>115</v>
      </c>
    </row>
    <row r="1454" spans="1:6">
      <c r="A1454" s="38">
        <v>44239.15625</v>
      </c>
      <c r="B1454" s="39">
        <v>522.3599853515625</v>
      </c>
      <c r="C1454" s="39">
        <v>488.12014770507813</v>
      </c>
      <c r="D1454" s="41">
        <v>1906755</v>
      </c>
      <c r="E1454" s="36" t="s">
        <v>653</v>
      </c>
      <c r="F1454" s="36" t="s">
        <v>115</v>
      </c>
    </row>
    <row r="1455" spans="1:6">
      <c r="A1455" s="38">
        <v>44242.15625</v>
      </c>
      <c r="B1455" s="39">
        <v>519.02001953125</v>
      </c>
      <c r="C1455" s="39">
        <v>484.9990234375</v>
      </c>
      <c r="D1455" s="41">
        <v>578030</v>
      </c>
      <c r="E1455" s="36" t="s">
        <v>653</v>
      </c>
      <c r="F1455" s="36" t="s">
        <v>115</v>
      </c>
    </row>
    <row r="1456" spans="1:6">
      <c r="A1456" s="38">
        <v>44243.15625</v>
      </c>
      <c r="B1456" s="39">
        <v>524.40997314453125</v>
      </c>
      <c r="C1456" s="39">
        <v>490.03573608398438</v>
      </c>
      <c r="D1456" s="41">
        <v>1707070</v>
      </c>
      <c r="E1456" s="36" t="s">
        <v>653</v>
      </c>
      <c r="F1456" s="36" t="s">
        <v>115</v>
      </c>
    </row>
    <row r="1457" spans="1:6">
      <c r="A1457" s="38">
        <v>44244.15625</v>
      </c>
      <c r="B1457" s="39">
        <v>517.3599853515625</v>
      </c>
      <c r="C1457" s="39">
        <v>483.4478759765625</v>
      </c>
      <c r="D1457" s="41">
        <v>1018020</v>
      </c>
      <c r="E1457" s="36" t="s">
        <v>653</v>
      </c>
      <c r="F1457" s="36" t="s">
        <v>115</v>
      </c>
    </row>
    <row r="1458" spans="1:6">
      <c r="A1458" s="38">
        <v>44245.15625</v>
      </c>
      <c r="B1458" s="39">
        <v>523.15997314453125</v>
      </c>
      <c r="C1458" s="39">
        <v>488.86767578125</v>
      </c>
      <c r="D1458" s="41">
        <v>1696540</v>
      </c>
      <c r="E1458" s="36" t="s">
        <v>653</v>
      </c>
      <c r="F1458" s="36" t="s">
        <v>115</v>
      </c>
    </row>
    <row r="1459" spans="1:6">
      <c r="A1459" s="38">
        <v>44246.15625</v>
      </c>
      <c r="B1459" s="39">
        <v>514.04998779296875</v>
      </c>
      <c r="C1459" s="39">
        <v>480.35476684570313</v>
      </c>
      <c r="D1459" s="41">
        <v>1046295</v>
      </c>
      <c r="E1459" s="36" t="s">
        <v>653</v>
      </c>
      <c r="F1459" s="36" t="s">
        <v>115</v>
      </c>
    </row>
    <row r="1460" spans="1:6">
      <c r="A1460" s="38">
        <v>44249.15625</v>
      </c>
      <c r="B1460" s="39">
        <v>494.20001220703125</v>
      </c>
      <c r="C1460" s="39">
        <v>461.80593872070313</v>
      </c>
      <c r="D1460" s="41">
        <v>757980</v>
      </c>
      <c r="E1460" s="36" t="s">
        <v>653</v>
      </c>
      <c r="F1460" s="36" t="s">
        <v>115</v>
      </c>
    </row>
    <row r="1461" spans="1:6">
      <c r="A1461" s="38">
        <v>44250.15625</v>
      </c>
      <c r="B1461" s="39">
        <v>493.07000732421875</v>
      </c>
      <c r="C1461" s="39">
        <v>460.74996948242188</v>
      </c>
      <c r="D1461" s="41">
        <v>899060</v>
      </c>
      <c r="E1461" s="36" t="s">
        <v>653</v>
      </c>
      <c r="F1461" s="36" t="s">
        <v>115</v>
      </c>
    </row>
    <row r="1462" spans="1:6">
      <c r="A1462" s="38">
        <v>44251.15625</v>
      </c>
      <c r="B1462" s="39">
        <v>499.69000244140625</v>
      </c>
      <c r="C1462" s="39">
        <v>466.93609619140625</v>
      </c>
      <c r="D1462" s="41">
        <v>715040</v>
      </c>
      <c r="E1462" s="36" t="s">
        <v>653</v>
      </c>
      <c r="F1462" s="36" t="s">
        <v>115</v>
      </c>
    </row>
    <row r="1463" spans="1:6">
      <c r="A1463" s="38">
        <v>44252.15625</v>
      </c>
      <c r="B1463" s="39">
        <v>503.3800048828125</v>
      </c>
      <c r="C1463" s="39">
        <v>470.38412475585938</v>
      </c>
      <c r="D1463" s="41">
        <v>662055</v>
      </c>
      <c r="E1463" s="36" t="s">
        <v>653</v>
      </c>
      <c r="F1463" s="36" t="s">
        <v>115</v>
      </c>
    </row>
    <row r="1464" spans="1:6">
      <c r="A1464" s="38">
        <v>44253.15625</v>
      </c>
      <c r="B1464" s="39">
        <v>508.41000366210938</v>
      </c>
      <c r="C1464" s="39">
        <v>475.08444213867188</v>
      </c>
      <c r="D1464" s="41">
        <v>1244740</v>
      </c>
      <c r="E1464" s="36" t="s">
        <v>653</v>
      </c>
      <c r="F1464" s="36" t="s">
        <v>115</v>
      </c>
    </row>
    <row r="1465" spans="1:6">
      <c r="A1465" s="38">
        <v>44256.15625</v>
      </c>
      <c r="B1465" s="39">
        <v>500.83999633789063</v>
      </c>
      <c r="C1465" s="39">
        <v>468.01065063476563</v>
      </c>
      <c r="D1465" s="41">
        <v>614290</v>
      </c>
      <c r="E1465" s="36" t="s">
        <v>653</v>
      </c>
      <c r="F1465" s="36" t="s">
        <v>115</v>
      </c>
    </row>
    <row r="1466" spans="1:6">
      <c r="A1466" s="38">
        <v>44257.15625</v>
      </c>
      <c r="B1466" s="39">
        <v>520.260009765625</v>
      </c>
      <c r="C1466" s="39">
        <v>486.15780639648438</v>
      </c>
      <c r="D1466" s="41">
        <v>1431575</v>
      </c>
      <c r="E1466" s="36" t="s">
        <v>653</v>
      </c>
      <c r="F1466" s="36" t="s">
        <v>115</v>
      </c>
    </row>
    <row r="1467" spans="1:6">
      <c r="A1467" s="38">
        <v>44258.15625</v>
      </c>
      <c r="B1467" s="39">
        <v>534.90997314453125</v>
      </c>
      <c r="C1467" s="39">
        <v>499.84732055664063</v>
      </c>
      <c r="D1467" s="41">
        <v>1630830</v>
      </c>
      <c r="E1467" s="36" t="s">
        <v>653</v>
      </c>
      <c r="F1467" s="36" t="s">
        <v>115</v>
      </c>
    </row>
    <row r="1468" spans="1:6">
      <c r="A1468" s="38">
        <v>44259.15625</v>
      </c>
      <c r="B1468" s="39">
        <v>527.1099853515625</v>
      </c>
      <c r="C1468" s="39">
        <v>492.55868530273438</v>
      </c>
      <c r="D1468" s="41">
        <v>829915</v>
      </c>
      <c r="E1468" s="36" t="s">
        <v>653</v>
      </c>
      <c r="F1468" s="36" t="s">
        <v>115</v>
      </c>
    </row>
    <row r="1469" spans="1:6">
      <c r="A1469" s="38">
        <v>44260.15625</v>
      </c>
      <c r="B1469" s="39">
        <v>517.1300048828125</v>
      </c>
      <c r="C1469" s="39">
        <v>483.23287963867188</v>
      </c>
      <c r="D1469" s="41">
        <v>735210</v>
      </c>
      <c r="E1469" s="36" t="s">
        <v>653</v>
      </c>
      <c r="F1469" s="36" t="s">
        <v>115</v>
      </c>
    </row>
    <row r="1470" spans="1:6">
      <c r="A1470" s="38">
        <v>44263.15625</v>
      </c>
      <c r="B1470" s="39">
        <v>512.6300048828125</v>
      </c>
      <c r="C1470" s="39">
        <v>479.02783203125</v>
      </c>
      <c r="D1470" s="41">
        <v>683940</v>
      </c>
      <c r="E1470" s="36" t="s">
        <v>653</v>
      </c>
      <c r="F1470" s="36" t="s">
        <v>115</v>
      </c>
    </row>
    <row r="1471" spans="1:6">
      <c r="A1471" s="38">
        <v>44264.15625</v>
      </c>
      <c r="B1471" s="39">
        <v>516.55999755859375</v>
      </c>
      <c r="C1471" s="39">
        <v>482.7003173828125</v>
      </c>
      <c r="D1471" s="41">
        <v>942310</v>
      </c>
      <c r="E1471" s="36" t="s">
        <v>653</v>
      </c>
      <c r="F1471" s="36" t="s">
        <v>115</v>
      </c>
    </row>
    <row r="1472" spans="1:6">
      <c r="A1472" s="38">
        <v>44265.15625</v>
      </c>
      <c r="B1472" s="39">
        <v>546.79998779296875</v>
      </c>
      <c r="C1472" s="39">
        <v>510.95809936523438</v>
      </c>
      <c r="D1472" s="41">
        <v>5966690</v>
      </c>
      <c r="E1472" s="36" t="s">
        <v>653</v>
      </c>
      <c r="F1472" s="36" t="s">
        <v>115</v>
      </c>
    </row>
    <row r="1473" spans="1:6">
      <c r="A1473" s="38">
        <v>44267.15625</v>
      </c>
      <c r="B1473" s="39">
        <v>544.41998291015625</v>
      </c>
      <c r="C1473" s="39">
        <v>508.734130859375</v>
      </c>
      <c r="D1473" s="41">
        <v>2381690</v>
      </c>
      <c r="E1473" s="36" t="s">
        <v>653</v>
      </c>
      <c r="F1473" s="36" t="s">
        <v>115</v>
      </c>
    </row>
    <row r="1474" spans="1:6">
      <c r="A1474" s="38">
        <v>44270.15625</v>
      </c>
      <c r="B1474" s="39">
        <v>565.08001708984375</v>
      </c>
      <c r="C1474" s="39">
        <v>528.03985595703125</v>
      </c>
      <c r="D1474" s="41">
        <v>3787275</v>
      </c>
      <c r="E1474" s="36" t="s">
        <v>653</v>
      </c>
      <c r="F1474" s="36" t="s">
        <v>115</v>
      </c>
    </row>
    <row r="1475" spans="1:6">
      <c r="A1475" s="38">
        <v>44271.15625</v>
      </c>
      <c r="B1475" s="39">
        <v>598.71002197265625</v>
      </c>
      <c r="C1475" s="39">
        <v>559.46551513671875</v>
      </c>
      <c r="D1475" s="41">
        <v>6542895</v>
      </c>
      <c r="E1475" s="36" t="s">
        <v>653</v>
      </c>
      <c r="F1475" s="36" t="s">
        <v>115</v>
      </c>
    </row>
    <row r="1476" spans="1:6">
      <c r="A1476" s="38">
        <v>44272.15625</v>
      </c>
      <c r="B1476" s="39">
        <v>589.90997314453125</v>
      </c>
      <c r="C1476" s="39">
        <v>551.2423095703125</v>
      </c>
      <c r="D1476" s="41">
        <v>3920230</v>
      </c>
      <c r="E1476" s="36" t="s">
        <v>653</v>
      </c>
      <c r="F1476" s="36" t="s">
        <v>115</v>
      </c>
    </row>
    <row r="1477" spans="1:6">
      <c r="A1477" s="38">
        <v>44273.15625</v>
      </c>
      <c r="B1477" s="39">
        <v>574.8800048828125</v>
      </c>
      <c r="C1477" s="39">
        <v>537.19757080078125</v>
      </c>
      <c r="D1477" s="41">
        <v>2340265</v>
      </c>
      <c r="E1477" s="36" t="s">
        <v>653</v>
      </c>
      <c r="F1477" s="36" t="s">
        <v>115</v>
      </c>
    </row>
    <row r="1478" spans="1:6">
      <c r="A1478" s="38">
        <v>44274.15625</v>
      </c>
      <c r="B1478" s="39">
        <v>593.3499755859375</v>
      </c>
      <c r="C1478" s="39">
        <v>554.456787109375</v>
      </c>
      <c r="D1478" s="41">
        <v>2407655</v>
      </c>
      <c r="E1478" s="36" t="s">
        <v>653</v>
      </c>
      <c r="F1478" s="36" t="s">
        <v>115</v>
      </c>
    </row>
    <row r="1479" spans="1:6">
      <c r="A1479" s="38">
        <v>44277.15625</v>
      </c>
      <c r="B1479" s="39">
        <v>584.239990234375</v>
      </c>
      <c r="C1479" s="39">
        <v>545.944091796875</v>
      </c>
      <c r="D1479" s="41">
        <v>1628885</v>
      </c>
      <c r="E1479" s="36" t="s">
        <v>653</v>
      </c>
      <c r="F1479" s="36" t="s">
        <v>115</v>
      </c>
    </row>
    <row r="1480" spans="1:6">
      <c r="A1480" s="38">
        <v>44278.15625</v>
      </c>
      <c r="B1480" s="39">
        <v>573.30999755859375</v>
      </c>
      <c r="C1480" s="39">
        <v>535.73052978515625</v>
      </c>
      <c r="D1480" s="41">
        <v>1194565</v>
      </c>
      <c r="E1480" s="36" t="s">
        <v>653</v>
      </c>
      <c r="F1480" s="36" t="s">
        <v>115</v>
      </c>
    </row>
    <row r="1481" spans="1:6">
      <c r="A1481" s="38">
        <v>44279.15625</v>
      </c>
      <c r="B1481" s="39">
        <v>565.1300048828125</v>
      </c>
      <c r="C1481" s="39">
        <v>528.08660888671875</v>
      </c>
      <c r="D1481" s="41">
        <v>1442485</v>
      </c>
      <c r="E1481" s="36" t="s">
        <v>653</v>
      </c>
      <c r="F1481" s="36" t="s">
        <v>115</v>
      </c>
    </row>
    <row r="1482" spans="1:6">
      <c r="A1482" s="38">
        <v>44280.15625</v>
      </c>
      <c r="B1482" s="39">
        <v>550.280029296875</v>
      </c>
      <c r="C1482" s="39">
        <v>514.2098388671875</v>
      </c>
      <c r="D1482" s="41">
        <v>1491445</v>
      </c>
      <c r="E1482" s="36" t="s">
        <v>653</v>
      </c>
      <c r="F1482" s="36" t="s">
        <v>115</v>
      </c>
    </row>
    <row r="1483" spans="1:6">
      <c r="A1483" s="38">
        <v>44281.15625</v>
      </c>
      <c r="B1483" s="39">
        <v>559.21002197265625</v>
      </c>
      <c r="C1483" s="39">
        <v>522.55474853515625</v>
      </c>
      <c r="D1483" s="41">
        <v>1248555</v>
      </c>
      <c r="E1483" s="36" t="s">
        <v>653</v>
      </c>
      <c r="F1483" s="36" t="s">
        <v>115</v>
      </c>
    </row>
    <row r="1484" spans="1:6">
      <c r="A1484" s="38">
        <v>44285.15625</v>
      </c>
      <c r="B1484" s="39">
        <v>592.02001953125</v>
      </c>
      <c r="C1484" s="39">
        <v>553.2139892578125</v>
      </c>
      <c r="D1484" s="41">
        <v>3531770</v>
      </c>
      <c r="E1484" s="36" t="s">
        <v>653</v>
      </c>
      <c r="F1484" s="36" t="s">
        <v>115</v>
      </c>
    </row>
    <row r="1485" spans="1:6">
      <c r="A1485" s="38">
        <v>44286.15625</v>
      </c>
      <c r="B1485" s="39">
        <v>585.3900146484375</v>
      </c>
      <c r="C1485" s="39">
        <v>547.0185546875</v>
      </c>
      <c r="D1485" s="41">
        <v>1687395</v>
      </c>
      <c r="E1485" s="36" t="s">
        <v>653</v>
      </c>
      <c r="F1485" s="36" t="s">
        <v>115</v>
      </c>
    </row>
    <row r="1486" spans="1:6">
      <c r="A1486" s="38">
        <v>44287.15625</v>
      </c>
      <c r="B1486" s="39">
        <v>586.69000244140625</v>
      </c>
      <c r="C1486" s="39">
        <v>548.23333740234375</v>
      </c>
      <c r="D1486" s="41">
        <v>4160505</v>
      </c>
      <c r="E1486" s="36" t="s">
        <v>654</v>
      </c>
      <c r="F1486" s="36" t="s">
        <v>115</v>
      </c>
    </row>
    <row r="1487" spans="1:6">
      <c r="A1487" s="38">
        <v>44291.15625</v>
      </c>
      <c r="B1487" s="39">
        <v>607.32000732421875</v>
      </c>
      <c r="C1487" s="39">
        <v>567.51116943359375</v>
      </c>
      <c r="D1487" s="41">
        <v>3834265</v>
      </c>
      <c r="E1487" s="36" t="s">
        <v>654</v>
      </c>
      <c r="F1487" s="36" t="s">
        <v>115</v>
      </c>
    </row>
    <row r="1488" spans="1:6">
      <c r="A1488" s="38">
        <v>44292.15625</v>
      </c>
      <c r="B1488" s="39">
        <v>599.78997802734375</v>
      </c>
      <c r="C1488" s="39">
        <v>560.4747314453125</v>
      </c>
      <c r="D1488" s="41">
        <v>2558045</v>
      </c>
      <c r="E1488" s="36" t="s">
        <v>654</v>
      </c>
      <c r="F1488" s="36" t="s">
        <v>115</v>
      </c>
    </row>
    <row r="1489" spans="1:6">
      <c r="A1489" s="38">
        <v>44293.15625</v>
      </c>
      <c r="B1489" s="39">
        <v>621.530029296875</v>
      </c>
      <c r="C1489" s="39">
        <v>580.78985595703125</v>
      </c>
      <c r="D1489" s="41">
        <v>4994500</v>
      </c>
      <c r="E1489" s="36" t="s">
        <v>654</v>
      </c>
      <c r="F1489" s="36" t="s">
        <v>115</v>
      </c>
    </row>
    <row r="1490" spans="1:6">
      <c r="A1490" s="38">
        <v>44294.15625</v>
      </c>
      <c r="B1490" s="39">
        <v>615.78997802734375</v>
      </c>
      <c r="C1490" s="39">
        <v>575.42578125</v>
      </c>
      <c r="D1490" s="41">
        <v>3190455</v>
      </c>
      <c r="E1490" s="36" t="s">
        <v>654</v>
      </c>
      <c r="F1490" s="36" t="s">
        <v>115</v>
      </c>
    </row>
    <row r="1491" spans="1:6">
      <c r="A1491" s="38">
        <v>44295.15625</v>
      </c>
      <c r="B1491" s="39">
        <v>633.57000732421875</v>
      </c>
      <c r="C1491" s="39">
        <v>592.04052734375</v>
      </c>
      <c r="D1491" s="41">
        <v>2838575</v>
      </c>
      <c r="E1491" s="36" t="s">
        <v>654</v>
      </c>
      <c r="F1491" s="36" t="s">
        <v>115</v>
      </c>
    </row>
    <row r="1492" spans="1:6">
      <c r="A1492" s="38">
        <v>44298.15625</v>
      </c>
      <c r="B1492" s="39">
        <v>623.65997314453125</v>
      </c>
      <c r="C1492" s="39">
        <v>582.780029296875</v>
      </c>
      <c r="D1492" s="41">
        <v>3431220</v>
      </c>
      <c r="E1492" s="36" t="s">
        <v>654</v>
      </c>
      <c r="F1492" s="36" t="s">
        <v>115</v>
      </c>
    </row>
    <row r="1493" spans="1:6">
      <c r="A1493" s="38">
        <v>44299.15625</v>
      </c>
      <c r="B1493" s="39">
        <v>578.0999755859375</v>
      </c>
      <c r="C1493" s="39">
        <v>540.20648193359375</v>
      </c>
      <c r="D1493" s="41">
        <v>5961640</v>
      </c>
      <c r="E1493" s="36" t="s">
        <v>654</v>
      </c>
      <c r="F1493" s="36" t="s">
        <v>115</v>
      </c>
    </row>
    <row r="1494" spans="1:6">
      <c r="A1494" s="38">
        <v>44301.15625</v>
      </c>
      <c r="B1494" s="39">
        <v>609.010009765625</v>
      </c>
      <c r="C1494" s="39">
        <v>569.0902099609375</v>
      </c>
      <c r="D1494" s="41">
        <v>5986190</v>
      </c>
      <c r="E1494" s="36" t="s">
        <v>654</v>
      </c>
      <c r="F1494" s="36" t="s">
        <v>115</v>
      </c>
    </row>
    <row r="1495" spans="1:6">
      <c r="A1495" s="38">
        <v>44302.15625</v>
      </c>
      <c r="B1495" s="39">
        <v>634.3900146484375</v>
      </c>
      <c r="C1495" s="39">
        <v>592.80670166015625</v>
      </c>
      <c r="D1495" s="41">
        <v>5592730</v>
      </c>
      <c r="E1495" s="36" t="s">
        <v>654</v>
      </c>
      <c r="F1495" s="36" t="s">
        <v>115</v>
      </c>
    </row>
    <row r="1496" spans="1:6">
      <c r="A1496" s="38">
        <v>44305.15625</v>
      </c>
      <c r="B1496" s="39">
        <v>622.33001708984375</v>
      </c>
      <c r="C1496" s="39">
        <v>581.5372314453125</v>
      </c>
      <c r="D1496" s="41">
        <v>2620075</v>
      </c>
      <c r="E1496" s="36" t="s">
        <v>654</v>
      </c>
      <c r="F1496" s="36" t="s">
        <v>115</v>
      </c>
    </row>
    <row r="1497" spans="1:6">
      <c r="A1497" s="38">
        <v>44306.15625</v>
      </c>
      <c r="B1497" s="39">
        <v>602</v>
      </c>
      <c r="C1497" s="39">
        <v>562.539794921875</v>
      </c>
      <c r="D1497" s="41">
        <v>2472790</v>
      </c>
      <c r="E1497" s="36" t="s">
        <v>654</v>
      </c>
      <c r="F1497" s="36" t="s">
        <v>115</v>
      </c>
    </row>
    <row r="1498" spans="1:6">
      <c r="A1498" s="38">
        <v>44308.15625</v>
      </c>
      <c r="B1498" s="39">
        <v>575.78997802734375</v>
      </c>
      <c r="C1498" s="39">
        <v>538.0479736328125</v>
      </c>
      <c r="D1498" s="41">
        <v>2658120</v>
      </c>
      <c r="E1498" s="36" t="s">
        <v>654</v>
      </c>
      <c r="F1498" s="36" t="s">
        <v>115</v>
      </c>
    </row>
    <row r="1499" spans="1:6">
      <c r="A1499" s="38">
        <v>44309.15625</v>
      </c>
      <c r="B1499" s="39">
        <v>570.20001220703125</v>
      </c>
      <c r="C1499" s="39">
        <v>532.82415771484375</v>
      </c>
      <c r="D1499" s="41">
        <v>3275110</v>
      </c>
      <c r="E1499" s="36" t="s">
        <v>654</v>
      </c>
      <c r="F1499" s="36" t="s">
        <v>115</v>
      </c>
    </row>
    <row r="1500" spans="1:6">
      <c r="A1500" s="38">
        <v>44312.15625</v>
      </c>
      <c r="B1500" s="39">
        <v>561.6199951171875</v>
      </c>
      <c r="C1500" s="39">
        <v>524.80670166015625</v>
      </c>
      <c r="D1500" s="41">
        <v>1908955</v>
      </c>
      <c r="E1500" s="36" t="s">
        <v>654</v>
      </c>
      <c r="F1500" s="36" t="s">
        <v>115</v>
      </c>
    </row>
    <row r="1501" spans="1:6">
      <c r="A1501" s="38">
        <v>44313.15625</v>
      </c>
      <c r="B1501" s="39">
        <v>567.6199951171875</v>
      </c>
      <c r="C1501" s="39">
        <v>530.41326904296875</v>
      </c>
      <c r="D1501" s="41">
        <v>2209945</v>
      </c>
      <c r="E1501" s="36" t="s">
        <v>654</v>
      </c>
      <c r="F1501" s="36" t="s">
        <v>115</v>
      </c>
    </row>
    <row r="1502" spans="1:6">
      <c r="A1502" s="38">
        <v>44314.15625</v>
      </c>
      <c r="B1502" s="39">
        <v>573.6400146484375</v>
      </c>
      <c r="C1502" s="39">
        <v>536.03875732421875</v>
      </c>
      <c r="D1502" s="41">
        <v>1493045</v>
      </c>
      <c r="E1502" s="36" t="s">
        <v>654</v>
      </c>
      <c r="F1502" s="36" t="s">
        <v>115</v>
      </c>
    </row>
    <row r="1503" spans="1:6">
      <c r="A1503" s="38">
        <v>44315.15625</v>
      </c>
      <c r="B1503" s="39">
        <v>568.94000244140625</v>
      </c>
      <c r="C1503" s="39">
        <v>531.6468505859375</v>
      </c>
      <c r="D1503" s="41">
        <v>1982985</v>
      </c>
      <c r="E1503" s="36" t="s">
        <v>654</v>
      </c>
      <c r="F1503" s="36" t="s">
        <v>115</v>
      </c>
    </row>
    <row r="1504" spans="1:6">
      <c r="A1504" s="38">
        <v>44316.15625</v>
      </c>
      <c r="B1504" s="39">
        <v>573.80999755859375</v>
      </c>
      <c r="C1504" s="39">
        <v>536.1976318359375</v>
      </c>
      <c r="D1504" s="41">
        <v>2367985</v>
      </c>
      <c r="E1504" s="36" t="s">
        <v>654</v>
      </c>
      <c r="F1504" s="36" t="s">
        <v>115</v>
      </c>
    </row>
    <row r="1505" spans="1:6">
      <c r="A1505" s="38">
        <v>44319.15625</v>
      </c>
      <c r="B1505" s="39">
        <v>580.54998779296875</v>
      </c>
      <c r="C1505" s="39">
        <v>542.49578857421875</v>
      </c>
      <c r="D1505" s="41">
        <v>1336610</v>
      </c>
      <c r="E1505" s="36" t="s">
        <v>654</v>
      </c>
      <c r="F1505" s="36" t="s">
        <v>115</v>
      </c>
    </row>
    <row r="1506" spans="1:6">
      <c r="A1506" s="38">
        <v>44320.15625</v>
      </c>
      <c r="B1506" s="39">
        <v>570.05999755859375</v>
      </c>
      <c r="C1506" s="39">
        <v>532.6934814453125</v>
      </c>
      <c r="D1506" s="41">
        <v>1458600</v>
      </c>
      <c r="E1506" s="36" t="s">
        <v>654</v>
      </c>
      <c r="F1506" s="36" t="s">
        <v>115</v>
      </c>
    </row>
    <row r="1507" spans="1:6">
      <c r="A1507" s="38">
        <v>44321.15625</v>
      </c>
      <c r="B1507" s="39">
        <v>578.54998779296875</v>
      </c>
      <c r="C1507" s="39">
        <v>540.626953125</v>
      </c>
      <c r="D1507" s="41">
        <v>1282900</v>
      </c>
      <c r="E1507" s="36" t="s">
        <v>654</v>
      </c>
      <c r="F1507" s="36" t="s">
        <v>115</v>
      </c>
    </row>
    <row r="1508" spans="1:6">
      <c r="A1508" s="38">
        <v>44322.15625</v>
      </c>
      <c r="B1508" s="39">
        <v>679.22998046875</v>
      </c>
      <c r="C1508" s="39">
        <v>634.7073974609375</v>
      </c>
      <c r="D1508" s="41">
        <v>32049845</v>
      </c>
      <c r="E1508" s="36" t="s">
        <v>654</v>
      </c>
      <c r="F1508" s="36" t="s">
        <v>115</v>
      </c>
    </row>
    <row r="1509" spans="1:6">
      <c r="A1509" s="38">
        <v>44323.15625</v>
      </c>
      <c r="B1509" s="39">
        <v>676.1500244140625</v>
      </c>
      <c r="C1509" s="39">
        <v>631.82958984375</v>
      </c>
      <c r="D1509" s="41">
        <v>16913630</v>
      </c>
      <c r="E1509" s="36" t="s">
        <v>654</v>
      </c>
      <c r="F1509" s="36" t="s">
        <v>115</v>
      </c>
    </row>
    <row r="1510" spans="1:6">
      <c r="A1510" s="38">
        <v>44326.15625</v>
      </c>
      <c r="B1510" s="39">
        <v>644.41998291015625</v>
      </c>
      <c r="C1510" s="39">
        <v>602.17919921875</v>
      </c>
      <c r="D1510" s="41">
        <v>12028800</v>
      </c>
      <c r="E1510" s="36" t="s">
        <v>654</v>
      </c>
      <c r="F1510" s="36" t="s">
        <v>115</v>
      </c>
    </row>
    <row r="1511" spans="1:6">
      <c r="A1511" s="38">
        <v>44327.15625</v>
      </c>
      <c r="B1511" s="39">
        <v>683.67999267578125</v>
      </c>
      <c r="C1511" s="39">
        <v>638.86572265625</v>
      </c>
      <c r="D1511" s="41">
        <v>11320615</v>
      </c>
      <c r="E1511" s="36" t="s">
        <v>654</v>
      </c>
      <c r="F1511" s="36" t="s">
        <v>115</v>
      </c>
    </row>
    <row r="1512" spans="1:6">
      <c r="A1512" s="38">
        <v>44328.15625</v>
      </c>
      <c r="B1512" s="39">
        <v>678.41998291015625</v>
      </c>
      <c r="C1512" s="39">
        <v>633.95062255859375</v>
      </c>
      <c r="D1512" s="41">
        <v>4072760</v>
      </c>
      <c r="E1512" s="36" t="s">
        <v>654</v>
      </c>
      <c r="F1512" s="36" t="s">
        <v>115</v>
      </c>
    </row>
    <row r="1513" spans="1:6">
      <c r="A1513" s="38">
        <v>44330.15625</v>
      </c>
      <c r="B1513" s="39">
        <v>669.90997314453125</v>
      </c>
      <c r="C1513" s="39">
        <v>625.99859619140625</v>
      </c>
      <c r="D1513" s="41">
        <v>1972490</v>
      </c>
      <c r="E1513" s="36" t="s">
        <v>654</v>
      </c>
      <c r="F1513" s="36" t="s">
        <v>115</v>
      </c>
    </row>
    <row r="1514" spans="1:6">
      <c r="A1514" s="38">
        <v>44333.15625</v>
      </c>
      <c r="B1514" s="39">
        <v>673.489990234375</v>
      </c>
      <c r="C1514" s="39">
        <v>629.34368896484375</v>
      </c>
      <c r="D1514" s="41">
        <v>3522760</v>
      </c>
      <c r="E1514" s="36" t="s">
        <v>654</v>
      </c>
      <c r="F1514" s="36" t="s">
        <v>115</v>
      </c>
    </row>
    <row r="1515" spans="1:6">
      <c r="A1515" s="38">
        <v>44334.15625</v>
      </c>
      <c r="B1515" s="39">
        <v>686.03997802734375</v>
      </c>
      <c r="C1515" s="39">
        <v>643.5555419921875</v>
      </c>
      <c r="D1515" s="41">
        <v>4411370</v>
      </c>
      <c r="E1515" s="36" t="s">
        <v>654</v>
      </c>
      <c r="F1515" s="36" t="s">
        <v>115</v>
      </c>
    </row>
    <row r="1516" spans="1:6">
      <c r="A1516" s="38">
        <v>44335.15625</v>
      </c>
      <c r="B1516" s="39">
        <v>655.54998779296875</v>
      </c>
      <c r="C1516" s="39">
        <v>614.95367431640625</v>
      </c>
      <c r="D1516" s="41">
        <v>17401305</v>
      </c>
      <c r="E1516" s="36" t="s">
        <v>654</v>
      </c>
      <c r="F1516" s="36" t="s">
        <v>115</v>
      </c>
    </row>
    <row r="1517" spans="1:6">
      <c r="A1517" s="38">
        <v>44336.15625</v>
      </c>
      <c r="B1517" s="39">
        <v>664.6400146484375</v>
      </c>
      <c r="C1517" s="39">
        <v>623.48077392578125</v>
      </c>
      <c r="D1517" s="41">
        <v>6574495</v>
      </c>
      <c r="E1517" s="36" t="s">
        <v>654</v>
      </c>
      <c r="F1517" s="36" t="s">
        <v>115</v>
      </c>
    </row>
    <row r="1518" spans="1:6">
      <c r="A1518" s="38">
        <v>44337.15625</v>
      </c>
      <c r="B1518" s="39">
        <v>666.03997802734375</v>
      </c>
      <c r="C1518" s="39">
        <v>624.79412841796875</v>
      </c>
      <c r="D1518" s="41">
        <v>4336615</v>
      </c>
      <c r="E1518" s="36" t="s">
        <v>654</v>
      </c>
      <c r="F1518" s="36" t="s">
        <v>115</v>
      </c>
    </row>
    <row r="1519" spans="1:6">
      <c r="A1519" s="38">
        <v>44340.15625</v>
      </c>
      <c r="B1519" s="39">
        <v>658.08001708984375</v>
      </c>
      <c r="C1519" s="39">
        <v>617.3270263671875</v>
      </c>
      <c r="D1519" s="41">
        <v>3199500</v>
      </c>
      <c r="E1519" s="36" t="s">
        <v>654</v>
      </c>
      <c r="F1519" s="36" t="s">
        <v>115</v>
      </c>
    </row>
    <row r="1520" spans="1:6">
      <c r="A1520" s="38">
        <v>44341.15625</v>
      </c>
      <c r="B1520" s="39">
        <v>668.3599853515625</v>
      </c>
      <c r="C1520" s="39">
        <v>626.9703369140625</v>
      </c>
      <c r="D1520" s="41">
        <v>2608445</v>
      </c>
      <c r="E1520" s="36" t="s">
        <v>654</v>
      </c>
      <c r="F1520" s="36" t="s">
        <v>115</v>
      </c>
    </row>
    <row r="1521" spans="1:6">
      <c r="A1521" s="38">
        <v>44342.15625</v>
      </c>
      <c r="B1521" s="39">
        <v>696.92999267578125</v>
      </c>
      <c r="C1521" s="39">
        <v>653.7711181640625</v>
      </c>
      <c r="D1521" s="41">
        <v>6790850</v>
      </c>
      <c r="E1521" s="36" t="s">
        <v>654</v>
      </c>
      <c r="F1521" s="36" t="s">
        <v>115</v>
      </c>
    </row>
    <row r="1522" spans="1:6">
      <c r="A1522" s="38">
        <v>44343.15625</v>
      </c>
      <c r="B1522" s="39">
        <v>699.17999267578125</v>
      </c>
      <c r="C1522" s="39">
        <v>655.8818359375</v>
      </c>
      <c r="D1522" s="41">
        <v>6336315</v>
      </c>
      <c r="E1522" s="36" t="s">
        <v>654</v>
      </c>
      <c r="F1522" s="36" t="s">
        <v>115</v>
      </c>
    </row>
    <row r="1523" spans="1:6">
      <c r="A1523" s="38">
        <v>44344.15625</v>
      </c>
      <c r="B1523" s="39">
        <v>708.6099853515625</v>
      </c>
      <c r="C1523" s="39">
        <v>664.727783203125</v>
      </c>
      <c r="D1523" s="41">
        <v>3249890</v>
      </c>
      <c r="E1523" s="36" t="s">
        <v>654</v>
      </c>
      <c r="F1523" s="36" t="s">
        <v>115</v>
      </c>
    </row>
    <row r="1524" spans="1:6">
      <c r="A1524" s="38">
        <v>44347.15625</v>
      </c>
      <c r="B1524" s="39">
        <v>705.8800048828125</v>
      </c>
      <c r="C1524" s="39">
        <v>662.1669921875</v>
      </c>
      <c r="D1524" s="41">
        <v>2091285</v>
      </c>
      <c r="E1524" s="36" t="s">
        <v>654</v>
      </c>
      <c r="F1524" s="36" t="s">
        <v>115</v>
      </c>
    </row>
    <row r="1525" spans="1:6">
      <c r="A1525" s="38">
        <v>44348.15625</v>
      </c>
      <c r="B1525" s="39">
        <v>717.719970703125</v>
      </c>
      <c r="C1525" s="39">
        <v>673.273681640625</v>
      </c>
      <c r="D1525" s="41">
        <v>2143215</v>
      </c>
      <c r="E1525" s="36" t="s">
        <v>654</v>
      </c>
      <c r="F1525" s="36" t="s">
        <v>115</v>
      </c>
    </row>
    <row r="1526" spans="1:6">
      <c r="A1526" s="38">
        <v>44349.15625</v>
      </c>
      <c r="B1526" s="39">
        <v>715.1300048828125</v>
      </c>
      <c r="C1526" s="39">
        <v>670.843994140625</v>
      </c>
      <c r="D1526" s="41">
        <v>1854275</v>
      </c>
      <c r="E1526" s="36" t="s">
        <v>654</v>
      </c>
      <c r="F1526" s="36" t="s">
        <v>115</v>
      </c>
    </row>
    <row r="1527" spans="1:6">
      <c r="A1527" s="38">
        <v>44350.15625</v>
      </c>
      <c r="B1527" s="39">
        <v>728.8900146484375</v>
      </c>
      <c r="C1527" s="39">
        <v>683.75189208984375</v>
      </c>
      <c r="D1527" s="41">
        <v>2592260</v>
      </c>
      <c r="E1527" s="36" t="s">
        <v>654</v>
      </c>
      <c r="F1527" s="36" t="s">
        <v>115</v>
      </c>
    </row>
    <row r="1528" spans="1:6">
      <c r="A1528" s="38">
        <v>44351.15625</v>
      </c>
      <c r="B1528" s="39">
        <v>738.82000732421875</v>
      </c>
      <c r="C1528" s="39">
        <v>693.06707763671875</v>
      </c>
      <c r="D1528" s="41">
        <v>3317350</v>
      </c>
      <c r="E1528" s="36" t="s">
        <v>654</v>
      </c>
      <c r="F1528" s="36" t="s">
        <v>115</v>
      </c>
    </row>
    <row r="1529" spans="1:6">
      <c r="A1529" s="38">
        <v>44354.15625</v>
      </c>
      <c r="B1529" s="39">
        <v>742.67999267578125</v>
      </c>
      <c r="C1529" s="39">
        <v>696.68792724609375</v>
      </c>
      <c r="D1529" s="41">
        <v>1682710</v>
      </c>
      <c r="E1529" s="36" t="s">
        <v>654</v>
      </c>
      <c r="F1529" s="36" t="s">
        <v>115</v>
      </c>
    </row>
    <row r="1530" spans="1:6">
      <c r="A1530" s="38">
        <v>44355.15625</v>
      </c>
      <c r="B1530" s="39">
        <v>764.82000732421875</v>
      </c>
      <c r="C1530" s="39">
        <v>717.45684814453125</v>
      </c>
      <c r="D1530" s="41">
        <v>4793045</v>
      </c>
      <c r="E1530" s="36" t="s">
        <v>654</v>
      </c>
      <c r="F1530" s="36" t="s">
        <v>115</v>
      </c>
    </row>
    <row r="1531" spans="1:6">
      <c r="A1531" s="38">
        <v>44356.15625</v>
      </c>
      <c r="B1531" s="39">
        <v>769.71002197265625</v>
      </c>
      <c r="C1531" s="39">
        <v>722.0440673828125</v>
      </c>
      <c r="D1531" s="41">
        <v>5519795</v>
      </c>
      <c r="E1531" s="36" t="s">
        <v>654</v>
      </c>
      <c r="F1531" s="36" t="s">
        <v>115</v>
      </c>
    </row>
    <row r="1532" spans="1:6">
      <c r="A1532" s="38">
        <v>44357.15625</v>
      </c>
      <c r="B1532" s="39">
        <v>779.3800048828125</v>
      </c>
      <c r="C1532" s="39">
        <v>731.1151123046875</v>
      </c>
      <c r="D1532" s="41">
        <v>1970480</v>
      </c>
      <c r="E1532" s="36" t="s">
        <v>654</v>
      </c>
      <c r="F1532" s="36" t="s">
        <v>115</v>
      </c>
    </row>
    <row r="1533" spans="1:6">
      <c r="A1533" s="38">
        <v>44358.15625</v>
      </c>
      <c r="B1533" s="39">
        <v>795.78997802734375</v>
      </c>
      <c r="C1533" s="39">
        <v>746.50897216796875</v>
      </c>
      <c r="D1533" s="41">
        <v>3007350</v>
      </c>
      <c r="E1533" s="36" t="s">
        <v>654</v>
      </c>
      <c r="F1533" s="36" t="s">
        <v>115</v>
      </c>
    </row>
    <row r="1534" spans="1:6">
      <c r="A1534" s="38">
        <v>44361.15625</v>
      </c>
      <c r="B1534" s="39">
        <v>781.69000244140625</v>
      </c>
      <c r="C1534" s="39">
        <v>733.2822265625</v>
      </c>
      <c r="D1534" s="41">
        <v>2233795</v>
      </c>
      <c r="E1534" s="36" t="s">
        <v>654</v>
      </c>
      <c r="F1534" s="36" t="s">
        <v>115</v>
      </c>
    </row>
    <row r="1535" spans="1:6">
      <c r="A1535" s="38">
        <v>44362.15625</v>
      </c>
      <c r="B1535" s="39">
        <v>788.969970703125</v>
      </c>
      <c r="C1535" s="39">
        <v>740.11126708984375</v>
      </c>
      <c r="D1535" s="41">
        <v>1401320</v>
      </c>
      <c r="E1535" s="36" t="s">
        <v>654</v>
      </c>
      <c r="F1535" s="36" t="s">
        <v>115</v>
      </c>
    </row>
    <row r="1536" spans="1:6">
      <c r="A1536" s="38">
        <v>44363.15625</v>
      </c>
      <c r="B1536" s="39">
        <v>795.5</v>
      </c>
      <c r="C1536" s="39">
        <v>746.2371826171875</v>
      </c>
      <c r="D1536" s="41">
        <v>2259420</v>
      </c>
      <c r="E1536" s="36" t="s">
        <v>654</v>
      </c>
      <c r="F1536" s="36" t="s">
        <v>115</v>
      </c>
    </row>
    <row r="1537" spans="1:6">
      <c r="A1537" s="38">
        <v>44364.15625</v>
      </c>
      <c r="B1537" s="39">
        <v>795.719970703125</v>
      </c>
      <c r="C1537" s="39">
        <v>746.44329833984375</v>
      </c>
      <c r="D1537" s="41">
        <v>1149330</v>
      </c>
      <c r="E1537" s="36" t="s">
        <v>654</v>
      </c>
      <c r="F1537" s="36" t="s">
        <v>115</v>
      </c>
    </row>
    <row r="1538" spans="1:6">
      <c r="A1538" s="38">
        <v>44365.15625</v>
      </c>
      <c r="B1538" s="39">
        <v>794.21002197265625</v>
      </c>
      <c r="C1538" s="39">
        <v>745.0269775390625</v>
      </c>
      <c r="D1538" s="41">
        <v>2062375</v>
      </c>
      <c r="E1538" s="36" t="s">
        <v>654</v>
      </c>
      <c r="F1538" s="36" t="s">
        <v>115</v>
      </c>
    </row>
    <row r="1539" spans="1:6">
      <c r="A1539" s="38">
        <v>44368.15625</v>
      </c>
      <c r="B1539" s="39">
        <v>801.72998046875</v>
      </c>
      <c r="C1539" s="39">
        <v>752.0810546875</v>
      </c>
      <c r="D1539" s="41">
        <v>1495135</v>
      </c>
      <c r="E1539" s="36" t="s">
        <v>654</v>
      </c>
      <c r="F1539" s="36" t="s">
        <v>115</v>
      </c>
    </row>
    <row r="1540" spans="1:6">
      <c r="A1540" s="38">
        <v>44369.15625</v>
      </c>
      <c r="B1540" s="39">
        <v>795.72998046875</v>
      </c>
      <c r="C1540" s="39">
        <v>746.4527587890625</v>
      </c>
      <c r="D1540" s="41">
        <v>1396125</v>
      </c>
      <c r="E1540" s="36" t="s">
        <v>654</v>
      </c>
      <c r="F1540" s="36" t="s">
        <v>115</v>
      </c>
    </row>
    <row r="1541" spans="1:6">
      <c r="A1541" s="38">
        <v>44370.15625</v>
      </c>
      <c r="B1541" s="39">
        <v>787.16998291015625</v>
      </c>
      <c r="C1541" s="39">
        <v>738.42291259765625</v>
      </c>
      <c r="D1541" s="41">
        <v>1485805</v>
      </c>
      <c r="E1541" s="36" t="s">
        <v>654</v>
      </c>
      <c r="F1541" s="36" t="s">
        <v>115</v>
      </c>
    </row>
    <row r="1542" spans="1:6">
      <c r="A1542" s="38">
        <v>44371.15625</v>
      </c>
      <c r="B1542" s="39">
        <v>814.57000732421875</v>
      </c>
      <c r="C1542" s="39">
        <v>764.1259765625</v>
      </c>
      <c r="D1542" s="41">
        <v>2285585</v>
      </c>
      <c r="E1542" s="36" t="s">
        <v>654</v>
      </c>
      <c r="F1542" s="36" t="s">
        <v>115</v>
      </c>
    </row>
    <row r="1543" spans="1:6">
      <c r="A1543" s="38">
        <v>44372.15625</v>
      </c>
      <c r="B1543" s="39">
        <v>819.53997802734375</v>
      </c>
      <c r="C1543" s="39">
        <v>768.7882080078125</v>
      </c>
      <c r="D1543" s="41">
        <v>2743020</v>
      </c>
      <c r="E1543" s="36" t="s">
        <v>654</v>
      </c>
      <c r="F1543" s="36" t="s">
        <v>115</v>
      </c>
    </row>
    <row r="1544" spans="1:6">
      <c r="A1544" s="38">
        <v>44375.15625</v>
      </c>
      <c r="B1544" s="39">
        <v>824.489990234375</v>
      </c>
      <c r="C1544" s="39">
        <v>773.4317626953125</v>
      </c>
      <c r="D1544" s="41">
        <v>1007805</v>
      </c>
      <c r="E1544" s="36" t="s">
        <v>654</v>
      </c>
      <c r="F1544" s="36" t="s">
        <v>115</v>
      </c>
    </row>
    <row r="1545" spans="1:6">
      <c r="A1545" s="38">
        <v>44376.15625</v>
      </c>
      <c r="B1545" s="39">
        <v>812.260009765625</v>
      </c>
      <c r="C1545" s="39">
        <v>761.9591064453125</v>
      </c>
      <c r="D1545" s="41">
        <v>1447140</v>
      </c>
      <c r="E1545" s="36" t="s">
        <v>654</v>
      </c>
      <c r="F1545" s="36" t="s">
        <v>115</v>
      </c>
    </row>
    <row r="1546" spans="1:6">
      <c r="A1546" s="38">
        <v>44377.15625</v>
      </c>
      <c r="B1546" s="39">
        <v>831.46002197265625</v>
      </c>
      <c r="C1546" s="39">
        <v>779.97003173828125</v>
      </c>
      <c r="D1546" s="41">
        <v>1950235</v>
      </c>
      <c r="E1546" s="36" t="s">
        <v>654</v>
      </c>
      <c r="F1546" s="36" t="s">
        <v>115</v>
      </c>
    </row>
    <row r="1547" spans="1:6">
      <c r="A1547" s="38">
        <v>44378.15625</v>
      </c>
      <c r="B1547" s="39">
        <v>838.719970703125</v>
      </c>
      <c r="C1547" s="39">
        <v>786.78057861328125</v>
      </c>
      <c r="D1547" s="41">
        <v>1421355</v>
      </c>
      <c r="E1547" s="36" t="s">
        <v>654</v>
      </c>
      <c r="F1547" s="36" t="s">
        <v>115</v>
      </c>
    </row>
    <row r="1548" spans="1:6">
      <c r="A1548" s="38">
        <v>44379.15625</v>
      </c>
      <c r="B1548" s="39">
        <v>839.3900146484375</v>
      </c>
      <c r="C1548" s="39">
        <v>787.40899658203125</v>
      </c>
      <c r="D1548" s="41">
        <v>3569205</v>
      </c>
      <c r="E1548" s="36" t="s">
        <v>654</v>
      </c>
      <c r="F1548" s="36" t="s">
        <v>115</v>
      </c>
    </row>
    <row r="1549" spans="1:6">
      <c r="A1549" s="38">
        <v>44382.15625</v>
      </c>
      <c r="B1549" s="39">
        <v>843.84002685546875</v>
      </c>
      <c r="C1549" s="39">
        <v>791.58355712890625</v>
      </c>
      <c r="D1549" s="41">
        <v>2072410</v>
      </c>
      <c r="E1549" s="36" t="s">
        <v>654</v>
      </c>
      <c r="F1549" s="36" t="s">
        <v>115</v>
      </c>
    </row>
    <row r="1550" spans="1:6">
      <c r="A1550" s="38">
        <v>44383.15625</v>
      </c>
      <c r="B1550" s="39">
        <v>838.6300048828125</v>
      </c>
      <c r="C1550" s="39">
        <v>786.696044921875</v>
      </c>
      <c r="D1550" s="41">
        <v>2265260</v>
      </c>
      <c r="E1550" s="36" t="s">
        <v>654</v>
      </c>
      <c r="F1550" s="36" t="s">
        <v>115</v>
      </c>
    </row>
    <row r="1551" spans="1:6">
      <c r="A1551" s="38">
        <v>44384.15625</v>
      </c>
      <c r="B1551" s="39">
        <v>849.010009765625</v>
      </c>
      <c r="C1551" s="39">
        <v>796.43341064453125</v>
      </c>
      <c r="D1551" s="41">
        <v>1824535</v>
      </c>
      <c r="E1551" s="36" t="s">
        <v>654</v>
      </c>
      <c r="F1551" s="36" t="s">
        <v>115</v>
      </c>
    </row>
    <row r="1552" spans="1:6">
      <c r="A1552" s="38">
        <v>44385.15625</v>
      </c>
      <c r="B1552" s="39">
        <v>892.91998291015625</v>
      </c>
      <c r="C1552" s="39">
        <v>837.62396240234375</v>
      </c>
      <c r="D1552" s="41">
        <v>4310350</v>
      </c>
      <c r="E1552" s="36" t="s">
        <v>654</v>
      </c>
      <c r="F1552" s="36" t="s">
        <v>115</v>
      </c>
    </row>
    <row r="1553" spans="1:6">
      <c r="A1553" s="38">
        <v>44386.15625</v>
      </c>
      <c r="B1553" s="39">
        <v>871.30999755859375</v>
      </c>
      <c r="C1553" s="39">
        <v>817.352294921875</v>
      </c>
      <c r="D1553" s="41">
        <v>3895510</v>
      </c>
      <c r="E1553" s="36" t="s">
        <v>654</v>
      </c>
      <c r="F1553" s="36" t="s">
        <v>115</v>
      </c>
    </row>
    <row r="1554" spans="1:6">
      <c r="A1554" s="38">
        <v>44389.15625</v>
      </c>
      <c r="B1554" s="39">
        <v>877.6500244140625</v>
      </c>
      <c r="C1554" s="39">
        <v>823.2996826171875</v>
      </c>
      <c r="D1554" s="41">
        <v>1992500</v>
      </c>
      <c r="E1554" s="36" t="s">
        <v>654</v>
      </c>
      <c r="F1554" s="36" t="s">
        <v>115</v>
      </c>
    </row>
    <row r="1555" spans="1:6">
      <c r="A1555" s="38">
        <v>44390.15625</v>
      </c>
      <c r="B1555" s="39">
        <v>864.07000732421875</v>
      </c>
      <c r="C1555" s="39">
        <v>810.56060791015625</v>
      </c>
      <c r="D1555" s="41">
        <v>1043785</v>
      </c>
      <c r="E1555" s="36" t="s">
        <v>654</v>
      </c>
      <c r="F1555" s="36" t="s">
        <v>115</v>
      </c>
    </row>
    <row r="1556" spans="1:6">
      <c r="A1556" s="38">
        <v>44391.15625</v>
      </c>
      <c r="B1556" s="39">
        <v>906.94000244140625</v>
      </c>
      <c r="C1556" s="39">
        <v>850.77587890625</v>
      </c>
      <c r="D1556" s="41">
        <v>4652070</v>
      </c>
      <c r="E1556" s="36" t="s">
        <v>654</v>
      </c>
      <c r="F1556" s="36" t="s">
        <v>115</v>
      </c>
    </row>
    <row r="1557" spans="1:6">
      <c r="A1557" s="38">
        <v>44392.15625</v>
      </c>
      <c r="B1557" s="39">
        <v>917.91998291015625</v>
      </c>
      <c r="C1557" s="39">
        <v>861.07574462890625</v>
      </c>
      <c r="D1557" s="41">
        <v>2638060</v>
      </c>
      <c r="E1557" s="36" t="s">
        <v>654</v>
      </c>
      <c r="F1557" s="36" t="s">
        <v>115</v>
      </c>
    </row>
    <row r="1558" spans="1:6">
      <c r="A1558" s="38">
        <v>44393.15625</v>
      </c>
      <c r="B1558" s="39">
        <v>909.54998779296875</v>
      </c>
      <c r="C1558" s="39">
        <v>853.22430419921875</v>
      </c>
      <c r="D1558" s="41">
        <v>1420715</v>
      </c>
      <c r="E1558" s="36" t="s">
        <v>654</v>
      </c>
      <c r="F1558" s="36" t="s">
        <v>115</v>
      </c>
    </row>
    <row r="1559" spans="1:6">
      <c r="A1559" s="38">
        <v>44396.15625</v>
      </c>
      <c r="B1559" s="39">
        <v>908.8900146484375</v>
      </c>
      <c r="C1559" s="39">
        <v>852.60516357421875</v>
      </c>
      <c r="D1559" s="41">
        <v>1742540</v>
      </c>
      <c r="E1559" s="36" t="s">
        <v>654</v>
      </c>
      <c r="F1559" s="36" t="s">
        <v>115</v>
      </c>
    </row>
    <row r="1560" spans="1:6">
      <c r="A1560" s="38">
        <v>44397.15625</v>
      </c>
      <c r="B1560" s="39">
        <v>908.260009765625</v>
      </c>
      <c r="C1560" s="39">
        <v>852.01416015625</v>
      </c>
      <c r="D1560" s="41">
        <v>1550420</v>
      </c>
      <c r="E1560" s="36" t="s">
        <v>654</v>
      </c>
      <c r="F1560" s="36" t="s">
        <v>115</v>
      </c>
    </row>
    <row r="1561" spans="1:6">
      <c r="A1561" s="38">
        <v>44399.15625</v>
      </c>
      <c r="B1561" s="39">
        <v>932.6400146484375</v>
      </c>
      <c r="C1561" s="39">
        <v>874.88433837890625</v>
      </c>
      <c r="D1561" s="41">
        <v>1583780</v>
      </c>
      <c r="E1561" s="36" t="s">
        <v>654</v>
      </c>
      <c r="F1561" s="36" t="s">
        <v>115</v>
      </c>
    </row>
    <row r="1562" spans="1:6">
      <c r="A1562" s="38">
        <v>44400.15625</v>
      </c>
      <c r="B1562" s="39">
        <v>937.69000244140625</v>
      </c>
      <c r="C1562" s="39">
        <v>879.62158203125</v>
      </c>
      <c r="D1562" s="41">
        <v>1853780</v>
      </c>
      <c r="E1562" s="36" t="s">
        <v>654</v>
      </c>
      <c r="F1562" s="36" t="s">
        <v>115</v>
      </c>
    </row>
    <row r="1563" spans="1:6">
      <c r="A1563" s="38">
        <v>44403.15625</v>
      </c>
      <c r="B1563" s="39">
        <v>943.510009765625</v>
      </c>
      <c r="C1563" s="39">
        <v>885.08123779296875</v>
      </c>
      <c r="D1563" s="41">
        <v>1286585</v>
      </c>
      <c r="E1563" s="36" t="s">
        <v>654</v>
      </c>
      <c r="F1563" s="36" t="s">
        <v>115</v>
      </c>
    </row>
    <row r="1564" spans="1:6">
      <c r="A1564" s="38">
        <v>44404.15625</v>
      </c>
      <c r="B1564" s="39">
        <v>944.67999267578125</v>
      </c>
      <c r="C1564" s="39">
        <v>886.1787109375</v>
      </c>
      <c r="D1564" s="41">
        <v>918070</v>
      </c>
      <c r="E1564" s="36" t="s">
        <v>654</v>
      </c>
      <c r="F1564" s="36" t="s">
        <v>115</v>
      </c>
    </row>
    <row r="1565" spans="1:6">
      <c r="A1565" s="38">
        <v>44405.15625</v>
      </c>
      <c r="B1565" s="39">
        <v>948.59002685546875</v>
      </c>
      <c r="C1565" s="39">
        <v>889.8465576171875</v>
      </c>
      <c r="D1565" s="41">
        <v>4906650</v>
      </c>
      <c r="E1565" s="36" t="s">
        <v>654</v>
      </c>
      <c r="F1565" s="36" t="s">
        <v>115</v>
      </c>
    </row>
    <row r="1566" spans="1:6">
      <c r="A1566" s="38">
        <v>44406.15625</v>
      </c>
      <c r="B1566" s="39">
        <v>1034.31005859375</v>
      </c>
      <c r="C1566" s="39">
        <v>970.25823974609375</v>
      </c>
      <c r="D1566" s="41">
        <v>7787995</v>
      </c>
      <c r="E1566" s="36" t="s">
        <v>654</v>
      </c>
      <c r="F1566" s="36" t="s">
        <v>115</v>
      </c>
    </row>
    <row r="1567" spans="1:6">
      <c r="A1567" s="38">
        <v>44407.15625</v>
      </c>
      <c r="B1567" s="39">
        <v>1016.780029296875</v>
      </c>
      <c r="C1567" s="39">
        <v>953.813720703125</v>
      </c>
      <c r="D1567" s="41">
        <v>2522105</v>
      </c>
      <c r="E1567" s="36" t="s">
        <v>654</v>
      </c>
      <c r="F1567" s="36" t="s">
        <v>115</v>
      </c>
    </row>
    <row r="1568" spans="1:6">
      <c r="A1568" s="38">
        <v>44410.15625</v>
      </c>
      <c r="B1568" s="39">
        <v>1028.4200439453125</v>
      </c>
      <c r="C1568" s="39">
        <v>964.7330322265625</v>
      </c>
      <c r="D1568" s="41">
        <v>1035340</v>
      </c>
      <c r="E1568" s="36" t="s">
        <v>654</v>
      </c>
      <c r="F1568" s="36" t="s">
        <v>115</v>
      </c>
    </row>
    <row r="1569" spans="1:6">
      <c r="A1569" s="38">
        <v>44411.15625</v>
      </c>
      <c r="B1569" s="39">
        <v>992.91998291015625</v>
      </c>
      <c r="C1569" s="39">
        <v>931.431396484375</v>
      </c>
      <c r="D1569" s="41">
        <v>2490985</v>
      </c>
      <c r="E1569" s="36" t="s">
        <v>654</v>
      </c>
      <c r="F1569" s="36" t="s">
        <v>115</v>
      </c>
    </row>
    <row r="1570" spans="1:6">
      <c r="A1570" s="38">
        <v>44412.15625</v>
      </c>
      <c r="B1570" s="39">
        <v>944.760009765625</v>
      </c>
      <c r="C1570" s="39">
        <v>886.25384521484375</v>
      </c>
      <c r="D1570" s="41">
        <v>37258785</v>
      </c>
      <c r="E1570" s="36" t="s">
        <v>654</v>
      </c>
      <c r="F1570" s="36" t="s">
        <v>115</v>
      </c>
    </row>
    <row r="1571" spans="1:6">
      <c r="A1571" s="38">
        <v>44413.15625</v>
      </c>
      <c r="B1571" s="39">
        <v>953.70001220703125</v>
      </c>
      <c r="C1571" s="39">
        <v>894.64007568359375</v>
      </c>
      <c r="D1571" s="41">
        <v>4009530</v>
      </c>
      <c r="E1571" s="36" t="s">
        <v>654</v>
      </c>
      <c r="F1571" s="36" t="s">
        <v>115</v>
      </c>
    </row>
    <row r="1572" spans="1:6">
      <c r="A1572" s="38">
        <v>44414.15625</v>
      </c>
      <c r="B1572" s="39">
        <v>957.92999267578125</v>
      </c>
      <c r="C1572" s="39">
        <v>898.60821533203125</v>
      </c>
      <c r="D1572" s="41">
        <v>2015510</v>
      </c>
      <c r="E1572" s="36" t="s">
        <v>654</v>
      </c>
      <c r="F1572" s="36" t="s">
        <v>115</v>
      </c>
    </row>
    <row r="1573" spans="1:6">
      <c r="A1573" s="38">
        <v>44417.15625</v>
      </c>
      <c r="B1573" s="39">
        <v>959.91998291015625</v>
      </c>
      <c r="C1573" s="39">
        <v>902.92559814453125</v>
      </c>
      <c r="D1573" s="41">
        <v>1501605</v>
      </c>
      <c r="E1573" s="36" t="s">
        <v>654</v>
      </c>
      <c r="F1573" s="36" t="s">
        <v>115</v>
      </c>
    </row>
    <row r="1574" spans="1:6">
      <c r="A1574" s="38">
        <v>44418.15625</v>
      </c>
      <c r="B1574" s="39">
        <v>962.27001953125</v>
      </c>
      <c r="C1574" s="39">
        <v>905.1361083984375</v>
      </c>
      <c r="D1574" s="41">
        <v>2392260</v>
      </c>
      <c r="E1574" s="36" t="s">
        <v>654</v>
      </c>
      <c r="F1574" s="36" t="s">
        <v>115</v>
      </c>
    </row>
    <row r="1575" spans="1:6">
      <c r="A1575" s="38">
        <v>44419.15625</v>
      </c>
      <c r="B1575" s="39">
        <v>938.15997314453125</v>
      </c>
      <c r="C1575" s="39">
        <v>882.45751953125</v>
      </c>
      <c r="D1575" s="41">
        <v>2174405</v>
      </c>
      <c r="E1575" s="36" t="s">
        <v>654</v>
      </c>
      <c r="F1575" s="36" t="s">
        <v>115</v>
      </c>
    </row>
    <row r="1576" spans="1:6">
      <c r="A1576" s="38">
        <v>44420.15625</v>
      </c>
      <c r="B1576" s="39">
        <v>969.41998291015625</v>
      </c>
      <c r="C1576" s="39">
        <v>911.86151123046875</v>
      </c>
      <c r="D1576" s="41">
        <v>1881125</v>
      </c>
      <c r="E1576" s="36" t="s">
        <v>654</v>
      </c>
      <c r="F1576" s="36" t="s">
        <v>115</v>
      </c>
    </row>
    <row r="1577" spans="1:6">
      <c r="A1577" s="38">
        <v>44421.15625</v>
      </c>
      <c r="B1577" s="39">
        <v>962.28997802734375</v>
      </c>
      <c r="C1577" s="39">
        <v>905.1549072265625</v>
      </c>
      <c r="D1577" s="41">
        <v>1677905</v>
      </c>
      <c r="E1577" s="36" t="s">
        <v>654</v>
      </c>
      <c r="F1577" s="36" t="s">
        <v>115</v>
      </c>
    </row>
    <row r="1578" spans="1:6">
      <c r="A1578" s="38">
        <v>44424.15625</v>
      </c>
      <c r="B1578" s="39">
        <v>956.989990234375</v>
      </c>
      <c r="C1578" s="39">
        <v>900.1695556640625</v>
      </c>
      <c r="D1578" s="41">
        <v>1270485</v>
      </c>
      <c r="E1578" s="36" t="s">
        <v>654</v>
      </c>
      <c r="F1578" s="36" t="s">
        <v>115</v>
      </c>
    </row>
    <row r="1579" spans="1:6">
      <c r="A1579" s="38">
        <v>44425.15625</v>
      </c>
      <c r="B1579" s="39">
        <v>973.84002685546875</v>
      </c>
      <c r="C1579" s="39">
        <v>916.0191650390625</v>
      </c>
      <c r="D1579" s="41">
        <v>2769455</v>
      </c>
      <c r="E1579" s="36" t="s">
        <v>654</v>
      </c>
      <c r="F1579" s="36" t="s">
        <v>115</v>
      </c>
    </row>
    <row r="1580" spans="1:6">
      <c r="A1580" s="38">
        <v>44426.15625</v>
      </c>
      <c r="B1580" s="39">
        <v>995.16998291015625</v>
      </c>
      <c r="C1580" s="39">
        <v>936.08251953125</v>
      </c>
      <c r="D1580" s="41">
        <v>3793265</v>
      </c>
      <c r="E1580" s="36" t="s">
        <v>654</v>
      </c>
      <c r="F1580" s="36" t="s">
        <v>115</v>
      </c>
    </row>
    <row r="1581" spans="1:6">
      <c r="A1581" s="38">
        <v>44428.15625</v>
      </c>
      <c r="B1581" s="39">
        <v>981.34002685546875</v>
      </c>
      <c r="C1581" s="39">
        <v>923.0738525390625</v>
      </c>
      <c r="D1581" s="41">
        <v>2222885</v>
      </c>
      <c r="E1581" s="36" t="s">
        <v>654</v>
      </c>
      <c r="F1581" s="36" t="s">
        <v>115</v>
      </c>
    </row>
    <row r="1582" spans="1:6">
      <c r="A1582" s="38">
        <v>44431.15625</v>
      </c>
      <c r="B1582" s="39">
        <v>997.57000732421875</v>
      </c>
      <c r="C1582" s="39">
        <v>938.34027099609375</v>
      </c>
      <c r="D1582" s="41">
        <v>2331820</v>
      </c>
      <c r="E1582" s="36" t="s">
        <v>654</v>
      </c>
      <c r="F1582" s="36" t="s">
        <v>115</v>
      </c>
    </row>
    <row r="1583" spans="1:6">
      <c r="A1583" s="38">
        <v>44432.15625</v>
      </c>
      <c r="B1583" s="39">
        <v>988.53997802734375</v>
      </c>
      <c r="C1583" s="39">
        <v>929.8463134765625</v>
      </c>
      <c r="D1583" s="41">
        <v>1570470</v>
      </c>
      <c r="E1583" s="36" t="s">
        <v>654</v>
      </c>
      <c r="F1583" s="36" t="s">
        <v>115</v>
      </c>
    </row>
    <row r="1584" spans="1:6">
      <c r="A1584" s="38">
        <v>44433.15625</v>
      </c>
      <c r="B1584" s="39">
        <v>999.79998779296875</v>
      </c>
      <c r="C1584" s="39">
        <v>940.437744140625</v>
      </c>
      <c r="D1584" s="41">
        <v>7104395</v>
      </c>
      <c r="E1584" s="36" t="s">
        <v>654</v>
      </c>
      <c r="F1584" s="36" t="s">
        <v>115</v>
      </c>
    </row>
    <row r="1585" spans="1:6">
      <c r="A1585" s="38">
        <v>44434.15625</v>
      </c>
      <c r="B1585" s="39">
        <v>993.75</v>
      </c>
      <c r="C1585" s="39">
        <v>934.7469482421875</v>
      </c>
      <c r="D1585" s="41">
        <v>2551440</v>
      </c>
      <c r="E1585" s="36" t="s">
        <v>654</v>
      </c>
      <c r="F1585" s="36" t="s">
        <v>115</v>
      </c>
    </row>
    <row r="1586" spans="1:6">
      <c r="A1586" s="38">
        <v>44435.15625</v>
      </c>
      <c r="B1586" s="39">
        <v>1015.4000244140625</v>
      </c>
      <c r="C1586" s="39">
        <v>955.111572265625</v>
      </c>
      <c r="D1586" s="41">
        <v>2406600</v>
      </c>
      <c r="E1586" s="36" t="s">
        <v>654</v>
      </c>
      <c r="F1586" s="36" t="s">
        <v>115</v>
      </c>
    </row>
    <row r="1587" spans="1:6">
      <c r="A1587" s="38">
        <v>44438.15625</v>
      </c>
      <c r="B1587" s="39">
        <v>1024.2900390625</v>
      </c>
      <c r="C1587" s="39">
        <v>963.47369384765625</v>
      </c>
      <c r="D1587" s="41">
        <v>1264855</v>
      </c>
      <c r="E1587" s="36" t="s">
        <v>654</v>
      </c>
      <c r="F1587" s="36" t="s">
        <v>115</v>
      </c>
    </row>
    <row r="1588" spans="1:6">
      <c r="A1588" s="38">
        <v>44439.15625</v>
      </c>
      <c r="B1588" s="39">
        <v>1041.75</v>
      </c>
      <c r="C1588" s="39">
        <v>979.89691162109375</v>
      </c>
      <c r="D1588" s="41">
        <v>3253910</v>
      </c>
      <c r="E1588" s="36" t="s">
        <v>654</v>
      </c>
      <c r="F1588" s="36" t="s">
        <v>115</v>
      </c>
    </row>
    <row r="1589" spans="1:6">
      <c r="A1589" s="38">
        <v>44440.15625</v>
      </c>
      <c r="B1589" s="39">
        <v>1033.510009765625</v>
      </c>
      <c r="C1589" s="39">
        <v>972.1463623046875</v>
      </c>
      <c r="D1589" s="41">
        <v>996990</v>
      </c>
      <c r="E1589" s="36" t="s">
        <v>654</v>
      </c>
      <c r="F1589" s="36" t="s">
        <v>115</v>
      </c>
    </row>
    <row r="1590" spans="1:6">
      <c r="A1590" s="38">
        <v>44441.15625</v>
      </c>
      <c r="B1590" s="39">
        <v>1031.5899658203125</v>
      </c>
      <c r="C1590" s="39">
        <v>970.3402099609375</v>
      </c>
      <c r="D1590" s="41">
        <v>1906175</v>
      </c>
      <c r="E1590" s="36" t="s">
        <v>654</v>
      </c>
      <c r="F1590" s="36" t="s">
        <v>115</v>
      </c>
    </row>
    <row r="1591" spans="1:6">
      <c r="A1591" s="38">
        <v>44442.15625</v>
      </c>
      <c r="B1591" s="39">
        <v>1048.6500244140625</v>
      </c>
      <c r="C1591" s="39">
        <v>986.3873291015625</v>
      </c>
      <c r="D1591" s="41">
        <v>3104845</v>
      </c>
      <c r="E1591" s="36" t="s">
        <v>654</v>
      </c>
      <c r="F1591" s="36" t="s">
        <v>115</v>
      </c>
    </row>
    <row r="1592" spans="1:6">
      <c r="A1592" s="38">
        <v>44445.15625</v>
      </c>
      <c r="B1592" s="39">
        <v>1056.199951171875</v>
      </c>
      <c r="C1592" s="39">
        <v>993.48907470703125</v>
      </c>
      <c r="D1592" s="41">
        <v>1562865</v>
      </c>
      <c r="E1592" s="36" t="s">
        <v>654</v>
      </c>
      <c r="F1592" s="36" t="s">
        <v>115</v>
      </c>
    </row>
    <row r="1593" spans="1:6">
      <c r="A1593" s="38">
        <v>44446.15625</v>
      </c>
      <c r="B1593" s="39">
        <v>1035.9100341796875</v>
      </c>
      <c r="C1593" s="39">
        <v>974.40386962890625</v>
      </c>
      <c r="D1593" s="41">
        <v>1136640</v>
      </c>
      <c r="E1593" s="36" t="s">
        <v>654</v>
      </c>
      <c r="F1593" s="36" t="s">
        <v>115</v>
      </c>
    </row>
    <row r="1594" spans="1:6">
      <c r="A1594" s="38">
        <v>44447.15625</v>
      </c>
      <c r="B1594" s="39">
        <v>1027.219970703125</v>
      </c>
      <c r="C1594" s="39">
        <v>966.22967529296875</v>
      </c>
      <c r="D1594" s="41">
        <v>1530295</v>
      </c>
      <c r="E1594" s="36" t="s">
        <v>654</v>
      </c>
      <c r="F1594" s="36" t="s">
        <v>115</v>
      </c>
    </row>
    <row r="1595" spans="1:6">
      <c r="A1595" s="38">
        <v>44448.15625</v>
      </c>
      <c r="B1595" s="39">
        <v>1022.989990234375</v>
      </c>
      <c r="C1595" s="39">
        <v>962.25091552734375</v>
      </c>
      <c r="D1595" s="41">
        <v>1121805</v>
      </c>
      <c r="E1595" s="36" t="s">
        <v>654</v>
      </c>
      <c r="F1595" s="36" t="s">
        <v>115</v>
      </c>
    </row>
    <row r="1596" spans="1:6">
      <c r="A1596" s="38">
        <v>44452.15625</v>
      </c>
      <c r="B1596" s="39">
        <v>1035.5699462890625</v>
      </c>
      <c r="C1596" s="39">
        <v>974.083984375</v>
      </c>
      <c r="D1596" s="41">
        <v>1939460</v>
      </c>
      <c r="E1596" s="36" t="s">
        <v>654</v>
      </c>
      <c r="F1596" s="36" t="s">
        <v>115</v>
      </c>
    </row>
    <row r="1597" spans="1:6">
      <c r="A1597" s="38">
        <v>44453.15625</v>
      </c>
      <c r="B1597" s="39">
        <v>1059.1099853515625</v>
      </c>
      <c r="C1597" s="39">
        <v>996.22637939453125</v>
      </c>
      <c r="D1597" s="41">
        <v>1981835</v>
      </c>
      <c r="E1597" s="36" t="s">
        <v>654</v>
      </c>
      <c r="F1597" s="36" t="s">
        <v>115</v>
      </c>
    </row>
    <row r="1598" spans="1:6">
      <c r="A1598" s="38">
        <v>44454.15625</v>
      </c>
      <c r="B1598" s="39">
        <v>1073.8599853515625</v>
      </c>
      <c r="C1598" s="39">
        <v>1010.1004638671875</v>
      </c>
      <c r="D1598" s="41">
        <v>2226230</v>
      </c>
      <c r="E1598" s="36" t="s">
        <v>654</v>
      </c>
      <c r="F1598" s="36" t="s">
        <v>115</v>
      </c>
    </row>
    <row r="1599" spans="1:6">
      <c r="A1599" s="38">
        <v>44455.15625</v>
      </c>
      <c r="B1599" s="39">
        <v>1093.0899658203125</v>
      </c>
      <c r="C1599" s="39">
        <v>1028.1885986328125</v>
      </c>
      <c r="D1599" s="41">
        <v>3290835</v>
      </c>
      <c r="E1599" s="36" t="s">
        <v>654</v>
      </c>
      <c r="F1599" s="36" t="s">
        <v>115</v>
      </c>
    </row>
    <row r="1600" spans="1:6">
      <c r="A1600" s="38">
        <v>44456.15625</v>
      </c>
      <c r="B1600" s="39">
        <v>1088.93994140625</v>
      </c>
      <c r="C1600" s="39">
        <v>1024.2855224609375</v>
      </c>
      <c r="D1600" s="41">
        <v>1501845</v>
      </c>
      <c r="E1600" s="36" t="s">
        <v>654</v>
      </c>
      <c r="F1600" s="36" t="s">
        <v>115</v>
      </c>
    </row>
    <row r="1601" spans="1:6">
      <c r="A1601" s="38">
        <v>44459.15625</v>
      </c>
      <c r="B1601" s="39">
        <v>1070.1300048828125</v>
      </c>
      <c r="C1601" s="39">
        <v>1006.5921630859375</v>
      </c>
      <c r="D1601" s="41">
        <v>1565750</v>
      </c>
      <c r="E1601" s="36" t="s">
        <v>654</v>
      </c>
      <c r="F1601" s="36" t="s">
        <v>115</v>
      </c>
    </row>
    <row r="1602" spans="1:6">
      <c r="A1602" s="38">
        <v>44460.15625</v>
      </c>
      <c r="B1602" s="39">
        <v>1106.300048828125</v>
      </c>
      <c r="C1602" s="39">
        <v>1040.6143798828125</v>
      </c>
      <c r="D1602" s="41">
        <v>1978205</v>
      </c>
      <c r="E1602" s="36" t="s">
        <v>654</v>
      </c>
      <c r="F1602" s="36" t="s">
        <v>115</v>
      </c>
    </row>
    <row r="1603" spans="1:6">
      <c r="A1603" s="38">
        <v>44461.15625</v>
      </c>
      <c r="B1603" s="39">
        <v>1112.0699462890625</v>
      </c>
      <c r="C1603" s="39">
        <v>1046.0416259765625</v>
      </c>
      <c r="D1603" s="41">
        <v>1742350</v>
      </c>
      <c r="E1603" s="36" t="s">
        <v>654</v>
      </c>
      <c r="F1603" s="36" t="s">
        <v>115</v>
      </c>
    </row>
    <row r="1604" spans="1:6">
      <c r="A1604" s="38">
        <v>44462.15625</v>
      </c>
      <c r="B1604" s="39">
        <v>1130.550048828125</v>
      </c>
      <c r="C1604" s="39">
        <v>1063.4248046875</v>
      </c>
      <c r="D1604" s="41">
        <v>1101165</v>
      </c>
      <c r="E1604" s="36" t="s">
        <v>654</v>
      </c>
      <c r="F1604" s="36" t="s">
        <v>115</v>
      </c>
    </row>
    <row r="1605" spans="1:6">
      <c r="A1605" s="38">
        <v>44463.15625</v>
      </c>
      <c r="B1605" s="39">
        <v>1129.800048828125</v>
      </c>
      <c r="C1605" s="39">
        <v>1062.718994140625</v>
      </c>
      <c r="D1605" s="41">
        <v>2340985</v>
      </c>
      <c r="E1605" s="36" t="s">
        <v>654</v>
      </c>
      <c r="F1605" s="36" t="s">
        <v>115</v>
      </c>
    </row>
    <row r="1606" spans="1:6">
      <c r="A1606" s="38">
        <v>44466.15625</v>
      </c>
      <c r="B1606" s="39">
        <v>1083.02001953125</v>
      </c>
      <c r="C1606" s="39">
        <v>1018.716796875</v>
      </c>
      <c r="D1606" s="41">
        <v>3112105</v>
      </c>
      <c r="E1606" s="36" t="s">
        <v>654</v>
      </c>
      <c r="F1606" s="36" t="s">
        <v>115</v>
      </c>
    </row>
    <row r="1607" spans="1:6">
      <c r="A1607" s="38">
        <v>44467.15625</v>
      </c>
      <c r="B1607" s="39">
        <v>1042.9599609375</v>
      </c>
      <c r="C1607" s="39">
        <v>981.0352783203125</v>
      </c>
      <c r="D1607" s="41">
        <v>2611770</v>
      </c>
      <c r="E1607" s="36" t="s">
        <v>654</v>
      </c>
      <c r="F1607" s="36" t="s">
        <v>115</v>
      </c>
    </row>
    <row r="1608" spans="1:6">
      <c r="A1608" s="38">
        <v>44468.15625</v>
      </c>
      <c r="B1608" s="39">
        <v>1052.1400146484375</v>
      </c>
      <c r="C1608" s="39">
        <v>989.6702880859375</v>
      </c>
      <c r="D1608" s="41">
        <v>2904110</v>
      </c>
      <c r="E1608" s="36" t="s">
        <v>654</v>
      </c>
      <c r="F1608" s="36" t="s">
        <v>115</v>
      </c>
    </row>
    <row r="1609" spans="1:6">
      <c r="A1609" s="38">
        <v>44469.15625</v>
      </c>
      <c r="B1609" s="39">
        <v>1048.260009765625</v>
      </c>
      <c r="C1609" s="39">
        <v>986.0206298828125</v>
      </c>
      <c r="D1609" s="41">
        <v>1779880</v>
      </c>
      <c r="E1609" s="36" t="s">
        <v>654</v>
      </c>
      <c r="F1609" s="36" t="s">
        <v>115</v>
      </c>
    </row>
    <row r="1610" spans="1:6">
      <c r="A1610" s="38">
        <v>44470.15625</v>
      </c>
      <c r="B1610" s="39">
        <v>1055.9000244140625</v>
      </c>
      <c r="C1610" s="39">
        <v>993.20684814453125</v>
      </c>
      <c r="D1610" s="41">
        <v>1321155</v>
      </c>
      <c r="E1610" s="36" t="s">
        <v>654</v>
      </c>
      <c r="F1610" s="36" t="s">
        <v>115</v>
      </c>
    </row>
    <row r="1611" spans="1:6">
      <c r="A1611" s="38">
        <v>44473.15625</v>
      </c>
      <c r="B1611" s="39">
        <v>1067.5899658203125</v>
      </c>
      <c r="C1611" s="39">
        <v>1004.2029418945313</v>
      </c>
      <c r="D1611" s="41">
        <v>945250</v>
      </c>
      <c r="E1611" s="36" t="s">
        <v>654</v>
      </c>
      <c r="F1611" s="36" t="s">
        <v>115</v>
      </c>
    </row>
    <row r="1612" spans="1:6">
      <c r="A1612" s="38">
        <v>44474.15625</v>
      </c>
      <c r="B1612" s="39">
        <v>1076.47998046875</v>
      </c>
      <c r="C1612" s="39">
        <v>1012.5650634765625</v>
      </c>
      <c r="D1612" s="41">
        <v>1284895</v>
      </c>
      <c r="E1612" s="36" t="s">
        <v>654</v>
      </c>
      <c r="F1612" s="36" t="s">
        <v>115</v>
      </c>
    </row>
    <row r="1613" spans="1:6">
      <c r="A1613" s="38">
        <v>44475.15625</v>
      </c>
      <c r="B1613" s="39">
        <v>1060.3599853515625</v>
      </c>
      <c r="C1613" s="39">
        <v>997.40216064453125</v>
      </c>
      <c r="D1613" s="41">
        <v>1533735</v>
      </c>
      <c r="E1613" s="36" t="s">
        <v>654</v>
      </c>
      <c r="F1613" s="36" t="s">
        <v>115</v>
      </c>
    </row>
    <row r="1614" spans="1:6">
      <c r="A1614" s="38">
        <v>44476.15625</v>
      </c>
      <c r="B1614" s="39">
        <v>1089.7900390625</v>
      </c>
      <c r="C1614" s="39">
        <v>1025.0843505859375</v>
      </c>
      <c r="D1614" s="41">
        <v>1164840</v>
      </c>
      <c r="E1614" s="36" t="s">
        <v>654</v>
      </c>
      <c r="F1614" s="36" t="s">
        <v>115</v>
      </c>
    </row>
    <row r="1615" spans="1:6">
      <c r="A1615" s="38">
        <v>44477.15625</v>
      </c>
      <c r="B1615" s="39">
        <v>1129.1700439453125</v>
      </c>
      <c r="C1615" s="39">
        <v>1062.126708984375</v>
      </c>
      <c r="D1615" s="41">
        <v>2844105</v>
      </c>
      <c r="E1615" s="36" t="s">
        <v>654</v>
      </c>
      <c r="F1615" s="36" t="s">
        <v>115</v>
      </c>
    </row>
    <row r="1616" spans="1:6">
      <c r="A1616" s="38">
        <v>44480.15625</v>
      </c>
      <c r="B1616" s="39">
        <v>1072.4100341796875</v>
      </c>
      <c r="C1616" s="39">
        <v>1008.736572265625</v>
      </c>
      <c r="D1616" s="41">
        <v>2501120</v>
      </c>
      <c r="E1616" s="36" t="s">
        <v>654</v>
      </c>
      <c r="F1616" s="36" t="s">
        <v>115</v>
      </c>
    </row>
    <row r="1617" spans="1:6">
      <c r="A1617" s="38">
        <v>44481.15625</v>
      </c>
      <c r="B1617" s="39">
        <v>1055.8800048828125</v>
      </c>
      <c r="C1617" s="39">
        <v>993.1881103515625</v>
      </c>
      <c r="D1617" s="41">
        <v>1896525</v>
      </c>
      <c r="E1617" s="36" t="s">
        <v>654</v>
      </c>
      <c r="F1617" s="36" t="s">
        <v>115</v>
      </c>
    </row>
    <row r="1618" spans="1:6">
      <c r="A1618" s="38">
        <v>44482.15625</v>
      </c>
      <c r="B1618" s="39">
        <v>1067.56005859375</v>
      </c>
      <c r="C1618" s="39">
        <v>1004.1744995117188</v>
      </c>
      <c r="D1618" s="41">
        <v>902630</v>
      </c>
      <c r="E1618" s="36" t="s">
        <v>654</v>
      </c>
      <c r="F1618" s="36" t="s">
        <v>115</v>
      </c>
    </row>
    <row r="1619" spans="1:6">
      <c r="A1619" s="38">
        <v>44483.15625</v>
      </c>
      <c r="B1619" s="39">
        <v>1120.8199462890625</v>
      </c>
      <c r="C1619" s="39">
        <v>1054.2720947265625</v>
      </c>
      <c r="D1619" s="41">
        <v>4070165</v>
      </c>
      <c r="E1619" s="36" t="s">
        <v>654</v>
      </c>
      <c r="F1619" s="36" t="s">
        <v>115</v>
      </c>
    </row>
    <row r="1620" spans="1:6">
      <c r="A1620" s="38">
        <v>44487.15625</v>
      </c>
      <c r="B1620" s="39">
        <v>1120.969970703125</v>
      </c>
      <c r="C1620" s="39">
        <v>1054.4136962890625</v>
      </c>
      <c r="D1620" s="41">
        <v>1563700</v>
      </c>
      <c r="E1620" s="36" t="s">
        <v>654</v>
      </c>
      <c r="F1620" s="36" t="s">
        <v>115</v>
      </c>
    </row>
    <row r="1621" spans="1:6">
      <c r="A1621" s="38">
        <v>44488.15625</v>
      </c>
      <c r="B1621" s="39">
        <v>1172.280029296875</v>
      </c>
      <c r="C1621" s="39">
        <v>1102.6768798828125</v>
      </c>
      <c r="D1621" s="41">
        <v>4652055</v>
      </c>
      <c r="E1621" s="36" t="s">
        <v>654</v>
      </c>
      <c r="F1621" s="36" t="s">
        <v>115</v>
      </c>
    </row>
    <row r="1622" spans="1:6">
      <c r="A1622" s="38">
        <v>44489.15625</v>
      </c>
      <c r="B1622" s="39">
        <v>1164.0799560546875</v>
      </c>
      <c r="C1622" s="39">
        <v>1094.9639892578125</v>
      </c>
      <c r="D1622" s="41">
        <v>2753345</v>
      </c>
      <c r="E1622" s="36" t="s">
        <v>654</v>
      </c>
      <c r="F1622" s="36" t="s">
        <v>115</v>
      </c>
    </row>
    <row r="1623" spans="1:6">
      <c r="A1623" s="38">
        <v>44490.15625</v>
      </c>
      <c r="B1623" s="39">
        <v>1089.68994140625</v>
      </c>
      <c r="C1623" s="39">
        <v>1024.990234375</v>
      </c>
      <c r="D1623" s="41">
        <v>2833255</v>
      </c>
      <c r="E1623" s="36" t="s">
        <v>654</v>
      </c>
      <c r="F1623" s="36" t="s">
        <v>115</v>
      </c>
    </row>
    <row r="1624" spans="1:6">
      <c r="A1624" s="38">
        <v>44491.15625</v>
      </c>
      <c r="B1624" s="39">
        <v>1079.5</v>
      </c>
      <c r="C1624" s="39">
        <v>1015.405517578125</v>
      </c>
      <c r="D1624" s="41">
        <v>2088835</v>
      </c>
      <c r="E1624" s="36" t="s">
        <v>654</v>
      </c>
      <c r="F1624" s="36" t="s">
        <v>115</v>
      </c>
    </row>
    <row r="1625" spans="1:6">
      <c r="A1625" s="38">
        <v>44494.15625</v>
      </c>
      <c r="B1625" s="39">
        <v>1013.8599853515625</v>
      </c>
      <c r="C1625" s="39">
        <v>953.6629638671875</v>
      </c>
      <c r="D1625" s="41">
        <v>5763730</v>
      </c>
      <c r="E1625" s="36" t="s">
        <v>654</v>
      </c>
      <c r="F1625" s="36" t="s">
        <v>115</v>
      </c>
    </row>
    <row r="1626" spans="1:6">
      <c r="A1626" s="38">
        <v>44495.15625</v>
      </c>
      <c r="B1626" s="39">
        <v>1017.6099853515625</v>
      </c>
      <c r="C1626" s="39">
        <v>957.190185546875</v>
      </c>
      <c r="D1626" s="41">
        <v>2449410</v>
      </c>
      <c r="E1626" s="36" t="s">
        <v>654</v>
      </c>
      <c r="F1626" s="36" t="s">
        <v>115</v>
      </c>
    </row>
    <row r="1627" spans="1:6">
      <c r="A1627" s="38">
        <v>44496.15625</v>
      </c>
      <c r="B1627" s="39">
        <v>1008.5700073242188</v>
      </c>
      <c r="C1627" s="39">
        <v>948.68707275390625</v>
      </c>
      <c r="D1627" s="41">
        <v>2132460</v>
      </c>
      <c r="E1627" s="36" t="s">
        <v>654</v>
      </c>
      <c r="F1627" s="36" t="s">
        <v>115</v>
      </c>
    </row>
    <row r="1628" spans="1:6">
      <c r="A1628" s="38">
        <v>44497.15625</v>
      </c>
      <c r="B1628" s="39">
        <v>1006.6500244140625</v>
      </c>
      <c r="C1628" s="39">
        <v>946.88116455078125</v>
      </c>
      <c r="D1628" s="41">
        <v>2224895</v>
      </c>
      <c r="E1628" s="36" t="s">
        <v>654</v>
      </c>
      <c r="F1628" s="36" t="s">
        <v>115</v>
      </c>
    </row>
    <row r="1629" spans="1:6">
      <c r="A1629" s="38">
        <v>44498.15625</v>
      </c>
      <c r="B1629" s="39">
        <v>974.09002685546875</v>
      </c>
      <c r="C1629" s="39">
        <v>916.2542724609375</v>
      </c>
      <c r="D1629" s="41">
        <v>2252140</v>
      </c>
      <c r="E1629" s="36" t="s">
        <v>654</v>
      </c>
      <c r="F1629" s="36" t="s">
        <v>115</v>
      </c>
    </row>
    <row r="1630" spans="1:6">
      <c r="A1630" s="38">
        <v>44501.15625</v>
      </c>
      <c r="B1630" s="39">
        <v>1015.489990234375</v>
      </c>
      <c r="C1630" s="39">
        <v>955.1962890625</v>
      </c>
      <c r="D1630" s="41">
        <v>2396685</v>
      </c>
      <c r="E1630" s="36" t="s">
        <v>654</v>
      </c>
      <c r="F1630" s="36" t="s">
        <v>115</v>
      </c>
    </row>
    <row r="1631" spans="1:6">
      <c r="A1631" s="38">
        <v>44502.15625</v>
      </c>
      <c r="B1631" s="39">
        <v>1008.7000122070313</v>
      </c>
      <c r="C1631" s="39">
        <v>948.8094482421875</v>
      </c>
      <c r="D1631" s="41">
        <v>1375160</v>
      </c>
      <c r="E1631" s="36" t="s">
        <v>654</v>
      </c>
      <c r="F1631" s="36" t="s">
        <v>115</v>
      </c>
    </row>
    <row r="1632" spans="1:6">
      <c r="A1632" s="38">
        <v>44503.15625</v>
      </c>
      <c r="B1632" s="39">
        <v>1012.97998046875</v>
      </c>
      <c r="C1632" s="39">
        <v>955.29779052734375</v>
      </c>
      <c r="D1632" s="41">
        <v>971555</v>
      </c>
      <c r="E1632" s="36" t="s">
        <v>654</v>
      </c>
      <c r="F1632" s="36" t="s">
        <v>115</v>
      </c>
    </row>
    <row r="1633" spans="1:6">
      <c r="A1633" s="38">
        <v>44504.53125</v>
      </c>
      <c r="B1633" s="39">
        <v>1016.280029296875</v>
      </c>
      <c r="C1633" s="39">
        <v>958.40972900390625</v>
      </c>
      <c r="D1633" s="41">
        <v>108085</v>
      </c>
      <c r="E1633" s="36" t="s">
        <v>654</v>
      </c>
      <c r="F1633" s="36" t="s">
        <v>115</v>
      </c>
    </row>
    <row r="1634" spans="1:6">
      <c r="A1634" s="38">
        <v>44508.15625</v>
      </c>
      <c r="B1634" s="39">
        <v>1050.3299560546875</v>
      </c>
      <c r="C1634" s="39">
        <v>990.52081298828125</v>
      </c>
      <c r="D1634" s="41">
        <v>2033905</v>
      </c>
      <c r="E1634" s="36" t="s">
        <v>654</v>
      </c>
      <c r="F1634" s="36" t="s">
        <v>115</v>
      </c>
    </row>
    <row r="1635" spans="1:6">
      <c r="A1635" s="38">
        <v>44509.15625</v>
      </c>
      <c r="B1635" s="39">
        <v>1076.3900146484375</v>
      </c>
      <c r="C1635" s="39">
        <v>1015.0965576171875</v>
      </c>
      <c r="D1635" s="41">
        <v>1887080</v>
      </c>
      <c r="E1635" s="36" t="s">
        <v>654</v>
      </c>
      <c r="F1635" s="36" t="s">
        <v>115</v>
      </c>
    </row>
    <row r="1636" spans="1:6">
      <c r="A1636" s="38">
        <v>44510.15625</v>
      </c>
      <c r="B1636" s="39">
        <v>1070.8299560546875</v>
      </c>
      <c r="C1636" s="39">
        <v>1009.8536376953125</v>
      </c>
      <c r="D1636" s="41">
        <v>1175190</v>
      </c>
      <c r="E1636" s="36" t="s">
        <v>654</v>
      </c>
      <c r="F1636" s="36" t="s">
        <v>115</v>
      </c>
    </row>
    <row r="1637" spans="1:6">
      <c r="A1637" s="38">
        <v>44511.15625</v>
      </c>
      <c r="B1637" s="39">
        <v>1075.239990234375</v>
      </c>
      <c r="C1637" s="39">
        <v>1014.0123291015625</v>
      </c>
      <c r="D1637" s="41">
        <v>1032505</v>
      </c>
      <c r="E1637" s="36" t="s">
        <v>654</v>
      </c>
      <c r="F1637" s="36" t="s">
        <v>115</v>
      </c>
    </row>
    <row r="1638" spans="1:6">
      <c r="A1638" s="38">
        <v>44512.15625</v>
      </c>
      <c r="B1638" s="39">
        <v>1083.5999755859375</v>
      </c>
      <c r="C1638" s="39">
        <v>1021.8963623046875</v>
      </c>
      <c r="D1638" s="41">
        <v>1222580</v>
      </c>
      <c r="E1638" s="36" t="s">
        <v>654</v>
      </c>
      <c r="F1638" s="36" t="s">
        <v>115</v>
      </c>
    </row>
    <row r="1639" spans="1:6">
      <c r="A1639" s="38">
        <v>44515.15625</v>
      </c>
      <c r="B1639" s="39">
        <v>1099.239990234375</v>
      </c>
      <c r="C1639" s="39">
        <v>1036.645751953125</v>
      </c>
      <c r="D1639" s="41">
        <v>1249510</v>
      </c>
      <c r="E1639" s="36" t="s">
        <v>654</v>
      </c>
      <c r="F1639" s="36" t="s">
        <v>115</v>
      </c>
    </row>
    <row r="1640" spans="1:6">
      <c r="A1640" s="38">
        <v>44516.15625</v>
      </c>
      <c r="B1640" s="39">
        <v>1144.3499755859375</v>
      </c>
      <c r="C1640" s="39">
        <v>1079.18701171875</v>
      </c>
      <c r="D1640" s="41">
        <v>8258485</v>
      </c>
      <c r="E1640" s="36" t="s">
        <v>654</v>
      </c>
      <c r="F1640" s="36" t="s">
        <v>115</v>
      </c>
    </row>
    <row r="1641" spans="1:6">
      <c r="A1641" s="38">
        <v>44517.15625</v>
      </c>
      <c r="B1641" s="39">
        <v>1167.8699951171875</v>
      </c>
      <c r="C1641" s="39">
        <v>1101.3675537109375</v>
      </c>
      <c r="D1641" s="41">
        <v>3446585</v>
      </c>
      <c r="E1641" s="36" t="s">
        <v>654</v>
      </c>
      <c r="F1641" s="36" t="s">
        <v>115</v>
      </c>
    </row>
    <row r="1642" spans="1:6">
      <c r="A1642" s="38">
        <v>44518.15625</v>
      </c>
      <c r="B1642" s="39">
        <v>1114.4200439453125</v>
      </c>
      <c r="C1642" s="39">
        <v>1050.9615478515625</v>
      </c>
      <c r="D1642" s="41">
        <v>2993690</v>
      </c>
      <c r="E1642" s="36" t="s">
        <v>654</v>
      </c>
      <c r="F1642" s="36" t="s">
        <v>115</v>
      </c>
    </row>
    <row r="1643" spans="1:6">
      <c r="A1643" s="38">
        <v>44522.15625</v>
      </c>
      <c r="B1643" s="39">
        <v>1085.6500244140625</v>
      </c>
      <c r="C1643" s="39">
        <v>1023.8294677734375</v>
      </c>
      <c r="D1643" s="41">
        <v>1304240</v>
      </c>
      <c r="E1643" s="36" t="s">
        <v>654</v>
      </c>
      <c r="F1643" s="36" t="s">
        <v>115</v>
      </c>
    </row>
    <row r="1644" spans="1:6">
      <c r="A1644" s="38">
        <v>44523.15625</v>
      </c>
      <c r="B1644" s="39">
        <v>1091.1800537109375</v>
      </c>
      <c r="C1644" s="39">
        <v>1029.0445556640625</v>
      </c>
      <c r="D1644" s="41">
        <v>1465375</v>
      </c>
      <c r="E1644" s="36" t="s">
        <v>654</v>
      </c>
      <c r="F1644" s="36" t="s">
        <v>115</v>
      </c>
    </row>
    <row r="1645" spans="1:6">
      <c r="A1645" s="38">
        <v>44524.15625</v>
      </c>
      <c r="B1645" s="39">
        <v>1075.5400390625</v>
      </c>
      <c r="C1645" s="39">
        <v>1014.2952880859375</v>
      </c>
      <c r="D1645" s="41">
        <v>1605925</v>
      </c>
      <c r="E1645" s="36" t="s">
        <v>654</v>
      </c>
      <c r="F1645" s="36" t="s">
        <v>115</v>
      </c>
    </row>
    <row r="1646" spans="1:6">
      <c r="A1646" s="38">
        <v>44525.15625</v>
      </c>
      <c r="B1646" s="39">
        <v>1100.56005859375</v>
      </c>
      <c r="C1646" s="39">
        <v>1037.8905029296875</v>
      </c>
      <c r="D1646" s="41">
        <v>1041030</v>
      </c>
      <c r="E1646" s="36" t="s">
        <v>654</v>
      </c>
      <c r="F1646" s="36" t="s">
        <v>115</v>
      </c>
    </row>
    <row r="1647" spans="1:6">
      <c r="A1647" s="38">
        <v>44526.15625</v>
      </c>
      <c r="B1647" s="39">
        <v>1053.530029296875</v>
      </c>
      <c r="C1647" s="39">
        <v>993.53863525390625</v>
      </c>
      <c r="D1647" s="41">
        <v>2199500</v>
      </c>
      <c r="E1647" s="36" t="s">
        <v>654</v>
      </c>
      <c r="F1647" s="36" t="s">
        <v>115</v>
      </c>
    </row>
    <row r="1648" spans="1:6">
      <c r="A1648" s="38">
        <v>44529.15625</v>
      </c>
      <c r="B1648" s="39">
        <v>1058.550048828125</v>
      </c>
      <c r="C1648" s="39">
        <v>998.27276611328125</v>
      </c>
      <c r="D1648" s="41">
        <v>1246875</v>
      </c>
      <c r="E1648" s="36" t="s">
        <v>654</v>
      </c>
      <c r="F1648" s="36" t="s">
        <v>115</v>
      </c>
    </row>
    <row r="1649" spans="1:6">
      <c r="A1649" s="38">
        <v>44530.15625</v>
      </c>
      <c r="B1649" s="39">
        <v>1086.3199462890625</v>
      </c>
      <c r="C1649" s="39">
        <v>1024.46142578125</v>
      </c>
      <c r="D1649" s="41">
        <v>1866165</v>
      </c>
      <c r="E1649" s="36" t="s">
        <v>654</v>
      </c>
      <c r="F1649" s="36" t="s">
        <v>115</v>
      </c>
    </row>
    <row r="1650" spans="1:6">
      <c r="A1650" s="38">
        <v>44531.15625</v>
      </c>
      <c r="B1650" s="39">
        <v>1075.719970703125</v>
      </c>
      <c r="C1650" s="39">
        <v>1014.4652099609375</v>
      </c>
      <c r="D1650" s="41">
        <v>1737125</v>
      </c>
      <c r="E1650" s="36" t="s">
        <v>654</v>
      </c>
      <c r="F1650" s="36" t="s">
        <v>115</v>
      </c>
    </row>
    <row r="1651" spans="1:6">
      <c r="A1651" s="38">
        <v>44532.15625</v>
      </c>
      <c r="B1651" s="39">
        <v>1082.8299560546875</v>
      </c>
      <c r="C1651" s="39">
        <v>1021.169921875</v>
      </c>
      <c r="D1651" s="41">
        <v>2277090</v>
      </c>
      <c r="E1651" s="36" t="s">
        <v>654</v>
      </c>
      <c r="F1651" s="36" t="s">
        <v>115</v>
      </c>
    </row>
    <row r="1652" spans="1:6">
      <c r="A1652" s="38">
        <v>44533.15625</v>
      </c>
      <c r="B1652" s="39">
        <v>1070.030029296875</v>
      </c>
      <c r="C1652" s="39">
        <v>1009.0989379882813</v>
      </c>
      <c r="D1652" s="41">
        <v>1046860</v>
      </c>
      <c r="E1652" s="36" t="s">
        <v>654</v>
      </c>
      <c r="F1652" s="36" t="s">
        <v>115</v>
      </c>
    </row>
    <row r="1653" spans="1:6">
      <c r="A1653" s="38">
        <v>44536.15625</v>
      </c>
      <c r="B1653" s="39">
        <v>1025.050048828125</v>
      </c>
      <c r="C1653" s="39">
        <v>966.68035888671875</v>
      </c>
      <c r="D1653" s="41">
        <v>1249415</v>
      </c>
      <c r="E1653" s="36" t="s">
        <v>654</v>
      </c>
      <c r="F1653" s="36" t="s">
        <v>115</v>
      </c>
    </row>
    <row r="1654" spans="1:6">
      <c r="A1654" s="38">
        <v>44537.15625</v>
      </c>
      <c r="B1654" s="39">
        <v>1041.699951171875</v>
      </c>
      <c r="C1654" s="39">
        <v>982.38214111328125</v>
      </c>
      <c r="D1654" s="41">
        <v>2446190</v>
      </c>
      <c r="E1654" s="36" t="s">
        <v>654</v>
      </c>
      <c r="F1654" s="36" t="s">
        <v>115</v>
      </c>
    </row>
    <row r="1655" spans="1:6">
      <c r="A1655" s="38">
        <v>44538.15625</v>
      </c>
      <c r="B1655" s="39">
        <v>1050.489990234375</v>
      </c>
      <c r="C1655" s="39">
        <v>990.671630859375</v>
      </c>
      <c r="D1655" s="41">
        <v>1223510</v>
      </c>
      <c r="E1655" s="36" t="s">
        <v>654</v>
      </c>
      <c r="F1655" s="36" t="s">
        <v>115</v>
      </c>
    </row>
    <row r="1656" spans="1:6">
      <c r="A1656" s="38">
        <v>44539.15625</v>
      </c>
      <c r="B1656" s="39">
        <v>1054.050048828125</v>
      </c>
      <c r="C1656" s="39">
        <v>994.0289306640625</v>
      </c>
      <c r="D1656" s="41">
        <v>645250</v>
      </c>
      <c r="E1656" s="36" t="s">
        <v>654</v>
      </c>
      <c r="F1656" s="36" t="s">
        <v>115</v>
      </c>
    </row>
    <row r="1657" spans="1:6">
      <c r="A1657" s="38">
        <v>44540.15625</v>
      </c>
      <c r="B1657" s="39">
        <v>1063.0699462890625</v>
      </c>
      <c r="C1657" s="39">
        <v>1002.5350341796875</v>
      </c>
      <c r="D1657" s="41">
        <v>865795</v>
      </c>
      <c r="E1657" s="36" t="s">
        <v>654</v>
      </c>
      <c r="F1657" s="36" t="s">
        <v>115</v>
      </c>
    </row>
    <row r="1658" spans="1:6">
      <c r="A1658" s="38">
        <v>44543.15625</v>
      </c>
      <c r="B1658" s="39">
        <v>1095.2900390625</v>
      </c>
      <c r="C1658" s="39">
        <v>1032.920654296875</v>
      </c>
      <c r="D1658" s="41">
        <v>2007730</v>
      </c>
      <c r="E1658" s="36" t="s">
        <v>654</v>
      </c>
      <c r="F1658" s="36" t="s">
        <v>115</v>
      </c>
    </row>
    <row r="1659" spans="1:6">
      <c r="A1659" s="38">
        <v>44544.15625</v>
      </c>
      <c r="B1659" s="39">
        <v>1087.8900146484375</v>
      </c>
      <c r="C1659" s="39">
        <v>1025.9422607421875</v>
      </c>
      <c r="D1659" s="41">
        <v>1169075</v>
      </c>
      <c r="E1659" s="36" t="s">
        <v>654</v>
      </c>
      <c r="F1659" s="36" t="s">
        <v>115</v>
      </c>
    </row>
    <row r="1660" spans="1:6">
      <c r="A1660" s="38">
        <v>44545.15625</v>
      </c>
      <c r="B1660" s="39">
        <v>1062.56005859375</v>
      </c>
      <c r="C1660" s="39">
        <v>1002.0543823242188</v>
      </c>
      <c r="D1660" s="41">
        <v>1091080</v>
      </c>
      <c r="E1660" s="36" t="s">
        <v>654</v>
      </c>
      <c r="F1660" s="36" t="s">
        <v>115</v>
      </c>
    </row>
    <row r="1661" spans="1:6">
      <c r="A1661" s="38">
        <v>44546.15625</v>
      </c>
      <c r="B1661" s="39">
        <v>1071.0699462890625</v>
      </c>
      <c r="C1661" s="39">
        <v>1010.0797729492188</v>
      </c>
      <c r="D1661" s="41">
        <v>1484725</v>
      </c>
      <c r="E1661" s="36" t="s">
        <v>654</v>
      </c>
      <c r="F1661" s="36" t="s">
        <v>115</v>
      </c>
    </row>
    <row r="1662" spans="1:6">
      <c r="A1662" s="38">
        <v>44547.15625</v>
      </c>
      <c r="B1662" s="39">
        <v>1078.5899658203125</v>
      </c>
      <c r="C1662" s="39">
        <v>1017.1714477539063</v>
      </c>
      <c r="D1662" s="41">
        <v>1803535</v>
      </c>
      <c r="E1662" s="36" t="s">
        <v>654</v>
      </c>
      <c r="F1662" s="36" t="s">
        <v>115</v>
      </c>
    </row>
    <row r="1663" spans="1:6">
      <c r="A1663" s="38">
        <v>44550.15625</v>
      </c>
      <c r="B1663" s="39">
        <v>1036.3900146484375</v>
      </c>
      <c r="C1663" s="39">
        <v>977.37469482421875</v>
      </c>
      <c r="D1663" s="41">
        <v>1610350</v>
      </c>
      <c r="E1663" s="36" t="s">
        <v>654</v>
      </c>
      <c r="F1663" s="36" t="s">
        <v>115</v>
      </c>
    </row>
    <row r="1664" spans="1:6">
      <c r="A1664" s="38">
        <v>44551.15625</v>
      </c>
      <c r="B1664" s="39">
        <v>1079.3800048828125</v>
      </c>
      <c r="C1664" s="39">
        <v>1017.9168701171875</v>
      </c>
      <c r="D1664" s="41">
        <v>1650015</v>
      </c>
      <c r="E1664" s="36" t="s">
        <v>654</v>
      </c>
      <c r="F1664" s="36" t="s">
        <v>115</v>
      </c>
    </row>
    <row r="1665" spans="1:6">
      <c r="A1665" s="38">
        <v>44552.15625</v>
      </c>
      <c r="B1665" s="39">
        <v>1094.8399658203125</v>
      </c>
      <c r="C1665" s="39">
        <v>1032.496337890625</v>
      </c>
      <c r="D1665" s="41">
        <v>1717310</v>
      </c>
      <c r="E1665" s="36" t="s">
        <v>654</v>
      </c>
      <c r="F1665" s="36" t="s">
        <v>115</v>
      </c>
    </row>
    <row r="1666" spans="1:6">
      <c r="A1666" s="38">
        <v>44553.15625</v>
      </c>
      <c r="B1666" s="39">
        <v>1091.0999755859375</v>
      </c>
      <c r="C1666" s="39">
        <v>1028.9691162109375</v>
      </c>
      <c r="D1666" s="41">
        <v>1022140</v>
      </c>
      <c r="E1666" s="36" t="s">
        <v>654</v>
      </c>
      <c r="F1666" s="36" t="s">
        <v>115</v>
      </c>
    </row>
    <row r="1667" spans="1:6">
      <c r="A1667" s="38">
        <v>44554.15625</v>
      </c>
      <c r="B1667" s="39">
        <v>1129.1199951171875</v>
      </c>
      <c r="C1667" s="39">
        <v>1064.8243408203125</v>
      </c>
      <c r="D1667" s="41">
        <v>2589040</v>
      </c>
      <c r="E1667" s="36" t="s">
        <v>654</v>
      </c>
      <c r="F1667" s="36" t="s">
        <v>115</v>
      </c>
    </row>
    <row r="1668" spans="1:6">
      <c r="A1668" s="38">
        <v>44557.15625</v>
      </c>
      <c r="B1668" s="39">
        <v>1123.6300048828125</v>
      </c>
      <c r="C1668" s="39">
        <v>1059.646728515625</v>
      </c>
      <c r="D1668" s="41">
        <v>1473275</v>
      </c>
      <c r="E1668" s="36" t="s">
        <v>654</v>
      </c>
      <c r="F1668" s="36" t="s">
        <v>115</v>
      </c>
    </row>
    <row r="1669" spans="1:6">
      <c r="A1669" s="38">
        <v>44558.15625</v>
      </c>
      <c r="B1669" s="39">
        <v>1131.1400146484375</v>
      </c>
      <c r="C1669" s="39">
        <v>1066.7291259765625</v>
      </c>
      <c r="D1669" s="41">
        <v>1356135</v>
      </c>
      <c r="E1669" s="36" t="s">
        <v>654</v>
      </c>
      <c r="F1669" s="36" t="s">
        <v>115</v>
      </c>
    </row>
    <row r="1670" spans="1:6">
      <c r="A1670" s="38">
        <v>44559.15625</v>
      </c>
      <c r="B1670" s="39">
        <v>1129.8199462890625</v>
      </c>
      <c r="C1670" s="39">
        <v>1065.4842529296875</v>
      </c>
      <c r="D1670" s="41">
        <v>803805</v>
      </c>
      <c r="E1670" s="36" t="s">
        <v>654</v>
      </c>
      <c r="F1670" s="36" t="s">
        <v>115</v>
      </c>
    </row>
    <row r="1671" spans="1:6">
      <c r="A1671" s="38">
        <v>44560.15625</v>
      </c>
      <c r="B1671" s="39">
        <v>1172.1300048828125</v>
      </c>
      <c r="C1671" s="39">
        <v>1105.38525390625</v>
      </c>
      <c r="D1671" s="41">
        <v>2721840</v>
      </c>
      <c r="E1671" s="36" t="s">
        <v>654</v>
      </c>
      <c r="F1671" s="36" t="s">
        <v>115</v>
      </c>
    </row>
    <row r="1672" spans="1:6">
      <c r="A1672" s="38">
        <v>44561.15625</v>
      </c>
      <c r="B1672" s="39">
        <v>1178.0699462890625</v>
      </c>
      <c r="C1672" s="39">
        <v>1110.9869384765625</v>
      </c>
      <c r="D1672" s="41">
        <v>1382600</v>
      </c>
      <c r="E1672" s="36" t="s">
        <v>654</v>
      </c>
      <c r="F1672" s="36" t="s">
        <v>115</v>
      </c>
    </row>
    <row r="1673" spans="1:6">
      <c r="A1673" s="38">
        <v>44564.15625</v>
      </c>
      <c r="B1673" s="39">
        <v>1194.6300048828125</v>
      </c>
      <c r="C1673" s="39">
        <v>1126.6036376953125</v>
      </c>
      <c r="D1673" s="41">
        <v>1565055</v>
      </c>
      <c r="E1673" s="36" t="s">
        <v>654</v>
      </c>
      <c r="F1673" s="36" t="s">
        <v>115</v>
      </c>
    </row>
    <row r="1674" spans="1:6">
      <c r="A1674" s="38">
        <v>44565.15625</v>
      </c>
      <c r="B1674" s="39">
        <v>1221.0799560546875</v>
      </c>
      <c r="C1674" s="39">
        <v>1151.547607421875</v>
      </c>
      <c r="D1674" s="41">
        <v>3346085</v>
      </c>
      <c r="E1674" s="36" t="s">
        <v>654</v>
      </c>
      <c r="F1674" s="36" t="s">
        <v>115</v>
      </c>
    </row>
    <row r="1675" spans="1:6">
      <c r="A1675" s="38">
        <v>44566.15625</v>
      </c>
      <c r="B1675" s="39">
        <v>1187.9000244140625</v>
      </c>
      <c r="C1675" s="39">
        <v>1120.2569580078125</v>
      </c>
      <c r="D1675" s="41">
        <v>3480935</v>
      </c>
      <c r="E1675" s="36" t="s">
        <v>654</v>
      </c>
      <c r="F1675" s="36" t="s">
        <v>115</v>
      </c>
    </row>
    <row r="1676" spans="1:6">
      <c r="A1676" s="38">
        <v>44567.15625</v>
      </c>
      <c r="B1676" s="39">
        <v>1186.22998046875</v>
      </c>
      <c r="C1676" s="39">
        <v>1118.68212890625</v>
      </c>
      <c r="D1676" s="41">
        <v>1719990</v>
      </c>
      <c r="E1676" s="36" t="s">
        <v>654</v>
      </c>
      <c r="F1676" s="36" t="s">
        <v>115</v>
      </c>
    </row>
    <row r="1677" spans="1:6">
      <c r="A1677" s="38">
        <v>44568.15625</v>
      </c>
      <c r="B1677" s="39">
        <v>1151.239990234375</v>
      </c>
      <c r="C1677" s="39">
        <v>1085.684814453125</v>
      </c>
      <c r="D1677" s="41">
        <v>1259050</v>
      </c>
      <c r="E1677" s="36" t="s">
        <v>654</v>
      </c>
      <c r="F1677" s="36" t="s">
        <v>115</v>
      </c>
    </row>
    <row r="1678" spans="1:6">
      <c r="A1678" s="38">
        <v>44571.15625</v>
      </c>
      <c r="B1678" s="39">
        <v>1116.1099853515625</v>
      </c>
      <c r="C1678" s="39">
        <v>1052.554931640625</v>
      </c>
      <c r="D1678" s="41">
        <v>1901720</v>
      </c>
      <c r="E1678" s="36" t="s">
        <v>654</v>
      </c>
      <c r="F1678" s="36" t="s">
        <v>115</v>
      </c>
    </row>
    <row r="1679" spans="1:6">
      <c r="A1679" s="38">
        <v>44572.15625</v>
      </c>
      <c r="B1679" s="39">
        <v>1153.4300537109375</v>
      </c>
      <c r="C1679" s="39">
        <v>1087.7501220703125</v>
      </c>
      <c r="D1679" s="41">
        <v>3841550</v>
      </c>
      <c r="E1679" s="36" t="s">
        <v>654</v>
      </c>
      <c r="F1679" s="36" t="s">
        <v>115</v>
      </c>
    </row>
    <row r="1680" spans="1:6">
      <c r="A1680" s="38">
        <v>44573.15625</v>
      </c>
      <c r="B1680" s="39">
        <v>1157.6700439453125</v>
      </c>
      <c r="C1680" s="39">
        <v>1091.74853515625</v>
      </c>
      <c r="D1680" s="41">
        <v>1230480</v>
      </c>
      <c r="E1680" s="36" t="s">
        <v>654</v>
      </c>
      <c r="F1680" s="36" t="s">
        <v>115</v>
      </c>
    </row>
    <row r="1681" spans="1:6">
      <c r="A1681" s="38">
        <v>44574.15625</v>
      </c>
      <c r="B1681" s="39">
        <v>1145.3299560546875</v>
      </c>
      <c r="C1681" s="39">
        <v>1080.111083984375</v>
      </c>
      <c r="D1681" s="41">
        <v>1046130</v>
      </c>
      <c r="E1681" s="36" t="s">
        <v>654</v>
      </c>
      <c r="F1681" s="36" t="s">
        <v>115</v>
      </c>
    </row>
    <row r="1682" spans="1:6">
      <c r="A1682" s="38">
        <v>44575.15625</v>
      </c>
      <c r="B1682" s="39">
        <v>1137.7099609375</v>
      </c>
      <c r="C1682" s="39">
        <v>1072.9251708984375</v>
      </c>
      <c r="D1682" s="41">
        <v>916430</v>
      </c>
      <c r="E1682" s="36" t="s">
        <v>654</v>
      </c>
      <c r="F1682" s="36" t="s">
        <v>115</v>
      </c>
    </row>
    <row r="1683" spans="1:6">
      <c r="A1683" s="38">
        <v>44578.15625</v>
      </c>
      <c r="B1683" s="39">
        <v>1125.5999755859375</v>
      </c>
      <c r="C1683" s="39">
        <v>1061.5045166015625</v>
      </c>
      <c r="D1683" s="41">
        <v>853150</v>
      </c>
      <c r="E1683" s="36" t="s">
        <v>654</v>
      </c>
      <c r="F1683" s="36" t="s">
        <v>115</v>
      </c>
    </row>
    <row r="1684" spans="1:6">
      <c r="A1684" s="38">
        <v>44579.15625</v>
      </c>
      <c r="B1684" s="39">
        <v>1082.0400390625</v>
      </c>
      <c r="C1684" s="39">
        <v>1020.4254760742188</v>
      </c>
      <c r="D1684" s="41">
        <v>1393010</v>
      </c>
      <c r="E1684" s="36" t="s">
        <v>654</v>
      </c>
      <c r="F1684" s="36" t="s">
        <v>115</v>
      </c>
    </row>
    <row r="1685" spans="1:6">
      <c r="A1685" s="38">
        <v>44580.15625</v>
      </c>
      <c r="B1685" s="39">
        <v>1081.6500244140625</v>
      </c>
      <c r="C1685" s="39">
        <v>1020.0572509765625</v>
      </c>
      <c r="D1685" s="41">
        <v>1693990</v>
      </c>
      <c r="E1685" s="36" t="s">
        <v>654</v>
      </c>
      <c r="F1685" s="36" t="s">
        <v>115</v>
      </c>
    </row>
    <row r="1686" spans="1:6">
      <c r="A1686" s="38">
        <v>44581.15625</v>
      </c>
      <c r="B1686" s="39">
        <v>1062.1700439453125</v>
      </c>
      <c r="C1686" s="39">
        <v>1001.6865844726563</v>
      </c>
      <c r="D1686" s="41">
        <v>1461985</v>
      </c>
      <c r="E1686" s="36" t="s">
        <v>654</v>
      </c>
      <c r="F1686" s="36" t="s">
        <v>115</v>
      </c>
    </row>
    <row r="1687" spans="1:6">
      <c r="A1687" s="38">
        <v>44582.15625</v>
      </c>
      <c r="B1687" s="39">
        <v>1040.0699462890625</v>
      </c>
      <c r="C1687" s="39">
        <v>980.844970703125</v>
      </c>
      <c r="D1687" s="41">
        <v>1248565</v>
      </c>
      <c r="E1687" s="36" t="s">
        <v>654</v>
      </c>
      <c r="F1687" s="36" t="s">
        <v>115</v>
      </c>
    </row>
    <row r="1688" spans="1:6">
      <c r="A1688" s="38">
        <v>44585.15625</v>
      </c>
      <c r="B1688" s="39">
        <v>964.989990234375</v>
      </c>
      <c r="C1688" s="39">
        <v>910.04034423828125</v>
      </c>
      <c r="D1688" s="41">
        <v>1940435</v>
      </c>
      <c r="E1688" s="36" t="s">
        <v>654</v>
      </c>
      <c r="F1688" s="36" t="s">
        <v>115</v>
      </c>
    </row>
    <row r="1689" spans="1:6">
      <c r="A1689" s="38">
        <v>44586.15625</v>
      </c>
      <c r="B1689" s="39">
        <v>956.33001708984375</v>
      </c>
      <c r="C1689" s="39">
        <v>901.8734130859375</v>
      </c>
      <c r="D1689" s="41">
        <v>1319185</v>
      </c>
      <c r="E1689" s="36" t="s">
        <v>654</v>
      </c>
      <c r="F1689" s="36" t="s">
        <v>115</v>
      </c>
    </row>
    <row r="1690" spans="1:6">
      <c r="A1690" s="38">
        <v>44588.15625</v>
      </c>
      <c r="B1690" s="39">
        <v>880.15997314453125</v>
      </c>
      <c r="C1690" s="39">
        <v>830.04083251953125</v>
      </c>
      <c r="D1690" s="41">
        <v>2717755</v>
      </c>
      <c r="E1690" s="36" t="s">
        <v>654</v>
      </c>
      <c r="F1690" s="36" t="s">
        <v>115</v>
      </c>
    </row>
    <row r="1691" spans="1:6">
      <c r="A1691" s="38">
        <v>44589.15625</v>
      </c>
      <c r="B1691" s="39">
        <v>942.6500244140625</v>
      </c>
      <c r="C1691" s="39">
        <v>888.97265625</v>
      </c>
      <c r="D1691" s="41">
        <v>6720665</v>
      </c>
      <c r="E1691" s="36" t="s">
        <v>654</v>
      </c>
      <c r="F1691" s="36" t="s">
        <v>115</v>
      </c>
    </row>
    <row r="1692" spans="1:6">
      <c r="A1692" s="38">
        <v>44592.15625</v>
      </c>
      <c r="B1692" s="39">
        <v>962.70001220703125</v>
      </c>
      <c r="C1692" s="39">
        <v>907.8807373046875</v>
      </c>
      <c r="D1692" s="41">
        <v>2333095</v>
      </c>
      <c r="E1692" s="36" t="s">
        <v>654</v>
      </c>
      <c r="F1692" s="36" t="s">
        <v>115</v>
      </c>
    </row>
    <row r="1693" spans="1:6">
      <c r="A1693" s="38">
        <v>44593.15625</v>
      </c>
      <c r="B1693" s="39">
        <v>958.17999267578125</v>
      </c>
      <c r="C1693" s="39">
        <v>903.6180419921875</v>
      </c>
      <c r="D1693" s="41">
        <v>2125050</v>
      </c>
      <c r="E1693" s="36" t="s">
        <v>654</v>
      </c>
      <c r="F1693" s="36" t="s">
        <v>115</v>
      </c>
    </row>
    <row r="1694" spans="1:6">
      <c r="A1694" s="38">
        <v>44594.15625</v>
      </c>
      <c r="B1694" s="39">
        <v>964.55999755859375</v>
      </c>
      <c r="C1694" s="39">
        <v>909.635009765625</v>
      </c>
      <c r="D1694" s="41">
        <v>2065345</v>
      </c>
      <c r="E1694" s="36" t="s">
        <v>654</v>
      </c>
      <c r="F1694" s="36" t="s">
        <v>115</v>
      </c>
    </row>
    <row r="1695" spans="1:6">
      <c r="A1695" s="38">
        <v>44595.15625</v>
      </c>
      <c r="B1695" s="39">
        <v>935.70001220703125</v>
      </c>
      <c r="C1695" s="39">
        <v>882.4180908203125</v>
      </c>
      <c r="D1695" s="41">
        <v>1737845</v>
      </c>
      <c r="E1695" s="36" t="s">
        <v>654</v>
      </c>
      <c r="F1695" s="36" t="s">
        <v>115</v>
      </c>
    </row>
    <row r="1696" spans="1:6">
      <c r="A1696" s="38">
        <v>44596.15625</v>
      </c>
      <c r="B1696" s="39">
        <v>939.02001953125</v>
      </c>
      <c r="C1696" s="39">
        <v>885.5491943359375</v>
      </c>
      <c r="D1696" s="41">
        <v>2057605</v>
      </c>
      <c r="E1696" s="36" t="s">
        <v>654</v>
      </c>
      <c r="F1696" s="36" t="s">
        <v>115</v>
      </c>
    </row>
    <row r="1697" spans="1:6">
      <c r="A1697" s="38">
        <v>44599.15625</v>
      </c>
      <c r="B1697" s="39">
        <v>931.77001953125</v>
      </c>
      <c r="C1697" s="39">
        <v>881.15179443359375</v>
      </c>
      <c r="D1697" s="41">
        <v>1635785</v>
      </c>
      <c r="E1697" s="36" t="s">
        <v>654</v>
      </c>
      <c r="F1697" s="36" t="s">
        <v>115</v>
      </c>
    </row>
    <row r="1698" spans="1:6">
      <c r="A1698" s="38">
        <v>44600.15625</v>
      </c>
      <c r="B1698" s="39">
        <v>916.280029296875</v>
      </c>
      <c r="C1698" s="39">
        <v>866.503173828125</v>
      </c>
      <c r="D1698" s="41">
        <v>1383345</v>
      </c>
      <c r="E1698" s="36" t="s">
        <v>654</v>
      </c>
      <c r="F1698" s="36" t="s">
        <v>115</v>
      </c>
    </row>
    <row r="1699" spans="1:6">
      <c r="A1699" s="38">
        <v>44601.15625</v>
      </c>
      <c r="B1699" s="39">
        <v>952.760009765625</v>
      </c>
      <c r="C1699" s="39">
        <v>901.00146484375</v>
      </c>
      <c r="D1699" s="41">
        <v>1611105</v>
      </c>
      <c r="E1699" s="36" t="s">
        <v>654</v>
      </c>
      <c r="F1699" s="36" t="s">
        <v>115</v>
      </c>
    </row>
    <row r="1700" spans="1:6">
      <c r="A1700" s="38">
        <v>44602.15625</v>
      </c>
      <c r="B1700" s="39">
        <v>945.90997314453125</v>
      </c>
      <c r="C1700" s="39">
        <v>894.5235595703125</v>
      </c>
      <c r="D1700" s="41">
        <v>941430</v>
      </c>
      <c r="E1700" s="36" t="s">
        <v>654</v>
      </c>
      <c r="F1700" s="36" t="s">
        <v>115</v>
      </c>
    </row>
    <row r="1701" spans="1:6">
      <c r="A1701" s="38">
        <v>44603.15625</v>
      </c>
      <c r="B1701" s="39">
        <v>908.32000732421875</v>
      </c>
      <c r="C1701" s="39">
        <v>858.9757080078125</v>
      </c>
      <c r="D1701" s="41">
        <v>1775005</v>
      </c>
      <c r="E1701" s="36" t="s">
        <v>654</v>
      </c>
      <c r="F1701" s="36" t="s">
        <v>115</v>
      </c>
    </row>
    <row r="1702" spans="1:6">
      <c r="A1702" s="38">
        <v>44606.15625</v>
      </c>
      <c r="B1702" s="39">
        <v>871.04998779296875</v>
      </c>
      <c r="C1702" s="39">
        <v>823.730224609375</v>
      </c>
      <c r="D1702" s="41">
        <v>1288900</v>
      </c>
      <c r="E1702" s="36" t="s">
        <v>654</v>
      </c>
      <c r="F1702" s="36" t="s">
        <v>115</v>
      </c>
    </row>
    <row r="1703" spans="1:6">
      <c r="A1703" s="38">
        <v>44607.15625</v>
      </c>
      <c r="B1703" s="39">
        <v>900.8800048828125</v>
      </c>
      <c r="C1703" s="39">
        <v>851.939697265625</v>
      </c>
      <c r="D1703" s="41">
        <v>1755420</v>
      </c>
      <c r="E1703" s="36" t="s">
        <v>654</v>
      </c>
      <c r="F1703" s="36" t="s">
        <v>115</v>
      </c>
    </row>
    <row r="1704" spans="1:6">
      <c r="A1704" s="38">
        <v>44608.15625</v>
      </c>
      <c r="B1704" s="39">
        <v>892.3800048828125</v>
      </c>
      <c r="C1704" s="39">
        <v>843.90155029296875</v>
      </c>
      <c r="D1704" s="41">
        <v>1318130</v>
      </c>
      <c r="E1704" s="36" t="s">
        <v>654</v>
      </c>
      <c r="F1704" s="36" t="s">
        <v>115</v>
      </c>
    </row>
    <row r="1705" spans="1:6">
      <c r="A1705" s="38">
        <v>44609.15625</v>
      </c>
      <c r="B1705" s="39">
        <v>877.719970703125</v>
      </c>
      <c r="C1705" s="39">
        <v>830.03790283203125</v>
      </c>
      <c r="D1705" s="41">
        <v>1118710</v>
      </c>
      <c r="E1705" s="36" t="s">
        <v>654</v>
      </c>
      <c r="F1705" s="36" t="s">
        <v>115</v>
      </c>
    </row>
    <row r="1706" spans="1:6">
      <c r="A1706" s="38">
        <v>44610.15625</v>
      </c>
      <c r="B1706" s="39">
        <v>864.09002685546875</v>
      </c>
      <c r="C1706" s="39">
        <v>817.14837646484375</v>
      </c>
      <c r="D1706" s="41">
        <v>1086800</v>
      </c>
      <c r="E1706" s="36" t="s">
        <v>654</v>
      </c>
      <c r="F1706" s="36" t="s">
        <v>115</v>
      </c>
    </row>
    <row r="1707" spans="1:6">
      <c r="A1707" s="38">
        <v>44613.15625</v>
      </c>
      <c r="B1707" s="39">
        <v>882.58001708984375</v>
      </c>
      <c r="C1707" s="39">
        <v>834.6339111328125</v>
      </c>
      <c r="D1707" s="41">
        <v>2397775</v>
      </c>
      <c r="E1707" s="36" t="s">
        <v>654</v>
      </c>
      <c r="F1707" s="36" t="s">
        <v>115</v>
      </c>
    </row>
    <row r="1708" spans="1:6">
      <c r="A1708" s="38">
        <v>44614.15625</v>
      </c>
      <c r="B1708" s="39">
        <v>883.6199951171875</v>
      </c>
      <c r="C1708" s="39">
        <v>835.617431640625</v>
      </c>
      <c r="D1708" s="41">
        <v>1416055</v>
      </c>
      <c r="E1708" s="36" t="s">
        <v>654</v>
      </c>
      <c r="F1708" s="36" t="s">
        <v>115</v>
      </c>
    </row>
    <row r="1709" spans="1:6">
      <c r="A1709" s="38">
        <v>44615.15625</v>
      </c>
      <c r="B1709" s="39">
        <v>887.33001708984375</v>
      </c>
      <c r="C1709" s="39">
        <v>839.1259765625</v>
      </c>
      <c r="D1709" s="41">
        <v>733475</v>
      </c>
      <c r="E1709" s="36" t="s">
        <v>654</v>
      </c>
      <c r="F1709" s="36" t="s">
        <v>115</v>
      </c>
    </row>
    <row r="1710" spans="1:6">
      <c r="A1710" s="38">
        <v>44616.15625</v>
      </c>
      <c r="B1710" s="39">
        <v>845.21002197265625</v>
      </c>
      <c r="C1710" s="39">
        <v>799.2940673828125</v>
      </c>
      <c r="D1710" s="41">
        <v>1792400</v>
      </c>
      <c r="E1710" s="36" t="s">
        <v>654</v>
      </c>
      <c r="F1710" s="36" t="s">
        <v>115</v>
      </c>
    </row>
    <row r="1711" spans="1:6">
      <c r="A1711" s="38">
        <v>44617.15625</v>
      </c>
      <c r="B1711" s="39">
        <v>900.3800048828125</v>
      </c>
      <c r="C1711" s="39">
        <v>851.46697998046875</v>
      </c>
      <c r="D1711" s="41">
        <v>1664145</v>
      </c>
      <c r="E1711" s="36" t="s">
        <v>654</v>
      </c>
      <c r="F1711" s="36" t="s">
        <v>115</v>
      </c>
    </row>
    <row r="1712" spans="1:6">
      <c r="A1712" s="38">
        <v>44620.15625</v>
      </c>
      <c r="B1712" s="39">
        <v>907.0999755859375</v>
      </c>
      <c r="C1712" s="39">
        <v>857.8218994140625</v>
      </c>
      <c r="D1712" s="41">
        <v>1471030</v>
      </c>
      <c r="E1712" s="36" t="s">
        <v>654</v>
      </c>
      <c r="F1712" s="36" t="s">
        <v>115</v>
      </c>
    </row>
    <row r="1713" spans="1:6">
      <c r="A1713" s="38">
        <v>44622.15625</v>
      </c>
      <c r="B1713" s="39">
        <v>898.489990234375</v>
      </c>
      <c r="C1713" s="39">
        <v>849.67950439453125</v>
      </c>
      <c r="D1713" s="41">
        <v>1149115</v>
      </c>
      <c r="E1713" s="36" t="s">
        <v>654</v>
      </c>
      <c r="F1713" s="36" t="s">
        <v>115</v>
      </c>
    </row>
    <row r="1714" spans="1:6">
      <c r="A1714" s="38">
        <v>44623.15625</v>
      </c>
      <c r="B1714" s="39">
        <v>935.67999267578125</v>
      </c>
      <c r="C1714" s="39">
        <v>884.849365234375</v>
      </c>
      <c r="D1714" s="41">
        <v>3152420</v>
      </c>
      <c r="E1714" s="36" t="s">
        <v>654</v>
      </c>
      <c r="F1714" s="36" t="s">
        <v>115</v>
      </c>
    </row>
    <row r="1715" spans="1:6">
      <c r="A1715" s="38">
        <v>44624.15625</v>
      </c>
      <c r="B1715" s="39">
        <v>932.489990234375</v>
      </c>
      <c r="C1715" s="39">
        <v>881.83258056640625</v>
      </c>
      <c r="D1715" s="41">
        <v>1631635</v>
      </c>
      <c r="E1715" s="36" t="s">
        <v>654</v>
      </c>
      <c r="F1715" s="36" t="s">
        <v>115</v>
      </c>
    </row>
    <row r="1716" spans="1:6">
      <c r="A1716" s="38">
        <v>44627.15625</v>
      </c>
      <c r="B1716" s="39">
        <v>944.47998046875</v>
      </c>
      <c r="C1716" s="39">
        <v>893.1712646484375</v>
      </c>
      <c r="D1716" s="41">
        <v>2467275</v>
      </c>
      <c r="E1716" s="36" t="s">
        <v>654</v>
      </c>
      <c r="F1716" s="36" t="s">
        <v>115</v>
      </c>
    </row>
    <row r="1717" spans="1:6">
      <c r="A1717" s="38">
        <v>44628.15625</v>
      </c>
      <c r="B1717" s="39">
        <v>962.57000732421875</v>
      </c>
      <c r="C1717" s="39">
        <v>910.27862548828125</v>
      </c>
      <c r="D1717" s="41">
        <v>2302850</v>
      </c>
      <c r="E1717" s="36" t="s">
        <v>654</v>
      </c>
      <c r="F1717" s="36" t="s">
        <v>115</v>
      </c>
    </row>
    <row r="1718" spans="1:6">
      <c r="A1718" s="38">
        <v>44629.15625</v>
      </c>
      <c r="B1718" s="39">
        <v>911.219970703125</v>
      </c>
      <c r="C1718" s="39">
        <v>861.718017578125</v>
      </c>
      <c r="D1718" s="41">
        <v>4306000</v>
      </c>
      <c r="E1718" s="36" t="s">
        <v>654</v>
      </c>
      <c r="F1718" s="36" t="s">
        <v>115</v>
      </c>
    </row>
    <row r="1719" spans="1:6">
      <c r="A1719" s="38">
        <v>44630.15625</v>
      </c>
      <c r="B1719" s="39">
        <v>852</v>
      </c>
      <c r="C1719" s="39">
        <v>805.71514892578125</v>
      </c>
      <c r="D1719" s="41">
        <v>18311435</v>
      </c>
      <c r="E1719" s="36" t="s">
        <v>654</v>
      </c>
      <c r="F1719" s="36" t="s">
        <v>115</v>
      </c>
    </row>
    <row r="1720" spans="1:6">
      <c r="A1720" s="38">
        <v>44631.15625</v>
      </c>
      <c r="B1720" s="39">
        <v>859.65997314453125</v>
      </c>
      <c r="C1720" s="39">
        <v>812.95904541015625</v>
      </c>
      <c r="D1720" s="41">
        <v>3857190</v>
      </c>
      <c r="E1720" s="36" t="s">
        <v>654</v>
      </c>
      <c r="F1720" s="36" t="s">
        <v>115</v>
      </c>
    </row>
    <row r="1721" spans="1:6">
      <c r="A1721" s="38">
        <v>44634.15625</v>
      </c>
      <c r="B1721" s="39">
        <v>875.03997802734375</v>
      </c>
      <c r="C1721" s="39">
        <v>827.50335693359375</v>
      </c>
      <c r="D1721" s="41">
        <v>3609870</v>
      </c>
      <c r="E1721" s="36" t="s">
        <v>654</v>
      </c>
      <c r="F1721" s="36" t="s">
        <v>115</v>
      </c>
    </row>
    <row r="1722" spans="1:6">
      <c r="A1722" s="38">
        <v>44635.15625</v>
      </c>
      <c r="B1722" s="39">
        <v>830.32000732421875</v>
      </c>
      <c r="C1722" s="39">
        <v>785.212890625</v>
      </c>
      <c r="D1722" s="41">
        <v>4969165</v>
      </c>
      <c r="E1722" s="36" t="s">
        <v>654</v>
      </c>
      <c r="F1722" s="36" t="s">
        <v>115</v>
      </c>
    </row>
    <row r="1723" spans="1:6">
      <c r="A1723" s="38">
        <v>44636.15625</v>
      </c>
      <c r="B1723" s="39">
        <v>870.09002685546875</v>
      </c>
      <c r="C1723" s="39">
        <v>822.822509765625</v>
      </c>
      <c r="D1723" s="41">
        <v>4301735</v>
      </c>
      <c r="E1723" s="36" t="s">
        <v>654</v>
      </c>
      <c r="F1723" s="36" t="s">
        <v>115</v>
      </c>
    </row>
    <row r="1724" spans="1:6">
      <c r="A1724" s="38">
        <v>44637.15625</v>
      </c>
      <c r="B1724" s="39">
        <v>882.21002197265625</v>
      </c>
      <c r="C1724" s="39">
        <v>834.28424072265625</v>
      </c>
      <c r="D1724" s="41">
        <v>4807090</v>
      </c>
      <c r="E1724" s="36" t="s">
        <v>654</v>
      </c>
      <c r="F1724" s="36" t="s">
        <v>115</v>
      </c>
    </row>
    <row r="1725" spans="1:6">
      <c r="A1725" s="38">
        <v>44641.15625</v>
      </c>
      <c r="B1725" s="39">
        <v>886.780029296875</v>
      </c>
      <c r="C1725" s="39">
        <v>838.60601806640625</v>
      </c>
      <c r="D1725" s="41">
        <v>1428255</v>
      </c>
      <c r="E1725" s="36" t="s">
        <v>654</v>
      </c>
      <c r="F1725" s="36" t="s">
        <v>115</v>
      </c>
    </row>
    <row r="1726" spans="1:6">
      <c r="A1726" s="38">
        <v>44642.15625</v>
      </c>
      <c r="B1726" s="39">
        <v>891.53997802734375</v>
      </c>
      <c r="C1726" s="39">
        <v>843.10736083984375</v>
      </c>
      <c r="D1726" s="41">
        <v>1089810</v>
      </c>
      <c r="E1726" s="36" t="s">
        <v>654</v>
      </c>
      <c r="F1726" s="36" t="s">
        <v>115</v>
      </c>
    </row>
    <row r="1727" spans="1:6">
      <c r="A1727" s="38">
        <v>44643.15625</v>
      </c>
      <c r="B1727" s="39">
        <v>887.09002685546875</v>
      </c>
      <c r="C1727" s="39">
        <v>838.89892578125</v>
      </c>
      <c r="D1727" s="41">
        <v>827815</v>
      </c>
      <c r="E1727" s="36" t="s">
        <v>654</v>
      </c>
      <c r="F1727" s="36" t="s">
        <v>115</v>
      </c>
    </row>
    <row r="1728" spans="1:6">
      <c r="A1728" s="38">
        <v>44644.15625</v>
      </c>
      <c r="B1728" s="39">
        <v>895.78997802734375</v>
      </c>
      <c r="C1728" s="39">
        <v>847.1263427734375</v>
      </c>
      <c r="D1728" s="41">
        <v>1579895</v>
      </c>
      <c r="E1728" s="36" t="s">
        <v>654</v>
      </c>
      <c r="F1728" s="36" t="s">
        <v>115</v>
      </c>
    </row>
    <row r="1729" spans="1:6">
      <c r="A1729" s="38">
        <v>44645.15625</v>
      </c>
      <c r="B1729" s="39">
        <v>884.6099853515625</v>
      </c>
      <c r="C1729" s="39">
        <v>836.55364990234375</v>
      </c>
      <c r="D1729" s="41">
        <v>1536150</v>
      </c>
      <c r="E1729" s="36" t="s">
        <v>654</v>
      </c>
      <c r="F1729" s="36" t="s">
        <v>115</v>
      </c>
    </row>
    <row r="1730" spans="1:6">
      <c r="A1730" s="38">
        <v>44648.15625</v>
      </c>
      <c r="B1730" s="39">
        <v>867.530029296875</v>
      </c>
      <c r="C1730" s="39">
        <v>820.40155029296875</v>
      </c>
      <c r="D1730" s="41">
        <v>1154430</v>
      </c>
      <c r="E1730" s="36" t="s">
        <v>654</v>
      </c>
      <c r="F1730" s="36" t="s">
        <v>115</v>
      </c>
    </row>
    <row r="1731" spans="1:6">
      <c r="A1731" s="38">
        <v>44649.15625</v>
      </c>
      <c r="B1731" s="39">
        <v>881.59002685546875</v>
      </c>
      <c r="C1731" s="39">
        <v>833.69775390625</v>
      </c>
      <c r="D1731" s="41">
        <v>990615</v>
      </c>
      <c r="E1731" s="36" t="s">
        <v>654</v>
      </c>
      <c r="F1731" s="36" t="s">
        <v>115</v>
      </c>
    </row>
    <row r="1732" spans="1:6">
      <c r="A1732" s="38">
        <v>44650.15625</v>
      </c>
      <c r="B1732" s="39">
        <v>904.3900146484375</v>
      </c>
      <c r="C1732" s="39">
        <v>855.2591552734375</v>
      </c>
      <c r="D1732" s="41">
        <v>1637480</v>
      </c>
      <c r="E1732" s="36" t="s">
        <v>654</v>
      </c>
      <c r="F1732" s="36" t="s">
        <v>115</v>
      </c>
    </row>
    <row r="1733" spans="1:6">
      <c r="A1733" s="38">
        <v>44651.15625</v>
      </c>
      <c r="B1733" s="39">
        <v>891.5</v>
      </c>
      <c r="C1733" s="39">
        <v>843.06951904296875</v>
      </c>
      <c r="D1733" s="41">
        <v>1230430</v>
      </c>
      <c r="E1733" s="36" t="s">
        <v>654</v>
      </c>
      <c r="F1733" s="36" t="s">
        <v>115</v>
      </c>
    </row>
    <row r="1734" spans="1:6">
      <c r="A1734" s="38">
        <v>44652.15625</v>
      </c>
      <c r="B1734" s="39">
        <v>882.969970703125</v>
      </c>
      <c r="C1734" s="39">
        <v>835.00274658203125</v>
      </c>
      <c r="D1734" s="41">
        <v>1650485</v>
      </c>
      <c r="E1734" s="36" t="s">
        <v>655</v>
      </c>
      <c r="F1734" s="36" t="s">
        <v>115</v>
      </c>
    </row>
    <row r="1735" spans="1:6">
      <c r="A1735" s="38">
        <v>44655.15625</v>
      </c>
      <c r="B1735" s="39">
        <v>902.32000732421875</v>
      </c>
      <c r="C1735" s="39">
        <v>853.3016357421875</v>
      </c>
      <c r="D1735" s="41">
        <v>1596040</v>
      </c>
      <c r="E1735" s="36" t="s">
        <v>655</v>
      </c>
      <c r="F1735" s="36" t="s">
        <v>115</v>
      </c>
    </row>
    <row r="1736" spans="1:6">
      <c r="A1736" s="38">
        <v>44656.15625</v>
      </c>
      <c r="B1736" s="39">
        <v>911.52001953125</v>
      </c>
      <c r="C1736" s="39">
        <v>862.001708984375</v>
      </c>
      <c r="D1736" s="41">
        <v>1795365</v>
      </c>
      <c r="E1736" s="36" t="s">
        <v>655</v>
      </c>
      <c r="F1736" s="36" t="s">
        <v>115</v>
      </c>
    </row>
    <row r="1737" spans="1:6">
      <c r="A1737" s="38">
        <v>44657.15625</v>
      </c>
      <c r="B1737" s="39">
        <v>892.8499755859375</v>
      </c>
      <c r="C1737" s="39">
        <v>844.3460693359375</v>
      </c>
      <c r="D1737" s="41">
        <v>1222695</v>
      </c>
      <c r="E1737" s="36" t="s">
        <v>655</v>
      </c>
      <c r="F1737" s="36" t="s">
        <v>115</v>
      </c>
    </row>
    <row r="1738" spans="1:6">
      <c r="A1738" s="38">
        <v>44658.15625</v>
      </c>
      <c r="B1738" s="39">
        <v>877.83001708984375</v>
      </c>
      <c r="C1738" s="39">
        <v>830.14202880859375</v>
      </c>
      <c r="D1738" s="41">
        <v>1790400</v>
      </c>
      <c r="E1738" s="36" t="s">
        <v>655</v>
      </c>
      <c r="F1738" s="36" t="s">
        <v>115</v>
      </c>
    </row>
    <row r="1739" spans="1:6">
      <c r="A1739" s="38">
        <v>44659.15625</v>
      </c>
      <c r="B1739" s="39">
        <v>874.6300048828125</v>
      </c>
      <c r="C1739" s="39">
        <v>827.1158447265625</v>
      </c>
      <c r="D1739" s="41">
        <v>931325</v>
      </c>
      <c r="E1739" s="36" t="s">
        <v>655</v>
      </c>
      <c r="F1739" s="36" t="s">
        <v>115</v>
      </c>
    </row>
    <row r="1740" spans="1:6">
      <c r="A1740" s="38">
        <v>44662.15625</v>
      </c>
      <c r="B1740" s="39">
        <v>862.46002197265625</v>
      </c>
      <c r="C1740" s="39">
        <v>815.60699462890625</v>
      </c>
      <c r="D1740" s="41">
        <v>1277825</v>
      </c>
      <c r="E1740" s="36" t="s">
        <v>655</v>
      </c>
      <c r="F1740" s="36" t="s">
        <v>115</v>
      </c>
    </row>
    <row r="1741" spans="1:6">
      <c r="A1741" s="38">
        <v>44663.15625</v>
      </c>
      <c r="B1741" s="39">
        <v>829.41998291015625</v>
      </c>
      <c r="C1741" s="39">
        <v>784.36187744140625</v>
      </c>
      <c r="D1741" s="41">
        <v>2028475</v>
      </c>
      <c r="E1741" s="36" t="s">
        <v>655</v>
      </c>
      <c r="F1741" s="36" t="s">
        <v>115</v>
      </c>
    </row>
    <row r="1742" spans="1:6">
      <c r="A1742" s="38">
        <v>44664.15625</v>
      </c>
      <c r="B1742" s="39">
        <v>832.15997314453125</v>
      </c>
      <c r="C1742" s="39">
        <v>786.95306396484375</v>
      </c>
      <c r="D1742" s="41">
        <v>1152325</v>
      </c>
      <c r="E1742" s="36" t="s">
        <v>655</v>
      </c>
      <c r="F1742" s="36" t="s">
        <v>115</v>
      </c>
    </row>
    <row r="1743" spans="1:6">
      <c r="A1743" s="38">
        <v>44669.15625</v>
      </c>
      <c r="B1743" s="39">
        <v>814.3499755859375</v>
      </c>
      <c r="C1743" s="39">
        <v>770.11053466796875</v>
      </c>
      <c r="D1743" s="41">
        <v>2060760</v>
      </c>
      <c r="E1743" s="36" t="s">
        <v>655</v>
      </c>
      <c r="F1743" s="36" t="s">
        <v>115</v>
      </c>
    </row>
    <row r="1744" spans="1:6">
      <c r="A1744" s="38">
        <v>44670.15625</v>
      </c>
      <c r="B1744" s="39">
        <v>805.46002197265625</v>
      </c>
      <c r="C1744" s="39">
        <v>761.70355224609375</v>
      </c>
      <c r="D1744" s="41">
        <v>1646955</v>
      </c>
      <c r="E1744" s="36" t="s">
        <v>655</v>
      </c>
      <c r="F1744" s="36" t="s">
        <v>115</v>
      </c>
    </row>
    <row r="1745" spans="1:6">
      <c r="A1745" s="38">
        <v>44671.15625</v>
      </c>
      <c r="B1745" s="39">
        <v>796.34002685546875</v>
      </c>
      <c r="C1745" s="39">
        <v>753.07891845703125</v>
      </c>
      <c r="D1745" s="41">
        <v>1795945</v>
      </c>
      <c r="E1745" s="36" t="s">
        <v>655</v>
      </c>
      <c r="F1745" s="36" t="s">
        <v>115</v>
      </c>
    </row>
    <row r="1746" spans="1:6">
      <c r="A1746" s="38">
        <v>44672.15625</v>
      </c>
      <c r="B1746" s="39">
        <v>818.6099853515625</v>
      </c>
      <c r="C1746" s="39">
        <v>774.1390380859375</v>
      </c>
      <c r="D1746" s="41">
        <v>1459790</v>
      </c>
      <c r="E1746" s="36" t="s">
        <v>655</v>
      </c>
      <c r="F1746" s="36" t="s">
        <v>115</v>
      </c>
    </row>
    <row r="1747" spans="1:6">
      <c r="A1747" s="38">
        <v>44673.15625</v>
      </c>
      <c r="B1747" s="39">
        <v>825.8499755859375</v>
      </c>
      <c r="C1747" s="39">
        <v>780.9857177734375</v>
      </c>
      <c r="D1747" s="41">
        <v>1394285</v>
      </c>
      <c r="E1747" s="36" t="s">
        <v>655</v>
      </c>
      <c r="F1747" s="36" t="s">
        <v>115</v>
      </c>
    </row>
    <row r="1748" spans="1:6">
      <c r="A1748" s="38">
        <v>44676.15625</v>
      </c>
      <c r="B1748" s="39">
        <v>800.28997802734375</v>
      </c>
      <c r="C1748" s="39">
        <v>756.8143310546875</v>
      </c>
      <c r="D1748" s="41">
        <v>1078155</v>
      </c>
      <c r="E1748" s="36" t="s">
        <v>655</v>
      </c>
      <c r="F1748" s="36" t="s">
        <v>115</v>
      </c>
    </row>
    <row r="1749" spans="1:6">
      <c r="A1749" s="38">
        <v>44677.15625</v>
      </c>
      <c r="B1749" s="39">
        <v>808.57000732421875</v>
      </c>
      <c r="C1749" s="39">
        <v>764.64459228515625</v>
      </c>
      <c r="D1749" s="41">
        <v>554235</v>
      </c>
      <c r="E1749" s="36" t="s">
        <v>655</v>
      </c>
      <c r="F1749" s="36" t="s">
        <v>115</v>
      </c>
    </row>
    <row r="1750" spans="1:6">
      <c r="A1750" s="38">
        <v>44678.15625</v>
      </c>
      <c r="B1750" s="39">
        <v>806.59002685546875</v>
      </c>
      <c r="C1750" s="39">
        <v>762.77203369140625</v>
      </c>
      <c r="D1750" s="41">
        <v>782125</v>
      </c>
      <c r="E1750" s="36" t="s">
        <v>655</v>
      </c>
      <c r="F1750" s="36" t="s">
        <v>115</v>
      </c>
    </row>
    <row r="1751" spans="1:6">
      <c r="A1751" s="38">
        <v>44679.15625</v>
      </c>
      <c r="B1751" s="39">
        <v>820.22998046875</v>
      </c>
      <c r="C1751" s="39">
        <v>775.671142578125</v>
      </c>
      <c r="D1751" s="41">
        <v>936520</v>
      </c>
      <c r="E1751" s="36" t="s">
        <v>655</v>
      </c>
      <c r="F1751" s="36" t="s">
        <v>115</v>
      </c>
    </row>
    <row r="1752" spans="1:6">
      <c r="A1752" s="38">
        <v>44680.15625</v>
      </c>
      <c r="B1752" s="39">
        <v>840.03997802734375</v>
      </c>
      <c r="C1752" s="39">
        <v>794.40496826171875</v>
      </c>
      <c r="D1752" s="41">
        <v>1644240</v>
      </c>
      <c r="E1752" s="36" t="s">
        <v>655</v>
      </c>
      <c r="F1752" s="36" t="s">
        <v>115</v>
      </c>
    </row>
    <row r="1753" spans="1:6">
      <c r="A1753" s="38">
        <v>44683.15625</v>
      </c>
      <c r="B1753" s="39">
        <v>823.30999755859375</v>
      </c>
      <c r="C1753" s="39">
        <v>778.5838623046875</v>
      </c>
      <c r="D1753" s="41">
        <v>650650</v>
      </c>
      <c r="E1753" s="36" t="s">
        <v>655</v>
      </c>
      <c r="F1753" s="36" t="s">
        <v>115</v>
      </c>
    </row>
    <row r="1754" spans="1:6">
      <c r="A1754" s="38">
        <v>44685.15625</v>
      </c>
      <c r="B1754" s="39">
        <v>811.69000244140625</v>
      </c>
      <c r="C1754" s="39">
        <v>767.59503173828125</v>
      </c>
      <c r="D1754" s="41">
        <v>692650</v>
      </c>
      <c r="E1754" s="36" t="s">
        <v>655</v>
      </c>
      <c r="F1754" s="36" t="s">
        <v>115</v>
      </c>
    </row>
    <row r="1755" spans="1:6">
      <c r="A1755" s="38">
        <v>44686.15625</v>
      </c>
      <c r="B1755" s="39">
        <v>834.32000732421875</v>
      </c>
      <c r="C1755" s="39">
        <v>788.99560546875</v>
      </c>
      <c r="D1755" s="41">
        <v>1261345</v>
      </c>
      <c r="E1755" s="36" t="s">
        <v>655</v>
      </c>
      <c r="F1755" s="36" t="s">
        <v>115</v>
      </c>
    </row>
    <row r="1756" spans="1:6">
      <c r="A1756" s="38">
        <v>44687.15625</v>
      </c>
      <c r="B1756" s="39">
        <v>781.08001708984375</v>
      </c>
      <c r="C1756" s="39">
        <v>738.64788818359375</v>
      </c>
      <c r="D1756" s="41">
        <v>9471025</v>
      </c>
      <c r="E1756" s="36" t="s">
        <v>655</v>
      </c>
      <c r="F1756" s="36" t="s">
        <v>115</v>
      </c>
    </row>
    <row r="1757" spans="1:6">
      <c r="A1757" s="38">
        <v>44690.15625</v>
      </c>
      <c r="B1757" s="39">
        <v>771.510009765625</v>
      </c>
      <c r="C1757" s="39">
        <v>729.5977783203125</v>
      </c>
      <c r="D1757" s="41">
        <v>2411595</v>
      </c>
      <c r="E1757" s="36" t="s">
        <v>655</v>
      </c>
      <c r="F1757" s="36" t="s">
        <v>115</v>
      </c>
    </row>
    <row r="1758" spans="1:6">
      <c r="A1758" s="38">
        <v>44691.15625</v>
      </c>
      <c r="B1758" s="39">
        <v>729.8599853515625</v>
      </c>
      <c r="C1758" s="39">
        <v>690.21051025390625</v>
      </c>
      <c r="D1758" s="41">
        <v>1709820</v>
      </c>
      <c r="E1758" s="36" t="s">
        <v>655</v>
      </c>
      <c r="F1758" s="36" t="s">
        <v>115</v>
      </c>
    </row>
    <row r="1759" spans="1:6">
      <c r="A1759" s="38">
        <v>44692.15625</v>
      </c>
      <c r="B1759" s="39">
        <v>744.32000732421875</v>
      </c>
      <c r="C1759" s="39">
        <v>703.884765625</v>
      </c>
      <c r="D1759" s="41">
        <v>1718220</v>
      </c>
      <c r="E1759" s="36" t="s">
        <v>655</v>
      </c>
      <c r="F1759" s="36" t="s">
        <v>115</v>
      </c>
    </row>
    <row r="1760" spans="1:6">
      <c r="A1760" s="38">
        <v>44693.15625</v>
      </c>
      <c r="B1760" s="39">
        <v>730.780029296875</v>
      </c>
      <c r="C1760" s="39">
        <v>691.08050537109375</v>
      </c>
      <c r="D1760" s="41">
        <v>2573040</v>
      </c>
      <c r="E1760" s="36" t="s">
        <v>655</v>
      </c>
      <c r="F1760" s="36" t="s">
        <v>115</v>
      </c>
    </row>
    <row r="1761" spans="1:6">
      <c r="A1761" s="38">
        <v>44694.15625</v>
      </c>
      <c r="B1761" s="39">
        <v>748.6500244140625</v>
      </c>
      <c r="C1761" s="39">
        <v>707.979736328125</v>
      </c>
      <c r="D1761" s="41">
        <v>2299395</v>
      </c>
      <c r="E1761" s="36" t="s">
        <v>655</v>
      </c>
      <c r="F1761" s="36" t="s">
        <v>115</v>
      </c>
    </row>
    <row r="1762" spans="1:6">
      <c r="A1762" s="38">
        <v>44697.15625</v>
      </c>
      <c r="B1762" s="39">
        <v>759.1400146484375</v>
      </c>
      <c r="C1762" s="39">
        <v>717.8997802734375</v>
      </c>
      <c r="D1762" s="41">
        <v>1659875</v>
      </c>
      <c r="E1762" s="36" t="s">
        <v>655</v>
      </c>
      <c r="F1762" s="36" t="s">
        <v>115</v>
      </c>
    </row>
    <row r="1763" spans="1:6">
      <c r="A1763" s="38">
        <v>44698.15625</v>
      </c>
      <c r="B1763" s="39">
        <v>788.1300048828125</v>
      </c>
      <c r="C1763" s="39">
        <v>745.31494140625</v>
      </c>
      <c r="D1763" s="41">
        <v>1171455</v>
      </c>
      <c r="E1763" s="36" t="s">
        <v>655</v>
      </c>
      <c r="F1763" s="36" t="s">
        <v>115</v>
      </c>
    </row>
    <row r="1764" spans="1:6">
      <c r="A1764" s="38">
        <v>44699.15625</v>
      </c>
      <c r="B1764" s="39">
        <v>790.07000732421875</v>
      </c>
      <c r="C1764" s="39">
        <v>747.14959716796875</v>
      </c>
      <c r="D1764" s="41">
        <v>1431600</v>
      </c>
      <c r="E1764" s="36" t="s">
        <v>655</v>
      </c>
      <c r="F1764" s="36" t="s">
        <v>115</v>
      </c>
    </row>
    <row r="1765" spans="1:6">
      <c r="A1765" s="38">
        <v>44700.15625</v>
      </c>
      <c r="B1765" s="39">
        <v>732.96002197265625</v>
      </c>
      <c r="C1765" s="39">
        <v>693.14208984375</v>
      </c>
      <c r="D1765" s="41">
        <v>2393815</v>
      </c>
      <c r="E1765" s="36" t="s">
        <v>655</v>
      </c>
      <c r="F1765" s="36" t="s">
        <v>115</v>
      </c>
    </row>
    <row r="1766" spans="1:6">
      <c r="A1766" s="38">
        <v>44701.15625</v>
      </c>
      <c r="B1766" s="39">
        <v>757.3900146484375</v>
      </c>
      <c r="C1766" s="39">
        <v>716.244873046875</v>
      </c>
      <c r="D1766" s="41">
        <v>1152750</v>
      </c>
      <c r="E1766" s="36" t="s">
        <v>655</v>
      </c>
      <c r="F1766" s="36" t="s">
        <v>115</v>
      </c>
    </row>
    <row r="1767" spans="1:6">
      <c r="A1767" s="38">
        <v>44704.15625</v>
      </c>
      <c r="B1767" s="39">
        <v>770.6400146484375</v>
      </c>
      <c r="C1767" s="39">
        <v>731.28546142578125</v>
      </c>
      <c r="D1767" s="41">
        <v>989935</v>
      </c>
      <c r="E1767" s="36" t="s">
        <v>655</v>
      </c>
      <c r="F1767" s="36" t="s">
        <v>115</v>
      </c>
    </row>
    <row r="1768" spans="1:6">
      <c r="A1768" s="38">
        <v>44705.15625</v>
      </c>
      <c r="B1768" s="39">
        <v>742.80999755859375</v>
      </c>
      <c r="C1768" s="39">
        <v>704.87664794921875</v>
      </c>
      <c r="D1768" s="41">
        <v>917500</v>
      </c>
      <c r="E1768" s="36" t="s">
        <v>655</v>
      </c>
      <c r="F1768" s="36" t="s">
        <v>115</v>
      </c>
    </row>
    <row r="1769" spans="1:6">
      <c r="A1769" s="38">
        <v>44706.15625</v>
      </c>
      <c r="B1769" s="39">
        <v>690.78997802734375</v>
      </c>
      <c r="C1769" s="39">
        <v>655.51312255859375</v>
      </c>
      <c r="D1769" s="41">
        <v>1965075</v>
      </c>
      <c r="E1769" s="36" t="s">
        <v>655</v>
      </c>
      <c r="F1769" s="36" t="s">
        <v>115</v>
      </c>
    </row>
    <row r="1770" spans="1:6">
      <c r="A1770" s="38">
        <v>44707.15625</v>
      </c>
      <c r="B1770" s="39">
        <v>695.57000732421875</v>
      </c>
      <c r="C1770" s="39">
        <v>660.04913330078125</v>
      </c>
      <c r="D1770" s="41">
        <v>2096885</v>
      </c>
      <c r="E1770" s="36" t="s">
        <v>655</v>
      </c>
      <c r="F1770" s="36" t="s">
        <v>115</v>
      </c>
    </row>
    <row r="1771" spans="1:6">
      <c r="A1771" s="38">
        <v>44708.15625</v>
      </c>
      <c r="B1771" s="39">
        <v>734.28997802734375</v>
      </c>
      <c r="C1771" s="39">
        <v>696.79180908203125</v>
      </c>
      <c r="D1771" s="41">
        <v>2415750</v>
      </c>
      <c r="E1771" s="36" t="s">
        <v>655</v>
      </c>
      <c r="F1771" s="36" t="s">
        <v>115</v>
      </c>
    </row>
    <row r="1772" spans="1:6">
      <c r="A1772" s="38">
        <v>44711.15625</v>
      </c>
      <c r="B1772" s="39">
        <v>779.65997314453125</v>
      </c>
      <c r="C1772" s="39">
        <v>739.844970703125</v>
      </c>
      <c r="D1772" s="41">
        <v>2353215</v>
      </c>
      <c r="E1772" s="36" t="s">
        <v>655</v>
      </c>
      <c r="F1772" s="36" t="s">
        <v>115</v>
      </c>
    </row>
    <row r="1773" spans="1:6">
      <c r="A1773" s="38">
        <v>44712.15625</v>
      </c>
      <c r="B1773" s="39">
        <v>782.29998779296875</v>
      </c>
      <c r="C1773" s="39">
        <v>742.34991455078125</v>
      </c>
      <c r="D1773" s="41">
        <v>2278985</v>
      </c>
      <c r="E1773" s="36" t="s">
        <v>655</v>
      </c>
      <c r="F1773" s="36" t="s">
        <v>115</v>
      </c>
    </row>
    <row r="1774" spans="1:6">
      <c r="A1774" s="38">
        <v>44713.15625</v>
      </c>
      <c r="B1774" s="39">
        <v>758.69000244140625</v>
      </c>
      <c r="C1774" s="39">
        <v>719.94573974609375</v>
      </c>
      <c r="D1774" s="41">
        <v>1627080</v>
      </c>
      <c r="E1774" s="36" t="s">
        <v>655</v>
      </c>
      <c r="F1774" s="36" t="s">
        <v>115</v>
      </c>
    </row>
    <row r="1775" spans="1:6">
      <c r="A1775" s="38">
        <v>44714.15625</v>
      </c>
      <c r="B1775" s="39">
        <v>768.030029296875</v>
      </c>
      <c r="C1775" s="39">
        <v>728.80877685546875</v>
      </c>
      <c r="D1775" s="41">
        <v>1255295</v>
      </c>
      <c r="E1775" s="36" t="s">
        <v>655</v>
      </c>
      <c r="F1775" s="36" t="s">
        <v>115</v>
      </c>
    </row>
    <row r="1776" spans="1:6">
      <c r="A1776" s="38">
        <v>44715.15625</v>
      </c>
      <c r="B1776" s="39">
        <v>752.02001953125</v>
      </c>
      <c r="C1776" s="39">
        <v>713.61639404296875</v>
      </c>
      <c r="D1776" s="41">
        <v>3123375</v>
      </c>
      <c r="E1776" s="36" t="s">
        <v>655</v>
      </c>
      <c r="F1776" s="36" t="s">
        <v>115</v>
      </c>
    </row>
    <row r="1777" spans="1:6">
      <c r="A1777" s="38">
        <v>44718.15625</v>
      </c>
      <c r="B1777" s="39">
        <v>721.3699951171875</v>
      </c>
      <c r="C1777" s="39">
        <v>684.53155517578125</v>
      </c>
      <c r="D1777" s="41">
        <v>2978330</v>
      </c>
      <c r="E1777" s="36" t="s">
        <v>655</v>
      </c>
      <c r="F1777" s="36" t="s">
        <v>115</v>
      </c>
    </row>
    <row r="1778" spans="1:6">
      <c r="A1778" s="38">
        <v>44719.15625</v>
      </c>
      <c r="B1778" s="39">
        <v>710.07000732421875</v>
      </c>
      <c r="C1778" s="39">
        <v>673.80877685546875</v>
      </c>
      <c r="D1778" s="41">
        <v>1440245</v>
      </c>
      <c r="E1778" s="36" t="s">
        <v>655</v>
      </c>
      <c r="F1778" s="36" t="s">
        <v>115</v>
      </c>
    </row>
    <row r="1779" spans="1:6">
      <c r="A1779" s="38">
        <v>44720.15625</v>
      </c>
      <c r="B1779" s="39">
        <v>699.70001220703125</v>
      </c>
      <c r="C1779" s="39">
        <v>663.96832275390625</v>
      </c>
      <c r="D1779" s="41">
        <v>2041880</v>
      </c>
      <c r="E1779" s="36" t="s">
        <v>655</v>
      </c>
      <c r="F1779" s="36" t="s">
        <v>115</v>
      </c>
    </row>
    <row r="1780" spans="1:6">
      <c r="A1780" s="38">
        <v>44721.15625</v>
      </c>
      <c r="B1780" s="39">
        <v>710.03997802734375</v>
      </c>
      <c r="C1780" s="39">
        <v>673.78021240234375</v>
      </c>
      <c r="D1780" s="41">
        <v>1524445</v>
      </c>
      <c r="E1780" s="36" t="s">
        <v>655</v>
      </c>
      <c r="F1780" s="36" t="s">
        <v>115</v>
      </c>
    </row>
    <row r="1781" spans="1:6">
      <c r="A1781" s="38">
        <v>44722.15625</v>
      </c>
      <c r="B1781" s="39">
        <v>696.6400146484375</v>
      </c>
      <c r="C1781" s="39">
        <v>661.06463623046875</v>
      </c>
      <c r="D1781" s="41">
        <v>1726700</v>
      </c>
      <c r="E1781" s="36" t="s">
        <v>655</v>
      </c>
      <c r="F1781" s="36" t="s">
        <v>115</v>
      </c>
    </row>
    <row r="1782" spans="1:6">
      <c r="A1782" s="38">
        <v>44725.15625</v>
      </c>
      <c r="B1782" s="39">
        <v>662.29998779296875</v>
      </c>
      <c r="C1782" s="39">
        <v>628.47821044921875</v>
      </c>
      <c r="D1782" s="41">
        <v>1822030</v>
      </c>
      <c r="E1782" s="36" t="s">
        <v>655</v>
      </c>
      <c r="F1782" s="36" t="s">
        <v>115</v>
      </c>
    </row>
    <row r="1783" spans="1:6">
      <c r="A1783" s="38">
        <v>44726.15625</v>
      </c>
      <c r="B1783" s="39">
        <v>646.760009765625</v>
      </c>
      <c r="C1783" s="39">
        <v>613.731689453125</v>
      </c>
      <c r="D1783" s="41">
        <v>2032605</v>
      </c>
      <c r="E1783" s="36" t="s">
        <v>655</v>
      </c>
      <c r="F1783" s="36" t="s">
        <v>115</v>
      </c>
    </row>
    <row r="1784" spans="1:6">
      <c r="A1784" s="38">
        <v>44727.15625</v>
      </c>
      <c r="B1784" s="39">
        <v>655.489990234375</v>
      </c>
      <c r="C1784" s="39">
        <v>622.015869140625</v>
      </c>
      <c r="D1784" s="41">
        <v>1519350</v>
      </c>
      <c r="E1784" s="36" t="s">
        <v>655</v>
      </c>
      <c r="F1784" s="36" t="s">
        <v>115</v>
      </c>
    </row>
    <row r="1785" spans="1:6">
      <c r="A1785" s="38">
        <v>44728.15625</v>
      </c>
      <c r="B1785" s="39">
        <v>659.19000244140625</v>
      </c>
      <c r="C1785" s="39">
        <v>625.52691650390625</v>
      </c>
      <c r="D1785" s="41">
        <v>2376050</v>
      </c>
      <c r="E1785" s="36" t="s">
        <v>655</v>
      </c>
      <c r="F1785" s="36" t="s">
        <v>115</v>
      </c>
    </row>
    <row r="1786" spans="1:6">
      <c r="A1786" s="38">
        <v>44729.15625</v>
      </c>
      <c r="B1786" s="39">
        <v>675.15997314453125</v>
      </c>
      <c r="C1786" s="39">
        <v>640.68133544921875</v>
      </c>
      <c r="D1786" s="41">
        <v>6981435</v>
      </c>
      <c r="E1786" s="36" t="s">
        <v>655</v>
      </c>
      <c r="F1786" s="36" t="s">
        <v>115</v>
      </c>
    </row>
    <row r="1787" spans="1:6">
      <c r="A1787" s="38">
        <v>44732.15625</v>
      </c>
      <c r="B1787" s="39">
        <v>673.94000244140625</v>
      </c>
      <c r="C1787" s="39">
        <v>639.52362060546875</v>
      </c>
      <c r="D1787" s="41">
        <v>2165955</v>
      </c>
      <c r="E1787" s="36" t="s">
        <v>655</v>
      </c>
      <c r="F1787" s="36" t="s">
        <v>115</v>
      </c>
    </row>
    <row r="1788" spans="1:6">
      <c r="A1788" s="38">
        <v>44733.15625</v>
      </c>
      <c r="B1788" s="39">
        <v>718.8499755859375</v>
      </c>
      <c r="C1788" s="39">
        <v>682.1402587890625</v>
      </c>
      <c r="D1788" s="41">
        <v>2943285</v>
      </c>
      <c r="E1788" s="36" t="s">
        <v>655</v>
      </c>
      <c r="F1788" s="36" t="s">
        <v>115</v>
      </c>
    </row>
    <row r="1789" spans="1:6">
      <c r="A1789" s="38">
        <v>44734.15625</v>
      </c>
      <c r="B1789" s="39">
        <v>700.6099853515625</v>
      </c>
      <c r="C1789" s="39">
        <v>664.8316650390625</v>
      </c>
      <c r="D1789" s="41">
        <v>1915020</v>
      </c>
      <c r="E1789" s="36" t="s">
        <v>655</v>
      </c>
      <c r="F1789" s="36" t="s">
        <v>115</v>
      </c>
    </row>
    <row r="1790" spans="1:6">
      <c r="A1790" s="38">
        <v>44735.15625</v>
      </c>
      <c r="B1790" s="39">
        <v>735.77001953125</v>
      </c>
      <c r="C1790" s="39">
        <v>698.1961669921875</v>
      </c>
      <c r="D1790" s="41">
        <v>1571635</v>
      </c>
      <c r="E1790" s="36" t="s">
        <v>655</v>
      </c>
      <c r="F1790" s="36" t="s">
        <v>115</v>
      </c>
    </row>
    <row r="1791" spans="1:6">
      <c r="A1791" s="38">
        <v>44736.15625</v>
      </c>
      <c r="B1791" s="39">
        <v>729.469970703125</v>
      </c>
      <c r="C1791" s="39">
        <v>692.2178955078125</v>
      </c>
      <c r="D1791" s="41">
        <v>1863505</v>
      </c>
      <c r="E1791" s="36" t="s">
        <v>655</v>
      </c>
      <c r="F1791" s="36" t="s">
        <v>115</v>
      </c>
    </row>
    <row r="1792" spans="1:6">
      <c r="A1792" s="38">
        <v>44739.15625</v>
      </c>
      <c r="B1792" s="39">
        <v>758.219970703125</v>
      </c>
      <c r="C1792" s="39">
        <v>719.499755859375</v>
      </c>
      <c r="D1792" s="41">
        <v>2246030</v>
      </c>
      <c r="E1792" s="36" t="s">
        <v>655</v>
      </c>
      <c r="F1792" s="36" t="s">
        <v>115</v>
      </c>
    </row>
    <row r="1793" spans="1:6">
      <c r="A1793" s="38">
        <v>44740.15625</v>
      </c>
      <c r="B1793" s="39">
        <v>747.03997802734375</v>
      </c>
      <c r="C1793" s="39">
        <v>708.890625</v>
      </c>
      <c r="D1793" s="41">
        <v>1547735</v>
      </c>
      <c r="E1793" s="36" t="s">
        <v>655</v>
      </c>
      <c r="F1793" s="36" t="s">
        <v>115</v>
      </c>
    </row>
    <row r="1794" spans="1:6">
      <c r="A1794" s="38">
        <v>44741.15625</v>
      </c>
      <c r="B1794" s="39">
        <v>732.45001220703125</v>
      </c>
      <c r="C1794" s="39">
        <v>695.0457763671875</v>
      </c>
      <c r="D1794" s="41">
        <v>1994865</v>
      </c>
      <c r="E1794" s="36" t="s">
        <v>655</v>
      </c>
      <c r="F1794" s="36" t="s">
        <v>115</v>
      </c>
    </row>
    <row r="1795" spans="1:6">
      <c r="A1795" s="38">
        <v>44742.15625</v>
      </c>
      <c r="B1795" s="39">
        <v>707.8599853515625</v>
      </c>
      <c r="C1795" s="39">
        <v>671.71142578125</v>
      </c>
      <c r="D1795" s="41">
        <v>1367215</v>
      </c>
      <c r="E1795" s="36" t="s">
        <v>655</v>
      </c>
      <c r="F1795" s="36" t="s">
        <v>115</v>
      </c>
    </row>
    <row r="1796" spans="1:6">
      <c r="A1796" s="38">
        <v>44743.15625</v>
      </c>
      <c r="B1796" s="39">
        <v>697.6099853515625</v>
      </c>
      <c r="C1796" s="39">
        <v>661.98486328125</v>
      </c>
      <c r="D1796" s="41">
        <v>2681085</v>
      </c>
      <c r="E1796" s="36" t="s">
        <v>655</v>
      </c>
      <c r="F1796" s="36" t="s">
        <v>115</v>
      </c>
    </row>
    <row r="1797" spans="1:6">
      <c r="A1797" s="38">
        <v>44746.15625</v>
      </c>
      <c r="B1797" s="39">
        <v>701.16998291015625</v>
      </c>
      <c r="C1797" s="39">
        <v>665.36309814453125</v>
      </c>
      <c r="D1797" s="41">
        <v>997635</v>
      </c>
      <c r="E1797" s="36" t="s">
        <v>655</v>
      </c>
      <c r="F1797" s="36" t="s">
        <v>115</v>
      </c>
    </row>
    <row r="1798" spans="1:6">
      <c r="A1798" s="38">
        <v>44747.15625</v>
      </c>
      <c r="B1798" s="39">
        <v>708.510009765625</v>
      </c>
      <c r="C1798" s="39">
        <v>672.3282470703125</v>
      </c>
      <c r="D1798" s="41">
        <v>1671945</v>
      </c>
      <c r="E1798" s="36" t="s">
        <v>655</v>
      </c>
      <c r="F1798" s="36" t="s">
        <v>115</v>
      </c>
    </row>
    <row r="1799" spans="1:6">
      <c r="A1799" s="38">
        <v>44748.15625</v>
      </c>
      <c r="B1799" s="39">
        <v>721.6400146484375</v>
      </c>
      <c r="C1799" s="39">
        <v>684.7879638671875</v>
      </c>
      <c r="D1799" s="41">
        <v>1255740</v>
      </c>
      <c r="E1799" s="36" t="s">
        <v>655</v>
      </c>
      <c r="F1799" s="36" t="s">
        <v>115</v>
      </c>
    </row>
    <row r="1800" spans="1:6">
      <c r="A1800" s="38">
        <v>44749.15625</v>
      </c>
      <c r="B1800" s="39">
        <v>721.8900146484375</v>
      </c>
      <c r="C1800" s="39">
        <v>685.02490234375</v>
      </c>
      <c r="D1800" s="41">
        <v>2292405</v>
      </c>
      <c r="E1800" s="36" t="s">
        <v>655</v>
      </c>
      <c r="F1800" s="36" t="s">
        <v>115</v>
      </c>
    </row>
    <row r="1801" spans="1:6">
      <c r="A1801" s="38">
        <v>44750.15625</v>
      </c>
      <c r="B1801" s="39">
        <v>721.33001708984375</v>
      </c>
      <c r="C1801" s="39">
        <v>684.49365234375</v>
      </c>
      <c r="D1801" s="41">
        <v>1902540</v>
      </c>
      <c r="E1801" s="36" t="s">
        <v>655</v>
      </c>
      <c r="F1801" s="36" t="s">
        <v>115</v>
      </c>
    </row>
    <row r="1802" spans="1:6">
      <c r="A1802" s="38">
        <v>44753.15625</v>
      </c>
      <c r="B1802" s="39">
        <v>700.57000732421875</v>
      </c>
      <c r="C1802" s="39">
        <v>664.7938232421875</v>
      </c>
      <c r="D1802" s="41">
        <v>1794550</v>
      </c>
      <c r="E1802" s="36" t="s">
        <v>655</v>
      </c>
      <c r="F1802" s="36" t="s">
        <v>115</v>
      </c>
    </row>
    <row r="1803" spans="1:6">
      <c r="A1803" s="38">
        <v>44754.15625</v>
      </c>
      <c r="B1803" s="39">
        <v>703.6400146484375</v>
      </c>
      <c r="C1803" s="39">
        <v>667.7069091796875</v>
      </c>
      <c r="D1803" s="41">
        <v>1022425</v>
      </c>
      <c r="E1803" s="36" t="s">
        <v>655</v>
      </c>
      <c r="F1803" s="36" t="s">
        <v>115</v>
      </c>
    </row>
    <row r="1804" spans="1:6">
      <c r="A1804" s="38">
        <v>44755.15625</v>
      </c>
      <c r="B1804" s="39">
        <v>701.05999755859375</v>
      </c>
      <c r="C1804" s="39">
        <v>665.25885009765625</v>
      </c>
      <c r="D1804" s="41">
        <v>1592075</v>
      </c>
      <c r="E1804" s="36" t="s">
        <v>655</v>
      </c>
      <c r="F1804" s="36" t="s">
        <v>115</v>
      </c>
    </row>
    <row r="1805" spans="1:6">
      <c r="A1805" s="38">
        <v>44756.15625</v>
      </c>
      <c r="B1805" s="39">
        <v>683.45001220703125</v>
      </c>
      <c r="C1805" s="39">
        <v>648.54815673828125</v>
      </c>
      <c r="D1805" s="41">
        <v>2490795</v>
      </c>
      <c r="E1805" s="36" t="s">
        <v>655</v>
      </c>
      <c r="F1805" s="36" t="s">
        <v>115</v>
      </c>
    </row>
    <row r="1806" spans="1:6">
      <c r="A1806" s="38">
        <v>44757.15625</v>
      </c>
      <c r="B1806" s="39">
        <v>675.72998046875</v>
      </c>
      <c r="C1806" s="39">
        <v>641.22235107421875</v>
      </c>
      <c r="D1806" s="41">
        <v>2274990</v>
      </c>
      <c r="E1806" s="36" t="s">
        <v>655</v>
      </c>
      <c r="F1806" s="36" t="s">
        <v>115</v>
      </c>
    </row>
    <row r="1807" spans="1:6">
      <c r="A1807" s="38">
        <v>44760.15625</v>
      </c>
      <c r="B1807" s="39">
        <v>688.33001708984375</v>
      </c>
      <c r="C1807" s="39">
        <v>653.178955078125</v>
      </c>
      <c r="D1807" s="41">
        <v>1928330</v>
      </c>
      <c r="E1807" s="36" t="s">
        <v>655</v>
      </c>
      <c r="F1807" s="36" t="s">
        <v>115</v>
      </c>
    </row>
    <row r="1808" spans="1:6">
      <c r="A1808" s="38">
        <v>44761.15625</v>
      </c>
      <c r="B1808" s="39">
        <v>682.32000732421875</v>
      </c>
      <c r="C1808" s="39">
        <v>647.4757080078125</v>
      </c>
      <c r="D1808" s="41">
        <v>2425015</v>
      </c>
      <c r="E1808" s="36" t="s">
        <v>655</v>
      </c>
      <c r="F1808" s="36" t="s">
        <v>115</v>
      </c>
    </row>
    <row r="1809" spans="1:6">
      <c r="A1809" s="38">
        <v>44762.15625</v>
      </c>
      <c r="B1809" s="39">
        <v>707.17999267578125</v>
      </c>
      <c r="C1809" s="39">
        <v>671.06610107421875</v>
      </c>
      <c r="D1809" s="41">
        <v>2407070</v>
      </c>
      <c r="E1809" s="36" t="s">
        <v>655</v>
      </c>
      <c r="F1809" s="36" t="s">
        <v>115</v>
      </c>
    </row>
    <row r="1810" spans="1:6">
      <c r="A1810" s="38">
        <v>44763.15625</v>
      </c>
      <c r="B1810" s="39">
        <v>724.1500244140625</v>
      </c>
      <c r="C1810" s="39">
        <v>687.1695556640625</v>
      </c>
      <c r="D1810" s="41">
        <v>3903380</v>
      </c>
      <c r="E1810" s="36" t="s">
        <v>655</v>
      </c>
      <c r="F1810" s="36" t="s">
        <v>115</v>
      </c>
    </row>
    <row r="1811" spans="1:6">
      <c r="A1811" s="38">
        <v>44764.15625</v>
      </c>
      <c r="B1811" s="39">
        <v>745.28997802734375</v>
      </c>
      <c r="C1811" s="39">
        <v>707.22991943359375</v>
      </c>
      <c r="D1811" s="41">
        <v>6784000</v>
      </c>
      <c r="E1811" s="36" t="s">
        <v>655</v>
      </c>
      <c r="F1811" s="36" t="s">
        <v>115</v>
      </c>
    </row>
    <row r="1812" spans="1:6">
      <c r="A1812" s="38">
        <v>44767.15625</v>
      </c>
      <c r="B1812" s="39">
        <v>757.9000244140625</v>
      </c>
      <c r="C1812" s="39">
        <v>719.1961669921875</v>
      </c>
      <c r="D1812" s="41">
        <v>3109580</v>
      </c>
      <c r="E1812" s="36" t="s">
        <v>655</v>
      </c>
      <c r="F1812" s="36" t="s">
        <v>115</v>
      </c>
    </row>
    <row r="1813" spans="1:6">
      <c r="A1813" s="38">
        <v>44768.15625</v>
      </c>
      <c r="B1813" s="39">
        <v>740.489990234375</v>
      </c>
      <c r="C1813" s="39">
        <v>702.6751708984375</v>
      </c>
      <c r="D1813" s="41">
        <v>2521590</v>
      </c>
      <c r="E1813" s="36" t="s">
        <v>655</v>
      </c>
      <c r="F1813" s="36" t="s">
        <v>115</v>
      </c>
    </row>
    <row r="1814" spans="1:6">
      <c r="A1814" s="38">
        <v>44769.15625</v>
      </c>
      <c r="B1814" s="39">
        <v>757.489990234375</v>
      </c>
      <c r="C1814" s="39">
        <v>718.80706787109375</v>
      </c>
      <c r="D1814" s="41">
        <v>1893570</v>
      </c>
      <c r="E1814" s="36" t="s">
        <v>655</v>
      </c>
      <c r="F1814" s="36" t="s">
        <v>115</v>
      </c>
    </row>
    <row r="1815" spans="1:6">
      <c r="A1815" s="38">
        <v>44770.15625</v>
      </c>
      <c r="B1815" s="39">
        <v>769.21002197265625</v>
      </c>
      <c r="C1815" s="39">
        <v>729.92852783203125</v>
      </c>
      <c r="D1815" s="41">
        <v>3251015</v>
      </c>
      <c r="E1815" s="36" t="s">
        <v>655</v>
      </c>
      <c r="F1815" s="36" t="s">
        <v>115</v>
      </c>
    </row>
    <row r="1816" spans="1:6">
      <c r="A1816" s="38">
        <v>44771.15625</v>
      </c>
      <c r="B1816" s="39">
        <v>790.8599853515625</v>
      </c>
      <c r="C1816" s="39">
        <v>750.47296142578125</v>
      </c>
      <c r="D1816" s="41">
        <v>2288000</v>
      </c>
      <c r="E1816" s="36" t="s">
        <v>655</v>
      </c>
      <c r="F1816" s="36" t="s">
        <v>115</v>
      </c>
    </row>
    <row r="1817" spans="1:6">
      <c r="A1817" s="38">
        <v>44774.15625</v>
      </c>
      <c r="B1817" s="39">
        <v>788.80999755859375</v>
      </c>
      <c r="C1817" s="39">
        <v>748.5277099609375</v>
      </c>
      <c r="D1817" s="41">
        <v>1282525</v>
      </c>
      <c r="E1817" s="36" t="s">
        <v>655</v>
      </c>
      <c r="F1817" s="36" t="s">
        <v>115</v>
      </c>
    </row>
    <row r="1818" spans="1:6">
      <c r="A1818" s="38">
        <v>44775.15625</v>
      </c>
      <c r="B1818" s="39">
        <v>763.989990234375</v>
      </c>
      <c r="C1818" s="39">
        <v>724.9752197265625</v>
      </c>
      <c r="D1818" s="41">
        <v>1735430</v>
      </c>
      <c r="E1818" s="36" t="s">
        <v>655</v>
      </c>
      <c r="F1818" s="36" t="s">
        <v>115</v>
      </c>
    </row>
    <row r="1819" spans="1:6">
      <c r="A1819" s="38">
        <v>44776.15625</v>
      </c>
      <c r="B1819" s="39">
        <v>773.8599853515625</v>
      </c>
      <c r="C1819" s="39">
        <v>736.8486328125</v>
      </c>
      <c r="D1819" s="41">
        <v>1710915</v>
      </c>
      <c r="E1819" s="36" t="s">
        <v>655</v>
      </c>
      <c r="F1819" s="36" t="s">
        <v>115</v>
      </c>
    </row>
    <row r="1820" spans="1:6">
      <c r="A1820" s="38">
        <v>44777.15625</v>
      </c>
      <c r="B1820" s="39">
        <v>780.219970703125</v>
      </c>
      <c r="C1820" s="39">
        <v>742.90447998046875</v>
      </c>
      <c r="D1820" s="41">
        <v>1474645</v>
      </c>
      <c r="E1820" s="36" t="s">
        <v>655</v>
      </c>
      <c r="F1820" s="36" t="s">
        <v>115</v>
      </c>
    </row>
    <row r="1821" spans="1:6">
      <c r="A1821" s="38">
        <v>44778.15625</v>
      </c>
      <c r="B1821" s="39">
        <v>786.9000244140625</v>
      </c>
      <c r="C1821" s="39">
        <v>749.2650146484375</v>
      </c>
      <c r="D1821" s="41">
        <v>1176665</v>
      </c>
      <c r="E1821" s="36" t="s">
        <v>655</v>
      </c>
      <c r="F1821" s="36" t="s">
        <v>115</v>
      </c>
    </row>
    <row r="1822" spans="1:6">
      <c r="A1822" s="38">
        <v>44781.15625</v>
      </c>
      <c r="B1822" s="39">
        <v>777.20001220703125</v>
      </c>
      <c r="C1822" s="39">
        <v>740.02886962890625</v>
      </c>
      <c r="D1822" s="41">
        <v>752610</v>
      </c>
      <c r="E1822" s="36" t="s">
        <v>655</v>
      </c>
      <c r="F1822" s="36" t="s">
        <v>115</v>
      </c>
    </row>
    <row r="1823" spans="1:6">
      <c r="A1823" s="38">
        <v>44783.15625</v>
      </c>
      <c r="B1823" s="39">
        <v>764.530029296875</v>
      </c>
      <c r="C1823" s="39">
        <v>727.96490478515625</v>
      </c>
      <c r="D1823" s="41">
        <v>910245</v>
      </c>
      <c r="E1823" s="36" t="s">
        <v>655</v>
      </c>
      <c r="F1823" s="36" t="s">
        <v>115</v>
      </c>
    </row>
    <row r="1824" spans="1:6">
      <c r="A1824" s="38">
        <v>44784.15625</v>
      </c>
      <c r="B1824" s="39">
        <v>771.41998291015625</v>
      </c>
      <c r="C1824" s="39">
        <v>734.525390625</v>
      </c>
      <c r="D1824" s="41">
        <v>1827410</v>
      </c>
      <c r="E1824" s="36" t="s">
        <v>655</v>
      </c>
      <c r="F1824" s="36" t="s">
        <v>115</v>
      </c>
    </row>
    <row r="1825" spans="1:6">
      <c r="A1825" s="38">
        <v>44785.15625</v>
      </c>
      <c r="B1825" s="39">
        <v>758.5</v>
      </c>
      <c r="C1825" s="39">
        <v>722.2232666015625</v>
      </c>
      <c r="D1825" s="41">
        <v>830770</v>
      </c>
      <c r="E1825" s="36" t="s">
        <v>655</v>
      </c>
      <c r="F1825" s="36" t="s">
        <v>115</v>
      </c>
    </row>
    <row r="1826" spans="1:6">
      <c r="A1826" s="38">
        <v>44789.15625</v>
      </c>
      <c r="B1826" s="39">
        <v>765.32000732421875</v>
      </c>
      <c r="C1826" s="39">
        <v>728.71710205078125</v>
      </c>
      <c r="D1826" s="41">
        <v>734365</v>
      </c>
      <c r="E1826" s="36" t="s">
        <v>655</v>
      </c>
      <c r="F1826" s="36" t="s">
        <v>115</v>
      </c>
    </row>
    <row r="1827" spans="1:6">
      <c r="A1827" s="38">
        <v>44790.15625</v>
      </c>
      <c r="B1827" s="39">
        <v>778.94000244140625</v>
      </c>
      <c r="C1827" s="39">
        <v>741.6856689453125</v>
      </c>
      <c r="D1827" s="41">
        <v>1873720</v>
      </c>
      <c r="E1827" s="36" t="s">
        <v>655</v>
      </c>
      <c r="F1827" s="36" t="s">
        <v>115</v>
      </c>
    </row>
    <row r="1828" spans="1:6">
      <c r="A1828" s="38">
        <v>44791.15625</v>
      </c>
      <c r="B1828" s="39">
        <v>780.1199951171875</v>
      </c>
      <c r="C1828" s="39">
        <v>742.80938720703125</v>
      </c>
      <c r="D1828" s="41">
        <v>1163975</v>
      </c>
      <c r="E1828" s="36" t="s">
        <v>655</v>
      </c>
      <c r="F1828" s="36" t="s">
        <v>115</v>
      </c>
    </row>
    <row r="1829" spans="1:6">
      <c r="A1829" s="38">
        <v>44792.15625</v>
      </c>
      <c r="B1829" s="39">
        <v>784.739990234375</v>
      </c>
      <c r="C1829" s="39">
        <v>747.20843505859375</v>
      </c>
      <c r="D1829" s="41">
        <v>4856375</v>
      </c>
      <c r="E1829" s="36" t="s">
        <v>655</v>
      </c>
      <c r="F1829" s="36" t="s">
        <v>115</v>
      </c>
    </row>
    <row r="1830" spans="1:6">
      <c r="A1830" s="38">
        <v>44795.15625</v>
      </c>
      <c r="B1830" s="39">
        <v>752.58001708984375</v>
      </c>
      <c r="C1830" s="39">
        <v>716.58648681640625</v>
      </c>
      <c r="D1830" s="41">
        <v>1989105</v>
      </c>
      <c r="E1830" s="36" t="s">
        <v>655</v>
      </c>
      <c r="F1830" s="36" t="s">
        <v>115</v>
      </c>
    </row>
    <row r="1831" spans="1:6">
      <c r="A1831" s="38">
        <v>44796.15625</v>
      </c>
      <c r="B1831" s="39">
        <v>740.010009765625</v>
      </c>
      <c r="C1831" s="39">
        <v>704.6175537109375</v>
      </c>
      <c r="D1831" s="41">
        <v>1792810</v>
      </c>
      <c r="E1831" s="36" t="s">
        <v>655</v>
      </c>
      <c r="F1831" s="36" t="s">
        <v>115</v>
      </c>
    </row>
    <row r="1832" spans="1:6">
      <c r="A1832" s="38">
        <v>44797.15625</v>
      </c>
      <c r="B1832" s="39">
        <v>739.6099853515625</v>
      </c>
      <c r="C1832" s="39">
        <v>704.23681640625</v>
      </c>
      <c r="D1832" s="41">
        <v>928190</v>
      </c>
      <c r="E1832" s="36" t="s">
        <v>655</v>
      </c>
      <c r="F1832" s="36" t="s">
        <v>115</v>
      </c>
    </row>
    <row r="1833" spans="1:6">
      <c r="A1833" s="38">
        <v>44798.15625</v>
      </c>
      <c r="B1833" s="39">
        <v>736.84002685546875</v>
      </c>
      <c r="C1833" s="39">
        <v>701.5992431640625</v>
      </c>
      <c r="D1833" s="41">
        <v>1057555</v>
      </c>
      <c r="E1833" s="36" t="s">
        <v>655</v>
      </c>
      <c r="F1833" s="36" t="s">
        <v>115</v>
      </c>
    </row>
    <row r="1834" spans="1:6">
      <c r="A1834" s="38">
        <v>44799.15625</v>
      </c>
      <c r="B1834" s="39">
        <v>732.3699951171875</v>
      </c>
      <c r="C1834" s="39">
        <v>697.34295654296875</v>
      </c>
      <c r="D1834" s="41">
        <v>875930</v>
      </c>
      <c r="E1834" s="36" t="s">
        <v>655</v>
      </c>
      <c r="F1834" s="36" t="s">
        <v>115</v>
      </c>
    </row>
    <row r="1835" spans="1:6">
      <c r="A1835" s="38">
        <v>44802.15625</v>
      </c>
      <c r="B1835" s="39">
        <v>702.32000732421875</v>
      </c>
      <c r="C1835" s="39">
        <v>668.73028564453125</v>
      </c>
      <c r="D1835" s="41">
        <v>1673060</v>
      </c>
      <c r="E1835" s="36" t="s">
        <v>655</v>
      </c>
      <c r="F1835" s="36" t="s">
        <v>115</v>
      </c>
    </row>
    <row r="1836" spans="1:6">
      <c r="A1836" s="38">
        <v>44803.15625</v>
      </c>
      <c r="B1836" s="39">
        <v>712.07000732421875</v>
      </c>
      <c r="C1836" s="39">
        <v>678.013916015625</v>
      </c>
      <c r="D1836" s="41">
        <v>1310340</v>
      </c>
      <c r="E1836" s="36" t="s">
        <v>655</v>
      </c>
      <c r="F1836" s="36" t="s">
        <v>115</v>
      </c>
    </row>
    <row r="1837" spans="1:6">
      <c r="A1837" s="38">
        <v>44805.15625</v>
      </c>
      <c r="B1837" s="39">
        <v>700.19000244140625</v>
      </c>
      <c r="C1837" s="39">
        <v>666.7021484375</v>
      </c>
      <c r="D1837" s="41">
        <v>935480</v>
      </c>
      <c r="E1837" s="36" t="s">
        <v>655</v>
      </c>
      <c r="F1837" s="36" t="s">
        <v>115</v>
      </c>
    </row>
    <row r="1838" spans="1:6">
      <c r="A1838" s="38">
        <v>44806.15625</v>
      </c>
      <c r="B1838" s="39">
        <v>693.52001953125</v>
      </c>
      <c r="C1838" s="39">
        <v>660.35113525390625</v>
      </c>
      <c r="D1838" s="41">
        <v>830030</v>
      </c>
      <c r="E1838" s="36" t="s">
        <v>655</v>
      </c>
      <c r="F1838" s="36" t="s">
        <v>115</v>
      </c>
    </row>
    <row r="1839" spans="1:6">
      <c r="A1839" s="38">
        <v>44809.15625</v>
      </c>
      <c r="B1839" s="39">
        <v>695.030029296875</v>
      </c>
      <c r="C1839" s="39">
        <v>661.78887939453125</v>
      </c>
      <c r="D1839" s="41">
        <v>675495</v>
      </c>
      <c r="E1839" s="36" t="s">
        <v>655</v>
      </c>
      <c r="F1839" s="36" t="s">
        <v>115</v>
      </c>
    </row>
    <row r="1840" spans="1:6">
      <c r="A1840" s="38">
        <v>44810.15625</v>
      </c>
      <c r="B1840" s="39">
        <v>693.30999755859375</v>
      </c>
      <c r="C1840" s="39">
        <v>660.15118408203125</v>
      </c>
      <c r="D1840" s="41">
        <v>920815</v>
      </c>
      <c r="E1840" s="36" t="s">
        <v>655</v>
      </c>
      <c r="F1840" s="36" t="s">
        <v>115</v>
      </c>
    </row>
    <row r="1841" spans="1:6">
      <c r="A1841" s="38">
        <v>44811.15625</v>
      </c>
      <c r="B1841" s="39">
        <v>700.8499755859375</v>
      </c>
      <c r="C1841" s="39">
        <v>667.3304443359375</v>
      </c>
      <c r="D1841" s="41">
        <v>1146440</v>
      </c>
      <c r="E1841" s="36" t="s">
        <v>655</v>
      </c>
      <c r="F1841" s="36" t="s">
        <v>115</v>
      </c>
    </row>
    <row r="1842" spans="1:6">
      <c r="A1842" s="38">
        <v>44812.15625</v>
      </c>
      <c r="B1842" s="39">
        <v>700.780029296875</v>
      </c>
      <c r="C1842" s="39">
        <v>667.263916015625</v>
      </c>
      <c r="D1842" s="41">
        <v>1258255</v>
      </c>
      <c r="E1842" s="36" t="s">
        <v>655</v>
      </c>
      <c r="F1842" s="36" t="s">
        <v>115</v>
      </c>
    </row>
    <row r="1843" spans="1:6">
      <c r="A1843" s="38">
        <v>44813.15625</v>
      </c>
      <c r="B1843" s="39">
        <v>713.59002685546875</v>
      </c>
      <c r="C1843" s="39">
        <v>679.461181640625</v>
      </c>
      <c r="D1843" s="41">
        <v>1584990</v>
      </c>
      <c r="E1843" s="36" t="s">
        <v>655</v>
      </c>
      <c r="F1843" s="36" t="s">
        <v>115</v>
      </c>
    </row>
    <row r="1844" spans="1:6">
      <c r="A1844" s="38">
        <v>44816.15625</v>
      </c>
      <c r="B1844" s="39">
        <v>723.59002685546875</v>
      </c>
      <c r="C1844" s="39">
        <v>688.98297119140625</v>
      </c>
      <c r="D1844" s="41">
        <v>1409885</v>
      </c>
      <c r="E1844" s="36" t="s">
        <v>655</v>
      </c>
      <c r="F1844" s="36" t="s">
        <v>115</v>
      </c>
    </row>
    <row r="1845" spans="1:6">
      <c r="A1845" s="38">
        <v>44817.15625</v>
      </c>
      <c r="B1845" s="39">
        <v>721.34002685546875</v>
      </c>
      <c r="C1845" s="39">
        <v>686.8406982421875</v>
      </c>
      <c r="D1845" s="41">
        <v>609120</v>
      </c>
      <c r="E1845" s="36" t="s">
        <v>655</v>
      </c>
      <c r="F1845" s="36" t="s">
        <v>115</v>
      </c>
    </row>
    <row r="1846" spans="1:6">
      <c r="A1846" s="38">
        <v>44818.15625</v>
      </c>
      <c r="B1846" s="39">
        <v>694.20001220703125</v>
      </c>
      <c r="C1846" s="39">
        <v>660.99853515625</v>
      </c>
      <c r="D1846" s="41">
        <v>2195345</v>
      </c>
      <c r="E1846" s="36" t="s">
        <v>655</v>
      </c>
      <c r="F1846" s="36" t="s">
        <v>115</v>
      </c>
    </row>
    <row r="1847" spans="1:6">
      <c r="A1847" s="38">
        <v>44819.15625</v>
      </c>
      <c r="B1847" s="39">
        <v>683.77001953125</v>
      </c>
      <c r="C1847" s="39">
        <v>651.0673828125</v>
      </c>
      <c r="D1847" s="41">
        <v>1029400</v>
      </c>
      <c r="E1847" s="36" t="s">
        <v>655</v>
      </c>
      <c r="F1847" s="36" t="s">
        <v>115</v>
      </c>
    </row>
    <row r="1848" spans="1:6">
      <c r="A1848" s="38">
        <v>44820.15625</v>
      </c>
      <c r="B1848" s="39">
        <v>656.260009765625</v>
      </c>
      <c r="C1848" s="39">
        <v>624.873046875</v>
      </c>
      <c r="D1848" s="41">
        <v>1722225</v>
      </c>
      <c r="E1848" s="36" t="s">
        <v>655</v>
      </c>
      <c r="F1848" s="36" t="s">
        <v>115</v>
      </c>
    </row>
    <row r="1849" spans="1:6">
      <c r="A1849" s="38">
        <v>44823.15625</v>
      </c>
      <c r="B1849" s="39">
        <v>647.19000244140625</v>
      </c>
      <c r="C1849" s="39">
        <v>616.23681640625</v>
      </c>
      <c r="D1849" s="41">
        <v>1126050</v>
      </c>
      <c r="E1849" s="36" t="s">
        <v>655</v>
      </c>
      <c r="F1849" s="36" t="s">
        <v>115</v>
      </c>
    </row>
    <row r="1850" spans="1:6">
      <c r="A1850" s="38">
        <v>44824.15625</v>
      </c>
      <c r="B1850" s="39">
        <v>667.66998291015625</v>
      </c>
      <c r="C1850" s="39">
        <v>635.73748779296875</v>
      </c>
      <c r="D1850" s="41">
        <v>2984515</v>
      </c>
      <c r="E1850" s="36" t="s">
        <v>655</v>
      </c>
      <c r="F1850" s="36" t="s">
        <v>115</v>
      </c>
    </row>
    <row r="1851" spans="1:6">
      <c r="A1851" s="38">
        <v>44825.15625</v>
      </c>
      <c r="B1851" s="39">
        <v>664.97998046875</v>
      </c>
      <c r="C1851" s="39">
        <v>633.17620849609375</v>
      </c>
      <c r="D1851" s="41">
        <v>1023720</v>
      </c>
      <c r="E1851" s="36" t="s">
        <v>655</v>
      </c>
      <c r="F1851" s="36" t="s">
        <v>115</v>
      </c>
    </row>
    <row r="1852" spans="1:6">
      <c r="A1852" s="38">
        <v>44826.15625</v>
      </c>
      <c r="B1852" s="39">
        <v>679.5</v>
      </c>
      <c r="C1852" s="39">
        <v>647.00164794921875</v>
      </c>
      <c r="D1852" s="41">
        <v>1731965</v>
      </c>
      <c r="E1852" s="36" t="s">
        <v>655</v>
      </c>
      <c r="F1852" s="36" t="s">
        <v>115</v>
      </c>
    </row>
    <row r="1853" spans="1:6">
      <c r="A1853" s="38">
        <v>44827.15625</v>
      </c>
      <c r="B1853" s="39">
        <v>667.30999755859375</v>
      </c>
      <c r="C1853" s="39">
        <v>635.39459228515625</v>
      </c>
      <c r="D1853" s="41">
        <v>1237680</v>
      </c>
      <c r="E1853" s="36" t="s">
        <v>655</v>
      </c>
      <c r="F1853" s="36" t="s">
        <v>115</v>
      </c>
    </row>
    <row r="1854" spans="1:6">
      <c r="A1854" s="38">
        <v>44830.15625</v>
      </c>
      <c r="B1854" s="39">
        <v>676.8499755859375</v>
      </c>
      <c r="C1854" s="39">
        <v>644.47845458984375</v>
      </c>
      <c r="D1854" s="41">
        <v>2269315</v>
      </c>
      <c r="E1854" s="36" t="s">
        <v>655</v>
      </c>
      <c r="F1854" s="36" t="s">
        <v>115</v>
      </c>
    </row>
    <row r="1855" spans="1:6">
      <c r="A1855" s="38">
        <v>44831.15625</v>
      </c>
      <c r="B1855" s="39">
        <v>692.45001220703125</v>
      </c>
      <c r="C1855" s="39">
        <v>659.332275390625</v>
      </c>
      <c r="D1855" s="41">
        <v>1699300</v>
      </c>
      <c r="E1855" s="36" t="s">
        <v>655</v>
      </c>
      <c r="F1855" s="36" t="s">
        <v>115</v>
      </c>
    </row>
    <row r="1856" spans="1:6">
      <c r="A1856" s="38">
        <v>44832.15625</v>
      </c>
      <c r="B1856" s="39">
        <v>690.08001708984375</v>
      </c>
      <c r="C1856" s="39">
        <v>657.07562255859375</v>
      </c>
      <c r="D1856" s="41">
        <v>1556480</v>
      </c>
      <c r="E1856" s="36" t="s">
        <v>655</v>
      </c>
      <c r="F1856" s="36" t="s">
        <v>115</v>
      </c>
    </row>
    <row r="1857" spans="1:6">
      <c r="A1857" s="38">
        <v>44833.15625</v>
      </c>
      <c r="B1857" s="39">
        <v>672.77001953125</v>
      </c>
      <c r="C1857" s="39">
        <v>640.59344482421875</v>
      </c>
      <c r="D1857" s="41">
        <v>1424795</v>
      </c>
      <c r="E1857" s="36" t="s">
        <v>655</v>
      </c>
      <c r="F1857" s="36" t="s">
        <v>115</v>
      </c>
    </row>
    <row r="1858" spans="1:6">
      <c r="A1858" s="38">
        <v>44834.15625</v>
      </c>
      <c r="B1858" s="39">
        <v>672.3900146484375</v>
      </c>
      <c r="C1858" s="39">
        <v>640.23175048828125</v>
      </c>
      <c r="D1858" s="41">
        <v>1192575</v>
      </c>
      <c r="E1858" s="36" t="s">
        <v>655</v>
      </c>
      <c r="F1858" s="36" t="s">
        <v>115</v>
      </c>
    </row>
    <row r="1859" spans="1:6">
      <c r="A1859" s="38">
        <v>44837.15625</v>
      </c>
      <c r="B1859" s="39">
        <v>665.77001953125</v>
      </c>
      <c r="C1859" s="39">
        <v>633.928466796875</v>
      </c>
      <c r="D1859" s="41">
        <v>1574495</v>
      </c>
      <c r="E1859" s="36" t="s">
        <v>655</v>
      </c>
      <c r="F1859" s="36" t="s">
        <v>115</v>
      </c>
    </row>
    <row r="1860" spans="1:6">
      <c r="A1860" s="38">
        <v>44838.15625</v>
      </c>
      <c r="B1860" s="39">
        <v>695.9000244140625</v>
      </c>
      <c r="C1860" s="39">
        <v>662.6173095703125</v>
      </c>
      <c r="D1860" s="41">
        <v>1746595</v>
      </c>
      <c r="E1860" s="36" t="s">
        <v>655</v>
      </c>
      <c r="F1860" s="36" t="s">
        <v>115</v>
      </c>
    </row>
    <row r="1861" spans="1:6">
      <c r="A1861" s="38">
        <v>44840.15625</v>
      </c>
      <c r="B1861" s="39">
        <v>724.42999267578125</v>
      </c>
      <c r="C1861" s="39">
        <v>689.78271484375</v>
      </c>
      <c r="D1861" s="41">
        <v>1730045</v>
      </c>
      <c r="E1861" s="36" t="s">
        <v>655</v>
      </c>
      <c r="F1861" s="36" t="s">
        <v>115</v>
      </c>
    </row>
    <row r="1862" spans="1:6">
      <c r="A1862" s="38">
        <v>44841.15625</v>
      </c>
      <c r="B1862" s="39">
        <v>720.5</v>
      </c>
      <c r="C1862" s="39">
        <v>686.040771484375</v>
      </c>
      <c r="D1862" s="41">
        <v>850870</v>
      </c>
      <c r="E1862" s="36" t="s">
        <v>655</v>
      </c>
      <c r="F1862" s="36" t="s">
        <v>115</v>
      </c>
    </row>
    <row r="1863" spans="1:6">
      <c r="A1863" s="38">
        <v>44844.15625</v>
      </c>
      <c r="B1863" s="39">
        <v>727.6099853515625</v>
      </c>
      <c r="C1863" s="39">
        <v>692.81072998046875</v>
      </c>
      <c r="D1863" s="41">
        <v>1007915</v>
      </c>
      <c r="E1863" s="36" t="s">
        <v>655</v>
      </c>
      <c r="F1863" s="36" t="s">
        <v>115</v>
      </c>
    </row>
    <row r="1864" spans="1:6">
      <c r="A1864" s="38">
        <v>44845.15625</v>
      </c>
      <c r="B1864" s="39">
        <v>718.55999755859375</v>
      </c>
      <c r="C1864" s="39">
        <v>684.19354248046875</v>
      </c>
      <c r="D1864" s="41">
        <v>2008380</v>
      </c>
      <c r="E1864" s="36" t="s">
        <v>655</v>
      </c>
      <c r="F1864" s="36" t="s">
        <v>115</v>
      </c>
    </row>
    <row r="1865" spans="1:6">
      <c r="A1865" s="38">
        <v>44846.15625</v>
      </c>
      <c r="B1865" s="39">
        <v>723.94000244140625</v>
      </c>
      <c r="C1865" s="39">
        <v>689.31622314453125</v>
      </c>
      <c r="D1865" s="41">
        <v>924920</v>
      </c>
      <c r="E1865" s="36" t="s">
        <v>655</v>
      </c>
      <c r="F1865" s="36" t="s">
        <v>115</v>
      </c>
    </row>
    <row r="1866" spans="1:6">
      <c r="A1866" s="38">
        <v>44847.15625</v>
      </c>
      <c r="B1866" s="39">
        <v>726.780029296875</v>
      </c>
      <c r="C1866" s="39">
        <v>692.0205078125</v>
      </c>
      <c r="D1866" s="41">
        <v>684880</v>
      </c>
      <c r="E1866" s="36" t="s">
        <v>655</v>
      </c>
      <c r="F1866" s="36" t="s">
        <v>115</v>
      </c>
    </row>
    <row r="1867" spans="1:6">
      <c r="A1867" s="38">
        <v>44848.15625</v>
      </c>
      <c r="B1867" s="39">
        <v>748.4000244140625</v>
      </c>
      <c r="C1867" s="39">
        <v>712.6063232421875</v>
      </c>
      <c r="D1867" s="41">
        <v>2444480</v>
      </c>
      <c r="E1867" s="36" t="s">
        <v>655</v>
      </c>
      <c r="F1867" s="36" t="s">
        <v>115</v>
      </c>
    </row>
    <row r="1868" spans="1:6">
      <c r="A1868" s="38">
        <v>44851.15625</v>
      </c>
      <c r="B1868" s="39">
        <v>752.6199951171875</v>
      </c>
      <c r="C1868" s="39">
        <v>716.6246337890625</v>
      </c>
      <c r="D1868" s="41">
        <v>1139470</v>
      </c>
      <c r="E1868" s="36" t="s">
        <v>655</v>
      </c>
      <c r="F1868" s="36" t="s">
        <v>115</v>
      </c>
    </row>
    <row r="1869" spans="1:6">
      <c r="A1869" s="38">
        <v>44852.15625</v>
      </c>
      <c r="B1869" s="39">
        <v>767.3499755859375</v>
      </c>
      <c r="C1869" s="39">
        <v>730.6500244140625</v>
      </c>
      <c r="D1869" s="41">
        <v>1504425</v>
      </c>
      <c r="E1869" s="36" t="s">
        <v>655</v>
      </c>
      <c r="F1869" s="36" t="s">
        <v>115</v>
      </c>
    </row>
    <row r="1870" spans="1:6">
      <c r="A1870" s="38">
        <v>44853.15625</v>
      </c>
      <c r="B1870" s="39">
        <v>762.469970703125</v>
      </c>
      <c r="C1870" s="39">
        <v>726.00335693359375</v>
      </c>
      <c r="D1870" s="41">
        <v>642230</v>
      </c>
      <c r="E1870" s="36" t="s">
        <v>655</v>
      </c>
      <c r="F1870" s="36" t="s">
        <v>115</v>
      </c>
    </row>
    <row r="1871" spans="1:6">
      <c r="A1871" s="38">
        <v>44854.15625</v>
      </c>
      <c r="B1871" s="39">
        <v>771.65997314453125</v>
      </c>
      <c r="C1871" s="39">
        <v>734.75390625</v>
      </c>
      <c r="D1871" s="41">
        <v>1610975</v>
      </c>
      <c r="E1871" s="36" t="s">
        <v>655</v>
      </c>
      <c r="F1871" s="36" t="s">
        <v>115</v>
      </c>
    </row>
    <row r="1872" spans="1:6">
      <c r="A1872" s="38">
        <v>44855.15625</v>
      </c>
      <c r="B1872" s="39">
        <v>772.41998291015625</v>
      </c>
      <c r="C1872" s="39">
        <v>735.4776611328125</v>
      </c>
      <c r="D1872" s="41">
        <v>2876945</v>
      </c>
      <c r="E1872" s="36" t="s">
        <v>655</v>
      </c>
      <c r="F1872" s="36" t="s">
        <v>115</v>
      </c>
    </row>
    <row r="1873" spans="1:6">
      <c r="A1873" s="38">
        <v>44858.53125</v>
      </c>
      <c r="B1873" s="39">
        <v>775.46002197265625</v>
      </c>
      <c r="C1873" s="39">
        <v>738.372314453125</v>
      </c>
      <c r="D1873" s="41">
        <v>119175</v>
      </c>
      <c r="E1873" s="36" t="s">
        <v>655</v>
      </c>
      <c r="F1873" s="36" t="s">
        <v>115</v>
      </c>
    </row>
    <row r="1874" spans="1:6">
      <c r="A1874" s="38">
        <v>44859.15625</v>
      </c>
      <c r="B1874" s="39">
        <v>779.05999755859375</v>
      </c>
      <c r="C1874" s="39">
        <v>741.79998779296875</v>
      </c>
      <c r="D1874" s="41">
        <v>900545</v>
      </c>
      <c r="E1874" s="36" t="s">
        <v>655</v>
      </c>
      <c r="F1874" s="36" t="s">
        <v>115</v>
      </c>
    </row>
    <row r="1875" spans="1:6">
      <c r="A1875" s="38">
        <v>44861.15625</v>
      </c>
      <c r="B1875" s="39">
        <v>777.6400146484375</v>
      </c>
      <c r="C1875" s="39">
        <v>740.44775390625</v>
      </c>
      <c r="D1875" s="41">
        <v>711910</v>
      </c>
      <c r="E1875" s="36" t="s">
        <v>655</v>
      </c>
      <c r="F1875" s="36" t="s">
        <v>115</v>
      </c>
    </row>
    <row r="1876" spans="1:6">
      <c r="A1876" s="38">
        <v>44862.15625</v>
      </c>
      <c r="B1876" s="39">
        <v>747.29998779296875</v>
      </c>
      <c r="C1876" s="39">
        <v>711.55877685546875</v>
      </c>
      <c r="D1876" s="41">
        <v>1048310</v>
      </c>
      <c r="E1876" s="36" t="s">
        <v>655</v>
      </c>
      <c r="F1876" s="36" t="s">
        <v>115</v>
      </c>
    </row>
    <row r="1877" spans="1:6">
      <c r="A1877" s="38">
        <v>44865.15625</v>
      </c>
      <c r="B1877" s="39">
        <v>761.91998291015625</v>
      </c>
      <c r="C1877" s="39">
        <v>725.479736328125</v>
      </c>
      <c r="D1877" s="41">
        <v>766820</v>
      </c>
      <c r="E1877" s="36" t="s">
        <v>655</v>
      </c>
      <c r="F1877" s="36" t="s">
        <v>115</v>
      </c>
    </row>
    <row r="1878" spans="1:6">
      <c r="A1878" s="38">
        <v>44866.15625</v>
      </c>
      <c r="B1878" s="39">
        <v>768.95001220703125</v>
      </c>
      <c r="C1878" s="39">
        <v>732.17352294921875</v>
      </c>
      <c r="D1878" s="41">
        <v>793765</v>
      </c>
      <c r="E1878" s="36" t="s">
        <v>655</v>
      </c>
      <c r="F1878" s="36" t="s">
        <v>115</v>
      </c>
    </row>
    <row r="1879" spans="1:6">
      <c r="A1879" s="38">
        <v>44867.15625</v>
      </c>
      <c r="B1879" s="39">
        <v>767.53997802734375</v>
      </c>
      <c r="C1879" s="39">
        <v>730.83099365234375</v>
      </c>
      <c r="D1879" s="41">
        <v>648820</v>
      </c>
      <c r="E1879" s="36" t="s">
        <v>655</v>
      </c>
      <c r="F1879" s="36" t="s">
        <v>115</v>
      </c>
    </row>
    <row r="1880" spans="1:6">
      <c r="A1880" s="38">
        <v>44868.15625</v>
      </c>
      <c r="B1880" s="39">
        <v>758.8800048828125</v>
      </c>
      <c r="C1880" s="39">
        <v>725.04119873046875</v>
      </c>
      <c r="D1880" s="41">
        <v>484385</v>
      </c>
      <c r="E1880" s="36" t="s">
        <v>655</v>
      </c>
      <c r="F1880" s="36" t="s">
        <v>115</v>
      </c>
    </row>
    <row r="1881" spans="1:6">
      <c r="A1881" s="38">
        <v>44869.15625</v>
      </c>
      <c r="B1881" s="39">
        <v>747.6199951171875</v>
      </c>
      <c r="C1881" s="39">
        <v>714.28314208984375</v>
      </c>
      <c r="D1881" s="41">
        <v>492730</v>
      </c>
      <c r="E1881" s="36" t="s">
        <v>655</v>
      </c>
      <c r="F1881" s="36" t="s">
        <v>115</v>
      </c>
    </row>
    <row r="1882" spans="1:6">
      <c r="A1882" s="38">
        <v>44872.15625</v>
      </c>
      <c r="B1882" s="39">
        <v>742.72998046875</v>
      </c>
      <c r="C1882" s="39">
        <v>709.61138916015625</v>
      </c>
      <c r="D1882" s="41">
        <v>536615</v>
      </c>
      <c r="E1882" s="36" t="s">
        <v>655</v>
      </c>
      <c r="F1882" s="36" t="s">
        <v>115</v>
      </c>
    </row>
    <row r="1883" spans="1:6">
      <c r="A1883" s="38">
        <v>44874.15625</v>
      </c>
      <c r="B1883" s="39">
        <v>736.15997314453125</v>
      </c>
      <c r="C1883" s="39">
        <v>703.33416748046875</v>
      </c>
      <c r="D1883" s="41">
        <v>455035</v>
      </c>
      <c r="E1883" s="36" t="s">
        <v>655</v>
      </c>
      <c r="F1883" s="36" t="s">
        <v>115</v>
      </c>
    </row>
    <row r="1884" spans="1:6">
      <c r="A1884" s="38">
        <v>44875.15625</v>
      </c>
      <c r="B1884" s="39">
        <v>735.219970703125</v>
      </c>
      <c r="C1884" s="39">
        <v>702.43609619140625</v>
      </c>
      <c r="D1884" s="41">
        <v>488590</v>
      </c>
      <c r="E1884" s="36" t="s">
        <v>655</v>
      </c>
      <c r="F1884" s="36" t="s">
        <v>115</v>
      </c>
    </row>
    <row r="1885" spans="1:6">
      <c r="A1885" s="38">
        <v>44876.15625</v>
      </c>
      <c r="B1885" s="39">
        <v>779.530029296875</v>
      </c>
      <c r="C1885" s="39">
        <v>744.77044677734375</v>
      </c>
      <c r="D1885" s="41">
        <v>2910880</v>
      </c>
      <c r="E1885" s="36" t="s">
        <v>655</v>
      </c>
      <c r="F1885" s="36" t="s">
        <v>115</v>
      </c>
    </row>
    <row r="1886" spans="1:6">
      <c r="A1886" s="38">
        <v>44879.15625</v>
      </c>
      <c r="B1886" s="39">
        <v>803.66998291015625</v>
      </c>
      <c r="C1886" s="39">
        <v>767.8338623046875</v>
      </c>
      <c r="D1886" s="41">
        <v>2215680</v>
      </c>
      <c r="E1886" s="36" t="s">
        <v>655</v>
      </c>
      <c r="F1886" s="36" t="s">
        <v>115</v>
      </c>
    </row>
    <row r="1887" spans="1:6">
      <c r="A1887" s="38">
        <v>44880.15625</v>
      </c>
      <c r="B1887" s="39">
        <v>794.46002197265625</v>
      </c>
      <c r="C1887" s="39">
        <v>759.03472900390625</v>
      </c>
      <c r="D1887" s="41">
        <v>1235920</v>
      </c>
      <c r="E1887" s="36" t="s">
        <v>655</v>
      </c>
      <c r="F1887" s="36" t="s">
        <v>115</v>
      </c>
    </row>
    <row r="1888" spans="1:6">
      <c r="A1888" s="38">
        <v>44881.15625</v>
      </c>
      <c r="B1888" s="39">
        <v>788.8900146484375</v>
      </c>
      <c r="C1888" s="39">
        <v>753.71307373046875</v>
      </c>
      <c r="D1888" s="41">
        <v>996740</v>
      </c>
      <c r="E1888" s="36" t="s">
        <v>655</v>
      </c>
      <c r="F1888" s="36" t="s">
        <v>115</v>
      </c>
    </row>
    <row r="1889" spans="1:6">
      <c r="A1889" s="38">
        <v>44882.15625</v>
      </c>
      <c r="B1889" s="39">
        <v>773.15997314453125</v>
      </c>
      <c r="C1889" s="39">
        <v>738.684326171875</v>
      </c>
      <c r="D1889" s="41">
        <v>844280</v>
      </c>
      <c r="E1889" s="36" t="s">
        <v>655</v>
      </c>
      <c r="F1889" s="36" t="s">
        <v>115</v>
      </c>
    </row>
    <row r="1890" spans="1:6">
      <c r="A1890" s="38">
        <v>44883.15625</v>
      </c>
      <c r="B1890" s="39">
        <v>761.75</v>
      </c>
      <c r="C1890" s="39">
        <v>727.78326416015625</v>
      </c>
      <c r="D1890" s="41">
        <v>1187770</v>
      </c>
      <c r="E1890" s="36" t="s">
        <v>655</v>
      </c>
      <c r="F1890" s="36" t="s">
        <v>115</v>
      </c>
    </row>
    <row r="1891" spans="1:6">
      <c r="A1891" s="38">
        <v>44886.15625</v>
      </c>
      <c r="B1891" s="39">
        <v>752.1500244140625</v>
      </c>
      <c r="C1891" s="39">
        <v>718.611328125</v>
      </c>
      <c r="D1891" s="41">
        <v>861665</v>
      </c>
      <c r="E1891" s="36" t="s">
        <v>655</v>
      </c>
      <c r="F1891" s="36" t="s">
        <v>115</v>
      </c>
    </row>
    <row r="1892" spans="1:6">
      <c r="A1892" s="38">
        <v>44887.15625</v>
      </c>
      <c r="B1892" s="39">
        <v>761.57000732421875</v>
      </c>
      <c r="C1892" s="39">
        <v>727.611328125</v>
      </c>
      <c r="D1892" s="41">
        <v>569835</v>
      </c>
      <c r="E1892" s="36" t="s">
        <v>655</v>
      </c>
      <c r="F1892" s="36" t="s">
        <v>115</v>
      </c>
    </row>
    <row r="1893" spans="1:6">
      <c r="A1893" s="38">
        <v>44888.15625</v>
      </c>
      <c r="B1893" s="39">
        <v>774.8699951171875</v>
      </c>
      <c r="C1893" s="39">
        <v>740.3182373046875</v>
      </c>
      <c r="D1893" s="41">
        <v>1111300</v>
      </c>
      <c r="E1893" s="36" t="s">
        <v>655</v>
      </c>
      <c r="F1893" s="36" t="s">
        <v>115</v>
      </c>
    </row>
    <row r="1894" spans="1:6">
      <c r="A1894" s="38">
        <v>44889.15625</v>
      </c>
      <c r="B1894" s="39">
        <v>789.58001708984375</v>
      </c>
      <c r="C1894" s="39">
        <v>754.37225341796875</v>
      </c>
      <c r="D1894" s="41">
        <v>985620</v>
      </c>
      <c r="E1894" s="36" t="s">
        <v>655</v>
      </c>
      <c r="F1894" s="36" t="s">
        <v>115</v>
      </c>
    </row>
    <row r="1895" spans="1:6">
      <c r="A1895" s="38">
        <v>44890.15625</v>
      </c>
      <c r="B1895" s="39">
        <v>788.96002197265625</v>
      </c>
      <c r="C1895" s="39">
        <v>753.77984619140625</v>
      </c>
      <c r="D1895" s="41">
        <v>791835</v>
      </c>
      <c r="E1895" s="36" t="s">
        <v>655</v>
      </c>
      <c r="F1895" s="36" t="s">
        <v>115</v>
      </c>
    </row>
    <row r="1896" spans="1:6">
      <c r="A1896" s="38">
        <v>44893.15625</v>
      </c>
      <c r="B1896" s="39">
        <v>795.8800048828125</v>
      </c>
      <c r="C1896" s="39">
        <v>760.391357421875</v>
      </c>
      <c r="D1896" s="41">
        <v>740215</v>
      </c>
      <c r="E1896" s="36" t="s">
        <v>655</v>
      </c>
      <c r="F1896" s="36" t="s">
        <v>115</v>
      </c>
    </row>
    <row r="1897" spans="1:6">
      <c r="A1897" s="38">
        <v>44894.15625</v>
      </c>
      <c r="B1897" s="39">
        <v>795.54998779296875</v>
      </c>
      <c r="C1897" s="39">
        <v>760.075927734375</v>
      </c>
      <c r="D1897" s="41">
        <v>965080</v>
      </c>
      <c r="E1897" s="36" t="s">
        <v>655</v>
      </c>
      <c r="F1897" s="36" t="s">
        <v>115</v>
      </c>
    </row>
    <row r="1898" spans="1:6">
      <c r="A1898" s="38">
        <v>44895.15625</v>
      </c>
      <c r="B1898" s="39">
        <v>807.260009765625</v>
      </c>
      <c r="C1898" s="39">
        <v>771.2640380859375</v>
      </c>
      <c r="D1898" s="41">
        <v>1635765</v>
      </c>
      <c r="E1898" s="36" t="s">
        <v>655</v>
      </c>
      <c r="F1898" s="36" t="s">
        <v>115</v>
      </c>
    </row>
    <row r="1899" spans="1:6">
      <c r="A1899" s="38">
        <v>44896.15625</v>
      </c>
      <c r="B1899" s="39">
        <v>823.3699951171875</v>
      </c>
      <c r="C1899" s="39">
        <v>786.65557861328125</v>
      </c>
      <c r="D1899" s="41">
        <v>3463435</v>
      </c>
      <c r="E1899" s="36" t="s">
        <v>655</v>
      </c>
      <c r="F1899" s="36" t="s">
        <v>115</v>
      </c>
    </row>
    <row r="1900" spans="1:6">
      <c r="A1900" s="38">
        <v>44897.15625</v>
      </c>
      <c r="B1900" s="39">
        <v>847.5</v>
      </c>
      <c r="C1900" s="39">
        <v>809.70953369140625</v>
      </c>
      <c r="D1900" s="41">
        <v>2603030</v>
      </c>
      <c r="E1900" s="36" t="s">
        <v>655</v>
      </c>
      <c r="F1900" s="36" t="s">
        <v>115</v>
      </c>
    </row>
    <row r="1901" spans="1:6">
      <c r="A1901" s="38">
        <v>44900.15625</v>
      </c>
      <c r="B1901" s="39">
        <v>838.3599853515625</v>
      </c>
      <c r="C1901" s="39">
        <v>800.97711181640625</v>
      </c>
      <c r="D1901" s="41">
        <v>1242145</v>
      </c>
      <c r="E1901" s="36" t="s">
        <v>655</v>
      </c>
      <c r="F1901" s="36" t="s">
        <v>115</v>
      </c>
    </row>
    <row r="1902" spans="1:6">
      <c r="A1902" s="38">
        <v>44901.15625</v>
      </c>
      <c r="B1902" s="39">
        <v>815.97998046875</v>
      </c>
      <c r="C1902" s="39">
        <v>779.59503173828125</v>
      </c>
      <c r="D1902" s="41">
        <v>1262610</v>
      </c>
      <c r="E1902" s="36" t="s">
        <v>655</v>
      </c>
      <c r="F1902" s="36" t="s">
        <v>115</v>
      </c>
    </row>
    <row r="1903" spans="1:6">
      <c r="A1903" s="38">
        <v>44902.15625</v>
      </c>
      <c r="B1903" s="39">
        <v>804.78997802734375</v>
      </c>
      <c r="C1903" s="39">
        <v>768.90399169921875</v>
      </c>
      <c r="D1903" s="41">
        <v>1001340</v>
      </c>
      <c r="E1903" s="36" t="s">
        <v>655</v>
      </c>
      <c r="F1903" s="36" t="s">
        <v>115</v>
      </c>
    </row>
    <row r="1904" spans="1:6">
      <c r="A1904" s="38">
        <v>44903.15625</v>
      </c>
      <c r="B1904" s="39">
        <v>797.15997314453125</v>
      </c>
      <c r="C1904" s="39">
        <v>761.61431884765625</v>
      </c>
      <c r="D1904" s="41">
        <v>1107090</v>
      </c>
      <c r="E1904" s="36" t="s">
        <v>655</v>
      </c>
      <c r="F1904" s="36" t="s">
        <v>115</v>
      </c>
    </row>
    <row r="1905" spans="1:6">
      <c r="A1905" s="38">
        <v>44904.15625</v>
      </c>
      <c r="B1905" s="39">
        <v>775.44000244140625</v>
      </c>
      <c r="C1905" s="39">
        <v>740.8626708984375</v>
      </c>
      <c r="D1905" s="41">
        <v>2081660</v>
      </c>
      <c r="E1905" s="36" t="s">
        <v>655</v>
      </c>
      <c r="F1905" s="36" t="s">
        <v>115</v>
      </c>
    </row>
    <row r="1906" spans="1:6">
      <c r="A1906" s="38">
        <v>44907.15625</v>
      </c>
      <c r="B1906" s="39">
        <v>781.25</v>
      </c>
      <c r="C1906" s="39">
        <v>746.41363525390625</v>
      </c>
      <c r="D1906" s="41">
        <v>1069540</v>
      </c>
      <c r="E1906" s="36" t="s">
        <v>655</v>
      </c>
      <c r="F1906" s="36" t="s">
        <v>115</v>
      </c>
    </row>
    <row r="1907" spans="1:6">
      <c r="A1907" s="38">
        <v>44908.15625</v>
      </c>
      <c r="B1907" s="39">
        <v>783.719970703125</v>
      </c>
      <c r="C1907" s="39">
        <v>748.7734375</v>
      </c>
      <c r="D1907" s="41">
        <v>1090775</v>
      </c>
      <c r="E1907" s="36" t="s">
        <v>655</v>
      </c>
      <c r="F1907" s="36" t="s">
        <v>115</v>
      </c>
    </row>
    <row r="1908" spans="1:6">
      <c r="A1908" s="38">
        <v>44909.15625</v>
      </c>
      <c r="B1908" s="39">
        <v>797.05999755859375</v>
      </c>
      <c r="C1908" s="39">
        <v>761.51861572265625</v>
      </c>
      <c r="D1908" s="41">
        <v>2393040</v>
      </c>
      <c r="E1908" s="36" t="s">
        <v>655</v>
      </c>
      <c r="F1908" s="36" t="s">
        <v>115</v>
      </c>
    </row>
    <row r="1909" spans="1:6">
      <c r="A1909" s="38">
        <v>44910.15625</v>
      </c>
      <c r="B1909" s="39">
        <v>775.04998779296875</v>
      </c>
      <c r="C1909" s="39">
        <v>740.4901123046875</v>
      </c>
      <c r="D1909" s="41">
        <v>995670</v>
      </c>
      <c r="E1909" s="36" t="s">
        <v>655</v>
      </c>
      <c r="F1909" s="36" t="s">
        <v>115</v>
      </c>
    </row>
    <row r="1910" spans="1:6">
      <c r="A1910" s="38">
        <v>44911.15625</v>
      </c>
      <c r="B1910" s="39">
        <v>790.52001953125</v>
      </c>
      <c r="C1910" s="39">
        <v>755.27032470703125</v>
      </c>
      <c r="D1910" s="41">
        <v>2253695</v>
      </c>
      <c r="E1910" s="36" t="s">
        <v>655</v>
      </c>
      <c r="F1910" s="36" t="s">
        <v>115</v>
      </c>
    </row>
    <row r="1911" spans="1:6">
      <c r="A1911" s="38">
        <v>44914.15625</v>
      </c>
      <c r="B1911" s="39">
        <v>779.1300048828125</v>
      </c>
      <c r="C1911" s="39">
        <v>744.38818359375</v>
      </c>
      <c r="D1911" s="41">
        <v>969275</v>
      </c>
      <c r="E1911" s="36" t="s">
        <v>655</v>
      </c>
      <c r="F1911" s="36" t="s">
        <v>115</v>
      </c>
    </row>
    <row r="1912" spans="1:6">
      <c r="A1912" s="38">
        <v>44915.15625</v>
      </c>
      <c r="B1912" s="39">
        <v>779.19000244140625</v>
      </c>
      <c r="C1912" s="39">
        <v>744.4454345703125</v>
      </c>
      <c r="D1912" s="41">
        <v>971140</v>
      </c>
      <c r="E1912" s="36" t="s">
        <v>655</v>
      </c>
      <c r="F1912" s="36" t="s">
        <v>115</v>
      </c>
    </row>
    <row r="1913" spans="1:6">
      <c r="A1913" s="38">
        <v>44916.15625</v>
      </c>
      <c r="B1913" s="39">
        <v>784.08001708984375</v>
      </c>
      <c r="C1913" s="39">
        <v>749.117431640625</v>
      </c>
      <c r="D1913" s="41">
        <v>1500595</v>
      </c>
      <c r="E1913" s="36" t="s">
        <v>655</v>
      </c>
      <c r="F1913" s="36" t="s">
        <v>115</v>
      </c>
    </row>
    <row r="1914" spans="1:6">
      <c r="A1914" s="38">
        <v>44917.15625</v>
      </c>
      <c r="B1914" s="39">
        <v>777.1199951171875</v>
      </c>
      <c r="C1914" s="39">
        <v>742.46783447265625</v>
      </c>
      <c r="D1914" s="41">
        <v>1297950</v>
      </c>
      <c r="E1914" s="36" t="s">
        <v>655</v>
      </c>
      <c r="F1914" s="36" t="s">
        <v>115</v>
      </c>
    </row>
    <row r="1915" spans="1:6">
      <c r="A1915" s="38">
        <v>44918.15625</v>
      </c>
      <c r="B1915" s="39">
        <v>747.09002685546875</v>
      </c>
      <c r="C1915" s="39">
        <v>713.77691650390625</v>
      </c>
      <c r="D1915" s="41">
        <v>1310045</v>
      </c>
      <c r="E1915" s="36" t="s">
        <v>655</v>
      </c>
      <c r="F1915" s="36" t="s">
        <v>115</v>
      </c>
    </row>
    <row r="1916" spans="1:6">
      <c r="A1916" s="38">
        <v>44921.15625</v>
      </c>
      <c r="B1916" s="39">
        <v>754.1300048828125</v>
      </c>
      <c r="C1916" s="39">
        <v>720.5030517578125</v>
      </c>
      <c r="D1916" s="41">
        <v>506765</v>
      </c>
      <c r="E1916" s="36" t="s">
        <v>655</v>
      </c>
      <c r="F1916" s="36" t="s">
        <v>115</v>
      </c>
    </row>
    <row r="1917" spans="1:6">
      <c r="A1917" s="38">
        <v>44922.15625</v>
      </c>
      <c r="B1917" s="39">
        <v>774.8699951171875</v>
      </c>
      <c r="C1917" s="39">
        <v>740.3182373046875</v>
      </c>
      <c r="D1917" s="41">
        <v>977185</v>
      </c>
      <c r="E1917" s="36" t="s">
        <v>655</v>
      </c>
      <c r="F1917" s="36" t="s">
        <v>115</v>
      </c>
    </row>
    <row r="1918" spans="1:6">
      <c r="A1918" s="38">
        <v>44923.15625</v>
      </c>
      <c r="B1918" s="39">
        <v>782.9000244140625</v>
      </c>
      <c r="C1918" s="39">
        <v>747.990234375</v>
      </c>
      <c r="D1918" s="41">
        <v>951735</v>
      </c>
      <c r="E1918" s="36" t="s">
        <v>655</v>
      </c>
      <c r="F1918" s="36" t="s">
        <v>115</v>
      </c>
    </row>
    <row r="1919" spans="1:6">
      <c r="A1919" s="38">
        <v>44924.15625</v>
      </c>
      <c r="B1919" s="39">
        <v>783.07000732421875</v>
      </c>
      <c r="C1919" s="39">
        <v>748.152587890625</v>
      </c>
      <c r="D1919" s="41">
        <v>1608930</v>
      </c>
      <c r="E1919" s="36" t="s">
        <v>655</v>
      </c>
      <c r="F1919" s="36" t="s">
        <v>115</v>
      </c>
    </row>
    <row r="1920" spans="1:6">
      <c r="A1920" s="38">
        <v>44925.15625</v>
      </c>
      <c r="B1920" s="39">
        <v>776.82000732421875</v>
      </c>
      <c r="C1920" s="39">
        <v>742.18109130859375</v>
      </c>
      <c r="D1920" s="41">
        <v>2692020</v>
      </c>
      <c r="E1920" s="36" t="s">
        <v>655</v>
      </c>
      <c r="F1920" s="36" t="s">
        <v>115</v>
      </c>
    </row>
    <row r="1921" spans="1:6">
      <c r="A1921" s="38">
        <v>44928.15625</v>
      </c>
      <c r="B1921" s="39">
        <v>790.239990234375</v>
      </c>
      <c r="C1921" s="39">
        <v>755.00274658203125</v>
      </c>
      <c r="D1921" s="41">
        <v>1710480</v>
      </c>
      <c r="E1921" s="36" t="s">
        <v>655</v>
      </c>
      <c r="F1921" s="36" t="s">
        <v>115</v>
      </c>
    </row>
    <row r="1922" spans="1:6">
      <c r="A1922" s="38">
        <v>44929.15625</v>
      </c>
      <c r="B1922" s="39">
        <v>803.90997314453125</v>
      </c>
      <c r="C1922" s="39">
        <v>768.06317138671875</v>
      </c>
      <c r="D1922" s="41">
        <v>1597525</v>
      </c>
      <c r="E1922" s="36" t="s">
        <v>655</v>
      </c>
      <c r="F1922" s="36" t="s">
        <v>115</v>
      </c>
    </row>
    <row r="1923" spans="1:6">
      <c r="A1923" s="38">
        <v>44930.15625</v>
      </c>
      <c r="B1923" s="39">
        <v>789.8499755859375</v>
      </c>
      <c r="C1923" s="39">
        <v>754.63018798828125</v>
      </c>
      <c r="D1923" s="41">
        <v>652480</v>
      </c>
      <c r="E1923" s="36" t="s">
        <v>655</v>
      </c>
      <c r="F1923" s="36" t="s">
        <v>115</v>
      </c>
    </row>
    <row r="1924" spans="1:6">
      <c r="A1924" s="38">
        <v>44931.15625</v>
      </c>
      <c r="B1924" s="39">
        <v>785.8900146484375</v>
      </c>
      <c r="C1924" s="39">
        <v>750.8468017578125</v>
      </c>
      <c r="D1924" s="41">
        <v>478035</v>
      </c>
      <c r="E1924" s="36" t="s">
        <v>655</v>
      </c>
      <c r="F1924" s="36" t="s">
        <v>115</v>
      </c>
    </row>
    <row r="1925" spans="1:6">
      <c r="A1925" s="38">
        <v>44932.15625</v>
      </c>
      <c r="B1925" s="39">
        <v>780.20001220703125</v>
      </c>
      <c r="C1925" s="39">
        <v>745.4105224609375</v>
      </c>
      <c r="D1925" s="41">
        <v>818915</v>
      </c>
      <c r="E1925" s="36" t="s">
        <v>655</v>
      </c>
      <c r="F1925" s="36" t="s">
        <v>115</v>
      </c>
    </row>
    <row r="1926" spans="1:6">
      <c r="A1926" s="38">
        <v>44935.15625</v>
      </c>
      <c r="B1926" s="39">
        <v>803.469970703125</v>
      </c>
      <c r="C1926" s="39">
        <v>767.64276123046875</v>
      </c>
      <c r="D1926" s="41">
        <v>1023335</v>
      </c>
      <c r="E1926" s="36" t="s">
        <v>655</v>
      </c>
      <c r="F1926" s="36" t="s">
        <v>115</v>
      </c>
    </row>
    <row r="1927" spans="1:6">
      <c r="A1927" s="38">
        <v>44936.15625</v>
      </c>
      <c r="B1927" s="39">
        <v>794.8800048828125</v>
      </c>
      <c r="C1927" s="39">
        <v>759.43585205078125</v>
      </c>
      <c r="D1927" s="41">
        <v>936885</v>
      </c>
      <c r="E1927" s="36" t="s">
        <v>655</v>
      </c>
      <c r="F1927" s="36" t="s">
        <v>115</v>
      </c>
    </row>
    <row r="1928" spans="1:6">
      <c r="A1928" s="38">
        <v>44937.15625</v>
      </c>
      <c r="B1928" s="39">
        <v>787.219970703125</v>
      </c>
      <c r="C1928" s="39">
        <v>752.117431640625</v>
      </c>
      <c r="D1928" s="41">
        <v>1999240</v>
      </c>
      <c r="E1928" s="36" t="s">
        <v>655</v>
      </c>
      <c r="F1928" s="36" t="s">
        <v>115</v>
      </c>
    </row>
    <row r="1929" spans="1:6">
      <c r="A1929" s="38">
        <v>44938.15625</v>
      </c>
      <c r="B1929" s="39">
        <v>780.84002685546875</v>
      </c>
      <c r="C1929" s="39">
        <v>746.0220947265625</v>
      </c>
      <c r="D1929" s="41">
        <v>1040360</v>
      </c>
      <c r="E1929" s="36" t="s">
        <v>655</v>
      </c>
      <c r="F1929" s="36" t="s">
        <v>115</v>
      </c>
    </row>
    <row r="1930" spans="1:6">
      <c r="A1930" s="38">
        <v>44939.15625</v>
      </c>
      <c r="B1930" s="39">
        <v>776.8900146484375</v>
      </c>
      <c r="C1930" s="39">
        <v>742.24810791015625</v>
      </c>
      <c r="D1930" s="41">
        <v>1759165</v>
      </c>
      <c r="E1930" s="36" t="s">
        <v>655</v>
      </c>
      <c r="F1930" s="36" t="s">
        <v>115</v>
      </c>
    </row>
    <row r="1931" spans="1:6">
      <c r="A1931" s="38">
        <v>44942.15625</v>
      </c>
      <c r="B1931" s="39">
        <v>779.70001220703125</v>
      </c>
      <c r="C1931" s="39">
        <v>744.9327392578125</v>
      </c>
      <c r="D1931" s="41">
        <v>1262625</v>
      </c>
      <c r="E1931" s="36" t="s">
        <v>655</v>
      </c>
      <c r="F1931" s="36" t="s">
        <v>115</v>
      </c>
    </row>
    <row r="1932" spans="1:6">
      <c r="A1932" s="38">
        <v>44943.15625</v>
      </c>
      <c r="B1932" s="39">
        <v>783.5999755859375</v>
      </c>
      <c r="C1932" s="39">
        <v>748.65887451171875</v>
      </c>
      <c r="D1932" s="41">
        <v>697925</v>
      </c>
      <c r="E1932" s="36" t="s">
        <v>655</v>
      </c>
      <c r="F1932" s="36" t="s">
        <v>115</v>
      </c>
    </row>
    <row r="1933" spans="1:6">
      <c r="A1933" s="38">
        <v>44944.15625</v>
      </c>
      <c r="B1933" s="39">
        <v>785.15997314453125</v>
      </c>
      <c r="C1933" s="39">
        <v>750.14923095703125</v>
      </c>
      <c r="D1933" s="41">
        <v>407225</v>
      </c>
      <c r="E1933" s="36" t="s">
        <v>655</v>
      </c>
      <c r="F1933" s="36" t="s">
        <v>115</v>
      </c>
    </row>
    <row r="1934" spans="1:6">
      <c r="A1934" s="38">
        <v>44945.15625</v>
      </c>
      <c r="B1934" s="39">
        <v>793.30999755859375</v>
      </c>
      <c r="C1934" s="39">
        <v>757.93585205078125</v>
      </c>
      <c r="D1934" s="41">
        <v>993520</v>
      </c>
      <c r="E1934" s="36" t="s">
        <v>655</v>
      </c>
      <c r="F1934" s="36" t="s">
        <v>115</v>
      </c>
    </row>
    <row r="1935" spans="1:6">
      <c r="A1935" s="38">
        <v>44946.15625</v>
      </c>
      <c r="B1935" s="39">
        <v>820.4000244140625</v>
      </c>
      <c r="C1935" s="39">
        <v>783.81793212890625</v>
      </c>
      <c r="D1935" s="41">
        <v>9934110</v>
      </c>
      <c r="E1935" s="36" t="s">
        <v>655</v>
      </c>
      <c r="F1935" s="36" t="s">
        <v>115</v>
      </c>
    </row>
    <row r="1936" spans="1:6">
      <c r="A1936" s="38">
        <v>44949.15625</v>
      </c>
      <c r="B1936" s="39">
        <v>871.780029296875</v>
      </c>
      <c r="C1936" s="39">
        <v>832.906982421875</v>
      </c>
      <c r="D1936" s="41">
        <v>7309560</v>
      </c>
      <c r="E1936" s="36" t="s">
        <v>655</v>
      </c>
      <c r="F1936" s="36" t="s">
        <v>115</v>
      </c>
    </row>
    <row r="1937" spans="1:6">
      <c r="A1937" s="38">
        <v>44950.15625</v>
      </c>
      <c r="B1937" s="39">
        <v>864.79998779296875</v>
      </c>
      <c r="C1937" s="39">
        <v>826.2381591796875</v>
      </c>
      <c r="D1937" s="41">
        <v>5847690</v>
      </c>
      <c r="E1937" s="36" t="s">
        <v>655</v>
      </c>
      <c r="F1937" s="36" t="s">
        <v>115</v>
      </c>
    </row>
    <row r="1938" spans="1:6">
      <c r="A1938" s="38">
        <v>44951.15625</v>
      </c>
      <c r="B1938" s="39">
        <v>854.53997802734375</v>
      </c>
      <c r="C1938" s="39">
        <v>816.43560791015625</v>
      </c>
      <c r="D1938" s="41">
        <v>2606415</v>
      </c>
      <c r="E1938" s="36" t="s">
        <v>655</v>
      </c>
      <c r="F1938" s="36" t="s">
        <v>115</v>
      </c>
    </row>
    <row r="1939" spans="1:6">
      <c r="A1939" s="38">
        <v>44953.15625</v>
      </c>
      <c r="B1939" s="39">
        <v>858.82000732421875</v>
      </c>
      <c r="C1939" s="39">
        <v>820.52484130859375</v>
      </c>
      <c r="D1939" s="41">
        <v>3724065</v>
      </c>
      <c r="E1939" s="36" t="s">
        <v>655</v>
      </c>
      <c r="F1939" s="36" t="s">
        <v>115</v>
      </c>
    </row>
    <row r="1940" spans="1:6">
      <c r="A1940" s="38">
        <v>44956.15625</v>
      </c>
      <c r="B1940" s="39">
        <v>883.72998046875</v>
      </c>
      <c r="C1940" s="39">
        <v>844.32415771484375</v>
      </c>
      <c r="D1940" s="41">
        <v>2892290</v>
      </c>
      <c r="E1940" s="36" t="s">
        <v>655</v>
      </c>
      <c r="F1940" s="36" t="s">
        <v>115</v>
      </c>
    </row>
    <row r="1941" spans="1:6">
      <c r="A1941" s="38">
        <v>44957.15625</v>
      </c>
      <c r="B1941" s="39">
        <v>875.780029296875</v>
      </c>
      <c r="C1941" s="39">
        <v>836.72857666015625</v>
      </c>
      <c r="D1941" s="41">
        <v>1729260</v>
      </c>
      <c r="E1941" s="36" t="s">
        <v>655</v>
      </c>
      <c r="F1941" s="36" t="s">
        <v>115</v>
      </c>
    </row>
    <row r="1942" spans="1:6">
      <c r="A1942" s="38">
        <v>44958.15625</v>
      </c>
      <c r="B1942" s="39">
        <v>870.54998779296875</v>
      </c>
      <c r="C1942" s="39">
        <v>831.73175048828125</v>
      </c>
      <c r="D1942" s="41">
        <v>812250</v>
      </c>
      <c r="E1942" s="36" t="s">
        <v>655</v>
      </c>
      <c r="F1942" s="36" t="s">
        <v>115</v>
      </c>
    </row>
    <row r="1943" spans="1:6">
      <c r="A1943" s="38">
        <v>44959.15625</v>
      </c>
      <c r="B1943" s="39">
        <v>886.780029296875</v>
      </c>
      <c r="C1943" s="39">
        <v>847.238037109375</v>
      </c>
      <c r="D1943" s="41">
        <v>3172095</v>
      </c>
      <c r="E1943" s="36" t="s">
        <v>655</v>
      </c>
      <c r="F1943" s="36" t="s">
        <v>115</v>
      </c>
    </row>
    <row r="1944" spans="1:6">
      <c r="A1944" s="38">
        <v>44960.15625</v>
      </c>
      <c r="B1944" s="39">
        <v>861.719970703125</v>
      </c>
      <c r="C1944" s="39">
        <v>826.8385009765625</v>
      </c>
      <c r="D1944" s="41">
        <v>2244295</v>
      </c>
      <c r="E1944" s="36" t="s">
        <v>655</v>
      </c>
      <c r="F1944" s="36" t="s">
        <v>115</v>
      </c>
    </row>
    <row r="1945" spans="1:6">
      <c r="A1945" s="38">
        <v>44963.15625</v>
      </c>
      <c r="B1945" s="39">
        <v>863.55999755859375</v>
      </c>
      <c r="C1945" s="39">
        <v>828.6041259765625</v>
      </c>
      <c r="D1945" s="41">
        <v>876845</v>
      </c>
      <c r="E1945" s="36" t="s">
        <v>655</v>
      </c>
      <c r="F1945" s="36" t="s">
        <v>115</v>
      </c>
    </row>
    <row r="1946" spans="1:6">
      <c r="A1946" s="38">
        <v>44964.15625</v>
      </c>
      <c r="B1946" s="39">
        <v>860.52001953125</v>
      </c>
      <c r="C1946" s="39">
        <v>825.687255859375</v>
      </c>
      <c r="D1946" s="41">
        <v>743805</v>
      </c>
      <c r="E1946" s="36" t="s">
        <v>655</v>
      </c>
      <c r="F1946" s="36" t="s">
        <v>115</v>
      </c>
    </row>
    <row r="1947" spans="1:6">
      <c r="A1947" s="38">
        <v>44965.15625</v>
      </c>
      <c r="B1947" s="39">
        <v>865.8900146484375</v>
      </c>
      <c r="C1947" s="39">
        <v>830.83978271484375</v>
      </c>
      <c r="D1947" s="41">
        <v>3700720</v>
      </c>
      <c r="E1947" s="36" t="s">
        <v>655</v>
      </c>
      <c r="F1947" s="36" t="s">
        <v>115</v>
      </c>
    </row>
    <row r="1948" spans="1:6">
      <c r="A1948" s="38">
        <v>44966.15625</v>
      </c>
      <c r="B1948" s="39">
        <v>868.0999755859375</v>
      </c>
      <c r="C1948" s="39">
        <v>832.96044921875</v>
      </c>
      <c r="D1948" s="41">
        <v>1645050</v>
      </c>
      <c r="E1948" s="36" t="s">
        <v>655</v>
      </c>
      <c r="F1948" s="36" t="s">
        <v>115</v>
      </c>
    </row>
    <row r="1949" spans="1:6">
      <c r="A1949" s="38">
        <v>44967.15625</v>
      </c>
      <c r="B1949" s="39">
        <v>866.8599853515625</v>
      </c>
      <c r="C1949" s="39">
        <v>831.7705078125</v>
      </c>
      <c r="D1949" s="41">
        <v>1126240</v>
      </c>
      <c r="E1949" s="36" t="s">
        <v>655</v>
      </c>
      <c r="F1949" s="36" t="s">
        <v>115</v>
      </c>
    </row>
    <row r="1950" spans="1:6">
      <c r="A1950" s="38">
        <v>44970.15625</v>
      </c>
      <c r="B1950" s="39">
        <v>806.45001220703125</v>
      </c>
      <c r="C1950" s="39">
        <v>773.80584716796875</v>
      </c>
      <c r="D1950" s="41">
        <v>41334880</v>
      </c>
      <c r="E1950" s="36" t="s">
        <v>655</v>
      </c>
      <c r="F1950" s="36" t="s">
        <v>115</v>
      </c>
    </row>
    <row r="1951" spans="1:6">
      <c r="A1951" s="38">
        <v>44971.15625</v>
      </c>
      <c r="B1951" s="39">
        <v>815.97998046875</v>
      </c>
      <c r="C1951" s="39">
        <v>782.95001220703125</v>
      </c>
      <c r="D1951" s="41">
        <v>2318580</v>
      </c>
      <c r="E1951" s="36" t="s">
        <v>655</v>
      </c>
      <c r="F1951" s="36" t="s">
        <v>115</v>
      </c>
    </row>
    <row r="1952" spans="1:6">
      <c r="A1952" s="38">
        <v>44972.15625</v>
      </c>
      <c r="B1952" s="39">
        <v>823</v>
      </c>
      <c r="C1952" s="39">
        <v>789.68597412109375</v>
      </c>
      <c r="D1952" s="41">
        <v>1872570</v>
      </c>
      <c r="E1952" s="36" t="s">
        <v>655</v>
      </c>
      <c r="F1952" s="36" t="s">
        <v>115</v>
      </c>
    </row>
    <row r="1953" spans="1:6">
      <c r="A1953" s="38">
        <v>44973.15625</v>
      </c>
      <c r="B1953" s="39">
        <v>845.8599853515625</v>
      </c>
      <c r="C1953" s="39">
        <v>811.62054443359375</v>
      </c>
      <c r="D1953" s="41">
        <v>4202805</v>
      </c>
      <c r="E1953" s="36" t="s">
        <v>655</v>
      </c>
      <c r="F1953" s="36" t="s">
        <v>115</v>
      </c>
    </row>
    <row r="1954" spans="1:6">
      <c r="A1954" s="38">
        <v>44974.15625</v>
      </c>
      <c r="B1954" s="39">
        <v>840.82000732421875</v>
      </c>
      <c r="C1954" s="39">
        <v>806.78448486328125</v>
      </c>
      <c r="D1954" s="41">
        <v>1761170</v>
      </c>
      <c r="E1954" s="36" t="s">
        <v>655</v>
      </c>
      <c r="F1954" s="36" t="s">
        <v>115</v>
      </c>
    </row>
    <row r="1955" spans="1:6">
      <c r="A1955" s="38">
        <v>44977.15625</v>
      </c>
      <c r="B1955" s="39">
        <v>867.09002685546875</v>
      </c>
      <c r="C1955" s="39">
        <v>831.99127197265625</v>
      </c>
      <c r="D1955" s="41">
        <v>2913870</v>
      </c>
      <c r="E1955" s="36" t="s">
        <v>655</v>
      </c>
      <c r="F1955" s="36" t="s">
        <v>115</v>
      </c>
    </row>
    <row r="1956" spans="1:6">
      <c r="A1956" s="38">
        <v>44978.15625</v>
      </c>
      <c r="B1956" s="39">
        <v>867.989990234375</v>
      </c>
      <c r="C1956" s="39">
        <v>832.85479736328125</v>
      </c>
      <c r="D1956" s="41">
        <v>1853670</v>
      </c>
      <c r="E1956" s="36" t="s">
        <v>655</v>
      </c>
      <c r="F1956" s="36" t="s">
        <v>115</v>
      </c>
    </row>
    <row r="1957" spans="1:6">
      <c r="A1957" s="38">
        <v>44979.15625</v>
      </c>
      <c r="B1957" s="39">
        <v>868.510009765625</v>
      </c>
      <c r="C1957" s="39">
        <v>833.353759765625</v>
      </c>
      <c r="D1957" s="41">
        <v>1492050</v>
      </c>
      <c r="E1957" s="36" t="s">
        <v>655</v>
      </c>
      <c r="F1957" s="36" t="s">
        <v>115</v>
      </c>
    </row>
    <row r="1958" spans="1:6">
      <c r="A1958" s="38">
        <v>44980.15625</v>
      </c>
      <c r="B1958" s="39">
        <v>884.17999267578125</v>
      </c>
      <c r="C1958" s="39">
        <v>848.38946533203125</v>
      </c>
      <c r="D1958" s="41">
        <v>2298380</v>
      </c>
      <c r="E1958" s="36" t="s">
        <v>655</v>
      </c>
      <c r="F1958" s="36" t="s">
        <v>115</v>
      </c>
    </row>
    <row r="1959" spans="1:6">
      <c r="A1959" s="38">
        <v>44981.15625</v>
      </c>
      <c r="B1959" s="39">
        <v>875.5</v>
      </c>
      <c r="C1959" s="39">
        <v>840.06085205078125</v>
      </c>
      <c r="D1959" s="41">
        <v>1640725</v>
      </c>
      <c r="E1959" s="36" t="s">
        <v>655</v>
      </c>
      <c r="F1959" s="36" t="s">
        <v>115</v>
      </c>
    </row>
    <row r="1960" spans="1:6">
      <c r="A1960" s="38">
        <v>44984.15625</v>
      </c>
      <c r="B1960" s="39">
        <v>854.78997802734375</v>
      </c>
      <c r="C1960" s="39">
        <v>820.18914794921875</v>
      </c>
      <c r="D1960" s="41">
        <v>2323110</v>
      </c>
      <c r="E1960" s="36" t="s">
        <v>655</v>
      </c>
      <c r="F1960" s="36" t="s">
        <v>115</v>
      </c>
    </row>
    <row r="1961" spans="1:6">
      <c r="A1961" s="38">
        <v>44985.15625</v>
      </c>
      <c r="B1961" s="39">
        <v>859.72998046875</v>
      </c>
      <c r="C1961" s="39">
        <v>824.92926025390625</v>
      </c>
      <c r="D1961" s="41">
        <v>1241920</v>
      </c>
      <c r="E1961" s="36" t="s">
        <v>655</v>
      </c>
      <c r="F1961" s="36" t="s">
        <v>115</v>
      </c>
    </row>
    <row r="1962" spans="1:6">
      <c r="A1962" s="38">
        <v>44986.15625</v>
      </c>
      <c r="B1962" s="39">
        <v>860.07000732421875</v>
      </c>
      <c r="C1962" s="39">
        <v>825.2552490234375</v>
      </c>
      <c r="D1962" s="41">
        <v>1543245</v>
      </c>
      <c r="E1962" s="36" t="s">
        <v>655</v>
      </c>
      <c r="F1962" s="36" t="s">
        <v>115</v>
      </c>
    </row>
    <row r="1963" spans="1:6">
      <c r="A1963" s="38">
        <v>44987.15625</v>
      </c>
      <c r="B1963" s="39">
        <v>849.94000244140625</v>
      </c>
      <c r="C1963" s="39">
        <v>815.5355224609375</v>
      </c>
      <c r="D1963" s="41">
        <v>947930</v>
      </c>
      <c r="E1963" s="36" t="s">
        <v>655</v>
      </c>
      <c r="F1963" s="36" t="s">
        <v>115</v>
      </c>
    </row>
    <row r="1964" spans="1:6">
      <c r="A1964" s="38">
        <v>44988.15625</v>
      </c>
      <c r="B1964" s="39">
        <v>851.67999267578125</v>
      </c>
      <c r="C1964" s="39">
        <v>817.2049560546875</v>
      </c>
      <c r="D1964" s="41">
        <v>1616065</v>
      </c>
      <c r="E1964" s="36" t="s">
        <v>655</v>
      </c>
      <c r="F1964" s="36" t="s">
        <v>115</v>
      </c>
    </row>
    <row r="1965" spans="1:6">
      <c r="A1965" s="38">
        <v>44991.15625</v>
      </c>
      <c r="B1965" s="39">
        <v>865.66998291015625</v>
      </c>
      <c r="C1965" s="39">
        <v>830.62884521484375</v>
      </c>
      <c r="D1965" s="41">
        <v>1089700</v>
      </c>
      <c r="E1965" s="36" t="s">
        <v>655</v>
      </c>
      <c r="F1965" s="36" t="s">
        <v>115</v>
      </c>
    </row>
    <row r="1966" spans="1:6">
      <c r="A1966" s="38">
        <v>44993.15625</v>
      </c>
      <c r="B1966" s="39">
        <v>855.91998291015625</v>
      </c>
      <c r="C1966" s="39">
        <v>821.2734375</v>
      </c>
      <c r="D1966" s="41">
        <v>957805</v>
      </c>
      <c r="E1966" s="36" t="s">
        <v>655</v>
      </c>
      <c r="F1966" s="36" t="s">
        <v>115</v>
      </c>
    </row>
    <row r="1967" spans="1:6">
      <c r="A1967" s="38">
        <v>44994.15625</v>
      </c>
      <c r="B1967" s="39">
        <v>851.07000732421875</v>
      </c>
      <c r="C1967" s="39">
        <v>816.6197509765625</v>
      </c>
      <c r="D1967" s="41">
        <v>678620</v>
      </c>
      <c r="E1967" s="36" t="s">
        <v>655</v>
      </c>
      <c r="F1967" s="36" t="s">
        <v>115</v>
      </c>
    </row>
    <row r="1968" spans="1:6">
      <c r="A1968" s="38">
        <v>44995.15625</v>
      </c>
      <c r="B1968" s="39">
        <v>827.27001953125</v>
      </c>
      <c r="C1968" s="39">
        <v>793.783203125</v>
      </c>
      <c r="D1968" s="41">
        <v>1783110</v>
      </c>
      <c r="E1968" s="36" t="s">
        <v>655</v>
      </c>
      <c r="F1968" s="36" t="s">
        <v>115</v>
      </c>
    </row>
    <row r="1969" spans="1:6">
      <c r="A1969" s="38">
        <v>44998.15625</v>
      </c>
      <c r="B1969" s="39">
        <v>816.92999267578125</v>
      </c>
      <c r="C1969" s="39">
        <v>783.8616943359375</v>
      </c>
      <c r="D1969" s="41">
        <v>1384600</v>
      </c>
      <c r="E1969" s="36" t="s">
        <v>655</v>
      </c>
      <c r="F1969" s="36" t="s">
        <v>115</v>
      </c>
    </row>
    <row r="1970" spans="1:6">
      <c r="A1970" s="38">
        <v>44999.15625</v>
      </c>
      <c r="B1970" s="39">
        <v>784.33001708984375</v>
      </c>
      <c r="C1970" s="39">
        <v>752.581298828125</v>
      </c>
      <c r="D1970" s="41">
        <v>4411195</v>
      </c>
      <c r="E1970" s="36" t="s">
        <v>655</v>
      </c>
      <c r="F1970" s="36" t="s">
        <v>115</v>
      </c>
    </row>
    <row r="1971" spans="1:6">
      <c r="A1971" s="38">
        <v>45000.15625</v>
      </c>
      <c r="B1971" s="39">
        <v>790</v>
      </c>
      <c r="C1971" s="39">
        <v>758.02178955078125</v>
      </c>
      <c r="D1971" s="41">
        <v>2359070</v>
      </c>
      <c r="E1971" s="36" t="s">
        <v>655</v>
      </c>
      <c r="F1971" s="36" t="s">
        <v>115</v>
      </c>
    </row>
    <row r="1972" spans="1:6">
      <c r="A1972" s="38">
        <v>45001.15625</v>
      </c>
      <c r="B1972" s="39">
        <v>770.40997314453125</v>
      </c>
      <c r="C1972" s="39">
        <v>739.2247314453125</v>
      </c>
      <c r="D1972" s="41">
        <v>1726900</v>
      </c>
      <c r="E1972" s="36" t="s">
        <v>655</v>
      </c>
      <c r="F1972" s="36" t="s">
        <v>115</v>
      </c>
    </row>
    <row r="1973" spans="1:6">
      <c r="A1973" s="38">
        <v>45002.15625</v>
      </c>
      <c r="B1973" s="39">
        <v>780.20001220703125</v>
      </c>
      <c r="C1973" s="39">
        <v>748.618408203125</v>
      </c>
      <c r="D1973" s="41">
        <v>1258810</v>
      </c>
      <c r="E1973" s="36" t="s">
        <v>655</v>
      </c>
      <c r="F1973" s="36" t="s">
        <v>115</v>
      </c>
    </row>
    <row r="1974" spans="1:6">
      <c r="A1974" s="38">
        <v>45005.15625</v>
      </c>
      <c r="B1974" s="39">
        <v>754.92999267578125</v>
      </c>
      <c r="C1974" s="39">
        <v>724.37127685546875</v>
      </c>
      <c r="D1974" s="41">
        <v>1325135</v>
      </c>
      <c r="E1974" s="36" t="s">
        <v>655</v>
      </c>
      <c r="F1974" s="36" t="s">
        <v>115</v>
      </c>
    </row>
    <row r="1975" spans="1:6">
      <c r="A1975" s="38">
        <v>45006.15625</v>
      </c>
      <c r="B1975" s="39">
        <v>742.52001953125</v>
      </c>
      <c r="C1975" s="39">
        <v>712.4637451171875</v>
      </c>
      <c r="D1975" s="41">
        <v>1235525</v>
      </c>
      <c r="E1975" s="36" t="s">
        <v>655</v>
      </c>
      <c r="F1975" s="36" t="s">
        <v>115</v>
      </c>
    </row>
    <row r="1976" spans="1:6">
      <c r="A1976" s="38">
        <v>45007.15625</v>
      </c>
      <c r="B1976" s="39">
        <v>747.72998046875</v>
      </c>
      <c r="C1976" s="39">
        <v>717.46282958984375</v>
      </c>
      <c r="D1976" s="41">
        <v>960825</v>
      </c>
      <c r="E1976" s="36" t="s">
        <v>655</v>
      </c>
      <c r="F1976" s="36" t="s">
        <v>115</v>
      </c>
    </row>
    <row r="1977" spans="1:6">
      <c r="A1977" s="38">
        <v>45008.15625</v>
      </c>
      <c r="B1977" s="39">
        <v>749.719970703125</v>
      </c>
      <c r="C1977" s="39">
        <v>719.37225341796875</v>
      </c>
      <c r="D1977" s="41">
        <v>1190175</v>
      </c>
      <c r="E1977" s="36" t="s">
        <v>655</v>
      </c>
      <c r="F1977" s="36" t="s">
        <v>115</v>
      </c>
    </row>
    <row r="1978" spans="1:6">
      <c r="A1978" s="38">
        <v>45009.15625</v>
      </c>
      <c r="B1978" s="39">
        <v>740.0999755859375</v>
      </c>
      <c r="C1978" s="39">
        <v>710.14166259765625</v>
      </c>
      <c r="D1978" s="41">
        <v>1351835</v>
      </c>
      <c r="E1978" s="36" t="s">
        <v>655</v>
      </c>
      <c r="F1978" s="36" t="s">
        <v>115</v>
      </c>
    </row>
    <row r="1979" spans="1:6">
      <c r="A1979" s="38">
        <v>45012.15625</v>
      </c>
      <c r="B1979" s="39">
        <v>727.1500244140625</v>
      </c>
      <c r="C1979" s="39">
        <v>697.71588134765625</v>
      </c>
      <c r="D1979" s="41">
        <v>1364705</v>
      </c>
      <c r="E1979" s="36" t="s">
        <v>655</v>
      </c>
      <c r="F1979" s="36" t="s">
        <v>115</v>
      </c>
    </row>
    <row r="1980" spans="1:6">
      <c r="A1980" s="38">
        <v>45013.15625</v>
      </c>
      <c r="B1980" s="39">
        <v>719.6099853515625</v>
      </c>
      <c r="C1980" s="39">
        <v>690.4810791015625</v>
      </c>
      <c r="D1980" s="41">
        <v>1110185</v>
      </c>
      <c r="E1980" s="36" t="s">
        <v>655</v>
      </c>
      <c r="F1980" s="36" t="s">
        <v>115</v>
      </c>
    </row>
    <row r="1981" spans="1:6">
      <c r="A1981" s="38">
        <v>45014.15625</v>
      </c>
      <c r="B1981" s="39">
        <v>732.07000732421875</v>
      </c>
      <c r="C1981" s="39">
        <v>702.4366455078125</v>
      </c>
      <c r="D1981" s="41">
        <v>1744095</v>
      </c>
      <c r="E1981" s="36" t="s">
        <v>655</v>
      </c>
      <c r="F1981" s="36" t="s">
        <v>115</v>
      </c>
    </row>
    <row r="1982" spans="1:6">
      <c r="A1982" s="38">
        <v>45016.15625</v>
      </c>
      <c r="B1982" s="39">
        <v>762.82000732421875</v>
      </c>
      <c r="C1982" s="39">
        <v>731.9420166015625</v>
      </c>
      <c r="D1982" s="41">
        <v>1382440</v>
      </c>
      <c r="E1982" s="36" t="s">
        <v>655</v>
      </c>
      <c r="F1982" s="36" t="s">
        <v>115</v>
      </c>
    </row>
    <row r="1983" spans="1:6">
      <c r="A1983" s="38">
        <v>45019.15625</v>
      </c>
      <c r="B1983" s="39">
        <v>770.27001953125</v>
      </c>
      <c r="C1983" s="39">
        <v>739.09039306640625</v>
      </c>
      <c r="D1983" s="41">
        <v>846070</v>
      </c>
      <c r="E1983" s="36" t="s">
        <v>656</v>
      </c>
      <c r="F1983" s="36" t="s">
        <v>115</v>
      </c>
    </row>
    <row r="1984" spans="1:6">
      <c r="A1984" s="38">
        <v>45021.15625</v>
      </c>
      <c r="B1984" s="39">
        <v>815.84002685546875</v>
      </c>
      <c r="C1984" s="39">
        <v>782.81597900390625</v>
      </c>
      <c r="D1984" s="41">
        <v>4230245</v>
      </c>
      <c r="E1984" s="36" t="s">
        <v>656</v>
      </c>
      <c r="F1984" s="36" t="s">
        <v>115</v>
      </c>
    </row>
    <row r="1985" spans="1:6">
      <c r="A1985" s="38">
        <v>45022.15625</v>
      </c>
      <c r="B1985" s="39">
        <v>800.02001953125</v>
      </c>
      <c r="C1985" s="39">
        <v>767.63623046875</v>
      </c>
      <c r="D1985" s="41">
        <v>1498720</v>
      </c>
      <c r="E1985" s="36" t="s">
        <v>656</v>
      </c>
      <c r="F1985" s="36" t="s">
        <v>115</v>
      </c>
    </row>
    <row r="1986" spans="1:6">
      <c r="A1986" s="38">
        <v>45026.15625</v>
      </c>
      <c r="B1986" s="39">
        <v>812.260009765625</v>
      </c>
      <c r="C1986" s="39">
        <v>779.38067626953125</v>
      </c>
      <c r="D1986" s="41">
        <v>971570</v>
      </c>
      <c r="E1986" s="36" t="s">
        <v>656</v>
      </c>
      <c r="F1986" s="36" t="s">
        <v>115</v>
      </c>
    </row>
    <row r="1987" spans="1:6">
      <c r="A1987" s="38">
        <v>45027.15625</v>
      </c>
      <c r="B1987" s="39">
        <v>800.969970703125</v>
      </c>
      <c r="C1987" s="39">
        <v>768.547607421875</v>
      </c>
      <c r="D1987" s="41">
        <v>959375</v>
      </c>
      <c r="E1987" s="36" t="s">
        <v>656</v>
      </c>
      <c r="F1987" s="36" t="s">
        <v>115</v>
      </c>
    </row>
    <row r="1988" spans="1:6">
      <c r="A1988" s="38">
        <v>45028.15625</v>
      </c>
      <c r="B1988" s="39">
        <v>813.03997802734375</v>
      </c>
      <c r="C1988" s="39">
        <v>780.12908935546875</v>
      </c>
      <c r="D1988" s="41">
        <v>821890</v>
      </c>
      <c r="E1988" s="36" t="s">
        <v>656</v>
      </c>
      <c r="F1988" s="36" t="s">
        <v>115</v>
      </c>
    </row>
    <row r="1989" spans="1:6">
      <c r="A1989" s="38">
        <v>45029.15625</v>
      </c>
      <c r="B1989" s="39">
        <v>805.739990234375</v>
      </c>
      <c r="C1989" s="39">
        <v>773.1246337890625</v>
      </c>
      <c r="D1989" s="41">
        <v>2178410</v>
      </c>
      <c r="E1989" s="36" t="s">
        <v>656</v>
      </c>
      <c r="F1989" s="36" t="s">
        <v>115</v>
      </c>
    </row>
    <row r="1990" spans="1:6">
      <c r="A1990" s="38">
        <v>45033.15625</v>
      </c>
      <c r="B1990" s="39">
        <v>778.3800048828125</v>
      </c>
      <c r="C1990" s="39">
        <v>746.8721923828125</v>
      </c>
      <c r="D1990" s="41">
        <v>3673645</v>
      </c>
      <c r="E1990" s="36" t="s">
        <v>656</v>
      </c>
      <c r="F1990" s="36" t="s">
        <v>115</v>
      </c>
    </row>
    <row r="1991" spans="1:6">
      <c r="A1991" s="38">
        <v>45034.15625</v>
      </c>
      <c r="B1991" s="39">
        <v>805.6400146484375</v>
      </c>
      <c r="C1991" s="39">
        <v>773.02874755859375</v>
      </c>
      <c r="D1991" s="41">
        <v>2834085</v>
      </c>
      <c r="E1991" s="36" t="s">
        <v>656</v>
      </c>
      <c r="F1991" s="36" t="s">
        <v>115</v>
      </c>
    </row>
    <row r="1992" spans="1:6">
      <c r="A1992" s="38">
        <v>45035.15625</v>
      </c>
      <c r="B1992" s="39">
        <v>780.3900146484375</v>
      </c>
      <c r="C1992" s="39">
        <v>748.80072021484375</v>
      </c>
      <c r="D1992" s="41">
        <v>1909035</v>
      </c>
      <c r="E1992" s="36" t="s">
        <v>656</v>
      </c>
      <c r="F1992" s="36" t="s">
        <v>115</v>
      </c>
    </row>
    <row r="1993" spans="1:6">
      <c r="A1993" s="38">
        <v>45036.15625</v>
      </c>
      <c r="B1993" s="39">
        <v>762.69000244140625</v>
      </c>
      <c r="C1993" s="39">
        <v>731.8172607421875</v>
      </c>
      <c r="D1993" s="41">
        <v>4489060</v>
      </c>
      <c r="E1993" s="36" t="s">
        <v>656</v>
      </c>
      <c r="F1993" s="36" t="s">
        <v>115</v>
      </c>
    </row>
    <row r="1994" spans="1:6">
      <c r="A1994" s="38">
        <v>45037.15625</v>
      </c>
      <c r="B1994" s="39">
        <v>766.1500244140625</v>
      </c>
      <c r="C1994" s="39">
        <v>735.13720703125</v>
      </c>
      <c r="D1994" s="41">
        <v>2054405</v>
      </c>
      <c r="E1994" s="36" t="s">
        <v>656</v>
      </c>
      <c r="F1994" s="36" t="s">
        <v>115</v>
      </c>
    </row>
    <row r="1995" spans="1:6">
      <c r="A1995" s="38">
        <v>45040.15625</v>
      </c>
      <c r="B1995" s="39">
        <v>778.32000732421875</v>
      </c>
      <c r="C1995" s="39">
        <v>746.81451416015625</v>
      </c>
      <c r="D1995" s="41">
        <v>1440115</v>
      </c>
      <c r="E1995" s="36" t="s">
        <v>656</v>
      </c>
      <c r="F1995" s="36" t="s">
        <v>115</v>
      </c>
    </row>
    <row r="1996" spans="1:6">
      <c r="A1996" s="38">
        <v>45041.15625</v>
      </c>
      <c r="B1996" s="39">
        <v>785.989990234375</v>
      </c>
      <c r="C1996" s="39">
        <v>754.17413330078125</v>
      </c>
      <c r="D1996" s="41">
        <v>1938500</v>
      </c>
      <c r="E1996" s="36" t="s">
        <v>656</v>
      </c>
      <c r="F1996" s="36" t="s">
        <v>115</v>
      </c>
    </row>
    <row r="1997" spans="1:6">
      <c r="A1997" s="38">
        <v>45042.15625</v>
      </c>
      <c r="B1997" s="39">
        <v>788.739990234375</v>
      </c>
      <c r="C1997" s="39">
        <v>756.81280517578125</v>
      </c>
      <c r="D1997" s="41">
        <v>2078380</v>
      </c>
      <c r="E1997" s="36" t="s">
        <v>656</v>
      </c>
      <c r="F1997" s="36" t="s">
        <v>115</v>
      </c>
    </row>
    <row r="1998" spans="1:6">
      <c r="A1998" s="38">
        <v>45043.15625</v>
      </c>
      <c r="B1998" s="39">
        <v>810.260009765625</v>
      </c>
      <c r="C1998" s="39">
        <v>777.461669921875</v>
      </c>
      <c r="D1998" s="41">
        <v>3500850</v>
      </c>
      <c r="E1998" s="36" t="s">
        <v>656</v>
      </c>
      <c r="F1998" s="36" t="s">
        <v>115</v>
      </c>
    </row>
    <row r="1999" spans="1:6">
      <c r="A1999" s="38">
        <v>45044.15625</v>
      </c>
      <c r="B1999" s="39">
        <v>836.9000244140625</v>
      </c>
      <c r="C1999" s="39">
        <v>803.0234375</v>
      </c>
      <c r="D1999" s="41">
        <v>3246775</v>
      </c>
      <c r="E1999" s="36" t="s">
        <v>656</v>
      </c>
      <c r="F1999" s="36" t="s">
        <v>115</v>
      </c>
    </row>
    <row r="2000" spans="1:6">
      <c r="A2000" s="38">
        <v>45048.15625</v>
      </c>
      <c r="B2000" s="39">
        <v>826.1300048828125</v>
      </c>
      <c r="C2000" s="39">
        <v>792.68927001953125</v>
      </c>
      <c r="D2000" s="41">
        <v>5793040</v>
      </c>
      <c r="E2000" s="36" t="s">
        <v>656</v>
      </c>
      <c r="F2000" s="36" t="s">
        <v>115</v>
      </c>
    </row>
    <row r="2001" spans="1:6">
      <c r="A2001" s="38">
        <v>45049.15625</v>
      </c>
      <c r="B2001" s="39">
        <v>819.8499755859375</v>
      </c>
      <c r="C2001" s="39">
        <v>786.66339111328125</v>
      </c>
      <c r="D2001" s="41">
        <v>2210350</v>
      </c>
      <c r="E2001" s="36" t="s">
        <v>656</v>
      </c>
      <c r="F2001" s="36" t="s">
        <v>115</v>
      </c>
    </row>
    <row r="2002" spans="1:6">
      <c r="A2002" s="38">
        <v>45050.15625</v>
      </c>
      <c r="B2002" s="39">
        <v>820.989990234375</v>
      </c>
      <c r="C2002" s="39">
        <v>787.75738525390625</v>
      </c>
      <c r="D2002" s="41">
        <v>1581815</v>
      </c>
      <c r="E2002" s="36" t="s">
        <v>656</v>
      </c>
      <c r="F2002" s="36" t="s">
        <v>115</v>
      </c>
    </row>
    <row r="2003" spans="1:6">
      <c r="A2003" s="38">
        <v>45051.15625</v>
      </c>
      <c r="B2003" s="39">
        <v>823.52001953125</v>
      </c>
      <c r="C2003" s="39">
        <v>790.18499755859375</v>
      </c>
      <c r="D2003" s="41">
        <v>989870</v>
      </c>
      <c r="E2003" s="36" t="s">
        <v>656</v>
      </c>
      <c r="F2003" s="36" t="s">
        <v>115</v>
      </c>
    </row>
    <row r="2004" spans="1:6">
      <c r="A2004" s="38">
        <v>45054.15625</v>
      </c>
      <c r="B2004" s="39">
        <v>823.25</v>
      </c>
      <c r="C2004" s="39">
        <v>789.92596435546875</v>
      </c>
      <c r="D2004" s="41">
        <v>899105</v>
      </c>
      <c r="E2004" s="36" t="s">
        <v>656</v>
      </c>
      <c r="F2004" s="36" t="s">
        <v>115</v>
      </c>
    </row>
    <row r="2005" spans="1:6">
      <c r="A2005" s="38">
        <v>45055.15625</v>
      </c>
      <c r="B2005" s="39">
        <v>825.010009765625</v>
      </c>
      <c r="C2005" s="39">
        <v>791.61456298828125</v>
      </c>
      <c r="D2005" s="41">
        <v>1772995</v>
      </c>
      <c r="E2005" s="36" t="s">
        <v>656</v>
      </c>
      <c r="F2005" s="36" t="s">
        <v>115</v>
      </c>
    </row>
    <row r="2006" spans="1:6">
      <c r="A2006" s="38">
        <v>45056.15625</v>
      </c>
      <c r="B2006" s="39">
        <v>825.08001708984375</v>
      </c>
      <c r="C2006" s="39">
        <v>795.3450927734375</v>
      </c>
      <c r="D2006" s="41">
        <v>579195</v>
      </c>
      <c r="E2006" s="36" t="s">
        <v>656</v>
      </c>
      <c r="F2006" s="36" t="s">
        <v>115</v>
      </c>
    </row>
    <row r="2007" spans="1:6">
      <c r="A2007" s="38">
        <v>45057.15625</v>
      </c>
      <c r="B2007" s="39">
        <v>824.96002197265625</v>
      </c>
      <c r="C2007" s="39">
        <v>795.22955322265625</v>
      </c>
      <c r="D2007" s="41">
        <v>1645675</v>
      </c>
      <c r="E2007" s="36" t="s">
        <v>656</v>
      </c>
      <c r="F2007" s="36" t="s">
        <v>115</v>
      </c>
    </row>
    <row r="2008" spans="1:6">
      <c r="A2008" s="38">
        <v>45058.15625</v>
      </c>
      <c r="B2008" s="39">
        <v>817.1300048828125</v>
      </c>
      <c r="C2008" s="39">
        <v>787.681640625</v>
      </c>
      <c r="D2008" s="41">
        <v>1058915</v>
      </c>
      <c r="E2008" s="36" t="s">
        <v>656</v>
      </c>
      <c r="F2008" s="36" t="s">
        <v>115</v>
      </c>
    </row>
    <row r="2009" spans="1:6">
      <c r="A2009" s="38">
        <v>45061.15625</v>
      </c>
      <c r="B2009" s="39">
        <v>826.260009765625</v>
      </c>
      <c r="C2009" s="39">
        <v>796.48260498046875</v>
      </c>
      <c r="D2009" s="41">
        <v>582330</v>
      </c>
      <c r="E2009" s="36" t="s">
        <v>656</v>
      </c>
      <c r="F2009" s="36" t="s">
        <v>115</v>
      </c>
    </row>
    <row r="2010" spans="1:6">
      <c r="A2010" s="38">
        <v>45062.15625</v>
      </c>
      <c r="B2010" s="39">
        <v>840.79998779296875</v>
      </c>
      <c r="C2010" s="39">
        <v>810.4986572265625</v>
      </c>
      <c r="D2010" s="41">
        <v>2487140</v>
      </c>
      <c r="E2010" s="36" t="s">
        <v>656</v>
      </c>
      <c r="F2010" s="36" t="s">
        <v>115</v>
      </c>
    </row>
    <row r="2011" spans="1:6">
      <c r="A2011" s="38">
        <v>45063.15625</v>
      </c>
      <c r="B2011" s="39">
        <v>842.79998779296875</v>
      </c>
      <c r="C2011" s="39">
        <v>812.42645263671875</v>
      </c>
      <c r="D2011" s="41">
        <v>1666095</v>
      </c>
      <c r="E2011" s="36" t="s">
        <v>656</v>
      </c>
      <c r="F2011" s="36" t="s">
        <v>115</v>
      </c>
    </row>
    <row r="2012" spans="1:6">
      <c r="A2012" s="38">
        <v>45064.15625</v>
      </c>
      <c r="B2012" s="39">
        <v>841.22998046875</v>
      </c>
      <c r="C2012" s="39">
        <v>810.9130859375</v>
      </c>
      <c r="D2012" s="41">
        <v>1021380</v>
      </c>
      <c r="E2012" s="36" t="s">
        <v>656</v>
      </c>
      <c r="F2012" s="36" t="s">
        <v>115</v>
      </c>
    </row>
    <row r="2013" spans="1:6">
      <c r="A2013" s="38">
        <v>45065.15625</v>
      </c>
      <c r="B2013" s="39">
        <v>855.6300048828125</v>
      </c>
      <c r="C2013" s="39">
        <v>824.794189453125</v>
      </c>
      <c r="D2013" s="41">
        <v>1719045</v>
      </c>
      <c r="E2013" s="36" t="s">
        <v>656</v>
      </c>
      <c r="F2013" s="36" t="s">
        <v>115</v>
      </c>
    </row>
    <row r="2014" spans="1:6">
      <c r="A2014" s="38">
        <v>45068.15625</v>
      </c>
      <c r="B2014" s="39">
        <v>874.19000244140625</v>
      </c>
      <c r="C2014" s="39">
        <v>842.685302734375</v>
      </c>
      <c r="D2014" s="41">
        <v>1793365</v>
      </c>
      <c r="E2014" s="36" t="s">
        <v>656</v>
      </c>
      <c r="F2014" s="36" t="s">
        <v>115</v>
      </c>
    </row>
    <row r="2015" spans="1:6">
      <c r="A2015" s="38">
        <v>45069.15625</v>
      </c>
      <c r="B2015" s="39">
        <v>860.9000244140625</v>
      </c>
      <c r="C2015" s="39">
        <v>829.8741455078125</v>
      </c>
      <c r="D2015" s="41">
        <v>1380455</v>
      </c>
      <c r="E2015" s="36" t="s">
        <v>656</v>
      </c>
      <c r="F2015" s="36" t="s">
        <v>115</v>
      </c>
    </row>
    <row r="2016" spans="1:6">
      <c r="A2016" s="38">
        <v>45070.15625</v>
      </c>
      <c r="B2016" s="39">
        <v>851.08001708984375</v>
      </c>
      <c r="C2016" s="39">
        <v>820.408203125</v>
      </c>
      <c r="D2016" s="41">
        <v>792835</v>
      </c>
      <c r="E2016" s="36" t="s">
        <v>656</v>
      </c>
      <c r="F2016" s="36" t="s">
        <v>115</v>
      </c>
    </row>
    <row r="2017" spans="1:6">
      <c r="A2017" s="38">
        <v>45071.15625</v>
      </c>
      <c r="B2017" s="39">
        <v>859.45001220703125</v>
      </c>
      <c r="C2017" s="39">
        <v>828.4765625</v>
      </c>
      <c r="D2017" s="41">
        <v>1401875</v>
      </c>
      <c r="E2017" s="36" t="s">
        <v>656</v>
      </c>
      <c r="F2017" s="36" t="s">
        <v>115</v>
      </c>
    </row>
    <row r="2018" spans="1:6">
      <c r="A2018" s="38">
        <v>45072.15625</v>
      </c>
      <c r="B2018" s="39">
        <v>891.989990234375</v>
      </c>
      <c r="C2018" s="39">
        <v>859.84375</v>
      </c>
      <c r="D2018" s="41">
        <v>3170645</v>
      </c>
      <c r="E2018" s="36" t="s">
        <v>656</v>
      </c>
      <c r="F2018" s="36" t="s">
        <v>115</v>
      </c>
    </row>
    <row r="2019" spans="1:6">
      <c r="A2019" s="38">
        <v>45075.15625</v>
      </c>
      <c r="B2019" s="39">
        <v>884.030029296875</v>
      </c>
      <c r="C2019" s="39">
        <v>852.17059326171875</v>
      </c>
      <c r="D2019" s="41">
        <v>1073600</v>
      </c>
      <c r="E2019" s="36" t="s">
        <v>656</v>
      </c>
      <c r="F2019" s="36" t="s">
        <v>115</v>
      </c>
    </row>
    <row r="2020" spans="1:6">
      <c r="A2020" s="38">
        <v>45076.15625</v>
      </c>
      <c r="B2020" s="39">
        <v>880.030029296875</v>
      </c>
      <c r="C2020" s="39">
        <v>848.31475830078125</v>
      </c>
      <c r="D2020" s="41">
        <v>1353600</v>
      </c>
      <c r="E2020" s="36" t="s">
        <v>656</v>
      </c>
      <c r="F2020" s="36" t="s">
        <v>115</v>
      </c>
    </row>
    <row r="2021" spans="1:6">
      <c r="A2021" s="38">
        <v>45077.15625</v>
      </c>
      <c r="B2021" s="39">
        <v>911.02001953125</v>
      </c>
      <c r="C2021" s="39">
        <v>878.18798828125</v>
      </c>
      <c r="D2021" s="41">
        <v>3534745</v>
      </c>
      <c r="E2021" s="36" t="s">
        <v>656</v>
      </c>
      <c r="F2021" s="36" t="s">
        <v>115</v>
      </c>
    </row>
    <row r="2022" spans="1:6">
      <c r="A2022" s="38">
        <v>45078.15625</v>
      </c>
      <c r="B2022" s="39">
        <v>912.42999267578125</v>
      </c>
      <c r="C2022" s="39">
        <v>879.54705810546875</v>
      </c>
      <c r="D2022" s="41">
        <v>1101505</v>
      </c>
      <c r="E2022" s="36" t="s">
        <v>656</v>
      </c>
      <c r="F2022" s="36" t="s">
        <v>115</v>
      </c>
    </row>
    <row r="2023" spans="1:6">
      <c r="A2023" s="38">
        <v>45079.15625</v>
      </c>
      <c r="B2023" s="39">
        <v>918.15997314453125</v>
      </c>
      <c r="C2023" s="39">
        <v>885.0706787109375</v>
      </c>
      <c r="D2023" s="41">
        <v>1514490</v>
      </c>
      <c r="E2023" s="36" t="s">
        <v>656</v>
      </c>
      <c r="F2023" s="36" t="s">
        <v>115</v>
      </c>
    </row>
    <row r="2024" spans="1:6">
      <c r="A2024" s="38">
        <v>45082.15625</v>
      </c>
      <c r="B2024" s="39">
        <v>918.489990234375</v>
      </c>
      <c r="C2024" s="39">
        <v>885.3887939453125</v>
      </c>
      <c r="D2024" s="41">
        <v>732410</v>
      </c>
      <c r="E2024" s="36" t="s">
        <v>656</v>
      </c>
      <c r="F2024" s="36" t="s">
        <v>115</v>
      </c>
    </row>
    <row r="2025" spans="1:6">
      <c r="A2025" s="38">
        <v>45083.15625</v>
      </c>
      <c r="B2025" s="39">
        <v>883.0999755859375</v>
      </c>
      <c r="C2025" s="39">
        <v>851.274169921875</v>
      </c>
      <c r="D2025" s="41">
        <v>1864985</v>
      </c>
      <c r="E2025" s="36" t="s">
        <v>656</v>
      </c>
      <c r="F2025" s="36" t="s">
        <v>115</v>
      </c>
    </row>
    <row r="2026" spans="1:6">
      <c r="A2026" s="38">
        <v>45084.15625</v>
      </c>
      <c r="B2026" s="39">
        <v>890.40997314453125</v>
      </c>
      <c r="C2026" s="39">
        <v>858.32073974609375</v>
      </c>
      <c r="D2026" s="41">
        <v>639970</v>
      </c>
      <c r="E2026" s="36" t="s">
        <v>656</v>
      </c>
      <c r="F2026" s="36" t="s">
        <v>115</v>
      </c>
    </row>
    <row r="2027" spans="1:6">
      <c r="A2027" s="38">
        <v>45085.15625</v>
      </c>
      <c r="B2027" s="39">
        <v>877.1099853515625</v>
      </c>
      <c r="C2027" s="39">
        <v>845.5</v>
      </c>
      <c r="D2027" s="41">
        <v>644365</v>
      </c>
      <c r="E2027" s="36" t="s">
        <v>656</v>
      </c>
      <c r="F2027" s="36" t="s">
        <v>115</v>
      </c>
    </row>
    <row r="2028" spans="1:6">
      <c r="A2028" s="38">
        <v>45086.15625</v>
      </c>
      <c r="B2028" s="39">
        <v>881.5999755859375</v>
      </c>
      <c r="C2028" s="39">
        <v>849.82806396484375</v>
      </c>
      <c r="D2028" s="41">
        <v>1047745</v>
      </c>
      <c r="E2028" s="36" t="s">
        <v>656</v>
      </c>
      <c r="F2028" s="36" t="s">
        <v>115</v>
      </c>
    </row>
    <row r="2029" spans="1:6">
      <c r="A2029" s="38">
        <v>45089.15625</v>
      </c>
      <c r="B2029" s="39">
        <v>901.260009765625</v>
      </c>
      <c r="C2029" s="39">
        <v>868.77960205078125</v>
      </c>
      <c r="D2029" s="41">
        <v>2424035</v>
      </c>
      <c r="E2029" s="36" t="s">
        <v>656</v>
      </c>
      <c r="F2029" s="36" t="s">
        <v>115</v>
      </c>
    </row>
    <row r="2030" spans="1:6">
      <c r="A2030" s="38">
        <v>45090.15625</v>
      </c>
      <c r="B2030" s="39">
        <v>913.58001708984375</v>
      </c>
      <c r="C2030" s="39">
        <v>880.65576171875</v>
      </c>
      <c r="D2030" s="41">
        <v>1314065</v>
      </c>
      <c r="E2030" s="36" t="s">
        <v>656</v>
      </c>
      <c r="F2030" s="36" t="s">
        <v>115</v>
      </c>
    </row>
    <row r="2031" spans="1:6">
      <c r="A2031" s="38">
        <v>45091.15625</v>
      </c>
      <c r="B2031" s="39">
        <v>923.91998291015625</v>
      </c>
      <c r="C2031" s="39">
        <v>890.623046875</v>
      </c>
      <c r="D2031" s="41">
        <v>1993650</v>
      </c>
      <c r="E2031" s="36" t="s">
        <v>656</v>
      </c>
      <c r="F2031" s="36" t="s">
        <v>115</v>
      </c>
    </row>
    <row r="2032" spans="1:6">
      <c r="A2032" s="38">
        <v>45092.15625</v>
      </c>
      <c r="B2032" s="39">
        <v>916.59002685546875</v>
      </c>
      <c r="C2032" s="39">
        <v>883.5572509765625</v>
      </c>
      <c r="D2032" s="41">
        <v>794525</v>
      </c>
      <c r="E2032" s="36" t="s">
        <v>656</v>
      </c>
      <c r="F2032" s="36" t="s">
        <v>115</v>
      </c>
    </row>
    <row r="2033" spans="1:6">
      <c r="A2033" s="38">
        <v>45093.15625</v>
      </c>
      <c r="B2033" s="39">
        <v>918.8499755859375</v>
      </c>
      <c r="C2033" s="39">
        <v>885.73577880859375</v>
      </c>
      <c r="D2033" s="41">
        <v>1071920</v>
      </c>
      <c r="E2033" s="36" t="s">
        <v>656</v>
      </c>
      <c r="F2033" s="36" t="s">
        <v>115</v>
      </c>
    </row>
    <row r="2034" spans="1:6">
      <c r="A2034" s="38">
        <v>45096.15625</v>
      </c>
      <c r="B2034" s="39">
        <v>912.58001708984375</v>
      </c>
      <c r="C2034" s="39">
        <v>879.69183349609375</v>
      </c>
      <c r="D2034" s="41">
        <v>682035</v>
      </c>
      <c r="E2034" s="36" t="s">
        <v>656</v>
      </c>
      <c r="F2034" s="36" t="s">
        <v>115</v>
      </c>
    </row>
    <row r="2035" spans="1:6">
      <c r="A2035" s="38">
        <v>45097.15625</v>
      </c>
      <c r="B2035" s="39">
        <v>911.8499755859375</v>
      </c>
      <c r="C2035" s="39">
        <v>878.988037109375</v>
      </c>
      <c r="D2035" s="41">
        <v>1285430</v>
      </c>
      <c r="E2035" s="36" t="s">
        <v>656</v>
      </c>
      <c r="F2035" s="36" t="s">
        <v>115</v>
      </c>
    </row>
    <row r="2036" spans="1:6">
      <c r="A2036" s="38">
        <v>45098.15625</v>
      </c>
      <c r="B2036" s="39">
        <v>920.969970703125</v>
      </c>
      <c r="C2036" s="39">
        <v>887.779296875</v>
      </c>
      <c r="D2036" s="41">
        <v>1520735</v>
      </c>
      <c r="E2036" s="36" t="s">
        <v>656</v>
      </c>
      <c r="F2036" s="36" t="s">
        <v>115</v>
      </c>
    </row>
    <row r="2037" spans="1:6">
      <c r="A2037" s="38">
        <v>45099.15625</v>
      </c>
      <c r="B2037" s="39">
        <v>906.94000244140625</v>
      </c>
      <c r="C2037" s="39">
        <v>874.255126953125</v>
      </c>
      <c r="D2037" s="41">
        <v>1398220</v>
      </c>
      <c r="E2037" s="36" t="s">
        <v>656</v>
      </c>
      <c r="F2037" s="36" t="s">
        <v>115</v>
      </c>
    </row>
    <row r="2038" spans="1:6">
      <c r="A2038" s="38">
        <v>45100.15625</v>
      </c>
      <c r="B2038" s="39">
        <v>899.8900146484375</v>
      </c>
      <c r="C2038" s="39">
        <v>867.45904541015625</v>
      </c>
      <c r="D2038" s="41">
        <v>867090</v>
      </c>
      <c r="E2038" s="36" t="s">
        <v>656</v>
      </c>
      <c r="F2038" s="36" t="s">
        <v>115</v>
      </c>
    </row>
    <row r="2039" spans="1:6">
      <c r="A2039" s="38">
        <v>45103.15625</v>
      </c>
      <c r="B2039" s="39">
        <v>921.34002685546875</v>
      </c>
      <c r="C2039" s="39">
        <v>888.13604736328125</v>
      </c>
      <c r="D2039" s="41">
        <v>1263525</v>
      </c>
      <c r="E2039" s="36" t="s">
        <v>656</v>
      </c>
      <c r="F2039" s="36" t="s">
        <v>115</v>
      </c>
    </row>
    <row r="2040" spans="1:6">
      <c r="A2040" s="38">
        <v>45104.15625</v>
      </c>
      <c r="B2040" s="39">
        <v>939.09002685546875</v>
      </c>
      <c r="C2040" s="39">
        <v>905.24639892578125</v>
      </c>
      <c r="D2040" s="41">
        <v>1765795</v>
      </c>
      <c r="E2040" s="36" t="s">
        <v>656</v>
      </c>
      <c r="F2040" s="36" t="s">
        <v>115</v>
      </c>
    </row>
    <row r="2041" spans="1:6">
      <c r="A2041" s="38">
        <v>45105.15625</v>
      </c>
      <c r="B2041" s="39">
        <v>933.780029296875</v>
      </c>
      <c r="C2041" s="39">
        <v>900.127685546875</v>
      </c>
      <c r="D2041" s="41">
        <v>1326715</v>
      </c>
      <c r="E2041" s="36" t="s">
        <v>656</v>
      </c>
      <c r="F2041" s="36" t="s">
        <v>115</v>
      </c>
    </row>
    <row r="2042" spans="1:6">
      <c r="A2042" s="38">
        <v>45107.15625</v>
      </c>
      <c r="B2042" s="39">
        <v>942.260009765625</v>
      </c>
      <c r="C2042" s="39">
        <v>908.30206298828125</v>
      </c>
      <c r="D2042" s="41">
        <v>1096360</v>
      </c>
      <c r="E2042" s="36" t="s">
        <v>656</v>
      </c>
      <c r="F2042" s="36" t="s">
        <v>115</v>
      </c>
    </row>
    <row r="2043" spans="1:6">
      <c r="A2043" s="38">
        <v>45110.15625</v>
      </c>
      <c r="B2043" s="39">
        <v>936.8699951171875</v>
      </c>
      <c r="C2043" s="39">
        <v>903.1063232421875</v>
      </c>
      <c r="D2043" s="41">
        <v>715765</v>
      </c>
      <c r="E2043" s="36" t="s">
        <v>656</v>
      </c>
      <c r="F2043" s="36" t="s">
        <v>115</v>
      </c>
    </row>
    <row r="2044" spans="1:6">
      <c r="A2044" s="38">
        <v>45111.15625</v>
      </c>
      <c r="B2044" s="39">
        <v>941.719970703125</v>
      </c>
      <c r="C2044" s="39">
        <v>907.78155517578125</v>
      </c>
      <c r="D2044" s="41">
        <v>723920</v>
      </c>
      <c r="E2044" s="36" t="s">
        <v>656</v>
      </c>
      <c r="F2044" s="36" t="s">
        <v>115</v>
      </c>
    </row>
    <row r="2045" spans="1:6">
      <c r="A2045" s="38">
        <v>45112.15625</v>
      </c>
      <c r="B2045" s="39">
        <v>945.09002685546875</v>
      </c>
      <c r="C2045" s="39">
        <v>911.0302734375</v>
      </c>
      <c r="D2045" s="41">
        <v>672110</v>
      </c>
      <c r="E2045" s="36" t="s">
        <v>656</v>
      </c>
      <c r="F2045" s="36" t="s">
        <v>115</v>
      </c>
    </row>
    <row r="2046" spans="1:6">
      <c r="A2046" s="38">
        <v>45113.15625</v>
      </c>
      <c r="B2046" s="39">
        <v>949.05999755859375</v>
      </c>
      <c r="C2046" s="39">
        <v>914.85699462890625</v>
      </c>
      <c r="D2046" s="41">
        <v>420235</v>
      </c>
      <c r="E2046" s="36" t="s">
        <v>656</v>
      </c>
      <c r="F2046" s="36" t="s">
        <v>115</v>
      </c>
    </row>
    <row r="2047" spans="1:6">
      <c r="A2047" s="38">
        <v>45114.15625</v>
      </c>
      <c r="B2047" s="39">
        <v>938.33001708984375</v>
      </c>
      <c r="C2047" s="39">
        <v>904.5137939453125</v>
      </c>
      <c r="D2047" s="41">
        <v>1537140</v>
      </c>
      <c r="E2047" s="36" t="s">
        <v>656</v>
      </c>
      <c r="F2047" s="36" t="s">
        <v>115</v>
      </c>
    </row>
    <row r="2048" spans="1:6">
      <c r="A2048" s="38">
        <v>45117.15625</v>
      </c>
      <c r="B2048" s="39">
        <v>922.260009765625</v>
      </c>
      <c r="C2048" s="39">
        <v>889.02301025390625</v>
      </c>
      <c r="D2048" s="41">
        <v>696700</v>
      </c>
      <c r="E2048" s="36" t="s">
        <v>656</v>
      </c>
      <c r="F2048" s="36" t="s">
        <v>115</v>
      </c>
    </row>
    <row r="2049" spans="1:6">
      <c r="A2049" s="38">
        <v>45118.15625</v>
      </c>
      <c r="B2049" s="39">
        <v>939.3900146484375</v>
      </c>
      <c r="C2049" s="39">
        <v>905.53570556640625</v>
      </c>
      <c r="D2049" s="41">
        <v>1621200</v>
      </c>
      <c r="E2049" s="36" t="s">
        <v>656</v>
      </c>
      <c r="F2049" s="36" t="s">
        <v>115</v>
      </c>
    </row>
    <row r="2050" spans="1:6">
      <c r="A2050" s="38">
        <v>45119.15625</v>
      </c>
      <c r="B2050" s="39">
        <v>929.96002197265625</v>
      </c>
      <c r="C2050" s="39">
        <v>896.4454345703125</v>
      </c>
      <c r="D2050" s="41">
        <v>1448910</v>
      </c>
      <c r="E2050" s="36" t="s">
        <v>656</v>
      </c>
      <c r="F2050" s="36" t="s">
        <v>115</v>
      </c>
    </row>
    <row r="2051" spans="1:6">
      <c r="A2051" s="38">
        <v>45120.15625</v>
      </c>
      <c r="B2051" s="39">
        <v>951.0999755859375</v>
      </c>
      <c r="C2051" s="39">
        <v>916.823486328125</v>
      </c>
      <c r="D2051" s="41">
        <v>2190395</v>
      </c>
      <c r="E2051" s="36" t="s">
        <v>656</v>
      </c>
      <c r="F2051" s="36" t="s">
        <v>115</v>
      </c>
    </row>
    <row r="2052" spans="1:6">
      <c r="A2052" s="38">
        <v>45121.15625</v>
      </c>
      <c r="B2052" s="39">
        <v>985.15997314453125</v>
      </c>
      <c r="C2052" s="39">
        <v>949.656005859375</v>
      </c>
      <c r="D2052" s="41">
        <v>3269600</v>
      </c>
      <c r="E2052" s="36" t="s">
        <v>656</v>
      </c>
      <c r="F2052" s="36" t="s">
        <v>115</v>
      </c>
    </row>
    <row r="2053" spans="1:6">
      <c r="A2053" s="38">
        <v>45124.15625</v>
      </c>
      <c r="B2053" s="39">
        <v>991.6300048828125</v>
      </c>
      <c r="C2053" s="39">
        <v>955.892822265625</v>
      </c>
      <c r="D2053" s="41">
        <v>2515455</v>
      </c>
      <c r="E2053" s="36" t="s">
        <v>656</v>
      </c>
      <c r="F2053" s="36" t="s">
        <v>115</v>
      </c>
    </row>
    <row r="2054" spans="1:6">
      <c r="A2054" s="38">
        <v>45125.15625</v>
      </c>
      <c r="B2054" s="39">
        <v>993.16998291015625</v>
      </c>
      <c r="C2054" s="39">
        <v>957.3773193359375</v>
      </c>
      <c r="D2054" s="41">
        <v>2262775</v>
      </c>
      <c r="E2054" s="36" t="s">
        <v>656</v>
      </c>
      <c r="F2054" s="36" t="s">
        <v>115</v>
      </c>
    </row>
    <row r="2055" spans="1:6">
      <c r="A2055" s="38">
        <v>45126.15625</v>
      </c>
      <c r="B2055" s="39">
        <v>975.19000244140625</v>
      </c>
      <c r="C2055" s="39">
        <v>940.0452880859375</v>
      </c>
      <c r="D2055" s="41">
        <v>1911945</v>
      </c>
      <c r="E2055" s="36" t="s">
        <v>656</v>
      </c>
      <c r="F2055" s="36" t="s">
        <v>115</v>
      </c>
    </row>
    <row r="2056" spans="1:6">
      <c r="A2056" s="38">
        <v>45127.15625</v>
      </c>
      <c r="B2056" s="39">
        <v>963.8900146484375</v>
      </c>
      <c r="C2056" s="39">
        <v>929.15252685546875</v>
      </c>
      <c r="D2056" s="41">
        <v>1504110</v>
      </c>
      <c r="E2056" s="36" t="s">
        <v>656</v>
      </c>
      <c r="F2056" s="36" t="s">
        <v>115</v>
      </c>
    </row>
    <row r="2057" spans="1:6">
      <c r="A2057" s="38">
        <v>45128.15625</v>
      </c>
      <c r="B2057" s="39">
        <v>928.05999755859375</v>
      </c>
      <c r="C2057" s="39">
        <v>894.61395263671875</v>
      </c>
      <c r="D2057" s="41">
        <v>5653675</v>
      </c>
      <c r="E2057" s="36" t="s">
        <v>656</v>
      </c>
      <c r="F2057" s="36" t="s">
        <v>115</v>
      </c>
    </row>
    <row r="2058" spans="1:6">
      <c r="A2058" s="38">
        <v>45131.15625</v>
      </c>
      <c r="B2058" s="39">
        <v>945.1400146484375</v>
      </c>
      <c r="C2058" s="39">
        <v>911.07830810546875</v>
      </c>
      <c r="D2058" s="41">
        <v>1690000</v>
      </c>
      <c r="E2058" s="36" t="s">
        <v>656</v>
      </c>
      <c r="F2058" s="36" t="s">
        <v>115</v>
      </c>
    </row>
    <row r="2059" spans="1:6">
      <c r="A2059" s="38">
        <v>45132.15625</v>
      </c>
      <c r="B2059" s="39">
        <v>937.54998779296875</v>
      </c>
      <c r="C2059" s="39">
        <v>903.7618408203125</v>
      </c>
      <c r="D2059" s="41">
        <v>875690</v>
      </c>
      <c r="E2059" s="36" t="s">
        <v>656</v>
      </c>
      <c r="F2059" s="36" t="s">
        <v>115</v>
      </c>
    </row>
    <row r="2060" spans="1:6">
      <c r="A2060" s="38">
        <v>45133.15625</v>
      </c>
      <c r="B2060" s="39">
        <v>943.22998046875</v>
      </c>
      <c r="C2060" s="39">
        <v>909.23712158203125</v>
      </c>
      <c r="D2060" s="41">
        <v>804430</v>
      </c>
      <c r="E2060" s="36" t="s">
        <v>656</v>
      </c>
      <c r="F2060" s="36" t="s">
        <v>115</v>
      </c>
    </row>
    <row r="2061" spans="1:6">
      <c r="A2061" s="38">
        <v>45134.15625</v>
      </c>
      <c r="B2061" s="39">
        <v>938.53997802734375</v>
      </c>
      <c r="C2061" s="39">
        <v>904.71612548828125</v>
      </c>
      <c r="D2061" s="41">
        <v>797975</v>
      </c>
      <c r="E2061" s="36" t="s">
        <v>656</v>
      </c>
      <c r="F2061" s="36" t="s">
        <v>115</v>
      </c>
    </row>
    <row r="2062" spans="1:6">
      <c r="A2062" s="38">
        <v>45135.15625</v>
      </c>
      <c r="B2062" s="39">
        <v>934.46002197265625</v>
      </c>
      <c r="C2062" s="39">
        <v>900.78326416015625</v>
      </c>
      <c r="D2062" s="41">
        <v>571700</v>
      </c>
      <c r="E2062" s="36" t="s">
        <v>656</v>
      </c>
      <c r="F2062" s="36" t="s">
        <v>115</v>
      </c>
    </row>
    <row r="2063" spans="1:6">
      <c r="A2063" s="38">
        <v>45138.15625</v>
      </c>
      <c r="B2063" s="39">
        <v>940.739990234375</v>
      </c>
      <c r="C2063" s="39">
        <v>906.8367919921875</v>
      </c>
      <c r="D2063" s="41">
        <v>821685</v>
      </c>
      <c r="E2063" s="36" t="s">
        <v>656</v>
      </c>
      <c r="F2063" s="36" t="s">
        <v>115</v>
      </c>
    </row>
    <row r="2064" spans="1:6">
      <c r="A2064" s="38">
        <v>45139.15625</v>
      </c>
      <c r="B2064" s="39">
        <v>969.09002685546875</v>
      </c>
      <c r="C2064" s="39">
        <v>934.165283203125</v>
      </c>
      <c r="D2064" s="41">
        <v>1764270</v>
      </c>
      <c r="E2064" s="36" t="s">
        <v>656</v>
      </c>
      <c r="F2064" s="36" t="s">
        <v>115</v>
      </c>
    </row>
    <row r="2065" spans="1:6">
      <c r="A2065" s="38">
        <v>45140.15625</v>
      </c>
      <c r="B2065" s="39">
        <v>951.41998291015625</v>
      </c>
      <c r="C2065" s="39">
        <v>917.13201904296875</v>
      </c>
      <c r="D2065" s="41">
        <v>732525</v>
      </c>
      <c r="E2065" s="36" t="s">
        <v>656</v>
      </c>
      <c r="F2065" s="36" t="s">
        <v>115</v>
      </c>
    </row>
    <row r="2066" spans="1:6">
      <c r="A2066" s="38">
        <v>45141.15625</v>
      </c>
      <c r="B2066" s="39">
        <v>953.04998779296875</v>
      </c>
      <c r="C2066" s="39">
        <v>922.38726806640625</v>
      </c>
      <c r="D2066" s="41">
        <v>1303210</v>
      </c>
      <c r="E2066" s="36" t="s">
        <v>656</v>
      </c>
      <c r="F2066" s="36" t="s">
        <v>115</v>
      </c>
    </row>
    <row r="2067" spans="1:6">
      <c r="A2067" s="38">
        <v>45142.15625</v>
      </c>
      <c r="B2067" s="39">
        <v>977.6300048828125</v>
      </c>
      <c r="C2067" s="39">
        <v>946.1763916015625</v>
      </c>
      <c r="D2067" s="41">
        <v>1231175</v>
      </c>
      <c r="E2067" s="36" t="s">
        <v>656</v>
      </c>
      <c r="F2067" s="36" t="s">
        <v>115</v>
      </c>
    </row>
    <row r="2068" spans="1:6">
      <c r="A2068" s="38">
        <v>45145.15625</v>
      </c>
      <c r="B2068" s="39">
        <v>988.530029296875</v>
      </c>
      <c r="C2068" s="39">
        <v>956.72576904296875</v>
      </c>
      <c r="D2068" s="41">
        <v>918490</v>
      </c>
      <c r="E2068" s="36" t="s">
        <v>656</v>
      </c>
      <c r="F2068" s="36" t="s">
        <v>115</v>
      </c>
    </row>
    <row r="2069" spans="1:6">
      <c r="A2069" s="38">
        <v>45146.15625</v>
      </c>
      <c r="B2069" s="39">
        <v>996.17999267578125</v>
      </c>
      <c r="C2069" s="39">
        <v>964.12969970703125</v>
      </c>
      <c r="D2069" s="41">
        <v>1169040</v>
      </c>
      <c r="E2069" s="36" t="s">
        <v>656</v>
      </c>
      <c r="F2069" s="36" t="s">
        <v>115</v>
      </c>
    </row>
    <row r="2070" spans="1:6">
      <c r="A2070" s="38">
        <v>45147.15625</v>
      </c>
      <c r="B2070" s="39">
        <v>1013.5900268554688</v>
      </c>
      <c r="C2070" s="39">
        <v>980.9796142578125</v>
      </c>
      <c r="D2070" s="41">
        <v>1719320</v>
      </c>
      <c r="E2070" s="36" t="s">
        <v>656</v>
      </c>
      <c r="F2070" s="36" t="s">
        <v>115</v>
      </c>
    </row>
    <row r="2071" spans="1:6">
      <c r="A2071" s="38">
        <v>45148.15625</v>
      </c>
      <c r="B2071" s="39">
        <v>1029.3800048828125</v>
      </c>
      <c r="C2071" s="39">
        <v>996.26153564453125</v>
      </c>
      <c r="D2071" s="41">
        <v>3125480</v>
      </c>
      <c r="E2071" s="36" t="s">
        <v>656</v>
      </c>
      <c r="F2071" s="36" t="s">
        <v>115</v>
      </c>
    </row>
    <row r="2072" spans="1:6">
      <c r="A2072" s="38">
        <v>45149.15625</v>
      </c>
      <c r="B2072" s="39">
        <v>1053.5799560546875</v>
      </c>
      <c r="C2072" s="39">
        <v>1019.6828002929688</v>
      </c>
      <c r="D2072" s="41">
        <v>3023815</v>
      </c>
      <c r="E2072" s="36" t="s">
        <v>656</v>
      </c>
      <c r="F2072" s="36" t="s">
        <v>115</v>
      </c>
    </row>
    <row r="2073" spans="1:6">
      <c r="A2073" s="38">
        <v>45152.15625</v>
      </c>
      <c r="B2073" s="39">
        <v>1055.4100341796875</v>
      </c>
      <c r="C2073" s="39">
        <v>1021.4541015625</v>
      </c>
      <c r="D2073" s="41">
        <v>2600010</v>
      </c>
      <c r="E2073" s="36" t="s">
        <v>656</v>
      </c>
      <c r="F2073" s="36" t="s">
        <v>115</v>
      </c>
    </row>
    <row r="2074" spans="1:6">
      <c r="A2074" s="38">
        <v>45154.15625</v>
      </c>
      <c r="B2074" s="39">
        <v>1015.1900024414063</v>
      </c>
      <c r="C2074" s="39">
        <v>982.528076171875</v>
      </c>
      <c r="D2074" s="41">
        <v>3491965</v>
      </c>
      <c r="E2074" s="36" t="s">
        <v>656</v>
      </c>
      <c r="F2074" s="36" t="s">
        <v>115</v>
      </c>
    </row>
    <row r="2075" spans="1:6">
      <c r="A2075" s="38">
        <v>45155.15625</v>
      </c>
      <c r="B2075" s="39">
        <v>1001.0399780273438</v>
      </c>
      <c r="C2075" s="39">
        <v>968.833251953125</v>
      </c>
      <c r="D2075" s="41">
        <v>3566720</v>
      </c>
      <c r="E2075" s="36" t="s">
        <v>656</v>
      </c>
      <c r="F2075" s="36" t="s">
        <v>115</v>
      </c>
    </row>
    <row r="2076" spans="1:6">
      <c r="A2076" s="38">
        <v>45156.15625</v>
      </c>
      <c r="B2076" s="39">
        <v>984.030029296875</v>
      </c>
      <c r="C2076" s="39">
        <v>952.37054443359375</v>
      </c>
      <c r="D2076" s="41">
        <v>2266285</v>
      </c>
      <c r="E2076" s="36" t="s">
        <v>656</v>
      </c>
      <c r="F2076" s="36" t="s">
        <v>115</v>
      </c>
    </row>
    <row r="2077" spans="1:6">
      <c r="A2077" s="38">
        <v>45159.15625</v>
      </c>
      <c r="B2077" s="39">
        <v>999.29998779296875</v>
      </c>
      <c r="C2077" s="39">
        <v>967.149169921875</v>
      </c>
      <c r="D2077" s="41">
        <v>1188555</v>
      </c>
      <c r="E2077" s="36" t="s">
        <v>656</v>
      </c>
      <c r="F2077" s="36" t="s">
        <v>115</v>
      </c>
    </row>
    <row r="2078" spans="1:6">
      <c r="A2078" s="38">
        <v>45160.15625</v>
      </c>
      <c r="B2078" s="39">
        <v>992.20001220703125</v>
      </c>
      <c r="C2078" s="39">
        <v>960.27777099609375</v>
      </c>
      <c r="D2078" s="41">
        <v>858910</v>
      </c>
      <c r="E2078" s="36" t="s">
        <v>656</v>
      </c>
      <c r="F2078" s="36" t="s">
        <v>115</v>
      </c>
    </row>
    <row r="2079" spans="1:6">
      <c r="A2079" s="38">
        <v>45161.15625</v>
      </c>
      <c r="B2079" s="39">
        <v>982.6199951171875</v>
      </c>
      <c r="C2079" s="39">
        <v>951.0059814453125</v>
      </c>
      <c r="D2079" s="41">
        <v>2192815</v>
      </c>
      <c r="E2079" s="36" t="s">
        <v>656</v>
      </c>
      <c r="F2079" s="36" t="s">
        <v>115</v>
      </c>
    </row>
    <row r="2080" spans="1:6">
      <c r="A2080" s="38">
        <v>45162.15625</v>
      </c>
      <c r="B2080" s="39">
        <v>1078.1700439453125</v>
      </c>
      <c r="C2080" s="39">
        <v>1043.4818115234375</v>
      </c>
      <c r="D2080" s="41">
        <v>110682455</v>
      </c>
      <c r="E2080" s="36" t="s">
        <v>656</v>
      </c>
      <c r="F2080" s="36" t="s">
        <v>115</v>
      </c>
    </row>
    <row r="2081" spans="1:6">
      <c r="A2081" s="38">
        <v>45163.15625</v>
      </c>
      <c r="B2081" s="39">
        <v>1051.239990234375</v>
      </c>
      <c r="C2081" s="39">
        <v>1017.4181518554688</v>
      </c>
      <c r="D2081" s="41">
        <v>9174495</v>
      </c>
      <c r="E2081" s="36" t="s">
        <v>656</v>
      </c>
      <c r="F2081" s="36" t="s">
        <v>115</v>
      </c>
    </row>
    <row r="2082" spans="1:6">
      <c r="A2082" s="38">
        <v>45166.15625</v>
      </c>
      <c r="B2082" s="39">
        <v>1034.3800048828125</v>
      </c>
      <c r="C2082" s="39">
        <v>1001.1007080078125</v>
      </c>
      <c r="D2082" s="41">
        <v>2580495</v>
      </c>
      <c r="E2082" s="36" t="s">
        <v>656</v>
      </c>
      <c r="F2082" s="36" t="s">
        <v>115</v>
      </c>
    </row>
    <row r="2083" spans="1:6">
      <c r="A2083" s="38">
        <v>45167.15625</v>
      </c>
      <c r="B2083" s="39">
        <v>1045.1199951171875</v>
      </c>
      <c r="C2083" s="39">
        <v>1011.4949951171875</v>
      </c>
      <c r="D2083" s="41">
        <v>5092830</v>
      </c>
      <c r="E2083" s="36" t="s">
        <v>656</v>
      </c>
      <c r="F2083" s="36" t="s">
        <v>115</v>
      </c>
    </row>
    <row r="2084" spans="1:6">
      <c r="A2084" s="38">
        <v>45168.15625</v>
      </c>
      <c r="B2084" s="39">
        <v>1059.6500244140625</v>
      </c>
      <c r="C2084" s="39">
        <v>1025.5576171875</v>
      </c>
      <c r="D2084" s="41">
        <v>3536980</v>
      </c>
      <c r="E2084" s="36" t="s">
        <v>656</v>
      </c>
      <c r="F2084" s="36" t="s">
        <v>115</v>
      </c>
    </row>
    <row r="2085" spans="1:6">
      <c r="A2085" s="38">
        <v>45169.15625</v>
      </c>
      <c r="B2085" s="39">
        <v>1093.2900390625</v>
      </c>
      <c r="C2085" s="39">
        <v>1058.1153564453125</v>
      </c>
      <c r="D2085" s="41">
        <v>5969630</v>
      </c>
      <c r="E2085" s="36" t="s">
        <v>656</v>
      </c>
      <c r="F2085" s="36" t="s">
        <v>115</v>
      </c>
    </row>
    <row r="2086" spans="1:6">
      <c r="A2086" s="38">
        <v>45170.15625</v>
      </c>
      <c r="B2086" s="39">
        <v>1090.3800048828125</v>
      </c>
      <c r="C2086" s="39">
        <v>1055.2989501953125</v>
      </c>
      <c r="D2086" s="41">
        <v>1820690</v>
      </c>
      <c r="E2086" s="36" t="s">
        <v>656</v>
      </c>
      <c r="F2086" s="36" t="s">
        <v>115</v>
      </c>
    </row>
    <row r="2087" spans="1:6">
      <c r="A2087" s="38">
        <v>45173.15625</v>
      </c>
      <c r="B2087" s="39">
        <v>1097.800048828125</v>
      </c>
      <c r="C2087" s="39">
        <v>1062.480224609375</v>
      </c>
      <c r="D2087" s="41">
        <v>2785555</v>
      </c>
      <c r="E2087" s="36" t="s">
        <v>656</v>
      </c>
      <c r="F2087" s="36" t="s">
        <v>115</v>
      </c>
    </row>
    <row r="2088" spans="1:6">
      <c r="A2088" s="38">
        <v>45174.15625</v>
      </c>
      <c r="B2088" s="39">
        <v>1122.300048828125</v>
      </c>
      <c r="C2088" s="39">
        <v>1086.1922607421875</v>
      </c>
      <c r="D2088" s="41">
        <v>3126200</v>
      </c>
      <c r="E2088" s="36" t="s">
        <v>656</v>
      </c>
      <c r="F2088" s="36" t="s">
        <v>115</v>
      </c>
    </row>
    <row r="2089" spans="1:6">
      <c r="A2089" s="38">
        <v>45175.15625</v>
      </c>
      <c r="B2089" s="39">
        <v>1125.1199951171875</v>
      </c>
      <c r="C2089" s="39">
        <v>1088.92138671875</v>
      </c>
      <c r="D2089" s="41">
        <v>5622585</v>
      </c>
      <c r="E2089" s="36" t="s">
        <v>656</v>
      </c>
      <c r="F2089" s="36" t="s">
        <v>115</v>
      </c>
    </row>
    <row r="2090" spans="1:6">
      <c r="A2090" s="38">
        <v>45176.15625</v>
      </c>
      <c r="B2090" s="39">
        <v>1122.0699462890625</v>
      </c>
      <c r="C2090" s="39">
        <v>1085.9693603515625</v>
      </c>
      <c r="D2090" s="41">
        <v>1970325</v>
      </c>
      <c r="E2090" s="36" t="s">
        <v>656</v>
      </c>
      <c r="F2090" s="36" t="s">
        <v>115</v>
      </c>
    </row>
    <row r="2091" spans="1:6">
      <c r="A2091" s="38">
        <v>45177.15625</v>
      </c>
      <c r="B2091" s="39">
        <v>1110.1199951171875</v>
      </c>
      <c r="C2091" s="39">
        <v>1074.4039306640625</v>
      </c>
      <c r="D2091" s="41">
        <v>1404345</v>
      </c>
      <c r="E2091" s="36" t="s">
        <v>656</v>
      </c>
      <c r="F2091" s="36" t="s">
        <v>115</v>
      </c>
    </row>
    <row r="2092" spans="1:6">
      <c r="A2092" s="38">
        <v>45180.15625</v>
      </c>
      <c r="B2092" s="39">
        <v>1103.1400146484375</v>
      </c>
      <c r="C2092" s="39">
        <v>1067.6484375</v>
      </c>
      <c r="D2092" s="41">
        <v>1571345</v>
      </c>
      <c r="E2092" s="36" t="s">
        <v>656</v>
      </c>
      <c r="F2092" s="36" t="s">
        <v>115</v>
      </c>
    </row>
    <row r="2093" spans="1:6">
      <c r="A2093" s="38">
        <v>45181.15625</v>
      </c>
      <c r="B2093" s="39">
        <v>1091.9000244140625</v>
      </c>
      <c r="C2093" s="39">
        <v>1056.7698974609375</v>
      </c>
      <c r="D2093" s="41">
        <v>1228175</v>
      </c>
      <c r="E2093" s="36" t="s">
        <v>656</v>
      </c>
      <c r="F2093" s="36" t="s">
        <v>115</v>
      </c>
    </row>
    <row r="2094" spans="1:6">
      <c r="A2094" s="38">
        <v>45182.15625</v>
      </c>
      <c r="B2094" s="39">
        <v>1087.4300537109375</v>
      </c>
      <c r="C2094" s="39">
        <v>1052.444091796875</v>
      </c>
      <c r="D2094" s="41">
        <v>1467350</v>
      </c>
      <c r="E2094" s="36" t="s">
        <v>656</v>
      </c>
      <c r="F2094" s="36" t="s">
        <v>115</v>
      </c>
    </row>
    <row r="2095" spans="1:6">
      <c r="A2095" s="38">
        <v>45183.15625</v>
      </c>
      <c r="B2095" s="39">
        <v>1091.3299560546875</v>
      </c>
      <c r="C2095" s="39">
        <v>1056.21826171875</v>
      </c>
      <c r="D2095" s="41">
        <v>1010745</v>
      </c>
      <c r="E2095" s="36" t="s">
        <v>656</v>
      </c>
      <c r="F2095" s="36" t="s">
        <v>115</v>
      </c>
    </row>
    <row r="2096" spans="1:6">
      <c r="A2096" s="38">
        <v>45184.15625</v>
      </c>
      <c r="B2096" s="39">
        <v>1123.780029296875</v>
      </c>
      <c r="C2096" s="39">
        <v>1087.624267578125</v>
      </c>
      <c r="D2096" s="41">
        <v>2311365</v>
      </c>
      <c r="E2096" s="36" t="s">
        <v>656</v>
      </c>
      <c r="F2096" s="36" t="s">
        <v>115</v>
      </c>
    </row>
    <row r="2097" spans="1:6">
      <c r="A2097" s="38">
        <v>45187.15625</v>
      </c>
      <c r="B2097" s="39">
        <v>1108.97998046875</v>
      </c>
      <c r="C2097" s="39">
        <v>1073.300537109375</v>
      </c>
      <c r="D2097" s="41">
        <v>1405155</v>
      </c>
      <c r="E2097" s="36" t="s">
        <v>656</v>
      </c>
      <c r="F2097" s="36" t="s">
        <v>115</v>
      </c>
    </row>
    <row r="2098" spans="1:6">
      <c r="A2098" s="38">
        <v>45189.15625</v>
      </c>
      <c r="B2098" s="39">
        <v>1083.5999755859375</v>
      </c>
      <c r="C2098" s="39">
        <v>1048.7371826171875</v>
      </c>
      <c r="D2098" s="41">
        <v>1330315</v>
      </c>
      <c r="E2098" s="36" t="s">
        <v>656</v>
      </c>
      <c r="F2098" s="36" t="s">
        <v>115</v>
      </c>
    </row>
    <row r="2099" spans="1:6">
      <c r="A2099" s="38">
        <v>45190.15625</v>
      </c>
      <c r="B2099" s="39">
        <v>1067.260009765625</v>
      </c>
      <c r="C2099" s="39">
        <v>1032.9228515625</v>
      </c>
      <c r="D2099" s="41">
        <v>1889400</v>
      </c>
      <c r="E2099" s="36" t="s">
        <v>656</v>
      </c>
      <c r="F2099" s="36" t="s">
        <v>115</v>
      </c>
    </row>
    <row r="2100" spans="1:6">
      <c r="A2100" s="38">
        <v>45191.15625</v>
      </c>
      <c r="B2100" s="39">
        <v>1058.68994140625</v>
      </c>
      <c r="C2100" s="39">
        <v>1024.6285400390625</v>
      </c>
      <c r="D2100" s="41">
        <v>1484625</v>
      </c>
      <c r="E2100" s="36" t="s">
        <v>656</v>
      </c>
      <c r="F2100" s="36" t="s">
        <v>115</v>
      </c>
    </row>
    <row r="2101" spans="1:6">
      <c r="A2101" s="38">
        <v>45194.15625</v>
      </c>
      <c r="B2101" s="39">
        <v>1057.1800537109375</v>
      </c>
      <c r="C2101" s="39">
        <v>1023.1673583984375</v>
      </c>
      <c r="D2101" s="41">
        <v>951070</v>
      </c>
      <c r="E2101" s="36" t="s">
        <v>656</v>
      </c>
      <c r="F2101" s="36" t="s">
        <v>115</v>
      </c>
    </row>
    <row r="2102" spans="1:6">
      <c r="A2102" s="38">
        <v>45195.15625</v>
      </c>
      <c r="B2102" s="39">
        <v>1038.6400146484375</v>
      </c>
      <c r="C2102" s="39">
        <v>1005.2236328125</v>
      </c>
      <c r="D2102" s="41">
        <v>1477730</v>
      </c>
      <c r="E2102" s="36" t="s">
        <v>656</v>
      </c>
      <c r="F2102" s="36" t="s">
        <v>115</v>
      </c>
    </row>
    <row r="2103" spans="1:6">
      <c r="A2103" s="38">
        <v>45196.15625</v>
      </c>
      <c r="B2103" s="39">
        <v>1040.989990234375</v>
      </c>
      <c r="C2103" s="39">
        <v>1007.4979858398438</v>
      </c>
      <c r="D2103" s="41">
        <v>2144405</v>
      </c>
      <c r="E2103" s="36" t="s">
        <v>656</v>
      </c>
      <c r="F2103" s="36" t="s">
        <v>115</v>
      </c>
    </row>
    <row r="2104" spans="1:6">
      <c r="A2104" s="38">
        <v>45197.15625</v>
      </c>
      <c r="B2104" s="39">
        <v>1024.6600341796875</v>
      </c>
      <c r="C2104" s="39">
        <v>991.69342041015625</v>
      </c>
      <c r="D2104" s="41">
        <v>2240020</v>
      </c>
      <c r="E2104" s="36" t="s">
        <v>656</v>
      </c>
      <c r="F2104" s="36" t="s">
        <v>115</v>
      </c>
    </row>
    <row r="2105" spans="1:6">
      <c r="A2105" s="38">
        <v>45198.15625</v>
      </c>
      <c r="B2105" s="39">
        <v>1020.8900146484375</v>
      </c>
      <c r="C2105" s="39">
        <v>988.04461669921875</v>
      </c>
      <c r="D2105" s="41">
        <v>2836805</v>
      </c>
      <c r="E2105" s="36" t="s">
        <v>656</v>
      </c>
      <c r="F2105" s="36" t="s">
        <v>115</v>
      </c>
    </row>
    <row r="2106" spans="1:6">
      <c r="A2106" s="38">
        <v>45202.15625</v>
      </c>
      <c r="B2106" s="39">
        <v>1021.3200073242188</v>
      </c>
      <c r="C2106" s="39">
        <v>988.46087646484375</v>
      </c>
      <c r="D2106" s="41">
        <v>2898935</v>
      </c>
      <c r="E2106" s="36" t="s">
        <v>656</v>
      </c>
      <c r="F2106" s="36" t="s">
        <v>115</v>
      </c>
    </row>
    <row r="2107" spans="1:6">
      <c r="A2107" s="38">
        <v>45203.15625</v>
      </c>
      <c r="B2107" s="39">
        <v>1027.1500244140625</v>
      </c>
      <c r="C2107" s="39">
        <v>994.10333251953125</v>
      </c>
      <c r="D2107" s="41">
        <v>1668680</v>
      </c>
      <c r="E2107" s="36" t="s">
        <v>656</v>
      </c>
      <c r="F2107" s="36" t="s">
        <v>115</v>
      </c>
    </row>
    <row r="2108" spans="1:6">
      <c r="A2108" s="38">
        <v>45204.15625</v>
      </c>
      <c r="B2108" s="39">
        <v>1041.1400146484375</v>
      </c>
      <c r="C2108" s="39">
        <v>1007.6430053710938</v>
      </c>
      <c r="D2108" s="41">
        <v>1560675</v>
      </c>
      <c r="E2108" s="36" t="s">
        <v>656</v>
      </c>
      <c r="F2108" s="36" t="s">
        <v>115</v>
      </c>
    </row>
    <row r="2109" spans="1:6">
      <c r="A2109" s="38">
        <v>45205.15625</v>
      </c>
      <c r="B2109" s="39">
        <v>1037.1099853515625</v>
      </c>
      <c r="C2109" s="39">
        <v>1003.7427368164063</v>
      </c>
      <c r="D2109" s="41">
        <v>976695</v>
      </c>
      <c r="E2109" s="36" t="s">
        <v>656</v>
      </c>
      <c r="F2109" s="36" t="s">
        <v>115</v>
      </c>
    </row>
    <row r="2110" spans="1:6">
      <c r="A2110" s="38">
        <v>45208.15625</v>
      </c>
      <c r="B2110" s="39">
        <v>1027.75</v>
      </c>
      <c r="C2110" s="39">
        <v>994.68408203125</v>
      </c>
      <c r="D2110" s="41">
        <v>898735</v>
      </c>
      <c r="E2110" s="36" t="s">
        <v>656</v>
      </c>
      <c r="F2110" s="36" t="s">
        <v>115</v>
      </c>
    </row>
    <row r="2111" spans="1:6">
      <c r="A2111" s="38">
        <v>45209.15625</v>
      </c>
      <c r="B2111" s="39">
        <v>1039.25</v>
      </c>
      <c r="C2111" s="39">
        <v>1005.8140869140625</v>
      </c>
      <c r="D2111" s="41">
        <v>1349295</v>
      </c>
      <c r="E2111" s="36" t="s">
        <v>656</v>
      </c>
      <c r="F2111" s="36" t="s">
        <v>115</v>
      </c>
    </row>
    <row r="2112" spans="1:6">
      <c r="A2112" s="38">
        <v>45210.15625</v>
      </c>
      <c r="B2112" s="39">
        <v>1030.9300537109375</v>
      </c>
      <c r="C2112" s="39">
        <v>997.76171875</v>
      </c>
      <c r="D2112" s="41">
        <v>2787570</v>
      </c>
      <c r="E2112" s="36" t="s">
        <v>656</v>
      </c>
      <c r="F2112" s="36" t="s">
        <v>115</v>
      </c>
    </row>
    <row r="2113" spans="1:6">
      <c r="A2113" s="38">
        <v>45211.15625</v>
      </c>
      <c r="B2113" s="39">
        <v>1019.3800048828125</v>
      </c>
      <c r="C2113" s="39">
        <v>986.583251953125</v>
      </c>
      <c r="D2113" s="41">
        <v>3095590</v>
      </c>
      <c r="E2113" s="36" t="s">
        <v>656</v>
      </c>
      <c r="F2113" s="36" t="s">
        <v>115</v>
      </c>
    </row>
    <row r="2114" spans="1:6">
      <c r="A2114" s="38">
        <v>45212.15625</v>
      </c>
      <c r="B2114" s="39">
        <v>1001.3300170898438</v>
      </c>
      <c r="C2114" s="39">
        <v>969.114013671875</v>
      </c>
      <c r="D2114" s="41">
        <v>2185450</v>
      </c>
      <c r="E2114" s="36" t="s">
        <v>656</v>
      </c>
      <c r="F2114" s="36" t="s">
        <v>115</v>
      </c>
    </row>
    <row r="2115" spans="1:6">
      <c r="A2115" s="38">
        <v>45215.15625</v>
      </c>
      <c r="B2115" s="39">
        <v>1008.030029296875</v>
      </c>
      <c r="C2115" s="39">
        <v>975.59844970703125</v>
      </c>
      <c r="D2115" s="41">
        <v>1707085</v>
      </c>
      <c r="E2115" s="36" t="s">
        <v>656</v>
      </c>
      <c r="F2115" s="36" t="s">
        <v>115</v>
      </c>
    </row>
    <row r="2116" spans="1:6">
      <c r="A2116" s="38">
        <v>45216.15625</v>
      </c>
      <c r="B2116" s="39">
        <v>1012.3400268554688</v>
      </c>
      <c r="C2116" s="39">
        <v>979.76983642578125</v>
      </c>
      <c r="D2116" s="41">
        <v>1079970</v>
      </c>
      <c r="E2116" s="36" t="s">
        <v>656</v>
      </c>
      <c r="F2116" s="36" t="s">
        <v>115</v>
      </c>
    </row>
    <row r="2117" spans="1:6">
      <c r="A2117" s="38">
        <v>45217.15625</v>
      </c>
      <c r="B2117" s="39">
        <v>1018.4199829101563</v>
      </c>
      <c r="C2117" s="39">
        <v>985.65411376953125</v>
      </c>
      <c r="D2117" s="41">
        <v>3131985</v>
      </c>
      <c r="E2117" s="36" t="s">
        <v>656</v>
      </c>
      <c r="F2117" s="36" t="s">
        <v>115</v>
      </c>
    </row>
    <row r="2118" spans="1:6">
      <c r="A2118" s="38">
        <v>45218.15625</v>
      </c>
      <c r="B2118" s="39">
        <v>1021.760009765625</v>
      </c>
      <c r="C2118" s="39">
        <v>988.88665771484375</v>
      </c>
      <c r="D2118" s="41">
        <v>5232700</v>
      </c>
      <c r="E2118" s="36" t="s">
        <v>656</v>
      </c>
      <c r="F2118" s="36" t="s">
        <v>115</v>
      </c>
    </row>
    <row r="2119" spans="1:6">
      <c r="A2119" s="38">
        <v>45219.15625</v>
      </c>
      <c r="B2119" s="39">
        <v>1000.02001953125</v>
      </c>
      <c r="C2119" s="39">
        <v>967.84625244140625</v>
      </c>
      <c r="D2119" s="41">
        <v>2368615</v>
      </c>
      <c r="E2119" s="36" t="s">
        <v>656</v>
      </c>
      <c r="F2119" s="36" t="s">
        <v>115</v>
      </c>
    </row>
    <row r="2120" spans="1:6">
      <c r="A2120" s="38">
        <v>45222.15625</v>
      </c>
      <c r="B2120" s="39">
        <v>983.08001708984375</v>
      </c>
      <c r="C2120" s="39">
        <v>951.4512939453125</v>
      </c>
      <c r="D2120" s="41">
        <v>2691720</v>
      </c>
      <c r="E2120" s="36" t="s">
        <v>656</v>
      </c>
      <c r="F2120" s="36" t="s">
        <v>115</v>
      </c>
    </row>
    <row r="2121" spans="1:6">
      <c r="A2121" s="38">
        <v>45224.15625</v>
      </c>
      <c r="B2121" s="39">
        <v>979.80999755859375</v>
      </c>
      <c r="C2121" s="39">
        <v>948.286376953125</v>
      </c>
      <c r="D2121" s="41">
        <v>1692820</v>
      </c>
      <c r="E2121" s="36" t="s">
        <v>656</v>
      </c>
      <c r="F2121" s="36" t="s">
        <v>115</v>
      </c>
    </row>
    <row r="2122" spans="1:6">
      <c r="A2122" s="38">
        <v>45225.15625</v>
      </c>
      <c r="B2122" s="39">
        <v>980.8800048828125</v>
      </c>
      <c r="C2122" s="39">
        <v>949.32183837890625</v>
      </c>
      <c r="D2122" s="41">
        <v>4392730</v>
      </c>
      <c r="E2122" s="36" t="s">
        <v>656</v>
      </c>
      <c r="F2122" s="36" t="s">
        <v>115</v>
      </c>
    </row>
    <row r="2123" spans="1:6">
      <c r="A2123" s="38">
        <v>45226.15625</v>
      </c>
      <c r="B2123" s="39">
        <v>1001.7899780273438</v>
      </c>
      <c r="C2123" s="39">
        <v>969.5592041015625</v>
      </c>
      <c r="D2123" s="41">
        <v>2701340</v>
      </c>
      <c r="E2123" s="36" t="s">
        <v>656</v>
      </c>
      <c r="F2123" s="36" t="s">
        <v>115</v>
      </c>
    </row>
    <row r="2124" spans="1:6">
      <c r="A2124" s="38">
        <v>45229.15625</v>
      </c>
      <c r="B2124" s="39">
        <v>997.72998046875</v>
      </c>
      <c r="C2124" s="39">
        <v>965.6297607421875</v>
      </c>
      <c r="D2124" s="41">
        <v>1334300</v>
      </c>
      <c r="E2124" s="36" t="s">
        <v>656</v>
      </c>
      <c r="F2124" s="36" t="s">
        <v>115</v>
      </c>
    </row>
    <row r="2125" spans="1:6">
      <c r="A2125" s="38">
        <v>45230.15625</v>
      </c>
      <c r="B2125" s="39">
        <v>996.8499755859375</v>
      </c>
      <c r="C2125" s="39">
        <v>964.778076171875</v>
      </c>
      <c r="D2125" s="41">
        <v>1121165</v>
      </c>
      <c r="E2125" s="36" t="s">
        <v>656</v>
      </c>
      <c r="F2125" s="36" t="s">
        <v>115</v>
      </c>
    </row>
    <row r="2126" spans="1:6">
      <c r="A2126" s="38">
        <v>45231.15625</v>
      </c>
      <c r="B2126" s="39">
        <v>1005.3200073242188</v>
      </c>
      <c r="C2126" s="39">
        <v>972.9755859375</v>
      </c>
      <c r="D2126" s="41">
        <v>1659310</v>
      </c>
      <c r="E2126" s="36" t="s">
        <v>656</v>
      </c>
      <c r="F2126" s="36" t="s">
        <v>115</v>
      </c>
    </row>
    <row r="2127" spans="1:6">
      <c r="A2127" s="38">
        <v>45232.15625</v>
      </c>
      <c r="B2127" s="39">
        <v>1011.280029296875</v>
      </c>
      <c r="C2127" s="39">
        <v>982.45745849609375</v>
      </c>
      <c r="D2127" s="41">
        <v>956705</v>
      </c>
      <c r="E2127" s="36" t="s">
        <v>656</v>
      </c>
      <c r="F2127" s="36" t="s">
        <v>115</v>
      </c>
    </row>
    <row r="2128" spans="1:6">
      <c r="A2128" s="38">
        <v>45233.15625</v>
      </c>
      <c r="B2128" s="39">
        <v>1016.6199951171875</v>
      </c>
      <c r="C2128" s="39">
        <v>987.645263671875</v>
      </c>
      <c r="D2128" s="41">
        <v>778665</v>
      </c>
      <c r="E2128" s="36" t="s">
        <v>656</v>
      </c>
      <c r="F2128" s="36" t="s">
        <v>115</v>
      </c>
    </row>
    <row r="2129" spans="1:6">
      <c r="A2129" s="38">
        <v>45236.15625</v>
      </c>
      <c r="B2129" s="39">
        <v>1023.0599975585938</v>
      </c>
      <c r="C2129" s="39">
        <v>993.9017333984375</v>
      </c>
      <c r="D2129" s="41">
        <v>1315040</v>
      </c>
      <c r="E2129" s="36" t="s">
        <v>656</v>
      </c>
      <c r="F2129" s="36" t="s">
        <v>115</v>
      </c>
    </row>
    <row r="2130" spans="1:6">
      <c r="A2130" s="38">
        <v>45237.15625</v>
      </c>
      <c r="B2130" s="39">
        <v>1017.52001953125</v>
      </c>
      <c r="C2130" s="39">
        <v>988.51959228515625</v>
      </c>
      <c r="D2130" s="41">
        <v>322725</v>
      </c>
      <c r="E2130" s="36" t="s">
        <v>656</v>
      </c>
      <c r="F2130" s="36" t="s">
        <v>115</v>
      </c>
    </row>
    <row r="2131" spans="1:6">
      <c r="A2131" s="38">
        <v>45238.15625</v>
      </c>
      <c r="B2131" s="39">
        <v>1022.3400268554688</v>
      </c>
      <c r="C2131" s="39">
        <v>993.2022705078125</v>
      </c>
      <c r="D2131" s="41">
        <v>468430</v>
      </c>
      <c r="E2131" s="36" t="s">
        <v>656</v>
      </c>
      <c r="F2131" s="36" t="s">
        <v>115</v>
      </c>
    </row>
    <row r="2132" spans="1:6">
      <c r="A2132" s="38">
        <v>45239.15625</v>
      </c>
      <c r="B2132" s="39">
        <v>1025.6199951171875</v>
      </c>
      <c r="C2132" s="39">
        <v>996.38885498046875</v>
      </c>
      <c r="D2132" s="41">
        <v>585800</v>
      </c>
      <c r="E2132" s="36" t="s">
        <v>656</v>
      </c>
      <c r="F2132" s="36" t="s">
        <v>115</v>
      </c>
    </row>
    <row r="2133" spans="1:6">
      <c r="A2133" s="38">
        <v>45240.15625</v>
      </c>
      <c r="B2133" s="39">
        <v>1027.800048828125</v>
      </c>
      <c r="C2133" s="39">
        <v>998.506591796875</v>
      </c>
      <c r="D2133" s="41">
        <v>783300</v>
      </c>
      <c r="E2133" s="36" t="s">
        <v>656</v>
      </c>
      <c r="F2133" s="36" t="s">
        <v>115</v>
      </c>
    </row>
    <row r="2134" spans="1:6">
      <c r="A2134" s="38">
        <v>45243.15625</v>
      </c>
      <c r="B2134" s="39">
        <v>1017.0399780273438</v>
      </c>
      <c r="C2134" s="39">
        <v>988.05328369140625</v>
      </c>
      <c r="D2134" s="41">
        <v>1334465</v>
      </c>
      <c r="E2134" s="36" t="s">
        <v>656</v>
      </c>
      <c r="F2134" s="36" t="s">
        <v>115</v>
      </c>
    </row>
    <row r="2135" spans="1:6">
      <c r="A2135" s="38">
        <v>45245.15625</v>
      </c>
      <c r="B2135" s="39">
        <v>1068.6500244140625</v>
      </c>
      <c r="C2135" s="39">
        <v>1038.1923828125</v>
      </c>
      <c r="D2135" s="41">
        <v>2335170</v>
      </c>
      <c r="E2135" s="36" t="s">
        <v>656</v>
      </c>
      <c r="F2135" s="36" t="s">
        <v>115</v>
      </c>
    </row>
    <row r="2136" spans="1:6">
      <c r="A2136" s="38">
        <v>45246.15625</v>
      </c>
      <c r="B2136" s="39">
        <v>1140.219970703125</v>
      </c>
      <c r="C2136" s="39">
        <v>1107.722412109375</v>
      </c>
      <c r="D2136" s="41">
        <v>5522040</v>
      </c>
      <c r="E2136" s="36" t="s">
        <v>656</v>
      </c>
      <c r="F2136" s="36" t="s">
        <v>115</v>
      </c>
    </row>
    <row r="2137" spans="1:6">
      <c r="A2137" s="38">
        <v>45247.15625</v>
      </c>
      <c r="B2137" s="39">
        <v>1134.989990234375</v>
      </c>
      <c r="C2137" s="39">
        <v>1102.6412353515625</v>
      </c>
      <c r="D2137" s="41">
        <v>2436475</v>
      </c>
      <c r="E2137" s="36" t="s">
        <v>656</v>
      </c>
      <c r="F2137" s="36" t="s">
        <v>115</v>
      </c>
    </row>
    <row r="2138" spans="1:6">
      <c r="A2138" s="38">
        <v>45250.15625</v>
      </c>
      <c r="B2138" s="39">
        <v>1141.68994140625</v>
      </c>
      <c r="C2138" s="39">
        <v>1109.150634765625</v>
      </c>
      <c r="D2138" s="41">
        <v>2411915</v>
      </c>
      <c r="E2138" s="36" t="s">
        <v>656</v>
      </c>
      <c r="F2138" s="36" t="s">
        <v>115</v>
      </c>
    </row>
    <row r="2139" spans="1:6">
      <c r="A2139" s="38">
        <v>45251.15625</v>
      </c>
      <c r="B2139" s="39">
        <v>1125.0799560546875</v>
      </c>
      <c r="C2139" s="39">
        <v>1093.0140380859375</v>
      </c>
      <c r="D2139" s="41">
        <v>1181265</v>
      </c>
      <c r="E2139" s="36" t="s">
        <v>656</v>
      </c>
      <c r="F2139" s="36" t="s">
        <v>115</v>
      </c>
    </row>
    <row r="2140" spans="1:6">
      <c r="A2140" s="38">
        <v>45252.15625</v>
      </c>
      <c r="B2140" s="39">
        <v>1126.8900146484375</v>
      </c>
      <c r="C2140" s="39">
        <v>1094.7724609375</v>
      </c>
      <c r="D2140" s="41">
        <v>984720</v>
      </c>
      <c r="E2140" s="36" t="s">
        <v>656</v>
      </c>
      <c r="F2140" s="36" t="s">
        <v>115</v>
      </c>
    </row>
    <row r="2141" spans="1:6">
      <c r="A2141" s="38">
        <v>45253.15625</v>
      </c>
      <c r="B2141" s="39">
        <v>1123.9300537109375</v>
      </c>
      <c r="C2141" s="39">
        <v>1091.896728515625</v>
      </c>
      <c r="D2141" s="41">
        <v>955385</v>
      </c>
      <c r="E2141" s="36" t="s">
        <v>656</v>
      </c>
      <c r="F2141" s="36" t="s">
        <v>115</v>
      </c>
    </row>
    <row r="2142" spans="1:6">
      <c r="A2142" s="38">
        <v>45254.15625</v>
      </c>
      <c r="B2142" s="39">
        <v>1123.7099609375</v>
      </c>
      <c r="C2142" s="39">
        <v>1091.68310546875</v>
      </c>
      <c r="D2142" s="41">
        <v>722630</v>
      </c>
      <c r="E2142" s="36" t="s">
        <v>656</v>
      </c>
      <c r="F2142" s="36" t="s">
        <v>115</v>
      </c>
    </row>
    <row r="2143" spans="1:6">
      <c r="A2143" s="38">
        <v>45258.15625</v>
      </c>
      <c r="B2143" s="39">
        <v>1113.260009765625</v>
      </c>
      <c r="C2143" s="39">
        <v>1081.53076171875</v>
      </c>
      <c r="D2143" s="41">
        <v>1194685</v>
      </c>
      <c r="E2143" s="36" t="s">
        <v>656</v>
      </c>
      <c r="F2143" s="36" t="s">
        <v>115</v>
      </c>
    </row>
    <row r="2144" spans="1:6">
      <c r="A2144" s="38">
        <v>45259.15625</v>
      </c>
      <c r="B2144" s="39">
        <v>1138.949951171875</v>
      </c>
      <c r="C2144" s="39">
        <v>1106.4886474609375</v>
      </c>
      <c r="D2144" s="41">
        <v>2760080</v>
      </c>
      <c r="E2144" s="36" t="s">
        <v>656</v>
      </c>
      <c r="F2144" s="36" t="s">
        <v>115</v>
      </c>
    </row>
    <row r="2145" spans="1:6">
      <c r="A2145" s="38">
        <v>45260.15625</v>
      </c>
      <c r="B2145" s="39">
        <v>1152.1700439453125</v>
      </c>
      <c r="C2145" s="39">
        <v>1119.3319091796875</v>
      </c>
      <c r="D2145" s="41">
        <v>1758790</v>
      </c>
      <c r="E2145" s="36" t="s">
        <v>656</v>
      </c>
      <c r="F2145" s="36" t="s">
        <v>115</v>
      </c>
    </row>
    <row r="2146" spans="1:6">
      <c r="A2146" s="38">
        <v>45261.15625</v>
      </c>
      <c r="B2146" s="39">
        <v>1142.800048828125</v>
      </c>
      <c r="C2146" s="39">
        <v>1110.22900390625</v>
      </c>
      <c r="D2146" s="41">
        <v>887890</v>
      </c>
      <c r="E2146" s="36" t="s">
        <v>656</v>
      </c>
      <c r="F2146" s="36" t="s">
        <v>115</v>
      </c>
    </row>
    <row r="2147" spans="1:6">
      <c r="A2147" s="38">
        <v>45264.15625</v>
      </c>
      <c r="B2147" s="39">
        <v>1135.18994140625</v>
      </c>
      <c r="C2147" s="39">
        <v>1102.8358154296875</v>
      </c>
      <c r="D2147" s="41">
        <v>924305</v>
      </c>
      <c r="E2147" s="36" t="s">
        <v>656</v>
      </c>
      <c r="F2147" s="36" t="s">
        <v>115</v>
      </c>
    </row>
    <row r="2148" spans="1:6">
      <c r="A2148" s="38">
        <v>45265.15625</v>
      </c>
      <c r="B2148" s="39">
        <v>1121.1700439453125</v>
      </c>
      <c r="C2148" s="39">
        <v>1089.2156982421875</v>
      </c>
      <c r="D2148" s="41">
        <v>1613345</v>
      </c>
      <c r="E2148" s="36" t="s">
        <v>656</v>
      </c>
      <c r="F2148" s="36" t="s">
        <v>115</v>
      </c>
    </row>
    <row r="2149" spans="1:6">
      <c r="A2149" s="38">
        <v>45266.15625</v>
      </c>
      <c r="B2149" s="39">
        <v>1140.3499755859375</v>
      </c>
      <c r="C2149" s="39">
        <v>1107.8489990234375</v>
      </c>
      <c r="D2149" s="41">
        <v>2301060</v>
      </c>
      <c r="E2149" s="36" t="s">
        <v>656</v>
      </c>
      <c r="F2149" s="36" t="s">
        <v>115</v>
      </c>
    </row>
    <row r="2150" spans="1:6">
      <c r="A2150" s="38">
        <v>45267.15625</v>
      </c>
      <c r="B2150" s="39">
        <v>1140.1300048828125</v>
      </c>
      <c r="C2150" s="39">
        <v>1107.635009765625</v>
      </c>
      <c r="D2150" s="41">
        <v>1016800</v>
      </c>
      <c r="E2150" s="36" t="s">
        <v>656</v>
      </c>
      <c r="F2150" s="36" t="s">
        <v>115</v>
      </c>
    </row>
    <row r="2151" spans="1:6">
      <c r="A2151" s="38">
        <v>45268.15625</v>
      </c>
      <c r="B2151" s="39">
        <v>1156.5999755859375</v>
      </c>
      <c r="C2151" s="39">
        <v>1123.6356201171875</v>
      </c>
      <c r="D2151" s="41">
        <v>4134550</v>
      </c>
      <c r="E2151" s="36" t="s">
        <v>656</v>
      </c>
      <c r="F2151" s="36" t="s">
        <v>115</v>
      </c>
    </row>
    <row r="2152" spans="1:6">
      <c r="A2152" s="38">
        <v>45271.15625</v>
      </c>
      <c r="B2152" s="39">
        <v>1172.949951171875</v>
      </c>
      <c r="C2152" s="39">
        <v>1139.51953125</v>
      </c>
      <c r="D2152" s="41">
        <v>2422230</v>
      </c>
      <c r="E2152" s="36" t="s">
        <v>656</v>
      </c>
      <c r="F2152" s="36" t="s">
        <v>115</v>
      </c>
    </row>
    <row r="2153" spans="1:6">
      <c r="A2153" s="38">
        <v>45272.15625</v>
      </c>
      <c r="B2153" s="39">
        <v>1171.3299560546875</v>
      </c>
      <c r="C2153" s="39">
        <v>1137.94580078125</v>
      </c>
      <c r="D2153" s="41">
        <v>1801080</v>
      </c>
      <c r="E2153" s="36" t="s">
        <v>656</v>
      </c>
      <c r="F2153" s="36" t="s">
        <v>115</v>
      </c>
    </row>
    <row r="2154" spans="1:6">
      <c r="A2154" s="38">
        <v>45273.15625</v>
      </c>
      <c r="B2154" s="39">
        <v>1166.0899658203125</v>
      </c>
      <c r="C2154" s="39">
        <v>1132.855224609375</v>
      </c>
      <c r="D2154" s="41">
        <v>2028865</v>
      </c>
      <c r="E2154" s="36" t="s">
        <v>656</v>
      </c>
      <c r="F2154" s="36" t="s">
        <v>115</v>
      </c>
    </row>
    <row r="2155" spans="1:6">
      <c r="A2155" s="38">
        <v>45274.15625</v>
      </c>
      <c r="B2155" s="39">
        <v>1231.3399658203125</v>
      </c>
      <c r="C2155" s="39">
        <v>1196.24560546875</v>
      </c>
      <c r="D2155" s="41">
        <v>6216300</v>
      </c>
      <c r="E2155" s="36" t="s">
        <v>656</v>
      </c>
      <c r="F2155" s="36" t="s">
        <v>115</v>
      </c>
    </row>
    <row r="2156" spans="1:6">
      <c r="A2156" s="38">
        <v>45275.15625</v>
      </c>
      <c r="B2156" s="39">
        <v>1287.969970703125</v>
      </c>
      <c r="C2156" s="39">
        <v>1251.2615966796875</v>
      </c>
      <c r="D2156" s="41">
        <v>6301270</v>
      </c>
      <c r="E2156" s="36" t="s">
        <v>656</v>
      </c>
      <c r="F2156" s="36" t="s">
        <v>115</v>
      </c>
    </row>
    <row r="2157" spans="1:6">
      <c r="A2157" s="38">
        <v>45278.15625</v>
      </c>
      <c r="B2157" s="39">
        <v>1288.219970703125</v>
      </c>
      <c r="C2157" s="39">
        <v>1251.50439453125</v>
      </c>
      <c r="D2157" s="41">
        <v>3017720</v>
      </c>
      <c r="E2157" s="36" t="s">
        <v>656</v>
      </c>
      <c r="F2157" s="36" t="s">
        <v>115</v>
      </c>
    </row>
    <row r="2158" spans="1:6">
      <c r="A2158" s="38">
        <v>45279.15625</v>
      </c>
      <c r="B2158" s="39">
        <v>1254.6800537109375</v>
      </c>
      <c r="C2158" s="39">
        <v>1218.9205322265625</v>
      </c>
      <c r="D2158" s="41">
        <v>1637195</v>
      </c>
      <c r="E2158" s="36" t="s">
        <v>656</v>
      </c>
      <c r="F2158" s="36" t="s">
        <v>115</v>
      </c>
    </row>
    <row r="2159" spans="1:6">
      <c r="A2159" s="38">
        <v>45280.15625</v>
      </c>
      <c r="B2159" s="39">
        <v>1207.81005859375</v>
      </c>
      <c r="C2159" s="39">
        <v>1173.3863525390625</v>
      </c>
      <c r="D2159" s="41">
        <v>2427650</v>
      </c>
      <c r="E2159" s="36" t="s">
        <v>656</v>
      </c>
      <c r="F2159" s="36" t="s">
        <v>115</v>
      </c>
    </row>
    <row r="2160" spans="1:6">
      <c r="A2160" s="38">
        <v>45281.15625</v>
      </c>
      <c r="B2160" s="39">
        <v>1225.5799560546875</v>
      </c>
      <c r="C2160" s="39">
        <v>1190.6495361328125</v>
      </c>
      <c r="D2160" s="41">
        <v>1833485</v>
      </c>
      <c r="E2160" s="36" t="s">
        <v>656</v>
      </c>
      <c r="F2160" s="36" t="s">
        <v>115</v>
      </c>
    </row>
    <row r="2161" spans="1:6">
      <c r="A2161" s="38">
        <v>45282.15625</v>
      </c>
      <c r="B2161" s="39">
        <v>1258.0400390625</v>
      </c>
      <c r="C2161" s="39">
        <v>1222.1845703125</v>
      </c>
      <c r="D2161" s="41">
        <v>2385155</v>
      </c>
      <c r="E2161" s="36" t="s">
        <v>656</v>
      </c>
      <c r="F2161" s="36" t="s">
        <v>115</v>
      </c>
    </row>
    <row r="2162" spans="1:6">
      <c r="A2162" s="38">
        <v>45286.15625</v>
      </c>
      <c r="B2162" s="39">
        <v>1255.2099609375</v>
      </c>
      <c r="C2162" s="39">
        <v>1219.43505859375</v>
      </c>
      <c r="D2162" s="41">
        <v>1282880</v>
      </c>
      <c r="E2162" s="36" t="s">
        <v>656</v>
      </c>
      <c r="F2162" s="36" t="s">
        <v>115</v>
      </c>
    </row>
    <row r="2163" spans="1:6">
      <c r="A2163" s="38">
        <v>45287.15625</v>
      </c>
      <c r="B2163" s="39">
        <v>1259.8800048828125</v>
      </c>
      <c r="C2163" s="39">
        <v>1223.97216796875</v>
      </c>
      <c r="D2163" s="41">
        <v>1743700</v>
      </c>
      <c r="E2163" s="36" t="s">
        <v>656</v>
      </c>
      <c r="F2163" s="36" t="s">
        <v>115</v>
      </c>
    </row>
    <row r="2164" spans="1:6">
      <c r="A2164" s="38">
        <v>45288.15625</v>
      </c>
      <c r="B2164" s="39">
        <v>1254.469970703125</v>
      </c>
      <c r="C2164" s="39">
        <v>1218.7161865234375</v>
      </c>
      <c r="D2164" s="41">
        <v>1604550</v>
      </c>
      <c r="E2164" s="36" t="s">
        <v>656</v>
      </c>
      <c r="F2164" s="36" t="s">
        <v>115</v>
      </c>
    </row>
    <row r="2165" spans="1:6">
      <c r="A2165" s="38">
        <v>45289.15625</v>
      </c>
      <c r="B2165" s="39">
        <v>1254.8800048828125</v>
      </c>
      <c r="C2165" s="39">
        <v>1219.1143798828125</v>
      </c>
      <c r="D2165" s="41">
        <v>1102815</v>
      </c>
      <c r="E2165" s="36" t="s">
        <v>656</v>
      </c>
      <c r="F2165" s="36" t="s">
        <v>115</v>
      </c>
    </row>
    <row r="2166" spans="1:6">
      <c r="A2166" s="38">
        <v>45292.15625</v>
      </c>
      <c r="B2166" s="39">
        <v>1238.510009765625</v>
      </c>
      <c r="C2166" s="39">
        <v>1203.211181640625</v>
      </c>
      <c r="D2166" s="41">
        <v>918210</v>
      </c>
      <c r="E2166" s="36" t="s">
        <v>656</v>
      </c>
      <c r="F2166" s="36" t="s">
        <v>115</v>
      </c>
    </row>
    <row r="2167" spans="1:6">
      <c r="A2167" s="38">
        <v>45293.15625</v>
      </c>
      <c r="B2167" s="39">
        <v>1207.6600341796875</v>
      </c>
      <c r="C2167" s="39">
        <v>1173.2403564453125</v>
      </c>
      <c r="D2167" s="41">
        <v>1578815</v>
      </c>
      <c r="E2167" s="36" t="s">
        <v>656</v>
      </c>
      <c r="F2167" s="36" t="s">
        <v>115</v>
      </c>
    </row>
    <row r="2168" spans="1:6">
      <c r="A2168" s="38">
        <v>45294.15625</v>
      </c>
      <c r="B2168" s="39">
        <v>1185.6400146484375</v>
      </c>
      <c r="C2168" s="39">
        <v>1151.847900390625</v>
      </c>
      <c r="D2168" s="41">
        <v>2001430</v>
      </c>
      <c r="E2168" s="36" t="s">
        <v>656</v>
      </c>
      <c r="F2168" s="36" t="s">
        <v>115</v>
      </c>
    </row>
    <row r="2169" spans="1:6">
      <c r="A2169" s="38">
        <v>45295.15625</v>
      </c>
      <c r="B2169" s="39">
        <v>1190.81005859375</v>
      </c>
      <c r="C2169" s="39">
        <v>1156.87060546875</v>
      </c>
      <c r="D2169" s="41">
        <v>1050200</v>
      </c>
      <c r="E2169" s="36" t="s">
        <v>656</v>
      </c>
      <c r="F2169" s="36" t="s">
        <v>115</v>
      </c>
    </row>
    <row r="2170" spans="1:6">
      <c r="A2170" s="38">
        <v>45296.15625</v>
      </c>
      <c r="B2170" s="39">
        <v>1215.27001953125</v>
      </c>
      <c r="C2170" s="39">
        <v>1180.6334228515625</v>
      </c>
      <c r="D2170" s="41">
        <v>2494015</v>
      </c>
      <c r="E2170" s="36" t="s">
        <v>656</v>
      </c>
      <c r="F2170" s="36" t="s">
        <v>115</v>
      </c>
    </row>
    <row r="2171" spans="1:6">
      <c r="A2171" s="38">
        <v>45299.15625</v>
      </c>
      <c r="B2171" s="39">
        <v>1212.0999755859375</v>
      </c>
      <c r="C2171" s="39">
        <v>1177.5535888671875</v>
      </c>
      <c r="D2171" s="41">
        <v>1656085</v>
      </c>
      <c r="E2171" s="36" t="s">
        <v>656</v>
      </c>
      <c r="F2171" s="36" t="s">
        <v>115</v>
      </c>
    </row>
    <row r="2172" spans="1:6">
      <c r="A2172" s="38">
        <v>45300.15625</v>
      </c>
      <c r="B2172" s="39">
        <v>1213.5699462890625</v>
      </c>
      <c r="C2172" s="39">
        <v>1178.9818115234375</v>
      </c>
      <c r="D2172" s="41">
        <v>2117425</v>
      </c>
      <c r="E2172" s="36" t="s">
        <v>656</v>
      </c>
      <c r="F2172" s="36" t="s">
        <v>115</v>
      </c>
    </row>
    <row r="2173" spans="1:6">
      <c r="A2173" s="38">
        <v>45301.15625</v>
      </c>
      <c r="B2173" s="39">
        <v>1230.449951171875</v>
      </c>
      <c r="C2173" s="39">
        <v>1195.380859375</v>
      </c>
      <c r="D2173" s="41">
        <v>1041225</v>
      </c>
      <c r="E2173" s="36" t="s">
        <v>656</v>
      </c>
      <c r="F2173" s="36" t="s">
        <v>115</v>
      </c>
    </row>
    <row r="2174" spans="1:6">
      <c r="A2174" s="38">
        <v>45302.15625</v>
      </c>
      <c r="B2174" s="39">
        <v>1247.6199951171875</v>
      </c>
      <c r="C2174" s="39">
        <v>1212.0614013671875</v>
      </c>
      <c r="D2174" s="41">
        <v>2156150</v>
      </c>
      <c r="E2174" s="36" t="s">
        <v>656</v>
      </c>
      <c r="F2174" s="36" t="s">
        <v>115</v>
      </c>
    </row>
    <row r="2175" spans="1:6">
      <c r="A2175" s="38">
        <v>45303.15625</v>
      </c>
      <c r="B2175" s="39">
        <v>1318.5400390625</v>
      </c>
      <c r="C2175" s="39">
        <v>1280.9603271484375</v>
      </c>
      <c r="D2175" s="41">
        <v>6263855</v>
      </c>
      <c r="E2175" s="36" t="s">
        <v>656</v>
      </c>
      <c r="F2175" s="36" t="s">
        <v>115</v>
      </c>
    </row>
    <row r="2176" spans="1:6">
      <c r="A2176" s="38">
        <v>45306.15625</v>
      </c>
      <c r="B2176" s="39">
        <v>1322.81005859375</v>
      </c>
      <c r="C2176" s="39">
        <v>1285.108642578125</v>
      </c>
      <c r="D2176" s="41">
        <v>3656810</v>
      </c>
      <c r="E2176" s="36" t="s">
        <v>656</v>
      </c>
      <c r="F2176" s="36" t="s">
        <v>115</v>
      </c>
    </row>
    <row r="2177" spans="1:6">
      <c r="A2177" s="38">
        <v>45307.15625</v>
      </c>
      <c r="B2177" s="39">
        <v>1319.4000244140625</v>
      </c>
      <c r="C2177" s="39">
        <v>1281.795654296875</v>
      </c>
      <c r="D2177" s="41">
        <v>1316845</v>
      </c>
      <c r="E2177" s="36" t="s">
        <v>656</v>
      </c>
      <c r="F2177" s="36" t="s">
        <v>115</v>
      </c>
    </row>
    <row r="2178" spans="1:6">
      <c r="A2178" s="38">
        <v>45308.15625</v>
      </c>
      <c r="B2178" s="39">
        <v>1325.3900146484375</v>
      </c>
      <c r="C2178" s="39">
        <v>1287.614990234375</v>
      </c>
      <c r="D2178" s="41">
        <v>1496950</v>
      </c>
      <c r="E2178" s="36" t="s">
        <v>656</v>
      </c>
      <c r="F2178" s="36" t="s">
        <v>115</v>
      </c>
    </row>
    <row r="2179" spans="1:6">
      <c r="A2179" s="38">
        <v>45309.15625</v>
      </c>
      <c r="B2179" s="39">
        <v>1297.3199462890625</v>
      </c>
      <c r="C2179" s="39">
        <v>1260.3450927734375</v>
      </c>
      <c r="D2179" s="41">
        <v>2706900</v>
      </c>
      <c r="E2179" s="36" t="s">
        <v>656</v>
      </c>
      <c r="F2179" s="36" t="s">
        <v>115</v>
      </c>
    </row>
    <row r="2180" spans="1:6">
      <c r="A2180" s="38">
        <v>45310.15625</v>
      </c>
      <c r="B2180" s="39">
        <v>1283.0699462890625</v>
      </c>
      <c r="C2180" s="39">
        <v>1246.5013427734375</v>
      </c>
      <c r="D2180" s="41">
        <v>2004735</v>
      </c>
      <c r="E2180" s="36" t="s">
        <v>656</v>
      </c>
      <c r="F2180" s="36" t="s">
        <v>115</v>
      </c>
    </row>
    <row r="2181" spans="1:6">
      <c r="A2181" s="38">
        <v>45314.15625</v>
      </c>
      <c r="B2181" s="39">
        <v>1240.3199462890625</v>
      </c>
      <c r="C2181" s="39">
        <v>1204.969482421875</v>
      </c>
      <c r="D2181" s="41">
        <v>3445010</v>
      </c>
      <c r="E2181" s="36" t="s">
        <v>656</v>
      </c>
      <c r="F2181" s="36" t="s">
        <v>115</v>
      </c>
    </row>
    <row r="2182" spans="1:6">
      <c r="A2182" s="38">
        <v>45315.15625</v>
      </c>
      <c r="B2182" s="39">
        <v>1273.8399658203125</v>
      </c>
      <c r="C2182" s="39">
        <v>1237.5343017578125</v>
      </c>
      <c r="D2182" s="41">
        <v>1727660</v>
      </c>
      <c r="E2182" s="36" t="s">
        <v>656</v>
      </c>
      <c r="F2182" s="36" t="s">
        <v>115</v>
      </c>
    </row>
    <row r="2183" spans="1:6">
      <c r="A2183" s="38">
        <v>45316.15625</v>
      </c>
      <c r="B2183" s="39">
        <v>1241.010009765625</v>
      </c>
      <c r="C2183" s="39">
        <v>1205.639892578125</v>
      </c>
      <c r="D2183" s="41">
        <v>1960480</v>
      </c>
      <c r="E2183" s="36" t="s">
        <v>656</v>
      </c>
      <c r="F2183" s="36" t="s">
        <v>115</v>
      </c>
    </row>
    <row r="2184" spans="1:6">
      <c r="A2184" s="38">
        <v>45320.15625</v>
      </c>
      <c r="B2184" s="39">
        <v>1250.949951171875</v>
      </c>
      <c r="C2184" s="39">
        <v>1215.296630859375</v>
      </c>
      <c r="D2184" s="41">
        <v>2118880</v>
      </c>
      <c r="E2184" s="36" t="s">
        <v>656</v>
      </c>
      <c r="F2184" s="36" t="s">
        <v>115</v>
      </c>
    </row>
    <row r="2185" spans="1:6">
      <c r="A2185" s="38">
        <v>45321.15625</v>
      </c>
      <c r="B2185" s="39">
        <v>1248.9599609375</v>
      </c>
      <c r="C2185" s="39">
        <v>1213.3631591796875</v>
      </c>
      <c r="D2185" s="41">
        <v>2734175</v>
      </c>
      <c r="E2185" s="36" t="s">
        <v>656</v>
      </c>
      <c r="F2185" s="36" t="s">
        <v>115</v>
      </c>
    </row>
    <row r="2186" spans="1:6">
      <c r="A2186" s="38">
        <v>45322.15625</v>
      </c>
      <c r="B2186" s="39">
        <v>1250.02001953125</v>
      </c>
      <c r="C2186" s="39">
        <v>1214.3931884765625</v>
      </c>
      <c r="D2186" s="41">
        <v>1686460</v>
      </c>
      <c r="E2186" s="36" t="s">
        <v>656</v>
      </c>
      <c r="F2186" s="36" t="s">
        <v>115</v>
      </c>
    </row>
    <row r="2187" spans="1:6">
      <c r="A2187" s="38">
        <v>45323.15625</v>
      </c>
      <c r="B2187" s="39">
        <v>1233.949951171875</v>
      </c>
      <c r="C2187" s="39">
        <v>1198.781005859375</v>
      </c>
      <c r="D2187" s="41">
        <v>1452080</v>
      </c>
      <c r="E2187" s="36" t="s">
        <v>656</v>
      </c>
      <c r="F2187" s="36" t="s">
        <v>115</v>
      </c>
    </row>
    <row r="2188" spans="1:6">
      <c r="A2188" s="38">
        <v>45324.15625</v>
      </c>
      <c r="B2188" s="39">
        <v>1285.0699462890625</v>
      </c>
      <c r="C2188" s="39">
        <v>1248.444091796875</v>
      </c>
      <c r="D2188" s="41">
        <v>2593560</v>
      </c>
      <c r="E2188" s="36" t="s">
        <v>656</v>
      </c>
      <c r="F2188" s="36" t="s">
        <v>115</v>
      </c>
    </row>
    <row r="2189" spans="1:6">
      <c r="A2189" s="38">
        <v>45327.15625</v>
      </c>
      <c r="B2189" s="39">
        <v>1273.260009765625</v>
      </c>
      <c r="C2189" s="39">
        <v>1240.6395263671875</v>
      </c>
      <c r="D2189" s="41">
        <v>2153925</v>
      </c>
      <c r="E2189" s="36" t="s">
        <v>656</v>
      </c>
      <c r="F2189" s="36" t="s">
        <v>115</v>
      </c>
    </row>
    <row r="2190" spans="1:6">
      <c r="A2190" s="38">
        <v>45328.15625</v>
      </c>
      <c r="B2190" s="39">
        <v>1312.1600341796875</v>
      </c>
      <c r="C2190" s="39">
        <v>1278.5428466796875</v>
      </c>
      <c r="D2190" s="41">
        <v>2174960</v>
      </c>
      <c r="E2190" s="36" t="s">
        <v>656</v>
      </c>
      <c r="F2190" s="36" t="s">
        <v>115</v>
      </c>
    </row>
    <row r="2191" spans="1:6">
      <c r="A2191" s="38">
        <v>45329.15625</v>
      </c>
      <c r="B2191" s="39">
        <v>1316.699951171875</v>
      </c>
      <c r="C2191" s="39">
        <v>1282.96630859375</v>
      </c>
      <c r="D2191" s="41">
        <v>1188930</v>
      </c>
      <c r="E2191" s="36" t="s">
        <v>656</v>
      </c>
      <c r="F2191" s="36" t="s">
        <v>115</v>
      </c>
    </row>
    <row r="2192" spans="1:6">
      <c r="A2192" s="38">
        <v>45330.15625</v>
      </c>
      <c r="B2192" s="39">
        <v>1321.6700439453125</v>
      </c>
      <c r="C2192" s="39">
        <v>1287.80908203125</v>
      </c>
      <c r="D2192" s="41">
        <v>819815</v>
      </c>
      <c r="E2192" s="36" t="s">
        <v>656</v>
      </c>
      <c r="F2192" s="36" t="s">
        <v>115</v>
      </c>
    </row>
    <row r="2193" spans="1:6">
      <c r="A2193" s="38">
        <v>45331.15625</v>
      </c>
      <c r="B2193" s="39">
        <v>1300.1500244140625</v>
      </c>
      <c r="C2193" s="39">
        <v>1266.8404541015625</v>
      </c>
      <c r="D2193" s="41">
        <v>914395</v>
      </c>
      <c r="E2193" s="36" t="s">
        <v>656</v>
      </c>
      <c r="F2193" s="36" t="s">
        <v>115</v>
      </c>
    </row>
    <row r="2194" spans="1:6">
      <c r="A2194" s="38">
        <v>45334.15625</v>
      </c>
      <c r="B2194" s="39">
        <v>1333.239990234375</v>
      </c>
      <c r="C2194" s="39">
        <v>1299.0826416015625</v>
      </c>
      <c r="D2194" s="41">
        <v>4405265</v>
      </c>
      <c r="E2194" s="36" t="s">
        <v>656</v>
      </c>
      <c r="F2194" s="36" t="s">
        <v>115</v>
      </c>
    </row>
    <row r="2195" spans="1:6">
      <c r="A2195" s="38">
        <v>45335.15625</v>
      </c>
      <c r="B2195" s="39">
        <v>1332.3800048828125</v>
      </c>
      <c r="C2195" s="39">
        <v>1298.24462890625</v>
      </c>
      <c r="D2195" s="41">
        <v>1783135</v>
      </c>
      <c r="E2195" s="36" t="s">
        <v>656</v>
      </c>
      <c r="F2195" s="36" t="s">
        <v>115</v>
      </c>
    </row>
    <row r="2196" spans="1:6">
      <c r="A2196" s="38">
        <v>45336.15625</v>
      </c>
      <c r="B2196" s="39">
        <v>1294.4300537109375</v>
      </c>
      <c r="C2196" s="39">
        <v>1261.26708984375</v>
      </c>
      <c r="D2196" s="41">
        <v>1679355</v>
      </c>
      <c r="E2196" s="36" t="s">
        <v>656</v>
      </c>
      <c r="F2196" s="36" t="s">
        <v>115</v>
      </c>
    </row>
    <row r="2197" spans="1:6">
      <c r="A2197" s="38">
        <v>45337.15625</v>
      </c>
      <c r="B2197" s="39">
        <v>1328.9599609375</v>
      </c>
      <c r="C2197" s="39">
        <v>1294.9124755859375</v>
      </c>
      <c r="D2197" s="41">
        <v>855410</v>
      </c>
      <c r="E2197" s="36" t="s">
        <v>656</v>
      </c>
      <c r="F2197" s="36" t="s">
        <v>115</v>
      </c>
    </row>
    <row r="2198" spans="1:6">
      <c r="A2198" s="38">
        <v>45338.15625</v>
      </c>
      <c r="B2198" s="39">
        <v>1333.0799560546875</v>
      </c>
      <c r="C2198" s="39">
        <v>1298.927001953125</v>
      </c>
      <c r="D2198" s="41">
        <v>1598340</v>
      </c>
      <c r="E2198" s="36" t="s">
        <v>656</v>
      </c>
      <c r="F2198" s="36" t="s">
        <v>115</v>
      </c>
    </row>
    <row r="2199" spans="1:6">
      <c r="A2199" s="38">
        <v>45341.15625</v>
      </c>
      <c r="B2199" s="39">
        <v>1350.97998046875</v>
      </c>
      <c r="C2199" s="39">
        <v>1316.367919921875</v>
      </c>
      <c r="D2199" s="41">
        <v>1852195</v>
      </c>
      <c r="E2199" s="36" t="s">
        <v>656</v>
      </c>
      <c r="F2199" s="36" t="s">
        <v>115</v>
      </c>
    </row>
    <row r="2200" spans="1:6">
      <c r="A2200" s="38">
        <v>45342.15625</v>
      </c>
      <c r="B2200" s="39">
        <v>1330.68994140625</v>
      </c>
      <c r="C2200" s="39">
        <v>1296.5980224609375</v>
      </c>
      <c r="D2200" s="41">
        <v>1426065</v>
      </c>
      <c r="E2200" s="36" t="s">
        <v>656</v>
      </c>
      <c r="F2200" s="36" t="s">
        <v>115</v>
      </c>
    </row>
    <row r="2201" spans="1:6">
      <c r="A2201" s="38">
        <v>45343.15625</v>
      </c>
      <c r="B2201" s="39">
        <v>1309.199951171875</v>
      </c>
      <c r="C2201" s="39">
        <v>1275.658447265625</v>
      </c>
      <c r="D2201" s="41">
        <v>1516810</v>
      </c>
      <c r="E2201" s="36" t="s">
        <v>656</v>
      </c>
      <c r="F2201" s="36" t="s">
        <v>115</v>
      </c>
    </row>
    <row r="2202" spans="1:6">
      <c r="A2202" s="38">
        <v>45344.15625</v>
      </c>
      <c r="B2202" s="39">
        <v>1323.5400390625</v>
      </c>
      <c r="C2202" s="39">
        <v>1289.63134765625</v>
      </c>
      <c r="D2202" s="41">
        <v>992895</v>
      </c>
      <c r="E2202" s="36" t="s">
        <v>656</v>
      </c>
      <c r="F2202" s="36" t="s">
        <v>115</v>
      </c>
    </row>
    <row r="2203" spans="1:6">
      <c r="A2203" s="38">
        <v>45345.15625</v>
      </c>
      <c r="B2203" s="39">
        <v>1321.199951171875</v>
      </c>
      <c r="C2203" s="39">
        <v>1287.3509521484375</v>
      </c>
      <c r="D2203" s="41">
        <v>980260</v>
      </c>
      <c r="E2203" s="36" t="s">
        <v>656</v>
      </c>
      <c r="F2203" s="36" t="s">
        <v>115</v>
      </c>
    </row>
    <row r="2204" spans="1:6">
      <c r="A2204" s="38">
        <v>45348.15625</v>
      </c>
      <c r="B2204" s="39">
        <v>1318.6800537109375</v>
      </c>
      <c r="C2204" s="39">
        <v>1284.8956298828125</v>
      </c>
      <c r="D2204" s="41">
        <v>3776895</v>
      </c>
      <c r="E2204" s="36" t="s">
        <v>656</v>
      </c>
      <c r="F2204" s="36" t="s">
        <v>115</v>
      </c>
    </row>
    <row r="2205" spans="1:6">
      <c r="A2205" s="38">
        <v>45349.15625</v>
      </c>
      <c r="B2205" s="39">
        <v>1312.31005859375</v>
      </c>
      <c r="C2205" s="39">
        <v>1278.68896484375</v>
      </c>
      <c r="D2205" s="41">
        <v>564300</v>
      </c>
      <c r="E2205" s="36" t="s">
        <v>656</v>
      </c>
      <c r="F2205" s="36" t="s">
        <v>115</v>
      </c>
    </row>
    <row r="2206" spans="1:6">
      <c r="A2206" s="38">
        <v>45350.15625</v>
      </c>
      <c r="B2206" s="39">
        <v>1292.9300537109375</v>
      </c>
      <c r="C2206" s="39">
        <v>1259.805419921875</v>
      </c>
      <c r="D2206" s="41">
        <v>963435</v>
      </c>
      <c r="E2206" s="36" t="s">
        <v>656</v>
      </c>
      <c r="F2206" s="36" t="s">
        <v>115</v>
      </c>
    </row>
    <row r="2207" spans="1:6">
      <c r="A2207" s="38">
        <v>45351.15625</v>
      </c>
      <c r="B2207" s="39">
        <v>1310.81005859375</v>
      </c>
      <c r="C2207" s="39">
        <v>1277.227294921875</v>
      </c>
      <c r="D2207" s="41">
        <v>1012390</v>
      </c>
      <c r="E2207" s="36" t="s">
        <v>656</v>
      </c>
      <c r="F2207" s="36" t="s">
        <v>115</v>
      </c>
    </row>
    <row r="2208" spans="1:6">
      <c r="A2208" s="38">
        <v>45352.15625</v>
      </c>
      <c r="B2208" s="39">
        <v>1300.93994140625</v>
      </c>
      <c r="C2208" s="39">
        <v>1267.610107421875</v>
      </c>
      <c r="D2208" s="41">
        <v>2378335</v>
      </c>
      <c r="E2208" s="36" t="s">
        <v>656</v>
      </c>
      <c r="F2208" s="36" t="s">
        <v>115</v>
      </c>
    </row>
    <row r="2209" spans="1:6">
      <c r="A2209" s="38">
        <v>45355.15625</v>
      </c>
      <c r="B2209" s="39">
        <v>1288.5400390625</v>
      </c>
      <c r="C2209" s="39">
        <v>1255.5279541015625</v>
      </c>
      <c r="D2209" s="41">
        <v>2231405</v>
      </c>
      <c r="E2209" s="36" t="s">
        <v>656</v>
      </c>
      <c r="F2209" s="36" t="s">
        <v>115</v>
      </c>
    </row>
    <row r="2210" spans="1:6">
      <c r="A2210" s="38">
        <v>45356.15625</v>
      </c>
      <c r="B2210" s="39">
        <v>1263.2900390625</v>
      </c>
      <c r="C2210" s="39">
        <v>1230.9249267578125</v>
      </c>
      <c r="D2210" s="41">
        <v>1326225</v>
      </c>
      <c r="E2210" s="36" t="s">
        <v>656</v>
      </c>
      <c r="F2210" s="36" t="s">
        <v>115</v>
      </c>
    </row>
    <row r="2211" spans="1:6">
      <c r="A2211" s="38">
        <v>45357.15625</v>
      </c>
      <c r="B2211" s="39">
        <v>1264.6600341796875</v>
      </c>
      <c r="C2211" s="39">
        <v>1232.2596435546875</v>
      </c>
      <c r="D2211" s="41">
        <v>2146995</v>
      </c>
      <c r="E2211" s="36" t="s">
        <v>656</v>
      </c>
      <c r="F2211" s="36" t="s">
        <v>115</v>
      </c>
    </row>
    <row r="2212" spans="1:6">
      <c r="A2212" s="38">
        <v>45358.15625</v>
      </c>
      <c r="B2212" s="39">
        <v>1250.739990234375</v>
      </c>
      <c r="C2212" s="39">
        <v>1218.6962890625</v>
      </c>
      <c r="D2212" s="41">
        <v>1167230</v>
      </c>
      <c r="E2212" s="36" t="s">
        <v>656</v>
      </c>
      <c r="F2212" s="36" t="s">
        <v>115</v>
      </c>
    </row>
    <row r="2213" spans="1:6">
      <c r="A2213" s="38">
        <v>45362.15625</v>
      </c>
      <c r="B2213" s="39">
        <v>1249.530029296875</v>
      </c>
      <c r="C2213" s="39">
        <v>1217.5172119140625</v>
      </c>
      <c r="D2213" s="41">
        <v>2434635</v>
      </c>
      <c r="E2213" s="36" t="s">
        <v>656</v>
      </c>
      <c r="F2213" s="36" t="s">
        <v>115</v>
      </c>
    </row>
    <row r="2214" spans="1:6">
      <c r="A2214" s="38">
        <v>45363.15625</v>
      </c>
      <c r="B2214" s="39">
        <v>1252.72998046875</v>
      </c>
      <c r="C2214" s="39">
        <v>1220.6353759765625</v>
      </c>
      <c r="D2214" s="41">
        <v>1385110</v>
      </c>
      <c r="E2214" s="36" t="s">
        <v>656</v>
      </c>
      <c r="F2214" s="36" t="s">
        <v>115</v>
      </c>
    </row>
    <row r="2215" spans="1:6">
      <c r="A2215" s="38">
        <v>45364.15625</v>
      </c>
      <c r="B2215" s="39">
        <v>1234.719970703125</v>
      </c>
      <c r="C2215" s="39">
        <v>1203.086669921875</v>
      </c>
      <c r="D2215" s="41">
        <v>1821000</v>
      </c>
      <c r="E2215" s="36" t="s">
        <v>656</v>
      </c>
      <c r="F2215" s="36" t="s">
        <v>115</v>
      </c>
    </row>
    <row r="2216" spans="1:6">
      <c r="A2216" s="38">
        <v>45365.15625</v>
      </c>
      <c r="B2216" s="39">
        <v>1217.52001953125</v>
      </c>
      <c r="C2216" s="39">
        <v>1186.327392578125</v>
      </c>
      <c r="D2216" s="41">
        <v>2196890</v>
      </c>
      <c r="E2216" s="36" t="s">
        <v>656</v>
      </c>
      <c r="F2216" s="36" t="s">
        <v>115</v>
      </c>
    </row>
    <row r="2217" spans="1:6">
      <c r="A2217" s="38">
        <v>45366.15625</v>
      </c>
      <c r="B2217" s="39">
        <v>1223.280029296875</v>
      </c>
      <c r="C2217" s="39">
        <v>1191.9398193359375</v>
      </c>
      <c r="D2217" s="41">
        <v>1051870</v>
      </c>
      <c r="E2217" s="36" t="s">
        <v>656</v>
      </c>
      <c r="F2217" s="36" t="s">
        <v>115</v>
      </c>
    </row>
    <row r="2218" spans="1:6">
      <c r="A2218" s="38">
        <v>45369.15625</v>
      </c>
      <c r="B2218" s="39">
        <v>1139.4300537109375</v>
      </c>
      <c r="C2218" s="39">
        <v>1110.238037109375</v>
      </c>
      <c r="D2218" s="41">
        <v>7168195</v>
      </c>
      <c r="E2218" s="36" t="s">
        <v>656</v>
      </c>
      <c r="F2218" s="36" t="s">
        <v>115</v>
      </c>
    </row>
    <row r="2219" spans="1:6">
      <c r="A2219" s="38">
        <v>45370.15625</v>
      </c>
      <c r="B2219" s="39">
        <v>1111.510009765625</v>
      </c>
      <c r="C2219" s="39">
        <v>1083.0333251953125</v>
      </c>
      <c r="D2219" s="41">
        <v>2974985</v>
      </c>
      <c r="E2219" s="36" t="s">
        <v>656</v>
      </c>
      <c r="F2219" s="36" t="s">
        <v>115</v>
      </c>
    </row>
    <row r="2220" spans="1:6">
      <c r="A2220" s="38">
        <v>45371.15625</v>
      </c>
      <c r="B2220" s="39">
        <v>1105.949951171875</v>
      </c>
      <c r="C2220" s="39">
        <v>1077.6158447265625</v>
      </c>
      <c r="D2220" s="41">
        <v>1674610</v>
      </c>
      <c r="E2220" s="36" t="s">
        <v>656</v>
      </c>
      <c r="F2220" s="36" t="s">
        <v>115</v>
      </c>
    </row>
    <row r="2221" spans="1:6">
      <c r="A2221" s="38">
        <v>45372.15625</v>
      </c>
      <c r="B2221" s="39">
        <v>1141.3499755859375</v>
      </c>
      <c r="C2221" s="39">
        <v>1112.10888671875</v>
      </c>
      <c r="D2221" s="41">
        <v>2961975</v>
      </c>
      <c r="E2221" s="36" t="s">
        <v>656</v>
      </c>
      <c r="F2221" s="36" t="s">
        <v>115</v>
      </c>
    </row>
    <row r="2222" spans="1:6">
      <c r="A2222" s="38">
        <v>45373.15625</v>
      </c>
      <c r="B2222" s="39">
        <v>1108.02001953125</v>
      </c>
      <c r="C2222" s="39">
        <v>1079.6329345703125</v>
      </c>
      <c r="D2222" s="41">
        <v>5279335</v>
      </c>
      <c r="E2222" s="36" t="s">
        <v>656</v>
      </c>
      <c r="F2222" s="36" t="s">
        <v>115</v>
      </c>
    </row>
    <row r="2223" spans="1:6">
      <c r="A2223" s="38">
        <v>45377.15625</v>
      </c>
      <c r="B2223" s="39">
        <v>1109.4599609375</v>
      </c>
      <c r="C2223" s="39">
        <v>1081.0357666015625</v>
      </c>
      <c r="D2223" s="41">
        <v>1030135</v>
      </c>
      <c r="E2223" s="36" t="s">
        <v>656</v>
      </c>
      <c r="F2223" s="36" t="s">
        <v>115</v>
      </c>
    </row>
    <row r="2224" spans="1:6">
      <c r="A2224" s="38">
        <v>45378.15625</v>
      </c>
      <c r="B2224" s="39">
        <v>1109.8499755859375</v>
      </c>
      <c r="C2224" s="39">
        <v>1081.4158935546875</v>
      </c>
      <c r="D2224" s="41">
        <v>1240445</v>
      </c>
      <c r="E2224" s="36" t="s">
        <v>656</v>
      </c>
      <c r="F2224" s="36" t="s">
        <v>115</v>
      </c>
    </row>
    <row r="2225" spans="1:6">
      <c r="A2225" s="38">
        <v>45379.15625</v>
      </c>
      <c r="B2225" s="39">
        <v>1100.489990234375</v>
      </c>
      <c r="C2225" s="39">
        <v>1072.2957763671875</v>
      </c>
      <c r="D2225" s="41">
        <v>1310940</v>
      </c>
      <c r="E2225" s="36" t="s">
        <v>656</v>
      </c>
      <c r="F2225" s="36" t="s">
        <v>115</v>
      </c>
    </row>
    <row r="2226" spans="1:6">
      <c r="A2226" s="38">
        <v>45383.15625</v>
      </c>
      <c r="B2226" s="39">
        <v>1096.81005859375</v>
      </c>
      <c r="C2226" s="39">
        <v>1068.7100830078125</v>
      </c>
      <c r="D2226" s="41">
        <v>2519550</v>
      </c>
      <c r="E2226" s="36" t="s">
        <v>657</v>
      </c>
      <c r="F2226" s="36" t="s">
        <v>115</v>
      </c>
    </row>
    <row r="2227" spans="1:6">
      <c r="A2227" s="38">
        <v>45384.15625</v>
      </c>
      <c r="B2227" s="39">
        <v>1111.25</v>
      </c>
      <c r="C2227" s="39">
        <v>1082.780029296875</v>
      </c>
      <c r="D2227" s="41">
        <v>911175</v>
      </c>
      <c r="E2227" s="36" t="s">
        <v>657</v>
      </c>
      <c r="F2227" s="36" t="s">
        <v>115</v>
      </c>
    </row>
    <row r="2228" spans="1:6">
      <c r="A2228" s="38">
        <v>45385.15625</v>
      </c>
      <c r="B2228" s="39">
        <v>1132.52001953125</v>
      </c>
      <c r="C2228" s="39">
        <v>1103.505126953125</v>
      </c>
      <c r="D2228" s="41">
        <v>3503930</v>
      </c>
      <c r="E2228" s="36" t="s">
        <v>657</v>
      </c>
      <c r="F2228" s="36" t="s">
        <v>115</v>
      </c>
    </row>
    <row r="2229" spans="1:6">
      <c r="A2229" s="38">
        <v>45386.15625</v>
      </c>
      <c r="B2229" s="39">
        <v>1163.8900146484375</v>
      </c>
      <c r="C2229" s="39">
        <v>1134.0714111328125</v>
      </c>
      <c r="D2229" s="41">
        <v>3238120</v>
      </c>
      <c r="E2229" s="36" t="s">
        <v>657</v>
      </c>
      <c r="F2229" s="36" t="s">
        <v>115</v>
      </c>
    </row>
    <row r="2230" spans="1:6">
      <c r="A2230" s="38">
        <v>45387.15625</v>
      </c>
      <c r="B2230" s="39">
        <v>1156.5799560546875</v>
      </c>
      <c r="C2230" s="39">
        <v>1126.94873046875</v>
      </c>
      <c r="D2230" s="41">
        <v>1113845</v>
      </c>
      <c r="E2230" s="36" t="s">
        <v>657</v>
      </c>
      <c r="F2230" s="36" t="s">
        <v>115</v>
      </c>
    </row>
    <row r="2231" spans="1:6">
      <c r="A2231" s="38">
        <v>45390.15625</v>
      </c>
      <c r="B2231" s="39">
        <v>1136.43994140625</v>
      </c>
      <c r="C2231" s="39">
        <v>1107.3245849609375</v>
      </c>
      <c r="D2231" s="41">
        <v>1955720</v>
      </c>
      <c r="E2231" s="36" t="s">
        <v>657</v>
      </c>
      <c r="F2231" s="36" t="s">
        <v>115</v>
      </c>
    </row>
    <row r="2232" spans="1:6">
      <c r="A2232" s="38">
        <v>45391.15625</v>
      </c>
      <c r="B2232" s="39">
        <v>1142.3299560546875</v>
      </c>
      <c r="C2232" s="39">
        <v>1113.0638427734375</v>
      </c>
      <c r="D2232" s="41">
        <v>1532080</v>
      </c>
      <c r="E2232" s="36" t="s">
        <v>657</v>
      </c>
      <c r="F2232" s="36" t="s">
        <v>115</v>
      </c>
    </row>
    <row r="2233" spans="1:6">
      <c r="A2233" s="38">
        <v>45392.15625</v>
      </c>
      <c r="B2233" s="39">
        <v>1140.489990234375</v>
      </c>
      <c r="C2233" s="39">
        <v>1111.2708740234375</v>
      </c>
      <c r="D2233" s="41">
        <v>723350</v>
      </c>
      <c r="E2233" s="36" t="s">
        <v>657</v>
      </c>
      <c r="F2233" s="36" t="s">
        <v>115</v>
      </c>
    </row>
    <row r="2234" spans="1:6">
      <c r="A2234" s="38">
        <v>45394.15625</v>
      </c>
      <c r="B2234" s="39">
        <v>1123.25</v>
      </c>
      <c r="C2234" s="39">
        <v>1094.4725341796875</v>
      </c>
      <c r="D2234" s="41">
        <v>1617440</v>
      </c>
      <c r="E2234" s="36" t="s">
        <v>657</v>
      </c>
      <c r="F2234" s="36" t="s">
        <v>115</v>
      </c>
    </row>
    <row r="2235" spans="1:6">
      <c r="A2235" s="38">
        <v>45397.15625</v>
      </c>
      <c r="B2235" s="39">
        <v>1079.239990234375</v>
      </c>
      <c r="C2235" s="39">
        <v>1051.5902099609375</v>
      </c>
      <c r="D2235" s="41">
        <v>2734590</v>
      </c>
      <c r="E2235" s="36" t="s">
        <v>657</v>
      </c>
      <c r="F2235" s="36" t="s">
        <v>115</v>
      </c>
    </row>
    <row r="2236" spans="1:6">
      <c r="A2236" s="38">
        <v>45398.15625</v>
      </c>
      <c r="B2236" s="39">
        <v>1041.97998046875</v>
      </c>
      <c r="C2236" s="39">
        <v>1015.2846069335938</v>
      </c>
      <c r="D2236" s="41">
        <v>2957755</v>
      </c>
      <c r="E2236" s="36" t="s">
        <v>657</v>
      </c>
      <c r="F2236" s="36" t="s">
        <v>115</v>
      </c>
    </row>
    <row r="2237" spans="1:6">
      <c r="A2237" s="38">
        <v>45400.15625</v>
      </c>
      <c r="B2237" s="39">
        <v>1041.3800048828125</v>
      </c>
      <c r="C2237" s="39">
        <v>1014.7000122070313</v>
      </c>
      <c r="D2237" s="41">
        <v>2657490</v>
      </c>
      <c r="E2237" s="36" t="s">
        <v>657</v>
      </c>
      <c r="F2237" s="36" t="s">
        <v>115</v>
      </c>
    </row>
    <row r="2238" spans="1:6">
      <c r="A2238" s="38">
        <v>45401.15625</v>
      </c>
      <c r="B2238" s="39">
        <v>1023.6300048828125</v>
      </c>
      <c r="C2238" s="39">
        <v>997.40484619140625</v>
      </c>
      <c r="D2238" s="41">
        <v>1707445</v>
      </c>
      <c r="E2238" s="36" t="s">
        <v>657</v>
      </c>
      <c r="F2238" s="36" t="s">
        <v>115</v>
      </c>
    </row>
    <row r="2239" spans="1:6">
      <c r="A2239" s="38">
        <v>45404.15625</v>
      </c>
      <c r="B2239" s="39">
        <v>1020.010009765625</v>
      </c>
      <c r="C2239" s="39">
        <v>993.8775634765625</v>
      </c>
      <c r="D2239" s="41">
        <v>1663210</v>
      </c>
      <c r="E2239" s="36" t="s">
        <v>657</v>
      </c>
      <c r="F2239" s="36" t="s">
        <v>115</v>
      </c>
    </row>
    <row r="2240" spans="1:6">
      <c r="A2240" s="38">
        <v>45405.15625</v>
      </c>
      <c r="B2240" s="39">
        <v>1043.4300537109375</v>
      </c>
      <c r="C2240" s="39">
        <v>1016.6975708007813</v>
      </c>
      <c r="D2240" s="41">
        <v>1311865</v>
      </c>
      <c r="E2240" s="36" t="s">
        <v>657</v>
      </c>
      <c r="F2240" s="36" t="s">
        <v>115</v>
      </c>
    </row>
    <row r="2241" spans="1:6">
      <c r="A2241" s="38">
        <v>45406.15625</v>
      </c>
      <c r="B2241" s="39">
        <v>1038.530029296875</v>
      </c>
      <c r="C2241" s="39">
        <v>1011.9231567382813</v>
      </c>
      <c r="D2241" s="41">
        <v>1028735</v>
      </c>
      <c r="E2241" s="36" t="s">
        <v>657</v>
      </c>
      <c r="F2241" s="36" t="s">
        <v>115</v>
      </c>
    </row>
    <row r="2242" spans="1:6">
      <c r="A2242" s="38">
        <v>45407.15625</v>
      </c>
      <c r="B2242" s="39">
        <v>1042.0999755859375</v>
      </c>
      <c r="C2242" s="39">
        <v>1015.401611328125</v>
      </c>
      <c r="D2242" s="41">
        <v>1384955</v>
      </c>
      <c r="E2242" s="36" t="s">
        <v>657</v>
      </c>
      <c r="F2242" s="36" t="s">
        <v>115</v>
      </c>
    </row>
    <row r="2243" spans="1:6">
      <c r="A2243" s="38">
        <v>45408.15625</v>
      </c>
      <c r="B2243" s="39">
        <v>1050.199951171875</v>
      </c>
      <c r="C2243" s="39">
        <v>1023.2940063476563</v>
      </c>
      <c r="D2243" s="41">
        <v>2578225</v>
      </c>
      <c r="E2243" s="36" t="s">
        <v>657</v>
      </c>
      <c r="F2243" s="36" t="s">
        <v>115</v>
      </c>
    </row>
    <row r="2244" spans="1:6">
      <c r="A2244" s="38">
        <v>45411.15625</v>
      </c>
      <c r="B2244" s="39">
        <v>1036.8399658203125</v>
      </c>
      <c r="C2244" s="39">
        <v>1010.2764282226563</v>
      </c>
      <c r="D2244" s="41">
        <v>1431600</v>
      </c>
      <c r="E2244" s="36" t="s">
        <v>657</v>
      </c>
      <c r="F2244" s="36" t="s">
        <v>115</v>
      </c>
    </row>
    <row r="2245" spans="1:6">
      <c r="A2245" s="38">
        <v>45412.15625</v>
      </c>
      <c r="B2245" s="39">
        <v>1020.6500244140625</v>
      </c>
      <c r="C2245" s="39">
        <v>994.50115966796875</v>
      </c>
      <c r="D2245" s="41">
        <v>1152285</v>
      </c>
      <c r="E2245" s="36" t="s">
        <v>657</v>
      </c>
      <c r="F2245" s="36" t="s">
        <v>115</v>
      </c>
    </row>
    <row r="2246" spans="1:6">
      <c r="A2246" s="38">
        <v>45414.15625</v>
      </c>
      <c r="B2246" s="39">
        <v>997.1400146484375</v>
      </c>
      <c r="C2246" s="39">
        <v>971.593505859375</v>
      </c>
      <c r="D2246" s="41">
        <v>2245685</v>
      </c>
      <c r="E2246" s="36" t="s">
        <v>657</v>
      </c>
      <c r="F2246" s="36" t="s">
        <v>115</v>
      </c>
    </row>
    <row r="2247" spans="1:6">
      <c r="A2247" s="38">
        <v>45415.15625</v>
      </c>
      <c r="B2247" s="39">
        <v>896.510009765625</v>
      </c>
      <c r="C2247" s="39">
        <v>873.54168701171875</v>
      </c>
      <c r="D2247" s="41">
        <v>24963640</v>
      </c>
      <c r="E2247" s="36" t="s">
        <v>657</v>
      </c>
      <c r="F2247" s="36" t="s">
        <v>115</v>
      </c>
    </row>
    <row r="2248" spans="1:6">
      <c r="A2248" s="38">
        <v>45418.15625</v>
      </c>
      <c r="B2248" s="39">
        <v>882.6099853515625</v>
      </c>
      <c r="C2248" s="39">
        <v>859.99774169921875</v>
      </c>
      <c r="D2248" s="41">
        <v>6533635</v>
      </c>
      <c r="E2248" s="36" t="s">
        <v>657</v>
      </c>
      <c r="F2248" s="36" t="s">
        <v>115</v>
      </c>
    </row>
    <row r="2249" spans="1:6">
      <c r="A2249" s="38">
        <v>45419.15625</v>
      </c>
      <c r="B2249" s="39">
        <v>883.83001708984375</v>
      </c>
      <c r="C2249" s="39">
        <v>861.18646240234375</v>
      </c>
      <c r="D2249" s="41">
        <v>5439190</v>
      </c>
      <c r="E2249" s="36" t="s">
        <v>657</v>
      </c>
      <c r="F2249" s="36" t="s">
        <v>115</v>
      </c>
    </row>
    <row r="2250" spans="1:6">
      <c r="A2250" s="38">
        <v>45420.15625</v>
      </c>
      <c r="B2250" s="39">
        <v>881.90997314453125</v>
      </c>
      <c r="C2250" s="39">
        <v>859.3155517578125</v>
      </c>
      <c r="D2250" s="41">
        <v>4448275</v>
      </c>
      <c r="E2250" s="36" t="s">
        <v>657</v>
      </c>
      <c r="F2250" s="36" t="s">
        <v>115</v>
      </c>
    </row>
    <row r="2251" spans="1:6">
      <c r="A2251" s="38">
        <v>45421.15625</v>
      </c>
      <c r="B2251" s="39">
        <v>860.3599853515625</v>
      </c>
      <c r="C2251" s="39">
        <v>838.31781005859375</v>
      </c>
      <c r="D2251" s="41">
        <v>4319315</v>
      </c>
      <c r="E2251" s="36" t="s">
        <v>657</v>
      </c>
      <c r="F2251" s="36" t="s">
        <v>115</v>
      </c>
    </row>
    <row r="2252" spans="1:6">
      <c r="A2252" s="38">
        <v>45422.15625</v>
      </c>
      <c r="B2252" s="39">
        <v>893.05999755859375</v>
      </c>
      <c r="C2252" s="39">
        <v>870.17999267578125</v>
      </c>
      <c r="D2252" s="41">
        <v>5118395</v>
      </c>
      <c r="E2252" s="36" t="s">
        <v>657</v>
      </c>
      <c r="F2252" s="36" t="s">
        <v>115</v>
      </c>
    </row>
    <row r="2253" spans="1:6">
      <c r="A2253" s="38">
        <v>45425.15625</v>
      </c>
      <c r="B2253" s="39">
        <v>906.969970703125</v>
      </c>
      <c r="C2253" s="39">
        <v>883.73358154296875</v>
      </c>
      <c r="D2253" s="41">
        <v>3735995</v>
      </c>
      <c r="E2253" s="36" t="s">
        <v>657</v>
      </c>
      <c r="F2253" s="36" t="s">
        <v>115</v>
      </c>
    </row>
    <row r="2254" spans="1:6">
      <c r="A2254" s="38">
        <v>45426.15625</v>
      </c>
      <c r="B2254" s="39">
        <v>911.8699951171875</v>
      </c>
      <c r="C2254" s="39">
        <v>888.50823974609375</v>
      </c>
      <c r="D2254" s="41">
        <v>2368155</v>
      </c>
      <c r="E2254" s="36" t="s">
        <v>657</v>
      </c>
      <c r="F2254" s="36" t="s">
        <v>115</v>
      </c>
    </row>
    <row r="2255" spans="1:6">
      <c r="A2255" s="38">
        <v>45427.15625</v>
      </c>
      <c r="B2255" s="39">
        <v>922.989990234375</v>
      </c>
      <c r="C2255" s="39">
        <v>903.10662841796875</v>
      </c>
      <c r="D2255" s="41">
        <v>2467700</v>
      </c>
      <c r="E2255" s="36" t="s">
        <v>657</v>
      </c>
      <c r="F2255" s="36" t="s">
        <v>115</v>
      </c>
    </row>
    <row r="2256" spans="1:6">
      <c r="A2256" s="38">
        <v>45428.15625</v>
      </c>
      <c r="B2256" s="39">
        <v>936.19000244140625</v>
      </c>
      <c r="C2256" s="39">
        <v>916.02227783203125</v>
      </c>
      <c r="D2256" s="41">
        <v>5213650</v>
      </c>
      <c r="E2256" s="36" t="s">
        <v>657</v>
      </c>
      <c r="F2256" s="36" t="s">
        <v>115</v>
      </c>
    </row>
    <row r="2257" spans="1:6">
      <c r="A2257" s="38">
        <v>45429.15625</v>
      </c>
      <c r="B2257" s="39">
        <v>942.52001953125</v>
      </c>
      <c r="C2257" s="39">
        <v>922.216064453125</v>
      </c>
      <c r="D2257" s="41">
        <v>3448525</v>
      </c>
      <c r="E2257" s="36" t="s">
        <v>657</v>
      </c>
      <c r="F2257" s="36" t="s">
        <v>115</v>
      </c>
    </row>
    <row r="2258" spans="1:6">
      <c r="A2258" s="38">
        <v>45433.15625</v>
      </c>
      <c r="B2258" s="39">
        <v>958.030029296875</v>
      </c>
      <c r="C2258" s="39">
        <v>937.3919677734375</v>
      </c>
      <c r="D2258" s="41">
        <v>2280030</v>
      </c>
      <c r="E2258" s="36" t="s">
        <v>657</v>
      </c>
      <c r="F2258" s="36" t="s">
        <v>115</v>
      </c>
    </row>
    <row r="2259" spans="1:6">
      <c r="A2259" s="38">
        <v>45434.15625</v>
      </c>
      <c r="B2259" s="39">
        <v>982.07000732421875</v>
      </c>
      <c r="C2259" s="39">
        <v>960.9139404296875</v>
      </c>
      <c r="D2259" s="41">
        <v>5513400</v>
      </c>
      <c r="E2259" s="36" t="s">
        <v>657</v>
      </c>
      <c r="F2259" s="36" t="s">
        <v>115</v>
      </c>
    </row>
    <row r="2260" spans="1:6">
      <c r="A2260" s="38">
        <v>45435.15625</v>
      </c>
      <c r="B2260" s="39">
        <v>1013.4099731445313</v>
      </c>
      <c r="C2260" s="39">
        <v>991.57879638671875</v>
      </c>
      <c r="D2260" s="41">
        <v>10093475</v>
      </c>
      <c r="E2260" s="36" t="s">
        <v>657</v>
      </c>
      <c r="F2260" s="36" t="s">
        <v>115</v>
      </c>
    </row>
    <row r="2261" spans="1:6">
      <c r="A2261" s="38">
        <v>45436.15625</v>
      </c>
      <c r="B2261" s="39">
        <v>1021.0900268554688</v>
      </c>
      <c r="C2261" s="39">
        <v>999.0933837890625</v>
      </c>
      <c r="D2261" s="41">
        <v>4285250</v>
      </c>
      <c r="E2261" s="36" t="s">
        <v>657</v>
      </c>
      <c r="F2261" s="36" t="s">
        <v>115</v>
      </c>
    </row>
    <row r="2262" spans="1:6">
      <c r="A2262" s="38">
        <v>45439.15625</v>
      </c>
      <c r="B2262" s="39">
        <v>1052.719970703125</v>
      </c>
      <c r="C2262" s="39">
        <v>1030.0419921875</v>
      </c>
      <c r="D2262" s="41">
        <v>7908550</v>
      </c>
      <c r="E2262" s="36" t="s">
        <v>657</v>
      </c>
      <c r="F2262" s="36" t="s">
        <v>115</v>
      </c>
    </row>
    <row r="2263" spans="1:6">
      <c r="A2263" s="38">
        <v>45440.15625</v>
      </c>
      <c r="B2263" s="39">
        <v>1029.25</v>
      </c>
      <c r="C2263" s="39">
        <v>1007.0776977539063</v>
      </c>
      <c r="D2263" s="41">
        <v>4198605</v>
      </c>
      <c r="E2263" s="36" t="s">
        <v>657</v>
      </c>
      <c r="F2263" s="36" t="s">
        <v>115</v>
      </c>
    </row>
    <row r="2264" spans="1:6">
      <c r="A2264" s="38">
        <v>45441.15625</v>
      </c>
      <c r="B2264" s="39">
        <v>1028.31005859375</v>
      </c>
      <c r="C2264" s="39">
        <v>1006.157958984375</v>
      </c>
      <c r="D2264" s="41">
        <v>3405655</v>
      </c>
      <c r="E2264" s="36" t="s">
        <v>657</v>
      </c>
      <c r="F2264" s="36" t="s">
        <v>115</v>
      </c>
    </row>
    <row r="2265" spans="1:6">
      <c r="A2265" s="38">
        <v>45442.15625</v>
      </c>
      <c r="B2265" s="39">
        <v>999.40997314453125</v>
      </c>
      <c r="C2265" s="39">
        <v>977.88043212890625</v>
      </c>
      <c r="D2265" s="41">
        <v>2353690</v>
      </c>
      <c r="E2265" s="36" t="s">
        <v>657</v>
      </c>
      <c r="F2265" s="36" t="s">
        <v>115</v>
      </c>
    </row>
    <row r="2266" spans="1:6">
      <c r="A2266" s="38">
        <v>45443.15625</v>
      </c>
      <c r="B2266" s="39">
        <v>994.20001220703125</v>
      </c>
      <c r="C2266" s="39">
        <v>972.78277587890625</v>
      </c>
      <c r="D2266" s="41">
        <v>1746525</v>
      </c>
      <c r="E2266" s="36" t="s">
        <v>657</v>
      </c>
      <c r="F2266" s="36" t="s">
        <v>115</v>
      </c>
    </row>
    <row r="2267" spans="1:6">
      <c r="A2267" s="38">
        <v>45446.15625</v>
      </c>
      <c r="B2267" s="39">
        <v>1003.3200073242188</v>
      </c>
      <c r="C2267" s="39">
        <v>981.7061767578125</v>
      </c>
      <c r="D2267" s="41">
        <v>4274130</v>
      </c>
      <c r="E2267" s="36" t="s">
        <v>657</v>
      </c>
      <c r="F2267" s="36" t="s">
        <v>115</v>
      </c>
    </row>
    <row r="2268" spans="1:6">
      <c r="A2268" s="38">
        <v>45447.15625</v>
      </c>
      <c r="B2268" s="39">
        <v>993.3900146484375</v>
      </c>
      <c r="C2268" s="39">
        <v>971.99005126953125</v>
      </c>
      <c r="D2268" s="41">
        <v>3130210</v>
      </c>
      <c r="E2268" s="36" t="s">
        <v>657</v>
      </c>
      <c r="F2268" s="36" t="s">
        <v>115</v>
      </c>
    </row>
    <row r="2269" spans="1:6">
      <c r="A2269" s="38">
        <v>45448.15625</v>
      </c>
      <c r="B2269" s="39">
        <v>1025.8199462890625</v>
      </c>
      <c r="C2269" s="39">
        <v>1003.721435546875</v>
      </c>
      <c r="D2269" s="41">
        <v>2013675</v>
      </c>
      <c r="E2269" s="36" t="s">
        <v>657</v>
      </c>
      <c r="F2269" s="36" t="s">
        <v>115</v>
      </c>
    </row>
    <row r="2270" spans="1:6">
      <c r="A2270" s="38">
        <v>45449.15625</v>
      </c>
      <c r="B2270" s="39">
        <v>1042.530029296875</v>
      </c>
      <c r="C2270" s="39">
        <v>1020.0715942382813</v>
      </c>
      <c r="D2270" s="41">
        <v>1604930</v>
      </c>
      <c r="E2270" s="36" t="s">
        <v>657</v>
      </c>
      <c r="F2270" s="36" t="s">
        <v>115</v>
      </c>
    </row>
    <row r="2271" spans="1:6">
      <c r="A2271" s="38">
        <v>45450.15625</v>
      </c>
      <c r="B2271" s="39">
        <v>1086.219970703125</v>
      </c>
      <c r="C2271" s="39">
        <v>1062.8203125</v>
      </c>
      <c r="D2271" s="41">
        <v>6181555</v>
      </c>
      <c r="E2271" s="36" t="s">
        <v>657</v>
      </c>
      <c r="F2271" s="36" t="s">
        <v>115</v>
      </c>
    </row>
    <row r="2272" spans="1:6">
      <c r="A2272" s="38">
        <v>45453.15625</v>
      </c>
      <c r="B2272" s="39">
        <v>1044.030029296875</v>
      </c>
      <c r="C2272" s="39">
        <v>1021.5391845703125</v>
      </c>
      <c r="D2272" s="41">
        <v>5088070</v>
      </c>
      <c r="E2272" s="36" t="s">
        <v>657</v>
      </c>
      <c r="F2272" s="36" t="s">
        <v>115</v>
      </c>
    </row>
    <row r="2273" spans="1:6">
      <c r="A2273" s="38">
        <v>45454.15625</v>
      </c>
      <c r="B2273" s="39">
        <v>1035.1700439453125</v>
      </c>
      <c r="C2273" s="39">
        <v>1012.8701171875</v>
      </c>
      <c r="D2273" s="41">
        <v>1870075</v>
      </c>
      <c r="E2273" s="36" t="s">
        <v>657</v>
      </c>
      <c r="F2273" s="36" t="s">
        <v>115</v>
      </c>
    </row>
    <row r="2274" spans="1:6">
      <c r="A2274" s="38">
        <v>45455.15625</v>
      </c>
      <c r="B2274" s="39">
        <v>1035.8399658203125</v>
      </c>
      <c r="C2274" s="39">
        <v>1013.5255737304688</v>
      </c>
      <c r="D2274" s="41">
        <v>1591970</v>
      </c>
      <c r="E2274" s="36" t="s">
        <v>657</v>
      </c>
      <c r="F2274" s="36" t="s">
        <v>115</v>
      </c>
    </row>
    <row r="2275" spans="1:6">
      <c r="A2275" s="38">
        <v>45456.15625</v>
      </c>
      <c r="B2275" s="39">
        <v>1054.6500244140625</v>
      </c>
      <c r="C2275" s="39">
        <v>1031.9306640625</v>
      </c>
      <c r="D2275" s="41">
        <v>2647075</v>
      </c>
      <c r="E2275" s="36" t="s">
        <v>657</v>
      </c>
      <c r="F2275" s="36" t="s">
        <v>115</v>
      </c>
    </row>
    <row r="2276" spans="1:6">
      <c r="A2276" s="38">
        <v>45457.15625</v>
      </c>
      <c r="B2276" s="39">
        <v>1040.3499755859375</v>
      </c>
      <c r="C2276" s="39">
        <v>1017.9385375976563</v>
      </c>
      <c r="D2276" s="41">
        <v>1772345</v>
      </c>
      <c r="E2276" s="36" t="s">
        <v>657</v>
      </c>
      <c r="F2276" s="36" t="s">
        <v>115</v>
      </c>
    </row>
    <row r="2277" spans="1:6">
      <c r="A2277" s="38">
        <v>45461.15625</v>
      </c>
      <c r="B2277" s="39">
        <v>1054.6199951171875</v>
      </c>
      <c r="C2277" s="39">
        <v>1031.90087890625</v>
      </c>
      <c r="D2277" s="41">
        <v>1999835</v>
      </c>
      <c r="E2277" s="36" t="s">
        <v>657</v>
      </c>
      <c r="F2277" s="36" t="s">
        <v>115</v>
      </c>
    </row>
    <row r="2278" spans="1:6">
      <c r="A2278" s="38">
        <v>45462.15625</v>
      </c>
      <c r="B2278" s="39">
        <v>1079.030029296875</v>
      </c>
      <c r="C2278" s="39">
        <v>1055.7850341796875</v>
      </c>
      <c r="D2278" s="41">
        <v>4288780</v>
      </c>
      <c r="E2278" s="36" t="s">
        <v>657</v>
      </c>
      <c r="F2278" s="36" t="s">
        <v>115</v>
      </c>
    </row>
    <row r="2279" spans="1:6">
      <c r="A2279" s="38">
        <v>45463.15625</v>
      </c>
      <c r="B2279" s="39">
        <v>1063.18994140625</v>
      </c>
      <c r="C2279" s="39">
        <v>1040.2864990234375</v>
      </c>
      <c r="D2279" s="41">
        <v>1346075</v>
      </c>
      <c r="E2279" s="36" t="s">
        <v>657</v>
      </c>
      <c r="F2279" s="36" t="s">
        <v>115</v>
      </c>
    </row>
    <row r="2280" spans="1:6">
      <c r="A2280" s="38">
        <v>45464.15625</v>
      </c>
      <c r="B2280" s="39">
        <v>1076.6800537109375</v>
      </c>
      <c r="C2280" s="39">
        <v>1053.4859619140625</v>
      </c>
      <c r="D2280" s="41">
        <v>5443680</v>
      </c>
      <c r="E2280" s="36" t="s">
        <v>657</v>
      </c>
      <c r="F2280" s="36" t="s">
        <v>115</v>
      </c>
    </row>
    <row r="2281" spans="1:6">
      <c r="A2281" s="38">
        <v>45467.15625</v>
      </c>
      <c r="B2281" s="39">
        <v>1070.3299560546875</v>
      </c>
      <c r="C2281" s="39">
        <v>1047.2725830078125</v>
      </c>
      <c r="D2281" s="41">
        <v>1803715</v>
      </c>
      <c r="E2281" s="36" t="s">
        <v>657</v>
      </c>
      <c r="F2281" s="36" t="s">
        <v>115</v>
      </c>
    </row>
    <row r="2282" spans="1:6">
      <c r="A2282" s="38">
        <v>45468.15625</v>
      </c>
      <c r="B2282" s="39">
        <v>1070.1300048828125</v>
      </c>
      <c r="C2282" s="39">
        <v>1047.076904296875</v>
      </c>
      <c r="D2282" s="41">
        <v>754355</v>
      </c>
      <c r="E2282" s="36" t="s">
        <v>657</v>
      </c>
      <c r="F2282" s="36" t="s">
        <v>115</v>
      </c>
    </row>
    <row r="2283" spans="1:6">
      <c r="A2283" s="38">
        <v>45469.15625</v>
      </c>
      <c r="B2283" s="39">
        <v>1065.0699462890625</v>
      </c>
      <c r="C2283" s="39">
        <v>1042.1259765625</v>
      </c>
      <c r="D2283" s="41">
        <v>2002155</v>
      </c>
      <c r="E2283" s="36" t="s">
        <v>657</v>
      </c>
      <c r="F2283" s="36" t="s">
        <v>115</v>
      </c>
    </row>
    <row r="2284" spans="1:6">
      <c r="A2284" s="38">
        <v>45470.15625</v>
      </c>
      <c r="B2284" s="39">
        <v>1087.800048828125</v>
      </c>
      <c r="C2284" s="39">
        <v>1064.3663330078125</v>
      </c>
      <c r="D2284" s="41">
        <v>2588010</v>
      </c>
      <c r="E2284" s="36" t="s">
        <v>657</v>
      </c>
      <c r="F2284" s="36" t="s">
        <v>115</v>
      </c>
    </row>
    <row r="2285" spans="1:6">
      <c r="A2285" s="38">
        <v>45471.15625</v>
      </c>
      <c r="B2285" s="39">
        <v>1091.760009765625</v>
      </c>
      <c r="C2285" s="39">
        <v>1068.2410888671875</v>
      </c>
      <c r="D2285" s="41">
        <v>3371570</v>
      </c>
      <c r="E2285" s="36" t="s">
        <v>657</v>
      </c>
      <c r="F2285" s="36" t="s">
        <v>115</v>
      </c>
    </row>
    <row r="2286" spans="1:6">
      <c r="A2286" s="38">
        <v>45474.15625</v>
      </c>
      <c r="B2286" s="39">
        <v>1103.6800537109375</v>
      </c>
      <c r="C2286" s="39">
        <v>1079.904296875</v>
      </c>
      <c r="D2286" s="41">
        <v>2398040</v>
      </c>
      <c r="E2286" s="36" t="s">
        <v>657</v>
      </c>
      <c r="F2286" s="36" t="s">
        <v>115</v>
      </c>
    </row>
    <row r="2287" spans="1:6">
      <c r="A2287" s="38">
        <v>45475.15625</v>
      </c>
      <c r="B2287" s="39">
        <v>1130.75</v>
      </c>
      <c r="C2287" s="39">
        <v>1106.390869140625</v>
      </c>
      <c r="D2287" s="41">
        <v>5516645</v>
      </c>
      <c r="E2287" s="36" t="s">
        <v>657</v>
      </c>
      <c r="F2287" s="36" t="s">
        <v>115</v>
      </c>
    </row>
    <row r="2288" spans="1:6">
      <c r="A2288" s="38">
        <v>45476.15625</v>
      </c>
      <c r="B2288" s="39">
        <v>1136.1800537109375</v>
      </c>
      <c r="C2288" s="39">
        <v>1111.7042236328125</v>
      </c>
      <c r="D2288" s="41">
        <v>1857385</v>
      </c>
      <c r="E2288" s="36" t="s">
        <v>657</v>
      </c>
      <c r="F2288" s="36" t="s">
        <v>115</v>
      </c>
    </row>
    <row r="2289" spans="1:6">
      <c r="A2289" s="38">
        <v>45477.15625</v>
      </c>
      <c r="B2289" s="39">
        <v>1179.739990234375</v>
      </c>
      <c r="C2289" s="39">
        <v>1154.3258056640625</v>
      </c>
      <c r="D2289" s="41">
        <v>5586295</v>
      </c>
      <c r="E2289" s="36" t="s">
        <v>657</v>
      </c>
      <c r="F2289" s="36" t="s">
        <v>115</v>
      </c>
    </row>
    <row r="2290" spans="1:6">
      <c r="A2290" s="38">
        <v>45478.15625</v>
      </c>
      <c r="B2290" s="39">
        <v>1174.030029296875</v>
      </c>
      <c r="C2290" s="39">
        <v>1148.73876953125</v>
      </c>
      <c r="D2290" s="41">
        <v>1601880</v>
      </c>
      <c r="E2290" s="36" t="s">
        <v>657</v>
      </c>
      <c r="F2290" s="36" t="s">
        <v>115</v>
      </c>
    </row>
    <row r="2291" spans="1:6">
      <c r="A2291" s="38">
        <v>45481.15625</v>
      </c>
      <c r="B2291" s="39">
        <v>1171.0899658203125</v>
      </c>
      <c r="C2291" s="39">
        <v>1145.8619384765625</v>
      </c>
      <c r="D2291" s="41">
        <v>3750055</v>
      </c>
      <c r="E2291" s="36" t="s">
        <v>657</v>
      </c>
      <c r="F2291" s="36" t="s">
        <v>115</v>
      </c>
    </row>
    <row r="2292" spans="1:6">
      <c r="A2292" s="38">
        <v>45482.15625</v>
      </c>
      <c r="B2292" s="39">
        <v>1152.1300048828125</v>
      </c>
      <c r="C2292" s="39">
        <v>1127.310546875</v>
      </c>
      <c r="D2292" s="41">
        <v>1506105</v>
      </c>
      <c r="E2292" s="36" t="s">
        <v>657</v>
      </c>
      <c r="F2292" s="36" t="s">
        <v>115</v>
      </c>
    </row>
    <row r="2293" spans="1:6">
      <c r="A2293" s="38">
        <v>45483.15625</v>
      </c>
      <c r="B2293" s="39">
        <v>1133.8199462890625</v>
      </c>
      <c r="C2293" s="39">
        <v>1109.3946533203125</v>
      </c>
      <c r="D2293" s="41">
        <v>1015255</v>
      </c>
      <c r="E2293" s="36" t="s">
        <v>657</v>
      </c>
      <c r="F2293" s="36" t="s">
        <v>115</v>
      </c>
    </row>
    <row r="2294" spans="1:6">
      <c r="A2294" s="38">
        <v>45484.15625</v>
      </c>
      <c r="B2294" s="39">
        <v>1112.699951171875</v>
      </c>
      <c r="C2294" s="39">
        <v>1088.729736328125</v>
      </c>
      <c r="D2294" s="41">
        <v>2507525</v>
      </c>
      <c r="E2294" s="36" t="s">
        <v>657</v>
      </c>
      <c r="F2294" s="36" t="s">
        <v>115</v>
      </c>
    </row>
    <row r="2295" spans="1:6">
      <c r="A2295" s="38">
        <v>45485.15625</v>
      </c>
      <c r="B2295" s="39">
        <v>1195.530029296875</v>
      </c>
      <c r="C2295" s="39">
        <v>1169.7755126953125</v>
      </c>
      <c r="D2295" s="41">
        <v>10862510</v>
      </c>
      <c r="E2295" s="36" t="s">
        <v>657</v>
      </c>
      <c r="F2295" s="36" t="s">
        <v>115</v>
      </c>
    </row>
    <row r="2296" spans="1:6">
      <c r="A2296" s="38">
        <v>45488.15625</v>
      </c>
      <c r="B2296" s="39">
        <v>1183.199951171875</v>
      </c>
      <c r="C2296" s="39">
        <v>1157.711181640625</v>
      </c>
      <c r="D2296" s="41">
        <v>2374055</v>
      </c>
      <c r="E2296" s="36" t="s">
        <v>657</v>
      </c>
      <c r="F2296" s="36" t="s">
        <v>115</v>
      </c>
    </row>
    <row r="2297" spans="1:6">
      <c r="A2297" s="38">
        <v>45489.15625</v>
      </c>
      <c r="B2297" s="39">
        <v>1179.3800048828125</v>
      </c>
      <c r="C2297" s="39">
        <v>1153.973388671875</v>
      </c>
      <c r="D2297" s="41">
        <v>2447050</v>
      </c>
      <c r="E2297" s="36" t="s">
        <v>657</v>
      </c>
      <c r="F2297" s="36" t="s">
        <v>115</v>
      </c>
    </row>
    <row r="2298" spans="1:6">
      <c r="A2298" s="38">
        <v>45491.15625</v>
      </c>
      <c r="B2298" s="39">
        <v>1199.52001953125</v>
      </c>
      <c r="C2298" s="39">
        <v>1173.6796875</v>
      </c>
      <c r="D2298" s="41">
        <v>3378415</v>
      </c>
      <c r="E2298" s="36" t="s">
        <v>657</v>
      </c>
      <c r="F2298" s="36" t="s">
        <v>115</v>
      </c>
    </row>
    <row r="2299" spans="1:6">
      <c r="A2299" s="38">
        <v>45492.15625</v>
      </c>
      <c r="B2299" s="39">
        <v>1196.75</v>
      </c>
      <c r="C2299" s="39">
        <v>1170.96923828125</v>
      </c>
      <c r="D2299" s="41">
        <v>3864545</v>
      </c>
      <c r="E2299" s="36" t="s">
        <v>657</v>
      </c>
      <c r="F2299" s="36" t="s">
        <v>115</v>
      </c>
    </row>
    <row r="2300" spans="1:6">
      <c r="A2300" s="38">
        <v>45495.15625</v>
      </c>
      <c r="B2300" s="39">
        <v>1215.239990234375</v>
      </c>
      <c r="C2300" s="39">
        <v>1189.0609130859375</v>
      </c>
      <c r="D2300" s="41">
        <v>5000235</v>
      </c>
      <c r="E2300" s="36" t="s">
        <v>657</v>
      </c>
      <c r="F2300" s="36" t="s">
        <v>115</v>
      </c>
    </row>
    <row r="2301" spans="1:6">
      <c r="A2301" s="38">
        <v>45496.15625</v>
      </c>
      <c r="B2301" s="39">
        <v>1235.8699951171875</v>
      </c>
      <c r="C2301" s="39">
        <v>1209.2464599609375</v>
      </c>
      <c r="D2301" s="41">
        <v>8592440</v>
      </c>
      <c r="E2301" s="36" t="s">
        <v>657</v>
      </c>
      <c r="F2301" s="36" t="s">
        <v>115</v>
      </c>
    </row>
    <row r="2302" spans="1:6">
      <c r="A2302" s="38">
        <v>45497.15625</v>
      </c>
      <c r="B2302" s="39">
        <v>1266.8199462890625</v>
      </c>
      <c r="C2302" s="39">
        <v>1239.5296630859375</v>
      </c>
      <c r="D2302" s="41">
        <v>3754390</v>
      </c>
      <c r="E2302" s="36" t="s">
        <v>657</v>
      </c>
      <c r="F2302" s="36" t="s">
        <v>115</v>
      </c>
    </row>
    <row r="2303" spans="1:6">
      <c r="A2303" s="38">
        <v>45498.15625</v>
      </c>
      <c r="B2303" s="39">
        <v>1264.3399658203125</v>
      </c>
      <c r="C2303" s="39">
        <v>1237.1031494140625</v>
      </c>
      <c r="D2303" s="41">
        <v>2186170</v>
      </c>
      <c r="E2303" s="36" t="s">
        <v>657</v>
      </c>
      <c r="F2303" s="36" t="s">
        <v>115</v>
      </c>
    </row>
    <row r="2304" spans="1:6">
      <c r="A2304" s="38">
        <v>45499.15625</v>
      </c>
      <c r="B2304" s="39">
        <v>1268.739990234375</v>
      </c>
      <c r="C2304" s="39">
        <v>1241.408447265625</v>
      </c>
      <c r="D2304" s="41">
        <v>1089620</v>
      </c>
      <c r="E2304" s="36" t="s">
        <v>657</v>
      </c>
      <c r="F2304" s="36" t="s">
        <v>115</v>
      </c>
    </row>
    <row r="2305" spans="1:6">
      <c r="A2305" s="38">
        <v>45502.15625</v>
      </c>
      <c r="B2305" s="39">
        <v>1262.68994140625</v>
      </c>
      <c r="C2305" s="39">
        <v>1235.4886474609375</v>
      </c>
      <c r="D2305" s="41">
        <v>1965655</v>
      </c>
      <c r="E2305" s="36" t="s">
        <v>657</v>
      </c>
      <c r="F2305" s="36" t="s">
        <v>115</v>
      </c>
    </row>
    <row r="2306" spans="1:6">
      <c r="A2306" s="38">
        <v>45503.15625</v>
      </c>
      <c r="B2306" s="39">
        <v>1262.5999755859375</v>
      </c>
      <c r="C2306" s="39">
        <v>1235.400634765625</v>
      </c>
      <c r="D2306" s="41">
        <v>745135</v>
      </c>
      <c r="E2306" s="36" t="s">
        <v>657</v>
      </c>
      <c r="F2306" s="36" t="s">
        <v>115</v>
      </c>
    </row>
    <row r="2307" spans="1:6">
      <c r="A2307" s="38">
        <v>45504.15625</v>
      </c>
      <c r="B2307" s="39">
        <v>1261.0999755859375</v>
      </c>
      <c r="C2307" s="39">
        <v>1233.93310546875</v>
      </c>
      <c r="D2307" s="41">
        <v>1029050</v>
      </c>
      <c r="E2307" s="36" t="s">
        <v>657</v>
      </c>
      <c r="F2307" s="36" t="s">
        <v>115</v>
      </c>
    </row>
    <row r="2308" spans="1:6">
      <c r="A2308" s="38">
        <v>45505.15625</v>
      </c>
      <c r="B2308" s="39">
        <v>1257.22998046875</v>
      </c>
      <c r="C2308" s="39">
        <v>1230.146240234375</v>
      </c>
      <c r="D2308" s="41">
        <v>1064450</v>
      </c>
      <c r="E2308" s="36" t="s">
        <v>657</v>
      </c>
      <c r="F2308" s="36" t="s">
        <v>115</v>
      </c>
    </row>
    <row r="2309" spans="1:6">
      <c r="A2309" s="38">
        <v>45506.15625</v>
      </c>
      <c r="B2309" s="39">
        <v>1216</v>
      </c>
      <c r="C2309" s="39">
        <v>1193.411376953125</v>
      </c>
      <c r="D2309" s="41">
        <v>1243530</v>
      </c>
      <c r="E2309" s="36" t="s">
        <v>657</v>
      </c>
      <c r="F2309" s="36" t="s">
        <v>115</v>
      </c>
    </row>
    <row r="2310" spans="1:6">
      <c r="A2310" s="38">
        <v>45509.15625</v>
      </c>
      <c r="B2310" s="39">
        <v>1179.4100341796875</v>
      </c>
      <c r="C2310" s="39">
        <v>1157.501220703125</v>
      </c>
      <c r="D2310" s="41">
        <v>3375805</v>
      </c>
      <c r="E2310" s="36" t="s">
        <v>657</v>
      </c>
      <c r="F2310" s="36" t="s">
        <v>115</v>
      </c>
    </row>
    <row r="2311" spans="1:6">
      <c r="A2311" s="38">
        <v>45510.15625</v>
      </c>
      <c r="B2311" s="39">
        <v>1179.199951171875</v>
      </c>
      <c r="C2311" s="39">
        <v>1157.29541015625</v>
      </c>
      <c r="D2311" s="41">
        <v>1871555</v>
      </c>
      <c r="E2311" s="36" t="s">
        <v>657</v>
      </c>
      <c r="F2311" s="36" t="s">
        <v>115</v>
      </c>
    </row>
    <row r="2312" spans="1:6">
      <c r="A2312" s="38">
        <v>45511.15625</v>
      </c>
      <c r="B2312" s="39">
        <v>1203.3399658203125</v>
      </c>
      <c r="C2312" s="39">
        <v>1180.98681640625</v>
      </c>
      <c r="D2312" s="41">
        <v>872730</v>
      </c>
      <c r="E2312" s="36" t="s">
        <v>657</v>
      </c>
      <c r="F2312" s="36" t="s">
        <v>115</v>
      </c>
    </row>
    <row r="2313" spans="1:6">
      <c r="A2313" s="38">
        <v>45512.15625</v>
      </c>
      <c r="B2313" s="39">
        <v>1169.02001953125</v>
      </c>
      <c r="C2313" s="39">
        <v>1147.304443359375</v>
      </c>
      <c r="D2313" s="41">
        <v>1343745</v>
      </c>
      <c r="E2313" s="36" t="s">
        <v>657</v>
      </c>
      <c r="F2313" s="36" t="s">
        <v>115</v>
      </c>
    </row>
    <row r="2314" spans="1:6">
      <c r="A2314" s="38">
        <v>45513.15625</v>
      </c>
      <c r="B2314" s="39">
        <v>1175.6800537109375</v>
      </c>
      <c r="C2314" s="39">
        <v>1153.8406982421875</v>
      </c>
      <c r="D2314" s="41">
        <v>1284175</v>
      </c>
      <c r="E2314" s="36" t="s">
        <v>657</v>
      </c>
      <c r="F2314" s="36" t="s">
        <v>115</v>
      </c>
    </row>
    <row r="2315" spans="1:6">
      <c r="A2315" s="38">
        <v>45516.15625</v>
      </c>
      <c r="B2315" s="39">
        <v>1174.9100341796875</v>
      </c>
      <c r="C2315" s="39">
        <v>1153.0848388671875</v>
      </c>
      <c r="D2315" s="41">
        <v>1708405</v>
      </c>
      <c r="E2315" s="36" t="s">
        <v>657</v>
      </c>
      <c r="F2315" s="36" t="s">
        <v>115</v>
      </c>
    </row>
    <row r="2316" spans="1:6">
      <c r="A2316" s="38">
        <v>45517.15625</v>
      </c>
      <c r="B2316" s="39">
        <v>1169.550048828125</v>
      </c>
      <c r="C2316" s="39">
        <v>1147.8245849609375</v>
      </c>
      <c r="D2316" s="41">
        <v>845485</v>
      </c>
      <c r="E2316" s="36" t="s">
        <v>657</v>
      </c>
      <c r="F2316" s="36" t="s">
        <v>115</v>
      </c>
    </row>
    <row r="2317" spans="1:6">
      <c r="A2317" s="38">
        <v>45518.15625</v>
      </c>
      <c r="B2317" s="39">
        <v>1174.06005859375</v>
      </c>
      <c r="C2317" s="39">
        <v>1152.250732421875</v>
      </c>
      <c r="D2317" s="41">
        <v>1173440</v>
      </c>
      <c r="E2317" s="36" t="s">
        <v>657</v>
      </c>
      <c r="F2317" s="36" t="s">
        <v>115</v>
      </c>
    </row>
    <row r="2318" spans="1:6">
      <c r="A2318" s="38">
        <v>45520.15625</v>
      </c>
      <c r="B2318" s="39">
        <v>1215.4000244140625</v>
      </c>
      <c r="C2318" s="39">
        <v>1192.8228759765625</v>
      </c>
      <c r="D2318" s="41">
        <v>2040310</v>
      </c>
      <c r="E2318" s="36" t="s">
        <v>657</v>
      </c>
      <c r="F2318" s="36" t="s">
        <v>115</v>
      </c>
    </row>
    <row r="2319" spans="1:6">
      <c r="A2319" s="38">
        <v>45523.15625</v>
      </c>
      <c r="B2319" s="39">
        <v>1211.9300537109375</v>
      </c>
      <c r="C2319" s="39">
        <v>1189.4173583984375</v>
      </c>
      <c r="D2319" s="41">
        <v>2075115</v>
      </c>
      <c r="E2319" s="36" t="s">
        <v>657</v>
      </c>
      <c r="F2319" s="36" t="s">
        <v>115</v>
      </c>
    </row>
    <row r="2320" spans="1:6">
      <c r="A2320" s="38">
        <v>45524.15625</v>
      </c>
      <c r="B2320" s="39">
        <v>1223.050048828125</v>
      </c>
      <c r="C2320" s="39">
        <v>1200.3306884765625</v>
      </c>
      <c r="D2320" s="41">
        <v>1628350</v>
      </c>
      <c r="E2320" s="36" t="s">
        <v>657</v>
      </c>
      <c r="F2320" s="36" t="s">
        <v>115</v>
      </c>
    </row>
    <row r="2321" spans="1:6">
      <c r="A2321" s="38">
        <v>45525.15625</v>
      </c>
      <c r="B2321" s="39">
        <v>1218.0699462890625</v>
      </c>
      <c r="C2321" s="39">
        <v>1195.443115234375</v>
      </c>
      <c r="D2321" s="41">
        <v>992425</v>
      </c>
      <c r="E2321" s="36" t="s">
        <v>657</v>
      </c>
      <c r="F2321" s="36" t="s">
        <v>115</v>
      </c>
    </row>
    <row r="2322" spans="1:6">
      <c r="A2322" s="38">
        <v>45526.15625</v>
      </c>
      <c r="B2322" s="39">
        <v>1216.8399658203125</v>
      </c>
      <c r="C2322" s="39">
        <v>1194.2359619140625</v>
      </c>
      <c r="D2322" s="41">
        <v>1098970</v>
      </c>
      <c r="E2322" s="36" t="s">
        <v>657</v>
      </c>
      <c r="F2322" s="36" t="s">
        <v>115</v>
      </c>
    </row>
    <row r="2323" spans="1:6">
      <c r="A2323" s="38">
        <v>45527.15625</v>
      </c>
      <c r="B2323" s="39">
        <v>1204.449951171875</v>
      </c>
      <c r="C2323" s="39">
        <v>1182.076171875</v>
      </c>
      <c r="D2323" s="41">
        <v>890210</v>
      </c>
      <c r="E2323" s="36" t="s">
        <v>657</v>
      </c>
      <c r="F2323" s="36" t="s">
        <v>115</v>
      </c>
    </row>
    <row r="2324" spans="1:6">
      <c r="A2324" s="38">
        <v>45530.15625</v>
      </c>
      <c r="B2324" s="39">
        <v>1205.22998046875</v>
      </c>
      <c r="C2324" s="39">
        <v>1182.8416748046875</v>
      </c>
      <c r="D2324" s="41">
        <v>2173385</v>
      </c>
      <c r="E2324" s="36" t="s">
        <v>657</v>
      </c>
      <c r="F2324" s="36" t="s">
        <v>115</v>
      </c>
    </row>
    <row r="2325" spans="1:6">
      <c r="A2325" s="38">
        <v>45531.15625</v>
      </c>
      <c r="B2325" s="39">
        <v>1216.1800537109375</v>
      </c>
      <c r="C2325" s="39">
        <v>1193.58837890625</v>
      </c>
      <c r="D2325" s="41">
        <v>1319435</v>
      </c>
      <c r="E2325" s="36" t="s">
        <v>657</v>
      </c>
      <c r="F2325" s="36" t="s">
        <v>115</v>
      </c>
    </row>
    <row r="2326" spans="1:6">
      <c r="A2326" s="38">
        <v>45532.15625</v>
      </c>
      <c r="B2326" s="39">
        <v>1251.0899658203125</v>
      </c>
      <c r="C2326" s="39">
        <v>1227.849609375</v>
      </c>
      <c r="D2326" s="41">
        <v>3479685</v>
      </c>
      <c r="E2326" s="36" t="s">
        <v>657</v>
      </c>
      <c r="F2326" s="36" t="s">
        <v>115</v>
      </c>
    </row>
    <row r="2327" spans="1:6">
      <c r="A2327" s="38">
        <v>45533.15625</v>
      </c>
      <c r="B2327" s="39">
        <v>1256.449951171875</v>
      </c>
      <c r="C2327" s="39">
        <v>1233.1103515625</v>
      </c>
      <c r="D2327" s="41">
        <v>1526970</v>
      </c>
      <c r="E2327" s="36" t="s">
        <v>657</v>
      </c>
      <c r="F2327" s="36" t="s">
        <v>115</v>
      </c>
    </row>
    <row r="2328" spans="1:6">
      <c r="A2328" s="38">
        <v>45534.15625</v>
      </c>
      <c r="B2328" s="39">
        <v>1268.81005859375</v>
      </c>
      <c r="C2328" s="39">
        <v>1245.2408447265625</v>
      </c>
      <c r="D2328" s="41">
        <v>1966685</v>
      </c>
      <c r="E2328" s="36" t="s">
        <v>657</v>
      </c>
      <c r="F2328" s="36" t="s">
        <v>115</v>
      </c>
    </row>
    <row r="2329" spans="1:6">
      <c r="A2329" s="38">
        <v>45537.15625</v>
      </c>
      <c r="B2329" s="39">
        <v>1268.1199951171875</v>
      </c>
      <c r="C2329" s="39">
        <v>1244.5635986328125</v>
      </c>
      <c r="D2329" s="41">
        <v>1554095</v>
      </c>
      <c r="E2329" s="36" t="s">
        <v>657</v>
      </c>
      <c r="F2329" s="36" t="s">
        <v>115</v>
      </c>
    </row>
    <row r="2330" spans="1:6">
      <c r="A2330" s="38">
        <v>45538.15625</v>
      </c>
      <c r="B2330" s="39">
        <v>1281.52001953125</v>
      </c>
      <c r="C2330" s="39">
        <v>1257.7144775390625</v>
      </c>
      <c r="D2330" s="41">
        <v>981430</v>
      </c>
      <c r="E2330" s="36" t="s">
        <v>657</v>
      </c>
      <c r="F2330" s="36" t="s">
        <v>115</v>
      </c>
    </row>
    <row r="2331" spans="1:6">
      <c r="A2331" s="38">
        <v>45539.15625</v>
      </c>
      <c r="B2331" s="39">
        <v>1266.219970703125</v>
      </c>
      <c r="C2331" s="39">
        <v>1242.6986083984375</v>
      </c>
      <c r="D2331" s="41">
        <v>1906150</v>
      </c>
      <c r="E2331" s="36" t="s">
        <v>657</v>
      </c>
      <c r="F2331" s="36" t="s">
        <v>115</v>
      </c>
    </row>
    <row r="2332" spans="1:6">
      <c r="A2332" s="38">
        <v>45540.15625</v>
      </c>
      <c r="B2332" s="39">
        <v>1310.25</v>
      </c>
      <c r="C2332" s="39">
        <v>1285.9110107421875</v>
      </c>
      <c r="D2332" s="41">
        <v>4142650</v>
      </c>
      <c r="E2332" s="36" t="s">
        <v>657</v>
      </c>
      <c r="F2332" s="36" t="s">
        <v>115</v>
      </c>
    </row>
    <row r="2333" spans="1:6">
      <c r="A2333" s="38">
        <v>45541.15625</v>
      </c>
      <c r="B2333" s="39">
        <v>1324.9300537109375</v>
      </c>
      <c r="C2333" s="39">
        <v>1300.3182373046875</v>
      </c>
      <c r="D2333" s="41">
        <v>3139855</v>
      </c>
      <c r="E2333" s="36" t="s">
        <v>657</v>
      </c>
      <c r="F2333" s="36" t="s">
        <v>115</v>
      </c>
    </row>
    <row r="2334" spans="1:6">
      <c r="A2334" s="38">
        <v>45544.15625</v>
      </c>
      <c r="B2334" s="39">
        <v>1298.1500244140625</v>
      </c>
      <c r="C2334" s="39">
        <v>1274.03564453125</v>
      </c>
      <c r="D2334" s="41">
        <v>2549810</v>
      </c>
      <c r="E2334" s="36" t="s">
        <v>657</v>
      </c>
      <c r="F2334" s="36" t="s">
        <v>115</v>
      </c>
    </row>
    <row r="2335" spans="1:6">
      <c r="A2335" s="38">
        <v>45545.15625</v>
      </c>
      <c r="B2335" s="39">
        <v>1361.4000244140625</v>
      </c>
      <c r="C2335" s="39">
        <v>1336.11083984375</v>
      </c>
      <c r="D2335" s="41">
        <v>6368025</v>
      </c>
      <c r="E2335" s="36" t="s">
        <v>657</v>
      </c>
      <c r="F2335" s="36" t="s">
        <v>115</v>
      </c>
    </row>
    <row r="2336" spans="1:6">
      <c r="A2336" s="38">
        <v>45546.15625</v>
      </c>
      <c r="B2336" s="39">
        <v>1368.219970703125</v>
      </c>
      <c r="C2336" s="39">
        <v>1342.8040771484375</v>
      </c>
      <c r="D2336" s="41">
        <v>2205830</v>
      </c>
      <c r="E2336" s="36" t="s">
        <v>657</v>
      </c>
      <c r="F2336" s="36" t="s">
        <v>115</v>
      </c>
    </row>
    <row r="2337" spans="1:6">
      <c r="A2337" s="38">
        <v>45547.15625</v>
      </c>
      <c r="B2337" s="39">
        <v>1375.300048828125</v>
      </c>
      <c r="C2337" s="39">
        <v>1349.7525634765625</v>
      </c>
      <c r="D2337" s="41">
        <v>1464825</v>
      </c>
      <c r="E2337" s="36" t="s">
        <v>657</v>
      </c>
      <c r="F2337" s="36" t="s">
        <v>115</v>
      </c>
    </row>
    <row r="2338" spans="1:6">
      <c r="A2338" s="38">
        <v>45548.15625</v>
      </c>
      <c r="B2338" s="39">
        <v>1402.75</v>
      </c>
      <c r="C2338" s="39">
        <v>1376.6925048828125</v>
      </c>
      <c r="D2338" s="41">
        <v>3249865</v>
      </c>
      <c r="E2338" s="36" t="s">
        <v>657</v>
      </c>
      <c r="F2338" s="36" t="s">
        <v>115</v>
      </c>
    </row>
    <row r="2339" spans="1:6">
      <c r="A2339" s="38">
        <v>45551.15625</v>
      </c>
      <c r="B2339" s="39">
        <v>1397.8599853515625</v>
      </c>
      <c r="C2339" s="39">
        <v>1371.8934326171875</v>
      </c>
      <c r="D2339" s="41">
        <v>2389345</v>
      </c>
      <c r="E2339" s="36" t="s">
        <v>657</v>
      </c>
      <c r="F2339" s="36" t="s">
        <v>115</v>
      </c>
    </row>
    <row r="2340" spans="1:6">
      <c r="A2340" s="38">
        <v>45552.15625</v>
      </c>
      <c r="B2340" s="39">
        <v>1399.7099609375</v>
      </c>
      <c r="C2340" s="39">
        <v>1373.708984375</v>
      </c>
      <c r="D2340" s="41">
        <v>1241110</v>
      </c>
      <c r="E2340" s="36" t="s">
        <v>657</v>
      </c>
      <c r="F2340" s="36" t="s">
        <v>115</v>
      </c>
    </row>
    <row r="2341" spans="1:6">
      <c r="A2341" s="38">
        <v>45553.15625</v>
      </c>
      <c r="B2341" s="39">
        <v>1372.1500244140625</v>
      </c>
      <c r="C2341" s="39">
        <v>1346.6610107421875</v>
      </c>
      <c r="D2341" s="41">
        <v>1647970</v>
      </c>
      <c r="E2341" s="36" t="s">
        <v>657</v>
      </c>
      <c r="F2341" s="36" t="s">
        <v>115</v>
      </c>
    </row>
    <row r="2342" spans="1:6">
      <c r="A2342" s="38">
        <v>45554.15625</v>
      </c>
      <c r="B2342" s="39">
        <v>1383.1199951171875</v>
      </c>
      <c r="C2342" s="39">
        <v>1357.4271240234375</v>
      </c>
      <c r="D2342" s="41">
        <v>3357435</v>
      </c>
      <c r="E2342" s="36" t="s">
        <v>657</v>
      </c>
      <c r="F2342" s="36" t="s">
        <v>115</v>
      </c>
    </row>
    <row r="2343" spans="1:6">
      <c r="A2343" s="38">
        <v>45555.15625</v>
      </c>
      <c r="B2343" s="39">
        <v>1389.0699462890625</v>
      </c>
      <c r="C2343" s="39">
        <v>1363.2664794921875</v>
      </c>
      <c r="D2343" s="41">
        <v>1498370</v>
      </c>
      <c r="E2343" s="36" t="s">
        <v>657</v>
      </c>
      <c r="F2343" s="36" t="s">
        <v>115</v>
      </c>
    </row>
    <row r="2344" spans="1:6">
      <c r="A2344" s="38">
        <v>45558.15625</v>
      </c>
      <c r="B2344" s="39">
        <v>1377.06005859375</v>
      </c>
      <c r="C2344" s="39">
        <v>1351.479736328125</v>
      </c>
      <c r="D2344" s="41">
        <v>1122985</v>
      </c>
      <c r="E2344" s="36" t="s">
        <v>657</v>
      </c>
      <c r="F2344" s="36" t="s">
        <v>115</v>
      </c>
    </row>
    <row r="2345" spans="1:6">
      <c r="A2345" s="38">
        <v>45559.15625</v>
      </c>
      <c r="B2345" s="39">
        <v>1399.5999755859375</v>
      </c>
      <c r="C2345" s="39">
        <v>1373.6011962890625</v>
      </c>
      <c r="D2345" s="41">
        <v>1503945</v>
      </c>
      <c r="E2345" s="36" t="s">
        <v>657</v>
      </c>
      <c r="F2345" s="36" t="s">
        <v>115</v>
      </c>
    </row>
    <row r="2346" spans="1:6">
      <c r="A2346" s="38">
        <v>45560.15625</v>
      </c>
      <c r="B2346" s="39">
        <v>1381.3599853515625</v>
      </c>
      <c r="C2346" s="39">
        <v>1355.6998291015625</v>
      </c>
      <c r="D2346" s="41">
        <v>1281740</v>
      </c>
      <c r="E2346" s="36" t="s">
        <v>657</v>
      </c>
      <c r="F2346" s="36" t="s">
        <v>115</v>
      </c>
    </row>
    <row r="2347" spans="1:6">
      <c r="A2347" s="38">
        <v>45561.15625</v>
      </c>
      <c r="B2347" s="39">
        <v>1374.8499755859375</v>
      </c>
      <c r="C2347" s="39">
        <v>1349.310791015625</v>
      </c>
      <c r="D2347" s="41">
        <v>3208525</v>
      </c>
      <c r="E2347" s="36" t="s">
        <v>657</v>
      </c>
      <c r="F2347" s="36" t="s">
        <v>115</v>
      </c>
    </row>
    <row r="2348" spans="1:6">
      <c r="A2348" s="38">
        <v>45562.15625</v>
      </c>
      <c r="B2348" s="39">
        <v>1387.0699462890625</v>
      </c>
      <c r="C2348" s="39">
        <v>1361.303955078125</v>
      </c>
      <c r="D2348" s="41">
        <v>3488310</v>
      </c>
      <c r="E2348" s="36" t="s">
        <v>657</v>
      </c>
      <c r="F2348" s="36" t="s">
        <v>115</v>
      </c>
    </row>
    <row r="2349" spans="1:6">
      <c r="A2349" s="38">
        <v>45565.15625</v>
      </c>
      <c r="B2349" s="39">
        <v>1403.2900390625</v>
      </c>
      <c r="C2349" s="39">
        <v>1377.2225341796875</v>
      </c>
      <c r="D2349" s="41">
        <v>1511795</v>
      </c>
      <c r="E2349" s="36" t="s">
        <v>657</v>
      </c>
      <c r="F2349" s="36" t="s">
        <v>115</v>
      </c>
    </row>
    <row r="2350" spans="1:6">
      <c r="A2350" s="38">
        <v>45566.15625</v>
      </c>
      <c r="B2350" s="39">
        <v>1425.2900390625</v>
      </c>
      <c r="C2350" s="39">
        <v>1398.81396484375</v>
      </c>
      <c r="D2350" s="41">
        <v>2368575</v>
      </c>
      <c r="E2350" s="36" t="s">
        <v>657</v>
      </c>
      <c r="F2350" s="36" t="s">
        <v>115</v>
      </c>
    </row>
    <row r="2351" spans="1:6">
      <c r="A2351" s="38">
        <v>45568.15625</v>
      </c>
      <c r="B2351" s="39">
        <v>1412.030029296875</v>
      </c>
      <c r="C2351" s="39">
        <v>1385.8001708984375</v>
      </c>
      <c r="D2351" s="41">
        <v>2590065</v>
      </c>
      <c r="E2351" s="36" t="s">
        <v>657</v>
      </c>
      <c r="F2351" s="36" t="s">
        <v>115</v>
      </c>
    </row>
    <row r="2352" spans="1:6">
      <c r="A2352" s="38">
        <v>45569.15625</v>
      </c>
      <c r="B2352" s="39">
        <v>1425.1099853515625</v>
      </c>
      <c r="C2352" s="39">
        <v>1398.63720703125</v>
      </c>
      <c r="D2352" s="41">
        <v>2660410</v>
      </c>
      <c r="E2352" s="36" t="s">
        <v>657</v>
      </c>
      <c r="F2352" s="36" t="s">
        <v>115</v>
      </c>
    </row>
    <row r="2353" spans="1:6">
      <c r="A2353" s="38">
        <v>45572.15625</v>
      </c>
      <c r="B2353" s="39">
        <v>1441.6099853515625</v>
      </c>
      <c r="C2353" s="39">
        <v>1414.8309326171875</v>
      </c>
      <c r="D2353" s="41">
        <v>3321265</v>
      </c>
      <c r="E2353" s="36" t="s">
        <v>657</v>
      </c>
      <c r="F2353" s="36" t="s">
        <v>115</v>
      </c>
    </row>
    <row r="2354" spans="1:6">
      <c r="A2354" s="38">
        <v>45573.15625</v>
      </c>
      <c r="B2354" s="39">
        <v>1464.3900146484375</v>
      </c>
      <c r="C2354" s="39">
        <v>1437.1873779296875</v>
      </c>
      <c r="D2354" s="41">
        <v>1501585</v>
      </c>
      <c r="E2354" s="36" t="s">
        <v>657</v>
      </c>
      <c r="F2354" s="36" t="s">
        <v>115</v>
      </c>
    </row>
    <row r="2355" spans="1:6">
      <c r="A2355" s="38">
        <v>45574.15625</v>
      </c>
      <c r="B2355" s="39">
        <v>1475.469970703125</v>
      </c>
      <c r="C2355" s="39">
        <v>1448.0616455078125</v>
      </c>
      <c r="D2355" s="41">
        <v>1455130</v>
      </c>
      <c r="E2355" s="36" t="s">
        <v>657</v>
      </c>
      <c r="F2355" s="36" t="s">
        <v>115</v>
      </c>
    </row>
    <row r="2356" spans="1:6">
      <c r="A2356" s="38">
        <v>45575.15625</v>
      </c>
      <c r="B2356" s="39">
        <v>1456.300048828125</v>
      </c>
      <c r="C2356" s="39">
        <v>1429.2479248046875</v>
      </c>
      <c r="D2356" s="41">
        <v>963000</v>
      </c>
      <c r="E2356" s="36" t="s">
        <v>657</v>
      </c>
      <c r="F2356" s="36" t="s">
        <v>115</v>
      </c>
    </row>
    <row r="2357" spans="1:6">
      <c r="A2357" s="38">
        <v>45576.15625</v>
      </c>
      <c r="B2357" s="39">
        <v>1476.1199951171875</v>
      </c>
      <c r="C2357" s="39">
        <v>1452.48974609375</v>
      </c>
      <c r="D2357" s="41">
        <v>2129580</v>
      </c>
      <c r="E2357" s="36" t="s">
        <v>657</v>
      </c>
      <c r="F2357" s="36" t="s">
        <v>115</v>
      </c>
    </row>
    <row r="2358" spans="1:6">
      <c r="A2358" s="38">
        <v>45579.15625</v>
      </c>
      <c r="B2358" s="39">
        <v>1486.4200439453125</v>
      </c>
      <c r="C2358" s="39">
        <v>1462.6248779296875</v>
      </c>
      <c r="D2358" s="41">
        <v>1640085</v>
      </c>
      <c r="E2358" s="36" t="s">
        <v>657</v>
      </c>
      <c r="F2358" s="36" t="s">
        <v>115</v>
      </c>
    </row>
    <row r="2359" spans="1:6">
      <c r="A2359" s="38">
        <v>45580.15625</v>
      </c>
      <c r="B2359" s="39">
        <v>1493.989990234375</v>
      </c>
      <c r="C2359" s="39">
        <v>1470.0736083984375</v>
      </c>
      <c r="D2359" s="41">
        <v>1141300</v>
      </c>
      <c r="E2359" s="36" t="s">
        <v>657</v>
      </c>
      <c r="F2359" s="36" t="s">
        <v>115</v>
      </c>
    </row>
    <row r="2360" spans="1:6">
      <c r="A2360" s="38">
        <v>45581.15625</v>
      </c>
      <c r="B2360" s="39">
        <v>1440.8499755859375</v>
      </c>
      <c r="C2360" s="39">
        <v>1417.784423828125</v>
      </c>
      <c r="D2360" s="41">
        <v>4368245</v>
      </c>
      <c r="E2360" s="36" t="s">
        <v>657</v>
      </c>
      <c r="F2360" s="36" t="s">
        <v>115</v>
      </c>
    </row>
    <row r="2361" spans="1:6">
      <c r="A2361" s="38">
        <v>45582.15625</v>
      </c>
      <c r="B2361" s="39">
        <v>1451.449951171875</v>
      </c>
      <c r="C2361" s="39">
        <v>1428.2147216796875</v>
      </c>
      <c r="D2361" s="41">
        <v>1749215</v>
      </c>
      <c r="E2361" s="36" t="s">
        <v>657</v>
      </c>
      <c r="F2361" s="36" t="s">
        <v>115</v>
      </c>
    </row>
    <row r="2362" spans="1:6">
      <c r="A2362" s="38">
        <v>45583.15625</v>
      </c>
      <c r="B2362" s="39">
        <v>1442.0799560546875</v>
      </c>
      <c r="C2362" s="39">
        <v>1418.99462890625</v>
      </c>
      <c r="D2362" s="41">
        <v>1458725</v>
      </c>
      <c r="E2362" s="36" t="s">
        <v>657</v>
      </c>
      <c r="F2362" s="36" t="s">
        <v>115</v>
      </c>
    </row>
    <row r="2363" spans="1:6">
      <c r="A2363" s="38">
        <v>45586.15625</v>
      </c>
      <c r="B2363" s="39">
        <v>1365.050048828125</v>
      </c>
      <c r="C2363" s="39">
        <v>1343.1978759765625</v>
      </c>
      <c r="D2363" s="41">
        <v>4684635</v>
      </c>
      <c r="E2363" s="36" t="s">
        <v>657</v>
      </c>
      <c r="F2363" s="36" t="s">
        <v>115</v>
      </c>
    </row>
    <row r="2364" spans="1:6">
      <c r="A2364" s="38">
        <v>45587.15625</v>
      </c>
      <c r="B2364" s="39">
        <v>1360.050048828125</v>
      </c>
      <c r="C2364" s="39">
        <v>1338.27783203125</v>
      </c>
      <c r="D2364" s="41">
        <v>2821410</v>
      </c>
      <c r="E2364" s="36" t="s">
        <v>657</v>
      </c>
      <c r="F2364" s="36" t="s">
        <v>115</v>
      </c>
    </row>
    <row r="2365" spans="1:6">
      <c r="A2365" s="38">
        <v>45588.15625</v>
      </c>
      <c r="B2365" s="39">
        <v>1511.56005859375</v>
      </c>
      <c r="C2365" s="39">
        <v>1487.362548828125</v>
      </c>
      <c r="D2365" s="41">
        <v>18125670</v>
      </c>
      <c r="E2365" s="36" t="s">
        <v>657</v>
      </c>
      <c r="F2365" s="36" t="s">
        <v>115</v>
      </c>
    </row>
    <row r="2366" spans="1:6">
      <c r="A2366" s="38">
        <v>45589.15625</v>
      </c>
      <c r="B2366" s="39">
        <v>1539.81005859375</v>
      </c>
      <c r="C2366" s="39">
        <v>1515.160400390625</v>
      </c>
      <c r="D2366" s="41">
        <v>7589385</v>
      </c>
      <c r="E2366" s="36" t="s">
        <v>657</v>
      </c>
      <c r="F2366" s="36" t="s">
        <v>115</v>
      </c>
    </row>
    <row r="2367" spans="1:6">
      <c r="A2367" s="38">
        <v>45590.15625</v>
      </c>
      <c r="B2367" s="39">
        <v>1547.969970703125</v>
      </c>
      <c r="C2367" s="39">
        <v>1523.189453125</v>
      </c>
      <c r="D2367" s="41">
        <v>2554910</v>
      </c>
      <c r="E2367" s="36" t="s">
        <v>657</v>
      </c>
      <c r="F2367" s="36" t="s">
        <v>115</v>
      </c>
    </row>
    <row r="2368" spans="1:6">
      <c r="A2368" s="38">
        <v>45593.15625</v>
      </c>
      <c r="B2368" s="39">
        <v>1541.0699462890625</v>
      </c>
      <c r="C2368" s="39">
        <v>1516.39990234375</v>
      </c>
      <c r="D2368" s="41">
        <v>2126760</v>
      </c>
      <c r="E2368" s="36" t="s">
        <v>657</v>
      </c>
      <c r="F2368" s="36" t="s">
        <v>115</v>
      </c>
    </row>
    <row r="2369" spans="1:6">
      <c r="A2369" s="38">
        <v>45594.15625</v>
      </c>
      <c r="B2369" s="39">
        <v>1550.75</v>
      </c>
      <c r="C2369" s="39">
        <v>1525.9249267578125</v>
      </c>
      <c r="D2369" s="41">
        <v>1477015</v>
      </c>
      <c r="E2369" s="36" t="s">
        <v>657</v>
      </c>
      <c r="F2369" s="36" t="s">
        <v>115</v>
      </c>
    </row>
    <row r="2370" spans="1:6">
      <c r="A2370" s="38">
        <v>45595.15625</v>
      </c>
      <c r="B2370" s="39">
        <v>1548.47998046875</v>
      </c>
      <c r="C2370" s="39">
        <v>1523.6912841796875</v>
      </c>
      <c r="D2370" s="41">
        <v>2628130</v>
      </c>
      <c r="E2370" s="36" t="s">
        <v>657</v>
      </c>
      <c r="F2370" s="36" t="s">
        <v>115</v>
      </c>
    </row>
    <row r="2371" spans="1:6">
      <c r="A2371" s="38">
        <v>45596.15625</v>
      </c>
      <c r="B2371" s="39">
        <v>1524.8199462890625</v>
      </c>
      <c r="C2371" s="39">
        <v>1500.41015625</v>
      </c>
      <c r="D2371" s="41">
        <v>2738450</v>
      </c>
      <c r="E2371" s="36" t="s">
        <v>657</v>
      </c>
      <c r="F2371" s="36" t="s">
        <v>115</v>
      </c>
    </row>
    <row r="2372" spans="1:6">
      <c r="A2372" s="38">
        <v>45597.15625</v>
      </c>
      <c r="B2372" s="39">
        <v>1510.5400390625</v>
      </c>
      <c r="C2372" s="39">
        <v>1486.3587646484375</v>
      </c>
      <c r="D2372" s="41">
        <v>227700</v>
      </c>
      <c r="E2372" s="36" t="s">
        <v>657</v>
      </c>
      <c r="F2372" s="36" t="s">
        <v>115</v>
      </c>
    </row>
    <row r="2373" spans="1:6">
      <c r="A2373" s="38">
        <v>45600.15625</v>
      </c>
      <c r="B2373" s="39">
        <v>1508.6500244140625</v>
      </c>
      <c r="C2373" s="39">
        <v>1484.4990234375</v>
      </c>
      <c r="D2373" s="41">
        <v>2613505</v>
      </c>
      <c r="E2373" s="36" t="s">
        <v>657</v>
      </c>
      <c r="F2373" s="36" t="s">
        <v>115</v>
      </c>
    </row>
    <row r="2374" spans="1:6">
      <c r="A2374" s="38">
        <v>45601.15625</v>
      </c>
      <c r="B2374" s="39">
        <v>1509.300048828125</v>
      </c>
      <c r="C2374" s="39">
        <v>1485.138671875</v>
      </c>
      <c r="D2374" s="41">
        <v>1193625</v>
      </c>
      <c r="E2374" s="36" t="s">
        <v>657</v>
      </c>
      <c r="F2374" s="36" t="s">
        <v>115</v>
      </c>
    </row>
    <row r="2375" spans="1:6">
      <c r="A2375" s="38">
        <v>45602.15625</v>
      </c>
      <c r="B2375" s="39">
        <v>1565.9000244140625</v>
      </c>
      <c r="C2375" s="39">
        <v>1540.83251953125</v>
      </c>
      <c r="D2375" s="41">
        <v>4255360</v>
      </c>
      <c r="E2375" s="36" t="s">
        <v>657</v>
      </c>
      <c r="F2375" s="36" t="s">
        <v>115</v>
      </c>
    </row>
    <row r="2376" spans="1:6">
      <c r="A2376" s="38">
        <v>45603.15625</v>
      </c>
      <c r="B2376" s="39">
        <v>1570.6700439453125</v>
      </c>
      <c r="C2376" s="39">
        <v>1545.5262451171875</v>
      </c>
      <c r="D2376" s="41">
        <v>2837565</v>
      </c>
      <c r="E2376" s="36" t="s">
        <v>657</v>
      </c>
      <c r="F2376" s="36" t="s">
        <v>115</v>
      </c>
    </row>
    <row r="2377" spans="1:6">
      <c r="A2377" s="38">
        <v>45604.15625</v>
      </c>
      <c r="B2377" s="39">
        <v>1590.760009765625</v>
      </c>
      <c r="C2377" s="39">
        <v>1565.2945556640625</v>
      </c>
      <c r="D2377" s="41">
        <v>2684930</v>
      </c>
      <c r="E2377" s="36" t="s">
        <v>657</v>
      </c>
      <c r="F2377" s="36" t="s">
        <v>115</v>
      </c>
    </row>
    <row r="2378" spans="1:6">
      <c r="A2378" s="38">
        <v>45607.15625</v>
      </c>
      <c r="B2378" s="39">
        <v>1613.3800048828125</v>
      </c>
      <c r="C2378" s="39">
        <v>1587.5526123046875</v>
      </c>
      <c r="D2378" s="41">
        <v>2344495</v>
      </c>
      <c r="E2378" s="36" t="s">
        <v>657</v>
      </c>
      <c r="F2378" s="36" t="s">
        <v>115</v>
      </c>
    </row>
    <row r="2379" spans="1:6">
      <c r="A2379" s="38">
        <v>45608.15625</v>
      </c>
      <c r="B2379" s="39">
        <v>1619.8499755859375</v>
      </c>
      <c r="C2379" s="39">
        <v>1593.9188232421875</v>
      </c>
      <c r="D2379" s="41">
        <v>1951690</v>
      </c>
      <c r="E2379" s="36" t="s">
        <v>657</v>
      </c>
      <c r="F2379" s="36" t="s">
        <v>115</v>
      </c>
    </row>
    <row r="2380" spans="1:6">
      <c r="A2380" s="38">
        <v>45609.15625</v>
      </c>
      <c r="B2380" s="39">
        <v>1611.239990234375</v>
      </c>
      <c r="C2380" s="39">
        <v>1585.44677734375</v>
      </c>
      <c r="D2380" s="41">
        <v>2643950</v>
      </c>
      <c r="E2380" s="36" t="s">
        <v>657</v>
      </c>
      <c r="F2380" s="36" t="s">
        <v>115</v>
      </c>
    </row>
    <row r="2381" spans="1:6">
      <c r="A2381" s="38">
        <v>45610.15625</v>
      </c>
      <c r="B2381" s="39">
        <v>1614.800048828125</v>
      </c>
      <c r="C2381" s="39">
        <v>1588.94970703125</v>
      </c>
      <c r="D2381" s="41">
        <v>1564270</v>
      </c>
      <c r="E2381" s="36" t="s">
        <v>657</v>
      </c>
      <c r="F2381" s="36" t="s">
        <v>115</v>
      </c>
    </row>
    <row r="2382" spans="1:6">
      <c r="A2382" s="38">
        <v>45614.15625</v>
      </c>
      <c r="B2382" s="39">
        <v>1601.3199462890625</v>
      </c>
      <c r="C2382" s="39">
        <v>1575.685546875</v>
      </c>
      <c r="D2382" s="41">
        <v>1890055</v>
      </c>
      <c r="E2382" s="36" t="s">
        <v>657</v>
      </c>
      <c r="F2382" s="36" t="s">
        <v>115</v>
      </c>
    </row>
    <row r="2383" spans="1:6">
      <c r="A2383" s="38">
        <v>45615.15625</v>
      </c>
      <c r="B2383" s="39">
        <v>1623.300048828125</v>
      </c>
      <c r="C2383" s="39">
        <v>1597.3135986328125</v>
      </c>
      <c r="D2383" s="41">
        <v>1720995</v>
      </c>
      <c r="E2383" s="36" t="s">
        <v>657</v>
      </c>
      <c r="F2383" s="36" t="s">
        <v>115</v>
      </c>
    </row>
    <row r="2384" spans="1:6">
      <c r="A2384" s="38">
        <v>45617.15625</v>
      </c>
      <c r="B2384" s="39">
        <v>1642.02001953125</v>
      </c>
      <c r="C2384" s="39">
        <v>1615.7337646484375</v>
      </c>
      <c r="D2384" s="41">
        <v>1651020</v>
      </c>
      <c r="E2384" s="36" t="s">
        <v>657</v>
      </c>
      <c r="F2384" s="36" t="s">
        <v>115</v>
      </c>
    </row>
    <row r="2385" spans="1:6">
      <c r="A2385" s="38">
        <v>45618.15625</v>
      </c>
      <c r="B2385" s="39">
        <v>1665.5</v>
      </c>
      <c r="C2385" s="39">
        <v>1638.838134765625</v>
      </c>
      <c r="D2385" s="41">
        <v>2027685</v>
      </c>
      <c r="E2385" s="36" t="s">
        <v>657</v>
      </c>
      <c r="F2385" s="36" t="s">
        <v>115</v>
      </c>
    </row>
    <row r="2386" spans="1:6">
      <c r="A2386" s="38">
        <v>45621.15625</v>
      </c>
      <c r="B2386" s="39">
        <v>1722.3199462890625</v>
      </c>
      <c r="C2386" s="39">
        <v>1694.7484130859375</v>
      </c>
      <c r="D2386" s="41">
        <v>2726845</v>
      </c>
      <c r="E2386" s="36" t="s">
        <v>657</v>
      </c>
      <c r="F2386" s="36" t="s">
        <v>115</v>
      </c>
    </row>
    <row r="2387" spans="1:6">
      <c r="A2387" s="38">
        <v>45622.15625</v>
      </c>
      <c r="B2387" s="39">
        <v>1723.31005859375</v>
      </c>
      <c r="C2387" s="39">
        <v>1695.72265625</v>
      </c>
      <c r="D2387" s="41">
        <v>1391695</v>
      </c>
      <c r="E2387" s="36" t="s">
        <v>657</v>
      </c>
      <c r="F2387" s="36" t="s">
        <v>115</v>
      </c>
    </row>
    <row r="2388" spans="1:6">
      <c r="A2388" s="38">
        <v>45623.15625</v>
      </c>
      <c r="B2388" s="39">
        <v>1734.5799560546875</v>
      </c>
      <c r="C2388" s="39">
        <v>1706.812255859375</v>
      </c>
      <c r="D2388" s="41">
        <v>1464925</v>
      </c>
      <c r="E2388" s="36" t="s">
        <v>657</v>
      </c>
      <c r="F2388" s="36" t="s">
        <v>115</v>
      </c>
    </row>
    <row r="2389" spans="1:6">
      <c r="A2389" s="38">
        <v>45624.15625</v>
      </c>
      <c r="B2389" s="39">
        <v>1732.2099609375</v>
      </c>
      <c r="C2389" s="39">
        <v>1704.4801025390625</v>
      </c>
      <c r="D2389" s="41">
        <v>1939545</v>
      </c>
      <c r="E2389" s="36" t="s">
        <v>657</v>
      </c>
      <c r="F2389" s="36" t="s">
        <v>115</v>
      </c>
    </row>
    <row r="2390" spans="1:6">
      <c r="A2390" s="38">
        <v>45625.15625</v>
      </c>
      <c r="B2390" s="39">
        <v>1737.1700439453125</v>
      </c>
      <c r="C2390" s="39">
        <v>1709.3607177734375</v>
      </c>
      <c r="D2390" s="41">
        <v>1134725</v>
      </c>
      <c r="E2390" s="36" t="s">
        <v>657</v>
      </c>
      <c r="F2390" s="36" t="s">
        <v>115</v>
      </c>
    </row>
    <row r="2391" spans="1:6">
      <c r="A2391" s="38">
        <v>45628.15625</v>
      </c>
      <c r="B2391" s="39">
        <v>1742.1400146484375</v>
      </c>
      <c r="C2391" s="39">
        <v>1714.2510986328125</v>
      </c>
      <c r="D2391" s="41">
        <v>1185985</v>
      </c>
      <c r="E2391" s="36" t="s">
        <v>657</v>
      </c>
      <c r="F2391" s="36" t="s">
        <v>115</v>
      </c>
    </row>
    <row r="2392" spans="1:6">
      <c r="A2392" s="38">
        <v>45629.15625</v>
      </c>
      <c r="B2392" s="39">
        <v>1743.6500244140625</v>
      </c>
      <c r="C2392" s="39">
        <v>1715.7371826171875</v>
      </c>
      <c r="D2392" s="41">
        <v>1255050</v>
      </c>
      <c r="E2392" s="36" t="s">
        <v>657</v>
      </c>
      <c r="F2392" s="36" t="s">
        <v>115</v>
      </c>
    </row>
    <row r="2393" spans="1:6">
      <c r="A2393" s="38">
        <v>45630.15625</v>
      </c>
      <c r="B2393" s="39">
        <v>1753.1800537109375</v>
      </c>
      <c r="C2393" s="39">
        <v>1725.114501953125</v>
      </c>
      <c r="D2393" s="41">
        <v>1473405</v>
      </c>
      <c r="E2393" s="36" t="s">
        <v>657</v>
      </c>
      <c r="F2393" s="36" t="s">
        <v>115</v>
      </c>
    </row>
    <row r="2394" spans="1:6">
      <c r="A2394" s="38">
        <v>45631.15625</v>
      </c>
      <c r="B2394" s="39">
        <v>1763.56005859375</v>
      </c>
      <c r="C2394" s="39">
        <v>1735.328369140625</v>
      </c>
      <c r="D2394" s="41">
        <v>1843620</v>
      </c>
      <c r="E2394" s="36" t="s">
        <v>657</v>
      </c>
      <c r="F2394" s="36" t="s">
        <v>115</v>
      </c>
    </row>
    <row r="2395" spans="1:6">
      <c r="A2395" s="38">
        <v>45632.15625</v>
      </c>
      <c r="B2395" s="39">
        <v>1780.2900390625</v>
      </c>
      <c r="C2395" s="39">
        <v>1751.7906494140625</v>
      </c>
      <c r="D2395" s="41">
        <v>1341275</v>
      </c>
      <c r="E2395" s="36" t="s">
        <v>657</v>
      </c>
      <c r="F2395" s="36" t="s">
        <v>115</v>
      </c>
    </row>
    <row r="2396" spans="1:6">
      <c r="A2396" s="38">
        <v>45635.15625</v>
      </c>
      <c r="B2396" s="39">
        <v>1783.719970703125</v>
      </c>
      <c r="C2396" s="39">
        <v>1755.1654052734375</v>
      </c>
      <c r="D2396" s="41">
        <v>1640065</v>
      </c>
      <c r="E2396" s="36" t="s">
        <v>657</v>
      </c>
      <c r="F2396" s="36" t="s">
        <v>115</v>
      </c>
    </row>
    <row r="2397" spans="1:6">
      <c r="A2397" s="38">
        <v>45636.15625</v>
      </c>
      <c r="B2397" s="39">
        <v>1801.7099609375</v>
      </c>
      <c r="C2397" s="39">
        <v>1772.86767578125</v>
      </c>
      <c r="D2397" s="41">
        <v>1984440</v>
      </c>
      <c r="E2397" s="36" t="s">
        <v>657</v>
      </c>
      <c r="F2397" s="36" t="s">
        <v>115</v>
      </c>
    </row>
    <row r="2398" spans="1:6">
      <c r="A2398" s="38">
        <v>45637.15625</v>
      </c>
      <c r="B2398" s="39">
        <v>1799.239990234375</v>
      </c>
      <c r="C2398" s="39">
        <v>1770.43701171875</v>
      </c>
      <c r="D2398" s="41">
        <v>1204175</v>
      </c>
      <c r="E2398" s="36" t="s">
        <v>657</v>
      </c>
      <c r="F2398" s="36" t="s">
        <v>115</v>
      </c>
    </row>
    <row r="2399" spans="1:6">
      <c r="A2399" s="38">
        <v>45638.15625</v>
      </c>
      <c r="B2399" s="39">
        <v>1839.18994140625</v>
      </c>
      <c r="C2399" s="39">
        <v>1809.74755859375</v>
      </c>
      <c r="D2399" s="41">
        <v>3366405</v>
      </c>
      <c r="E2399" s="36" t="s">
        <v>657</v>
      </c>
      <c r="F2399" s="36" t="s">
        <v>115</v>
      </c>
    </row>
    <row r="2400" spans="1:6">
      <c r="A2400" s="38">
        <v>45639.15625</v>
      </c>
      <c r="B2400" s="39">
        <v>1860.1500244140625</v>
      </c>
      <c r="C2400" s="39">
        <v>1830.3720703125</v>
      </c>
      <c r="D2400" s="41">
        <v>2085325</v>
      </c>
      <c r="E2400" s="36" t="s">
        <v>657</v>
      </c>
      <c r="F2400" s="36" t="s">
        <v>115</v>
      </c>
    </row>
    <row r="2401" spans="1:6">
      <c r="A2401" s="38">
        <v>45642.15625</v>
      </c>
      <c r="B2401" s="39">
        <v>1856.93994140625</v>
      </c>
      <c r="C2401" s="39">
        <v>1827.21337890625</v>
      </c>
      <c r="D2401" s="41">
        <v>1158075</v>
      </c>
      <c r="E2401" s="36" t="s">
        <v>657</v>
      </c>
      <c r="F2401" s="36" t="s">
        <v>115</v>
      </c>
    </row>
    <row r="2402" spans="1:6">
      <c r="A2402" s="38">
        <v>45643.15625</v>
      </c>
      <c r="B2402" s="39">
        <v>1880.5899658203125</v>
      </c>
      <c r="C2402" s="39">
        <v>1850.48486328125</v>
      </c>
      <c r="D2402" s="41">
        <v>1472610</v>
      </c>
      <c r="E2402" s="36" t="s">
        <v>657</v>
      </c>
      <c r="F2402" s="36" t="s">
        <v>115</v>
      </c>
    </row>
    <row r="2403" spans="1:6">
      <c r="A2403" s="38">
        <v>45644.15625</v>
      </c>
      <c r="B2403" s="39">
        <v>1894.27001953125</v>
      </c>
      <c r="C2403" s="39">
        <v>1863.9459228515625</v>
      </c>
      <c r="D2403" s="41">
        <v>2166950</v>
      </c>
      <c r="E2403" s="36" t="s">
        <v>657</v>
      </c>
      <c r="F2403" s="36" t="s">
        <v>115</v>
      </c>
    </row>
    <row r="2404" spans="1:6">
      <c r="A2404" s="38">
        <v>45645.15625</v>
      </c>
      <c r="B2404" s="39">
        <v>1931.4200439453125</v>
      </c>
      <c r="C2404" s="39">
        <v>1900.501220703125</v>
      </c>
      <c r="D2404" s="41">
        <v>3270965</v>
      </c>
      <c r="E2404" s="36" t="s">
        <v>657</v>
      </c>
      <c r="F2404" s="36" t="s">
        <v>115</v>
      </c>
    </row>
    <row r="2405" spans="1:6">
      <c r="A2405" s="38">
        <v>45646.15625</v>
      </c>
      <c r="B2405" s="39">
        <v>1874.0899658203125</v>
      </c>
      <c r="C2405" s="39">
        <v>1844.0889892578125</v>
      </c>
      <c r="D2405" s="41">
        <v>2766050</v>
      </c>
      <c r="E2405" s="36" t="s">
        <v>657</v>
      </c>
      <c r="F2405" s="36" t="s">
        <v>115</v>
      </c>
    </row>
    <row r="2406" spans="1:6">
      <c r="A2406" s="38">
        <v>45649.15625</v>
      </c>
      <c r="B2406" s="39">
        <v>1881.27001953125</v>
      </c>
      <c r="C2406" s="39">
        <v>1851.1539306640625</v>
      </c>
      <c r="D2406" s="41">
        <v>1558340</v>
      </c>
      <c r="E2406" s="36" t="s">
        <v>657</v>
      </c>
      <c r="F2406" s="36" t="s">
        <v>115</v>
      </c>
    </row>
    <row r="2407" spans="1:6">
      <c r="A2407" s="38">
        <v>45650.15625</v>
      </c>
      <c r="B2407" s="39">
        <v>1878.739990234375</v>
      </c>
      <c r="C2407" s="39">
        <v>1848.6644287109375</v>
      </c>
      <c r="D2407" s="41">
        <v>1205330</v>
      </c>
      <c r="E2407" s="36" t="s">
        <v>657</v>
      </c>
      <c r="F2407" s="36" t="s">
        <v>115</v>
      </c>
    </row>
    <row r="2408" spans="1:6">
      <c r="A2408" s="38">
        <v>45652.15625</v>
      </c>
      <c r="B2408" s="39">
        <v>1898.6500244140625</v>
      </c>
      <c r="C2408" s="39">
        <v>1868.2557373046875</v>
      </c>
      <c r="D2408" s="41">
        <v>1494590</v>
      </c>
      <c r="E2408" s="36" t="s">
        <v>657</v>
      </c>
      <c r="F2408" s="36" t="s">
        <v>115</v>
      </c>
    </row>
    <row r="2409" spans="1:6">
      <c r="A2409" s="38">
        <v>45653.15625</v>
      </c>
      <c r="B2409" s="39">
        <v>1890.219970703125</v>
      </c>
      <c r="C2409" s="39">
        <v>1859.960693359375</v>
      </c>
      <c r="D2409" s="41">
        <v>1097480</v>
      </c>
      <c r="E2409" s="36" t="s">
        <v>657</v>
      </c>
      <c r="F2409" s="36" t="s">
        <v>115</v>
      </c>
    </row>
    <row r="2410" spans="1:6">
      <c r="A2410" s="38">
        <v>45656.15625</v>
      </c>
      <c r="B2410" s="39">
        <v>1963.5899658203125</v>
      </c>
      <c r="C2410" s="39">
        <v>1932.156005859375</v>
      </c>
      <c r="D2410" s="41">
        <v>6871995</v>
      </c>
      <c r="E2410" s="36" t="s">
        <v>657</v>
      </c>
      <c r="F2410" s="36" t="s">
        <v>115</v>
      </c>
    </row>
    <row r="2411" spans="1:6">
      <c r="A2411" s="38">
        <v>45657.15625</v>
      </c>
      <c r="B2411" s="39">
        <v>1932.5899658203125</v>
      </c>
      <c r="C2411" s="39">
        <v>1901.652587890625</v>
      </c>
      <c r="D2411" s="41">
        <v>1806665</v>
      </c>
      <c r="E2411" s="36" t="s">
        <v>657</v>
      </c>
      <c r="F2411" s="36" t="s">
        <v>115</v>
      </c>
    </row>
    <row r="2412" spans="1:6">
      <c r="A2412" s="38">
        <v>45658.15625</v>
      </c>
      <c r="B2412" s="39">
        <v>1925.7099609375</v>
      </c>
      <c r="C2412" s="39">
        <v>1894.8824462890625</v>
      </c>
      <c r="D2412" s="41">
        <v>798575</v>
      </c>
      <c r="E2412" s="36" t="s">
        <v>657</v>
      </c>
      <c r="F2412" s="36" t="s">
        <v>115</v>
      </c>
    </row>
    <row r="2413" spans="1:6">
      <c r="A2413" s="38">
        <v>45659.15625</v>
      </c>
      <c r="B2413" s="39">
        <v>1939.3299560546875</v>
      </c>
      <c r="C2413" s="39">
        <v>1908.2845458984375</v>
      </c>
      <c r="D2413" s="41">
        <v>1858400</v>
      </c>
      <c r="E2413" s="36" t="s">
        <v>657</v>
      </c>
      <c r="F2413" s="36" t="s">
        <v>115</v>
      </c>
    </row>
    <row r="2414" spans="1:6">
      <c r="A2414" s="38">
        <v>45660.15625</v>
      </c>
      <c r="B2414" s="39">
        <v>1933.9300537109375</v>
      </c>
      <c r="C2414" s="39">
        <v>1902.970947265625</v>
      </c>
      <c r="D2414" s="41">
        <v>1501210</v>
      </c>
      <c r="E2414" s="36" t="s">
        <v>657</v>
      </c>
      <c r="F2414" s="36" t="s">
        <v>115</v>
      </c>
    </row>
    <row r="2415" spans="1:6">
      <c r="A2415" s="38">
        <v>45663.15625</v>
      </c>
      <c r="B2415" s="39">
        <v>1926.3499755859375</v>
      </c>
      <c r="C2415" s="39">
        <v>1895.51220703125</v>
      </c>
      <c r="D2415" s="41">
        <v>1655670</v>
      </c>
      <c r="E2415" s="36" t="s">
        <v>657</v>
      </c>
      <c r="F2415" s="36" t="s">
        <v>115</v>
      </c>
    </row>
    <row r="2416" spans="1:6">
      <c r="A2416" s="38">
        <v>45664.15625</v>
      </c>
      <c r="B2416" s="39">
        <v>1924.0400390625</v>
      </c>
      <c r="C2416" s="39">
        <v>1893.2393798828125</v>
      </c>
      <c r="D2416" s="41">
        <v>3033345</v>
      </c>
      <c r="E2416" s="36" t="s">
        <v>657</v>
      </c>
      <c r="F2416" s="36" t="s">
        <v>115</v>
      </c>
    </row>
    <row r="2417" spans="1:6">
      <c r="A2417" s="38">
        <v>45665.15625</v>
      </c>
      <c r="B2417" s="39">
        <v>1911.5999755859375</v>
      </c>
      <c r="C2417" s="39">
        <v>1880.9986572265625</v>
      </c>
      <c r="D2417" s="41">
        <v>1219475</v>
      </c>
      <c r="E2417" s="36" t="s">
        <v>657</v>
      </c>
      <c r="F2417" s="36" t="s">
        <v>115</v>
      </c>
    </row>
    <row r="2418" spans="1:6">
      <c r="A2418" s="38">
        <v>45666.15625</v>
      </c>
      <c r="B2418" s="39">
        <v>1856.5999755859375</v>
      </c>
      <c r="C2418" s="39">
        <v>1826.8790283203125</v>
      </c>
      <c r="D2418" s="41">
        <v>1249660</v>
      </c>
      <c r="E2418" s="36" t="s">
        <v>657</v>
      </c>
      <c r="F2418" s="36" t="s">
        <v>115</v>
      </c>
    </row>
    <row r="2419" spans="1:6">
      <c r="A2419" s="38">
        <v>45667.15625</v>
      </c>
      <c r="B2419" s="39">
        <v>1880.8299560546875</v>
      </c>
      <c r="C2419" s="39">
        <v>1850.7210693359375</v>
      </c>
      <c r="D2419" s="41">
        <v>3126025</v>
      </c>
      <c r="E2419" s="36" t="s">
        <v>657</v>
      </c>
      <c r="F2419" s="36" t="s">
        <v>115</v>
      </c>
    </row>
    <row r="2420" spans="1:6">
      <c r="A2420" s="38">
        <v>45670.15625</v>
      </c>
      <c r="B2420" s="39">
        <v>1741.1099853515625</v>
      </c>
      <c r="C2420" s="39">
        <v>1713.2376708984375</v>
      </c>
      <c r="D2420" s="41">
        <v>4296765</v>
      </c>
      <c r="E2420" s="36" t="s">
        <v>657</v>
      </c>
      <c r="F2420" s="36" t="s">
        <v>115</v>
      </c>
    </row>
    <row r="2421" spans="1:6">
      <c r="A2421" s="38">
        <v>45671.15625</v>
      </c>
      <c r="B2421" s="39">
        <v>1718.47998046875</v>
      </c>
      <c r="C2421" s="39">
        <v>1690.969970703125</v>
      </c>
      <c r="D2421" s="41">
        <v>4304205</v>
      </c>
      <c r="E2421" s="36" t="s">
        <v>657</v>
      </c>
      <c r="F2421" s="36" t="s">
        <v>115</v>
      </c>
    </row>
    <row r="2422" spans="1:6">
      <c r="A2422" s="38">
        <v>45672.15625</v>
      </c>
      <c r="B2422" s="39">
        <v>1716.6700439453125</v>
      </c>
      <c r="C2422" s="39">
        <v>1689.1888427734375</v>
      </c>
      <c r="D2422" s="41">
        <v>3338060</v>
      </c>
      <c r="E2422" s="36" t="s">
        <v>657</v>
      </c>
      <c r="F2422" s="36" t="s">
        <v>115</v>
      </c>
    </row>
    <row r="2423" spans="1:6">
      <c r="A2423" s="38">
        <v>45673.15625</v>
      </c>
      <c r="B2423" s="39">
        <v>1746.27001953125</v>
      </c>
      <c r="C2423" s="39">
        <v>1718.31494140625</v>
      </c>
      <c r="D2423" s="41">
        <v>1870420</v>
      </c>
      <c r="E2423" s="36" t="s">
        <v>657</v>
      </c>
      <c r="F2423" s="36" t="s">
        <v>115</v>
      </c>
    </row>
    <row r="2424" spans="1:6">
      <c r="A2424" s="38">
        <v>45674.15625</v>
      </c>
      <c r="B2424" s="39">
        <v>1728.31005859375</v>
      </c>
      <c r="C2424" s="39">
        <v>1700.6427001953125</v>
      </c>
      <c r="D2424" s="41">
        <v>1539025</v>
      </c>
      <c r="E2424" s="36" t="s">
        <v>657</v>
      </c>
      <c r="F2424" s="36" t="s">
        <v>115</v>
      </c>
    </row>
    <row r="2425" spans="1:6">
      <c r="A2425" s="38">
        <v>45677.15625</v>
      </c>
      <c r="B2425" s="39">
        <v>1732.4200439453125</v>
      </c>
      <c r="C2425" s="39">
        <v>1704.6868896484375</v>
      </c>
      <c r="D2425" s="41">
        <v>1751100</v>
      </c>
      <c r="E2425" s="36" t="s">
        <v>657</v>
      </c>
      <c r="F2425" s="36" t="s">
        <v>115</v>
      </c>
    </row>
    <row r="2426" spans="1:6">
      <c r="A2426" s="38">
        <v>45678.15625</v>
      </c>
      <c r="B2426" s="39">
        <v>1652.219970703125</v>
      </c>
      <c r="C2426" s="39">
        <v>1625.7706298828125</v>
      </c>
      <c r="D2426" s="41">
        <v>2384255</v>
      </c>
      <c r="E2426" s="36" t="s">
        <v>657</v>
      </c>
      <c r="F2426" s="36" t="s">
        <v>115</v>
      </c>
    </row>
    <row r="2427" spans="1:6">
      <c r="A2427" s="38">
        <v>45679.15625</v>
      </c>
      <c r="B2427" s="39">
        <v>1645.6400146484375</v>
      </c>
      <c r="C2427" s="39">
        <v>1619.2958984375</v>
      </c>
      <c r="D2427" s="41">
        <v>1743890</v>
      </c>
      <c r="E2427" s="36" t="s">
        <v>657</v>
      </c>
      <c r="F2427" s="36" t="s">
        <v>115</v>
      </c>
    </row>
    <row r="2428" spans="1:6">
      <c r="A2428" s="38">
        <v>45680.15625</v>
      </c>
      <c r="B2428" s="39">
        <v>1839.2900390625</v>
      </c>
      <c r="C2428" s="39">
        <v>1809.84619140625</v>
      </c>
      <c r="D2428" s="41">
        <v>11712525</v>
      </c>
      <c r="E2428" s="36" t="s">
        <v>657</v>
      </c>
      <c r="F2428" s="36" t="s">
        <v>115</v>
      </c>
    </row>
    <row r="2429" spans="1:6">
      <c r="A2429" s="38">
        <v>45681.15625</v>
      </c>
      <c r="B2429" s="39">
        <v>1846.9200439453125</v>
      </c>
      <c r="C2429" s="39">
        <v>1817.3538818359375</v>
      </c>
      <c r="D2429" s="41">
        <v>4203395</v>
      </c>
      <c r="E2429" s="36" t="s">
        <v>657</v>
      </c>
      <c r="F2429" s="36" t="s">
        <v>115</v>
      </c>
    </row>
    <row r="2430" spans="1:6">
      <c r="A2430" s="38">
        <v>45684.15625</v>
      </c>
      <c r="B2430" s="39">
        <v>1760.3399658203125</v>
      </c>
      <c r="C2430" s="39">
        <v>1732.1597900390625</v>
      </c>
      <c r="D2430" s="41">
        <v>2747535</v>
      </c>
      <c r="E2430" s="36" t="s">
        <v>657</v>
      </c>
      <c r="F2430" s="36" t="s">
        <v>115</v>
      </c>
    </row>
    <row r="2431" spans="1:6">
      <c r="A2431" s="38">
        <v>45685.15625</v>
      </c>
      <c r="B2431" s="39">
        <v>1699.760009765625</v>
      </c>
      <c r="C2431" s="39">
        <v>1672.5496826171875</v>
      </c>
      <c r="D2431" s="41">
        <v>4544885</v>
      </c>
      <c r="E2431" s="36" t="s">
        <v>657</v>
      </c>
      <c r="F2431" s="36" t="s">
        <v>115</v>
      </c>
    </row>
    <row r="2432" spans="1:6">
      <c r="A2432" s="38">
        <v>45686.15625</v>
      </c>
      <c r="B2432" s="39">
        <v>1749.31005859375</v>
      </c>
      <c r="C2432" s="39">
        <v>1721.306640625</v>
      </c>
      <c r="D2432" s="41">
        <v>1885050</v>
      </c>
      <c r="E2432" s="36" t="s">
        <v>657</v>
      </c>
      <c r="F2432" s="36" t="s">
        <v>115</v>
      </c>
    </row>
    <row r="2433" spans="1:6">
      <c r="A2433" s="38">
        <v>45687.15625</v>
      </c>
      <c r="B2433" s="39">
        <v>1665.469970703125</v>
      </c>
      <c r="C2433" s="39">
        <v>1642.3763427734375</v>
      </c>
      <c r="D2433" s="41">
        <v>2721965</v>
      </c>
      <c r="E2433" s="36" t="s">
        <v>657</v>
      </c>
      <c r="F2433" s="36" t="s">
        <v>115</v>
      </c>
    </row>
    <row r="2434" spans="1:6">
      <c r="A2434" s="38">
        <v>45688.15625</v>
      </c>
      <c r="B2434" s="39">
        <v>1652.77001953125</v>
      </c>
      <c r="C2434" s="39">
        <v>1629.8525390625</v>
      </c>
      <c r="D2434" s="41">
        <v>1847675</v>
      </c>
      <c r="E2434" s="36" t="s">
        <v>657</v>
      </c>
      <c r="F2434" s="36" t="s">
        <v>115</v>
      </c>
    </row>
    <row r="2435" spans="1:6">
      <c r="A2435" s="38">
        <v>45689.15625</v>
      </c>
      <c r="B2435" s="39">
        <v>1615.27001953125</v>
      </c>
      <c r="C2435" s="39">
        <v>1592.8724365234375</v>
      </c>
      <c r="D2435" s="41">
        <v>937265</v>
      </c>
      <c r="E2435" s="36" t="s">
        <v>657</v>
      </c>
      <c r="F2435" s="36" t="s">
        <v>115</v>
      </c>
    </row>
    <row r="2436" spans="1:6">
      <c r="A2436" s="38">
        <v>45691.15625</v>
      </c>
      <c r="B2436" s="39">
        <v>1668.8199462890625</v>
      </c>
      <c r="C2436" s="39">
        <v>1645.6800537109375</v>
      </c>
      <c r="D2436" s="41">
        <v>2057765</v>
      </c>
      <c r="E2436" s="36" t="s">
        <v>657</v>
      </c>
      <c r="F2436" s="36" t="s">
        <v>115</v>
      </c>
    </row>
    <row r="2437" spans="1:6">
      <c r="A2437" s="38">
        <v>45692.15625</v>
      </c>
      <c r="B2437" s="39">
        <v>1691.81005859375</v>
      </c>
      <c r="C2437" s="39">
        <v>1668.3511962890625</v>
      </c>
      <c r="D2437" s="41">
        <v>2373995</v>
      </c>
      <c r="E2437" s="36" t="s">
        <v>657</v>
      </c>
      <c r="F2437" s="36" t="s">
        <v>115</v>
      </c>
    </row>
    <row r="2438" spans="1:6">
      <c r="A2438" s="38">
        <v>45693.15625</v>
      </c>
      <c r="B2438" s="39">
        <v>1700.4300537109375</v>
      </c>
      <c r="C2438" s="39">
        <v>1676.8515625</v>
      </c>
      <c r="D2438" s="41">
        <v>1488925</v>
      </c>
      <c r="E2438" s="36" t="s">
        <v>657</v>
      </c>
      <c r="F2438" s="36" t="s">
        <v>115</v>
      </c>
    </row>
    <row r="2439" spans="1:6">
      <c r="A2439" s="38">
        <v>45694.15625</v>
      </c>
      <c r="B2439" s="39">
        <v>1704.27001953125</v>
      </c>
      <c r="C2439" s="39">
        <v>1680.638427734375</v>
      </c>
      <c r="D2439" s="41">
        <v>1204375</v>
      </c>
      <c r="E2439" s="36" t="s">
        <v>657</v>
      </c>
      <c r="F2439" s="36" t="s">
        <v>115</v>
      </c>
    </row>
    <row r="2440" spans="1:6">
      <c r="A2440" s="38">
        <v>45695.15625</v>
      </c>
      <c r="B2440" s="39">
        <v>1707.1700439453125</v>
      </c>
      <c r="C2440" s="39">
        <v>1683.4981689453125</v>
      </c>
      <c r="D2440" s="41">
        <v>1508765</v>
      </c>
      <c r="E2440" s="36" t="s">
        <v>657</v>
      </c>
      <c r="F2440" s="36" t="s">
        <v>115</v>
      </c>
    </row>
    <row r="2441" spans="1:6">
      <c r="A2441" s="38">
        <v>45698.15625</v>
      </c>
      <c r="B2441" s="39">
        <v>1682.8900146484375</v>
      </c>
      <c r="C2441" s="39">
        <v>1659.554931640625</v>
      </c>
      <c r="D2441" s="41">
        <v>1345735</v>
      </c>
      <c r="E2441" s="36" t="s">
        <v>657</v>
      </c>
      <c r="F2441" s="36" t="s">
        <v>115</v>
      </c>
    </row>
    <row r="2442" spans="1:6">
      <c r="A2442" s="38">
        <v>45699.15625</v>
      </c>
      <c r="B2442" s="39">
        <v>1619.3499755859375</v>
      </c>
      <c r="C2442" s="39">
        <v>1596.8958740234375</v>
      </c>
      <c r="D2442" s="41">
        <v>1279875</v>
      </c>
      <c r="E2442" s="36" t="s">
        <v>657</v>
      </c>
      <c r="F2442" s="36" t="s">
        <v>115</v>
      </c>
    </row>
    <row r="2443" spans="1:6">
      <c r="A2443" s="38">
        <v>45700.15625</v>
      </c>
      <c r="B2443" s="39">
        <v>1600.8800048828125</v>
      </c>
      <c r="C2443" s="39">
        <v>1578.681884765625</v>
      </c>
      <c r="D2443" s="41">
        <v>5689675</v>
      </c>
      <c r="E2443" s="36" t="s">
        <v>657</v>
      </c>
      <c r="F2443" s="36" t="s">
        <v>115</v>
      </c>
    </row>
    <row r="2444" spans="1:6">
      <c r="A2444" s="38">
        <v>45701.15625</v>
      </c>
      <c r="B2444" s="39">
        <v>1575.0899658203125</v>
      </c>
      <c r="C2444" s="39">
        <v>1553.24951171875</v>
      </c>
      <c r="D2444" s="41">
        <v>1720920</v>
      </c>
      <c r="E2444" s="36" t="s">
        <v>657</v>
      </c>
      <c r="F2444" s="36" t="s">
        <v>115</v>
      </c>
    </row>
    <row r="2445" spans="1:6">
      <c r="A2445" s="38">
        <v>45702.15625</v>
      </c>
      <c r="B2445" s="39">
        <v>1558.6700439453125</v>
      </c>
      <c r="C2445" s="39">
        <v>1537.0572509765625</v>
      </c>
      <c r="D2445" s="41">
        <v>2360225</v>
      </c>
      <c r="E2445" s="36" t="s">
        <v>657</v>
      </c>
      <c r="F2445" s="36" t="s">
        <v>115</v>
      </c>
    </row>
    <row r="2446" spans="1:6">
      <c r="A2446" s="38">
        <v>45705.15625</v>
      </c>
      <c r="B2446" s="39">
        <v>1536.7900390625</v>
      </c>
      <c r="C2446" s="39">
        <v>1515.480712890625</v>
      </c>
      <c r="D2446" s="41">
        <v>2375535</v>
      </c>
      <c r="E2446" s="36" t="s">
        <v>657</v>
      </c>
      <c r="F2446" s="36" t="s">
        <v>115</v>
      </c>
    </row>
    <row r="2447" spans="1:6">
      <c r="A2447" s="38">
        <v>45706.15625</v>
      </c>
      <c r="B2447" s="39">
        <v>1538.449951171875</v>
      </c>
      <c r="C2447" s="39">
        <v>1517.1175537109375</v>
      </c>
      <c r="D2447" s="41">
        <v>2664345</v>
      </c>
      <c r="E2447" s="36" t="s">
        <v>657</v>
      </c>
      <c r="F2447" s="36" t="s">
        <v>115</v>
      </c>
    </row>
    <row r="2448" spans="1:6">
      <c r="A2448" s="38">
        <v>45707.15625</v>
      </c>
      <c r="B2448" s="39">
        <v>1554.9300537109375</v>
      </c>
      <c r="C2448" s="39">
        <v>1533.369140625</v>
      </c>
      <c r="D2448" s="41">
        <v>1992460</v>
      </c>
      <c r="E2448" s="36" t="s">
        <v>657</v>
      </c>
      <c r="F2448" s="36" t="s">
        <v>115</v>
      </c>
    </row>
    <row r="2449" spans="1:6">
      <c r="A2449" s="38">
        <v>45708.15625</v>
      </c>
      <c r="B2449" s="39">
        <v>1558.6700439453125</v>
      </c>
      <c r="C2449" s="39">
        <v>1537.0572509765625</v>
      </c>
      <c r="D2449" s="41">
        <v>2927410</v>
      </c>
      <c r="E2449" s="36" t="s">
        <v>657</v>
      </c>
      <c r="F2449" s="36" t="s">
        <v>115</v>
      </c>
    </row>
    <row r="2450" spans="1:6">
      <c r="A2450" s="38">
        <v>45709.15625</v>
      </c>
      <c r="B2450" s="39">
        <v>1499.239990234375</v>
      </c>
      <c r="C2450" s="39">
        <v>1478.451416015625</v>
      </c>
      <c r="D2450" s="41">
        <v>3057110</v>
      </c>
      <c r="E2450" s="36" t="s">
        <v>657</v>
      </c>
      <c r="F2450" s="36" t="s">
        <v>115</v>
      </c>
    </row>
    <row r="2451" spans="1:6">
      <c r="A2451" s="38">
        <v>45712.15625</v>
      </c>
      <c r="B2451" s="39">
        <v>1525.6800537109375</v>
      </c>
      <c r="C2451" s="39">
        <v>1504.524658203125</v>
      </c>
      <c r="D2451" s="41">
        <v>3253465</v>
      </c>
      <c r="E2451" s="36" t="s">
        <v>657</v>
      </c>
      <c r="F2451" s="36" t="s">
        <v>115</v>
      </c>
    </row>
    <row r="2452" spans="1:6">
      <c r="A2452" s="38">
        <v>45713.15625</v>
      </c>
      <c r="B2452" s="39">
        <v>1526.75</v>
      </c>
      <c r="C2452" s="39">
        <v>1505.5797119140625</v>
      </c>
      <c r="D2452" s="41">
        <v>1271640</v>
      </c>
      <c r="E2452" s="36" t="s">
        <v>657</v>
      </c>
      <c r="F2452" s="36" t="s">
        <v>115</v>
      </c>
    </row>
    <row r="2453" spans="1:6">
      <c r="A2453" s="38">
        <v>45715.15625</v>
      </c>
      <c r="B2453" s="39">
        <v>1497.800048828125</v>
      </c>
      <c r="C2453" s="39">
        <v>1477.0313720703125</v>
      </c>
      <c r="D2453" s="41">
        <v>1368470</v>
      </c>
      <c r="E2453" s="36" t="s">
        <v>657</v>
      </c>
      <c r="F2453" s="36" t="s">
        <v>115</v>
      </c>
    </row>
    <row r="2454" spans="1:6">
      <c r="A2454" s="38">
        <v>45716.15625</v>
      </c>
      <c r="B2454" s="39">
        <v>1472.4300537109375</v>
      </c>
      <c r="C2454" s="39">
        <v>1452.01318359375</v>
      </c>
      <c r="D2454" s="41">
        <v>7373890</v>
      </c>
      <c r="E2454" s="36" t="s">
        <v>657</v>
      </c>
      <c r="F2454" s="36" t="s">
        <v>115</v>
      </c>
    </row>
    <row r="2455" spans="1:6">
      <c r="A2455" s="38">
        <v>45719.15625</v>
      </c>
      <c r="B2455" s="39">
        <v>1471.4100341796875</v>
      </c>
      <c r="C2455" s="39">
        <v>1451.0072021484375</v>
      </c>
      <c r="D2455" s="41">
        <v>1711805</v>
      </c>
      <c r="E2455" s="36" t="s">
        <v>657</v>
      </c>
      <c r="F2455" s="36" t="s">
        <v>115</v>
      </c>
    </row>
    <row r="2456" spans="1:6">
      <c r="A2456" s="38">
        <v>45720.15625</v>
      </c>
      <c r="B2456" s="39">
        <v>1442.47998046875</v>
      </c>
      <c r="C2456" s="39">
        <v>1422.478271484375</v>
      </c>
      <c r="D2456" s="41">
        <v>2133295</v>
      </c>
      <c r="E2456" s="36" t="s">
        <v>657</v>
      </c>
      <c r="F2456" s="36" t="s">
        <v>115</v>
      </c>
    </row>
    <row r="2457" spans="1:6">
      <c r="A2457" s="38">
        <v>45721.15625</v>
      </c>
      <c r="B2457" s="39">
        <v>1562.8399658203125</v>
      </c>
      <c r="C2457" s="39">
        <v>1541.1693115234375</v>
      </c>
      <c r="D2457" s="41">
        <v>16970990</v>
      </c>
      <c r="E2457" s="36" t="s">
        <v>657</v>
      </c>
      <c r="F2457" s="36" t="s">
        <v>115</v>
      </c>
    </row>
    <row r="2458" spans="1:6">
      <c r="A2458" s="38">
        <v>45722.15625</v>
      </c>
      <c r="B2458" s="39">
        <v>1525.030029296875</v>
      </c>
      <c r="C2458" s="39">
        <v>1503.8839111328125</v>
      </c>
      <c r="D2458" s="41">
        <v>5258055</v>
      </c>
      <c r="E2458" s="36" t="s">
        <v>657</v>
      </c>
      <c r="F2458" s="36" t="s">
        <v>115</v>
      </c>
    </row>
    <row r="2459" spans="1:6">
      <c r="A2459" s="38">
        <v>45723.15625</v>
      </c>
      <c r="B2459" s="39">
        <v>1541.449951171875</v>
      </c>
      <c r="C2459" s="39">
        <v>1520.0760498046875</v>
      </c>
      <c r="D2459" s="41">
        <v>3535940</v>
      </c>
      <c r="E2459" s="36" t="s">
        <v>657</v>
      </c>
      <c r="F2459" s="36" t="s">
        <v>115</v>
      </c>
    </row>
    <row r="2460" spans="1:6">
      <c r="A2460" s="38">
        <v>45726.15625</v>
      </c>
      <c r="B2460" s="39">
        <v>1506.9100341796875</v>
      </c>
      <c r="C2460" s="39">
        <v>1486.014892578125</v>
      </c>
      <c r="D2460" s="41">
        <v>1325145</v>
      </c>
      <c r="E2460" s="36" t="s">
        <v>657</v>
      </c>
      <c r="F2460" s="36" t="s">
        <v>115</v>
      </c>
    </row>
    <row r="2461" spans="1:6">
      <c r="A2461" s="38">
        <v>45727.15625</v>
      </c>
      <c r="B2461" s="39">
        <v>1526.4200439453125</v>
      </c>
      <c r="C2461" s="39">
        <v>1505.2545166015625</v>
      </c>
      <c r="D2461" s="41">
        <v>2961420</v>
      </c>
      <c r="E2461" s="36" t="s">
        <v>657</v>
      </c>
      <c r="F2461" s="36" t="s">
        <v>115</v>
      </c>
    </row>
    <row r="2462" spans="1:6">
      <c r="A2462" s="38">
        <v>45728.15625</v>
      </c>
      <c r="B2462" s="39">
        <v>1480.06005859375</v>
      </c>
      <c r="C2462" s="39">
        <v>1459.5372314453125</v>
      </c>
      <c r="D2462" s="41">
        <v>3819490</v>
      </c>
      <c r="E2462" s="36" t="s">
        <v>657</v>
      </c>
      <c r="F2462" s="36" t="s">
        <v>115</v>
      </c>
    </row>
    <row r="2463" spans="1:6">
      <c r="A2463" s="38">
        <v>45729.15625</v>
      </c>
      <c r="B2463" s="39">
        <v>1458.449951171875</v>
      </c>
      <c r="C2463" s="39">
        <v>1438.2269287109375</v>
      </c>
      <c r="D2463" s="41">
        <v>1455270</v>
      </c>
      <c r="E2463" s="36" t="s">
        <v>657</v>
      </c>
      <c r="F2463" s="36" t="s">
        <v>115</v>
      </c>
    </row>
    <row r="2464" spans="1:6">
      <c r="A2464" s="38">
        <v>45733.15625</v>
      </c>
      <c r="B2464" s="39">
        <v>1473.010009765625</v>
      </c>
      <c r="C2464" s="39">
        <v>1452.5850830078125</v>
      </c>
      <c r="D2464" s="41">
        <v>2070180</v>
      </c>
      <c r="E2464" s="36" t="s">
        <v>657</v>
      </c>
      <c r="F2464" s="36" t="s">
        <v>115</v>
      </c>
    </row>
    <row r="2465" spans="1:6">
      <c r="A2465" s="38">
        <v>45734.15625</v>
      </c>
      <c r="B2465" s="39">
        <v>1473.010009765625</v>
      </c>
      <c r="C2465" s="39">
        <v>1452.5850830078125</v>
      </c>
      <c r="D2465" s="41">
        <v>0</v>
      </c>
      <c r="E2465" s="36" t="s">
        <v>657</v>
      </c>
      <c r="F2465" s="36" t="s">
        <v>115</v>
      </c>
    </row>
    <row r="2466" spans="1:6">
      <c r="A2466" s="38">
        <v>45735.15625</v>
      </c>
      <c r="B2466" s="39">
        <v>1510.0899658203125</v>
      </c>
      <c r="C2466" s="39">
        <v>1489.150634765625</v>
      </c>
      <c r="D2466" s="41">
        <v>1967245</v>
      </c>
      <c r="E2466" s="36" t="s">
        <v>657</v>
      </c>
      <c r="F2466" s="36" t="s">
        <v>115</v>
      </c>
    </row>
    <row r="2467" spans="1:6">
      <c r="A2467" s="38">
        <v>45736.15625</v>
      </c>
      <c r="B2467" s="39">
        <v>1515.6600341796875</v>
      </c>
      <c r="C2467" s="39">
        <v>1494.6436767578125</v>
      </c>
      <c r="D2467" s="41">
        <v>1799675</v>
      </c>
      <c r="E2467" s="36" t="s">
        <v>657</v>
      </c>
      <c r="F2467" s="36" t="s">
        <v>115</v>
      </c>
    </row>
    <row r="2468" spans="1:6">
      <c r="A2468" s="38">
        <v>45737.15625</v>
      </c>
      <c r="B2468" s="39">
        <v>1549.3599853515625</v>
      </c>
      <c r="C2468" s="39">
        <v>1527.8763427734375</v>
      </c>
      <c r="D2468" s="41">
        <v>5739725</v>
      </c>
      <c r="E2468" s="36" t="s">
        <v>657</v>
      </c>
      <c r="F2468" s="36" t="s">
        <v>115</v>
      </c>
    </row>
    <row r="2469" spans="1:6">
      <c r="A2469" s="38">
        <v>45740.15625</v>
      </c>
      <c r="B2469" s="39">
        <v>1553.9100341796875</v>
      </c>
      <c r="C2469" s="39">
        <v>1532.36328125</v>
      </c>
      <c r="D2469" s="41">
        <v>2805970</v>
      </c>
      <c r="E2469" s="36" t="s">
        <v>657</v>
      </c>
      <c r="F2469" s="36" t="s">
        <v>115</v>
      </c>
    </row>
    <row r="2470" spans="1:6">
      <c r="A2470" s="38">
        <v>45741.15625</v>
      </c>
      <c r="B2470" s="39">
        <v>1591.6400146484375</v>
      </c>
      <c r="C2470" s="39">
        <v>1569.5699462890625</v>
      </c>
      <c r="D2470" s="41">
        <v>4540895</v>
      </c>
      <c r="E2470" s="36" t="s">
        <v>657</v>
      </c>
      <c r="F2470" s="36" t="s">
        <v>115</v>
      </c>
    </row>
    <row r="2471" spans="1:6">
      <c r="A2471" s="38">
        <v>45742.15625</v>
      </c>
      <c r="B2471" s="39">
        <v>1605.43994140625</v>
      </c>
      <c r="C2471" s="39">
        <v>1583.1785888671875</v>
      </c>
      <c r="D2471" s="41">
        <v>3309815</v>
      </c>
      <c r="E2471" s="36" t="s">
        <v>657</v>
      </c>
      <c r="F2471" s="36" t="s">
        <v>115</v>
      </c>
    </row>
    <row r="2472" spans="1:6">
      <c r="A2472" s="38">
        <v>45743.15625</v>
      </c>
      <c r="B2472" s="39">
        <v>1621.52001953125</v>
      </c>
      <c r="C2472" s="39">
        <v>1599.035888671875</v>
      </c>
      <c r="D2472" s="41">
        <v>2713415</v>
      </c>
      <c r="E2472" s="36" t="s">
        <v>657</v>
      </c>
      <c r="F2472" s="36" t="s">
        <v>115</v>
      </c>
    </row>
    <row r="2473" spans="1:6">
      <c r="A2473" s="38">
        <v>45744.15625</v>
      </c>
      <c r="B2473" s="39">
        <v>1621.8399658203125</v>
      </c>
      <c r="C2473" s="39">
        <v>1599.3514404296875</v>
      </c>
      <c r="D2473" s="41">
        <v>2518165</v>
      </c>
      <c r="E2473" s="36" t="s">
        <v>657</v>
      </c>
      <c r="F2473" s="36" t="s">
        <v>115</v>
      </c>
    </row>
    <row r="2474" spans="1:6">
      <c r="A2474" s="38">
        <v>45748.15625</v>
      </c>
      <c r="B2474" s="39">
        <v>1556.1600341796875</v>
      </c>
      <c r="C2474" s="39">
        <v>1534.58203125</v>
      </c>
      <c r="D2474" s="41">
        <v>2221335</v>
      </c>
      <c r="E2474" s="36" t="s">
        <v>658</v>
      </c>
      <c r="F2474" s="36" t="s">
        <v>115</v>
      </c>
    </row>
    <row r="2475" spans="1:6">
      <c r="A2475" s="38">
        <v>45749.15625</v>
      </c>
      <c r="B2475" s="39">
        <v>1552.31005859375</v>
      </c>
      <c r="C2475" s="39">
        <v>1530.7855224609375</v>
      </c>
      <c r="D2475" s="41">
        <v>2470850</v>
      </c>
      <c r="E2475" s="36" t="s">
        <v>658</v>
      </c>
      <c r="F2475" s="36" t="s">
        <v>115</v>
      </c>
    </row>
    <row r="2476" spans="1:6">
      <c r="A2476" s="38">
        <v>45750.15625</v>
      </c>
      <c r="B2476" s="39">
        <v>1431.47998046875</v>
      </c>
      <c r="C2476" s="39">
        <v>1411.6309814453125</v>
      </c>
      <c r="D2476" s="41">
        <v>6409960</v>
      </c>
      <c r="E2476" s="36" t="s">
        <v>658</v>
      </c>
      <c r="F2476" s="36" t="s">
        <v>115</v>
      </c>
    </row>
    <row r="2477" spans="1:6">
      <c r="A2477" s="38">
        <v>45751.15625</v>
      </c>
      <c r="B2477" s="39">
        <v>1321.5799560546875</v>
      </c>
      <c r="C2477" s="39">
        <v>1303.2548828125</v>
      </c>
      <c r="D2477" s="41">
        <v>11705110</v>
      </c>
      <c r="E2477" s="36" t="s">
        <v>658</v>
      </c>
      <c r="F2477" s="36" t="s">
        <v>115</v>
      </c>
    </row>
    <row r="2478" spans="1:6">
      <c r="A2478" s="38">
        <v>45754.15625</v>
      </c>
      <c r="B2478" s="39">
        <v>1268.1400146484375</v>
      </c>
      <c r="C2478" s="39">
        <v>1250.5557861328125</v>
      </c>
      <c r="D2478" s="41">
        <v>11740295</v>
      </c>
      <c r="E2478" s="36" t="s">
        <v>658</v>
      </c>
      <c r="F2478" s="36" t="s">
        <v>115</v>
      </c>
    </row>
    <row r="2479" spans="1:6">
      <c r="A2479" s="38">
        <v>45755.15625</v>
      </c>
      <c r="B2479" s="39">
        <v>1294.52001953125</v>
      </c>
      <c r="C2479" s="39">
        <v>1276.56982421875</v>
      </c>
      <c r="D2479" s="41">
        <v>4082910</v>
      </c>
      <c r="E2479" s="36" t="s">
        <v>658</v>
      </c>
      <c r="F2479" s="36" t="s">
        <v>115</v>
      </c>
    </row>
    <row r="2480" spans="1:6">
      <c r="A2480" s="38">
        <v>45756.15625</v>
      </c>
      <c r="B2480" s="39">
        <v>1264.72998046875</v>
      </c>
      <c r="C2480" s="39">
        <v>1247.1929931640625</v>
      </c>
      <c r="D2480" s="41">
        <v>5467845</v>
      </c>
      <c r="E2480" s="36" t="s">
        <v>658</v>
      </c>
      <c r="F2480" s="36" t="s">
        <v>115</v>
      </c>
    </row>
    <row r="2481" spans="1:6">
      <c r="A2481" s="38">
        <v>45758.15625</v>
      </c>
      <c r="B2481" s="39">
        <v>1263.3299560546875</v>
      </c>
      <c r="C2481" s="39">
        <v>1245.8125</v>
      </c>
      <c r="D2481" s="41">
        <v>8440465</v>
      </c>
      <c r="E2481" s="36" t="s">
        <v>658</v>
      </c>
      <c r="F2481" s="36" t="s">
        <v>115</v>
      </c>
    </row>
    <row r="2482" spans="1:6">
      <c r="A2482" s="38">
        <v>45762.15625</v>
      </c>
      <c r="B2482" s="39">
        <v>1293.199951171875</v>
      </c>
      <c r="C2482" s="39">
        <v>1275.2681884765625</v>
      </c>
      <c r="D2482" s="41">
        <v>2791565</v>
      </c>
      <c r="E2482" s="36" t="s">
        <v>658</v>
      </c>
      <c r="F2482" s="36" t="s">
        <v>115</v>
      </c>
    </row>
    <row r="2483" spans="1:6">
      <c r="A2483" s="38">
        <v>45763.15625</v>
      </c>
      <c r="B2483" s="39">
        <v>1281.5999755859375</v>
      </c>
      <c r="C2483" s="39">
        <v>1263.8292236328125</v>
      </c>
      <c r="D2483" s="41">
        <v>2153440</v>
      </c>
      <c r="E2483" s="36" t="s">
        <v>658</v>
      </c>
      <c r="F2483" s="36" t="s">
        <v>115</v>
      </c>
    </row>
    <row r="2484" spans="1:6">
      <c r="A2484" s="38">
        <v>45764.15625</v>
      </c>
      <c r="B2484" s="39">
        <v>1320</v>
      </c>
      <c r="C2484" s="39">
        <v>1301.6966552734375</v>
      </c>
      <c r="D2484" s="41">
        <v>8477320</v>
      </c>
      <c r="E2484" s="36" t="s">
        <v>658</v>
      </c>
      <c r="F2484" s="36" t="s">
        <v>115</v>
      </c>
    </row>
    <row r="2485" spans="1:6">
      <c r="A2485" s="38">
        <v>45768.15625</v>
      </c>
      <c r="B2485" s="39">
        <v>1387.5999755859375</v>
      </c>
      <c r="C2485" s="39">
        <v>1368.359375</v>
      </c>
      <c r="D2485" s="41">
        <v>4754435</v>
      </c>
      <c r="E2485" s="36" t="s">
        <v>658</v>
      </c>
      <c r="F2485" s="36" t="s">
        <v>115</v>
      </c>
    </row>
    <row r="2486" spans="1:6">
      <c r="A2486" s="38">
        <v>45769.15625</v>
      </c>
      <c r="B2486" s="39">
        <v>1391.199951171875</v>
      </c>
      <c r="C2486" s="39">
        <v>1371.909423828125</v>
      </c>
      <c r="D2486" s="41">
        <v>2141160</v>
      </c>
      <c r="E2486" s="36" t="s">
        <v>658</v>
      </c>
      <c r="F2486" s="36" t="s">
        <v>115</v>
      </c>
    </row>
    <row r="2487" spans="1:6">
      <c r="A2487" s="38">
        <v>45770.15625</v>
      </c>
      <c r="B2487" s="39">
        <v>1478.4000244140625</v>
      </c>
      <c r="C2487" s="39">
        <v>1457.9002685546875</v>
      </c>
      <c r="D2487" s="41">
        <v>8121570</v>
      </c>
      <c r="E2487" s="36" t="s">
        <v>658</v>
      </c>
      <c r="F2487" s="36" t="s">
        <v>115</v>
      </c>
    </row>
    <row r="2488" spans="1:6">
      <c r="A2488" s="38">
        <v>45771.15625</v>
      </c>
      <c r="B2488" s="39">
        <v>1450.199951171875</v>
      </c>
      <c r="C2488" s="39">
        <v>1430.0911865234375</v>
      </c>
      <c r="D2488" s="41">
        <v>3868135</v>
      </c>
      <c r="E2488" s="36" t="s">
        <v>658</v>
      </c>
      <c r="F2488" s="36" t="s">
        <v>115</v>
      </c>
    </row>
    <row r="2489" spans="1:6">
      <c r="A2489" s="38">
        <v>45772.15625</v>
      </c>
      <c r="B2489" s="39">
        <v>1478</v>
      </c>
      <c r="C2489" s="39">
        <v>1457.505859375</v>
      </c>
      <c r="D2489" s="41">
        <v>5022010</v>
      </c>
      <c r="E2489" s="36" t="s">
        <v>658</v>
      </c>
      <c r="F2489" s="36" t="s">
        <v>115</v>
      </c>
    </row>
    <row r="2490" spans="1:6">
      <c r="A2490" s="38">
        <v>45775.15625</v>
      </c>
      <c r="B2490" s="39">
        <v>1475.5</v>
      </c>
      <c r="C2490" s="39">
        <v>1455.0404052734375</v>
      </c>
      <c r="D2490" s="41">
        <v>2291125</v>
      </c>
      <c r="E2490" s="36" t="s">
        <v>658</v>
      </c>
      <c r="F2490" s="36" t="s">
        <v>115</v>
      </c>
    </row>
    <row r="2491" spans="1:6">
      <c r="A2491" s="38">
        <v>45776.15625</v>
      </c>
      <c r="B2491" s="39">
        <v>1497</v>
      </c>
      <c r="C2491" s="39">
        <v>1476.2423095703125</v>
      </c>
      <c r="D2491" s="41">
        <v>2852330</v>
      </c>
      <c r="E2491" s="36" t="s">
        <v>658</v>
      </c>
      <c r="F2491" s="36" t="s">
        <v>115</v>
      </c>
    </row>
    <row r="2492" spans="1:6">
      <c r="A2492" s="38">
        <v>45777.15625</v>
      </c>
      <c r="B2492" s="39">
        <v>1461</v>
      </c>
      <c r="C2492" s="39">
        <v>1440.741455078125</v>
      </c>
      <c r="D2492" s="41">
        <v>2021165</v>
      </c>
      <c r="E2492" s="36" t="s">
        <v>658</v>
      </c>
      <c r="F2492" s="36" t="s">
        <v>115</v>
      </c>
    </row>
    <row r="2493" spans="1:6">
      <c r="A2493" s="38">
        <v>45779.15625</v>
      </c>
      <c r="B2493" s="39">
        <v>1475.0999755859375</v>
      </c>
      <c r="C2493" s="39">
        <v>1454.6458740234375</v>
      </c>
      <c r="D2493" s="41">
        <v>2079045</v>
      </c>
      <c r="E2493" s="36" t="s">
        <v>658</v>
      </c>
      <c r="F2493" s="36" t="s">
        <v>115</v>
      </c>
    </row>
    <row r="2494" spans="1:6">
      <c r="A2494" s="38">
        <v>45782.15625</v>
      </c>
      <c r="B2494" s="39">
        <v>1499.300048828125</v>
      </c>
      <c r="C2494" s="39">
        <v>1478.510498046875</v>
      </c>
      <c r="D2494" s="41">
        <v>2420060</v>
      </c>
      <c r="E2494" s="36" t="s">
        <v>658</v>
      </c>
      <c r="F2494" s="36" t="s">
        <v>115</v>
      </c>
    </row>
    <row r="2495" spans="1:6">
      <c r="A2495" s="38">
        <v>45783.15625</v>
      </c>
      <c r="B2495" s="39">
        <v>1485.199951171875</v>
      </c>
      <c r="C2495" s="39">
        <v>1464.60595703125</v>
      </c>
      <c r="D2495" s="41">
        <v>11503675</v>
      </c>
      <c r="E2495" s="36" t="s">
        <v>658</v>
      </c>
      <c r="F2495" s="36" t="s">
        <v>115</v>
      </c>
    </row>
    <row r="2496" spans="1:6">
      <c r="A2496" s="38">
        <v>45784.15625</v>
      </c>
      <c r="B2496" s="39">
        <v>1520</v>
      </c>
      <c r="C2496" s="39">
        <v>1498.9234619140625</v>
      </c>
      <c r="D2496" s="41">
        <v>2994720</v>
      </c>
      <c r="E2496" s="36" t="s">
        <v>658</v>
      </c>
      <c r="F2496" s="36" t="s">
        <v>115</v>
      </c>
    </row>
    <row r="2497" spans="1:6">
      <c r="A2497" s="38">
        <v>45785.15625</v>
      </c>
      <c r="B2497" s="39">
        <v>1550.9000244140625</v>
      </c>
      <c r="C2497" s="39">
        <v>1529.39501953125</v>
      </c>
      <c r="D2497" s="41">
        <v>5923215</v>
      </c>
      <c r="E2497" s="36" t="s">
        <v>658</v>
      </c>
      <c r="F2497" s="36" t="s">
        <v>115</v>
      </c>
    </row>
    <row r="2498" spans="1:6">
      <c r="A2498" s="38">
        <v>45786.15625</v>
      </c>
      <c r="B2498" s="39">
        <v>1536.199951171875</v>
      </c>
      <c r="C2498" s="39">
        <v>1518.61962890625</v>
      </c>
      <c r="D2498" s="41">
        <v>2793100</v>
      </c>
      <c r="E2498" s="36" t="s">
        <v>658</v>
      </c>
      <c r="F2498" s="36" t="s">
        <v>115</v>
      </c>
    </row>
    <row r="2499" spans="1:6">
      <c r="A2499" s="38">
        <v>45789.15625</v>
      </c>
      <c r="B2499" s="39">
        <v>1662.300048828125</v>
      </c>
      <c r="C2499" s="39">
        <v>1643.276611328125</v>
      </c>
      <c r="D2499" s="41">
        <v>6150415</v>
      </c>
      <c r="E2499" s="36" t="s">
        <v>658</v>
      </c>
      <c r="F2499" s="36" t="s">
        <v>115</v>
      </c>
    </row>
    <row r="2500" spans="1:6">
      <c r="A2500" s="38">
        <v>45790.15625</v>
      </c>
      <c r="B2500" s="39">
        <v>1653.300048828125</v>
      </c>
      <c r="C2500" s="39">
        <v>1634.3797607421875</v>
      </c>
      <c r="D2500" s="41">
        <v>3061420</v>
      </c>
      <c r="E2500" s="36" t="s">
        <v>658</v>
      </c>
      <c r="F2500" s="36" t="s">
        <v>115</v>
      </c>
    </row>
    <row r="2501" spans="1:6">
      <c r="A2501" s="38">
        <v>45791.15625</v>
      </c>
      <c r="B2501" s="39">
        <v>1692.699951171875</v>
      </c>
      <c r="C2501" s="39">
        <v>1673.32861328125</v>
      </c>
      <c r="D2501" s="41">
        <v>3161205</v>
      </c>
      <c r="E2501" s="36" t="s">
        <v>658</v>
      </c>
      <c r="F2501" s="36" t="s">
        <v>115</v>
      </c>
    </row>
    <row r="2502" spans="1:6">
      <c r="A2502" s="38">
        <v>45792.15625</v>
      </c>
      <c r="B2502" s="39">
        <v>1692.199951171875</v>
      </c>
      <c r="C2502" s="39">
        <v>1672.8343505859375</v>
      </c>
      <c r="D2502" s="41">
        <v>2536890</v>
      </c>
      <c r="E2502" s="36" t="s">
        <v>658</v>
      </c>
      <c r="F2502" s="36" t="s">
        <v>115</v>
      </c>
    </row>
    <row r="2503" spans="1:6">
      <c r="A2503" s="38">
        <v>45793.15625</v>
      </c>
      <c r="B2503" s="39">
        <v>1685.199951171875</v>
      </c>
      <c r="C2503" s="39">
        <v>1665.91455078125</v>
      </c>
      <c r="D2503" s="41">
        <v>1186730</v>
      </c>
      <c r="E2503" s="36" t="s">
        <v>658</v>
      </c>
      <c r="F2503" s="36" t="s">
        <v>115</v>
      </c>
    </row>
    <row r="2504" spans="1:6">
      <c r="A2504" s="38">
        <v>45796.15625</v>
      </c>
      <c r="B2504" s="39">
        <v>1655.0999755859375</v>
      </c>
      <c r="C2504" s="39">
        <v>1636.1590576171875</v>
      </c>
      <c r="D2504" s="41">
        <v>1391245</v>
      </c>
      <c r="E2504" s="36" t="s">
        <v>658</v>
      </c>
      <c r="F2504" s="36" t="s">
        <v>115</v>
      </c>
    </row>
    <row r="2505" spans="1:6">
      <c r="A2505" s="38">
        <v>45797.15625</v>
      </c>
      <c r="B2505" s="39">
        <v>1641.0999755859375</v>
      </c>
      <c r="C2505" s="39">
        <v>1622.3192138671875</v>
      </c>
      <c r="D2505" s="41">
        <v>4093215</v>
      </c>
      <c r="E2505" s="36" t="s">
        <v>658</v>
      </c>
      <c r="F2505" s="36" t="s">
        <v>115</v>
      </c>
    </row>
    <row r="2506" spans="1:6">
      <c r="A2506" s="38">
        <v>45798.15625</v>
      </c>
      <c r="B2506" s="39">
        <v>1653.199951171875</v>
      </c>
      <c r="C2506" s="39">
        <v>1634.28076171875</v>
      </c>
      <c r="D2506" s="41">
        <v>1140780</v>
      </c>
      <c r="E2506" s="36" t="s">
        <v>658</v>
      </c>
      <c r="F2506" s="36" t="s">
        <v>115</v>
      </c>
    </row>
    <row r="2507" spans="1:6">
      <c r="A2507" s="38">
        <v>45799.15625</v>
      </c>
      <c r="B2507" s="39">
        <v>1652.4000244140625</v>
      </c>
      <c r="C2507" s="39">
        <v>1633.4898681640625</v>
      </c>
      <c r="D2507" s="41">
        <v>1588285</v>
      </c>
      <c r="E2507" s="36" t="s">
        <v>658</v>
      </c>
      <c r="F2507" s="36" t="s">
        <v>115</v>
      </c>
    </row>
    <row r="2508" spans="1:6">
      <c r="A2508" s="38">
        <v>45800.15625</v>
      </c>
      <c r="B2508" s="39">
        <v>1664.300048828125</v>
      </c>
      <c r="C2508" s="39">
        <v>1645.253662109375</v>
      </c>
      <c r="D2508" s="41">
        <v>1916425</v>
      </c>
      <c r="E2508" s="36" t="s">
        <v>658</v>
      </c>
      <c r="F2508" s="36" t="s">
        <v>115</v>
      </c>
    </row>
    <row r="2509" spans="1:6">
      <c r="A2509" s="38">
        <v>45803.15625</v>
      </c>
      <c r="B2509" s="39">
        <v>1691.0999755859375</v>
      </c>
      <c r="C2509" s="39">
        <v>1671.7469482421875</v>
      </c>
      <c r="D2509" s="41">
        <v>1328450</v>
      </c>
      <c r="E2509" s="36" t="s">
        <v>658</v>
      </c>
      <c r="F2509" s="36" t="s">
        <v>115</v>
      </c>
    </row>
    <row r="2510" spans="1:6">
      <c r="A2510" s="38">
        <v>45804.15625</v>
      </c>
      <c r="B2510" s="39">
        <v>1691.9000244140625</v>
      </c>
      <c r="C2510" s="39">
        <v>1672.5379638671875</v>
      </c>
      <c r="D2510" s="41">
        <v>823720</v>
      </c>
      <c r="E2510" s="36" t="s">
        <v>658</v>
      </c>
      <c r="F2510" s="36" t="s">
        <v>115</v>
      </c>
    </row>
    <row r="2511" spans="1:6">
      <c r="A2511" s="38">
        <v>45805.15625</v>
      </c>
      <c r="B2511" s="39">
        <v>1693.4000244140625</v>
      </c>
      <c r="C2511" s="39">
        <v>1674.0206298828125</v>
      </c>
      <c r="D2511" s="41">
        <v>1397865</v>
      </c>
      <c r="E2511" s="36" t="s">
        <v>658</v>
      </c>
      <c r="F2511" s="36" t="s">
        <v>115</v>
      </c>
    </row>
    <row r="2512" spans="1:6">
      <c r="A2512" s="38">
        <v>45806.15625</v>
      </c>
      <c r="B2512" s="39">
        <v>1726.0999755859375</v>
      </c>
      <c r="C2512" s="39">
        <v>1706.346435546875</v>
      </c>
      <c r="D2512" s="41">
        <v>1920635</v>
      </c>
      <c r="E2512" s="36" t="s">
        <v>658</v>
      </c>
      <c r="F2512" s="36" t="s">
        <v>115</v>
      </c>
    </row>
    <row r="2513" spans="1:6">
      <c r="A2513" s="38">
        <v>45807.15625</v>
      </c>
      <c r="B2513" s="39">
        <v>1710.0999755859375</v>
      </c>
      <c r="C2513" s="39">
        <v>1690.529541015625</v>
      </c>
      <c r="D2513" s="41">
        <v>1536140</v>
      </c>
      <c r="E2513" s="36" t="s">
        <v>658</v>
      </c>
      <c r="F2513" s="36" t="s">
        <v>115</v>
      </c>
    </row>
    <row r="2514" spans="1:6">
      <c r="A2514" s="38">
        <v>45810.15625</v>
      </c>
      <c r="B2514" s="39">
        <v>1717.0999755859375</v>
      </c>
      <c r="C2514" s="39">
        <v>1697.4493408203125</v>
      </c>
      <c r="D2514" s="41">
        <v>1574265</v>
      </c>
      <c r="E2514" s="36" t="s">
        <v>658</v>
      </c>
      <c r="F2514" s="36" t="s">
        <v>115</v>
      </c>
    </row>
    <row r="2515" spans="1:6">
      <c r="A2515" s="38">
        <v>45811.15625</v>
      </c>
      <c r="B2515" s="39">
        <v>1699.800048828125</v>
      </c>
      <c r="C2515" s="39">
        <v>1680.347412109375</v>
      </c>
      <c r="D2515" s="41">
        <v>910355</v>
      </c>
      <c r="E2515" s="36" t="s">
        <v>658</v>
      </c>
      <c r="F2515" s="36" t="s">
        <v>115</v>
      </c>
    </row>
    <row r="2516" spans="1:6">
      <c r="A2516" s="38">
        <v>45812.15625</v>
      </c>
      <c r="B2516" s="39">
        <v>1724.5</v>
      </c>
      <c r="C2516" s="39">
        <v>1704.7646484375</v>
      </c>
      <c r="D2516" s="41">
        <v>1812516</v>
      </c>
      <c r="E2516" s="36" t="s">
        <v>658</v>
      </c>
      <c r="F2516" s="36" t="s">
        <v>115</v>
      </c>
    </row>
    <row r="2517" spans="1:6">
      <c r="A2517" s="38">
        <v>45813.15625</v>
      </c>
      <c r="B2517" s="39">
        <v>1766</v>
      </c>
      <c r="C2517" s="39">
        <v>1745.7899169921875</v>
      </c>
      <c r="D2517" s="41">
        <v>2409185</v>
      </c>
      <c r="E2517" s="36" t="s">
        <v>658</v>
      </c>
      <c r="F2517" s="36" t="s">
        <v>115</v>
      </c>
    </row>
    <row r="2518" spans="1:6">
      <c r="A2518" s="38">
        <v>45814.15625</v>
      </c>
      <c r="B2518" s="39">
        <v>1775.5</v>
      </c>
      <c r="C2518" s="39">
        <v>1755.18115234375</v>
      </c>
      <c r="D2518" s="41">
        <v>1206610</v>
      </c>
      <c r="E2518" s="36" t="s">
        <v>658</v>
      </c>
      <c r="F2518" s="36" t="s">
        <v>115</v>
      </c>
    </row>
    <row r="2519" spans="1:6">
      <c r="A2519" s="38">
        <v>45817.15625</v>
      </c>
      <c r="B2519" s="39">
        <v>1794</v>
      </c>
      <c r="C2519" s="39">
        <v>1773.46923828125</v>
      </c>
      <c r="D2519" s="41">
        <v>1439693</v>
      </c>
      <c r="E2519" s="36" t="s">
        <v>658</v>
      </c>
      <c r="F2519" s="36" t="s">
        <v>115</v>
      </c>
    </row>
    <row r="2520" spans="1:6">
      <c r="A2520" s="38">
        <v>45818.15625</v>
      </c>
      <c r="B2520" s="39">
        <v>1830.5</v>
      </c>
      <c r="C2520" s="39">
        <v>1809.5516357421875</v>
      </c>
      <c r="D2520" s="41">
        <v>6550333</v>
      </c>
      <c r="E2520" s="36" t="s">
        <v>658</v>
      </c>
      <c r="F2520" s="36" t="s">
        <v>115</v>
      </c>
    </row>
    <row r="2521" spans="1:6">
      <c r="A2521" s="38">
        <v>45819.15625</v>
      </c>
      <c r="B2521" s="39">
        <v>1816.5</v>
      </c>
      <c r="C2521" s="39">
        <v>1795.7119140625</v>
      </c>
      <c r="D2521" s="41">
        <v>2303047</v>
      </c>
      <c r="E2521" s="36" t="s">
        <v>658</v>
      </c>
      <c r="F2521" s="36" t="s">
        <v>115</v>
      </c>
    </row>
    <row r="2522" spans="1:6">
      <c r="A2522" s="38">
        <v>45820.15625</v>
      </c>
      <c r="B2522" s="39">
        <v>1784.5</v>
      </c>
      <c r="C2522" s="39">
        <v>1764.0782470703125</v>
      </c>
      <c r="D2522" s="41">
        <v>1603658</v>
      </c>
      <c r="E2522" s="36" t="s">
        <v>658</v>
      </c>
      <c r="F2522" s="36" t="s">
        <v>115</v>
      </c>
    </row>
    <row r="2523" spans="1:6">
      <c r="A2523" s="38">
        <v>45821.15625</v>
      </c>
      <c r="B2523" s="39">
        <v>1792.5</v>
      </c>
      <c r="C2523" s="39">
        <v>1771.986572265625</v>
      </c>
      <c r="D2523" s="41">
        <v>1328872</v>
      </c>
      <c r="E2523" s="36" t="s">
        <v>658</v>
      </c>
      <c r="F2523" s="36" t="s">
        <v>115</v>
      </c>
    </row>
    <row r="2524" spans="1:6">
      <c r="A2524" s="38">
        <v>45824.15625</v>
      </c>
      <c r="B2524" s="39">
        <v>1829.5</v>
      </c>
      <c r="C2524" s="39">
        <v>1808.563232421875</v>
      </c>
      <c r="D2524" s="41">
        <v>1346285</v>
      </c>
      <c r="E2524" s="36" t="s">
        <v>658</v>
      </c>
      <c r="F2524" s="36" t="s">
        <v>115</v>
      </c>
    </row>
    <row r="2525" spans="1:6">
      <c r="A2525" s="38">
        <v>45825.15625</v>
      </c>
      <c r="B2525" s="39">
        <v>1840.5</v>
      </c>
      <c r="C2525" s="39">
        <v>1819.4371337890625</v>
      </c>
      <c r="D2525" s="41">
        <v>1357037</v>
      </c>
      <c r="E2525" s="36" t="s">
        <v>658</v>
      </c>
      <c r="F2525" s="36" t="s">
        <v>115</v>
      </c>
    </row>
    <row r="2526" spans="1:6">
      <c r="A2526" s="38">
        <v>45826.15625</v>
      </c>
      <c r="B2526" s="39">
        <v>1833.5</v>
      </c>
      <c r="C2526" s="39">
        <v>1812.517333984375</v>
      </c>
      <c r="D2526" s="41">
        <v>1254949</v>
      </c>
      <c r="E2526" s="36" t="s">
        <v>658</v>
      </c>
      <c r="F2526" s="36" t="s">
        <v>115</v>
      </c>
    </row>
    <row r="2527" spans="1:6">
      <c r="A2527" s="38">
        <v>45827.15625</v>
      </c>
      <c r="B2527" s="39">
        <v>1794</v>
      </c>
      <c r="C2527" s="39">
        <v>1773.46923828125</v>
      </c>
      <c r="D2527" s="41">
        <v>1334241</v>
      </c>
      <c r="E2527" s="36" t="s">
        <v>658</v>
      </c>
      <c r="F2527" s="36" t="s">
        <v>115</v>
      </c>
    </row>
    <row r="2528" spans="1:6">
      <c r="A2528" s="38">
        <v>45828.15625</v>
      </c>
      <c r="B2528" s="39">
        <v>1832</v>
      </c>
      <c r="C2528" s="39">
        <v>1811.0345458984375</v>
      </c>
      <c r="D2528" s="41">
        <v>1770433</v>
      </c>
      <c r="E2528" s="36" t="s">
        <v>658</v>
      </c>
      <c r="F2528" s="36" t="s">
        <v>115</v>
      </c>
    </row>
    <row r="2529" spans="1:6">
      <c r="A2529" s="38">
        <v>45831.15625</v>
      </c>
      <c r="B2529" s="39">
        <v>1831</v>
      </c>
      <c r="C2529" s="39">
        <v>1810.0460205078125</v>
      </c>
      <c r="D2529" s="41">
        <v>655286</v>
      </c>
      <c r="E2529" s="36" t="s">
        <v>658</v>
      </c>
      <c r="F2529" s="36" t="s">
        <v>115</v>
      </c>
    </row>
    <row r="2530" spans="1:6">
      <c r="A2530" s="38">
        <v>45832.15625</v>
      </c>
      <c r="B2530" s="39">
        <v>1862</v>
      </c>
      <c r="C2530" s="39">
        <v>1840.6912841796875</v>
      </c>
      <c r="D2530" s="41">
        <v>1519443</v>
      </c>
      <c r="E2530" s="36" t="s">
        <v>658</v>
      </c>
      <c r="F2530" s="36" t="s">
        <v>115</v>
      </c>
    </row>
    <row r="2531" spans="1:6">
      <c r="A2531" s="38">
        <v>45833.15625</v>
      </c>
      <c r="B2531" s="39">
        <v>1880</v>
      </c>
      <c r="C2531" s="39">
        <v>1858.485107421875</v>
      </c>
      <c r="D2531" s="41">
        <v>1087112</v>
      </c>
      <c r="E2531" s="36" t="s">
        <v>658</v>
      </c>
      <c r="F2531" s="36" t="s">
        <v>115</v>
      </c>
    </row>
    <row r="2532" spans="1:6">
      <c r="A2532" s="38">
        <v>45834.15625</v>
      </c>
      <c r="B2532" s="39">
        <v>1888</v>
      </c>
      <c r="C2532" s="39">
        <v>1866.3936767578125</v>
      </c>
      <c r="D2532" s="41">
        <v>2528144</v>
      </c>
      <c r="E2532" s="36" t="s">
        <v>658</v>
      </c>
      <c r="F2532" s="36" t="s">
        <v>115</v>
      </c>
    </row>
    <row r="2533" spans="1:6">
      <c r="A2533" s="38">
        <v>45835.15625</v>
      </c>
      <c r="B2533" s="39">
        <v>1899.5</v>
      </c>
      <c r="C2533" s="39">
        <v>1877.7620849609375</v>
      </c>
      <c r="D2533" s="41">
        <v>3971962</v>
      </c>
      <c r="E2533" s="36" t="s">
        <v>658</v>
      </c>
      <c r="F2533" s="36" t="s">
        <v>115</v>
      </c>
    </row>
    <row r="2534" spans="1:6">
      <c r="A2534" s="38">
        <v>45838.15625</v>
      </c>
      <c r="B2534" s="39">
        <v>1924.5</v>
      </c>
      <c r="C2534" s="39">
        <v>1902.4759521484375</v>
      </c>
      <c r="D2534" s="41">
        <v>1701327</v>
      </c>
      <c r="E2534" s="36" t="s">
        <v>658</v>
      </c>
      <c r="F2534" s="36" t="s">
        <v>115</v>
      </c>
    </row>
    <row r="2535" spans="1:6">
      <c r="A2535" s="38">
        <v>45839.15625</v>
      </c>
      <c r="B2535" s="39">
        <v>1922.5</v>
      </c>
      <c r="C2535" s="39">
        <v>1900.498779296875</v>
      </c>
      <c r="D2535" s="41">
        <v>2376579</v>
      </c>
      <c r="E2535" s="36" t="s">
        <v>658</v>
      </c>
      <c r="F2535" s="36" t="s">
        <v>115</v>
      </c>
    </row>
    <row r="2536" spans="1:6">
      <c r="A2536" s="38">
        <v>45840.15625</v>
      </c>
      <c r="B2536" s="39">
        <v>1926.0999755859375</v>
      </c>
      <c r="C2536" s="39">
        <v>1904.0577392578125</v>
      </c>
      <c r="D2536" s="41">
        <v>1567953</v>
      </c>
      <c r="E2536" s="36" t="s">
        <v>658</v>
      </c>
      <c r="F2536" s="36" t="s">
        <v>115</v>
      </c>
    </row>
    <row r="2537" spans="1:6">
      <c r="A2537" s="38">
        <v>45841.15625</v>
      </c>
      <c r="B2537" s="39">
        <v>1938.300048828125</v>
      </c>
      <c r="C2537" s="39">
        <v>1916.1181640625</v>
      </c>
      <c r="D2537" s="41">
        <v>1090866</v>
      </c>
      <c r="E2537" s="36" t="s">
        <v>658</v>
      </c>
      <c r="F2537" s="36" t="s">
        <v>115</v>
      </c>
    </row>
    <row r="2538" spans="1:6">
      <c r="A2538" s="38">
        <v>45842.15625</v>
      </c>
      <c r="B2538" s="39">
        <v>1950.5999755859375</v>
      </c>
      <c r="C2538" s="39">
        <v>1928.2772216796875</v>
      </c>
      <c r="D2538" s="41">
        <v>859326</v>
      </c>
      <c r="E2538" s="36" t="s">
        <v>658</v>
      </c>
      <c r="F2538" s="36" t="s">
        <v>115</v>
      </c>
    </row>
    <row r="2539" spans="1:6">
      <c r="A2539" s="38">
        <v>45845.15625</v>
      </c>
      <c r="B2539" s="39">
        <v>1941.699951171875</v>
      </c>
      <c r="C2539" s="39">
        <v>1919.4791259765625</v>
      </c>
      <c r="D2539" s="41">
        <v>932234</v>
      </c>
      <c r="E2539" s="36" t="s">
        <v>658</v>
      </c>
      <c r="F2539" s="36" t="s">
        <v>115</v>
      </c>
    </row>
    <row r="2540" spans="1:6">
      <c r="A2540" s="38">
        <v>45846.15625</v>
      </c>
      <c r="B2540" s="39">
        <v>1949.5999755859375</v>
      </c>
      <c r="C2540" s="39">
        <v>1927.2886962890625</v>
      </c>
      <c r="D2540" s="41">
        <v>1511062</v>
      </c>
      <c r="E2540" s="36" t="s">
        <v>658</v>
      </c>
      <c r="F2540" s="36" t="s">
        <v>115</v>
      </c>
    </row>
    <row r="2541" spans="1:6">
      <c r="A2541" s="38">
        <v>45847.15625</v>
      </c>
      <c r="B2541" s="39">
        <v>1931.300048828125</v>
      </c>
      <c r="C2541" s="39">
        <v>1909.1981201171875</v>
      </c>
      <c r="D2541" s="41">
        <v>939038</v>
      </c>
      <c r="E2541" s="36" t="s">
        <v>658</v>
      </c>
      <c r="F2541" s="36" t="s">
        <v>115</v>
      </c>
    </row>
    <row r="2542" spans="1:6">
      <c r="A2542" s="38">
        <v>45848.15625</v>
      </c>
      <c r="B2542" s="39">
        <v>1887.699951171875</v>
      </c>
      <c r="C2542" s="39">
        <v>1866.0970458984375</v>
      </c>
      <c r="D2542" s="41">
        <v>1659275</v>
      </c>
      <c r="E2542" s="36" t="s">
        <v>658</v>
      </c>
      <c r="F2542" s="36" t="s">
        <v>115</v>
      </c>
    </row>
    <row r="2543" spans="1:6">
      <c r="A2543" s="38">
        <v>45849.15625</v>
      </c>
      <c r="B2543" s="39">
        <v>1867.800048828125</v>
      </c>
      <c r="C2543" s="39">
        <v>1846.4248046875</v>
      </c>
      <c r="D2543" s="41">
        <v>2092630</v>
      </c>
      <c r="E2543" s="36" t="s">
        <v>658</v>
      </c>
      <c r="F2543" s="36" t="s">
        <v>115</v>
      </c>
    </row>
    <row r="2544" spans="1:6">
      <c r="A2544" s="38">
        <v>45852.15625</v>
      </c>
      <c r="B2544" s="39">
        <v>1875</v>
      </c>
      <c r="C2544" s="39">
        <v>1853.5423583984375</v>
      </c>
      <c r="D2544" s="41">
        <v>1090630</v>
      </c>
      <c r="E2544" s="36" t="s">
        <v>658</v>
      </c>
      <c r="F2544" s="36" t="s">
        <v>115</v>
      </c>
    </row>
    <row r="2545" spans="1:6">
      <c r="A2545" s="38">
        <v>45853.15625</v>
      </c>
      <c r="B2545" s="39">
        <v>1893.9000244140625</v>
      </c>
      <c r="C2545" s="39">
        <v>1872.2261962890625</v>
      </c>
      <c r="D2545" s="41">
        <v>1579538</v>
      </c>
      <c r="E2545" s="36" t="s">
        <v>658</v>
      </c>
      <c r="F2545" s="36" t="s">
        <v>115</v>
      </c>
    </row>
    <row r="2546" spans="1:6">
      <c r="A2546" s="38">
        <v>45854.15625</v>
      </c>
      <c r="B2546" s="39">
        <v>1882.4000244140625</v>
      </c>
      <c r="C2546" s="39">
        <v>1860.8577880859375</v>
      </c>
      <c r="D2546" s="41">
        <v>1256821</v>
      </c>
      <c r="E2546" s="36" t="s">
        <v>658</v>
      </c>
      <c r="F2546" s="36" t="s">
        <v>115</v>
      </c>
    </row>
    <row r="2547" spans="1:6">
      <c r="A2547" s="38">
        <v>45855.15625</v>
      </c>
      <c r="B2547" s="39">
        <v>1865.300048828125</v>
      </c>
      <c r="C2547" s="39">
        <v>1843.9534912109375</v>
      </c>
      <c r="D2547" s="41">
        <v>851068</v>
      </c>
      <c r="E2547" s="36" t="s">
        <v>658</v>
      </c>
      <c r="F2547" s="36" t="s">
        <v>115</v>
      </c>
    </row>
    <row r="2548" spans="1:6">
      <c r="A2548" s="38">
        <v>45856.15625</v>
      </c>
      <c r="B2548" s="39">
        <v>1859.300048828125</v>
      </c>
      <c r="C2548" s="39">
        <v>1838.022216796875</v>
      </c>
      <c r="D2548" s="41">
        <v>1092144</v>
      </c>
      <c r="E2548" s="36" t="s">
        <v>658</v>
      </c>
      <c r="F2548" s="36" t="s">
        <v>115</v>
      </c>
    </row>
    <row r="2549" spans="1:6">
      <c r="A2549" s="38">
        <v>45859.15625</v>
      </c>
      <c r="B2549" s="39">
        <v>1874.300048828125</v>
      </c>
      <c r="C2549" s="39">
        <v>1852.8504638671875</v>
      </c>
      <c r="D2549" s="41">
        <v>746077</v>
      </c>
      <c r="E2549" s="36" t="s">
        <v>658</v>
      </c>
      <c r="F2549" s="36" t="s">
        <v>115</v>
      </c>
    </row>
    <row r="2550" spans="1:6">
      <c r="A2550" s="38">
        <v>45860.15625</v>
      </c>
      <c r="B2550" s="39">
        <v>1858.4000244140625</v>
      </c>
      <c r="C2550" s="39">
        <v>1837.1324462890625</v>
      </c>
      <c r="D2550" s="41">
        <v>1001823</v>
      </c>
      <c r="E2550" s="36" t="s">
        <v>658</v>
      </c>
      <c r="F2550" s="36" t="s">
        <v>115</v>
      </c>
    </row>
    <row r="2551" spans="1:6">
      <c r="A2551" s="38">
        <v>45861.15625</v>
      </c>
      <c r="B2551" s="39">
        <v>1849.699951171875</v>
      </c>
      <c r="C2551" s="39">
        <v>1828.5318603515625</v>
      </c>
      <c r="D2551" s="41">
        <v>1602723</v>
      </c>
      <c r="E2551" s="36" t="s">
        <v>658</v>
      </c>
      <c r="F2551" s="36" t="s">
        <v>115</v>
      </c>
    </row>
    <row r="2552" spans="1:6">
      <c r="A2552" s="38">
        <v>45862.15625</v>
      </c>
      <c r="B2552" s="39">
        <v>1676</v>
      </c>
      <c r="C2552" s="39">
        <v>1656.8197021484375</v>
      </c>
      <c r="D2552" s="41">
        <v>11480454</v>
      </c>
      <c r="E2552" s="36" t="s">
        <v>658</v>
      </c>
      <c r="F2552" s="36" t="s">
        <v>115</v>
      </c>
    </row>
    <row r="2553" spans="1:6">
      <c r="A2553" s="38">
        <v>45863.15625</v>
      </c>
      <c r="B2553" s="39">
        <v>1688.800048828125</v>
      </c>
      <c r="C2553" s="39">
        <v>1669.4732666015625</v>
      </c>
      <c r="D2553" s="41">
        <v>5036489</v>
      </c>
      <c r="E2553" s="36" t="s">
        <v>658</v>
      </c>
      <c r="F2553" s="36" t="s">
        <v>115</v>
      </c>
    </row>
    <row r="2554" spans="1:6">
      <c r="A2554" s="38">
        <v>45866.15625</v>
      </c>
      <c r="B2554" s="39">
        <v>1724.699951171875</v>
      </c>
      <c r="C2554" s="39">
        <v>1704.96240234375</v>
      </c>
      <c r="D2554" s="41">
        <v>2064973</v>
      </c>
      <c r="E2554" s="36" t="s">
        <v>658</v>
      </c>
      <c r="F2554" s="36" t="s">
        <v>115</v>
      </c>
    </row>
    <row r="2555" spans="1:6">
      <c r="A2555" s="38">
        <v>45867.15625</v>
      </c>
      <c r="B2555" s="39">
        <v>1720.5</v>
      </c>
      <c r="C2555" s="39">
        <v>1700.810546875</v>
      </c>
      <c r="D2555" s="41">
        <v>3254411</v>
      </c>
      <c r="E2555" s="36" t="s">
        <v>658</v>
      </c>
      <c r="F2555" s="36" t="s">
        <v>115</v>
      </c>
    </row>
    <row r="2556" spans="1:6">
      <c r="A2556" s="38">
        <v>45868.15625</v>
      </c>
      <c r="B2556" s="39">
        <v>1749.5</v>
      </c>
      <c r="C2556" s="39">
        <v>1729.4786376953125</v>
      </c>
      <c r="D2556" s="41">
        <v>1877573</v>
      </c>
      <c r="E2556" s="36" t="s">
        <v>658</v>
      </c>
      <c r="F2556" s="36" t="s">
        <v>115</v>
      </c>
    </row>
    <row r="2557" spans="1:6">
      <c r="A2557" s="38">
        <v>45869.15625</v>
      </c>
      <c r="B2557" s="39">
        <v>1748.199951171875</v>
      </c>
      <c r="C2557" s="39">
        <v>1732.1539306640625</v>
      </c>
      <c r="D2557" s="41">
        <v>2814159</v>
      </c>
      <c r="E2557" s="36" t="s">
        <v>658</v>
      </c>
      <c r="F2557" s="36" t="s">
        <v>115</v>
      </c>
    </row>
    <row r="2558" spans="1:6">
      <c r="A2558" s="38">
        <v>45870.15625</v>
      </c>
      <c r="B2558" s="39">
        <v>1706.300048828125</v>
      </c>
      <c r="C2558" s="39">
        <v>1690.638671875</v>
      </c>
      <c r="D2558" s="41">
        <v>1167544</v>
      </c>
      <c r="E2558" s="36" t="s">
        <v>658</v>
      </c>
      <c r="F2558" s="36" t="s">
        <v>115</v>
      </c>
    </row>
    <row r="2559" spans="1:6">
      <c r="A2559" s="38">
        <v>45873.15625</v>
      </c>
      <c r="B2559" s="39">
        <v>1746.5</v>
      </c>
      <c r="C2559" s="39">
        <v>1730.4693603515625</v>
      </c>
      <c r="D2559" s="41">
        <v>1391708</v>
      </c>
      <c r="E2559" s="36" t="s">
        <v>658</v>
      </c>
      <c r="F2559" s="36" t="s">
        <v>115</v>
      </c>
    </row>
    <row r="2560" spans="1:6">
      <c r="A2560" s="38">
        <v>45874.15625</v>
      </c>
      <c r="B2560" s="39">
        <v>1706.699951171875</v>
      </c>
      <c r="C2560" s="39">
        <v>1691.0347900390625</v>
      </c>
      <c r="D2560" s="41">
        <v>1980437</v>
      </c>
      <c r="E2560" s="36" t="s">
        <v>658</v>
      </c>
      <c r="F2560" s="36" t="s">
        <v>115</v>
      </c>
    </row>
    <row r="2561" spans="1:6">
      <c r="A2561" s="38">
        <v>45875.15625</v>
      </c>
      <c r="B2561" s="39">
        <v>1638.300048828125</v>
      </c>
      <c r="C2561" s="39">
        <v>1623.2625732421875</v>
      </c>
      <c r="D2561" s="41">
        <v>2517229</v>
      </c>
      <c r="E2561" s="36" t="s">
        <v>658</v>
      </c>
      <c r="F2561" s="36" t="s">
        <v>115</v>
      </c>
    </row>
    <row r="2562" spans="1:6">
      <c r="A2562" s="38">
        <v>45876.15625</v>
      </c>
      <c r="B2562" s="39">
        <v>1704.0999755859375</v>
      </c>
      <c r="C2562" s="39">
        <v>1688.4586181640625</v>
      </c>
      <c r="D2562" s="41">
        <v>2503589</v>
      </c>
      <c r="E2562" s="36" t="s">
        <v>658</v>
      </c>
      <c r="F2562" s="36" t="s">
        <v>115</v>
      </c>
    </row>
    <row r="2563" spans="1:6">
      <c r="A2563" s="38">
        <v>45877.15625</v>
      </c>
      <c r="B2563" s="39">
        <v>1606.800048828125</v>
      </c>
      <c r="C2563" s="39">
        <v>1592.0517578125</v>
      </c>
      <c r="D2563" s="41">
        <v>3441538</v>
      </c>
      <c r="E2563" s="36" t="s">
        <v>658</v>
      </c>
      <c r="F2563" s="36" t="s">
        <v>115</v>
      </c>
    </row>
    <row r="2564" spans="1:6">
      <c r="A2564" s="38">
        <v>45880.15625</v>
      </c>
      <c r="B2564" s="39">
        <v>1613.9000244140625</v>
      </c>
      <c r="C2564" s="39">
        <v>1599.086669921875</v>
      </c>
      <c r="D2564" s="41">
        <v>1857927</v>
      </c>
      <c r="E2564" s="36" t="s">
        <v>658</v>
      </c>
      <c r="F2564" s="36" t="s">
        <v>115</v>
      </c>
    </row>
    <row r="2565" spans="1:6">
      <c r="A2565" s="38">
        <v>45881.15625</v>
      </c>
      <c r="B2565" s="39">
        <v>1625.4000244140625</v>
      </c>
      <c r="C2565" s="39">
        <v>1610.4810791015625</v>
      </c>
      <c r="D2565" s="41">
        <v>1170688</v>
      </c>
      <c r="E2565" s="36" t="s">
        <v>658</v>
      </c>
      <c r="F2565" s="36" t="s">
        <v>115</v>
      </c>
    </row>
    <row r="2566" spans="1:6">
      <c r="A2566" s="38">
        <v>45882.15625</v>
      </c>
      <c r="B2566" s="39">
        <v>1621.699951171875</v>
      </c>
      <c r="C2566" s="39">
        <v>1606.81494140625</v>
      </c>
      <c r="D2566" s="41">
        <v>873679</v>
      </c>
      <c r="E2566" s="36" t="s">
        <v>658</v>
      </c>
      <c r="F2566" s="36" t="s">
        <v>115</v>
      </c>
    </row>
    <row r="2567" spans="1:6">
      <c r="A2567" s="38">
        <v>45883.15625</v>
      </c>
      <c r="B2567" s="39">
        <v>1642</v>
      </c>
      <c r="C2567" s="39">
        <v>1626.9285888671875</v>
      </c>
      <c r="D2567" s="41">
        <v>1241786</v>
      </c>
      <c r="E2567" s="36" t="s">
        <v>658</v>
      </c>
      <c r="F2567" s="36" t="s">
        <v>115</v>
      </c>
    </row>
    <row r="2568" spans="1:6">
      <c r="A2568" s="38">
        <v>45887.15625</v>
      </c>
      <c r="B2568" s="39">
        <v>1655.5</v>
      </c>
      <c r="C2568" s="39">
        <v>1640.3045654296875</v>
      </c>
      <c r="D2568" s="41">
        <v>1056549</v>
      </c>
      <c r="E2568" s="36" t="s">
        <v>658</v>
      </c>
      <c r="F2568" s="36" t="s">
        <v>115</v>
      </c>
    </row>
    <row r="2569" spans="1:6">
      <c r="A2569" s="38">
        <v>45888.15625</v>
      </c>
      <c r="B2569" s="39">
        <v>1652.699951171875</v>
      </c>
      <c r="C2569" s="39">
        <v>1637.5303955078125</v>
      </c>
      <c r="D2569" s="41">
        <v>844413</v>
      </c>
      <c r="E2569" s="36" t="s">
        <v>658</v>
      </c>
      <c r="F2569" s="36" t="s">
        <v>115</v>
      </c>
    </row>
    <row r="2570" spans="1:6">
      <c r="A2570" s="38">
        <v>45889.15625</v>
      </c>
      <c r="B2570" s="39">
        <v>1708.4000244140625</v>
      </c>
      <c r="C2570" s="39">
        <v>1692.71923828125</v>
      </c>
      <c r="D2570" s="41">
        <v>2185643</v>
      </c>
      <c r="E2570" s="36" t="s">
        <v>658</v>
      </c>
      <c r="F2570" s="36" t="s">
        <v>115</v>
      </c>
    </row>
    <row r="2571" spans="1:6">
      <c r="A2571" s="38">
        <v>45890.15625</v>
      </c>
      <c r="B2571" s="39">
        <v>1728.199951171875</v>
      </c>
      <c r="C2571" s="39">
        <v>1712.3375244140625</v>
      </c>
      <c r="D2571" s="41">
        <v>2306077</v>
      </c>
      <c r="E2571" s="36" t="s">
        <v>658</v>
      </c>
      <c r="F2571" s="36" t="s">
        <v>115</v>
      </c>
    </row>
    <row r="2572" spans="1:6">
      <c r="A2572" s="38">
        <v>45891.15625</v>
      </c>
      <c r="B2572" s="39">
        <v>1747.699951171875</v>
      </c>
      <c r="C2572" s="39">
        <v>1731.658447265625</v>
      </c>
      <c r="D2572" s="41">
        <v>2262754</v>
      </c>
      <c r="E2572" s="36" t="s">
        <v>658</v>
      </c>
      <c r="F2572" s="36" t="s">
        <v>115</v>
      </c>
    </row>
    <row r="2573" spans="1:6">
      <c r="A2573" s="38">
        <v>45894.15625</v>
      </c>
      <c r="B2573" s="39">
        <v>1764</v>
      </c>
      <c r="C2573" s="39">
        <v>1747.8087158203125</v>
      </c>
      <c r="D2573" s="41">
        <v>2137912</v>
      </c>
      <c r="E2573" s="36" t="s">
        <v>658</v>
      </c>
      <c r="F2573" s="36" t="s">
        <v>115</v>
      </c>
    </row>
    <row r="2574" spans="1:6">
      <c r="A2574" s="38">
        <v>45895.15625</v>
      </c>
      <c r="B2574" s="39">
        <v>1739.300048828125</v>
      </c>
      <c r="C2574" s="39">
        <v>1723.335693359375</v>
      </c>
      <c r="D2574" s="41">
        <v>1692453</v>
      </c>
      <c r="E2574" s="36" t="s">
        <v>658</v>
      </c>
      <c r="F2574" s="36" t="s">
        <v>115</v>
      </c>
    </row>
    <row r="2575" spans="1:6">
      <c r="A2575" s="38">
        <v>45897.15625</v>
      </c>
      <c r="B2575" s="39">
        <v>1737.199951171875</v>
      </c>
      <c r="C2575" s="39">
        <v>1721.2548828125</v>
      </c>
      <c r="D2575" s="41">
        <v>1147193</v>
      </c>
      <c r="E2575" s="36" t="s">
        <v>658</v>
      </c>
      <c r="F2575" s="36" t="s">
        <v>115</v>
      </c>
    </row>
    <row r="2576" spans="1:6">
      <c r="A2576" s="38">
        <v>45898.15625</v>
      </c>
      <c r="B2576" s="39">
        <v>1724.300048828125</v>
      </c>
      <c r="C2576" s="39">
        <v>1708.473388671875</v>
      </c>
      <c r="D2576" s="41">
        <v>868677</v>
      </c>
      <c r="E2576" s="36" t="s">
        <v>658</v>
      </c>
      <c r="F2576" s="36" t="s">
        <v>115</v>
      </c>
    </row>
    <row r="2577" spans="1:6">
      <c r="A2577" s="38">
        <v>45901.15625</v>
      </c>
      <c r="B2577" s="39">
        <v>1764.5999755859375</v>
      </c>
      <c r="C2577" s="39">
        <v>1748.4033203125</v>
      </c>
      <c r="D2577" s="41">
        <v>1050753</v>
      </c>
      <c r="E2577" s="36" t="s">
        <v>658</v>
      </c>
      <c r="F2577" s="36" t="s">
        <v>115</v>
      </c>
    </row>
    <row r="2578" spans="1:6">
      <c r="A2578" s="38">
        <v>45902.15625</v>
      </c>
      <c r="B2578" s="39">
        <v>1754.5999755859375</v>
      </c>
      <c r="C2578" s="39">
        <v>1738.4951171875</v>
      </c>
      <c r="D2578" s="41">
        <v>1084460</v>
      </c>
      <c r="E2578" s="36" t="s">
        <v>658</v>
      </c>
      <c r="F2578" s="36" t="s">
        <v>115</v>
      </c>
    </row>
    <row r="2579" spans="1:6">
      <c r="A2579" s="38">
        <v>45903.15625</v>
      </c>
      <c r="B2579" s="39">
        <v>1731.800048828125</v>
      </c>
      <c r="C2579" s="39">
        <v>1715.9044189453125</v>
      </c>
      <c r="D2579" s="41">
        <v>915451</v>
      </c>
      <c r="E2579" s="36" t="s">
        <v>658</v>
      </c>
      <c r="F2579" s="36" t="s">
        <v>115</v>
      </c>
    </row>
    <row r="2580" spans="1:6">
      <c r="A2580" s="38">
        <v>45904.15625</v>
      </c>
      <c r="B2580" s="39">
        <v>1692.5</v>
      </c>
      <c r="C2580" s="39">
        <v>1676.9649658203125</v>
      </c>
      <c r="D2580" s="41">
        <v>1208094</v>
      </c>
      <c r="E2580" s="36" t="s">
        <v>658</v>
      </c>
      <c r="F2580" s="36" t="s">
        <v>115</v>
      </c>
    </row>
    <row r="2581" spans="1:6">
      <c r="A2581" s="38">
        <v>45905.15625</v>
      </c>
      <c r="B2581" s="39">
        <v>1658.300048828125</v>
      </c>
      <c r="C2581" s="39">
        <v>1643.0791015625</v>
      </c>
      <c r="D2581" s="41">
        <v>1573984</v>
      </c>
      <c r="E2581" s="36" t="s">
        <v>658</v>
      </c>
      <c r="F2581" s="36" t="s">
        <v>115</v>
      </c>
    </row>
    <row r="2582" spans="1:6">
      <c r="A2582" s="38">
        <v>45908.15625</v>
      </c>
      <c r="B2582" s="39">
        <v>1662.4000244140625</v>
      </c>
      <c r="C2582" s="39">
        <v>1647.1414794921875</v>
      </c>
      <c r="D2582" s="41">
        <v>1245512</v>
      </c>
      <c r="E2582" s="36" t="s">
        <v>658</v>
      </c>
      <c r="F2582" s="36" t="s">
        <v>115</v>
      </c>
    </row>
    <row r="2583" spans="1:6">
      <c r="A2583" s="38">
        <v>45909.15625</v>
      </c>
      <c r="B2583" s="39">
        <v>1696.5999755859375</v>
      </c>
      <c r="C2583" s="39">
        <v>1681.0274658203125</v>
      </c>
      <c r="D2583" s="41">
        <v>1705824</v>
      </c>
      <c r="E2583" s="36" t="s">
        <v>658</v>
      </c>
      <c r="F2583" s="36" t="s">
        <v>115</v>
      </c>
    </row>
    <row r="2584" spans="1:6">
      <c r="A2584" s="38">
        <v>45910.15625</v>
      </c>
      <c r="B2584" s="39">
        <v>1768.5999755859375</v>
      </c>
      <c r="C2584" s="39">
        <v>1752.3665771484375</v>
      </c>
      <c r="D2584" s="41">
        <v>2946800</v>
      </c>
      <c r="E2584" s="36" t="s">
        <v>658</v>
      </c>
      <c r="F2584" s="36" t="s">
        <v>115</v>
      </c>
    </row>
    <row r="2585" spans="1:6">
      <c r="A2585" s="38">
        <v>45911.15625</v>
      </c>
      <c r="B2585" s="39">
        <v>1771</v>
      </c>
      <c r="C2585" s="39">
        <v>1754.7445068359375</v>
      </c>
      <c r="D2585" s="41">
        <v>900505</v>
      </c>
      <c r="E2585" s="36" t="s">
        <v>658</v>
      </c>
      <c r="F2585" s="36" t="s">
        <v>115</v>
      </c>
    </row>
    <row r="2586" spans="1:6">
      <c r="A2586" s="38">
        <v>45912.15625</v>
      </c>
      <c r="B2586" s="39">
        <v>1764</v>
      </c>
      <c r="C2586" s="39">
        <v>1747.8087158203125</v>
      </c>
      <c r="D2586" s="41">
        <v>1155805</v>
      </c>
      <c r="E2586" s="36" t="s">
        <v>658</v>
      </c>
      <c r="F2586" s="36" t="s">
        <v>115</v>
      </c>
    </row>
    <row r="2587" spans="1:6">
      <c r="A2587" s="38">
        <v>45915.15625</v>
      </c>
      <c r="B2587" s="39">
        <v>1754.300048828125</v>
      </c>
      <c r="C2587" s="39">
        <v>1738.1978759765625</v>
      </c>
      <c r="D2587" s="41">
        <v>570950</v>
      </c>
      <c r="E2587" s="36" t="s">
        <v>658</v>
      </c>
      <c r="F2587" s="36" t="s">
        <v>115</v>
      </c>
    </row>
    <row r="2588" spans="1:6">
      <c r="A2588" s="38">
        <v>45916.15625</v>
      </c>
      <c r="B2588" s="39">
        <v>1779.5999755859375</v>
      </c>
      <c r="C2588" s="39">
        <v>1763.2657470703125</v>
      </c>
      <c r="D2588" s="41">
        <v>782670</v>
      </c>
      <c r="E2588" s="36" t="s">
        <v>658</v>
      </c>
      <c r="F2588" s="36" t="s">
        <v>115</v>
      </c>
    </row>
    <row r="2589" spans="1:6">
      <c r="A2589" s="38">
        <v>45917.15625</v>
      </c>
      <c r="B2589" s="39">
        <v>1791.9000244140625</v>
      </c>
      <c r="C2589" s="39">
        <v>1775.4527587890625</v>
      </c>
      <c r="D2589" s="41">
        <v>1223772</v>
      </c>
      <c r="E2589" s="36" t="s">
        <v>658</v>
      </c>
      <c r="F2589" s="36" t="s">
        <v>115</v>
      </c>
    </row>
    <row r="2590" spans="1:6">
      <c r="A2590" s="38">
        <v>45918.15625</v>
      </c>
      <c r="B2590" s="39">
        <v>1824.5</v>
      </c>
      <c r="C2590" s="39">
        <v>1807.7535400390625</v>
      </c>
      <c r="D2590" s="41">
        <v>2107488</v>
      </c>
      <c r="E2590" s="36" t="s">
        <v>658</v>
      </c>
      <c r="F2590" s="36" t="s">
        <v>115</v>
      </c>
    </row>
    <row r="2591" spans="1:6">
      <c r="A2591" s="38">
        <v>45919.15625</v>
      </c>
      <c r="B2591" s="39">
        <v>1795.300048828125</v>
      </c>
      <c r="C2591" s="39">
        <v>1778.8216552734375</v>
      </c>
      <c r="D2591" s="41">
        <v>1490876</v>
      </c>
      <c r="E2591" s="36" t="s">
        <v>658</v>
      </c>
      <c r="F2591" s="36" t="s">
        <v>115</v>
      </c>
    </row>
    <row r="2592" spans="1:6">
      <c r="A2592" s="38">
        <v>45922.15625</v>
      </c>
      <c r="B2592" s="39">
        <v>1716.9000244140625</v>
      </c>
      <c r="C2592" s="39">
        <v>1701.1412353515625</v>
      </c>
      <c r="D2592" s="41">
        <v>2928020</v>
      </c>
      <c r="E2592" s="36" t="s">
        <v>658</v>
      </c>
      <c r="F2592" s="36" t="s">
        <v>115</v>
      </c>
    </row>
    <row r="2593" spans="1:6">
      <c r="A2593" s="38">
        <v>45923.15625</v>
      </c>
      <c r="B2593" s="39">
        <v>1667.9000244140625</v>
      </c>
      <c r="C2593" s="39">
        <v>1652.5909423828125</v>
      </c>
      <c r="D2593" s="41">
        <v>2038607</v>
      </c>
      <c r="E2593" s="36" t="s">
        <v>658</v>
      </c>
      <c r="F2593" s="36" t="s">
        <v>115</v>
      </c>
    </row>
    <row r="2594" spans="1:6">
      <c r="A2594" s="38">
        <v>45924.15625</v>
      </c>
      <c r="B2594" s="39">
        <v>1623.199951171875</v>
      </c>
      <c r="C2594" s="39">
        <v>1608.3011474609375</v>
      </c>
      <c r="D2594" s="41">
        <v>2635426</v>
      </c>
      <c r="E2594" s="36" t="s">
        <v>658</v>
      </c>
      <c r="F2594" s="36" t="s">
        <v>115</v>
      </c>
    </row>
    <row r="2595" spans="1:6">
      <c r="A2595" s="38">
        <v>45925.15625</v>
      </c>
      <c r="B2595" s="39">
        <v>1591.300048828125</v>
      </c>
      <c r="C2595" s="39">
        <v>1576.694091796875</v>
      </c>
      <c r="D2595" s="41">
        <v>1465683</v>
      </c>
      <c r="E2595" s="36" t="s">
        <v>658</v>
      </c>
      <c r="F2595" s="36" t="s">
        <v>115</v>
      </c>
    </row>
    <row r="2596" spans="1:6">
      <c r="A2596" s="38">
        <v>45926.15625</v>
      </c>
      <c r="B2596" s="39">
        <v>1538.5</v>
      </c>
      <c r="C2596" s="39">
        <v>1524.378662109375</v>
      </c>
      <c r="D2596" s="41">
        <v>1851852</v>
      </c>
      <c r="E2596" s="36" t="s">
        <v>658</v>
      </c>
      <c r="F2596" s="36" t="s">
        <v>115</v>
      </c>
    </row>
    <row r="2597" spans="1:6">
      <c r="A2597" s="38">
        <v>45929.15625</v>
      </c>
      <c r="B2597" s="39">
        <v>1552.199951171875</v>
      </c>
      <c r="C2597" s="39">
        <v>1537.952880859375</v>
      </c>
      <c r="D2597" s="41">
        <v>2271394</v>
      </c>
      <c r="E2597" s="36" t="s">
        <v>658</v>
      </c>
      <c r="F2597" s="36" t="s">
        <v>115</v>
      </c>
    </row>
    <row r="2598" spans="1:6">
      <c r="A2598" s="38">
        <v>45930.15625</v>
      </c>
      <c r="B2598" s="39">
        <v>1591</v>
      </c>
      <c r="C2598" s="39">
        <v>1576.396728515625</v>
      </c>
      <c r="D2598" s="41">
        <v>6590593</v>
      </c>
      <c r="E2598" s="36" t="s">
        <v>658</v>
      </c>
      <c r="F2598" s="36" t="s">
        <v>115</v>
      </c>
    </row>
    <row r="2599" spans="1:6">
      <c r="A2599" s="38">
        <v>45931.15625</v>
      </c>
      <c r="B2599" s="39">
        <v>1600.800048828125</v>
      </c>
      <c r="C2599" s="39">
        <v>1586.1068115234375</v>
      </c>
      <c r="D2599" s="41">
        <v>1603862</v>
      </c>
      <c r="E2599" s="36" t="s">
        <v>658</v>
      </c>
      <c r="F2599" s="36" t="s">
        <v>115</v>
      </c>
    </row>
    <row r="2600" spans="1:6">
      <c r="A2600" s="38">
        <v>45933.15625</v>
      </c>
      <c r="B2600" s="39">
        <v>1613.0999755859375</v>
      </c>
      <c r="C2600" s="39">
        <v>1598.2939453125</v>
      </c>
      <c r="D2600" s="41">
        <v>1434833</v>
      </c>
      <c r="E2600" s="36" t="s">
        <v>658</v>
      </c>
      <c r="F2600" s="36" t="s">
        <v>115</v>
      </c>
    </row>
    <row r="2601" spans="1:6">
      <c r="A2601" s="38">
        <v>45936.15625</v>
      </c>
      <c r="B2601" s="39">
        <v>1662.4000244140625</v>
      </c>
      <c r="C2601" s="39">
        <v>1647.1414794921875</v>
      </c>
      <c r="D2601" s="41">
        <v>1432985</v>
      </c>
      <c r="E2601" s="36" t="s">
        <v>658</v>
      </c>
      <c r="F2601" s="36" t="s">
        <v>115</v>
      </c>
    </row>
    <row r="2602" spans="1:6">
      <c r="A2602" s="38">
        <v>45937.15625</v>
      </c>
      <c r="B2602" s="39">
        <v>1686.5</v>
      </c>
      <c r="C2602" s="39">
        <v>1671.0201416015625</v>
      </c>
      <c r="D2602" s="41">
        <v>1937983</v>
      </c>
      <c r="E2602" s="36" t="s">
        <v>658</v>
      </c>
      <c r="F2602" s="36" t="s">
        <v>115</v>
      </c>
    </row>
    <row r="2603" spans="1:6">
      <c r="A2603" s="38">
        <v>45938.15625</v>
      </c>
      <c r="B2603" s="39">
        <v>1713.699951171875</v>
      </c>
      <c r="C2603" s="39">
        <v>1697.970458984375</v>
      </c>
      <c r="D2603" s="41">
        <v>2733508</v>
      </c>
      <c r="E2603" s="36" t="s">
        <v>658</v>
      </c>
      <c r="F2603" s="36" t="s">
        <v>115</v>
      </c>
    </row>
    <row r="2604" spans="1:6">
      <c r="A2604" s="38">
        <v>45939.15625</v>
      </c>
      <c r="B2604" s="39">
        <v>1720.0999755859375</v>
      </c>
      <c r="C2604" s="39">
        <v>1704.3118896484375</v>
      </c>
      <c r="D2604" s="41">
        <v>1167579</v>
      </c>
      <c r="E2604" s="36" t="s">
        <v>658</v>
      </c>
      <c r="F2604" s="36" t="s">
        <v>115</v>
      </c>
    </row>
    <row r="2605" spans="1:6">
      <c r="A2605" s="38">
        <v>45940.15625</v>
      </c>
      <c r="B2605" s="39">
        <v>1722.300048828125</v>
      </c>
      <c r="C2605" s="39">
        <v>1706.4915771484375</v>
      </c>
      <c r="D2605" s="41">
        <v>1374406</v>
      </c>
      <c r="E2605" s="36" t="s">
        <v>658</v>
      </c>
      <c r="F2605" s="36" t="s">
        <v>115</v>
      </c>
    </row>
    <row r="2606" spans="1:6">
      <c r="A2606" s="38">
        <v>45943.15625</v>
      </c>
      <c r="B2606" s="39">
        <v>1716</v>
      </c>
      <c r="C2606" s="39">
        <v>1700.24951171875</v>
      </c>
      <c r="D2606" s="41">
        <v>857446</v>
      </c>
      <c r="E2606" s="36" t="s">
        <v>658</v>
      </c>
      <c r="F2606" s="36" t="s">
        <v>115</v>
      </c>
    </row>
    <row r="2607" spans="1:6">
      <c r="A2607" s="38">
        <v>45944.15625</v>
      </c>
      <c r="B2607" s="39">
        <v>1700.5</v>
      </c>
      <c r="C2607" s="39">
        <v>1684.8917236328125</v>
      </c>
      <c r="D2607" s="41">
        <v>836488</v>
      </c>
      <c r="E2607" s="36" t="s">
        <v>658</v>
      </c>
      <c r="F2607" s="36" t="s">
        <v>115</v>
      </c>
    </row>
    <row r="2608" spans="1:6">
      <c r="A2608" s="38">
        <v>45945.15625</v>
      </c>
      <c r="B2608" s="39">
        <v>1765.4000244140625</v>
      </c>
      <c r="C2608" s="39">
        <v>1749.196044921875</v>
      </c>
      <c r="D2608" s="41">
        <v>2653260</v>
      </c>
      <c r="E2608" s="36" t="s">
        <v>658</v>
      </c>
      <c r="F2608" s="36" t="s">
        <v>115</v>
      </c>
    </row>
    <row r="2609" spans="1:6">
      <c r="A2609" s="38">
        <v>45946.15625</v>
      </c>
      <c r="B2609" s="39">
        <v>1761.5</v>
      </c>
      <c r="C2609" s="39">
        <v>1745.331787109375</v>
      </c>
      <c r="D2609" s="41">
        <v>579027</v>
      </c>
      <c r="E2609" s="36" t="s">
        <v>658</v>
      </c>
      <c r="F2609" s="36" t="s">
        <v>115</v>
      </c>
    </row>
    <row r="2610" spans="1:6">
      <c r="A2610" s="38">
        <v>45947.15625</v>
      </c>
      <c r="B2610" s="39">
        <v>1734.9000244140625</v>
      </c>
      <c r="C2610" s="39">
        <v>1718.9759521484375</v>
      </c>
      <c r="D2610" s="41">
        <v>1237165</v>
      </c>
      <c r="E2610" s="36" t="s">
        <v>658</v>
      </c>
      <c r="F2610" s="36" t="s">
        <v>115</v>
      </c>
    </row>
    <row r="2611" spans="1:6">
      <c r="A2611" s="38">
        <v>45950.15625</v>
      </c>
      <c r="B2611" s="39">
        <v>1747.4000244140625</v>
      </c>
      <c r="C2611" s="39">
        <v>1731.361328125</v>
      </c>
      <c r="D2611" s="41">
        <v>456862</v>
      </c>
      <c r="E2611" s="36" t="s">
        <v>658</v>
      </c>
      <c r="F2611" s="36" t="s">
        <v>115</v>
      </c>
    </row>
    <row r="2612" spans="1:6">
      <c r="A2612" s="38">
        <v>45951.15625</v>
      </c>
      <c r="B2612" s="39">
        <v>1741.5</v>
      </c>
      <c r="C2612" s="39">
        <v>1725.515380859375</v>
      </c>
      <c r="D2612" s="41">
        <v>106674</v>
      </c>
      <c r="E2612" s="36" t="s">
        <v>658</v>
      </c>
      <c r="F2612" s="36" t="s">
        <v>115</v>
      </c>
    </row>
    <row r="2613" spans="1:6">
      <c r="A2613" s="38">
        <v>45953.15625</v>
      </c>
      <c r="B2613" s="39">
        <v>1754.699951171875</v>
      </c>
      <c r="C2613" s="39">
        <v>1738.59423828125</v>
      </c>
      <c r="D2613" s="41">
        <v>1981822</v>
      </c>
      <c r="E2613" s="36" t="s">
        <v>658</v>
      </c>
      <c r="F2613" s="36" t="s">
        <v>115</v>
      </c>
    </row>
    <row r="2614" spans="1:6">
      <c r="A2614" s="38">
        <v>45954.15625</v>
      </c>
      <c r="B2614" s="39">
        <v>1760</v>
      </c>
      <c r="C2614" s="39">
        <v>1743.845458984375</v>
      </c>
      <c r="D2614" s="41">
        <v>1609152</v>
      </c>
      <c r="E2614" s="36" t="s">
        <v>658</v>
      </c>
      <c r="F2614" s="36" t="s">
        <v>115</v>
      </c>
    </row>
    <row r="2615" spans="1:6">
      <c r="A2615" s="38">
        <v>45957.15625</v>
      </c>
      <c r="B2615" s="39">
        <v>1830.5999755859375</v>
      </c>
      <c r="C2615" s="39">
        <v>1813.7974853515625</v>
      </c>
      <c r="D2615" s="41">
        <v>6887265</v>
      </c>
      <c r="E2615" s="36" t="s">
        <v>658</v>
      </c>
      <c r="F2615" s="36" t="s">
        <v>115</v>
      </c>
    </row>
    <row r="2616" spans="1:6">
      <c r="A2616" s="38">
        <v>45958.15625</v>
      </c>
      <c r="B2616" s="39">
        <v>1809.800048828125</v>
      </c>
      <c r="C2616" s="39">
        <v>1793.1884765625</v>
      </c>
      <c r="D2616" s="41">
        <v>2276191</v>
      </c>
      <c r="E2616" s="36" t="s">
        <v>658</v>
      </c>
      <c r="F2616" s="36" t="s">
        <v>115</v>
      </c>
    </row>
    <row r="2617" spans="1:6">
      <c r="A2617" s="38">
        <v>45959.15625</v>
      </c>
      <c r="B2617" s="39">
        <v>1797.4000244140625</v>
      </c>
      <c r="C2617" s="39">
        <v>1780.90234375</v>
      </c>
      <c r="D2617" s="41">
        <v>1754243</v>
      </c>
      <c r="E2617" s="36" t="s">
        <v>658</v>
      </c>
      <c r="F2617" s="36" t="s">
        <v>115</v>
      </c>
    </row>
    <row r="2618" spans="1:6">
      <c r="A2618" s="38">
        <v>45960.15625</v>
      </c>
      <c r="B2618" s="39">
        <v>1807.699951171875</v>
      </c>
      <c r="C2618" s="39">
        <v>1791.1077880859375</v>
      </c>
      <c r="D2618" s="41">
        <v>1236877</v>
      </c>
      <c r="E2618" s="36" t="s">
        <v>658</v>
      </c>
      <c r="F2618" s="36" t="s">
        <v>115</v>
      </c>
    </row>
    <row r="2619" spans="1:6">
      <c r="A2619" s="38">
        <v>45961.15625</v>
      </c>
      <c r="B2619" s="39">
        <v>1778.0999755859375</v>
      </c>
      <c r="C2619" s="39">
        <v>1765.6865234375</v>
      </c>
      <c r="D2619" s="41">
        <v>697258</v>
      </c>
      <c r="E2619" s="36" t="s">
        <v>658</v>
      </c>
      <c r="F2619" s="36" t="s">
        <v>115</v>
      </c>
    </row>
    <row r="2620" spans="1:6">
      <c r="A2620" s="38">
        <v>45964.15625</v>
      </c>
      <c r="B2620" s="39">
        <v>1794.800048828125</v>
      </c>
      <c r="C2620" s="39">
        <v>1782.269775390625</v>
      </c>
      <c r="D2620" s="41">
        <v>1055825</v>
      </c>
      <c r="E2620" s="36" t="s">
        <v>658</v>
      </c>
      <c r="F2620" s="36" t="s">
        <v>115</v>
      </c>
    </row>
    <row r="2621" spans="1:6">
      <c r="A2621" s="38">
        <v>45965.15625</v>
      </c>
      <c r="B2621" s="39">
        <v>1767</v>
      </c>
      <c r="C2621" s="39">
        <v>1754.6639404296875</v>
      </c>
      <c r="D2621" s="41">
        <v>1067437</v>
      </c>
      <c r="E2621" s="36" t="s">
        <v>658</v>
      </c>
      <c r="F2621" s="36" t="s">
        <v>115</v>
      </c>
    </row>
    <row r="2622" spans="1:6">
      <c r="A2622" s="38">
        <v>45967.15625</v>
      </c>
      <c r="B2622" s="39">
        <v>1763.9000244140625</v>
      </c>
      <c r="C2622" s="39">
        <v>1751.5855712890625</v>
      </c>
      <c r="D2622" s="41">
        <v>1453706</v>
      </c>
      <c r="E2622" s="36" t="s">
        <v>658</v>
      </c>
      <c r="F2622" s="36" t="s">
        <v>115</v>
      </c>
    </row>
    <row r="2623" spans="1:6">
      <c r="A2623" s="38">
        <v>45968.15625</v>
      </c>
      <c r="B2623" s="39">
        <v>1740.199951171875</v>
      </c>
      <c r="C2623" s="39">
        <v>1728.051025390625</v>
      </c>
      <c r="D2623" s="41">
        <v>1410909</v>
      </c>
      <c r="E2623" s="36" t="s">
        <v>658</v>
      </c>
      <c r="F2623" s="36" t="s">
        <v>115</v>
      </c>
    </row>
    <row r="2624" spans="1:6">
      <c r="A2624" s="38">
        <v>45971.15625</v>
      </c>
      <c r="B2624" s="39">
        <v>1757.5999755859375</v>
      </c>
      <c r="C2624" s="39">
        <v>1745.3294677734375</v>
      </c>
      <c r="D2624" s="41">
        <v>1401690</v>
      </c>
      <c r="E2624" s="36" t="s">
        <v>658</v>
      </c>
      <c r="F2624" s="36" t="s">
        <v>115</v>
      </c>
    </row>
    <row r="2625" spans="1:6">
      <c r="A2625" s="38">
        <v>45972.15625</v>
      </c>
      <c r="B2625" s="39">
        <v>1797.0999755859375</v>
      </c>
      <c r="C2625" s="39">
        <v>1784.5538330078125</v>
      </c>
      <c r="D2625" s="41">
        <v>2162659</v>
      </c>
      <c r="E2625" s="36" t="s">
        <v>658</v>
      </c>
      <c r="F2625" s="36" t="s">
        <v>115</v>
      </c>
    </row>
    <row r="2626" spans="1:6">
      <c r="A2626" s="38">
        <v>45973.15625</v>
      </c>
      <c r="B2626" s="39">
        <v>1827.699951171875</v>
      </c>
      <c r="C2626" s="39">
        <v>1814.9400634765625</v>
      </c>
      <c r="D2626" s="41">
        <v>1138331</v>
      </c>
      <c r="E2626" s="36" t="s">
        <v>658</v>
      </c>
      <c r="F2626" s="36" t="s">
        <v>115</v>
      </c>
    </row>
    <row r="2627" spans="1:6">
      <c r="A2627" s="38">
        <v>45974.15625</v>
      </c>
      <c r="B2627" s="39">
        <v>1810.199951171875</v>
      </c>
      <c r="C2627" s="39">
        <v>1797.5623779296875</v>
      </c>
      <c r="D2627" s="41">
        <v>1550251</v>
      </c>
      <c r="E2627" s="36" t="s">
        <v>658</v>
      </c>
      <c r="F2627" s="36" t="s">
        <v>115</v>
      </c>
    </row>
    <row r="2628" spans="1:6">
      <c r="A2628" s="38">
        <v>45975.15625</v>
      </c>
      <c r="B2628" s="39">
        <v>1799.5999755859375</v>
      </c>
      <c r="C2628" s="39">
        <v>1787.0362548828125</v>
      </c>
      <c r="D2628" s="41">
        <v>1575511</v>
      </c>
      <c r="E2628" s="36" t="s">
        <v>658</v>
      </c>
      <c r="F2628" s="36" t="s">
        <v>115</v>
      </c>
    </row>
    <row r="2629" spans="1:6">
      <c r="A2629" s="38">
        <v>45978.15625</v>
      </c>
      <c r="B2629" s="39">
        <v>1801.0999755859375</v>
      </c>
      <c r="C2629" s="39">
        <v>1788.52587890625</v>
      </c>
      <c r="D2629" s="41">
        <v>518247</v>
      </c>
      <c r="E2629" s="36" t="s">
        <v>658</v>
      </c>
      <c r="F2629" s="36" t="s">
        <v>115</v>
      </c>
    </row>
    <row r="2630" spans="1:6">
      <c r="A2630" s="38">
        <v>45979.15625</v>
      </c>
      <c r="B2630" s="39">
        <v>1784.300048828125</v>
      </c>
      <c r="C2630" s="39">
        <v>1771.8431396484375</v>
      </c>
      <c r="D2630" s="41">
        <v>785781</v>
      </c>
      <c r="E2630" s="36" t="s">
        <v>658</v>
      </c>
      <c r="F2630" s="36" t="s">
        <v>115</v>
      </c>
    </row>
    <row r="2631" spans="1:6">
      <c r="A2631" s="38">
        <v>45980.15625</v>
      </c>
      <c r="B2631" s="39">
        <v>1858.199951171875</v>
      </c>
      <c r="C2631" s="39">
        <v>1845.2271728515625</v>
      </c>
      <c r="D2631" s="41">
        <v>2324817</v>
      </c>
      <c r="E2631" s="36" t="s">
        <v>658</v>
      </c>
      <c r="F2631" s="36" t="s">
        <v>115</v>
      </c>
    </row>
    <row r="2632" spans="1:6">
      <c r="A2632" s="38">
        <v>45981.15625</v>
      </c>
      <c r="B2632" s="39">
        <v>1846.0999755859375</v>
      </c>
      <c r="C2632" s="39">
        <v>1833.211669921875</v>
      </c>
      <c r="D2632" s="41">
        <v>1733072</v>
      </c>
      <c r="E2632" s="36" t="s">
        <v>658</v>
      </c>
      <c r="F2632" s="36" t="s">
        <v>115</v>
      </c>
    </row>
    <row r="2633" spans="1:6">
      <c r="A2633" s="38">
        <v>45982.15625</v>
      </c>
      <c r="B2633" s="39">
        <v>1797.5</v>
      </c>
      <c r="C2633" s="39">
        <v>1784.9510498046875</v>
      </c>
      <c r="D2633" s="41">
        <v>1342531</v>
      </c>
      <c r="E2633" s="36" t="s">
        <v>658</v>
      </c>
      <c r="F2633" s="36" t="s">
        <v>115</v>
      </c>
    </row>
    <row r="2634" spans="1:6">
      <c r="A2634" s="38">
        <v>45985.15625</v>
      </c>
      <c r="B2634" s="39">
        <v>1808.199951171875</v>
      </c>
      <c r="C2634" s="39">
        <v>1795.5762939453125</v>
      </c>
      <c r="D2634" s="41">
        <v>1409000</v>
      </c>
      <c r="E2634" s="36" t="s">
        <v>658</v>
      </c>
      <c r="F2634" s="36" t="s">
        <v>115</v>
      </c>
    </row>
    <row r="2635" spans="1:6">
      <c r="A2635" s="38">
        <v>45986.15625</v>
      </c>
      <c r="B2635" s="39">
        <v>1831.699951171875</v>
      </c>
      <c r="C2635" s="39">
        <v>1818.9122314453125</v>
      </c>
      <c r="D2635" s="41">
        <v>1612174</v>
      </c>
      <c r="E2635" s="36" t="s">
        <v>658</v>
      </c>
      <c r="F2635" s="36" t="s">
        <v>115</v>
      </c>
    </row>
    <row r="2636" spans="1:6">
      <c r="A2636" s="38">
        <v>45987.15625</v>
      </c>
      <c r="B2636" s="39">
        <v>1871.0999755859375</v>
      </c>
      <c r="C2636" s="39">
        <v>1858.037109375</v>
      </c>
      <c r="D2636" s="41">
        <v>902345</v>
      </c>
      <c r="E2636" s="36" t="s">
        <v>658</v>
      </c>
      <c r="F2636" s="36" t="s">
        <v>115</v>
      </c>
    </row>
    <row r="2637" spans="1:6">
      <c r="A2637" s="38">
        <v>45988.15625</v>
      </c>
      <c r="B2637" s="39">
        <v>1910.199951171875</v>
      </c>
      <c r="C2637" s="39">
        <v>1896.8641357421875</v>
      </c>
      <c r="D2637" s="41">
        <v>1702344</v>
      </c>
      <c r="E2637" s="36" t="s">
        <v>658</v>
      </c>
      <c r="F2637" s="36" t="s">
        <v>115</v>
      </c>
    </row>
    <row r="2638" spans="1:6">
      <c r="A2638" s="38">
        <v>45989.15625</v>
      </c>
      <c r="B2638" s="39">
        <v>1908.699951171875</v>
      </c>
      <c r="C2638" s="39">
        <v>1895.3746337890625</v>
      </c>
      <c r="D2638" s="41">
        <v>1344163</v>
      </c>
      <c r="E2638" s="36" t="s">
        <v>658</v>
      </c>
      <c r="F2638" s="36" t="s">
        <v>115</v>
      </c>
    </row>
    <row r="2639" spans="1:6">
      <c r="A2639" s="38">
        <v>45992.15625</v>
      </c>
      <c r="B2639" s="39">
        <v>1902.5999755859375</v>
      </c>
      <c r="C2639" s="39">
        <v>1889.3172607421875</v>
      </c>
      <c r="D2639" s="41">
        <v>957784</v>
      </c>
      <c r="E2639" s="36" t="s">
        <v>658</v>
      </c>
      <c r="F2639" s="36" t="s">
        <v>115</v>
      </c>
    </row>
    <row r="2640" spans="1:6">
      <c r="A2640" s="38">
        <v>45993.15625</v>
      </c>
      <c r="B2640" s="39">
        <v>1913.9000244140625</v>
      </c>
      <c r="C2640" s="39">
        <v>1900.538330078125</v>
      </c>
      <c r="D2640" s="41">
        <v>789262</v>
      </c>
      <c r="E2640" s="36" t="s">
        <v>658</v>
      </c>
      <c r="F2640" s="36" t="s">
        <v>115</v>
      </c>
    </row>
    <row r="2641" spans="1:6">
      <c r="A2641" s="38">
        <v>45994.15625</v>
      </c>
      <c r="B2641" s="39">
        <v>1912.5</v>
      </c>
      <c r="C2641" s="39">
        <v>1899.148193359375</v>
      </c>
      <c r="D2641" s="41">
        <v>1033164</v>
      </c>
      <c r="E2641" s="36" t="s">
        <v>658</v>
      </c>
      <c r="F2641" s="36" t="s">
        <v>115</v>
      </c>
    </row>
    <row r="2642" spans="1:6">
      <c r="A2642" s="38">
        <v>45995.15625</v>
      </c>
      <c r="B2642" s="39">
        <v>1966.199951171875</v>
      </c>
      <c r="C2642" s="39">
        <v>1952.47314453125</v>
      </c>
      <c r="D2642" s="41">
        <v>3120396</v>
      </c>
      <c r="E2642" s="36" t="s">
        <v>658</v>
      </c>
      <c r="F2642" s="36" t="s">
        <v>115</v>
      </c>
    </row>
    <row r="2643" spans="1:6">
      <c r="A2643" s="38">
        <v>45996.15625</v>
      </c>
      <c r="B2643" s="39">
        <v>1977.9000244140625</v>
      </c>
      <c r="C2643" s="39">
        <v>1964.091552734375</v>
      </c>
      <c r="D2643" s="41">
        <v>1822538</v>
      </c>
      <c r="E2643" s="36" t="s">
        <v>658</v>
      </c>
      <c r="F2643" s="36" t="s">
        <v>115</v>
      </c>
    </row>
    <row r="2644" spans="1:6">
      <c r="A2644" s="38">
        <v>45999.15625</v>
      </c>
      <c r="B2644" s="39">
        <v>1951.300048828125</v>
      </c>
      <c r="C2644" s="39">
        <v>1937.6773681640625</v>
      </c>
      <c r="D2644" s="41">
        <v>1538773</v>
      </c>
      <c r="E2644" s="36" t="s">
        <v>658</v>
      </c>
      <c r="F2644" s="36" t="s">
        <v>115</v>
      </c>
    </row>
    <row r="2645" spans="1:6">
      <c r="A2645" s="38">
        <v>46000.15625</v>
      </c>
      <c r="B2645" s="39">
        <v>1873.5</v>
      </c>
      <c r="C2645" s="39">
        <v>1860.42041015625</v>
      </c>
      <c r="D2645" s="41">
        <v>2178634</v>
      </c>
      <c r="E2645" s="36" t="s">
        <v>658</v>
      </c>
      <c r="F2645" s="36" t="s">
        <v>115</v>
      </c>
    </row>
    <row r="2646" spans="1:6">
      <c r="A2646" s="38">
        <v>46001.15625</v>
      </c>
      <c r="B2646" s="39">
        <v>1820.199951171875</v>
      </c>
      <c r="C2646" s="39">
        <v>1807.4925537109375</v>
      </c>
      <c r="D2646" s="41">
        <v>1182576</v>
      </c>
      <c r="E2646" s="36" t="s">
        <v>658</v>
      </c>
      <c r="F2646" s="36" t="s">
        <v>115</v>
      </c>
    </row>
    <row r="2647" spans="1:6">
      <c r="A2647" s="38">
        <v>46002.15625</v>
      </c>
      <c r="B2647" s="39">
        <v>1841.4000244140625</v>
      </c>
      <c r="C2647" s="39">
        <v>1828.5445556640625</v>
      </c>
      <c r="D2647" s="41">
        <v>1305450</v>
      </c>
      <c r="E2647" s="36" t="s">
        <v>658</v>
      </c>
      <c r="F2647" s="36" t="s">
        <v>115</v>
      </c>
    </row>
    <row r="2648" spans="1:6">
      <c r="A2648" s="38">
        <v>46003.15625</v>
      </c>
      <c r="B2648" s="39">
        <v>1851</v>
      </c>
      <c r="C2648" s="39">
        <v>1838.0775146484375</v>
      </c>
      <c r="D2648" s="41">
        <v>1341771</v>
      </c>
      <c r="E2648" s="36" t="s">
        <v>658</v>
      </c>
      <c r="F2648" s="36" t="s">
        <v>115</v>
      </c>
    </row>
    <row r="2649" spans="1:6">
      <c r="A2649" s="38">
        <v>46006.15625</v>
      </c>
      <c r="B2649" s="39">
        <v>1870</v>
      </c>
      <c r="C2649" s="39">
        <v>1856.94482421875</v>
      </c>
      <c r="D2649" s="41">
        <v>774833</v>
      </c>
      <c r="E2649" s="36" t="s">
        <v>658</v>
      </c>
      <c r="F2649" s="36" t="s">
        <v>115</v>
      </c>
    </row>
    <row r="2650" spans="1:6">
      <c r="A2650" s="38">
        <v>46007.15625</v>
      </c>
      <c r="B2650" s="39">
        <v>1866.800048828125</v>
      </c>
      <c r="C2650" s="39">
        <v>1853.767333984375</v>
      </c>
      <c r="D2650" s="41">
        <v>810515</v>
      </c>
      <c r="E2650" s="36" t="s">
        <v>658</v>
      </c>
      <c r="F2650" s="36" t="s">
        <v>115</v>
      </c>
    </row>
    <row r="2651" spans="1:6">
      <c r="A2651" s="38">
        <v>46008.15625</v>
      </c>
      <c r="B2651" s="39">
        <v>1844.699951171875</v>
      </c>
      <c r="C2651" s="39">
        <v>1831.8214111328125</v>
      </c>
      <c r="D2651" s="41">
        <v>728993</v>
      </c>
      <c r="E2651" s="36" t="s">
        <v>658</v>
      </c>
      <c r="F2651" s="36" t="s">
        <v>115</v>
      </c>
    </row>
    <row r="2652" spans="1:6">
      <c r="A2652" s="38">
        <v>46009.15625</v>
      </c>
      <c r="B2652" s="39">
        <v>1854.800048828125</v>
      </c>
      <c r="C2652" s="39">
        <v>1841.85107421875</v>
      </c>
      <c r="D2652" s="41">
        <v>983034</v>
      </c>
      <c r="E2652" s="36" t="s">
        <v>658</v>
      </c>
      <c r="F2652" s="36" t="s">
        <v>115</v>
      </c>
    </row>
    <row r="2653" spans="1:6">
      <c r="A2653" s="38">
        <v>46010.15625</v>
      </c>
      <c r="B2653" s="39">
        <v>1845.4000244140625</v>
      </c>
      <c r="C2653" s="39">
        <v>1832.5167236328125</v>
      </c>
      <c r="D2653" s="41">
        <v>2031217</v>
      </c>
      <c r="E2653" s="36" t="s">
        <v>658</v>
      </c>
      <c r="F2653" s="36" t="s">
        <v>115</v>
      </c>
    </row>
    <row r="2654" spans="1:6">
      <c r="A2654" s="38">
        <v>46013.15625</v>
      </c>
      <c r="B2654" s="39">
        <v>1868.699951171875</v>
      </c>
      <c r="C2654" s="39">
        <v>1855.6539306640625</v>
      </c>
      <c r="D2654" s="41">
        <v>824181</v>
      </c>
      <c r="E2654" s="36" t="s">
        <v>658</v>
      </c>
      <c r="F2654" s="36" t="s">
        <v>115</v>
      </c>
    </row>
    <row r="2655" spans="1:6">
      <c r="A2655" s="38">
        <v>46014.15625</v>
      </c>
      <c r="B2655" s="39">
        <v>1780.199951171875</v>
      </c>
      <c r="C2655" s="39">
        <v>1767.771728515625</v>
      </c>
      <c r="D2655" s="41">
        <v>3815131</v>
      </c>
      <c r="E2655" s="36" t="s">
        <v>658</v>
      </c>
      <c r="F2655" s="36" t="s">
        <v>115</v>
      </c>
    </row>
    <row r="2656" spans="1:6">
      <c r="A2656" s="38">
        <v>46015.15625</v>
      </c>
      <c r="B2656" s="39">
        <v>1737.699951171875</v>
      </c>
      <c r="C2656" s="39">
        <v>1725.568603515625</v>
      </c>
      <c r="D2656" s="41">
        <v>2702033</v>
      </c>
      <c r="E2656" s="36" t="s">
        <v>658</v>
      </c>
      <c r="F2656" s="36" t="s">
        <v>115</v>
      </c>
    </row>
    <row r="2657" spans="1:6">
      <c r="A2657" s="38">
        <v>46017.15625</v>
      </c>
      <c r="B2657" s="39">
        <v>1673.300048828125</v>
      </c>
      <c r="C2657" s="39">
        <v>1661.6182861328125</v>
      </c>
      <c r="D2657" s="41">
        <v>4261704</v>
      </c>
      <c r="E2657" s="36" t="s">
        <v>658</v>
      </c>
      <c r="F2657" s="36" t="s">
        <v>115</v>
      </c>
    </row>
    <row r="2658" spans="1:6">
      <c r="A2658" s="38">
        <v>46020.15625</v>
      </c>
      <c r="B2658" s="39">
        <v>1683.300048828125</v>
      </c>
      <c r="C2658" s="39">
        <v>1671.5484619140625</v>
      </c>
      <c r="D2658" s="41">
        <v>8071211</v>
      </c>
      <c r="E2658" s="36" t="s">
        <v>658</v>
      </c>
      <c r="F2658" s="36" t="s">
        <v>115</v>
      </c>
    </row>
    <row r="2659" spans="1:6">
      <c r="A2659" s="38">
        <v>46021.15625</v>
      </c>
      <c r="B2659" s="39">
        <v>1654.9000244140625</v>
      </c>
      <c r="C2659" s="39">
        <v>1643.3466796875</v>
      </c>
      <c r="D2659" s="41">
        <v>8204848</v>
      </c>
      <c r="E2659" s="36" t="s">
        <v>658</v>
      </c>
      <c r="F2659" s="36" t="s">
        <v>115</v>
      </c>
    </row>
    <row r="2660" spans="1:6">
      <c r="A2660" s="38">
        <v>46022.15625</v>
      </c>
      <c r="B2660" s="39">
        <v>1663</v>
      </c>
      <c r="C2660" s="39">
        <v>1651.3900146484375</v>
      </c>
      <c r="D2660" s="41">
        <v>2650044</v>
      </c>
      <c r="E2660" s="36" t="s">
        <v>658</v>
      </c>
      <c r="F2660" s="36" t="s">
        <v>115</v>
      </c>
    </row>
    <row r="2661" spans="1:6">
      <c r="A2661" s="38">
        <v>46023.15625</v>
      </c>
      <c r="B2661" s="39">
        <v>1655.800048828125</v>
      </c>
      <c r="C2661" s="39">
        <v>1644.2403564453125</v>
      </c>
      <c r="D2661" s="41">
        <v>1009599</v>
      </c>
      <c r="E2661" s="36" t="s">
        <v>658</v>
      </c>
      <c r="F2661" s="36" t="s">
        <v>115</v>
      </c>
    </row>
    <row r="2662" spans="1:6">
      <c r="A2662" s="38">
        <v>46024.15625</v>
      </c>
      <c r="B2662" s="39">
        <v>1650.300048828125</v>
      </c>
      <c r="C2662" s="39">
        <v>1638.77880859375</v>
      </c>
      <c r="D2662" s="41">
        <v>2358220</v>
      </c>
      <c r="E2662" s="36" t="s">
        <v>658</v>
      </c>
      <c r="F2662" s="36" t="s">
        <v>115</v>
      </c>
    </row>
    <row r="2663" spans="1:6">
      <c r="A2663" s="38">
        <v>46027.15625</v>
      </c>
      <c r="B2663" s="39">
        <v>1642</v>
      </c>
      <c r="C2663" s="39">
        <v>1630.53662109375</v>
      </c>
      <c r="D2663" s="41">
        <v>1643132</v>
      </c>
      <c r="E2663" s="36" t="s">
        <v>658</v>
      </c>
      <c r="F2663" s="36" t="s">
        <v>115</v>
      </c>
    </row>
    <row r="2664" spans="1:6">
      <c r="A2664" s="38">
        <v>46028.15625</v>
      </c>
      <c r="B2664" s="39">
        <v>1657.0999755859375</v>
      </c>
      <c r="C2664" s="39">
        <v>1645.5311279296875</v>
      </c>
      <c r="D2664" s="41">
        <v>1387735</v>
      </c>
      <c r="E2664" s="36" t="s">
        <v>658</v>
      </c>
      <c r="F2664" s="36" t="s">
        <v>115</v>
      </c>
    </row>
    <row r="2665" spans="1:6">
      <c r="A2665" s="38">
        <v>46029.15625</v>
      </c>
      <c r="B2665" s="39">
        <v>1701.5</v>
      </c>
      <c r="C2665" s="39">
        <v>1689.621337890625</v>
      </c>
      <c r="D2665" s="41">
        <v>1845212</v>
      </c>
      <c r="E2665" s="36" t="s">
        <v>658</v>
      </c>
      <c r="F2665" s="36" t="s">
        <v>115</v>
      </c>
    </row>
    <row r="2666" spans="1:6">
      <c r="A2666" s="38">
        <v>46030.15625</v>
      </c>
      <c r="B2666" s="39">
        <v>1647</v>
      </c>
      <c r="C2666" s="39">
        <v>1635.501708984375</v>
      </c>
      <c r="D2666" s="41">
        <v>1508881</v>
      </c>
      <c r="E2666" s="36" t="s">
        <v>658</v>
      </c>
      <c r="F2666" s="36" t="s">
        <v>115</v>
      </c>
    </row>
    <row r="2667" spans="1:6">
      <c r="A2667" s="38">
        <v>46031.15625</v>
      </c>
      <c r="B2667" s="39">
        <v>1681.5999755859375</v>
      </c>
      <c r="C2667" s="39">
        <v>1669.8602294921875</v>
      </c>
      <c r="D2667" s="41">
        <v>1700004</v>
      </c>
      <c r="E2667" s="36" t="s">
        <v>658</v>
      </c>
      <c r="F2667" s="36" t="s">
        <v>115</v>
      </c>
    </row>
    <row r="2668" spans="1:6">
      <c r="A2668" s="38">
        <v>46034.15625</v>
      </c>
      <c r="B2668" s="39">
        <v>1697.0999755859375</v>
      </c>
      <c r="C2668" s="39">
        <v>1685.251953125</v>
      </c>
      <c r="D2668" s="41">
        <v>1476570</v>
      </c>
      <c r="E2668" s="36" t="s">
        <v>658</v>
      </c>
      <c r="F2668" s="36" t="s">
        <v>115</v>
      </c>
    </row>
    <row r="2669" spans="1:6">
      <c r="A2669" s="38">
        <v>46035.15625</v>
      </c>
      <c r="B2669" s="39">
        <v>1708.5</v>
      </c>
      <c r="C2669" s="39">
        <v>1696.5723876953125</v>
      </c>
      <c r="D2669" s="41">
        <v>2425785</v>
      </c>
      <c r="E2669" s="36" t="s">
        <v>658</v>
      </c>
      <c r="F2669" s="36" t="s">
        <v>115</v>
      </c>
    </row>
    <row r="2670" spans="1:6">
      <c r="A2670" s="38">
        <v>46036.15625</v>
      </c>
      <c r="B2670" s="39">
        <v>1681.5999755859375</v>
      </c>
      <c r="C2670" s="39">
        <v>1669.8602294921875</v>
      </c>
      <c r="D2670" s="41">
        <v>1903405</v>
      </c>
      <c r="E2670" s="36" t="s">
        <v>658</v>
      </c>
      <c r="F2670" s="36" t="s">
        <v>115</v>
      </c>
    </row>
    <row r="2671" spans="1:6">
      <c r="A2671" s="38">
        <v>46037.145833333336</v>
      </c>
      <c r="B2671" s="39">
        <v>1681.5999755859375</v>
      </c>
      <c r="C2671" s="39">
        <v>1669.8602294921875</v>
      </c>
      <c r="D2671" s="41">
        <v>0</v>
      </c>
      <c r="E2671" s="36" t="s">
        <v>658</v>
      </c>
      <c r="F2671" s="36" t="s">
        <v>115</v>
      </c>
    </row>
    <row r="2672" spans="1:6">
      <c r="A2672" s="38">
        <v>46038.15625</v>
      </c>
      <c r="B2672" s="39">
        <v>1732.300048828125</v>
      </c>
      <c r="C2672" s="39">
        <v>1720.206298828125</v>
      </c>
      <c r="D2672" s="41">
        <v>3448276</v>
      </c>
      <c r="E2672" s="36" t="s">
        <v>658</v>
      </c>
      <c r="F2672" s="36" t="s">
        <v>115</v>
      </c>
    </row>
    <row r="2673" spans="1:6">
      <c r="A2673" s="38">
        <v>46041.15625</v>
      </c>
      <c r="B2673" s="39">
        <v>1728</v>
      </c>
      <c r="C2673" s="39">
        <v>1715.9361572265625</v>
      </c>
      <c r="D2673" s="41">
        <v>1311096</v>
      </c>
      <c r="E2673" s="36" t="s">
        <v>658</v>
      </c>
      <c r="F2673" s="36" t="s">
        <v>115</v>
      </c>
    </row>
    <row r="2674" spans="1:6">
      <c r="A2674" s="38">
        <v>46042.15625</v>
      </c>
      <c r="B2674" s="39">
        <v>1693.699951171875</v>
      </c>
      <c r="C2674" s="39">
        <v>1681.8756103515625</v>
      </c>
      <c r="D2674" s="41">
        <v>1719928</v>
      </c>
      <c r="E2674" s="36" t="s">
        <v>658</v>
      </c>
      <c r="F2674" s="36" t="s">
        <v>115</v>
      </c>
    </row>
    <row r="2675" spans="1:6">
      <c r="A2675" s="38">
        <v>46043.15625</v>
      </c>
      <c r="B2675" s="39">
        <v>1669.199951171875</v>
      </c>
      <c r="C2675" s="39">
        <v>1657.546630859375</v>
      </c>
      <c r="D2675" s="41">
        <v>3976423</v>
      </c>
      <c r="E2675" s="36" t="s">
        <v>658</v>
      </c>
      <c r="F2675" s="36" t="s">
        <v>115</v>
      </c>
    </row>
    <row r="2676" spans="1:6">
      <c r="A2676" s="38">
        <v>46044.15625</v>
      </c>
      <c r="B2676" s="39">
        <v>1687.699951171875</v>
      </c>
      <c r="C2676" s="39">
        <v>1675.91748046875</v>
      </c>
      <c r="D2676" s="41">
        <v>2134697</v>
      </c>
      <c r="E2676" s="36" t="s">
        <v>658</v>
      </c>
      <c r="F2676" s="36" t="s">
        <v>115</v>
      </c>
    </row>
    <row r="2677" spans="1:6">
      <c r="A2677" s="38">
        <v>46045.15625</v>
      </c>
      <c r="B2677" s="39">
        <v>1636.4000244140625</v>
      </c>
      <c r="C2677" s="39">
        <v>1624.9757080078125</v>
      </c>
      <c r="D2677" s="41">
        <v>3575484</v>
      </c>
      <c r="E2677" s="36" t="s">
        <v>658</v>
      </c>
      <c r="F2677" s="36" t="s">
        <v>115</v>
      </c>
    </row>
    <row r="2678" spans="1:6">
      <c r="A2678" s="38">
        <v>46049.15625</v>
      </c>
      <c r="B2678" s="39">
        <v>1664.300048828125</v>
      </c>
      <c r="C2678" s="39">
        <v>1652.6810302734375</v>
      </c>
      <c r="D2678" s="41">
        <v>3017548</v>
      </c>
      <c r="E2678" s="36" t="s">
        <v>658</v>
      </c>
      <c r="F2678" s="36" t="s">
        <v>115</v>
      </c>
    </row>
    <row r="2679" spans="1:6">
      <c r="A2679" s="38">
        <v>46050.15625</v>
      </c>
      <c r="B2679" s="39">
        <v>1694.199951171875</v>
      </c>
      <c r="C2679" s="39">
        <v>1682.3721923828125</v>
      </c>
      <c r="D2679" s="41">
        <v>1311827</v>
      </c>
      <c r="E2679" s="36" t="s">
        <v>658</v>
      </c>
      <c r="F2679" s="36" t="s">
        <v>115</v>
      </c>
    </row>
    <row r="2680" spans="1:6">
      <c r="A2680" s="38">
        <v>46051.15625</v>
      </c>
      <c r="B2680" s="39">
        <v>1678.0999755859375</v>
      </c>
      <c r="C2680" s="39">
        <v>1666.3846435546875</v>
      </c>
      <c r="D2680" s="41">
        <v>1643016</v>
      </c>
      <c r="E2680" s="36" t="s">
        <v>658</v>
      </c>
      <c r="F2680" s="36" t="s">
        <v>115</v>
      </c>
    </row>
    <row r="2681" spans="1:6">
      <c r="A2681" s="38">
        <v>46052.15625</v>
      </c>
      <c r="B2681" s="39">
        <v>1653.800048828125</v>
      </c>
      <c r="C2681" s="39">
        <v>1646.17822265625</v>
      </c>
      <c r="D2681" s="41">
        <v>1487848</v>
      </c>
      <c r="E2681" s="36" t="s">
        <v>658</v>
      </c>
      <c r="F2681" s="36" t="s">
        <v>115</v>
      </c>
    </row>
    <row r="2682" spans="1:6">
      <c r="A2682" s="38">
        <v>46055.15625</v>
      </c>
      <c r="B2682" s="39">
        <v>1668.199951171875</v>
      </c>
      <c r="C2682" s="39">
        <v>1660.51171875</v>
      </c>
      <c r="D2682" s="41">
        <v>790021</v>
      </c>
      <c r="E2682" s="36" t="s">
        <v>658</v>
      </c>
      <c r="F2682" s="36" t="s">
        <v>115</v>
      </c>
    </row>
    <row r="2683" spans="1:6">
      <c r="A2683" s="38">
        <v>46056.15625</v>
      </c>
      <c r="B2683" s="39">
        <v>1712.0999755859375</v>
      </c>
      <c r="C2683" s="39">
        <v>1704.20947265625</v>
      </c>
      <c r="D2683" s="41">
        <v>1260061</v>
      </c>
      <c r="E2683" s="36" t="s">
        <v>658</v>
      </c>
      <c r="F2683" s="36" t="s">
        <v>115</v>
      </c>
    </row>
    <row r="2684" spans="1:6">
      <c r="A2684" s="38">
        <v>46057.15625</v>
      </c>
      <c r="B2684" s="39">
        <v>1613.9000244140625</v>
      </c>
      <c r="C2684" s="39">
        <v>1606.462158203125</v>
      </c>
      <c r="D2684" s="41">
        <v>4759330</v>
      </c>
      <c r="E2684" s="36" t="s">
        <v>658</v>
      </c>
      <c r="F2684" s="36" t="s">
        <v>115</v>
      </c>
    </row>
    <row r="2685" spans="1:6">
      <c r="A2685" s="38">
        <v>46058.15625</v>
      </c>
      <c r="B2685" s="39">
        <v>1599.800048828125</v>
      </c>
      <c r="C2685" s="39">
        <v>1592.427001953125</v>
      </c>
      <c r="D2685" s="41">
        <v>1684388</v>
      </c>
      <c r="E2685" s="36" t="s">
        <v>658</v>
      </c>
      <c r="F2685" s="36" t="s">
        <v>115</v>
      </c>
    </row>
    <row r="2686" spans="1:6">
      <c r="A2686" s="38">
        <v>46059.15625</v>
      </c>
      <c r="B2686" s="39">
        <v>1546</v>
      </c>
      <c r="C2686" s="39">
        <v>1538.875</v>
      </c>
      <c r="D2686" s="41">
        <v>2751610</v>
      </c>
      <c r="E2686" s="36" t="s">
        <v>658</v>
      </c>
      <c r="F2686" s="36" t="s">
        <v>115</v>
      </c>
    </row>
    <row r="2687" spans="1:6">
      <c r="A2687" s="38">
        <v>46062.15625</v>
      </c>
      <c r="B2687" s="39">
        <v>1549.300048828125</v>
      </c>
      <c r="C2687" s="39">
        <v>1542.159912109375</v>
      </c>
      <c r="D2687" s="41">
        <v>1542877</v>
      </c>
      <c r="E2687" s="36" t="s">
        <v>658</v>
      </c>
      <c r="F2687" s="36" t="s">
        <v>115</v>
      </c>
    </row>
    <row r="2688" spans="1:6">
      <c r="A2688" s="38">
        <v>46063.15625</v>
      </c>
      <c r="B2688" s="39">
        <v>1551</v>
      </c>
      <c r="C2688" s="39">
        <v>1543.85205078125</v>
      </c>
      <c r="D2688" s="41">
        <v>3139868</v>
      </c>
      <c r="E2688" s="36" t="s">
        <v>658</v>
      </c>
      <c r="F2688" s="36" t="s">
        <v>115</v>
      </c>
    </row>
    <row r="2689" spans="1:6">
      <c r="A2689" s="38">
        <v>46064.15625</v>
      </c>
      <c r="B2689" s="39">
        <v>1520.4000244140625</v>
      </c>
      <c r="C2689" s="39">
        <v>1513.39306640625</v>
      </c>
      <c r="D2689" s="41">
        <v>1685032</v>
      </c>
      <c r="E2689" s="36" t="s">
        <v>658</v>
      </c>
      <c r="F2689" s="36" t="s">
        <v>115</v>
      </c>
    </row>
    <row r="2690" spans="1:6">
      <c r="A2690" s="38">
        <v>46065.15625</v>
      </c>
      <c r="B2690" s="39">
        <v>1421.5</v>
      </c>
      <c r="C2690" s="39">
        <v>1414.9488525390625</v>
      </c>
      <c r="D2690" s="41">
        <v>5303522</v>
      </c>
      <c r="E2690" s="36" t="s">
        <v>658</v>
      </c>
      <c r="F2690" s="36" t="s">
        <v>115</v>
      </c>
    </row>
    <row r="2691" spans="1:6">
      <c r="A2691" s="38">
        <v>46066.15625</v>
      </c>
      <c r="B2691" s="39">
        <v>1361.800048828125</v>
      </c>
      <c r="C2691" s="39">
        <v>1355.5240478515625</v>
      </c>
      <c r="D2691" s="41">
        <v>12847607</v>
      </c>
      <c r="E2691" s="36" t="s">
        <v>658</v>
      </c>
      <c r="F2691" s="36" t="s">
        <v>115</v>
      </c>
    </row>
    <row r="2692" spans="1:6">
      <c r="A2692" s="38">
        <v>46069.15625</v>
      </c>
      <c r="B2692" s="39">
        <v>1392.5</v>
      </c>
      <c r="C2692" s="39">
        <v>1386.0823974609375</v>
      </c>
      <c r="D2692" s="41">
        <v>5116779</v>
      </c>
      <c r="E2692" s="36" t="s">
        <v>658</v>
      </c>
      <c r="F2692" s="36" t="s">
        <v>115</v>
      </c>
    </row>
    <row r="2693" spans="1:6">
      <c r="A2693" s="38">
        <v>46070.15625</v>
      </c>
      <c r="B2693" s="39">
        <v>1378.800048828125</v>
      </c>
      <c r="C2693" s="39">
        <v>1372.4456787109375</v>
      </c>
      <c r="D2693" s="41">
        <v>3467546</v>
      </c>
      <c r="E2693" s="36" t="s">
        <v>658</v>
      </c>
      <c r="F2693" s="36" t="s">
        <v>115</v>
      </c>
    </row>
    <row r="2694" spans="1:6">
      <c r="A2694" s="38">
        <v>46071.15625</v>
      </c>
      <c r="B2694" s="39">
        <v>1372.800048828125</v>
      </c>
      <c r="C2694" s="39">
        <v>1366.4732666015625</v>
      </c>
      <c r="D2694" s="41">
        <v>2353241</v>
      </c>
      <c r="E2694" s="36" t="s">
        <v>658</v>
      </c>
      <c r="F2694" s="36" t="s">
        <v>115</v>
      </c>
    </row>
    <row r="2695" spans="1:6">
      <c r="A2695" s="38">
        <v>46072.15625</v>
      </c>
      <c r="B2695" s="39">
        <v>1361</v>
      </c>
      <c r="C2695" s="39">
        <v>1354.7276611328125</v>
      </c>
      <c r="D2695" s="41">
        <v>3014508</v>
      </c>
      <c r="E2695" s="36" t="s">
        <v>658</v>
      </c>
      <c r="F2695" s="36" t="s">
        <v>115</v>
      </c>
    </row>
    <row r="2696" spans="1:6">
      <c r="A2696" s="38">
        <v>46073.15625</v>
      </c>
      <c r="B2696" s="39">
        <v>1340.5999755859375</v>
      </c>
      <c r="C2696" s="39">
        <v>1334.4215087890625</v>
      </c>
      <c r="D2696" s="41">
        <v>2423179</v>
      </c>
      <c r="E2696" s="36" t="s">
        <v>658</v>
      </c>
      <c r="F2696" s="36" t="s">
        <v>115</v>
      </c>
    </row>
    <row r="2697" spans="1:6">
      <c r="A2697" s="38">
        <v>46076.15625</v>
      </c>
      <c r="B2697" s="39">
        <v>1289</v>
      </c>
      <c r="C2697" s="39">
        <v>1283.0594482421875</v>
      </c>
      <c r="D2697" s="41">
        <v>4790112</v>
      </c>
      <c r="E2697" s="36" t="s">
        <v>658</v>
      </c>
      <c r="F2697" s="36" t="s">
        <v>115</v>
      </c>
    </row>
    <row r="2698" spans="1:6">
      <c r="A2698" s="38">
        <v>46077.15625</v>
      </c>
      <c r="B2698" s="39">
        <v>1212.199951171875</v>
      </c>
      <c r="C2698" s="39">
        <v>1206.6134033203125</v>
      </c>
      <c r="D2698" s="41">
        <v>10454471</v>
      </c>
      <c r="E2698" s="36" t="s">
        <v>658</v>
      </c>
      <c r="F2698" s="36" t="s">
        <v>115</v>
      </c>
    </row>
    <row r="2699" spans="1:6">
      <c r="A2699" s="38">
        <v>46078.15625</v>
      </c>
      <c r="B2699" s="39">
        <v>1212.9000244140625</v>
      </c>
      <c r="C2699" s="39">
        <v>1207.3101806640625</v>
      </c>
      <c r="D2699" s="41">
        <v>5227982</v>
      </c>
      <c r="E2699" s="36" t="s">
        <v>658</v>
      </c>
      <c r="F2699" s="36" t="s">
        <v>115</v>
      </c>
    </row>
    <row r="2700" spans="1:6">
      <c r="A2700" s="38">
        <v>46079.15625</v>
      </c>
      <c r="B2700" s="39">
        <v>1200.4000244140625</v>
      </c>
      <c r="C2700" s="39">
        <v>1194.8677978515625</v>
      </c>
      <c r="D2700" s="41">
        <v>6063557</v>
      </c>
      <c r="E2700" s="36" t="s">
        <v>658</v>
      </c>
      <c r="F2700" s="36" t="s">
        <v>115</v>
      </c>
    </row>
    <row r="2701" spans="1:6">
      <c r="A2701" s="38">
        <v>46080.15625</v>
      </c>
      <c r="B2701" s="39">
        <v>1185.800048828125</v>
      </c>
      <c r="C2701" s="39">
        <v>1180.3350830078125</v>
      </c>
      <c r="D2701" s="41">
        <v>3210664</v>
      </c>
      <c r="E2701" s="36" t="s">
        <v>658</v>
      </c>
      <c r="F2701" s="36" t="s">
        <v>115</v>
      </c>
    </row>
    <row r="2702" spans="1:6">
      <c r="A2702" s="38">
        <v>46083.15625</v>
      </c>
      <c r="B2702" s="39">
        <v>1162.699951171875</v>
      </c>
      <c r="C2702" s="39">
        <v>1157.3414306640625</v>
      </c>
      <c r="D2702" s="41">
        <v>2447816</v>
      </c>
      <c r="E2702" s="36" t="s">
        <v>658</v>
      </c>
      <c r="F2702" s="36" t="s">
        <v>115</v>
      </c>
    </row>
    <row r="2703" spans="1:6">
      <c r="A2703" s="38">
        <v>46085.15625</v>
      </c>
      <c r="B2703" s="39">
        <v>1170</v>
      </c>
      <c r="C2703" s="39">
        <v>1164.6077880859375</v>
      </c>
      <c r="D2703" s="41">
        <v>3036423</v>
      </c>
      <c r="E2703" s="36" t="s">
        <v>658</v>
      </c>
      <c r="F2703" s="36" t="s">
        <v>115</v>
      </c>
    </row>
    <row r="2704" spans="1:6">
      <c r="A2704" s="38">
        <v>46086.15625</v>
      </c>
      <c r="B2704" s="39">
        <v>1152.699951171875</v>
      </c>
      <c r="C2704" s="39">
        <v>1147.3875732421875</v>
      </c>
      <c r="D2704" s="41">
        <v>3099614</v>
      </c>
      <c r="E2704" s="36" t="s">
        <v>658</v>
      </c>
      <c r="F2704" s="36" t="s">
        <v>115</v>
      </c>
    </row>
    <row r="2705" spans="1:6">
      <c r="A2705" s="38">
        <v>46087.15625</v>
      </c>
      <c r="B2705" s="39">
        <v>1162.9000244140625</v>
      </c>
      <c r="C2705" s="39">
        <v>1157.5406494140625</v>
      </c>
      <c r="D2705" s="41">
        <v>1741522</v>
      </c>
      <c r="E2705" s="36" t="s">
        <v>658</v>
      </c>
      <c r="F2705" s="36" t="s">
        <v>115</v>
      </c>
    </row>
    <row r="2706" spans="1:6">
      <c r="A2706" s="38">
        <v>46090.15625</v>
      </c>
      <c r="B2706" s="39">
        <v>1168.5</v>
      </c>
      <c r="C2706" s="39">
        <v>1163.11474609375</v>
      </c>
      <c r="D2706" s="41">
        <v>2207760</v>
      </c>
      <c r="E2706" s="36" t="s">
        <v>658</v>
      </c>
      <c r="F2706" s="36" t="s">
        <v>115</v>
      </c>
    </row>
    <row r="2707" spans="1:6">
      <c r="A2707" s="38">
        <v>46091.15625</v>
      </c>
      <c r="B2707" s="39">
        <v>1139.199951171875</v>
      </c>
      <c r="C2707" s="39">
        <v>1133.94970703125</v>
      </c>
      <c r="D2707" s="41">
        <v>2443222</v>
      </c>
      <c r="E2707" s="36" t="s">
        <v>658</v>
      </c>
      <c r="F2707" s="36" t="s">
        <v>115</v>
      </c>
    </row>
    <row r="2708" spans="1:6">
      <c r="A2708" s="38">
        <v>46092.15625</v>
      </c>
      <c r="B2708" s="39">
        <v>1108.800048828125</v>
      </c>
      <c r="C2708" s="39">
        <v>1103.68994140625</v>
      </c>
      <c r="D2708" s="41">
        <v>3030604</v>
      </c>
      <c r="E2708" s="36" t="s">
        <v>658</v>
      </c>
      <c r="F2708" s="36" t="s">
        <v>115</v>
      </c>
    </row>
    <row r="2709" spans="1:6">
      <c r="A2709" s="38">
        <v>46093.15625</v>
      </c>
      <c r="B2709" s="39">
        <v>1107.9000244140625</v>
      </c>
      <c r="C2709" s="39">
        <v>1102.7940673828125</v>
      </c>
      <c r="D2709" s="41">
        <v>4181637</v>
      </c>
      <c r="E2709" s="36" t="s">
        <v>658</v>
      </c>
      <c r="F2709" s="36" t="s">
        <v>115</v>
      </c>
    </row>
    <row r="2710" spans="1:6">
      <c r="A2710" s="38">
        <v>46094.15625</v>
      </c>
      <c r="B2710" s="39">
        <v>1089.699951171875</v>
      </c>
      <c r="C2710" s="39">
        <v>1084.677978515625</v>
      </c>
      <c r="D2710" s="41">
        <v>2704974</v>
      </c>
      <c r="E2710" s="36" t="s">
        <v>658</v>
      </c>
      <c r="F2710" s="36" t="s">
        <v>115</v>
      </c>
    </row>
    <row r="2711" spans="1:6">
      <c r="A2711" s="38">
        <v>46097.15625</v>
      </c>
      <c r="B2711" s="39">
        <v>1080.5999755859375</v>
      </c>
      <c r="C2711" s="39">
        <v>1075.6197509765625</v>
      </c>
      <c r="D2711" s="41">
        <v>3504696</v>
      </c>
      <c r="E2711" s="36" t="s">
        <v>658</v>
      </c>
      <c r="F2711" s="36" t="s">
        <v>115</v>
      </c>
    </row>
    <row r="2712" spans="1:6">
      <c r="A2712" s="38">
        <v>46098.15625</v>
      </c>
      <c r="B2712" s="39">
        <v>1073.9000244140625</v>
      </c>
      <c r="C2712" s="39">
        <v>1068.9508056640625</v>
      </c>
      <c r="D2712" s="41">
        <v>6318399</v>
      </c>
      <c r="E2712" s="36" t="s">
        <v>658</v>
      </c>
      <c r="F2712" s="36" t="s">
        <v>115</v>
      </c>
    </row>
    <row r="2713" spans="1:6">
      <c r="A2713" s="38">
        <v>46099.15625</v>
      </c>
      <c r="B2713" s="39">
        <v>1132</v>
      </c>
      <c r="C2713" s="39">
        <v>1126.782958984375</v>
      </c>
      <c r="D2713" s="41">
        <v>6762954</v>
      </c>
      <c r="E2713" s="36" t="s">
        <v>658</v>
      </c>
      <c r="F2713" s="36" t="s">
        <v>115</v>
      </c>
    </row>
    <row r="2714" spans="1:6">
      <c r="A2714" s="38">
        <v>46100.15625</v>
      </c>
      <c r="B2714" s="39">
        <v>1092.300048828125</v>
      </c>
      <c r="C2714" s="39">
        <v>1087.2659912109375</v>
      </c>
      <c r="D2714" s="41">
        <v>2611603</v>
      </c>
      <c r="E2714" s="36" t="s">
        <v>658</v>
      </c>
      <c r="F2714" s="36" t="s">
        <v>115</v>
      </c>
    </row>
    <row r="2715" spans="1:6">
      <c r="A2715" s="38">
        <v>46101.15625</v>
      </c>
      <c r="B2715" s="39">
        <v>1089.300048828125</v>
      </c>
      <c r="C2715" s="39">
        <v>1084.27978515625</v>
      </c>
      <c r="D2715" s="41">
        <v>2721237</v>
      </c>
      <c r="E2715" s="36" t="s">
        <v>658</v>
      </c>
      <c r="F2715" s="36" t="s">
        <v>115</v>
      </c>
    </row>
    <row r="2716" spans="1:6">
      <c r="A2716" s="38">
        <v>46104.15625</v>
      </c>
      <c r="B2716" s="39">
        <v>1100.4000244140625</v>
      </c>
      <c r="C2716" s="39">
        <v>1095.32861328125</v>
      </c>
      <c r="D2716" s="41">
        <v>3639224</v>
      </c>
      <c r="E2716" s="36" t="s">
        <v>658</v>
      </c>
      <c r="F2716" s="36" t="s">
        <v>115</v>
      </c>
    </row>
    <row r="2717" spans="1:6">
      <c r="A2717" s="38">
        <v>46105.15625</v>
      </c>
      <c r="B2717" s="39">
        <v>1110.0999755859375</v>
      </c>
      <c r="C2717" s="39">
        <v>1104.98388671875</v>
      </c>
      <c r="D2717" s="41">
        <v>3020611</v>
      </c>
      <c r="E2717" s="36" t="s">
        <v>658</v>
      </c>
      <c r="F2717" s="36" t="s">
        <v>115</v>
      </c>
    </row>
    <row r="2718" spans="1:6">
      <c r="A2718" s="38">
        <v>46106.15625</v>
      </c>
      <c r="B2718" s="39">
        <v>1163.0999755859375</v>
      </c>
      <c r="C2718" s="39">
        <v>1157.7396240234375</v>
      </c>
      <c r="D2718" s="41">
        <v>4460380</v>
      </c>
      <c r="E2718" s="36" t="s">
        <v>658</v>
      </c>
      <c r="F2718" s="36" t="s">
        <v>115</v>
      </c>
    </row>
    <row r="2719" spans="1:6">
      <c r="A2719" s="38">
        <v>46108.15625</v>
      </c>
      <c r="B2719" s="39">
        <v>1144.699951171875</v>
      </c>
      <c r="C2719" s="39">
        <v>1139.4244384765625</v>
      </c>
      <c r="D2719" s="41">
        <v>3106962</v>
      </c>
      <c r="E2719" s="36" t="s">
        <v>658</v>
      </c>
      <c r="F2719" s="36" t="s">
        <v>115</v>
      </c>
    </row>
    <row r="2720" spans="1:6">
      <c r="A2720" s="38">
        <v>46111.15625</v>
      </c>
      <c r="B2720" s="39">
        <v>1114.699951171875</v>
      </c>
      <c r="C2720" s="39">
        <v>1109.562744140625</v>
      </c>
      <c r="D2720" s="41">
        <v>1568667</v>
      </c>
      <c r="E2720" s="36" t="s">
        <v>658</v>
      </c>
      <c r="F2720" s="36" t="s">
        <v>115</v>
      </c>
    </row>
    <row r="2721" spans="1:6">
      <c r="A2721" s="38">
        <v>46113.15625</v>
      </c>
      <c r="B2721" s="39">
        <v>1153.9000244140625</v>
      </c>
      <c r="C2721" s="39">
        <v>1148.58203125</v>
      </c>
      <c r="D2721" s="41">
        <v>1991196</v>
      </c>
      <c r="E2721" s="36" t="s">
        <v>659</v>
      </c>
      <c r="F2721" s="36" t="s">
        <v>115</v>
      </c>
    </row>
    <row r="2722" spans="1:6">
      <c r="A2722" s="38">
        <v>46114.15625</v>
      </c>
      <c r="B2722" s="39">
        <v>1213.4000244140625</v>
      </c>
      <c r="C2722" s="39">
        <v>1207.807861328125</v>
      </c>
      <c r="D2722" s="41">
        <v>6403645</v>
      </c>
      <c r="E2722" s="36" t="s">
        <v>659</v>
      </c>
      <c r="F2722" s="36" t="s">
        <v>115</v>
      </c>
    </row>
    <row r="2723" spans="1:6">
      <c r="A2723" s="38">
        <v>46118.15625</v>
      </c>
      <c r="B2723" s="39">
        <v>1220.199951171875</v>
      </c>
      <c r="C2723" s="39">
        <v>1214.5765380859375</v>
      </c>
      <c r="D2723" s="41">
        <v>2994825</v>
      </c>
      <c r="E2723" s="36" t="s">
        <v>659</v>
      </c>
      <c r="F2723" s="36" t="s">
        <v>115</v>
      </c>
    </row>
    <row r="2724" spans="1:6">
      <c r="A2724" s="38">
        <v>46119.15625</v>
      </c>
      <c r="B2724" s="39">
        <v>1230.5999755859375</v>
      </c>
      <c r="C2724" s="39">
        <v>1224.9285888671875</v>
      </c>
      <c r="D2724" s="41">
        <v>3163487</v>
      </c>
      <c r="E2724" s="36" t="s">
        <v>659</v>
      </c>
      <c r="F2724" s="36" t="s">
        <v>115</v>
      </c>
    </row>
    <row r="2725" spans="1:6">
      <c r="A2725" s="38">
        <v>46120.15625</v>
      </c>
      <c r="B2725" s="39">
        <v>1270.4000244140625</v>
      </c>
      <c r="C2725" s="39">
        <v>1264.545166015625</v>
      </c>
      <c r="D2725" s="41">
        <v>4123786</v>
      </c>
      <c r="E2725" s="36" t="s">
        <v>659</v>
      </c>
      <c r="F2725" s="36" t="s">
        <v>115</v>
      </c>
    </row>
    <row r="2726" spans="1:6">
      <c r="A2726" s="38">
        <v>46121.15625</v>
      </c>
      <c r="B2726" s="39">
        <v>1264.9000244140625</v>
      </c>
      <c r="C2726" s="39">
        <v>1259.0704345703125</v>
      </c>
      <c r="D2726" s="41">
        <v>4331623</v>
      </c>
      <c r="E2726" s="36" t="s">
        <v>659</v>
      </c>
      <c r="F2726" s="36" t="s">
        <v>115</v>
      </c>
    </row>
    <row r="2727" spans="1:6">
      <c r="A2727" s="38">
        <v>46122.15625</v>
      </c>
      <c r="B2727" s="39">
        <v>1224.300048828125</v>
      </c>
      <c r="C2727" s="39">
        <v>1218.65771484375</v>
      </c>
      <c r="D2727" s="41">
        <v>4067185</v>
      </c>
      <c r="E2727" s="36" t="s">
        <v>659</v>
      </c>
      <c r="F2727" s="36" t="s">
        <v>115</v>
      </c>
    </row>
    <row r="2728" spans="1:6">
      <c r="A2728" s="38">
        <v>46125.15625</v>
      </c>
      <c r="B2728" s="39">
        <v>1231.300048828125</v>
      </c>
      <c r="C2728" s="39">
        <v>1225.62548828125</v>
      </c>
      <c r="D2728" s="41">
        <v>2000659</v>
      </c>
      <c r="E2728" s="36" t="s">
        <v>659</v>
      </c>
      <c r="F2728" s="36" t="s">
        <v>115</v>
      </c>
    </row>
    <row r="2729" spans="1:6">
      <c r="A2729" s="38">
        <v>46127.15625</v>
      </c>
      <c r="B2729" s="39">
        <v>1282.699951171875</v>
      </c>
      <c r="C2729" s="39">
        <v>1276.788330078125</v>
      </c>
      <c r="D2729" s="41">
        <v>2626157</v>
      </c>
      <c r="E2729" s="36" t="s">
        <v>659</v>
      </c>
      <c r="F2729" s="36" t="s">
        <v>115</v>
      </c>
    </row>
    <row r="2730" spans="1:6">
      <c r="A2730" s="38">
        <v>46128.15625</v>
      </c>
      <c r="B2730" s="39">
        <v>1313.199951171875</v>
      </c>
      <c r="C2730" s="39">
        <v>1307.1478271484375</v>
      </c>
      <c r="D2730" s="41">
        <v>3695658</v>
      </c>
      <c r="E2730" s="36" t="s">
        <v>659</v>
      </c>
      <c r="F2730" s="36" t="s">
        <v>115</v>
      </c>
    </row>
    <row r="2731" spans="1:6">
      <c r="A2731" s="38">
        <v>46129.15625</v>
      </c>
      <c r="B2731" s="39">
        <v>1316.800048828125</v>
      </c>
      <c r="C2731" s="39">
        <v>1310.7313232421875</v>
      </c>
      <c r="D2731" s="41">
        <v>2822554</v>
      </c>
      <c r="E2731" s="36" t="s">
        <v>659</v>
      </c>
      <c r="F2731" s="36" t="s">
        <v>115</v>
      </c>
    </row>
    <row r="2732" spans="1:6">
      <c r="A2732" s="38">
        <v>46132.15625</v>
      </c>
      <c r="B2732" s="39">
        <v>1288.0999755859375</v>
      </c>
      <c r="C2732" s="39">
        <v>1282.16357421875</v>
      </c>
      <c r="D2732" s="41">
        <v>2018128</v>
      </c>
      <c r="E2732" s="36" t="s">
        <v>659</v>
      </c>
      <c r="F2732" s="36" t="s">
        <v>115</v>
      </c>
    </row>
    <row r="2733" spans="1:6">
      <c r="A2733" s="38">
        <v>46133.15625</v>
      </c>
      <c r="B2733" s="39">
        <v>1292.800048828125</v>
      </c>
      <c r="C2733" s="39">
        <v>1286.8419189453125</v>
      </c>
      <c r="D2733" s="41">
        <v>1636421</v>
      </c>
      <c r="E2733" s="36" t="s">
        <v>659</v>
      </c>
      <c r="F2733" s="36" t="s">
        <v>115</v>
      </c>
    </row>
    <row r="2734" spans="1:6">
      <c r="A2734" s="38">
        <v>46134.15625</v>
      </c>
      <c r="B2734" s="39">
        <v>1235.800048828125</v>
      </c>
      <c r="C2734" s="39">
        <v>1230.1046142578125</v>
      </c>
      <c r="D2734" s="41">
        <v>6289853</v>
      </c>
      <c r="E2734" s="36" t="s">
        <v>659</v>
      </c>
      <c r="F2734" s="36" t="s">
        <v>115</v>
      </c>
    </row>
    <row r="2735" spans="1:6">
      <c r="A2735" s="38">
        <v>46135.15625</v>
      </c>
      <c r="B2735" s="39">
        <v>1220.5999755859375</v>
      </c>
      <c r="C2735" s="39">
        <v>1214.974609375</v>
      </c>
      <c r="D2735" s="41">
        <v>2115050</v>
      </c>
      <c r="E2735" s="36" t="s">
        <v>659</v>
      </c>
      <c r="F2735" s="36" t="s">
        <v>115</v>
      </c>
    </row>
    <row r="2736" spans="1:6">
      <c r="A2736" s="38">
        <v>46136.15625</v>
      </c>
      <c r="B2736" s="39">
        <v>1150.9000244140625</v>
      </c>
      <c r="C2736" s="39">
        <v>1145.595947265625</v>
      </c>
      <c r="D2736" s="41">
        <v>5331848</v>
      </c>
      <c r="E2736" s="36" t="s">
        <v>659</v>
      </c>
      <c r="F2736" s="36" t="s">
        <v>115</v>
      </c>
    </row>
    <row r="2737" spans="1:6">
      <c r="A2737" s="38">
        <v>46139.15625</v>
      </c>
      <c r="B2737" s="39">
        <v>1202.4000244140625</v>
      </c>
      <c r="C2737" s="39">
        <v>1196.858642578125</v>
      </c>
      <c r="D2737" s="41">
        <v>1701923</v>
      </c>
      <c r="E2737" s="36" t="s">
        <v>659</v>
      </c>
      <c r="F2737" s="36" t="s">
        <v>115</v>
      </c>
    </row>
    <row r="2738" spans="1:6">
      <c r="A2738" s="38">
        <v>46140.15625</v>
      </c>
      <c r="B2738" s="39">
        <v>1200.9000244140625</v>
      </c>
      <c r="C2738" s="39">
        <v>1195.365478515625</v>
      </c>
      <c r="D2738" s="41">
        <v>1325561</v>
      </c>
      <c r="E2738" s="36" t="s">
        <v>659</v>
      </c>
      <c r="F2738" s="36" t="s">
        <v>115</v>
      </c>
    </row>
    <row r="2739" spans="1:6">
      <c r="A2739" s="38">
        <v>46141.15625</v>
      </c>
      <c r="B2739" s="39">
        <v>1204</v>
      </c>
      <c r="C2739" s="39">
        <v>1198.451171875</v>
      </c>
      <c r="D2739" s="41">
        <v>1174935</v>
      </c>
      <c r="E2739" s="36" t="s">
        <v>659</v>
      </c>
      <c r="F2739" s="36" t="s">
        <v>115</v>
      </c>
    </row>
    <row r="2740" spans="1:6">
      <c r="A2740" s="38">
        <v>46142.15625</v>
      </c>
      <c r="B2740" s="39">
        <v>1195.9000244140625</v>
      </c>
      <c r="C2740" s="39">
        <v>1190.3885498046875</v>
      </c>
      <c r="D2740" s="41">
        <v>1424354</v>
      </c>
      <c r="E2740" s="36" t="s">
        <v>659</v>
      </c>
      <c r="F2740" s="36" t="s">
        <v>115</v>
      </c>
    </row>
    <row r="2741" spans="1:6">
      <c r="A2741" s="38">
        <v>46143.15625</v>
      </c>
      <c r="B2741" s="39">
        <v>1195.9000244140625</v>
      </c>
      <c r="C2741" s="39">
        <v>1190.3885498046875</v>
      </c>
      <c r="D2741" s="41">
        <v>0</v>
      </c>
      <c r="E2741" s="36" t="s">
        <v>659</v>
      </c>
      <c r="F2741" s="36" t="s">
        <v>115</v>
      </c>
    </row>
    <row r="2742" spans="1:6">
      <c r="A2742" s="38">
        <v>46146.15625</v>
      </c>
      <c r="B2742" s="39">
        <v>1151.5999755859375</v>
      </c>
      <c r="C2742" s="39">
        <v>1146.292724609375</v>
      </c>
      <c r="D2742" s="41">
        <v>2133159</v>
      </c>
      <c r="E2742" s="36" t="s">
        <v>659</v>
      </c>
      <c r="F2742" s="36" t="s">
        <v>115</v>
      </c>
    </row>
    <row r="2743" spans="1:6">
      <c r="A2743" s="38">
        <v>46147.15625</v>
      </c>
      <c r="B2743" s="39">
        <v>1168.800048828125</v>
      </c>
      <c r="C2743" s="39">
        <v>1163.4134521484375</v>
      </c>
      <c r="D2743" s="41">
        <v>1607889</v>
      </c>
      <c r="E2743" s="36" t="s">
        <v>659</v>
      </c>
      <c r="F2743" s="36" t="s">
        <v>115</v>
      </c>
    </row>
    <row r="2744" spans="1:6">
      <c r="A2744" s="38">
        <v>46148.15625</v>
      </c>
      <c r="B2744" s="39">
        <v>1280.4000244140625</v>
      </c>
      <c r="C2744" s="39">
        <v>1274.4990234375</v>
      </c>
      <c r="D2744" s="41">
        <v>26656460</v>
      </c>
      <c r="E2744" s="36" t="s">
        <v>659</v>
      </c>
      <c r="F2744" s="36" t="s">
        <v>115</v>
      </c>
    </row>
    <row r="2745" spans="1:6">
      <c r="A2745" s="38">
        <v>46149.15625</v>
      </c>
      <c r="B2745" s="39">
        <v>1285.300048828125</v>
      </c>
      <c r="C2745" s="39">
        <v>1279.3765869140625</v>
      </c>
      <c r="D2745" s="41">
        <v>5846100</v>
      </c>
      <c r="E2745" s="36" t="s">
        <v>659</v>
      </c>
      <c r="F2745" s="36" t="s">
        <v>115</v>
      </c>
    </row>
    <row r="2746" spans="1:6">
      <c r="A2746" s="38">
        <v>46150.15625</v>
      </c>
      <c r="B2746" s="39">
        <v>1368.0999755859375</v>
      </c>
      <c r="C2746" s="39">
        <v>1361.7947998046875</v>
      </c>
      <c r="D2746" s="41">
        <v>9375709</v>
      </c>
      <c r="E2746" s="36" t="s">
        <v>659</v>
      </c>
      <c r="F2746" s="36" t="s">
        <v>115</v>
      </c>
    </row>
    <row r="2747" spans="1:6">
      <c r="A2747" s="38">
        <v>46153.15625</v>
      </c>
      <c r="B2747" s="39">
        <v>1375.199951171875</v>
      </c>
      <c r="C2747" s="39">
        <v>1368.862060546875</v>
      </c>
      <c r="D2747" s="41">
        <v>5641233</v>
      </c>
      <c r="E2747" s="36" t="s">
        <v>659</v>
      </c>
      <c r="F2747" s="36" t="s">
        <v>115</v>
      </c>
    </row>
    <row r="2748" spans="1:6">
      <c r="A2748" s="38">
        <v>46154.15625</v>
      </c>
      <c r="B2748" s="39">
        <v>1320.4000244140625</v>
      </c>
      <c r="C2748" s="39">
        <v>1314.314697265625</v>
      </c>
      <c r="D2748" s="41">
        <v>4590660</v>
      </c>
      <c r="E2748" s="36" t="s">
        <v>659</v>
      </c>
      <c r="F2748" s="36" t="s">
        <v>115</v>
      </c>
    </row>
    <row r="2749" spans="1:6">
      <c r="A2749" s="38">
        <v>46155.15625</v>
      </c>
      <c r="B2749" s="39">
        <v>1297.0999755859375</v>
      </c>
      <c r="C2749" s="39">
        <v>1291.1220703125</v>
      </c>
      <c r="D2749" s="41">
        <v>2151407</v>
      </c>
      <c r="E2749" s="36" t="s">
        <v>659</v>
      </c>
      <c r="F2749" s="36" t="s">
        <v>115</v>
      </c>
    </row>
    <row r="2750" spans="1:6">
      <c r="A2750" s="38">
        <v>46156.15625</v>
      </c>
      <c r="B2750" s="39">
        <v>1274.5999755859375</v>
      </c>
      <c r="C2750" s="39">
        <v>1268.7257080078125</v>
      </c>
      <c r="D2750" s="41">
        <v>3004315</v>
      </c>
      <c r="E2750" s="36" t="s">
        <v>659</v>
      </c>
      <c r="F2750" s="36" t="s">
        <v>115</v>
      </c>
    </row>
    <row r="2751" spans="1:6">
      <c r="A2751" s="38">
        <v>46157.15625</v>
      </c>
      <c r="B2751" s="39">
        <v>1282.0999755859375</v>
      </c>
      <c r="C2751" s="39">
        <v>1276.1912841796875</v>
      </c>
      <c r="D2751" s="41">
        <v>3346591</v>
      </c>
      <c r="E2751" s="36" t="s">
        <v>659</v>
      </c>
      <c r="F2751" s="36" t="s">
        <v>115</v>
      </c>
    </row>
    <row r="2752" spans="1:6">
      <c r="A2752" s="38">
        <v>46160.15625</v>
      </c>
      <c r="B2752" s="39">
        <v>1348.0999755859375</v>
      </c>
      <c r="C2752" s="39">
        <v>1341.8870849609375</v>
      </c>
      <c r="D2752" s="41">
        <v>4392898</v>
      </c>
      <c r="E2752" s="36" t="s">
        <v>659</v>
      </c>
      <c r="F2752" s="36" t="s">
        <v>115</v>
      </c>
    </row>
    <row r="2753" spans="1:6">
      <c r="A2753" s="38">
        <v>46161.15625</v>
      </c>
      <c r="B2753" s="39">
        <v>1412</v>
      </c>
      <c r="C2753" s="39">
        <v>1405.4925537109375</v>
      </c>
      <c r="D2753" s="41">
        <v>8133656</v>
      </c>
      <c r="E2753" s="36" t="s">
        <v>659</v>
      </c>
      <c r="F2753" s="36" t="s">
        <v>115</v>
      </c>
    </row>
    <row r="2754" spans="1:6">
      <c r="A2754" s="38">
        <v>46162.15625</v>
      </c>
      <c r="B2754" s="39">
        <v>1402.300048828125</v>
      </c>
      <c r="C2754" s="39">
        <v>1395.8372802734375</v>
      </c>
      <c r="D2754" s="41">
        <v>4869095</v>
      </c>
      <c r="E2754" s="36" t="s">
        <v>659</v>
      </c>
      <c r="F2754" s="36" t="s">
        <v>115</v>
      </c>
    </row>
    <row r="2755" spans="1:6">
      <c r="A2755" s="38">
        <v>46163.15625</v>
      </c>
      <c r="B2755" s="39">
        <v>1377</v>
      </c>
      <c r="C2755" s="39">
        <v>1370.65380859375</v>
      </c>
      <c r="D2755" s="41">
        <v>2273142</v>
      </c>
      <c r="E2755" s="36" t="s">
        <v>659</v>
      </c>
      <c r="F2755" s="36" t="s">
        <v>115</v>
      </c>
    </row>
    <row r="2756" spans="1:6">
      <c r="A2756" s="38">
        <v>46164.15625</v>
      </c>
      <c r="B2756" s="39">
        <v>1387.0999755859375</v>
      </c>
      <c r="C2756" s="39">
        <v>1380.707275390625</v>
      </c>
      <c r="D2756" s="41">
        <v>2494600</v>
      </c>
      <c r="E2756" s="36" t="s">
        <v>659</v>
      </c>
      <c r="F2756" s="36" t="s">
        <v>115</v>
      </c>
    </row>
    <row r="2757" spans="1:6">
      <c r="A2757" s="38">
        <v>46167.15625</v>
      </c>
      <c r="B2757" s="39">
        <v>1398</v>
      </c>
      <c r="C2757" s="39">
        <v>1391.55712890625</v>
      </c>
      <c r="D2757" s="41">
        <v>1369562</v>
      </c>
      <c r="E2757" s="36" t="s">
        <v>659</v>
      </c>
      <c r="F2757" s="36" t="s">
        <v>115</v>
      </c>
    </row>
    <row r="2758" spans="1:6">
      <c r="A2758" s="38">
        <v>46168.15625</v>
      </c>
      <c r="B2758" s="39">
        <v>1422.800048828125</v>
      </c>
      <c r="C2758" s="39">
        <v>1416.2427978515625</v>
      </c>
      <c r="D2758" s="41">
        <v>1780000</v>
      </c>
      <c r="E2758" s="36" t="s">
        <v>659</v>
      </c>
      <c r="F2758" s="36" t="s">
        <v>115</v>
      </c>
    </row>
    <row r="2759" spans="1:6">
      <c r="A2759" s="38">
        <v>46169.15625</v>
      </c>
      <c r="B2759" s="39">
        <v>1388.4000244140625</v>
      </c>
      <c r="C2759" s="39">
        <v>1382.0013427734375</v>
      </c>
      <c r="D2759" s="41">
        <v>1709429</v>
      </c>
      <c r="E2759" s="36" t="s">
        <v>659</v>
      </c>
      <c r="F2759" s="36" t="s">
        <v>115</v>
      </c>
    </row>
    <row r="2760" spans="1:6">
      <c r="A2760" s="38">
        <v>46170.15625</v>
      </c>
      <c r="B2760" s="39">
        <v>1388.4000244140625</v>
      </c>
      <c r="C2760" s="39">
        <v>1382.0013427734375</v>
      </c>
      <c r="D2760" s="41">
        <v>0</v>
      </c>
      <c r="E2760" s="36" t="s">
        <v>659</v>
      </c>
      <c r="F2760" s="36" t="s">
        <v>115</v>
      </c>
    </row>
    <row r="2761" spans="1:6">
      <c r="A2761" s="38">
        <v>46171.15625</v>
      </c>
      <c r="B2761" s="39">
        <v>1421.800048828125</v>
      </c>
      <c r="C2761" s="39">
        <v>1415.2474365234375</v>
      </c>
      <c r="D2761" s="41">
        <v>3533060</v>
      </c>
      <c r="E2761" s="36" t="s">
        <v>659</v>
      </c>
      <c r="F2761" s="36" t="s">
        <v>115</v>
      </c>
    </row>
    <row r="2762" spans="1:6">
      <c r="A2762" s="38">
        <v>46174.15625</v>
      </c>
      <c r="B2762" s="39">
        <v>1461.199951171875</v>
      </c>
      <c r="C2762" s="39">
        <v>1454.4656982421875</v>
      </c>
      <c r="D2762" s="41">
        <v>5877548</v>
      </c>
      <c r="E2762" s="36" t="s">
        <v>659</v>
      </c>
      <c r="F2762" s="36" t="s">
        <v>115</v>
      </c>
    </row>
    <row r="2763" spans="1:6">
      <c r="A2763" s="38">
        <v>46175.15625</v>
      </c>
      <c r="B2763" s="39">
        <v>1519.5</v>
      </c>
      <c r="C2763" s="39">
        <v>1512.4971923828125</v>
      </c>
      <c r="D2763" s="41">
        <v>10654328</v>
      </c>
      <c r="E2763" s="36" t="s">
        <v>659</v>
      </c>
      <c r="F2763" s="36" t="s">
        <v>115</v>
      </c>
    </row>
    <row r="2764" spans="1:6">
      <c r="A2764" s="38">
        <v>46176.15625</v>
      </c>
      <c r="B2764" s="39">
        <v>1420.9000244140625</v>
      </c>
      <c r="C2764" s="39">
        <v>1414.3515625</v>
      </c>
      <c r="D2764" s="41">
        <v>4844251</v>
      </c>
      <c r="E2764" s="36" t="s">
        <v>659</v>
      </c>
      <c r="F2764" s="36" t="s">
        <v>115</v>
      </c>
    </row>
    <row r="2765" spans="1:6">
      <c r="A2765" s="38">
        <v>46177.15625</v>
      </c>
      <c r="B2765" s="39">
        <v>1436.5</v>
      </c>
      <c r="C2765" s="39">
        <v>1429.879638671875</v>
      </c>
      <c r="D2765" s="41">
        <v>2111985</v>
      </c>
      <c r="E2765" s="36" t="s">
        <v>659</v>
      </c>
      <c r="F2765" s="36" t="s">
        <v>115</v>
      </c>
    </row>
    <row r="2766" spans="1:6">
      <c r="A2766" s="38">
        <v>46178.15625</v>
      </c>
      <c r="B2766" s="39">
        <v>1435.5</v>
      </c>
      <c r="C2766" s="39">
        <v>1428.88427734375</v>
      </c>
      <c r="D2766" s="41">
        <v>2525034</v>
      </c>
      <c r="E2766" s="36" t="s">
        <v>659</v>
      </c>
      <c r="F2766" s="36" t="s">
        <v>115</v>
      </c>
    </row>
    <row r="2767" spans="1:6">
      <c r="A2767" s="38">
        <v>46181.15625</v>
      </c>
      <c r="B2767" s="39">
        <v>1421.0999755859375</v>
      </c>
      <c r="C2767" s="39">
        <v>1414.550537109375</v>
      </c>
      <c r="D2767" s="41">
        <v>2143995</v>
      </c>
      <c r="E2767" s="36" t="s">
        <v>659</v>
      </c>
      <c r="F2767" s="36" t="s">
        <v>115</v>
      </c>
    </row>
    <row r="2768" spans="1:6">
      <c r="A2768" s="38">
        <v>46182.15625</v>
      </c>
      <c r="B2768" s="39">
        <v>1412</v>
      </c>
      <c r="C2768" s="39">
        <v>1405.4925537109375</v>
      </c>
      <c r="D2768" s="41">
        <v>1845056</v>
      </c>
      <c r="E2768" s="36" t="s">
        <v>659</v>
      </c>
      <c r="F2768" s="36" t="s">
        <v>115</v>
      </c>
    </row>
    <row r="2769" spans="1:6">
      <c r="A2769" s="38">
        <v>46183.15625</v>
      </c>
      <c r="B2769" s="39">
        <v>1402.699951171875</v>
      </c>
      <c r="C2769" s="39">
        <v>1396.2353515625</v>
      </c>
      <c r="D2769" s="41">
        <v>1190652</v>
      </c>
      <c r="E2769" s="36" t="s">
        <v>659</v>
      </c>
      <c r="F2769" s="36" t="s">
        <v>115</v>
      </c>
    </row>
    <row r="2770" spans="1:6">
      <c r="A2770" s="38">
        <v>46184.15625</v>
      </c>
      <c r="B2770" s="39">
        <v>1393.800048828125</v>
      </c>
      <c r="C2770" s="39">
        <v>1387.37646484375</v>
      </c>
      <c r="D2770" s="41">
        <v>1646487</v>
      </c>
      <c r="E2770" s="36" t="s">
        <v>659</v>
      </c>
      <c r="F2770" s="36" t="s">
        <v>115</v>
      </c>
    </row>
    <row r="2771" spans="1:6">
      <c r="A2771" s="38">
        <v>46185.15625</v>
      </c>
      <c r="B2771" s="39">
        <v>1367.199951171875</v>
      </c>
      <c r="C2771" s="39">
        <v>1360.89892578125</v>
      </c>
      <c r="D2771" s="41">
        <v>2484998</v>
      </c>
      <c r="E2771" s="36" t="s">
        <v>659</v>
      </c>
      <c r="F2771" s="36" t="s">
        <v>115</v>
      </c>
    </row>
    <row r="2772" spans="1:6">
      <c r="A2772" s="38">
        <v>46188.15625</v>
      </c>
      <c r="B2772" s="39">
        <v>1402.5</v>
      </c>
      <c r="C2772" s="39">
        <v>1396.0362548828125</v>
      </c>
      <c r="D2772" s="41">
        <v>2234241</v>
      </c>
      <c r="E2772" s="36" t="s">
        <v>659</v>
      </c>
      <c r="F2772" s="36" t="s">
        <v>115</v>
      </c>
    </row>
    <row r="2773" spans="1:6">
      <c r="A2773" s="38">
        <v>46189.15625</v>
      </c>
      <c r="B2773" s="39">
        <v>1464.800048828125</v>
      </c>
      <c r="C2773" s="39">
        <v>1458.04931640625</v>
      </c>
      <c r="D2773" s="41">
        <v>4085487</v>
      </c>
      <c r="E2773" s="36" t="s">
        <v>659</v>
      </c>
      <c r="F2773" s="36" t="s">
        <v>115</v>
      </c>
    </row>
    <row r="2774" spans="1:6">
      <c r="A2774" s="38">
        <v>46190.15625</v>
      </c>
      <c r="B2774" s="39">
        <v>1465.699951171875</v>
      </c>
      <c r="C2774" s="39">
        <v>1458.945068359375</v>
      </c>
      <c r="D2774" s="41">
        <v>4831921</v>
      </c>
      <c r="E2774" s="36" t="s">
        <v>659</v>
      </c>
      <c r="F2774" s="36" t="s">
        <v>115</v>
      </c>
    </row>
    <row r="2775" spans="1:6">
      <c r="A2775" s="38">
        <v>46191.15625</v>
      </c>
      <c r="B2775" s="39">
        <v>1483</v>
      </c>
      <c r="C2775" s="39">
        <v>1476.165283203125</v>
      </c>
      <c r="D2775" s="41">
        <v>4808752</v>
      </c>
      <c r="E2775" s="36" t="s">
        <v>659</v>
      </c>
      <c r="F2775" s="36" t="s">
        <v>115</v>
      </c>
    </row>
    <row r="2776" spans="1:6">
      <c r="A2776" s="38">
        <v>46192.15625</v>
      </c>
      <c r="B2776" s="39">
        <v>1463.300048828125</v>
      </c>
      <c r="C2776" s="39">
        <v>1456.5562744140625</v>
      </c>
      <c r="D2776" s="41">
        <v>8297808</v>
      </c>
      <c r="E2776" s="36" t="s">
        <v>659</v>
      </c>
      <c r="F2776" s="36" t="s">
        <v>115</v>
      </c>
    </row>
    <row r="2777" spans="1:6">
      <c r="A2777" s="38">
        <v>46195.15625</v>
      </c>
      <c r="B2777" s="39">
        <v>1483.9000244140625</v>
      </c>
      <c r="C2777" s="39">
        <v>1477.0611572265625</v>
      </c>
      <c r="D2777" s="41">
        <v>3965449</v>
      </c>
      <c r="E2777" s="36" t="s">
        <v>659</v>
      </c>
      <c r="F2777" s="36" t="s">
        <v>115</v>
      </c>
    </row>
    <row r="2778" spans="1:6">
      <c r="A2778" s="38">
        <v>46196.15625</v>
      </c>
      <c r="B2778" s="39">
        <v>1481.199951171875</v>
      </c>
      <c r="C2778" s="39">
        <v>1474.37353515625</v>
      </c>
      <c r="D2778" s="41">
        <v>2646004</v>
      </c>
      <c r="E2778" s="36" t="s">
        <v>659</v>
      </c>
      <c r="F2778" s="36" t="s">
        <v>115</v>
      </c>
    </row>
    <row r="2779" spans="1:6">
      <c r="A2779" s="38">
        <v>46197.15625</v>
      </c>
      <c r="B2779" s="39">
        <v>1497.9000244140625</v>
      </c>
      <c r="C2779" s="39">
        <v>1490.9967041015625</v>
      </c>
      <c r="D2779" s="41">
        <v>2312701</v>
      </c>
      <c r="E2779" s="36" t="s">
        <v>659</v>
      </c>
      <c r="F2779" s="36" t="s">
        <v>115</v>
      </c>
    </row>
    <row r="2780" spans="1:6">
      <c r="A2780" s="38">
        <v>46198.15625</v>
      </c>
      <c r="B2780" s="39">
        <v>1492.9000244140625</v>
      </c>
      <c r="C2780" s="39">
        <v>1486.0196533203125</v>
      </c>
      <c r="D2780" s="41">
        <v>2997232</v>
      </c>
      <c r="E2780" s="36" t="s">
        <v>659</v>
      </c>
      <c r="F2780" s="36" t="s">
        <v>115</v>
      </c>
    </row>
    <row r="2781" spans="1:6">
      <c r="A2781" s="38">
        <v>46199.15625</v>
      </c>
      <c r="B2781" s="39">
        <v>1492.9000244140625</v>
      </c>
      <c r="C2781" s="39">
        <v>1486.0196533203125</v>
      </c>
      <c r="D2781" s="41">
        <v>0</v>
      </c>
      <c r="E2781" s="36" t="s">
        <v>659</v>
      </c>
      <c r="F2781" s="36" t="s">
        <v>115</v>
      </c>
    </row>
    <row r="2782" spans="1:6">
      <c r="A2782" s="38">
        <v>46202.15625</v>
      </c>
      <c r="B2782" s="39">
        <v>1491.4000244140625</v>
      </c>
      <c r="C2782" s="39">
        <v>1484.5267333984375</v>
      </c>
      <c r="D2782" s="41">
        <v>6361979</v>
      </c>
      <c r="E2782" s="36" t="s">
        <v>659</v>
      </c>
      <c r="F2782" s="36" t="s">
        <v>115</v>
      </c>
    </row>
    <row r="2783" spans="1:6">
      <c r="A2783" s="38">
        <v>46203.15625</v>
      </c>
      <c r="B2783" s="39">
        <v>1465.699951171875</v>
      </c>
      <c r="C2783" s="39">
        <v>1458.945068359375</v>
      </c>
      <c r="D2783" s="41">
        <v>4539593</v>
      </c>
      <c r="E2783" s="36" t="s">
        <v>659</v>
      </c>
      <c r="F2783" s="36" t="s">
        <v>115</v>
      </c>
    </row>
    <row r="2784" spans="1:6">
      <c r="A2784" s="38">
        <v>46204.15625</v>
      </c>
      <c r="B2784" s="39">
        <v>1370.699951171875</v>
      </c>
      <c r="C2784" s="39">
        <v>1364.3829345703125</v>
      </c>
      <c r="D2784" s="41">
        <v>4675747</v>
      </c>
      <c r="E2784" s="36" t="s">
        <v>659</v>
      </c>
      <c r="F2784" s="36" t="s">
        <v>115</v>
      </c>
    </row>
    <row r="2785" spans="1:6">
      <c r="A2785" s="38">
        <v>46205.15625</v>
      </c>
      <c r="B2785" s="39">
        <v>1441.9000244140625</v>
      </c>
      <c r="C2785" s="39">
        <v>1435.2547607421875</v>
      </c>
      <c r="D2785" s="41">
        <v>5761491</v>
      </c>
      <c r="E2785" s="36" t="s">
        <v>659</v>
      </c>
      <c r="F2785" s="36" t="s">
        <v>115</v>
      </c>
    </row>
    <row r="2786" spans="1:6">
      <c r="A2786" s="38">
        <v>46206.15625</v>
      </c>
      <c r="B2786" s="39">
        <v>1464</v>
      </c>
      <c r="C2786" s="39">
        <v>1457.2529296875</v>
      </c>
      <c r="D2786" s="41">
        <v>4053069</v>
      </c>
      <c r="E2786" s="36" t="s">
        <v>659</v>
      </c>
      <c r="F2786" s="36" t="s">
        <v>115</v>
      </c>
    </row>
    <row r="2787" spans="1:6">
      <c r="A2787" s="38">
        <v>46209.15625</v>
      </c>
      <c r="B2787" s="39">
        <v>1481.9000244140625</v>
      </c>
      <c r="C2787" s="39">
        <v>1475.0704345703125</v>
      </c>
      <c r="D2787" s="41">
        <v>1513526</v>
      </c>
      <c r="E2787" s="36" t="s">
        <v>659</v>
      </c>
      <c r="F2787" s="36" t="s">
        <v>115</v>
      </c>
    </row>
    <row r="2788" spans="1:6">
      <c r="A2788" s="38">
        <v>46210.15625</v>
      </c>
      <c r="B2788" s="39">
        <v>1516.199951171875</v>
      </c>
      <c r="C2788" s="39">
        <v>1509.2122802734375</v>
      </c>
      <c r="D2788" s="41">
        <v>3465445</v>
      </c>
      <c r="E2788" s="36" t="s">
        <v>659</v>
      </c>
      <c r="F2788" s="36" t="s">
        <v>115</v>
      </c>
    </row>
    <row r="2789" spans="1:6">
      <c r="A2789" s="38">
        <v>46211.15625</v>
      </c>
      <c r="B2789" s="39">
        <v>1445.9000244140625</v>
      </c>
      <c r="C2789" s="39">
        <v>1439.236328125</v>
      </c>
      <c r="D2789" s="41">
        <v>2843349</v>
      </c>
      <c r="E2789" s="36" t="s">
        <v>659</v>
      </c>
      <c r="F2789" s="36" t="s">
        <v>115</v>
      </c>
    </row>
    <row r="2790" spans="1:6">
      <c r="A2790" s="38">
        <v>46212.15625</v>
      </c>
      <c r="B2790" s="39">
        <v>1468.5999755859375</v>
      </c>
      <c r="C2790" s="39">
        <v>1461.8316650390625</v>
      </c>
      <c r="D2790" s="41">
        <v>1647511</v>
      </c>
      <c r="E2790" s="36" t="s">
        <v>659</v>
      </c>
      <c r="F2790" s="36" t="s">
        <v>115</v>
      </c>
    </row>
    <row r="2791" spans="1:6">
      <c r="A2791" s="38">
        <v>46213.15625</v>
      </c>
      <c r="B2791" s="39">
        <v>1503.800048828125</v>
      </c>
      <c r="C2791" s="39">
        <v>1496.8695068359375</v>
      </c>
      <c r="D2791" s="41">
        <v>2750522</v>
      </c>
      <c r="E2791" s="36" t="s">
        <v>659</v>
      </c>
      <c r="F2791" s="36" t="s">
        <v>115</v>
      </c>
    </row>
    <row r="2792" spans="1:6">
      <c r="A2792" s="38">
        <v>46216.15625</v>
      </c>
      <c r="B2792" s="39">
        <v>1540.9000244140625</v>
      </c>
      <c r="C2792" s="39">
        <v>1533.7984619140625</v>
      </c>
      <c r="D2792" s="41">
        <v>5132000</v>
      </c>
      <c r="E2792" s="36" t="s">
        <v>659</v>
      </c>
      <c r="F2792" s="36" t="s">
        <v>115</v>
      </c>
    </row>
    <row r="2793" spans="1:6">
      <c r="A2793" s="38">
        <v>46217.15625</v>
      </c>
      <c r="B2793" s="39">
        <v>1534.5</v>
      </c>
      <c r="C2793" s="39">
        <v>1527.427978515625</v>
      </c>
      <c r="D2793" s="41">
        <v>2837341</v>
      </c>
      <c r="E2793" s="36" t="s">
        <v>659</v>
      </c>
      <c r="F2793" s="36" t="s">
        <v>115</v>
      </c>
    </row>
    <row r="2794" spans="1:6">
      <c r="A2794" s="38">
        <v>46218.15625</v>
      </c>
      <c r="B2794" s="39">
        <v>1533.199951171875</v>
      </c>
      <c r="C2794" s="39">
        <v>1526.134033203125</v>
      </c>
      <c r="D2794" s="41">
        <v>2948151</v>
      </c>
      <c r="E2794" s="36" t="s">
        <v>659</v>
      </c>
      <c r="F2794" s="36" t="s">
        <v>115</v>
      </c>
    </row>
    <row r="2795" spans="1:6">
      <c r="A2795" s="38">
        <v>46219.15625</v>
      </c>
      <c r="B2795" s="39">
        <v>1530.699951171875</v>
      </c>
      <c r="C2795" s="39">
        <v>1523.6453857421875</v>
      </c>
      <c r="D2795" s="41">
        <v>1803970</v>
      </c>
      <c r="E2795" s="36" t="s">
        <v>659</v>
      </c>
      <c r="F2795" s="36" t="s">
        <v>115</v>
      </c>
    </row>
    <row r="2796" spans="1:6">
      <c r="A2796" s="38">
        <v>46220.15625</v>
      </c>
      <c r="B2796" s="39">
        <v>1508.4000244140625</v>
      </c>
      <c r="C2796" s="39">
        <v>1501.4483642578125</v>
      </c>
      <c r="D2796" s="41">
        <v>2927353</v>
      </c>
      <c r="E2796" s="36" t="s">
        <v>659</v>
      </c>
      <c r="F2796" s="36" t="s">
        <v>115</v>
      </c>
    </row>
    <row r="2797" spans="1:6">
      <c r="A2797" s="38">
        <v>46223.15625</v>
      </c>
      <c r="B2797" s="39">
        <v>1507.4000244140625</v>
      </c>
      <c r="C2797" s="39">
        <v>1500.452880859375</v>
      </c>
      <c r="D2797" s="41">
        <v>1208116</v>
      </c>
      <c r="E2797" s="36" t="s">
        <v>659</v>
      </c>
      <c r="F2797" s="36" t="s">
        <v>115</v>
      </c>
    </row>
    <row r="2798" spans="1:6">
      <c r="A2798" s="38">
        <v>46224.15625</v>
      </c>
      <c r="B2798" s="39">
        <v>1494</v>
      </c>
      <c r="C2798" s="39">
        <v>1487.1146240234375</v>
      </c>
      <c r="D2798" s="41">
        <v>1450155</v>
      </c>
      <c r="E2798" s="36" t="s">
        <v>659</v>
      </c>
      <c r="F2798" s="36" t="s">
        <v>115</v>
      </c>
    </row>
    <row r="2799" spans="1:6">
      <c r="A2799" s="38">
        <v>46225.15625</v>
      </c>
      <c r="B2799" s="39">
        <v>1471.4000244140625</v>
      </c>
      <c r="C2799" s="39">
        <v>1464.618896484375</v>
      </c>
      <c r="D2799" s="41">
        <v>1016082</v>
      </c>
      <c r="E2799" s="36" t="s">
        <v>659</v>
      </c>
      <c r="F2799" s="36" t="s">
        <v>115</v>
      </c>
    </row>
    <row r="2800" spans="1:6">
      <c r="A2800" s="38">
        <v>46226.15625</v>
      </c>
      <c r="B2800" s="39">
        <v>1439.9000244140625</v>
      </c>
      <c r="C2800" s="39">
        <v>1433.2640380859375</v>
      </c>
      <c r="D2800" s="41">
        <v>1075336</v>
      </c>
      <c r="E2800" s="36" t="s">
        <v>659</v>
      </c>
      <c r="F2800" s="36" t="s">
        <v>115</v>
      </c>
    </row>
    <row r="2801" spans="1:6">
      <c r="A2801" s="38">
        <v>46227.15625</v>
      </c>
      <c r="B2801" s="39">
        <v>1484.699951171875</v>
      </c>
      <c r="C2801" s="39">
        <v>1477.857421875</v>
      </c>
      <c r="D2801" s="41">
        <v>3441351</v>
      </c>
      <c r="E2801" s="36" t="s">
        <v>659</v>
      </c>
      <c r="F2801" s="36" t="s">
        <v>115</v>
      </c>
    </row>
    <row r="2802" spans="1:6">
      <c r="A2802" s="38">
        <v>46230.15625</v>
      </c>
      <c r="B2802" s="39">
        <v>1528.4000244140625</v>
      </c>
      <c r="C2802" s="39">
        <v>1521.356201171875</v>
      </c>
      <c r="D2802" s="41">
        <v>3779933</v>
      </c>
      <c r="E2802" s="36" t="s">
        <v>659</v>
      </c>
      <c r="F2802" s="36" t="s">
        <v>115</v>
      </c>
    </row>
    <row r="2803" spans="1:6">
      <c r="A2803" s="38">
        <v>46231.15625</v>
      </c>
      <c r="B2803" s="39">
        <v>1686</v>
      </c>
      <c r="C2803" s="39">
        <v>1678.229736328125</v>
      </c>
      <c r="D2803" s="41">
        <v>15625771</v>
      </c>
      <c r="E2803" s="36" t="s">
        <v>659</v>
      </c>
      <c r="F2803" s="36" t="s">
        <v>115</v>
      </c>
    </row>
    <row r="2804" spans="1:6">
      <c r="A2804" s="38">
        <v>46232.15625</v>
      </c>
      <c r="B2804" s="39">
        <v>1714.9000244140625</v>
      </c>
      <c r="C2804" s="39">
        <v>1706.99658203125</v>
      </c>
      <c r="D2804" s="41">
        <v>8196676</v>
      </c>
      <c r="E2804" s="36" t="s">
        <v>659</v>
      </c>
      <c r="F2804" s="36" t="s">
        <v>115</v>
      </c>
    </row>
    <row r="2805" spans="1:6">
      <c r="A2805" s="38">
        <v>46233.15625</v>
      </c>
      <c r="B2805" s="39">
        <v>1746.9000244140625</v>
      </c>
      <c r="C2805" s="39">
        <v>1738.84912109375</v>
      </c>
      <c r="D2805" s="41">
        <v>5650262</v>
      </c>
      <c r="E2805" s="36" t="s">
        <v>659</v>
      </c>
      <c r="F2805" s="36" t="s">
        <v>115</v>
      </c>
    </row>
    <row r="2806" spans="1:6">
      <c r="A2806" s="38">
        <v>46234.15625</v>
      </c>
      <c r="B2806" s="39">
        <v>1721</v>
      </c>
      <c r="C2806" s="39">
        <v>1717</v>
      </c>
      <c r="D2806" s="41">
        <v>3381070</v>
      </c>
      <c r="E2806" s="36" t="s">
        <v>659</v>
      </c>
      <c r="F2806" s="36" t="s">
        <v>115</v>
      </c>
    </row>
    <row r="2807" spans="1:6">
      <c r="A2807" s="38">
        <v>46237.15625</v>
      </c>
      <c r="B2807" s="39">
        <v>1768</v>
      </c>
      <c r="C2807" s="39">
        <v>1768</v>
      </c>
      <c r="D2807" s="41">
        <v>2365023</v>
      </c>
      <c r="E2807" s="36" t="s">
        <v>659</v>
      </c>
      <c r="F2807" s="36" t="s">
        <v>115</v>
      </c>
    </row>
    <row r="2808" spans="1:6">
      <c r="A2808" s="38">
        <v>46238.15625</v>
      </c>
      <c r="B2808" s="39">
        <v>1749.9000244140625</v>
      </c>
      <c r="C2808" s="39">
        <v>1749.9000244140625</v>
      </c>
      <c r="D2808" s="41">
        <v>1189895</v>
      </c>
      <c r="E2808" s="36" t="s">
        <v>659</v>
      </c>
      <c r="F2808" s="36" t="s">
        <v>115</v>
      </c>
    </row>
    <row r="2809" spans="1:6">
      <c r="A2809" s="38">
        <v>46239.15625</v>
      </c>
      <c r="B2809" s="39">
        <v>1777</v>
      </c>
      <c r="C2809" s="39">
        <v>1777</v>
      </c>
      <c r="D2809" s="41">
        <v>2308375</v>
      </c>
      <c r="E2809" s="36" t="s">
        <v>659</v>
      </c>
      <c r="F2809" s="36" t="s">
        <v>115</v>
      </c>
    </row>
    <row r="2810" spans="1:6">
      <c r="A2810" s="38">
        <v>46240.15625</v>
      </c>
      <c r="B2810" s="39">
        <v>1772.800048828125</v>
      </c>
      <c r="C2810" s="39">
        <v>1772.800048828125</v>
      </c>
      <c r="D2810" s="41">
        <v>1606627</v>
      </c>
      <c r="E2810" s="36" t="s">
        <v>659</v>
      </c>
      <c r="F2810" s="36" t="s">
        <v>115</v>
      </c>
    </row>
    <row r="2811" spans="1:6">
      <c r="A2811" s="38">
        <v>46241.15625</v>
      </c>
      <c r="B2811" s="39">
        <v>1776</v>
      </c>
      <c r="C2811" s="39">
        <v>1776</v>
      </c>
      <c r="D2811" s="41">
        <v>2666057</v>
      </c>
      <c r="E2811" s="36" t="s">
        <v>659</v>
      </c>
      <c r="F2811" s="36" t="s">
        <v>115</v>
      </c>
    </row>
    <row r="2812" spans="1:6">
      <c r="A2812" s="38">
        <v>46244.15625</v>
      </c>
      <c r="B2812" s="39">
        <v>1810</v>
      </c>
      <c r="C2812" s="39">
        <v>1810</v>
      </c>
      <c r="D2812" s="41">
        <v>2623273</v>
      </c>
      <c r="E2812" s="36" t="s">
        <v>659</v>
      </c>
      <c r="F2812" s="36" t="s">
        <v>115</v>
      </c>
    </row>
    <row r="2813" spans="1:6">
      <c r="A2813" s="38">
        <v>46245.15625</v>
      </c>
      <c r="B2813" s="39">
        <v>1819</v>
      </c>
      <c r="C2813" s="39">
        <v>1819</v>
      </c>
      <c r="D2813" s="41">
        <v>1694152</v>
      </c>
      <c r="E2813" s="36" t="s">
        <v>659</v>
      </c>
      <c r="F2813" s="36" t="s">
        <v>115</v>
      </c>
    </row>
    <row r="2814" spans="1:6">
      <c r="A2814" s="38">
        <v>46246.15625</v>
      </c>
      <c r="B2814" s="39">
        <v>1801.5</v>
      </c>
      <c r="C2814" s="39">
        <v>1801.5</v>
      </c>
      <c r="D2814" s="41">
        <v>1592301</v>
      </c>
      <c r="E2814" s="36" t="s">
        <v>659</v>
      </c>
      <c r="F2814" s="36" t="s">
        <v>115</v>
      </c>
    </row>
    <row r="2815" spans="1:6">
      <c r="A2815" s="38">
        <v>46247.15625</v>
      </c>
      <c r="B2815" s="39">
        <v>1829</v>
      </c>
      <c r="C2815" s="39">
        <v>1829</v>
      </c>
      <c r="D2815" s="41">
        <v>1878214</v>
      </c>
      <c r="E2815" s="36" t="s">
        <v>659</v>
      </c>
      <c r="F2815" s="36" t="s">
        <v>115</v>
      </c>
    </row>
    <row r="2816" spans="1:6">
      <c r="A2816" s="38">
        <v>46248.15625</v>
      </c>
      <c r="B2816" s="39">
        <v>1812</v>
      </c>
      <c r="C2816" s="39">
        <v>1812</v>
      </c>
      <c r="D2816" s="41">
        <v>1580043</v>
      </c>
      <c r="E2816" s="36" t="s">
        <v>659</v>
      </c>
      <c r="F2816" s="36" t="s">
        <v>115</v>
      </c>
    </row>
    <row r="2817" spans="1:6">
      <c r="A2817" s="38">
        <v>46251.15625</v>
      </c>
      <c r="B2817" s="39">
        <v>1806</v>
      </c>
      <c r="C2817" s="39">
        <v>1806</v>
      </c>
      <c r="D2817" s="41">
        <v>1054940</v>
      </c>
      <c r="E2817" s="36" t="s">
        <v>659</v>
      </c>
      <c r="F2817" s="36" t="s">
        <v>115</v>
      </c>
    </row>
    <row r="2818" spans="1:6">
      <c r="A2818" s="38">
        <v>46252.15625</v>
      </c>
      <c r="B2818" s="39">
        <v>1773</v>
      </c>
      <c r="C2818" s="39">
        <v>1773</v>
      </c>
      <c r="D2818" s="41">
        <v>1572547</v>
      </c>
      <c r="E2818" s="36" t="s">
        <v>659</v>
      </c>
      <c r="F2818" s="36" t="s">
        <v>115</v>
      </c>
    </row>
    <row r="2819" spans="1:6">
      <c r="A2819" s="38">
        <v>46253.15625</v>
      </c>
      <c r="B2819" s="39">
        <v>1813.0999755859375</v>
      </c>
      <c r="C2819" s="39">
        <v>1813.0999755859375</v>
      </c>
      <c r="D2819" s="41">
        <v>2592917</v>
      </c>
      <c r="E2819" s="36" t="s">
        <v>659</v>
      </c>
      <c r="F2819" s="36" t="s">
        <v>115</v>
      </c>
    </row>
    <row r="2820" spans="1:6">
      <c r="A2820" s="38">
        <v>46254.15625</v>
      </c>
      <c r="B2820" s="39">
        <v>1882</v>
      </c>
      <c r="C2820" s="39">
        <v>1882</v>
      </c>
      <c r="D2820" s="41">
        <v>4002215</v>
      </c>
      <c r="E2820" s="36" t="s">
        <v>659</v>
      </c>
      <c r="F2820" s="36" t="s">
        <v>115</v>
      </c>
    </row>
    <row r="2821" spans="1:6">
      <c r="A2821" s="38">
        <v>46255.15625</v>
      </c>
      <c r="B2821" s="39">
        <v>1891.699951171875</v>
      </c>
      <c r="C2821" s="39">
        <v>1891.699951171875</v>
      </c>
      <c r="D2821" s="41">
        <v>1990336</v>
      </c>
      <c r="E2821" s="36" t="s">
        <v>659</v>
      </c>
      <c r="F2821" s="36" t="s">
        <v>115</v>
      </c>
    </row>
    <row r="2822" spans="1:6">
      <c r="A2822" s="38">
        <v>46258.15625</v>
      </c>
      <c r="B2822" s="39">
        <v>1873</v>
      </c>
      <c r="C2822" s="39">
        <v>1873</v>
      </c>
      <c r="D2822" s="41">
        <v>1507935</v>
      </c>
      <c r="E2822" s="36" t="s">
        <v>659</v>
      </c>
      <c r="F2822" s="36" t="s">
        <v>115</v>
      </c>
    </row>
    <row r="2823" spans="1:6">
      <c r="A2823" s="38">
        <v>46259.15625</v>
      </c>
      <c r="B2823" s="39">
        <v>1892.800048828125</v>
      </c>
      <c r="C2823" s="39">
        <v>1892.800048828125</v>
      </c>
      <c r="D2823" s="41">
        <v>1288356</v>
      </c>
      <c r="E2823" s="36" t="s">
        <v>659</v>
      </c>
      <c r="F2823" s="36" t="s">
        <v>115</v>
      </c>
    </row>
    <row r="2824" spans="1:6">
      <c r="A2824" s="38">
        <v>46260.15625</v>
      </c>
      <c r="B2824" s="39">
        <v>1880</v>
      </c>
      <c r="C2824" s="39">
        <v>1880</v>
      </c>
      <c r="D2824" s="41">
        <v>1622085</v>
      </c>
      <c r="E2824" s="36" t="s">
        <v>659</v>
      </c>
      <c r="F2824" s="36" t="s">
        <v>115</v>
      </c>
    </row>
    <row r="2825" spans="1:6">
      <c r="A2825" s="38">
        <v>46261.15625</v>
      </c>
      <c r="B2825" s="39">
        <v>1901.800048828125</v>
      </c>
      <c r="C2825" s="39">
        <v>1901.800048828125</v>
      </c>
      <c r="D2825" s="41">
        <v>1759661</v>
      </c>
      <c r="E2825" s="36" t="s">
        <v>659</v>
      </c>
      <c r="F2825" s="36" t="s">
        <v>115</v>
      </c>
    </row>
    <row r="2826" spans="1:6">
      <c r="A2826" s="38">
        <v>46262.15625</v>
      </c>
      <c r="B2826" s="39">
        <v>2014.5999755859375</v>
      </c>
      <c r="C2826" s="39">
        <v>2014.5999755859375</v>
      </c>
      <c r="D2826" s="41">
        <v>5516587</v>
      </c>
      <c r="E2826" s="36" t="s">
        <v>659</v>
      </c>
      <c r="F2826" s="36" t="s">
        <v>115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U260"/>
  <sheetViews>
    <sheetView showGridLines="0" workbookViewId="0"/>
  </sheetViews>
  <sheetFormatPr defaultRowHeight="13.8"/>
  <cols>
    <col min="1" max="1" width="53" customWidth="1"/>
    <col min="2" max="2" width="12" customWidth="1"/>
    <col min="3" max="5" width="16" customWidth="1"/>
    <col min="6" max="6" width="12" customWidth="1"/>
  </cols>
  <sheetData>
    <row r="1" spans="1:47" ht="25.95" customHeight="1">
      <c r="A1" s="58" t="s">
        <v>660</v>
      </c>
      <c r="B1" s="58"/>
      <c r="C1" s="58"/>
      <c r="D1" s="58"/>
      <c r="E1" s="58"/>
      <c r="F1" s="5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59" t="s">
        <v>661</v>
      </c>
      <c r="B2" s="59"/>
      <c r="C2" s="59"/>
      <c r="D2" s="59"/>
      <c r="E2" s="59"/>
      <c r="F2" s="5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662</v>
      </c>
      <c r="B5" s="4" t="s">
        <v>84</v>
      </c>
      <c r="C5" s="4" t="s">
        <v>128</v>
      </c>
      <c r="D5" s="4" t="s">
        <v>663</v>
      </c>
      <c r="E5" s="4" t="s">
        <v>664</v>
      </c>
      <c r="F5" s="4" t="s">
        <v>665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9" t="s">
        <v>666</v>
      </c>
      <c r="B6" s="51" t="str">
        <f>IF(COUNTIF(B7:B74,"FAIL")=0,"OK","REVIEW")</f>
        <v>OK</v>
      </c>
      <c r="C6" s="9"/>
      <c r="D6" s="9"/>
      <c r="E6" s="9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667</v>
      </c>
      <c r="B7" s="1" t="str">
        <f t="shared" ref="B7:B38" si="0">IF(ABS(E7)&lt;=F7,"OK","FAIL")</f>
        <v>OK</v>
      </c>
      <c r="C7" s="18">
        <f>'Annual Balance Sheet'!C29</f>
        <v>22491.251733000001</v>
      </c>
      <c r="D7" s="18">
        <f>'Annual Balance Sheet'!C51</f>
        <v>22491.251732999997</v>
      </c>
      <c r="E7" s="18">
        <f t="shared" ref="E7:E38" si="1">C7-D7</f>
        <v>0</v>
      </c>
      <c r="F7" s="1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668</v>
      </c>
      <c r="B8" s="1" t="str">
        <f t="shared" si="0"/>
        <v>OK</v>
      </c>
      <c r="C8" s="18">
        <f>'Annual Cash Flow'!C41</f>
        <v>2878.627262</v>
      </c>
      <c r="D8" s="18">
        <f>'Annual Cash Flow'!C42</f>
        <v>2878.627262</v>
      </c>
      <c r="E8" s="18">
        <f t="shared" si="1"/>
        <v>0</v>
      </c>
      <c r="F8" s="1">
        <v>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669</v>
      </c>
      <c r="B9" s="1" t="str">
        <f t="shared" si="0"/>
        <v>OK</v>
      </c>
      <c r="C9" s="18">
        <f>'Annual Balance Sheet'!D29</f>
        <v>24648</v>
      </c>
      <c r="D9" s="18">
        <f>'Annual Balance Sheet'!D51</f>
        <v>24648</v>
      </c>
      <c r="E9" s="18">
        <f t="shared" si="1"/>
        <v>0</v>
      </c>
      <c r="F9" s="1"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670</v>
      </c>
      <c r="B10" s="1" t="str">
        <f t="shared" si="0"/>
        <v>OK</v>
      </c>
      <c r="C10" s="18">
        <f>'Annual Cash Flow'!D41</f>
        <v>3502</v>
      </c>
      <c r="D10" s="18">
        <f>'Annual Cash Flow'!D42</f>
        <v>3502</v>
      </c>
      <c r="E10" s="18">
        <f t="shared" si="1"/>
        <v>0</v>
      </c>
      <c r="F10" s="1">
        <v>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671</v>
      </c>
      <c r="B11" s="1" t="str">
        <f t="shared" si="0"/>
        <v>OK</v>
      </c>
      <c r="C11" s="18">
        <f>'Annual Balance Sheet'!E29</f>
        <v>26698</v>
      </c>
      <c r="D11" s="18">
        <f>'Annual Balance Sheet'!E51</f>
        <v>26698</v>
      </c>
      <c r="E11" s="18">
        <f t="shared" si="1"/>
        <v>0</v>
      </c>
      <c r="F11" s="1">
        <v>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672</v>
      </c>
      <c r="B12" s="1" t="str">
        <f t="shared" si="0"/>
        <v>OK</v>
      </c>
      <c r="C12" s="18">
        <f>'Annual Cash Flow'!E41</f>
        <v>4102</v>
      </c>
      <c r="D12" s="18">
        <f>'Annual Cash Flow'!E42</f>
        <v>4102</v>
      </c>
      <c r="E12" s="18">
        <f t="shared" si="1"/>
        <v>0</v>
      </c>
      <c r="F12" s="1"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673</v>
      </c>
      <c r="B13" s="1" t="str">
        <f t="shared" si="0"/>
        <v>OK</v>
      </c>
      <c r="C13" s="18">
        <f>'Annual Balance Sheet'!F29</f>
        <v>28734</v>
      </c>
      <c r="D13" s="18">
        <f>'Annual Balance Sheet'!F51</f>
        <v>28734</v>
      </c>
      <c r="E13" s="18">
        <f t="shared" si="1"/>
        <v>0</v>
      </c>
      <c r="F13" s="1">
        <v>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674</v>
      </c>
      <c r="B14" s="1" t="str">
        <f t="shared" si="0"/>
        <v>OK</v>
      </c>
      <c r="C14" s="18">
        <f>'Annual Cash Flow'!F41</f>
        <v>5194</v>
      </c>
      <c r="D14" s="18">
        <f>'Annual Cash Flow'!F42</f>
        <v>5194</v>
      </c>
      <c r="E14" s="18">
        <f t="shared" si="1"/>
        <v>0</v>
      </c>
      <c r="F14" s="1">
        <v>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675</v>
      </c>
      <c r="B15" s="1" t="str">
        <f t="shared" si="0"/>
        <v>OK</v>
      </c>
      <c r="C15" s="18">
        <f>'Annual Balance Sheet'!G29</f>
        <v>34398</v>
      </c>
      <c r="D15" s="18">
        <f>'Annual Balance Sheet'!G51</f>
        <v>34398</v>
      </c>
      <c r="E15" s="18">
        <f t="shared" si="1"/>
        <v>0</v>
      </c>
      <c r="F15" s="1"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676</v>
      </c>
      <c r="B16" s="1" t="str">
        <f t="shared" si="0"/>
        <v>OK</v>
      </c>
      <c r="C16" s="18">
        <f>'Annual Cash Flow'!G41</f>
        <v>8195</v>
      </c>
      <c r="D16" s="18">
        <f>'Annual Cash Flow'!G42</f>
        <v>8195</v>
      </c>
      <c r="E16" s="18">
        <f t="shared" si="1"/>
        <v>0</v>
      </c>
      <c r="F16" s="1"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677</v>
      </c>
      <c r="B17" s="1" t="str">
        <f t="shared" si="0"/>
        <v>OK</v>
      </c>
      <c r="C17" s="18">
        <f>'Annual Balance Sheet'!H29</f>
        <v>35134</v>
      </c>
      <c r="D17" s="18">
        <f>'Annual Balance Sheet'!H51</f>
        <v>35134</v>
      </c>
      <c r="E17" s="18">
        <f t="shared" si="1"/>
        <v>0</v>
      </c>
      <c r="F17" s="1">
        <v>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678</v>
      </c>
      <c r="B18" s="1" t="str">
        <f t="shared" si="0"/>
        <v>OK</v>
      </c>
      <c r="C18" s="18">
        <f>'Annual Cash Flow'!H41</f>
        <v>7999</v>
      </c>
      <c r="D18" s="18">
        <f>'Annual Cash Flow'!H42</f>
        <v>7999</v>
      </c>
      <c r="E18" s="18">
        <f t="shared" si="1"/>
        <v>0</v>
      </c>
      <c r="F18" s="1">
        <v>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679</v>
      </c>
      <c r="B19" s="1" t="str">
        <f t="shared" si="0"/>
        <v>OK</v>
      </c>
      <c r="C19" s="18">
        <f>'Annual Balance Sheet'!I29</f>
        <v>49544</v>
      </c>
      <c r="D19" s="18">
        <f>'Annual Balance Sheet'!I51</f>
        <v>49544</v>
      </c>
      <c r="E19" s="18">
        <f t="shared" si="1"/>
        <v>0</v>
      </c>
      <c r="F19" s="1"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680</v>
      </c>
      <c r="B20" s="1" t="str">
        <f t="shared" si="0"/>
        <v>OK</v>
      </c>
      <c r="C20" s="18">
        <f>'Annual Cash Flow'!I41</f>
        <v>4468</v>
      </c>
      <c r="D20" s="18">
        <f>'Annual Cash Flow'!I42</f>
        <v>4468</v>
      </c>
      <c r="E20" s="18">
        <f t="shared" si="1"/>
        <v>0</v>
      </c>
      <c r="F20" s="1"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681</v>
      </c>
      <c r="B21" s="1" t="str">
        <f t="shared" si="0"/>
        <v>OK</v>
      </c>
      <c r="C21" s="18">
        <f>'Annual Balance Sheet'!J29</f>
        <v>56834</v>
      </c>
      <c r="D21" s="18">
        <f>'Annual Balance Sheet'!J51</f>
        <v>56834</v>
      </c>
      <c r="E21" s="18">
        <f t="shared" si="1"/>
        <v>0</v>
      </c>
      <c r="F21" s="1">
        <v>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682</v>
      </c>
      <c r="B22" s="1" t="str">
        <f t="shared" si="0"/>
        <v>OK</v>
      </c>
      <c r="C22" s="18">
        <f>'Annual Cash Flow'!J41</f>
        <v>5699</v>
      </c>
      <c r="D22" s="18">
        <f>'Annual Cash Flow'!J42</f>
        <v>5699</v>
      </c>
      <c r="E22" s="18">
        <f t="shared" si="1"/>
        <v>0</v>
      </c>
      <c r="F22" s="1"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683</v>
      </c>
      <c r="B23" s="1" t="str">
        <f t="shared" si="0"/>
        <v>OK</v>
      </c>
      <c r="C23" s="18">
        <f>'Annual Balance Sheet'!K29</f>
        <v>61077</v>
      </c>
      <c r="D23" s="18">
        <f>'Annual Balance Sheet'!K51</f>
        <v>61077</v>
      </c>
      <c r="E23" s="18">
        <f t="shared" si="1"/>
        <v>0</v>
      </c>
      <c r="F23" s="1">
        <v>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684</v>
      </c>
      <c r="B24" s="1" t="str">
        <f t="shared" si="0"/>
        <v>OK</v>
      </c>
      <c r="C24" s="18">
        <f>'Annual Cash Flow'!K41</f>
        <v>3213</v>
      </c>
      <c r="D24" s="18">
        <f>'Annual Cash Flow'!K42</f>
        <v>3213</v>
      </c>
      <c r="E24" s="18">
        <f t="shared" si="1"/>
        <v>0</v>
      </c>
      <c r="F24" s="1">
        <v>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685</v>
      </c>
      <c r="B25" s="1" t="str">
        <f t="shared" si="0"/>
        <v>OK</v>
      </c>
      <c r="C25" s="18">
        <f>'Annual Balance Sheet'!L29</f>
        <v>124907</v>
      </c>
      <c r="D25" s="18">
        <f>'Annual Balance Sheet'!L51</f>
        <v>124907</v>
      </c>
      <c r="E25" s="18">
        <f t="shared" si="1"/>
        <v>0</v>
      </c>
      <c r="F25" s="1">
        <v>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686</v>
      </c>
      <c r="B26" s="1" t="str">
        <f t="shared" si="0"/>
        <v>OK</v>
      </c>
      <c r="C26" s="18">
        <f>'Annual Cash Flow'!L41</f>
        <v>7956</v>
      </c>
      <c r="D26" s="18">
        <f>'Annual Cash Flow'!L42</f>
        <v>7956</v>
      </c>
      <c r="E26" s="18">
        <f t="shared" si="1"/>
        <v>0</v>
      </c>
      <c r="F26" s="1">
        <v>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687</v>
      </c>
      <c r="B27" s="1" t="str">
        <f t="shared" si="0"/>
        <v>OK</v>
      </c>
      <c r="C27" s="18">
        <f>'Annual Balance Sheet'!M29</f>
        <v>148814</v>
      </c>
      <c r="D27" s="18">
        <f>'Annual Balance Sheet'!M51</f>
        <v>148814</v>
      </c>
      <c r="E27" s="18">
        <f t="shared" si="1"/>
        <v>0</v>
      </c>
      <c r="F27" s="1">
        <v>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688</v>
      </c>
      <c r="B28" s="1" t="str">
        <f t="shared" si="0"/>
        <v>OK</v>
      </c>
      <c r="C28" s="18">
        <f>'Annual Cash Flow'!M41</f>
        <v>10936</v>
      </c>
      <c r="D28" s="18">
        <f>'Annual Cash Flow'!M42</f>
        <v>10936</v>
      </c>
      <c r="E28" s="18">
        <f t="shared" si="1"/>
        <v>0</v>
      </c>
      <c r="F28" s="1">
        <v>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689</v>
      </c>
      <c r="B29" s="1" t="str">
        <f t="shared" si="0"/>
        <v>OK</v>
      </c>
      <c r="C29" s="18">
        <f>'Annual Balance Sheet'!N29</f>
        <v>339314.66723630414</v>
      </c>
      <c r="D29" s="18">
        <f>'Annual Balance Sheet'!N51</f>
        <v>339314.66723630414</v>
      </c>
      <c r="E29" s="18">
        <f t="shared" si="1"/>
        <v>0</v>
      </c>
      <c r="F29" s="1">
        <v>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690</v>
      </c>
      <c r="B30" s="1" t="str">
        <f t="shared" si="0"/>
        <v>OK</v>
      </c>
      <c r="C30" s="18">
        <f>'Annual Cash Flow'!N41</f>
        <v>13436.218905427551</v>
      </c>
      <c r="D30" s="18">
        <f>'Annual Cash Flow'!N42</f>
        <v>13436.218905427551</v>
      </c>
      <c r="E30" s="18">
        <f t="shared" si="1"/>
        <v>0</v>
      </c>
      <c r="F30" s="1">
        <v>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691</v>
      </c>
      <c r="B31" s="1" t="str">
        <f t="shared" si="0"/>
        <v>OK</v>
      </c>
      <c r="C31" s="18">
        <f>'Annual Balance Sheet'!O29</f>
        <v>352361.46292332944</v>
      </c>
      <c r="D31" s="18">
        <f>'Annual Balance Sheet'!O51</f>
        <v>352361.4629233295</v>
      </c>
      <c r="E31" s="18">
        <f t="shared" si="1"/>
        <v>0</v>
      </c>
      <c r="F31" s="1">
        <v>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692</v>
      </c>
      <c r="B32" s="1" t="str">
        <f t="shared" si="0"/>
        <v>OK</v>
      </c>
      <c r="C32" s="18">
        <f>'Annual Cash Flow'!O41</f>
        <v>8327.861789081715</v>
      </c>
      <c r="D32" s="18">
        <f>'Annual Cash Flow'!O42</f>
        <v>8327.861789081715</v>
      </c>
      <c r="E32" s="18">
        <f t="shared" si="1"/>
        <v>0</v>
      </c>
      <c r="F32" s="1">
        <v>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693</v>
      </c>
      <c r="B33" s="1" t="str">
        <f t="shared" si="0"/>
        <v>OK</v>
      </c>
      <c r="C33" s="18">
        <f>'Annual Balance Sheet'!P29</f>
        <v>367297.93522646255</v>
      </c>
      <c r="D33" s="18">
        <f>'Annual Balance Sheet'!P51</f>
        <v>367297.93522646255</v>
      </c>
      <c r="E33" s="18">
        <f t="shared" si="1"/>
        <v>0</v>
      </c>
      <c r="F33" s="1">
        <v>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694</v>
      </c>
      <c r="B34" s="1" t="str">
        <f t="shared" si="0"/>
        <v>OK</v>
      </c>
      <c r="C34" s="18">
        <f>'Annual Cash Flow'!P41</f>
        <v>3716.7486665003271</v>
      </c>
      <c r="D34" s="18">
        <f>'Annual Cash Flow'!P42</f>
        <v>3716.7486665003271</v>
      </c>
      <c r="E34" s="18">
        <f t="shared" si="1"/>
        <v>0</v>
      </c>
      <c r="F34" s="1">
        <v>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695</v>
      </c>
      <c r="B35" s="1" t="str">
        <f t="shared" si="0"/>
        <v>OK</v>
      </c>
      <c r="C35" s="18">
        <f>'Annual Balance Sheet'!Q29</f>
        <v>415418.15976286895</v>
      </c>
      <c r="D35" s="18">
        <f>'Annual Balance Sheet'!Q51</f>
        <v>415418.15976286895</v>
      </c>
      <c r="E35" s="18">
        <f t="shared" si="1"/>
        <v>0</v>
      </c>
      <c r="F35" s="1">
        <v>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696</v>
      </c>
      <c r="B36" s="1" t="str">
        <f t="shared" si="0"/>
        <v>OK</v>
      </c>
      <c r="C36" s="18">
        <f>'Annual Cash Flow'!Q41</f>
        <v>29969.931113009337</v>
      </c>
      <c r="D36" s="18">
        <f>'Annual Cash Flow'!Q42</f>
        <v>29969.931113009337</v>
      </c>
      <c r="E36" s="18">
        <f t="shared" si="1"/>
        <v>0</v>
      </c>
      <c r="F36" s="1">
        <v>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697</v>
      </c>
      <c r="B37" s="1" t="str">
        <f t="shared" si="0"/>
        <v>OK</v>
      </c>
      <c r="C37" s="18">
        <f>'Quarterly P&amp;L'!AU6</f>
        <v>55277</v>
      </c>
      <c r="D37" s="18">
        <f>55277</f>
        <v>55277</v>
      </c>
      <c r="E37" s="18">
        <f t="shared" si="1"/>
        <v>0</v>
      </c>
      <c r="F37" s="1">
        <v>0.1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698</v>
      </c>
      <c r="B38" s="1" t="str">
        <f t="shared" si="0"/>
        <v>OK</v>
      </c>
      <c r="C38" s="18">
        <f>'Quarterly P&amp;L'!AU24</f>
        <v>7021</v>
      </c>
      <c r="D38" s="18">
        <f>7021</f>
        <v>7021</v>
      </c>
      <c r="E38" s="18">
        <f t="shared" si="1"/>
        <v>0</v>
      </c>
      <c r="F38" s="1">
        <v>0.1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699</v>
      </c>
      <c r="B39" s="1" t="str">
        <f t="shared" ref="B39:B71" si="2">IF(ABS(E39)&lt;=F39,"OK","FAIL")</f>
        <v>OK</v>
      </c>
      <c r="C39" s="18">
        <f>'Quarterly P&amp;L'!AU28</f>
        <v>5186</v>
      </c>
      <c r="D39" s="18">
        <f>5186</f>
        <v>5186</v>
      </c>
      <c r="E39" s="18">
        <f t="shared" ref="E39:E70" si="3">C39-D39</f>
        <v>0</v>
      </c>
      <c r="F39" s="1">
        <v>0.1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700</v>
      </c>
      <c r="B40" s="1" t="str">
        <f t="shared" si="2"/>
        <v>OK</v>
      </c>
      <c r="C40" s="18">
        <f>'Acquisition &amp; Debt'!C33</f>
        <v>335405</v>
      </c>
      <c r="D40" s="18">
        <f>'Acquisition &amp; Debt'!C44</f>
        <v>335405</v>
      </c>
      <c r="E40" s="18">
        <f t="shared" si="3"/>
        <v>0</v>
      </c>
      <c r="F40" s="1">
        <v>0.1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701</v>
      </c>
      <c r="B41" s="1" t="str">
        <f t="shared" si="2"/>
        <v>OK</v>
      </c>
      <c r="C41" s="18">
        <f>SUM('Quarterly P&amp;L'!C6:F6)</f>
        <v>26824</v>
      </c>
      <c r="D41" s="18">
        <f>'Annual P&amp;L'!C7</f>
        <v>26824.048783999999</v>
      </c>
      <c r="E41" s="18">
        <f t="shared" si="3"/>
        <v>-4.878399999870453E-2</v>
      </c>
      <c r="F41" s="1">
        <v>1500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702</v>
      </c>
      <c r="B42" s="1" t="str">
        <f t="shared" si="2"/>
        <v>OK</v>
      </c>
      <c r="C42" s="18">
        <f>SUM('Quarterly P&amp;L'!G6:J6)</f>
        <v>28021</v>
      </c>
      <c r="D42" s="18">
        <f>'Annual P&amp;L'!D7</f>
        <v>28021</v>
      </c>
      <c r="E42" s="18">
        <f t="shared" si="3"/>
        <v>0</v>
      </c>
      <c r="F42" s="1">
        <v>1500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703</v>
      </c>
      <c r="B43" s="1" t="str">
        <f t="shared" si="2"/>
        <v>OK</v>
      </c>
      <c r="C43" s="18">
        <f>SUM('Quarterly P&amp;L'!K6:N6)</f>
        <v>29914</v>
      </c>
      <c r="D43" s="18">
        <f>'Annual P&amp;L'!E7</f>
        <v>29914</v>
      </c>
      <c r="E43" s="18">
        <f t="shared" si="3"/>
        <v>0</v>
      </c>
      <c r="F43" s="1">
        <v>1500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704</v>
      </c>
      <c r="B44" s="1" t="str">
        <f t="shared" si="2"/>
        <v>OK</v>
      </c>
      <c r="C44" s="18">
        <f>SUM('Quarterly P&amp;L'!O6:R6)</f>
        <v>36762</v>
      </c>
      <c r="D44" s="18">
        <f>'Annual P&amp;L'!F7</f>
        <v>36762</v>
      </c>
      <c r="E44" s="18">
        <f t="shared" si="3"/>
        <v>0</v>
      </c>
      <c r="F44" s="1">
        <v>1500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705</v>
      </c>
      <c r="B45" s="1" t="str">
        <f t="shared" si="2"/>
        <v>OK</v>
      </c>
      <c r="C45" s="18">
        <f>SUM('Quarterly P&amp;L'!S6:V6)</f>
        <v>41809</v>
      </c>
      <c r="D45" s="18">
        <f>'Annual P&amp;L'!G7</f>
        <v>41839</v>
      </c>
      <c r="E45" s="18">
        <f t="shared" si="3"/>
        <v>-30</v>
      </c>
      <c r="F45" s="1">
        <v>1500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706</v>
      </c>
      <c r="B46" s="1" t="str">
        <f t="shared" si="2"/>
        <v>OK</v>
      </c>
      <c r="C46" s="18">
        <f>SUM('Quarterly P&amp;L'!W6:Z6)</f>
        <v>46628</v>
      </c>
      <c r="D46" s="18">
        <f>'Annual P&amp;L'!H7</f>
        <v>46628</v>
      </c>
      <c r="E46" s="18">
        <f t="shared" si="3"/>
        <v>0</v>
      </c>
      <c r="F46" s="1">
        <v>1500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707</v>
      </c>
      <c r="B47" s="1" t="str">
        <f t="shared" si="2"/>
        <v>OK</v>
      </c>
      <c r="C47" s="18">
        <f>SUM('Quarterly P&amp;L'!AA6:AD6)</f>
        <v>64320</v>
      </c>
      <c r="D47" s="18">
        <f>'Annual P&amp;L'!I7</f>
        <v>64320</v>
      </c>
      <c r="E47" s="18">
        <f t="shared" si="3"/>
        <v>0</v>
      </c>
      <c r="F47" s="1">
        <v>1500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708</v>
      </c>
      <c r="B48" s="1" t="str">
        <f t="shared" si="2"/>
        <v>OK</v>
      </c>
      <c r="C48" s="18">
        <f>SUM('Quarterly P&amp;L'!AE6:AH6)</f>
        <v>80146</v>
      </c>
      <c r="D48" s="18">
        <f>'Annual P&amp;L'!J7</f>
        <v>80146</v>
      </c>
      <c r="E48" s="18">
        <f t="shared" si="3"/>
        <v>0</v>
      </c>
      <c r="F48" s="1">
        <v>1500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709</v>
      </c>
      <c r="B49" s="1" t="str">
        <f t="shared" si="2"/>
        <v>OK</v>
      </c>
      <c r="C49" s="18">
        <f>SUM('Quarterly P&amp;L'!AI6:AL6)</f>
        <v>91790</v>
      </c>
      <c r="D49" s="18">
        <f>'Annual P&amp;L'!K7</f>
        <v>91790</v>
      </c>
      <c r="E49" s="18">
        <f t="shared" si="3"/>
        <v>0</v>
      </c>
      <c r="F49" s="1">
        <v>1500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710</v>
      </c>
      <c r="B50" s="1" t="str">
        <f t="shared" si="2"/>
        <v>OK</v>
      </c>
      <c r="C50" s="18">
        <f>SUM('Quarterly P&amp;L'!AM6:AP6)</f>
        <v>122035</v>
      </c>
      <c r="D50" s="18">
        <f>'Annual P&amp;L'!L7</f>
        <v>120733</v>
      </c>
      <c r="E50" s="18">
        <f t="shared" si="3"/>
        <v>1302</v>
      </c>
      <c r="F50" s="1">
        <v>1500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 t="s">
        <v>711</v>
      </c>
      <c r="B51" s="1" t="str">
        <f t="shared" si="2"/>
        <v>OK</v>
      </c>
      <c r="C51" s="18">
        <f>SUM('Quarterly P&amp;L'!AQ6:AT6)</f>
        <v>163128</v>
      </c>
      <c r="D51" s="18">
        <f>'Annual P&amp;L'!M7</f>
        <v>164027</v>
      </c>
      <c r="E51" s="18">
        <f t="shared" si="3"/>
        <v>-899</v>
      </c>
      <c r="F51" s="1">
        <v>1500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712</v>
      </c>
      <c r="B52" s="1" t="str">
        <f t="shared" si="2"/>
        <v>OK</v>
      </c>
      <c r="C52" s="18">
        <f>'Order Book &amp; Revenue'!N31</f>
        <v>228523.774026</v>
      </c>
      <c r="D52" s="18">
        <f>'Annual P&amp;L'!N7</f>
        <v>228523.774026</v>
      </c>
      <c r="E52" s="18">
        <f t="shared" si="3"/>
        <v>0</v>
      </c>
      <c r="F52" s="1">
        <v>0.1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713</v>
      </c>
      <c r="B53" s="1" t="str">
        <f t="shared" si="2"/>
        <v>OK</v>
      </c>
      <c r="C53" s="18">
        <f>'Geography &amp; Delivery'!N19</f>
        <v>1</v>
      </c>
      <c r="D53" s="18">
        <f>1</f>
        <v>1</v>
      </c>
      <c r="E53" s="18">
        <f t="shared" si="3"/>
        <v>0</v>
      </c>
      <c r="F53" s="1">
        <v>1E-3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714</v>
      </c>
      <c r="B54" s="1" t="str">
        <f t="shared" si="2"/>
        <v>OK</v>
      </c>
      <c r="C54" s="18">
        <f>MIN(0,'Annual Cash Flow'!N41)</f>
        <v>0</v>
      </c>
      <c r="D54" s="18">
        <f>0</f>
        <v>0</v>
      </c>
      <c r="E54" s="18">
        <f t="shared" si="3"/>
        <v>0</v>
      </c>
      <c r="F54" s="1">
        <v>0.1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715</v>
      </c>
      <c r="B55" s="1" t="str">
        <f t="shared" si="2"/>
        <v>OK</v>
      </c>
      <c r="C55" s="18">
        <f>'Annual Balance Sheet'!N42</f>
        <v>46060</v>
      </c>
      <c r="D55" s="18">
        <f>'Acquisition &amp; Debt'!C21</f>
        <v>46060</v>
      </c>
      <c r="E55" s="18">
        <f t="shared" si="3"/>
        <v>0</v>
      </c>
      <c r="F55" s="1">
        <v>0.1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716</v>
      </c>
      <c r="B56" s="1" t="str">
        <f t="shared" si="2"/>
        <v>OK</v>
      </c>
      <c r="C56" s="18">
        <f>SUM(Valuation!N29:N31)</f>
        <v>1</v>
      </c>
      <c r="D56" s="18">
        <f>1</f>
        <v>1</v>
      </c>
      <c r="E56" s="18">
        <f t="shared" si="3"/>
        <v>0</v>
      </c>
      <c r="F56" s="1">
        <v>1E-3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717</v>
      </c>
      <c r="B57" s="1" t="str">
        <f t="shared" si="2"/>
        <v>OK</v>
      </c>
      <c r="C57" s="18">
        <f>'Order Book &amp; Revenue'!O31</f>
        <v>293835.96054016938</v>
      </c>
      <c r="D57" s="18">
        <f>'Annual P&amp;L'!O7</f>
        <v>293835.96054016938</v>
      </c>
      <c r="E57" s="18">
        <f t="shared" si="3"/>
        <v>0</v>
      </c>
      <c r="F57" s="1">
        <v>0.1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718</v>
      </c>
      <c r="B58" s="1" t="str">
        <f t="shared" si="2"/>
        <v>OK</v>
      </c>
      <c r="C58" s="18">
        <f>'Geography &amp; Delivery'!O19</f>
        <v>1</v>
      </c>
      <c r="D58" s="18">
        <f>1</f>
        <v>1</v>
      </c>
      <c r="E58" s="18">
        <f t="shared" si="3"/>
        <v>0</v>
      </c>
      <c r="F58" s="1">
        <v>1E-3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719</v>
      </c>
      <c r="B59" s="1" t="str">
        <f t="shared" si="2"/>
        <v>OK</v>
      </c>
      <c r="C59" s="18">
        <f>MIN(0,'Annual Cash Flow'!O41)</f>
        <v>0</v>
      </c>
      <c r="D59" s="18">
        <f>0</f>
        <v>0</v>
      </c>
      <c r="E59" s="18">
        <f t="shared" si="3"/>
        <v>0</v>
      </c>
      <c r="F59" s="1">
        <v>0.1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 t="s">
        <v>720</v>
      </c>
      <c r="B60" s="1" t="str">
        <f t="shared" si="2"/>
        <v>OK</v>
      </c>
      <c r="C60" s="18">
        <f>'Annual Balance Sheet'!O42</f>
        <v>25650</v>
      </c>
      <c r="D60" s="18">
        <f>'Acquisition &amp; Debt'!D21</f>
        <v>25650</v>
      </c>
      <c r="E60" s="18">
        <f t="shared" si="3"/>
        <v>0</v>
      </c>
      <c r="F60" s="1">
        <v>0.1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 t="s">
        <v>721</v>
      </c>
      <c r="B61" s="1" t="str">
        <f t="shared" si="2"/>
        <v>OK</v>
      </c>
      <c r="C61" s="18">
        <f>SUM(Valuation!O29:O31)</f>
        <v>1</v>
      </c>
      <c r="D61" s="18">
        <f>1</f>
        <v>1</v>
      </c>
      <c r="E61" s="18">
        <f t="shared" si="3"/>
        <v>0</v>
      </c>
      <c r="F61" s="1">
        <v>1E-3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 t="s">
        <v>722</v>
      </c>
      <c r="B62" s="1" t="str">
        <f t="shared" si="2"/>
        <v>OK</v>
      </c>
      <c r="C62" s="18">
        <f>'Order Book &amp; Revenue'!P31</f>
        <v>369616.09205215255</v>
      </c>
      <c r="D62" s="18">
        <f>'Annual P&amp;L'!P7</f>
        <v>369616.09205215255</v>
      </c>
      <c r="E62" s="18">
        <f t="shared" si="3"/>
        <v>0</v>
      </c>
      <c r="F62" s="1">
        <v>0.1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 t="s">
        <v>723</v>
      </c>
      <c r="B63" s="1" t="str">
        <f t="shared" si="2"/>
        <v>OK</v>
      </c>
      <c r="C63" s="18">
        <f>'Geography &amp; Delivery'!P19</f>
        <v>1</v>
      </c>
      <c r="D63" s="18">
        <f>1</f>
        <v>1</v>
      </c>
      <c r="E63" s="18">
        <f t="shared" si="3"/>
        <v>0</v>
      </c>
      <c r="F63" s="1">
        <v>1E-3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 t="s">
        <v>724</v>
      </c>
      <c r="B64" s="1" t="str">
        <f t="shared" si="2"/>
        <v>OK</v>
      </c>
      <c r="C64" s="18">
        <f>MIN(0,'Annual Cash Flow'!P41)</f>
        <v>0</v>
      </c>
      <c r="D64" s="18">
        <f>0</f>
        <v>0</v>
      </c>
      <c r="E64" s="18">
        <f t="shared" si="3"/>
        <v>0</v>
      </c>
      <c r="F64" s="1">
        <v>0.1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 t="s">
        <v>725</v>
      </c>
      <c r="B65" s="1" t="str">
        <f t="shared" si="2"/>
        <v>OK</v>
      </c>
      <c r="C65" s="18">
        <f>'Annual Balance Sheet'!P42</f>
        <v>0</v>
      </c>
      <c r="D65" s="18">
        <f>'Acquisition &amp; Debt'!E21</f>
        <v>0</v>
      </c>
      <c r="E65" s="18">
        <f t="shared" si="3"/>
        <v>0</v>
      </c>
      <c r="F65" s="1">
        <v>0.1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 t="s">
        <v>726</v>
      </c>
      <c r="B66" s="1" t="str">
        <f t="shared" si="2"/>
        <v>OK</v>
      </c>
      <c r="C66" s="18">
        <f>SUM(Valuation!P29:P31)</f>
        <v>1</v>
      </c>
      <c r="D66" s="18">
        <f>1</f>
        <v>1</v>
      </c>
      <c r="E66" s="18">
        <f t="shared" si="3"/>
        <v>0</v>
      </c>
      <c r="F66" s="1">
        <v>1E-3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 t="s">
        <v>727</v>
      </c>
      <c r="B67" s="1" t="str">
        <f t="shared" si="2"/>
        <v>OK</v>
      </c>
      <c r="C67" s="18">
        <f>'Order Book &amp; Revenue'!Q31</f>
        <v>457101.52226333285</v>
      </c>
      <c r="D67" s="18">
        <f>'Annual P&amp;L'!Q7</f>
        <v>457101.52226333285</v>
      </c>
      <c r="E67" s="18">
        <f t="shared" si="3"/>
        <v>0</v>
      </c>
      <c r="F67" s="1">
        <v>0.1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 t="s">
        <v>728</v>
      </c>
      <c r="B68" s="1" t="str">
        <f t="shared" si="2"/>
        <v>OK</v>
      </c>
      <c r="C68" s="18">
        <f>'Geography &amp; Delivery'!Q19</f>
        <v>1</v>
      </c>
      <c r="D68" s="18">
        <f>1</f>
        <v>1</v>
      </c>
      <c r="E68" s="18">
        <f t="shared" si="3"/>
        <v>0</v>
      </c>
      <c r="F68" s="1">
        <v>1E-3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 t="s">
        <v>729</v>
      </c>
      <c r="B69" s="1" t="str">
        <f t="shared" si="2"/>
        <v>OK</v>
      </c>
      <c r="C69" s="18">
        <f>MIN(0,'Annual Cash Flow'!Q41)</f>
        <v>0</v>
      </c>
      <c r="D69" s="18">
        <f>0</f>
        <v>0</v>
      </c>
      <c r="E69" s="18">
        <f t="shared" si="3"/>
        <v>0</v>
      </c>
      <c r="F69" s="1">
        <v>0.1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 t="s">
        <v>730</v>
      </c>
      <c r="B70" s="1" t="str">
        <f t="shared" si="2"/>
        <v>OK</v>
      </c>
      <c r="C70" s="18">
        <f>'Annual Balance Sheet'!Q42</f>
        <v>0</v>
      </c>
      <c r="D70" s="18">
        <f>'Acquisition &amp; Debt'!F21</f>
        <v>0</v>
      </c>
      <c r="E70" s="18">
        <f t="shared" si="3"/>
        <v>0</v>
      </c>
      <c r="F70" s="1">
        <v>0.1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 t="s">
        <v>731</v>
      </c>
      <c r="B71" s="1" t="str">
        <f t="shared" si="2"/>
        <v>OK</v>
      </c>
      <c r="C71" s="18">
        <f>SUM(Valuation!Q29:Q31)</f>
        <v>1</v>
      </c>
      <c r="D71" s="18">
        <f>1</f>
        <v>1</v>
      </c>
      <c r="E71" s="18">
        <f t="shared" ref="E71:E102" si="4">C71-D71</f>
        <v>0</v>
      </c>
      <c r="F71" s="1">
        <v>1E-3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 t="s">
        <v>732</v>
      </c>
      <c r="B72" s="1" t="str">
        <f>IF(C72=0,"OK","FAIL")</f>
        <v>OK</v>
      </c>
      <c r="C72" s="16">
        <v>0</v>
      </c>
      <c r="D72" s="16">
        <v>0</v>
      </c>
      <c r="E72" s="22">
        <f t="shared" si="4"/>
        <v>0</v>
      </c>
      <c r="F72" s="16"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 t="s">
        <v>733</v>
      </c>
      <c r="B73" s="1" t="str">
        <f>IF(C73=0,"OK","FAIL")</f>
        <v>OK</v>
      </c>
      <c r="C73" s="16">
        <v>0</v>
      </c>
      <c r="D73" s="16">
        <v>0</v>
      </c>
      <c r="E73" s="22">
        <f t="shared" si="4"/>
        <v>0</v>
      </c>
      <c r="F73" s="16"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 t="s">
        <v>734</v>
      </c>
      <c r="B74" s="1" t="str">
        <f>IF(C74=0,"OK","FAIL")</f>
        <v>OK</v>
      </c>
      <c r="C74" s="16">
        <v>0</v>
      </c>
      <c r="D74" s="16">
        <v>0</v>
      </c>
      <c r="E74" s="22">
        <f t="shared" si="4"/>
        <v>0</v>
      </c>
      <c r="F74" s="16"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Cover</vt:lpstr>
      <vt:lpstr>Summary</vt:lpstr>
      <vt:lpstr>Sources</vt:lpstr>
      <vt:lpstr>Assumptions</vt:lpstr>
      <vt:lpstr>Raw Financials</vt:lpstr>
      <vt:lpstr>Raw Operating</vt:lpstr>
      <vt:lpstr>Quarterly P&amp;L</vt:lpstr>
      <vt:lpstr>Annual P&amp;L</vt:lpstr>
      <vt:lpstr>Annual Balance Sheet</vt:lpstr>
      <vt:lpstr>Annual Cash Flow</vt:lpstr>
      <vt:lpstr>Acquisition &amp; Debt</vt:lpstr>
      <vt:lpstr>Order Book &amp; Revenue</vt:lpstr>
      <vt:lpstr>Vertical &amp; Services</vt:lpstr>
      <vt:lpstr>Geography &amp; Delivery</vt:lpstr>
      <vt:lpstr>Client Metrics</vt:lpstr>
      <vt:lpstr>People &amp; AI</vt:lpstr>
      <vt:lpstr>Valuation</vt:lpstr>
      <vt:lpstr>COFORGE Prices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2026-08-31T06:55:09Z</dcterms:created>
  <dcterms:modified xsi:type="dcterms:W3CDTF">2026-08-31T06:55:09Z</dcterms:modified>
</cp:coreProperties>
</file>