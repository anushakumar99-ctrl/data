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ac8ecf705145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CS Quarterly Ownership" sheetId="1" r:id="R5e4390533d3743bb"/>
    <x:sheet xmlns:r="http://schemas.openxmlformats.org/officeDocument/2006/relationships" name="Methodology &amp; Sources" sheetId="2" r:id="R1f3a96a094574fb8"/>
    <x:sheet xmlns:r="http://schemas.openxmlformats.org/officeDocument/2006/relationships" name="All Stakeholders" sheetId="3" r:id="Rfafb98d515c04ca1"/>
    <x:sheet xmlns:r="http://schemas.openxmlformats.org/officeDocument/2006/relationships" name="Stakeholder Definitions" sheetId="4" r:id="R13eba50175894584"/>
    <x:sheet xmlns:r="http://schemas.openxmlformats.org/officeDocument/2006/relationships" name="FY16-FY27 Full Timeline" sheetId="5" r:id="R52d726fae64842ef"/>
    <x:sheet xmlns:r="http://schemas.openxmlformats.org/officeDocument/2006/relationships" name="FY16 Extension Notes" sheetId="6" r:id="Rde5e9e1db86a47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;[Red](0.00);-"/>
    <x:numFmt numFmtId="201" formatCode="0.00"/>
  </x:numFmts>
  <x:fonts count="10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704A"/>
      <x:name val="Carlito"/>
    </x:font>
    <x:font>
      <x:sz val="11"/>
      <x:color rgb="FF64748B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sz val="10"/>
      <x:color rgb="FF27405D"/>
      <x:name val="Carlito"/>
    </x:font>
    <x:font>
      <x:sz val="11"/>
      <x:color rgb="FF27405D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2243A"/>
      </x:patternFill>
    </x:fill>
    <x:fill>
      <x:patternFill patternType="solid">
        <x:fgColor rgb="FF1F4E79"/>
      </x:patternFill>
    </x:fill>
    <x:fill>
      <x:patternFill patternType="solid">
        <x:fgColor rgb="FFFFF1BD"/>
      </x:patternFill>
    </x:fill>
    <x:fill>
      <x:patternFill patternType="solid">
        <x:fgColor rgb="FFFFF3DC"/>
      </x:patternFill>
    </x:fill>
    <x:fill>
      <x:patternFill patternType="solid">
        <x:fgColor rgb="FF12233E"/>
      </x:patternFill>
    </x:fill>
    <x:fill>
      <x:patternFill patternType="solid">
        <x:fgColor rgb="FFE9F0F8"/>
      </x:patternFill>
    </x:fill>
    <x:fill>
      <x:patternFill patternType="solid">
        <x:fgColor rgb="FF24547A"/>
      </x:patternFill>
    </x:fill>
    <x:fill>
      <x:patternFill patternType="solid">
        <x:fgColor rgb="FFFFF2D4"/>
      </x:patternFill>
    </x:fill>
    <x:fill>
      <x:patternFill patternType="solid">
        <x:fgColor rgb="FFE5F5EF"/>
      </x:patternFill>
    </x:fill>
    <x:fill>
      <x:patternFill patternType="solid">
        <x:fgColor rgb="FF17365C"/>
      </x:patternFill>
    </x:fill>
    <x:fill>
      <x:patternFill patternType="solid">
        <x:fgColor rgb="FFE9F0F8"/>
      </x:patternFill>
    </x:fill>
    <x:fill>
      <x:patternFill patternType="solid">
        <x:fgColor rgb="FF24547A"/>
      </x:patternFill>
    </x:fill>
    <x:fill>
      <x:patternFill patternType="solid">
        <x:fgColor rgb="FFFFF1CF"/>
      </x:patternFill>
    </x:fill>
    <x:fill>
      <x:patternFill patternType="solid">
        <x:fgColor rgb="FFE7F3EC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7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0" fillId="10" borderId="0" xfId="0" applyNumberFormat="1" applyFont="1" applyFill="1" applyBorder="1"/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0" fillId="1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d705b808984710" /><Relationship Type="http://schemas.openxmlformats.org/officeDocument/2006/relationships/theme" Target="/xl/theme/theme1.xml" Id="R10612992b0b5460c" /><Relationship Type="http://schemas.openxmlformats.org/officeDocument/2006/relationships/sharedStrings" Target="/xl/sharedStrings.xml" Id="Rc4626b8410df44cf" /><Relationship Type="http://schemas.openxmlformats.org/officeDocument/2006/relationships/worksheet" Target="/xl/worksheets/sheet1.xml" Id="R5e4390533d3743bb" /><Relationship Type="http://schemas.openxmlformats.org/officeDocument/2006/relationships/worksheet" Target="/xl/worksheets/sheet2.xml" Id="R1f3a96a094574fb8" /><Relationship Type="http://schemas.openxmlformats.org/officeDocument/2006/relationships/worksheet" Target="/xl/worksheets/sheet3.xml" Id="Rfafb98d515c04ca1" /><Relationship Type="http://schemas.openxmlformats.org/officeDocument/2006/relationships/worksheet" Target="/xl/worksheets/sheet4.xml" Id="R13eba50175894584" /><Relationship Type="http://schemas.openxmlformats.org/officeDocument/2006/relationships/worksheet" Target="/xl/worksheets/sheet5.xml" Id="R52d726fae64842ef" /><Relationship Type="http://schemas.openxmlformats.org/officeDocument/2006/relationships/worksheet" Target="/xl/worksheets/sheet6.xml" Id="Rde5e9e1db86a47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52" hidden="0" customWidth="1"/>
    <x:col min="6" max="6" width="69" hidden="0" customWidth="1"/>
    <x:col min="7" max="7" width="22" hidden="0" customWidth="1"/>
  </x:cols>
  <x:sheetData>
    <x:row r="1" ht="32" customHeight="1">
      <x:c r="A1" s="3" t="str">
        <x:v>TCS | INSTITUTIONAL SHAREHOLDING | MAR 2020 – SEP 2026</x:v>
      </x:c>
      <x:c r="B1" s="3"/>
      <x:c r="C1" s="3"/>
      <x:c r="D1" s="3"/>
      <x:c r="E1" s="3"/>
      <x:c r="F1" s="3"/>
      <x:c r="G1" s="3"/>
    </x:row>
    <x:row r="2">
      <x:c r="A2" s="16" t="str">
        <x:v>All holdings in % of total outstanding equity | Source and comparability disclosed row by row</x:v>
      </x:c>
      <x:c r="B2" s="16"/>
      <x:c r="C2" s="16"/>
      <x:c r="D2" s="16"/>
      <x:c r="E2" s="16"/>
      <x:c r="F2" s="16"/>
      <x:c r="G2" s="16"/>
    </x:row>
    <x:row r="4" ht="26" customHeight="1">
      <x:c r="A4" s="7" t="str">
        <x:v>Quarter ended</x:v>
      </x:c>
      <x:c r="B4" s="7" t="str">
        <x:v>FII / FPI (%)</x:v>
      </x:c>
      <x:c r="C4" s="7" t="str">
        <x:v>DII (%)</x:v>
      </x:c>
      <x:c r="D4" s="7" t="str">
        <x:v>FII – DII (pp)</x:v>
      </x:c>
      <x:c r="E4" s="7" t="str">
        <x:v>Source URL</x:v>
      </x:c>
      <x:c r="F4" s="7" t="str">
        <x:v>Audit / comparability note</x:v>
      </x:c>
      <x:c r="G4" s="7" t="str">
        <x:v>Source tier</x:v>
      </x:c>
    </x:row>
    <x:row r="5">
      <x:c r="A5" t="str">
        <x:v>2020-03-31</x:v>
      </x:c>
      <x:c r="B5" s="12" t="n">
        <x:v>15.74</x:v>
      </x:c>
      <x:c r="C5" s="12" t="n">
        <x:v>8</x:v>
      </x:c>
      <x:c r="D5" s="10" t="n">
        <x:f>B5-C5</x:f>
        <x:v>7.74</x:v>
      </x:c>
      <x:c r="E5" s="14" t="str">
        <x:v>https://www.screener.in/company/TCS/consolidated/</x:v>
      </x:c>
      <x:c r="F5" t="str">
        <x:v>Screener annual anchor</x:v>
      </x:c>
      <x:c r="G5" t="str">
        <x:v>Screener series</x:v>
      </x:c>
    </x:row>
    <x:row r="6">
      <x:c r="A6" t="str">
        <x:v>2020-06-30</x:v>
      </x:c>
      <x:c r="B6" s="12" t="n">
        <x:v>15.85</x:v>
      </x:c>
      <x:c r="C6" s="12" t="n">
        <x:v>7.97</x:v>
      </x:c>
      <x:c r="D6" s="10" t="n">
        <x:f>B6-C6</x:f>
        <x:v>7.88</x:v>
      </x:c>
      <x:c r="E6" s="14" t="str">
        <x:v>https://trendlyne.com/equity/share-holding/1372/TCS/30-06-2020/tata-consultancy-services-ltd/</x:v>
      </x:c>
      <x:c r="F6" t="str">
        <x:v>MF+insurance+banks (2.51+5.44+0.02); excludes other categories</x:v>
      </x:c>
      <x:c r="G6" s="20" t="str">
        <x:v>Constituent sum</x:v>
      </x:c>
    </x:row>
    <x:row r="7">
      <x:c r="A7" t="str">
        <x:v>2020-09-30</x:v>
      </x:c>
      <x:c r="B7" s="12" t="n">
        <x:v>16</x:v>
      </x:c>
      <x:c r="C7" s="12" t="n">
        <x:v>7.81</x:v>
      </x:c>
      <x:c r="D7" s="10" t="n">
        <x:f>B7-C7</x:f>
        <x:v>8.190000000000001</x:v>
      </x:c>
      <x:c r="E7" s="14" t="str">
        <x:v>https://trendlyne.com/equity/share-holding/1372/TCS/30-09-2020/tata-consultancy-services-ltd/</x:v>
      </x:c>
      <x:c r="F7" t="str">
        <x:v>MF+insurance+banks (2.84+4.96+0.01); excludes other categories</x:v>
      </x:c>
      <x:c r="G7" s="20" t="str">
        <x:v>Constituent sum</x:v>
      </x:c>
    </x:row>
    <x:row r="8">
      <x:c r="A8" t="str">
        <x:v>2020-12-31</x:v>
      </x:c>
      <x:c r="B8" s="12" t="n">
        <x:v>15.88</x:v>
      </x:c>
      <x:c r="C8" s="12" t="n">
        <x:v>7.65</x:v>
      </x:c>
      <x:c r="D8" s="10" t="n">
        <x:f>B8-C8</x:f>
        <x:v>8.23</x:v>
      </x:c>
      <x:c r="E8" s="14" t="str">
        <x:v>https://trendlyne.com/equity/share-holding/1372/TCS/Q4-2020/tata-consultancy-services-ltd/</x:v>
      </x:c>
      <x:c r="F8" t="str">
        <x:v>MF+insurance+banks (2.73+4.91+0.01); excludes other categories</x:v>
      </x:c>
      <x:c r="G8" s="20" t="str">
        <x:v>Constituent sum</x:v>
      </x:c>
    </x:row>
    <x:row r="9">
      <x:c r="A9" t="str">
        <x:v>2021-03-31</x:v>
      </x:c>
      <x:c r="B9" s="12" t="n">
        <x:v>15.62</x:v>
      </x:c>
      <x:c r="C9" s="12" t="n">
        <x:v>7.83</x:v>
      </x:c>
      <x:c r="D9" s="10" t="n">
        <x:f>B9-C9</x:f>
        <x:v>7.789999999999999</x:v>
      </x:c>
      <x:c r="E9" s="14" t="str">
        <x:v>https://www.screener.in/company/TCS/consolidated/</x:v>
      </x:c>
      <x:c r="F9" t="str">
        <x:v>Screener annual anchor</x:v>
      </x:c>
      <x:c r="G9" t="str">
        <x:v>Screener series</x:v>
      </x:c>
    </x:row>
    <x:row r="10">
      <x:c r="A10" t="str">
        <x:v>2021-06-30</x:v>
      </x:c>
      <x:c r="B10" s="12" t="n">
        <x:v>15.43</x:v>
      </x:c>
      <x:c r="C10" s="12" t="n">
        <x:v>8.01</x:v>
      </x:c>
      <x:c r="D10" s="10" t="n">
        <x:f>B10-C10</x:f>
        <x:v>7.42</x:v>
      </x:c>
      <x:c r="E10" s="14" t="str">
        <x:v>https://uat.sharescart.com/company/tcs/</x:v>
      </x:c>
      <x:c r="F10" t="str">
        <x:v>Sharescart historical classification; not reconciled to filings</x:v>
      </x:c>
      <x:c r="G10" s="20" t="str">
        <x:v>Alternate provider</x:v>
      </x:c>
    </x:row>
    <x:row r="11">
      <x:c r="A11" t="str">
        <x:v>2021-09-30</x:v>
      </x:c>
      <x:c r="B11" s="12" t="n">
        <x:v>15.37</x:v>
      </x:c>
      <x:c r="C11" s="12" t="n">
        <x:v>7.94</x:v>
      </x:c>
      <x:c r="D11" s="10" t="n">
        <x:f>B11-C11</x:f>
        <x:v>7.429999999999999</x:v>
      </x:c>
      <x:c r="E11" s="14" t="str">
        <x:v>https://uat.sharescart.com/company/tcs/</x:v>
      </x:c>
      <x:c r="F11" t="str">
        <x:v>Sharescart historical classification; not reconciled to filings</x:v>
      </x:c>
      <x:c r="G11" s="20" t="str">
        <x:v>Alternate provider</x:v>
      </x:c>
    </x:row>
    <x:row r="12">
      <x:c r="A12" t="str">
        <x:v>2021-12-31</x:v>
      </x:c>
      <x:c r="B12" s="12" t="n">
        <x:v>14.98</x:v>
      </x:c>
      <x:c r="C12" s="12" t="n">
        <x:v>7.97</x:v>
      </x:c>
      <x:c r="D12" s="10" t="n">
        <x:f>B12-C12</x:f>
        <x:v>7.010000000000001</x:v>
      </x:c>
      <x:c r="E12" s="14" t="str">
        <x:v>https://uat.sharescart.com/company/tcs/</x:v>
      </x:c>
      <x:c r="F12" t="str">
        <x:v>Sharescart historical classification; not reconciled to filings</x:v>
      </x:c>
      <x:c r="G12" s="20" t="str">
        <x:v>Alternate provider</x:v>
      </x:c>
    </x:row>
    <x:row r="13">
      <x:c r="A13" t="str">
        <x:v>2022-03-31</x:v>
      </x:c>
      <x:c r="B13" s="12" t="n">
        <x:v>14.15</x:v>
      </x:c>
      <x:c r="C13" s="12" t="n">
        <x:v>7.81</x:v>
      </x:c>
      <x:c r="D13" s="10" t="n">
        <x:f>B13-C13</x:f>
        <x:v>6.340000000000001</x:v>
      </x:c>
      <x:c r="E13" s="14" t="str">
        <x:v>https://www.screener.in/company/TCS/consolidated/</x:v>
      </x:c>
      <x:c r="F13" t="str">
        <x:v>Screener annual anchor; alternative provider DII 7.85</x:v>
      </x:c>
      <x:c r="G13" s="20" t="str">
        <x:v>Screener series</x:v>
      </x:c>
    </x:row>
    <x:row r="14">
      <x:c r="A14" t="str">
        <x:v>2022-06-30</x:v>
      </x:c>
      <x:c r="B14" s="12" t="n">
        <x:v>13.5</x:v>
      </x:c>
      <x:c r="C14" s="12" t="n">
        <x:v>8.4</x:v>
      </x:c>
      <x:c r="D14" s="10" t="n">
        <x:f>B14-C14</x:f>
        <x:v>5.1</x:v>
      </x:c>
      <x:c r="E14" s="14" t="str">
        <x:v>https://uat.sharescart.com/company/tcs/</x:v>
      </x:c>
      <x:c r="F14" t="str">
        <x:v>Sharescart historical classification</x:v>
      </x:c>
      <x:c r="G14" s="20" t="str">
        <x:v>Alternate provider</x:v>
      </x:c>
    </x:row>
    <x:row r="15">
      <x:c r="A15" t="str">
        <x:v>2022-09-30</x:v>
      </x:c>
      <x:c r="B15" s="12" t="n">
        <x:v>13.05</x:v>
      </x:c>
      <x:c r="C15" s="12" t="n">
        <x:v>8.58</x:v>
      </x:c>
      <x:c r="D15" s="10" t="n">
        <x:f>B15-C15</x:f>
        <x:v>4.470000000000001</x:v>
      </x:c>
      <x:c r="E15" s="14" t="str">
        <x:v>https://uat.sharescart.com/company/tcs/</x:v>
      </x:c>
      <x:c r="F15" t="str">
        <x:v>XBRL taxonomy change; Sharescart definition</x:v>
      </x:c>
      <x:c r="G15" s="20" t="str">
        <x:v>Alternate provider</x:v>
      </x:c>
    </x:row>
    <x:row r="16">
      <x:c r="A16" t="str">
        <x:v>2022-12-31</x:v>
      </x:c>
      <x:c r="B16" s="12" t="n">
        <x:v>12.94</x:v>
      </x:c>
      <x:c r="C16" s="12" t="n">
        <x:v>9.31</x:v>
      </x:c>
      <x:c r="D16" s="10" t="n">
        <x:f>B16-C16</x:f>
        <x:v>3.629999999999999</x:v>
      </x:c>
      <x:c r="E16" s="14" t="str">
        <x:v>https://uat.sharescart.com/company/tcs/</x:v>
      </x:c>
      <x:c r="F16" t="str">
        <x:v>Sharescart historical classification</x:v>
      </x:c>
      <x:c r="G16" s="20" t="str">
        <x:v>Alternate provider</x:v>
      </x:c>
    </x:row>
    <x:row r="17">
      <x:c r="A17" t="str">
        <x:v>2023-03-31</x:v>
      </x:c>
      <x:c r="B17" s="12" t="n">
        <x:v>12.72</x:v>
      </x:c>
      <x:c r="C17" s="12" t="n">
        <x:v>9.58</x:v>
      </x:c>
      <x:c r="D17" s="10" t="n">
        <x:f>B17-C17</x:f>
        <x:v>3.1400000000000006</x:v>
      </x:c>
      <x:c r="E17" s="14" t="str">
        <x:v>https://www.screener.in/company/TCS/consolidated/</x:v>
      </x:c>
      <x:c r="F17" t="str">
        <x:v>Screener annual anchor; Sharescart DII 9.63</x:v>
      </x:c>
      <x:c r="G17" s="20" t="str">
        <x:v>Screener series</x:v>
      </x:c>
    </x:row>
    <x:row r="18">
      <x:c r="A18" t="str">
        <x:v>2023-06-30</x:v>
      </x:c>
      <x:c r="B18" s="12" t="n">
        <x:v>12.46</x:v>
      </x:c>
      <x:c r="C18" s="12" t="n">
        <x:v>9.86</x:v>
      </x:c>
      <x:c r="D18" s="10" t="n">
        <x:f>B18-C18</x:f>
        <x:v>2.6000000000000014</x:v>
      </x:c>
      <x:c r="E18" s="14" t="str">
        <x:v>https://uat.sharescart.com/company/tcs/</x:v>
      </x:c>
      <x:c r="F18" t="str">
        <x:v>Sharescart historical classification; Screener historic quarter not visible</x:v>
      </x:c>
      <x:c r="G18" s="20" t="str">
        <x:v>Alternate provider</x:v>
      </x:c>
    </x:row>
    <x:row r="19">
      <x:c r="A19" t="str">
        <x:v>2023-09-30</x:v>
      </x:c>
      <x:c r="B19" s="12" t="n">
        <x:v>12.47</x:v>
      </x:c>
      <x:c r="C19" s="12" t="n">
        <x:v>10.06</x:v>
      </x:c>
      <x:c r="D19" s="10" t="n">
        <x:f>B19-C19</x:f>
        <x:v>2.41</x:v>
      </x:c>
      <x:c r="E19" s="14" t="str">
        <x:v>https://uat.sharescart.com/company/tcs/</x:v>
      </x:c>
      <x:c r="F19" t="str">
        <x:v>Sharescart historical classification; differs from other aggregators</x:v>
      </x:c>
      <x:c r="G19" s="20" t="str">
        <x:v>Alternate provider</x:v>
      </x:c>
    </x:row>
    <x:row r="20">
      <x:c r="A20" t="str">
        <x:v>2023-12-31</x:v>
      </x:c>
      <x:c r="B20" s="12" t="n">
        <x:v>12.46</x:v>
      </x:c>
      <x:c r="C20" s="18" t="n">
        <x:v>10.03</x:v>
      </x:c>
      <x:c r="D20" s="10" t="n">
        <x:f>B20-C20</x:f>
        <x:v>2.4300000000000015</x:v>
      </x:c>
      <x:c r="E20" s="14" t="str">
        <x:v>https://www.screener.in/company/TCS/consolidated/</x:v>
      </x:c>
      <x:c r="F20" t="str">
        <x:v>Screener broad DII; other sources report 9.48</x:v>
      </x:c>
      <x:c r="G20" t="str">
        <x:v>Screener series</x:v>
      </x:c>
    </x:row>
    <x:row r="21">
      <x:c r="A21" t="str">
        <x:v>2024-03-31</x:v>
      </x:c>
      <x:c r="B21" s="12" t="n">
        <x:v>12.7</x:v>
      </x:c>
      <x:c r="C21" s="12" t="n">
        <x:v>10.61</x:v>
      </x:c>
      <x:c r="D21" s="10" t="n">
        <x:f>B21-C21</x:f>
        <x:v>2.09</x:v>
      </x:c>
      <x:c r="E21" s="14" t="str">
        <x:v>https://www.screener.in/company/TCS/consolidated/</x:v>
      </x:c>
      <x:c r="F21" t="str">
        <x:v>Screener</x:v>
      </x:c>
      <x:c r="G21" t="str">
        <x:v>Screener series</x:v>
      </x:c>
    </x:row>
    <x:row r="22">
      <x:c r="A22" t="str">
        <x:v>2024-06-30</x:v>
      </x:c>
      <x:c r="B22" s="12" t="n">
        <x:v>12.35</x:v>
      </x:c>
      <x:c r="C22" s="12" t="n">
        <x:v>11</x:v>
      </x:c>
      <x:c r="D22" s="10" t="n">
        <x:f>B22-C22</x:f>
        <x:v>1.3499999999999996</x:v>
      </x:c>
      <x:c r="E22" s="14" t="str">
        <x:v>https://www.screener.in/company/TCS/consolidated/</x:v>
      </x:c>
      <x:c r="F22" t="str">
        <x:v>Screener</x:v>
      </x:c>
      <x:c r="G22" t="str">
        <x:v>Screener series</x:v>
      </x:c>
    </x:row>
    <x:row r="23">
      <x:c r="A23" t="str">
        <x:v>2024-09-30</x:v>
      </x:c>
      <x:c r="B23" s="12" t="n">
        <x:v>12.66</x:v>
      </x:c>
      <x:c r="C23" s="12" t="n">
        <x:v>10.86</x:v>
      </x:c>
      <x:c r="D23" s="10" t="n">
        <x:f>B23-C23</x:f>
        <x:v>1.8000000000000007</x:v>
      </x:c>
      <x:c r="E23" s="14" t="str">
        <x:v>https://www.screener.in/company/TCS/consolidated/</x:v>
      </x:c>
      <x:c r="F23" t="str">
        <x:v>Screener</x:v>
      </x:c>
      <x:c r="G23" t="str">
        <x:v>Screener series</x:v>
      </x:c>
    </x:row>
    <x:row r="24">
      <x:c r="A24" t="str">
        <x:v>2024-12-31</x:v>
      </x:c>
      <x:c r="B24" s="12" t="n">
        <x:v>12.68</x:v>
      </x:c>
      <x:c r="C24" s="12" t="n">
        <x:v>10.86</x:v>
      </x:c>
      <x:c r="D24" s="10" t="n">
        <x:f>B24-C24</x:f>
        <x:v>1.8200000000000003</x:v>
      </x:c>
      <x:c r="E24" s="14" t="str">
        <x:v>https://www.screener.in/company/TCS/consolidated/</x:v>
      </x:c>
      <x:c r="F24" t="str">
        <x:v>Screener</x:v>
      </x:c>
      <x:c r="G24" t="str">
        <x:v>Screener series</x:v>
      </x:c>
    </x:row>
    <x:row r="25">
      <x:c r="A25" t="str">
        <x:v>2025-03-31</x:v>
      </x:c>
      <x:c r="B25" s="12" t="n">
        <x:v>12.04</x:v>
      </x:c>
      <x:c r="C25" s="12" t="n">
        <x:v>11.49</x:v>
      </x:c>
      <x:c r="D25" s="10" t="n">
        <x:f>B25-C25</x:f>
        <x:v>0.5499999999999989</x:v>
      </x:c>
      <x:c r="E25" s="14" t="str">
        <x:v>https://www.screener.in/company/TCS/consolidated/</x:v>
      </x:c>
      <x:c r="F25" t="str">
        <x:v>Screener</x:v>
      </x:c>
      <x:c r="G25" t="str">
        <x:v>Screener series</x:v>
      </x:c>
    </x:row>
    <x:row r="26">
      <x:c r="A26" t="str">
        <x:v>2025-06-30</x:v>
      </x:c>
      <x:c r="B26" s="12" t="n">
        <x:v>11.48</x:v>
      </x:c>
      <x:c r="C26" s="12" t="n">
        <x:v>11.95</x:v>
      </x:c>
      <x:c r="D26" s="10" t="n">
        <x:f>B26-C26</x:f>
        <x:v>-0.46999999999999886</x:v>
      </x:c>
      <x:c r="E26" s="14" t="str">
        <x:v>https://www.screener.in/company/TCS/consolidated/</x:v>
      </x:c>
      <x:c r="F26" t="str">
        <x:v>Screener</x:v>
      </x:c>
      <x:c r="G26" t="str">
        <x:v>Screener series</x:v>
      </x:c>
    </x:row>
    <x:row r="27">
      <x:c r="A27" t="str">
        <x:v>2025-09-30</x:v>
      </x:c>
      <x:c r="B27" s="12" t="n">
        <x:v>10.33</x:v>
      </x:c>
      <x:c r="C27" s="12" t="n">
        <x:v>12.64</x:v>
      </x:c>
      <x:c r="D27" s="10" t="n">
        <x:f>B27-C27</x:f>
        <x:v>-2.3100000000000005</x:v>
      </x:c>
      <x:c r="E27" s="14" t="str">
        <x:v>https://www.screener.in/company/TCS/consolidated/</x:v>
      </x:c>
      <x:c r="F27" t="str">
        <x:v>Screener</x:v>
      </x:c>
      <x:c r="G27" t="str">
        <x:v>Screener series</x:v>
      </x:c>
    </x:row>
    <x:row r="28">
      <x:c r="A28" t="str">
        <x:v>2025-12-31</x:v>
      </x:c>
      <x:c r="B28" s="12" t="n">
        <x:v>10.37</x:v>
      </x:c>
      <x:c r="C28" s="12" t="n">
        <x:v>12.81</x:v>
      </x:c>
      <x:c r="D28" s="10" t="n">
        <x:f>B28-C28</x:f>
        <x:v>-2.4400000000000013</x:v>
      </x:c>
      <x:c r="E28" s="14" t="str">
        <x:v>https://www.screener.in/company/TCS/consolidated/</x:v>
      </x:c>
      <x:c r="F28" t="str">
        <x:v>Screener</x:v>
      </x:c>
      <x:c r="G28" t="str">
        <x:v>Screener series</x:v>
      </x:c>
    </x:row>
    <x:row r="29">
      <x:c r="A29" t="str">
        <x:v>2026-03-31</x:v>
      </x:c>
      <x:c r="B29" s="12" t="n">
        <x:v>9.66</x:v>
      </x:c>
      <x:c r="C29" s="12" t="n">
        <x:v>13.34</x:v>
      </x:c>
      <x:c r="D29" s="10" t="n">
        <x:f>B29-C29</x:f>
        <x:v>-3.6799999999999997</x:v>
      </x:c>
      <x:c r="E29" s="14" t="str">
        <x:v>https://www.screener.in/company/TCS/consolidated/</x:v>
      </x:c>
      <x:c r="F29" t="str">
        <x:v>Screener</x:v>
      </x:c>
      <x:c r="G29" t="str">
        <x:v>Screener series</x:v>
      </x:c>
    </x:row>
    <x:row r="30">
      <x:c r="A30" t="str">
        <x:v>2026-06-30</x:v>
      </x:c>
      <x:c r="B30" s="12" t="n">
        <x:v>9.07</x:v>
      </x:c>
      <x:c r="C30" s="12" t="n">
        <x:v>13.41</x:v>
      </x:c>
      <x:c r="D30" s="10" t="n">
        <x:f>B30-C30</x:f>
        <x:v>-4.34</x:v>
      </x:c>
      <x:c r="E30" s="14" t="str">
        <x:v>https://www.screener.in/company/TCS/consolidated/</x:v>
      </x:c>
      <x:c r="F30" t="str">
        <x:v>Screener</x:v>
      </x:c>
      <x:c r="G30" t="str">
        <x:v>Screener series</x:v>
      </x:c>
    </x:row>
    <x:row r="31">
      <x:c r="A31" t="str">
        <x:v>2026-09-30</x:v>
      </x:c>
      <x:c r="B31" s="12" t="n">
        <x:v>9.01</x:v>
      </x:c>
      <x:c r="C31" s="12" t="n">
        <x:v>13.57</x:v>
      </x:c>
      <x:c r="D31" s="10" t="n">
        <x:f>B31-C31</x:f>
        <x:v>-4.5600000000000005</x:v>
      </x:c>
      <x:c r="E31" s="14" t="str">
        <x:v>https://www.screener.in/company/TCS/consolidated/</x:v>
      </x:c>
      <x:c r="F31" t="str">
        <x:v>Screener</x:v>
      </x:c>
      <x:c r="G31" t="str">
        <x:v>Screener series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2" hidden="0" customWidth="1"/>
  </x:cols>
  <x:sheetData>
    <x:row r="1" ht="30" customHeight="1">
      <x:c r="A1" s="22" t="str">
        <x:v>METHODOLOGY &amp; QA WARNINGS</x:v>
      </x:c>
    </x:row>
    <x:row r="3">
      <x:c r="A3" s="24" t="str">
        <x:v>Purpose</x:v>
      </x:c>
      <x:c r="B3" s="26" t="str">
        <x:v>TCS quarter-end institutional ownership for research charting; NOT fund flows.</x:v>
      </x:c>
    </x:row>
    <x:row r="4">
      <x:c r="A4" s="24" t="str">
        <x:v>Period</x:v>
      </x:c>
      <x:c r="B4" s="26" t="str">
        <x:v>Mar 2020–Sep 2026, 27 quarterly observations.</x:v>
      </x:c>
    </x:row>
    <x:row r="5">
      <x:c r="A5" s="24" t="str">
        <x:v>FII/FPI</x:v>
      </x:c>
      <x:c r="B5" s="26" t="str">
        <x:v>Foreign institutional / portfolio investor ownership as reported by the listed source.</x:v>
      </x:c>
    </x:row>
    <x:row r="6">
      <x:c r="A6" s="24" t="str">
        <x:v>DII</x:v>
      </x:c>
      <x:c r="B6" s="26" t="str">
        <x:v>Domestic institutional ownership. Vendor classification can differ, especially banks/other institutions.</x:v>
      </x:c>
    </x:row>
    <x:row r="7">
      <x:c r="A7" s="24" t="str">
        <x:v>Primary source</x:v>
      </x:c>
      <x:c r="B7" s="26" t="str">
        <x:v>https://www.screener.in/company/TCS/consolidated/</x:v>
      </x:c>
    </x:row>
    <x:row r="8">
      <x:c r="A8" s="24" t="str">
        <x:v>Secondary source</x:v>
      </x:c>
      <x:c r="B8" s="26" t="str">
        <x:v>https://uat.sharescart.com/company/tcs/</x:v>
      </x:c>
    </x:row>
    <x:row r="9">
      <x:c r="A9" s="24" t="str">
        <x:v>2020 constituent source</x:v>
      </x:c>
      <x:c r="B9" s="26" t="str">
        <x:v>https://trendlyne.com/equity/share-holding/1372/TCS/30-06-2020/tata-consultancy-services-ltd/</x:v>
      </x:c>
    </x:row>
    <x:row r="10">
      <x:c r="A10" s="28" t="str">
        <x:v>IMPORTANT</x:v>
      </x:c>
      <x:c r="B10" s="29" t="str">
        <x:v>This is NOT a row-by-row audit of original NSE/BSE XBRL filings. Do not label as filing-verified.</x:v>
      </x:c>
    </x:row>
    <x:row r="11">
      <x:c r="A11" s="24" t="str">
        <x:v>September 2022 breakpoint</x:v>
      </x:c>
      <x:c r="B11" s="26" t="str">
        <x:v>Screener says the new XBRL format from Sep 2022 may change FII/DII classification.</x:v>
      </x:c>
    </x:row>
    <x:row r="12">
      <x:c r="A12" s="24" t="str">
        <x:v>December 2023 discrepancy</x:v>
      </x:c>
      <x:c r="B12" s="26" t="str">
        <x:v>Screener DII 10.03%; another aggregator reports 9.48%. Selected Screener; NOT independently resolved to NSE filing.</x:v>
      </x:c>
    </x:row>
    <x:row r="13">
      <x:c r="A13" s="24" t="str">
        <x:v>2020 DII</x:v>
      </x:c>
      <x:c r="B13" s="26" t="str">
        <x:v>Jun/Sep/Dec values sum MF+insurance+financial institutions from Trendlyne; these may omit other domestic institutional categories.</x:v>
      </x:c>
    </x:row>
    <x:row r="14">
      <x:c r="A14" s="24" t="str">
        <x:v>2021–2023 DII</x:v>
      </x:c>
      <x:c r="B14" s="26" t="str">
        <x:v>Secondary source used where Screener latest quarterly table does not expose historical quarterly series; definition not fully aligned.</x:v>
      </x:c>
    </x:row>
    <x:row r="15">
      <x:c r="A15" s="24" t="str">
        <x:v>Numbers</x:v>
      </x:c>
      <x:c r="B15" s="26" t="str">
        <x:v>Percent points represented as numbers e.g. 10.03 = 10.03%, not 0.1003. Chart axis must be labeled %.</x:v>
      </x:c>
    </x:row>
    <x:row r="16">
      <x:c r="A16" s="24" t="str">
        <x:v>Recommendation</x:v>
      </x:c>
      <x:c r="B16" s="26" t="str">
        <x:v>For publication-grade comparison, reconcile every quarter to NSE or BSE shareholding disclosures and lock one taxonomy.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76" hidden="0" customWidth="1"/>
    <x:col min="15" max="15" width="62" hidden="0" customWidth="1"/>
  </x:cols>
  <x:sheetData>
    <x:row r="1" ht="36" customHeight="1">
      <x:c r="A1" s="32" t="str">
        <x:v>TCS | QUARTERLY OWNERSHIP BY SHAREHOLDER CATEGORY | MAR 2020 – SEP 2026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</x:row>
    <x:row r="2" ht="26" customHeight="1">
      <x:c r="A2" s="34" t="str">
        <x:v>% of outstanding equity | Blank = not independently substantiated | Source definitions may vary before Sep 2022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</x:row>
    <x:row r="4" ht="44" customHeight="1">
      <x:c r="A4" s="37" t="str">
        <x:v>Quarter ended</x:v>
      </x:c>
      <x:c r="B4" s="37" t="str">
        <x:v>Promoter &amp; promoter group %</x:v>
      </x:c>
      <x:c r="C4" s="37" t="str">
        <x:v>FII / FPI %</x:v>
      </x:c>
      <x:c r="D4" s="37" t="str">
        <x:v>DII %</x:v>
      </x:c>
      <x:c r="E4" s="37" t="str">
        <x:v>Government %</x:v>
      </x:c>
      <x:c r="F4" s="37" t="str">
        <x:v>Public / others %</x:v>
      </x:c>
      <x:c r="G4" s="37" t="str">
        <x:v>Total %</x:v>
      </x:c>
      <x:c r="H4" s="37" t="str">
        <x:v>Difference from 100 (pp)</x:v>
      </x:c>
      <x:c r="I4" s="37" t="str">
        <x:v>Mutual funds % (within DII)</x:v>
      </x:c>
      <x:c r="J4" s="37" t="str">
        <x:v>Insurance % (within DII)</x:v>
      </x:c>
      <x:c r="K4" s="37" t="str">
        <x:v>Other DII % (within DII)</x:v>
      </x:c>
      <x:c r="L4" s="37" t="str">
        <x:v>Resident individuals &lt;= ₹2L %</x:v>
      </x:c>
      <x:c r="M4" s="37" t="str">
        <x:v>Other public %</x:v>
      </x:c>
      <x:c r="N4" s="37" t="str">
        <x:v>Verification / comparability</x:v>
      </x:c>
      <x:c r="O4" s="37" t="str">
        <x:v>Primary source URL</x:v>
      </x:c>
    </x:row>
    <x:row r="5">
      <x:c r="A5" t="str">
        <x:v>2020-03-31</x:v>
      </x:c>
      <x:c r="B5" s="38" t="n">
        <x:v>72.05</x:v>
      </x:c>
      <x:c r="C5" s="38" t="n">
        <x:v>15.74</x:v>
      </x:c>
      <x:c r="D5" s="38" t="n">
        <x:v>8</x:v>
      </x:c>
      <x:c r="E5" s="38" t="n">
        <x:v>0.06</x:v>
      </x:c>
      <x:c r="F5" s="38" t="n">
        <x:v>4.14</x:v>
      </x:c>
      <x:c r="G5" s="38" t="n">
        <x:f>IF(COUNT(B5:F5)=5,SUM(B5:F5),"")</x:f>
        <x:v>99.99</x:v>
      </x:c>
      <x:c r="H5" s="38" t="n">
        <x:f>IF(G5="","",ROUND(G5-100,2))</x:f>
        <x:v>-0.01</x:v>
      </x:c>
      <x:c r="I5" s="38"/>
      <x:c r="J5" s="38"/>
      <x:c r="K5" s="38"/>
      <x:c r="L5" s="38"/>
      <x:c r="M5" s="38"/>
      <x:c r="N5" s="39" t="str">
        <x:v>March category anchors: Screener; FII/DII from original workbook; classification caution</x:v>
      </x:c>
      <x:c r="O5" t="str">
        <x:v>https://www.screener.in/company/TCS/</x:v>
      </x:c>
    </x:row>
    <x:row r="6">
      <x:c r="A6" t="str">
        <x:v>2020-06-30</x:v>
      </x:c>
      <x:c r="B6" s="38"/>
      <x:c r="C6" s="38" t="n">
        <x:v>15.85</x:v>
      </x:c>
      <x:c r="D6" s="38" t="n">
        <x:v>7.97</x:v>
      </x:c>
      <x:c r="E6" s="38"/>
      <x:c r="F6" s="38"/>
      <x:c r="G6" s="38" t="str">
        <x:f>IF(COUNT(B6:F6)=5,SUM(B6:F6),"")</x:f>
      </x:c>
      <x:c r="H6" s="38" t="str">
        <x:f>IF(G6="","",ROUND(G6-100,2))</x:f>
      </x:c>
      <x:c r="I6" s="38"/>
      <x:c r="J6" s="38"/>
      <x:c r="K6" s="38"/>
      <x:c r="L6" s="38"/>
      <x:c r="M6" s="38"/>
      <x:c r="N6" s="39" t="str">
        <x:v>INCOMPLETE: promoter/government/public not verified; original FII/DII retained (Constituent sum)</x:v>
      </x:c>
      <x:c r="O6" t="str">
        <x:v>https://trendlyne.com/equity/share-holding/1372/TCS/30-06-2020/tata-consultancy-services-ltd/</x:v>
      </x:c>
    </x:row>
    <x:row r="7">
      <x:c r="A7" t="str">
        <x:v>2020-09-30</x:v>
      </x:c>
      <x:c r="B7" s="38"/>
      <x:c r="C7" s="38" t="n">
        <x:v>16</x:v>
      </x:c>
      <x:c r="D7" s="38" t="n">
        <x:v>7.81</x:v>
      </x:c>
      <x:c r="E7" s="38"/>
      <x:c r="F7" s="38"/>
      <x:c r="G7" s="38" t="str">
        <x:f>IF(COUNT(B7:F7)=5,SUM(B7:F7),"")</x:f>
      </x:c>
      <x:c r="H7" s="38" t="str">
        <x:f>IF(G7="","",ROUND(G7-100,2))</x:f>
      </x:c>
      <x:c r="I7" s="38"/>
      <x:c r="J7" s="38"/>
      <x:c r="K7" s="38"/>
      <x:c r="L7" s="38"/>
      <x:c r="M7" s="38"/>
      <x:c r="N7" s="39" t="str">
        <x:v>INCOMPLETE: promoter/government/public not verified; original FII/DII retained (Constituent sum)</x:v>
      </x:c>
      <x:c r="O7" t="str">
        <x:v>https://trendlyne.com/equity/share-holding/1372/TCS/30-09-2020/tata-consultancy-services-ltd/</x:v>
      </x:c>
    </x:row>
    <x:row r="8">
      <x:c r="A8" t="str">
        <x:v>2020-12-31</x:v>
      </x:c>
      <x:c r="B8" s="38"/>
      <x:c r="C8" s="38" t="n">
        <x:v>15.88</x:v>
      </x:c>
      <x:c r="D8" s="38" t="n">
        <x:v>7.65</x:v>
      </x:c>
      <x:c r="E8" s="38"/>
      <x:c r="F8" s="38"/>
      <x:c r="G8" s="38" t="str">
        <x:f>IF(COUNT(B8:F8)=5,SUM(B8:F8),"")</x:f>
      </x:c>
      <x:c r="H8" s="38" t="str">
        <x:f>IF(G8="","",ROUND(G8-100,2))</x:f>
      </x:c>
      <x:c r="I8" s="38"/>
      <x:c r="J8" s="38"/>
      <x:c r="K8" s="38"/>
      <x:c r="L8" s="38"/>
      <x:c r="M8" s="38"/>
      <x:c r="N8" s="39" t="str">
        <x:v>INCOMPLETE: promoter/government/public not verified; original FII/DII retained (Constituent sum)</x:v>
      </x:c>
      <x:c r="O8" t="str">
        <x:v>https://trendlyne.com/equity/share-holding/1372/TCS/Q4-2020/tata-consultancy-services-ltd/</x:v>
      </x:c>
    </x:row>
    <x:row r="9">
      <x:c r="A9" t="str">
        <x:v>2021-03-31</x:v>
      </x:c>
      <x:c r="B9" s="38" t="n">
        <x:v>72.19</x:v>
      </x:c>
      <x:c r="C9" s="38" t="n">
        <x:v>15.62</x:v>
      </x:c>
      <x:c r="D9" s="38" t="n">
        <x:v>7.83</x:v>
      </x:c>
      <x:c r="E9" s="38" t="n">
        <x:v>0.06</x:v>
      </x:c>
      <x:c r="F9" s="38" t="n">
        <x:v>4.31</x:v>
      </x:c>
      <x:c r="G9" s="38" t="n">
        <x:f>IF(COUNT(B9:F9)=5,SUM(B9:F9),"")</x:f>
        <x:v>100.01</x:v>
      </x:c>
      <x:c r="H9" s="38" t="n">
        <x:f>IF(G9="","",ROUND(G9-100,2))</x:f>
        <x:v>0.01</x:v>
      </x:c>
      <x:c r="I9" s="38"/>
      <x:c r="J9" s="38"/>
      <x:c r="K9" s="38"/>
      <x:c r="L9" s="38"/>
      <x:c r="M9" s="38"/>
      <x:c r="N9" s="39" t="str">
        <x:v>March category anchors: Screener; FII/DII from original workbook; classification caution</x:v>
      </x:c>
      <x:c r="O9" t="str">
        <x:v>https://www.screener.in/company/TCS/</x:v>
      </x:c>
    </x:row>
    <x:row r="10">
      <x:c r="A10" t="str">
        <x:v>2021-06-30</x:v>
      </x:c>
      <x:c r="B10" s="38"/>
      <x:c r="C10" s="38" t="n">
        <x:v>15.43</x:v>
      </x:c>
      <x:c r="D10" s="38" t="n">
        <x:v>8.01</x:v>
      </x:c>
      <x:c r="E10" s="38"/>
      <x:c r="F10" s="38"/>
      <x:c r="G10" s="38" t="str">
        <x:f>IF(COUNT(B10:F10)=5,SUM(B10:F10),"")</x:f>
      </x:c>
      <x:c r="H10" s="38" t="str">
        <x:f>IF(G10="","",ROUND(G10-100,2))</x:f>
      </x:c>
      <x:c r="I10" s="38"/>
      <x:c r="J10" s="38"/>
      <x:c r="K10" s="38"/>
      <x:c r="L10" s="38"/>
      <x:c r="M10" s="38"/>
      <x:c r="N10" s="39" t="str">
        <x:v>INCOMPLETE: promoter/government/public not verified; original FII/DII retained (Alternate provider)</x:v>
      </x:c>
      <x:c r="O10" t="str">
        <x:v>https://uat.sharescart.com/company/tcs/</x:v>
      </x:c>
    </x:row>
    <x:row r="11">
      <x:c r="A11" t="str">
        <x:v>2021-09-30</x:v>
      </x:c>
      <x:c r="B11" s="38"/>
      <x:c r="C11" s="38" t="n">
        <x:v>15.37</x:v>
      </x:c>
      <x:c r="D11" s="38" t="n">
        <x:v>7.94</x:v>
      </x:c>
      <x:c r="E11" s="38"/>
      <x:c r="F11" s="38"/>
      <x:c r="G11" s="38" t="str">
        <x:f>IF(COUNT(B11:F11)=5,SUM(B11:F11),"")</x:f>
      </x:c>
      <x:c r="H11" s="38" t="str">
        <x:f>IF(G11="","",ROUND(G11-100,2))</x:f>
      </x:c>
      <x:c r="I11" s="38"/>
      <x:c r="J11" s="38"/>
      <x:c r="K11" s="38"/>
      <x:c r="L11" s="38"/>
      <x:c r="M11" s="38"/>
      <x:c r="N11" s="39" t="str">
        <x:v>INCOMPLETE: promoter/government/public not verified; original FII/DII retained (Alternate provider)</x:v>
      </x:c>
      <x:c r="O11" t="str">
        <x:v>https://uat.sharescart.com/company/tcs/</x:v>
      </x:c>
    </x:row>
    <x:row r="12">
      <x:c r="A12" t="str">
        <x:v>2021-12-31</x:v>
      </x:c>
      <x:c r="B12" s="38"/>
      <x:c r="C12" s="38" t="n">
        <x:v>14.98</x:v>
      </x:c>
      <x:c r="D12" s="38" t="n">
        <x:v>7.97</x:v>
      </x:c>
      <x:c r="E12" s="38"/>
      <x:c r="F12" s="38"/>
      <x:c r="G12" s="38" t="str">
        <x:f>IF(COUNT(B12:F12)=5,SUM(B12:F12),"")</x:f>
      </x:c>
      <x:c r="H12" s="38" t="str">
        <x:f>IF(G12="","",ROUND(G12-100,2))</x:f>
      </x:c>
      <x:c r="I12" s="38"/>
      <x:c r="J12" s="38"/>
      <x:c r="K12" s="38"/>
      <x:c r="L12" s="38"/>
      <x:c r="M12" s="38"/>
      <x:c r="N12" s="39" t="str">
        <x:v>INCOMPLETE: promoter/government/public not verified; original FII/DII retained (Alternate provider)</x:v>
      </x:c>
      <x:c r="O12" t="str">
        <x:v>https://uat.sharescart.com/company/tcs/</x:v>
      </x:c>
    </x:row>
    <x:row r="13">
      <x:c r="A13" t="str">
        <x:v>2022-03-31</x:v>
      </x:c>
      <x:c r="B13" s="38" t="n">
        <x:v>72.3</x:v>
      </x:c>
      <x:c r="C13" s="38" t="n">
        <x:v>14.15</x:v>
      </x:c>
      <x:c r="D13" s="38" t="n">
        <x:v>7.81</x:v>
      </x:c>
      <x:c r="E13" s="38" t="n">
        <x:v>0.04</x:v>
      </x:c>
      <x:c r="F13" s="38" t="n">
        <x:v>5.7</x:v>
      </x:c>
      <x:c r="G13" s="38" t="n">
        <x:f>IF(COUNT(B13:F13)=5,SUM(B13:F13),"")</x:f>
        <x:v>100.00000000000001</x:v>
      </x:c>
      <x:c r="H13" s="38" t="n">
        <x:f>IF(G13="","",ROUND(G13-100,2))</x:f>
        <x:v>0</x:v>
      </x:c>
      <x:c r="I13" s="38"/>
      <x:c r="J13" s="38"/>
      <x:c r="K13" s="38"/>
      <x:c r="L13" s="38"/>
      <x:c r="M13" s="38"/>
      <x:c r="N13" s="39" t="str">
        <x:v>March category anchors: Screener; FII/DII from original workbook; classification caution</x:v>
      </x:c>
      <x:c r="O13" t="str">
        <x:v>https://www.screener.in/company/TCS/</x:v>
      </x:c>
    </x:row>
    <x:row r="14">
      <x:c r="A14" t="str">
        <x:v>2022-06-30</x:v>
      </x:c>
      <x:c r="B14" s="38"/>
      <x:c r="C14" s="38" t="n">
        <x:v>13.5</x:v>
      </x:c>
      <x:c r="D14" s="38" t="n">
        <x:v>8.4</x:v>
      </x:c>
      <x:c r="E14" s="38"/>
      <x:c r="F14" s="38"/>
      <x:c r="G14" s="38" t="str">
        <x:f>IF(COUNT(B14:F14)=5,SUM(B14:F14),"")</x:f>
      </x:c>
      <x:c r="H14" s="38" t="str">
        <x:f>IF(G14="","",ROUND(G14-100,2))</x:f>
      </x:c>
      <x:c r="I14" s="38"/>
      <x:c r="J14" s="38"/>
      <x:c r="K14" s="38"/>
      <x:c r="L14" s="38"/>
      <x:c r="M14" s="38"/>
      <x:c r="N14" s="39" t="str">
        <x:v>INCOMPLETE: promoter/government/public not verified; original FII/DII retained (Alternate provider)</x:v>
      </x:c>
      <x:c r="O14" t="str">
        <x:v>https://uat.sharescart.com/company/tcs/</x:v>
      </x:c>
    </x:row>
    <x:row r="15">
      <x:c r="A15" t="str">
        <x:v>2022-09-30</x:v>
      </x:c>
      <x:c r="B15" s="38"/>
      <x:c r="C15" s="38" t="n">
        <x:v>13.05</x:v>
      </x:c>
      <x:c r="D15" s="38" t="n">
        <x:v>8.58</x:v>
      </x:c>
      <x:c r="E15" s="38"/>
      <x:c r="F15" s="38"/>
      <x:c r="G15" s="38" t="str">
        <x:f>IF(COUNT(B15:F15)=5,SUM(B15:F15),"")</x:f>
      </x:c>
      <x:c r="H15" s="38" t="str">
        <x:f>IF(G15="","",ROUND(G15-100,2))</x:f>
      </x:c>
      <x:c r="I15" s="38"/>
      <x:c r="J15" s="38"/>
      <x:c r="K15" s="38"/>
      <x:c r="L15" s="38"/>
      <x:c r="M15" s="38"/>
      <x:c r="N15" s="39" t="str">
        <x:v>INCOMPLETE: promoter/government/public not verified; original FII/DII retained (Alternate provider)</x:v>
      </x:c>
      <x:c r="O15" t="str">
        <x:v>https://uat.sharescart.com/company/tcs/</x:v>
      </x:c>
    </x:row>
    <x:row r="16">
      <x:c r="A16" t="str">
        <x:v>2022-12-31</x:v>
      </x:c>
      <x:c r="B16" s="38"/>
      <x:c r="C16" s="38" t="n">
        <x:v>12.94</x:v>
      </x:c>
      <x:c r="D16" s="38" t="n">
        <x:v>9.31</x:v>
      </x:c>
      <x:c r="E16" s="38"/>
      <x:c r="F16" s="38"/>
      <x:c r="G16" s="38" t="str">
        <x:f>IF(COUNT(B16:F16)=5,SUM(B16:F16),"")</x:f>
      </x:c>
      <x:c r="H16" s="38" t="str">
        <x:f>IF(G16="","",ROUND(G16-100,2))</x:f>
      </x:c>
      <x:c r="I16" s="38"/>
      <x:c r="J16" s="38"/>
      <x:c r="K16" s="38"/>
      <x:c r="L16" s="38"/>
      <x:c r="M16" s="38"/>
      <x:c r="N16" s="39" t="str">
        <x:v>INCOMPLETE: promoter/government/public not verified; original FII/DII retained (Alternate provider)</x:v>
      </x:c>
      <x:c r="O16" t="str">
        <x:v>https://uat.sharescart.com/company/tcs/</x:v>
      </x:c>
    </x:row>
    <x:row r="17">
      <x:c r="A17" t="str">
        <x:v>2023-03-31</x:v>
      </x:c>
      <x:c r="B17" s="38" t="n">
        <x:v>72.3</x:v>
      </x:c>
      <x:c r="C17" s="38" t="n">
        <x:v>12.72</x:v>
      </x:c>
      <x:c r="D17" s="38" t="n">
        <x:v>9.58</x:v>
      </x:c>
      <x:c r="E17" s="38" t="n">
        <x:v>0.05</x:v>
      </x:c>
      <x:c r="F17" s="38" t="n">
        <x:v>5.36</x:v>
      </x:c>
      <x:c r="G17" s="38" t="n">
        <x:f>IF(COUNT(B17:F17)=5,SUM(B17:F17),"")</x:f>
        <x:v>100.00999999999999</x:v>
      </x:c>
      <x:c r="H17" s="38" t="n">
        <x:f>IF(G17="","",ROUND(G17-100,2))</x:f>
        <x:v>0.01</x:v>
      </x:c>
      <x:c r="I17" s="38"/>
      <x:c r="J17" s="38"/>
      <x:c r="K17" s="38"/>
      <x:c r="L17" s="38"/>
      <x:c r="M17" s="38"/>
      <x:c r="N17" s="39" t="str">
        <x:v>March category anchors: Screener; FII/DII from original workbook; classification caution</x:v>
      </x:c>
      <x:c r="O17" t="str">
        <x:v>https://www.screener.in/company/TCS/</x:v>
      </x:c>
    </x:row>
    <x:row r="18">
      <x:c r="A18" t="str">
        <x:v>2023-06-30</x:v>
      </x:c>
      <x:c r="B18" s="38"/>
      <x:c r="C18" s="38" t="n">
        <x:v>12.46</x:v>
      </x:c>
      <x:c r="D18" s="38" t="n">
        <x:v>9.86</x:v>
      </x:c>
      <x:c r="E18" s="38"/>
      <x:c r="F18" s="38"/>
      <x:c r="G18" s="38" t="str">
        <x:f>IF(COUNT(B18:F18)=5,SUM(B18:F18),"")</x:f>
      </x:c>
      <x:c r="H18" s="38" t="str">
        <x:f>IF(G18="","",ROUND(G18-100,2))</x:f>
      </x:c>
      <x:c r="I18" s="38"/>
      <x:c r="J18" s="38"/>
      <x:c r="K18" s="38"/>
      <x:c r="L18" s="38"/>
      <x:c r="M18" s="38"/>
      <x:c r="N18" s="39" t="str">
        <x:v>INCOMPLETE: promoter/government/public not verified; original FII/DII retained (Alternate provider)</x:v>
      </x:c>
      <x:c r="O18" t="str">
        <x:v>https://uat.sharescart.com/company/tcs/</x:v>
      </x:c>
    </x:row>
    <x:row r="19">
      <x:c r="A19" t="str">
        <x:v>2023-09-30</x:v>
      </x:c>
      <x:c r="B19" s="38" t="n">
        <x:v>72.3</x:v>
      </x:c>
      <x:c r="C19" s="38" t="n">
        <x:v>12.47</x:v>
      </x:c>
      <x:c r="D19" s="38" t="n">
        <x:v>10.01</x:v>
      </x:c>
      <x:c r="E19" s="38" t="n">
        <x:v>0.05</x:v>
      </x:c>
      <x:c r="F19" s="38" t="n">
        <x:v>5.17</x:v>
      </x:c>
      <x:c r="G19" s="38" t="n">
        <x:f>IF(COUNT(B19:F19)=5,SUM(B19:F19),"")</x:f>
        <x:v>100</x:v>
      </x:c>
      <x:c r="H19" s="38" t="n">
        <x:f>IF(G19="","",ROUND(G19-100,2))</x:f>
        <x:v>0</x:v>
      </x:c>
      <x:c r="I19" s="38"/>
      <x:c r="J19" s="38"/>
      <x:c r="K19" s="38"/>
      <x:c r="L19" s="38"/>
      <x:c r="M19" s="38"/>
      <x:c r="N19" s="40" t="str">
        <x:v>Screener quarterly categories (not filing-audited)</x:v>
      </x:c>
      <x:c r="O19" t="str">
        <x:v>https://www.screener.in/company/TCS/</x:v>
      </x:c>
    </x:row>
    <x:row r="20">
      <x:c r="A20" t="str">
        <x:v>2023-12-31</x:v>
      </x:c>
      <x:c r="B20" s="38" t="n">
        <x:v>72.41</x:v>
      </x:c>
      <x:c r="C20" s="38" t="n">
        <x:v>12.46</x:v>
      </x:c>
      <x:c r="D20" s="38" t="n">
        <x:v>10.03</x:v>
      </x:c>
      <x:c r="E20" s="38" t="n">
        <x:v>0.05</x:v>
      </x:c>
      <x:c r="F20" s="38" t="n">
        <x:v>5.03</x:v>
      </x:c>
      <x:c r="G20" s="38" t="n">
        <x:f>IF(COUNT(B20:F20)=5,SUM(B20:F20),"")</x:f>
        <x:v>99.98</x:v>
      </x:c>
      <x:c r="H20" s="38" t="n">
        <x:f>IF(G20="","",ROUND(G20-100,2))</x:f>
        <x:v>-0.02</x:v>
      </x:c>
      <x:c r="I20" s="38"/>
      <x:c r="J20" s="38"/>
      <x:c r="K20" s="38"/>
      <x:c r="L20" s="38"/>
      <x:c r="M20" s="38"/>
      <x:c r="N20" s="40" t="str">
        <x:v>Screener quarterly categories (not filing-audited)</x:v>
      </x:c>
      <x:c r="O20" t="str">
        <x:v>https://www.screener.in/company/TCS/</x:v>
      </x:c>
    </x:row>
    <x:row r="21">
      <x:c r="A21" t="str">
        <x:v>2024-03-31</x:v>
      </x:c>
      <x:c r="B21" s="38" t="n">
        <x:v>71.77</x:v>
      </x:c>
      <x:c r="C21" s="38" t="n">
        <x:v>12.7</x:v>
      </x:c>
      <x:c r="D21" s="38" t="n">
        <x:v>10.61</x:v>
      </x:c>
      <x:c r="E21" s="38" t="n">
        <x:v>0.06</x:v>
      </x:c>
      <x:c r="F21" s="38" t="n">
        <x:v>4.86</x:v>
      </x:c>
      <x:c r="G21" s="38" t="n">
        <x:f>IF(COUNT(B21:F21)=5,SUM(B21:F21),"")</x:f>
        <x:v>100</x:v>
      </x:c>
      <x:c r="H21" s="38" t="n">
        <x:f>IF(G21="","",ROUND(G21-100,2))</x:f>
        <x:v>0</x:v>
      </x:c>
      <x:c r="I21" s="38"/>
      <x:c r="J21" s="38"/>
      <x:c r="K21" s="38"/>
      <x:c r="L21" s="38"/>
      <x:c r="M21" s="38"/>
      <x:c r="N21" s="40" t="str">
        <x:v>Screener quarterly categories (not filing-audited)</x:v>
      </x:c>
      <x:c r="O21" t="str">
        <x:v>https://www.screener.in/company/TCS/</x:v>
      </x:c>
    </x:row>
    <x:row r="22">
      <x:c r="A22" t="str">
        <x:v>2024-06-30</x:v>
      </x:c>
      <x:c r="B22" s="38" t="n">
        <x:v>71.77</x:v>
      </x:c>
      <x:c r="C22" s="38" t="n">
        <x:v>12.35</x:v>
      </x:c>
      <x:c r="D22" s="38" t="n">
        <x:v>11</x:v>
      </x:c>
      <x:c r="E22" s="38" t="n">
        <x:v>0.06</x:v>
      </x:c>
      <x:c r="F22" s="38" t="n">
        <x:v>4.82</x:v>
      </x:c>
      <x:c r="G22" s="38" t="n">
        <x:f>IF(COUNT(B22:F22)=5,SUM(B22:F22),"")</x:f>
        <x:v>100</x:v>
      </x:c>
      <x:c r="H22" s="38" t="n">
        <x:f>IF(G22="","",ROUND(G22-100,2))</x:f>
        <x:v>0</x:v>
      </x:c>
      <x:c r="I22" s="38"/>
      <x:c r="J22" s="38"/>
      <x:c r="K22" s="38"/>
      <x:c r="L22" s="38"/>
      <x:c r="M22" s="38"/>
      <x:c r="N22" s="40" t="str">
        <x:v>Screener quarterly categories (not filing-audited)</x:v>
      </x:c>
      <x:c r="O22" t="str">
        <x:v>https://www.screener.in/company/TCS/</x:v>
      </x:c>
    </x:row>
    <x:row r="23">
      <x:c r="A23" t="str">
        <x:v>2024-09-30</x:v>
      </x:c>
      <x:c r="B23" s="38" t="n">
        <x:v>71.77</x:v>
      </x:c>
      <x:c r="C23" s="38" t="n">
        <x:v>12.66</x:v>
      </x:c>
      <x:c r="D23" s="38" t="n">
        <x:v>10.86</x:v>
      </x:c>
      <x:c r="E23" s="38" t="n">
        <x:v>0.06</x:v>
      </x:c>
      <x:c r="F23" s="38" t="n">
        <x:v>4.66</x:v>
      </x:c>
      <x:c r="G23" s="38" t="n">
        <x:f>IF(COUNT(B23:F23)=5,SUM(B23:F23),"")</x:f>
        <x:v>100.00999999999999</x:v>
      </x:c>
      <x:c r="H23" s="38" t="n">
        <x:f>IF(G23="","",ROUND(G23-100,2))</x:f>
        <x:v>0.01</x:v>
      </x:c>
      <x:c r="I23" s="38"/>
      <x:c r="J23" s="38"/>
      <x:c r="K23" s="38"/>
      <x:c r="L23" s="38"/>
      <x:c r="M23" s="38"/>
      <x:c r="N23" s="40" t="str">
        <x:v>Screener quarterly categories (not filing-audited)</x:v>
      </x:c>
      <x:c r="O23" t="str">
        <x:v>https://www.screener.in/company/TCS/</x:v>
      </x:c>
    </x:row>
    <x:row r="24">
      <x:c r="A24" t="str">
        <x:v>2024-12-31</x:v>
      </x:c>
      <x:c r="B24" s="38" t="n">
        <x:v>71.77</x:v>
      </x:c>
      <x:c r="C24" s="38" t="n">
        <x:v>12.68</x:v>
      </x:c>
      <x:c r="D24" s="38" t="n">
        <x:v>10.86</x:v>
      </x:c>
      <x:c r="E24" s="38" t="n">
        <x:v>0.06</x:v>
      </x:c>
      <x:c r="F24" s="38" t="n">
        <x:v>4.63</x:v>
      </x:c>
      <x:c r="G24" s="38" t="n">
        <x:f>IF(COUNT(B24:F24)=5,SUM(B24:F24),"")</x:f>
        <x:v>99.99999999999999</x:v>
      </x:c>
      <x:c r="H24" s="38" t="n">
        <x:f>IF(G24="","",ROUND(G24-100,2))</x:f>
        <x:v>0</x:v>
      </x:c>
      <x:c r="I24" s="38"/>
      <x:c r="J24" s="38"/>
      <x:c r="K24" s="38"/>
      <x:c r="L24" s="38"/>
      <x:c r="M24" s="38"/>
      <x:c r="N24" s="40" t="str">
        <x:v>Screener quarterly categories (not filing-audited)</x:v>
      </x:c>
      <x:c r="O24" t="str">
        <x:v>https://www.screener.in/company/TCS/</x:v>
      </x:c>
    </x:row>
    <x:row r="25">
      <x:c r="A25" t="str">
        <x:v>2025-03-31</x:v>
      </x:c>
      <x:c r="B25" s="38" t="n">
        <x:v>71.77</x:v>
      </x:c>
      <x:c r="C25" s="38" t="n">
        <x:v>12.04</x:v>
      </x:c>
      <x:c r="D25" s="38" t="n">
        <x:v>11.49</x:v>
      </x:c>
      <x:c r="E25" s="38" t="n">
        <x:v>0.06</x:v>
      </x:c>
      <x:c r="F25" s="38" t="n">
        <x:v>4.63</x:v>
      </x:c>
      <x:c r="G25" s="38" t="n">
        <x:f>IF(COUNT(B25:F25)=5,SUM(B25:F25),"")</x:f>
        <x:v>99.99</x:v>
      </x:c>
      <x:c r="H25" s="38" t="n">
        <x:f>IF(G25="","",ROUND(G25-100,2))</x:f>
        <x:v>-0.01</x:v>
      </x:c>
      <x:c r="I25" s="38"/>
      <x:c r="J25" s="38"/>
      <x:c r="K25" s="38"/>
      <x:c r="L25" s="38"/>
      <x:c r="M25" s="38"/>
      <x:c r="N25" s="40" t="str">
        <x:v>Screener quarterly categories (not filing-audited)</x:v>
      </x:c>
      <x:c r="O25" t="str">
        <x:v>https://www.screener.in/company/TCS/</x:v>
      </x:c>
    </x:row>
    <x:row r="26">
      <x:c r="A26" t="str">
        <x:v>2025-06-30</x:v>
      </x:c>
      <x:c r="B26" s="38" t="n">
        <x:v>71.77</x:v>
      </x:c>
      <x:c r="C26" s="38" t="n">
        <x:v>11.48</x:v>
      </x:c>
      <x:c r="D26" s="38" t="n">
        <x:v>11.95</x:v>
      </x:c>
      <x:c r="E26" s="38" t="n">
        <x:v>0.06</x:v>
      </x:c>
      <x:c r="F26" s="38" t="n">
        <x:v>4.77</x:v>
      </x:c>
      <x:c r="G26" s="38" t="n">
        <x:f>IF(COUNT(B26:F26)=5,SUM(B26:F26),"")</x:f>
        <x:v>100.03</x:v>
      </x:c>
      <x:c r="H26" s="38" t="n">
        <x:f>IF(G26="","",ROUND(G26-100,2))</x:f>
        <x:v>0.03</x:v>
      </x:c>
      <x:c r="I26" s="38"/>
      <x:c r="J26" s="38"/>
      <x:c r="K26" s="38"/>
      <x:c r="L26" s="38"/>
      <x:c r="M26" s="38"/>
      <x:c r="N26" s="40" t="str">
        <x:v>Screener quarterly categories (not filing-audited)</x:v>
      </x:c>
      <x:c r="O26" t="str">
        <x:v>https://www.screener.in/company/TCS/</x:v>
      </x:c>
    </x:row>
    <x:row r="27">
      <x:c r="A27" t="str">
        <x:v>2025-09-30</x:v>
      </x:c>
      <x:c r="B27" s="38" t="n">
        <x:v>71.77</x:v>
      </x:c>
      <x:c r="C27" s="38" t="n">
        <x:v>10.33</x:v>
      </x:c>
      <x:c r="D27" s="38" t="n">
        <x:v>12.64</x:v>
      </x:c>
      <x:c r="E27" s="38" t="n">
        <x:v>0.06</x:v>
      </x:c>
      <x:c r="F27" s="38" t="n">
        <x:v>5.21</x:v>
      </x:c>
      <x:c r="G27" s="38" t="n">
        <x:f>IF(COUNT(B27:F27)=5,SUM(B27:F27),"")</x:f>
        <x:v>100.00999999999999</x:v>
      </x:c>
      <x:c r="H27" s="38" t="n">
        <x:f>IF(G27="","",ROUND(G27-100,2))</x:f>
        <x:v>0.01</x:v>
      </x:c>
      <x:c r="I27" s="38"/>
      <x:c r="J27" s="38"/>
      <x:c r="K27" s="38"/>
      <x:c r="L27" s="38"/>
      <x:c r="M27" s="38"/>
      <x:c r="N27" s="40" t="str">
        <x:v>Screener quarterly categories (not filing-audited)</x:v>
      </x:c>
      <x:c r="O27" t="str">
        <x:v>https://www.screener.in/company/TCS/</x:v>
      </x:c>
    </x:row>
    <x:row r="28">
      <x:c r="A28" t="str">
        <x:v>2025-12-31</x:v>
      </x:c>
      <x:c r="B28" s="38" t="n">
        <x:v>71.77</x:v>
      </x:c>
      <x:c r="C28" s="38" t="n">
        <x:v>10.37</x:v>
      </x:c>
      <x:c r="D28" s="38" t="n">
        <x:v>12.81</x:v>
      </x:c>
      <x:c r="E28" s="38" t="n">
        <x:v>0.06</x:v>
      </x:c>
      <x:c r="F28" s="38" t="n">
        <x:v>4.98</x:v>
      </x:c>
      <x:c r="G28" s="38" t="n">
        <x:f>IF(COUNT(B28:F28)=5,SUM(B28:F28),"")</x:f>
        <x:v>99.99000000000001</x:v>
      </x:c>
      <x:c r="H28" s="38" t="n">
        <x:f>IF(G28="","",ROUND(G28-100,2))</x:f>
        <x:v>-0.01</x:v>
      </x:c>
      <x:c r="I28" s="38"/>
      <x:c r="J28" s="38"/>
      <x:c r="K28" s="38"/>
      <x:c r="L28" s="38"/>
      <x:c r="M28" s="38"/>
      <x:c r="N28" s="40" t="str">
        <x:v>Screener quarterly categories (not filing-audited)</x:v>
      </x:c>
      <x:c r="O28" t="str">
        <x:v>https://www.screener.in/company/TCS/</x:v>
      </x:c>
    </x:row>
    <x:row r="29">
      <x:c r="A29" t="str">
        <x:v>2026-03-31</x:v>
      </x:c>
      <x:c r="B29" s="38" t="n">
        <x:v>71.77</x:v>
      </x:c>
      <x:c r="C29" s="38" t="n">
        <x:v>9.66</x:v>
      </x:c>
      <x:c r="D29" s="38" t="n">
        <x:v>13.34</x:v>
      </x:c>
      <x:c r="E29" s="38" t="n">
        <x:v>0.06</x:v>
      </x:c>
      <x:c r="F29" s="38" t="n">
        <x:v>5.16</x:v>
      </x:c>
      <x:c r="G29" s="38" t="n">
        <x:f>IF(COUNT(B29:F29)=5,SUM(B29:F29),"")</x:f>
        <x:v>99.99</x:v>
      </x:c>
      <x:c r="H29" s="38" t="n">
        <x:f>IF(G29="","",ROUND(G29-100,2))</x:f>
        <x:v>-0.01</x:v>
      </x:c>
      <x:c r="I29" s="38"/>
      <x:c r="J29" s="38"/>
      <x:c r="K29" s="38"/>
      <x:c r="L29" s="38"/>
      <x:c r="M29" s="38"/>
      <x:c r="N29" s="40" t="str">
        <x:v>Screener quarterly categories (not filing-audited)</x:v>
      </x:c>
      <x:c r="O29" t="str">
        <x:v>https://www.screener.in/company/TCS/</x:v>
      </x:c>
    </x:row>
    <x:row r="30">
      <x:c r="A30" t="str">
        <x:v>2026-06-30</x:v>
      </x:c>
      <x:c r="B30" s="38" t="n">
        <x:v>71.77</x:v>
      </x:c>
      <x:c r="C30" s="38" t="n">
        <x:v>9.07</x:v>
      </x:c>
      <x:c r="D30" s="38" t="n">
        <x:v>13.41</x:v>
      </x:c>
      <x:c r="E30" s="38" t="n">
        <x:v>0.06</x:v>
      </x:c>
      <x:c r="F30" s="38" t="n">
        <x:v>5.69</x:v>
      </x:c>
      <x:c r="G30" s="38" t="n">
        <x:f>IF(COUNT(B30:F30)=5,SUM(B30:F30),"")</x:f>
        <x:v>100</x:v>
      </x:c>
      <x:c r="H30" s="38" t="n">
        <x:f>IF(G30="","",ROUND(G30-100,2))</x:f>
        <x:v>0</x:v>
      </x:c>
      <x:c r="I30" s="38"/>
      <x:c r="J30" s="38"/>
      <x:c r="K30" s="38"/>
      <x:c r="L30" s="38"/>
      <x:c r="M30" s="38"/>
      <x:c r="N30" s="40" t="str">
        <x:v>Screener quarterly categories (not filing-audited)</x:v>
      </x:c>
      <x:c r="O30" t="str">
        <x:v>https://www.screener.in/company/TCS/</x:v>
      </x:c>
    </x:row>
    <x:row r="31">
      <x:c r="A31" t="str">
        <x:v>2026-09-30</x:v>
      </x:c>
      <x:c r="B31" s="38" t="n">
        <x:v>71.77</x:v>
      </x:c>
      <x:c r="C31" s="38" t="n">
        <x:v>9.01</x:v>
      </x:c>
      <x:c r="D31" s="38" t="n">
        <x:v>13.57</x:v>
      </x:c>
      <x:c r="E31" s="38" t="n">
        <x:v>0</x:v>
      </x:c>
      <x:c r="F31" s="38" t="n">
        <x:v>5.65</x:v>
      </x:c>
      <x:c r="G31" s="38" t="n">
        <x:f>IF(COUNT(B31:F31)=5,SUM(B31:F31),"")</x:f>
        <x:v>100</x:v>
      </x:c>
      <x:c r="H31" s="38" t="n">
        <x:f>IF(G31="","",ROUND(G31-100,2))</x:f>
        <x:v>0</x:v>
      </x:c>
      <x:c r="I31" s="38" t="n">
        <x:v>5.65</x:v>
      </x:c>
      <x:c r="J31" s="38" t="n">
        <x:v>6.8</x:v>
      </x:c>
      <x:c r="K31" s="38" t="n">
        <x:v>1.12</x:v>
      </x:c>
      <x:c r="L31" s="38" t="n">
        <x:v>4.67</x:v>
      </x:c>
      <x:c r="M31" s="38" t="n">
        <x:v>0.98</x:v>
      </x:c>
      <x:c r="N31" s="39" t="str">
        <x:v>NSE-filing-derived category detail reported by FundTracker; government included in other public in this classification</x:v>
      </x:c>
      <x:c r="O31" t="str">
        <x:v>https://fundtrackerindia.com/stock/TCS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15" hidden="0" customWidth="1"/>
  </x:cols>
  <x:sheetData>
    <x:row r="1">
      <x:c r="A1" s="36" t="str">
        <x:v>Category</x:v>
      </x:c>
      <x:c r="B1" s="36" t="str">
        <x:v>Definition / caution</x:v>
      </x:c>
    </x:row>
    <x:row r="2">
      <x:c r="A2" t="str">
        <x:v>Promoter &amp; promoter group</x:v>
      </x:c>
      <x:c r="B2" t="str">
        <x:v>Tata group promoter holdings; not part of public float</x:v>
      </x:c>
    </x:row>
    <x:row r="3">
      <x:c r="A3" t="str">
        <x:v>FII / FPI</x:v>
      </x:c>
      <x:c r="B3" t="str">
        <x:v>Foreign institutional / portfolio investor classification as shown by data source</x:v>
      </x:c>
    </x:row>
    <x:row r="4">
      <x:c r="A4" t="str">
        <x:v>DII</x:v>
      </x:c>
      <x:c r="B4" t="str">
        <x:v>Domestic institutions including mutual funds, insurance, banks and other institutional categories</x:v>
      </x:c>
    </x:row>
    <x:row r="5">
      <x:c r="A5" t="str">
        <x:v>Government</x:v>
      </x:c>
      <x:c r="B5" t="str">
        <x:v>Separate category reported by Screener historically; treatment may vary in exchange categories</x:v>
      </x:c>
    </x:row>
    <x:row r="6">
      <x:c r="A6" t="str">
        <x:v>Public / others</x:v>
      </x:c>
      <x:c r="B6" t="str">
        <x:v>Remaining non-promoter holdings excluding FII and DII and separately-classified government</x:v>
      </x:c>
    </x:row>
    <x:row r="7">
      <x:c r="A7" t="str">
        <x:v>Mutual funds / insurance / other DII</x:v>
      </x:c>
      <x:c r="B7" t="str">
        <x:v>SUBCATEGORIES of DII. Do NOT add to DII or to 100% total.</x:v>
      </x:c>
    </x:row>
    <x:row r="8">
      <x:c r="A8" t="str">
        <x:v>Individuals / other public</x:v>
      </x:c>
      <x:c r="B8" t="str">
        <x:v>SUBCATEGORIES of public. Do NOT add to public or to 100% total.</x:v>
      </x:c>
    </x:row>
    <x:row r="9">
      <x:c r="A9" t="str">
        <x:v>Old quarter missing values</x:v>
      </x:c>
      <x:c r="B9" t="str">
        <x:v>Left empty intentionally: previous workbook did not contain verifiable promoter/public data</x:v>
      </x:c>
    </x:row>
    <x:row r="10">
      <x:c r="A10" t="str">
        <x:v>Sep 2022 comparability</x:v>
      </x:c>
      <x:c r="B10" t="str">
        <x:v>Screener explicitly cautions new XBRL classifications can alter the FII/DII grouping</x:v>
      </x:c>
    </x:row>
    <x:row r="11">
      <x:c r="A11" t="str">
        <x:v>Approval status</x:v>
      </x:c>
      <x:c r="B11" t="str">
        <x:v>Not certified against 27 individual NSE/BSE quarterly XBRL filings; verify before publication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88" hidden="0" customWidth="1"/>
    <x:col min="15" max="15" width="66" hidden="0" customWidth="1"/>
  </x:cols>
  <x:sheetData>
    <x:row r="1" ht="34" customHeight="1">
      <x:c r="A1" s="42" t="str">
        <x:v>TCS | SHAREHOLDING HISTORY FY16–Q2 FY27 | SOURCE-AWARE QUARTERLY SERIES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</x:row>
    <x:row r="2" ht="26" customHeight="1">
      <x:c r="A2" s="44" t="str">
        <x:v>Mar 2016 – Sep 2026 | Ownership as % of capital | Unverified periods deliberately blank | DII subcategories are not additive to DII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  <x:c r="O2" s="44"/>
    </x:row>
    <x:row r="4" ht="42" customHeight="1">
      <x:c r="A4" s="47" t="str">
        <x:v>Quarter-end</x:v>
      </x:c>
      <x:c r="B4" s="47" t="str">
        <x:v>Promoter &amp; group %</x:v>
      </x:c>
      <x:c r="C4" s="47" t="str">
        <x:v>FII / FPI %</x:v>
      </x:c>
      <x:c r="D4" s="47" t="str">
        <x:v>DII %</x:v>
      </x:c>
      <x:c r="E4" s="47" t="str">
        <x:v>Government %</x:v>
      </x:c>
      <x:c r="F4" s="47" t="str">
        <x:v>Retail / other public %</x:v>
      </x:c>
      <x:c r="G4" s="47" t="str">
        <x:v>Total (where complete) %</x:v>
      </x:c>
      <x:c r="H4" s="47" t="str">
        <x:v>Difference from 100 (pp)</x:v>
      </x:c>
      <x:c r="I4" s="47" t="str">
        <x:v>Mutual funds %</x:v>
      </x:c>
      <x:c r="J4" s="47" t="str">
        <x:v>Insurance %</x:v>
      </x:c>
      <x:c r="K4" s="47" t="str">
        <x:v>Other DII %</x:v>
      </x:c>
      <x:c r="L4" s="47" t="str">
        <x:v>Retail individuals %</x:v>
      </x:c>
      <x:c r="M4" s="47" t="str">
        <x:v>Other public detail %</x:v>
      </x:c>
      <x:c r="N4" s="47" t="str">
        <x:v>Verification status / caveats</x:v>
      </x:c>
      <x:c r="O4" s="47" t="str">
        <x:v>Source URL</x:v>
      </x:c>
    </x:row>
    <x:row r="5">
      <x:c r="A5" t="str">
        <x:v>2016-03-31</x:v>
      </x:c>
      <x:c r="B5" s="38" t="n">
        <x:v>73.42</x:v>
      </x:c>
      <x:c r="C5" s="38" t="n">
        <x:v>16.83</x:v>
      </x:c>
      <x:c r="D5" s="38" t="n">
        <x:v>5.13</x:v>
      </x:c>
      <x:c r="E5" s="38"/>
      <x:c r="F5" s="38" t="n">
        <x:v>4.58</x:v>
      </x:c>
      <x:c r="G5" s="38" t="str">
        <x:f>IF(COUNT(B5:F5)=5,SUM(B5:F5),"")</x:f>
      </x:c>
      <x:c r="H5" s="38" t="str">
        <x:f>IF(G5="","",ROUND(G5-100,2))</x:f>
      </x:c>
      <x:c r="I5" s="38" t="n">
        <x:v>1.09</x:v>
      </x:c>
      <x:c r="J5" s="38" t="n">
        <x:v>3.99</x:v>
      </x:c>
      <x:c r="K5" s="38" t="n">
        <x:v>0.05</x:v>
      </x:c>
      <x:c r="L5" s="38"/>
      <x:c r="M5" s="38"/>
      <x:c r="N5" s="48" t="str">
        <x:v>FY16 filing-derived via Trendlyne; govt separate not safely extracted; DII=MF+insurance+banks</x:v>
      </x:c>
      <x:c r="O5" t="str">
        <x:v>https://trendlyne.com/equity/share-holding/1372/TCS/31-03-2016/tata-consultancy-services-ltd/</x:v>
      </x:c>
    </x:row>
    <x:row r="6">
      <x:c r="A6" t="str">
        <x:v>2016-06-30</x:v>
      </x:c>
      <x:c r="B6" s="38" t="n">
        <x:v>73.34</x:v>
      </x:c>
      <x:c r="C6" s="38" t="n">
        <x:v>16.98</x:v>
      </x:c>
      <x:c r="D6" s="38" t="n">
        <x:v>5.14</x:v>
      </x:c>
      <x:c r="E6" s="38"/>
      <x:c r="F6" s="38" t="n">
        <x:v>4.51</x:v>
      </x:c>
      <x:c r="G6" s="38" t="str">
        <x:f>IF(COUNT(B6:F6)=5,SUM(B6:F6),"")</x:f>
      </x:c>
      <x:c r="H6" s="38" t="str">
        <x:f>IF(G6="","",ROUND(G6-100,2))</x:f>
      </x:c>
      <x:c r="I6" s="38" t="n">
        <x:v>1.07</x:v>
      </x:c>
      <x:c r="J6" s="38" t="n">
        <x:v>4.03</x:v>
      </x:c>
      <x:c r="K6" s="38" t="n">
        <x:v>0.04</x:v>
      </x:c>
      <x:c r="L6" s="38"/>
      <x:c r="M6" s="38"/>
      <x:c r="N6" s="48" t="str">
        <x:v>Filing-derived via Trendlyne; govt separate not safely extracted</x:v>
      </x:c>
      <x:c r="O6" t="str">
        <x:v>https://trendlyne.com/equity/share-holding/1372/TCS/30-06-2016/tata-consultancy-services-ltd/</x:v>
      </x:c>
    </x:row>
    <x:row r="7">
      <x:c r="A7" t="str">
        <x:v>2016-09-30</x:v>
      </x:c>
      <x:c r="B7" s="38"/>
      <x:c r="C7" s="38"/>
      <x:c r="D7" s="38"/>
      <x:c r="E7" s="38"/>
      <x:c r="F7" s="38"/>
      <x:c r="G7" s="38" t="str">
        <x:f>IF(COUNT(B7:F7)=5,SUM(B7:F7),"")</x:f>
      </x:c>
      <x:c r="H7" s="38" t="str">
        <x:f>IF(G7="","",ROUND(G7-100,2))</x:f>
      </x:c>
      <x:c r="I7" s="38"/>
      <x:c r="J7" s="38"/>
      <x:c r="K7" s="38"/>
      <x:c r="L7" s="38"/>
      <x:c r="M7" s="38"/>
      <x:c r="N7" s="48" t="str">
        <x:v>NOT VERIFIED: quarter-specific shareholding filing not independently extracted; do not use as a completed observation</x:v>
      </x:c>
      <x:c r="O7" t="str">
        <x:v>https://www.bseindia.com/stock-share-price/tata-consultancy-services-ltd/tcs/532540/shareholding-pattern/</x:v>
      </x:c>
    </x:row>
    <x:row r="8">
      <x:c r="A8" t="str">
        <x:v>2016-12-31</x:v>
      </x:c>
      <x:c r="B8" s="38"/>
      <x:c r="C8" s="38"/>
      <x:c r="D8" s="38"/>
      <x:c r="E8" s="38"/>
      <x:c r="F8" s="38"/>
      <x:c r="G8" s="38" t="str">
        <x:f>IF(COUNT(B8:F8)=5,SUM(B8:F8),"")</x:f>
      </x:c>
      <x:c r="H8" s="38" t="str">
        <x:f>IF(G8="","",ROUND(G8-100,2))</x:f>
      </x:c>
      <x:c r="I8" s="38"/>
      <x:c r="J8" s="38"/>
      <x:c r="K8" s="38"/>
      <x:c r="L8" s="38"/>
      <x:c r="M8" s="38"/>
      <x:c r="N8" s="48" t="str">
        <x:v>NOT VERIFIED: quarter-specific shareholding filing not independently extracted; do not use as a completed observation</x:v>
      </x:c>
      <x:c r="O8" t="str">
        <x:v>https://www.bseindia.com/stock-share-price/tata-consultancy-services-ltd/tcs/532540/shareholding-pattern/</x:v>
      </x:c>
    </x:row>
    <x:row r="9">
      <x:c r="A9" t="str">
        <x:v>2017-03-31</x:v>
      </x:c>
      <x:c r="B9" s="38" t="n">
        <x:v>73.31</x:v>
      </x:c>
      <x:c r="C9" s="38" t="n">
        <x:v>16.9</x:v>
      </x:c>
      <x:c r="D9" s="38" t="n">
        <x:v>5.36</x:v>
      </x:c>
      <x:c r="E9" s="38" t="n">
        <x:v>0.05</x:v>
      </x:c>
      <x:c r="F9" s="38" t="n">
        <x:v>4.38</x:v>
      </x:c>
      <x:c r="G9" s="38" t="n">
        <x:f>IF(COUNT(B9:F9)=5,SUM(B9:F9),"")</x:f>
        <x:v>100</x:v>
      </x:c>
      <x:c r="H9" s="38" t="n">
        <x:f>IF(G9="","",ROUND(G9-100,2))</x:f>
        <x:v>0</x:v>
      </x:c>
      <x:c r="I9" s="38"/>
      <x:c r="J9" s="38"/>
      <x:c r="K9" s="38"/>
      <x:c r="L9" s="38"/>
      <x:c r="M9" s="38"/>
      <x:c r="N9" s="49" t="str">
        <x:v>Screener annual historical series; category definitions may differ</x:v>
      </x:c>
      <x:c r="O9" t="str">
        <x:v>https://www.screener.in/company/TCS/</x:v>
      </x:c>
    </x:row>
    <x:row r="10">
      <x:c r="A10" t="str">
        <x:v>2017-06-30</x:v>
      </x:c>
      <x:c r="B10" s="38"/>
      <x:c r="C10" s="38"/>
      <x:c r="D10" s="38"/>
      <x:c r="E10" s="38"/>
      <x:c r="F10" s="38"/>
      <x:c r="G10" s="38" t="str">
        <x:f>IF(COUNT(B10:F10)=5,SUM(B10:F10),"")</x:f>
      </x:c>
      <x:c r="H10" s="38" t="str">
        <x:f>IF(G10="","",ROUND(G10-100,2))</x:f>
      </x:c>
      <x:c r="I10" s="38"/>
      <x:c r="J10" s="38"/>
      <x:c r="K10" s="38"/>
      <x:c r="L10" s="38"/>
      <x:c r="M10" s="38"/>
      <x:c r="N10" s="48" t="str">
        <x:v>NOT VERIFIED: quarter-specific shareholding filing not independently extracted; do not use as a completed observation</x:v>
      </x:c>
      <x:c r="O10" t="str">
        <x:v>https://www.bseindia.com/stock-share-price/tata-consultancy-services-ltd/tcs/532540/shareholding-pattern/</x:v>
      </x:c>
    </x:row>
    <x:row r="11">
      <x:c r="A11" t="str">
        <x:v>2017-09-30</x:v>
      </x:c>
      <x:c r="B11" s="38"/>
      <x:c r="C11" s="38"/>
      <x:c r="D11" s="38"/>
      <x:c r="E11" s="38"/>
      <x:c r="F11" s="38"/>
      <x:c r="G11" s="38" t="str">
        <x:f>IF(COUNT(B11:F11)=5,SUM(B11:F11),"")</x:f>
      </x:c>
      <x:c r="H11" s="38" t="str">
        <x:f>IF(G11="","",ROUND(G11-100,2))</x:f>
      </x:c>
      <x:c r="I11" s="38"/>
      <x:c r="J11" s="38"/>
      <x:c r="K11" s="38"/>
      <x:c r="L11" s="38"/>
      <x:c r="M11" s="38"/>
      <x:c r="N11" s="48" t="str">
        <x:v>NOT VERIFIED: quarter-specific shareholding filing not independently extracted; do not use as a completed observation</x:v>
      </x:c>
      <x:c r="O11" t="str">
        <x:v>https://www.bseindia.com/stock-share-price/tata-consultancy-services-ltd/tcs/532540/shareholding-pattern/</x:v>
      </x:c>
    </x:row>
    <x:row r="12">
      <x:c r="A12" t="str">
        <x:v>2017-12-31</x:v>
      </x:c>
      <x:c r="B12" s="38"/>
      <x:c r="C12" s="38"/>
      <x:c r="D12" s="38"/>
      <x:c r="E12" s="38"/>
      <x:c r="F12" s="38"/>
      <x:c r="G12" s="38" t="str">
        <x:f>IF(COUNT(B12:F12)=5,SUM(B12:F12),"")</x:f>
      </x:c>
      <x:c r="H12" s="38" t="str">
        <x:f>IF(G12="","",ROUND(G12-100,2))</x:f>
      </x:c>
      <x:c r="I12" s="38"/>
      <x:c r="J12" s="38"/>
      <x:c r="K12" s="38"/>
      <x:c r="L12" s="38"/>
      <x:c r="M12" s="38"/>
      <x:c r="N12" s="48" t="str">
        <x:v>NOT VERIFIED: quarter-specific shareholding filing not independently extracted; do not use as a completed observation</x:v>
      </x:c>
      <x:c r="O12" t="str">
        <x:v>https://www.bseindia.com/stock-share-price/tata-consultancy-services-ltd/tcs/532540/shareholding-pattern/</x:v>
      </x:c>
    </x:row>
    <x:row r="13">
      <x:c r="A13" t="str">
        <x:v>2018-03-31</x:v>
      </x:c>
      <x:c r="B13" s="38" t="n">
        <x:v>71.92</x:v>
      </x:c>
      <x:c r="C13" s="38" t="n">
        <x:v>16.88</x:v>
      </x:c>
      <x:c r="D13" s="38" t="n">
        <x:v>6.93</x:v>
      </x:c>
      <x:c r="E13" s="38" t="n">
        <x:v>0.05</x:v>
      </x:c>
      <x:c r="F13" s="38" t="n">
        <x:v>4.22</x:v>
      </x:c>
      <x:c r="G13" s="38" t="n">
        <x:f>IF(COUNT(B13:F13)=5,SUM(B13:F13),"")</x:f>
        <x:v>99.99999999999999</x:v>
      </x:c>
      <x:c r="H13" s="38" t="n">
        <x:f>IF(G13="","",ROUND(G13-100,2))</x:f>
        <x:v>0</x:v>
      </x:c>
      <x:c r="I13" s="38"/>
      <x:c r="J13" s="38"/>
      <x:c r="K13" s="38"/>
      <x:c r="L13" s="38"/>
      <x:c r="M13" s="38"/>
      <x:c r="N13" s="49" t="str">
        <x:v>Screener annual historical series; category definitions may differ</x:v>
      </x:c>
      <x:c r="O13" t="str">
        <x:v>https://www.screener.in/company/TCS/</x:v>
      </x:c>
    </x:row>
    <x:row r="14">
      <x:c r="A14" t="str">
        <x:v>2018-06-30</x:v>
      </x:c>
      <x:c r="B14" s="38"/>
      <x:c r="C14" s="38"/>
      <x:c r="D14" s="38"/>
      <x:c r="E14" s="38"/>
      <x:c r="F14" s="38"/>
      <x:c r="G14" s="38" t="str">
        <x:f>IF(COUNT(B14:F14)=5,SUM(B14:F14),"")</x:f>
      </x:c>
      <x:c r="H14" s="38" t="str">
        <x:f>IF(G14="","",ROUND(G14-100,2))</x:f>
      </x:c>
      <x:c r="I14" s="38"/>
      <x:c r="J14" s="38"/>
      <x:c r="K14" s="38"/>
      <x:c r="L14" s="38"/>
      <x:c r="M14" s="38"/>
      <x:c r="N14" s="48" t="str">
        <x:v>NOT VERIFIED: quarter-specific shareholding filing not independently extracted; do not use as a completed observation</x:v>
      </x:c>
      <x:c r="O14" t="str">
        <x:v>https://www.bseindia.com/stock-share-price/tata-consultancy-services-ltd/tcs/532540/shareholding-pattern/</x:v>
      </x:c>
    </x:row>
    <x:row r="15">
      <x:c r="A15" t="str">
        <x:v>2018-09-30</x:v>
      </x:c>
      <x:c r="B15" s="38"/>
      <x:c r="C15" s="38"/>
      <x:c r="D15" s="38"/>
      <x:c r="E15" s="38"/>
      <x:c r="F15" s="38"/>
      <x:c r="G15" s="38" t="str">
        <x:f>IF(COUNT(B15:F15)=5,SUM(B15:F15),"")</x:f>
      </x:c>
      <x:c r="H15" s="38" t="str">
        <x:f>IF(G15="","",ROUND(G15-100,2))</x:f>
      </x:c>
      <x:c r="I15" s="38"/>
      <x:c r="J15" s="38"/>
      <x:c r="K15" s="38"/>
      <x:c r="L15" s="38"/>
      <x:c r="M15" s="38"/>
      <x:c r="N15" s="48" t="str">
        <x:v>NOT VERIFIED: quarter-specific shareholding filing not independently extracted; do not use as a completed observation</x:v>
      </x:c>
      <x:c r="O15" t="str">
        <x:v>https://www.bseindia.com/stock-share-price/tata-consultancy-services-ltd/tcs/532540/shareholding-pattern/</x:v>
      </x:c>
    </x:row>
    <x:row r="16">
      <x:c r="A16" t="str">
        <x:v>2018-12-31</x:v>
      </x:c>
      <x:c r="B16" s="38"/>
      <x:c r="C16" s="38"/>
      <x:c r="D16" s="38"/>
      <x:c r="E16" s="38"/>
      <x:c r="F16" s="38"/>
      <x:c r="G16" s="38" t="str">
        <x:f>IF(COUNT(B16:F16)=5,SUM(B16:F16),"")</x:f>
      </x:c>
      <x:c r="H16" s="38" t="str">
        <x:f>IF(G16="","",ROUND(G16-100,2))</x:f>
      </x:c>
      <x:c r="I16" s="38"/>
      <x:c r="J16" s="38"/>
      <x:c r="K16" s="38"/>
      <x:c r="L16" s="38"/>
      <x:c r="M16" s="38"/>
      <x:c r="N16" s="48" t="str">
        <x:v>NOT VERIFIED: quarter-specific shareholding filing not independently extracted; do not use as a completed observation</x:v>
      </x:c>
      <x:c r="O16" t="str">
        <x:v>https://www.bseindia.com/stock-share-price/tata-consultancy-services-ltd/tcs/532540/shareholding-pattern/</x:v>
      </x:c>
    </x:row>
    <x:row r="17">
      <x:c r="A17" t="str">
        <x:v>2019-03-31</x:v>
      </x:c>
      <x:c r="B17" s="38" t="n">
        <x:v>72.05</x:v>
      </x:c>
      <x:c r="C17" s="38" t="n">
        <x:v>15.8</x:v>
      </x:c>
      <x:c r="D17" s="38" t="n">
        <x:v>7.78</x:v>
      </x:c>
      <x:c r="E17" s="38" t="n">
        <x:v>0.05</x:v>
      </x:c>
      <x:c r="F17" s="38" t="n">
        <x:v>4.32</x:v>
      </x:c>
      <x:c r="G17" s="38" t="n">
        <x:f>IF(COUNT(B17:F17)=5,SUM(B17:F17),"")</x:f>
        <x:v>100</x:v>
      </x:c>
      <x:c r="H17" s="38" t="n">
        <x:f>IF(G17="","",ROUND(G17-100,2))</x:f>
        <x:v>0</x:v>
      </x:c>
      <x:c r="I17" s="38"/>
      <x:c r="J17" s="38"/>
      <x:c r="K17" s="38"/>
      <x:c r="L17" s="38"/>
      <x:c r="M17" s="38"/>
      <x:c r="N17" s="49" t="str">
        <x:v>Screener annual historical series; category definitions may differ</x:v>
      </x:c>
      <x:c r="O17" t="str">
        <x:v>https://www.screener.in/company/TCS/</x:v>
      </x:c>
    </x:row>
    <x:row r="18">
      <x:c r="A18" t="str">
        <x:v>2019-06-30</x:v>
      </x:c>
      <x:c r="B18" s="38"/>
      <x:c r="C18" s="38"/>
      <x:c r="D18" s="38"/>
      <x:c r="E18" s="38"/>
      <x:c r="F18" s="38"/>
      <x:c r="G18" s="38" t="str">
        <x:f>IF(COUNT(B18:F18)=5,SUM(B18:F18),"")</x:f>
      </x:c>
      <x:c r="H18" s="38" t="str">
        <x:f>IF(G18="","",ROUND(G18-100,2))</x:f>
      </x:c>
      <x:c r="I18" s="38"/>
      <x:c r="J18" s="38"/>
      <x:c r="K18" s="38"/>
      <x:c r="L18" s="38"/>
      <x:c r="M18" s="38"/>
      <x:c r="N18" s="48" t="str">
        <x:v>NOT VERIFIED: quarter-specific shareholding filing not independently extracted; do not use as a completed observation</x:v>
      </x:c>
      <x:c r="O18" t="str">
        <x:v>https://www.bseindia.com/stock-share-price/tata-consultancy-services-ltd/tcs/532540/shareholding-pattern/</x:v>
      </x:c>
    </x:row>
    <x:row r="19">
      <x:c r="A19" t="str">
        <x:v>2019-09-30</x:v>
      </x:c>
      <x:c r="B19" s="38"/>
      <x:c r="C19" s="38"/>
      <x:c r="D19" s="38"/>
      <x:c r="E19" s="38"/>
      <x:c r="F19" s="38"/>
      <x:c r="G19" s="38" t="str">
        <x:f>IF(COUNT(B19:F19)=5,SUM(B19:F19),"")</x:f>
      </x:c>
      <x:c r="H19" s="38" t="str">
        <x:f>IF(G19="","",ROUND(G19-100,2))</x:f>
      </x:c>
      <x:c r="I19" s="38"/>
      <x:c r="J19" s="38"/>
      <x:c r="K19" s="38"/>
      <x:c r="L19" s="38"/>
      <x:c r="M19" s="38"/>
      <x:c r="N19" s="48" t="str">
        <x:v>NOT VERIFIED: quarter-specific shareholding filing not independently extracted; do not use as a completed observation</x:v>
      </x:c>
      <x:c r="O19" t="str">
        <x:v>https://www.bseindia.com/stock-share-price/tata-consultancy-services-ltd/tcs/532540/shareholding-pattern/</x:v>
      </x:c>
    </x:row>
    <x:row r="20">
      <x:c r="A20" t="str">
        <x:v>2019-12-31</x:v>
      </x:c>
      <x:c r="B20" s="38"/>
      <x:c r="C20" s="38"/>
      <x:c r="D20" s="38"/>
      <x:c r="E20" s="38"/>
      <x:c r="F20" s="38"/>
      <x:c r="G20" s="38" t="str">
        <x:f>IF(COUNT(B20:F20)=5,SUM(B20:F20),"")</x:f>
      </x:c>
      <x:c r="H20" s="38" t="str">
        <x:f>IF(G20="","",ROUND(G20-100,2))</x:f>
      </x:c>
      <x:c r="I20" s="38"/>
      <x:c r="J20" s="38"/>
      <x:c r="K20" s="38"/>
      <x:c r="L20" s="38"/>
      <x:c r="M20" s="38"/>
      <x:c r="N20" s="48" t="str">
        <x:v>NOT VERIFIED: quarter-specific shareholding filing not independently extracted; do not use as a completed observation</x:v>
      </x:c>
      <x:c r="O20" t="str">
        <x:v>https://www.bseindia.com/stock-share-price/tata-consultancy-services-ltd/tcs/532540/shareholding-pattern/</x:v>
      </x:c>
    </x:row>
    <x:row r="21">
      <x:c r="A21" t="str">
        <x:v>2020-03-31</x:v>
      </x:c>
      <x:c r="B21" s="38" t="n">
        <x:v>72.05</x:v>
      </x:c>
      <x:c r="C21" s="38" t="n">
        <x:v>15.74</x:v>
      </x:c>
      <x:c r="D21" s="38" t="n">
        <x:v>8</x:v>
      </x:c>
      <x:c r="E21" s="38" t="n">
        <x:v>0.06</x:v>
      </x:c>
      <x:c r="F21" s="38" t="n">
        <x:v>4.14</x:v>
      </x:c>
      <x:c r="G21" s="38" t="n">
        <x:f>IF(COUNT(B21:F21)=5,SUM(B21:F21),"")</x:f>
        <x:v>99.99</x:v>
      </x:c>
      <x:c r="H21" s="38" t="n">
        <x:f>IF(G21="","",ROUND(G21-100,2))</x:f>
        <x:v>-0.01</x:v>
      </x:c>
      <x:c r="I21" s="38"/>
      <x:c r="J21" s="38"/>
      <x:c r="K21" s="38"/>
      <x:c r="L21" s="38"/>
      <x:c r="M21" s="38"/>
      <x:c r="N21" s="49" t="str">
        <x:v>March category anchors: Screener; FII/DII from original workbook; classification caution</x:v>
      </x:c>
      <x:c r="O21" t="str">
        <x:v>https://www.screener.in/company/TCS/</x:v>
      </x:c>
    </x:row>
    <x:row r="22">
      <x:c r="A22" t="str">
        <x:v>2020-06-30</x:v>
      </x:c>
      <x:c r="B22" s="38"/>
      <x:c r="C22" s="38" t="n">
        <x:v>15.85</x:v>
      </x:c>
      <x:c r="D22" s="38" t="n">
        <x:v>7.97</x:v>
      </x:c>
      <x:c r="E22" s="38"/>
      <x:c r="F22" s="38"/>
      <x:c r="G22" s="38" t="str">
        <x:f>IF(COUNT(B22:F22)=5,SUM(B22:F22),"")</x:f>
      </x:c>
      <x:c r="H22" s="38" t="str">
        <x:f>IF(G22="","",ROUND(G22-100,2))</x:f>
      </x:c>
      <x:c r="I22" s="38"/>
      <x:c r="J22" s="38"/>
      <x:c r="K22" s="38"/>
      <x:c r="L22" s="38"/>
      <x:c r="M22" s="38"/>
      <x:c r="N22" s="48" t="str">
        <x:v>INCOMPLETE: promoter/government/public not verified; original FII/DII retained (Constituent sum)</x:v>
      </x:c>
      <x:c r="O22" t="str">
        <x:v>https://trendlyne.com/equity/share-holding/1372/TCS/30-06-2020/tata-consultancy-services-ltd/</x:v>
      </x:c>
    </x:row>
    <x:row r="23">
      <x:c r="A23" t="str">
        <x:v>2020-09-30</x:v>
      </x:c>
      <x:c r="B23" s="38"/>
      <x:c r="C23" s="38" t="n">
        <x:v>16</x:v>
      </x:c>
      <x:c r="D23" s="38" t="n">
        <x:v>7.81</x:v>
      </x:c>
      <x:c r="E23" s="38"/>
      <x:c r="F23" s="38"/>
      <x:c r="G23" s="38" t="str">
        <x:f>IF(COUNT(B23:F23)=5,SUM(B23:F23),"")</x:f>
      </x:c>
      <x:c r="H23" s="38" t="str">
        <x:f>IF(G23="","",ROUND(G23-100,2))</x:f>
      </x:c>
      <x:c r="I23" s="38"/>
      <x:c r="J23" s="38"/>
      <x:c r="K23" s="38"/>
      <x:c r="L23" s="38"/>
      <x:c r="M23" s="38"/>
      <x:c r="N23" s="48" t="str">
        <x:v>INCOMPLETE: promoter/government/public not verified; original FII/DII retained (Constituent sum)</x:v>
      </x:c>
      <x:c r="O23" t="str">
        <x:v>https://trendlyne.com/equity/share-holding/1372/TCS/30-09-2020/tata-consultancy-services-ltd/</x:v>
      </x:c>
    </x:row>
    <x:row r="24">
      <x:c r="A24" t="str">
        <x:v>2020-12-31</x:v>
      </x:c>
      <x:c r="B24" s="38"/>
      <x:c r="C24" s="38" t="n">
        <x:v>15.88</x:v>
      </x:c>
      <x:c r="D24" s="38" t="n">
        <x:v>7.65</x:v>
      </x:c>
      <x:c r="E24" s="38"/>
      <x:c r="F24" s="38"/>
      <x:c r="G24" s="38" t="str">
        <x:f>IF(COUNT(B24:F24)=5,SUM(B24:F24),"")</x:f>
      </x:c>
      <x:c r="H24" s="38" t="str">
        <x:f>IF(G24="","",ROUND(G24-100,2))</x:f>
      </x:c>
      <x:c r="I24" s="38"/>
      <x:c r="J24" s="38"/>
      <x:c r="K24" s="38"/>
      <x:c r="L24" s="38"/>
      <x:c r="M24" s="38"/>
      <x:c r="N24" s="48" t="str">
        <x:v>INCOMPLETE: promoter/government/public not verified; original FII/DII retained (Constituent sum)</x:v>
      </x:c>
      <x:c r="O24" t="str">
        <x:v>https://trendlyne.com/equity/share-holding/1372/TCS/Q4-2020/tata-consultancy-services-ltd/</x:v>
      </x:c>
    </x:row>
    <x:row r="25">
      <x:c r="A25" t="str">
        <x:v>2021-03-31</x:v>
      </x:c>
      <x:c r="B25" s="38" t="n">
        <x:v>72.19</x:v>
      </x:c>
      <x:c r="C25" s="38" t="n">
        <x:v>15.62</x:v>
      </x:c>
      <x:c r="D25" s="38" t="n">
        <x:v>7.83</x:v>
      </x:c>
      <x:c r="E25" s="38" t="n">
        <x:v>0.06</x:v>
      </x:c>
      <x:c r="F25" s="38" t="n">
        <x:v>4.31</x:v>
      </x:c>
      <x:c r="G25" s="38" t="n">
        <x:f>IF(COUNT(B25:F25)=5,SUM(B25:F25),"")</x:f>
        <x:v>100.01</x:v>
      </x:c>
      <x:c r="H25" s="38" t="n">
        <x:f>IF(G25="","",ROUND(G25-100,2))</x:f>
        <x:v>0.01</x:v>
      </x:c>
      <x:c r="I25" s="38"/>
      <x:c r="J25" s="38"/>
      <x:c r="K25" s="38"/>
      <x:c r="L25" s="38"/>
      <x:c r="M25" s="38"/>
      <x:c r="N25" s="49" t="str">
        <x:v>March category anchors: Screener; FII/DII from original workbook; classification caution</x:v>
      </x:c>
      <x:c r="O25" t="str">
        <x:v>https://www.screener.in/company/TCS/</x:v>
      </x:c>
    </x:row>
    <x:row r="26">
      <x:c r="A26" t="str">
        <x:v>2021-06-30</x:v>
      </x:c>
      <x:c r="B26" s="38"/>
      <x:c r="C26" s="38" t="n">
        <x:v>15.43</x:v>
      </x:c>
      <x:c r="D26" s="38" t="n">
        <x:v>8.01</x:v>
      </x:c>
      <x:c r="E26" s="38"/>
      <x:c r="F26" s="38"/>
      <x:c r="G26" s="38" t="str">
        <x:f>IF(COUNT(B26:F26)=5,SUM(B26:F26),"")</x:f>
      </x:c>
      <x:c r="H26" s="38" t="str">
        <x:f>IF(G26="","",ROUND(G26-100,2))</x:f>
      </x:c>
      <x:c r="I26" s="38"/>
      <x:c r="J26" s="38"/>
      <x:c r="K26" s="38"/>
      <x:c r="L26" s="38"/>
      <x:c r="M26" s="38"/>
      <x:c r="N26" s="48" t="str">
        <x:v>INCOMPLETE: promoter/government/public not verified; original FII/DII retained (Alternate provider)</x:v>
      </x:c>
      <x:c r="O26" t="str">
        <x:v>https://uat.sharescart.com/company/tcs/</x:v>
      </x:c>
    </x:row>
    <x:row r="27">
      <x:c r="A27" t="str">
        <x:v>2021-09-30</x:v>
      </x:c>
      <x:c r="B27" s="38"/>
      <x:c r="C27" s="38" t="n">
        <x:v>15.37</x:v>
      </x:c>
      <x:c r="D27" s="38" t="n">
        <x:v>7.94</x:v>
      </x:c>
      <x:c r="E27" s="38"/>
      <x:c r="F27" s="38"/>
      <x:c r="G27" s="38" t="str">
        <x:f>IF(COUNT(B27:F27)=5,SUM(B27:F27),"")</x:f>
      </x:c>
      <x:c r="H27" s="38" t="str">
        <x:f>IF(G27="","",ROUND(G27-100,2))</x:f>
      </x:c>
      <x:c r="I27" s="38"/>
      <x:c r="J27" s="38"/>
      <x:c r="K27" s="38"/>
      <x:c r="L27" s="38"/>
      <x:c r="M27" s="38"/>
      <x:c r="N27" s="48" t="str">
        <x:v>INCOMPLETE: promoter/government/public not verified; original FII/DII retained (Alternate provider)</x:v>
      </x:c>
      <x:c r="O27" t="str">
        <x:v>https://uat.sharescart.com/company/tcs/</x:v>
      </x:c>
    </x:row>
    <x:row r="28">
      <x:c r="A28" t="str">
        <x:v>2021-12-31</x:v>
      </x:c>
      <x:c r="B28" s="38"/>
      <x:c r="C28" s="38" t="n">
        <x:v>14.98</x:v>
      </x:c>
      <x:c r="D28" s="38" t="n">
        <x:v>7.97</x:v>
      </x:c>
      <x:c r="E28" s="38"/>
      <x:c r="F28" s="38"/>
      <x:c r="G28" s="38" t="str">
        <x:f>IF(COUNT(B28:F28)=5,SUM(B28:F28),"")</x:f>
      </x:c>
      <x:c r="H28" s="38" t="str">
        <x:f>IF(G28="","",ROUND(G28-100,2))</x:f>
      </x:c>
      <x:c r="I28" s="38"/>
      <x:c r="J28" s="38"/>
      <x:c r="K28" s="38"/>
      <x:c r="L28" s="38"/>
      <x:c r="M28" s="38"/>
      <x:c r="N28" s="48" t="str">
        <x:v>INCOMPLETE: promoter/government/public not verified; original FII/DII retained (Alternate provider)</x:v>
      </x:c>
      <x:c r="O28" t="str">
        <x:v>https://uat.sharescart.com/company/tcs/</x:v>
      </x:c>
    </x:row>
    <x:row r="29">
      <x:c r="A29" t="str">
        <x:v>2022-03-31</x:v>
      </x:c>
      <x:c r="B29" s="38" t="n">
        <x:v>72.3</x:v>
      </x:c>
      <x:c r="C29" s="38" t="n">
        <x:v>14.15</x:v>
      </x:c>
      <x:c r="D29" s="38" t="n">
        <x:v>7.81</x:v>
      </x:c>
      <x:c r="E29" s="38" t="n">
        <x:v>0.04</x:v>
      </x:c>
      <x:c r="F29" s="38" t="n">
        <x:v>5.7</x:v>
      </x:c>
      <x:c r="G29" s="38" t="n">
        <x:f>IF(COUNT(B29:F29)=5,SUM(B29:F29),"")</x:f>
        <x:v>100.00000000000001</x:v>
      </x:c>
      <x:c r="H29" s="38" t="n">
        <x:f>IF(G29="","",ROUND(G29-100,2))</x:f>
        <x:v>0</x:v>
      </x:c>
      <x:c r="I29" s="38"/>
      <x:c r="J29" s="38"/>
      <x:c r="K29" s="38"/>
      <x:c r="L29" s="38"/>
      <x:c r="M29" s="38"/>
      <x:c r="N29" s="49" t="str">
        <x:v>March category anchors: Screener; FII/DII from original workbook; classification caution</x:v>
      </x:c>
      <x:c r="O29" t="str">
        <x:v>https://www.screener.in/company/TCS/</x:v>
      </x:c>
    </x:row>
    <x:row r="30">
      <x:c r="A30" t="str">
        <x:v>2022-06-30</x:v>
      </x:c>
      <x:c r="B30" s="38"/>
      <x:c r="C30" s="38" t="n">
        <x:v>13.5</x:v>
      </x:c>
      <x:c r="D30" s="38" t="n">
        <x:v>8.4</x:v>
      </x:c>
      <x:c r="E30" s="38"/>
      <x:c r="F30" s="38"/>
      <x:c r="G30" s="38" t="str">
        <x:f>IF(COUNT(B30:F30)=5,SUM(B30:F30),"")</x:f>
      </x:c>
      <x:c r="H30" s="38" t="str">
        <x:f>IF(G30="","",ROUND(G30-100,2))</x:f>
      </x:c>
      <x:c r="I30" s="38"/>
      <x:c r="J30" s="38"/>
      <x:c r="K30" s="38"/>
      <x:c r="L30" s="38"/>
      <x:c r="M30" s="38"/>
      <x:c r="N30" s="48" t="str">
        <x:v>INCOMPLETE: promoter/government/public not verified; original FII/DII retained (Alternate provider)</x:v>
      </x:c>
      <x:c r="O30" t="str">
        <x:v>https://uat.sharescart.com/company/tcs/</x:v>
      </x:c>
    </x:row>
    <x:row r="31">
      <x:c r="A31" t="str">
        <x:v>2022-09-30</x:v>
      </x:c>
      <x:c r="B31" s="38"/>
      <x:c r="C31" s="38" t="n">
        <x:v>13.05</x:v>
      </x:c>
      <x:c r="D31" s="38" t="n">
        <x:v>8.58</x:v>
      </x:c>
      <x:c r="E31" s="38"/>
      <x:c r="F31" s="38"/>
      <x:c r="G31" s="38" t="str">
        <x:f>IF(COUNT(B31:F31)=5,SUM(B31:F31),"")</x:f>
      </x:c>
      <x:c r="H31" s="38" t="str">
        <x:f>IF(G31="","",ROUND(G31-100,2))</x:f>
      </x:c>
      <x:c r="I31" s="38"/>
      <x:c r="J31" s="38"/>
      <x:c r="K31" s="38"/>
      <x:c r="L31" s="38"/>
      <x:c r="M31" s="38"/>
      <x:c r="N31" s="48" t="str">
        <x:v>INCOMPLETE: promoter/government/public not verified; original FII/DII retained (Alternate provider)</x:v>
      </x:c>
      <x:c r="O31" t="str">
        <x:v>https://uat.sharescart.com/company/tcs/</x:v>
      </x:c>
    </x:row>
    <x:row r="32">
      <x:c r="A32" t="str">
        <x:v>2022-12-31</x:v>
      </x:c>
      <x:c r="B32" s="38"/>
      <x:c r="C32" s="38" t="n">
        <x:v>12.94</x:v>
      </x:c>
      <x:c r="D32" s="38" t="n">
        <x:v>9.31</x:v>
      </x:c>
      <x:c r="E32" s="38"/>
      <x:c r="F32" s="38"/>
      <x:c r="G32" s="38" t="str">
        <x:f>IF(COUNT(B32:F32)=5,SUM(B32:F32),"")</x:f>
      </x:c>
      <x:c r="H32" s="38" t="str">
        <x:f>IF(G32="","",ROUND(G32-100,2))</x:f>
      </x:c>
      <x:c r="I32" s="38"/>
      <x:c r="J32" s="38"/>
      <x:c r="K32" s="38"/>
      <x:c r="L32" s="38"/>
      <x:c r="M32" s="38"/>
      <x:c r="N32" s="48" t="str">
        <x:v>INCOMPLETE: promoter/government/public not verified; original FII/DII retained (Alternate provider)</x:v>
      </x:c>
      <x:c r="O32" t="str">
        <x:v>https://uat.sharescart.com/company/tcs/</x:v>
      </x:c>
    </x:row>
    <x:row r="33">
      <x:c r="A33" t="str">
        <x:v>2023-03-31</x:v>
      </x:c>
      <x:c r="B33" s="38" t="n">
        <x:v>72.3</x:v>
      </x:c>
      <x:c r="C33" s="38" t="n">
        <x:v>12.72</x:v>
      </x:c>
      <x:c r="D33" s="38" t="n">
        <x:v>9.58</x:v>
      </x:c>
      <x:c r="E33" s="38" t="n">
        <x:v>0.05</x:v>
      </x:c>
      <x:c r="F33" s="38" t="n">
        <x:v>5.36</x:v>
      </x:c>
      <x:c r="G33" s="38" t="n">
        <x:f>IF(COUNT(B33:F33)=5,SUM(B33:F33),"")</x:f>
        <x:v>100.00999999999999</x:v>
      </x:c>
      <x:c r="H33" s="38" t="n">
        <x:f>IF(G33="","",ROUND(G33-100,2))</x:f>
        <x:v>0.01</x:v>
      </x:c>
      <x:c r="I33" s="38"/>
      <x:c r="J33" s="38"/>
      <x:c r="K33" s="38"/>
      <x:c r="L33" s="38"/>
      <x:c r="M33" s="38"/>
      <x:c r="N33" s="49" t="str">
        <x:v>March category anchors: Screener; FII/DII from original workbook; classification caution</x:v>
      </x:c>
      <x:c r="O33" t="str">
        <x:v>https://www.screener.in/company/TCS/</x:v>
      </x:c>
    </x:row>
    <x:row r="34">
      <x:c r="A34" t="str">
        <x:v>2023-06-30</x:v>
      </x:c>
      <x:c r="B34" s="38"/>
      <x:c r="C34" s="38" t="n">
        <x:v>12.46</x:v>
      </x:c>
      <x:c r="D34" s="38" t="n">
        <x:v>9.86</x:v>
      </x:c>
      <x:c r="E34" s="38"/>
      <x:c r="F34" s="38"/>
      <x:c r="G34" s="38" t="str">
        <x:f>IF(COUNT(B34:F34)=5,SUM(B34:F34),"")</x:f>
      </x:c>
      <x:c r="H34" s="38" t="str">
        <x:f>IF(G34="","",ROUND(G34-100,2))</x:f>
      </x:c>
      <x:c r="I34" s="38"/>
      <x:c r="J34" s="38"/>
      <x:c r="K34" s="38"/>
      <x:c r="L34" s="38"/>
      <x:c r="M34" s="38"/>
      <x:c r="N34" s="48" t="str">
        <x:v>INCOMPLETE: promoter/government/public not verified; original FII/DII retained (Alternate provider)</x:v>
      </x:c>
      <x:c r="O34" t="str">
        <x:v>https://uat.sharescart.com/company/tcs/</x:v>
      </x:c>
    </x:row>
    <x:row r="35">
      <x:c r="A35" t="str">
        <x:v>2023-09-30</x:v>
      </x:c>
      <x:c r="B35" s="38" t="n">
        <x:v>72.3</x:v>
      </x:c>
      <x:c r="C35" s="38" t="n">
        <x:v>12.47</x:v>
      </x:c>
      <x:c r="D35" s="38" t="n">
        <x:v>10.01</x:v>
      </x:c>
      <x:c r="E35" s="38" t="n">
        <x:v>0.05</x:v>
      </x:c>
      <x:c r="F35" s="38" t="n">
        <x:v>5.17</x:v>
      </x:c>
      <x:c r="G35" s="38" t="n">
        <x:f>IF(COUNT(B35:F35)=5,SUM(B35:F35),"")</x:f>
        <x:v>100</x:v>
      </x:c>
      <x:c r="H35" s="38" t="n">
        <x:f>IF(G35="","",ROUND(G35-100,2))</x:f>
        <x:v>0</x:v>
      </x:c>
      <x:c r="I35" s="38"/>
      <x:c r="J35" s="38"/>
      <x:c r="K35" s="38"/>
      <x:c r="L35" s="38"/>
      <x:c r="M35" s="38"/>
      <x:c r="N35" s="49" t="str">
        <x:v>Screener quarterly categories (not filing-audited)</x:v>
      </x:c>
      <x:c r="O35" t="str">
        <x:v>https://www.screener.in/company/TCS/</x:v>
      </x:c>
    </x:row>
    <x:row r="36">
      <x:c r="A36" t="str">
        <x:v>2023-12-31</x:v>
      </x:c>
      <x:c r="B36" s="38" t="n">
        <x:v>72.41</x:v>
      </x:c>
      <x:c r="C36" s="38" t="n">
        <x:v>12.46</x:v>
      </x:c>
      <x:c r="D36" s="38" t="n">
        <x:v>10.03</x:v>
      </x:c>
      <x:c r="E36" s="38" t="n">
        <x:v>0.05</x:v>
      </x:c>
      <x:c r="F36" s="38" t="n">
        <x:v>5.03</x:v>
      </x:c>
      <x:c r="G36" s="38" t="n">
        <x:f>IF(COUNT(B36:F36)=5,SUM(B36:F36),"")</x:f>
        <x:v>99.98</x:v>
      </x:c>
      <x:c r="H36" s="38" t="n">
        <x:f>IF(G36="","",ROUND(G36-100,2))</x:f>
        <x:v>-0.02</x:v>
      </x:c>
      <x:c r="I36" s="38"/>
      <x:c r="J36" s="38"/>
      <x:c r="K36" s="38"/>
      <x:c r="L36" s="38"/>
      <x:c r="M36" s="38"/>
      <x:c r="N36" s="49" t="str">
        <x:v>Screener quarterly categories (not filing-audited)</x:v>
      </x:c>
      <x:c r="O36" t="str">
        <x:v>https://www.screener.in/company/TCS/</x:v>
      </x:c>
    </x:row>
    <x:row r="37">
      <x:c r="A37" t="str">
        <x:v>2024-03-31</x:v>
      </x:c>
      <x:c r="B37" s="38" t="n">
        <x:v>71.77</x:v>
      </x:c>
      <x:c r="C37" s="38" t="n">
        <x:v>12.7</x:v>
      </x:c>
      <x:c r="D37" s="38" t="n">
        <x:v>10.61</x:v>
      </x:c>
      <x:c r="E37" s="38" t="n">
        <x:v>0.06</x:v>
      </x:c>
      <x:c r="F37" s="38" t="n">
        <x:v>4.86</x:v>
      </x:c>
      <x:c r="G37" s="38" t="n">
        <x:f>IF(COUNT(B37:F37)=5,SUM(B37:F37),"")</x:f>
        <x:v>100</x:v>
      </x:c>
      <x:c r="H37" s="38" t="n">
        <x:f>IF(G37="","",ROUND(G37-100,2))</x:f>
        <x:v>0</x:v>
      </x:c>
      <x:c r="I37" s="38"/>
      <x:c r="J37" s="38"/>
      <x:c r="K37" s="38"/>
      <x:c r="L37" s="38"/>
      <x:c r="M37" s="38"/>
      <x:c r="N37" s="49" t="str">
        <x:v>Screener quarterly categories (not filing-audited)</x:v>
      </x:c>
      <x:c r="O37" t="str">
        <x:v>https://www.screener.in/company/TCS/</x:v>
      </x:c>
    </x:row>
    <x:row r="38">
      <x:c r="A38" t="str">
        <x:v>2024-06-30</x:v>
      </x:c>
      <x:c r="B38" s="38" t="n">
        <x:v>71.77</x:v>
      </x:c>
      <x:c r="C38" s="38" t="n">
        <x:v>12.35</x:v>
      </x:c>
      <x:c r="D38" s="38" t="n">
        <x:v>11</x:v>
      </x:c>
      <x:c r="E38" s="38" t="n">
        <x:v>0.06</x:v>
      </x:c>
      <x:c r="F38" s="38" t="n">
        <x:v>4.82</x:v>
      </x:c>
      <x:c r="G38" s="38" t="n">
        <x:f>IF(COUNT(B38:F38)=5,SUM(B38:F38),"")</x:f>
        <x:v>100</x:v>
      </x:c>
      <x:c r="H38" s="38" t="n">
        <x:f>IF(G38="","",ROUND(G38-100,2))</x:f>
        <x:v>0</x:v>
      </x:c>
      <x:c r="I38" s="38"/>
      <x:c r="J38" s="38"/>
      <x:c r="K38" s="38"/>
      <x:c r="L38" s="38"/>
      <x:c r="M38" s="38"/>
      <x:c r="N38" s="49" t="str">
        <x:v>Screener quarterly categories (not filing-audited)</x:v>
      </x:c>
      <x:c r="O38" t="str">
        <x:v>https://www.screener.in/company/TCS/</x:v>
      </x:c>
    </x:row>
    <x:row r="39">
      <x:c r="A39" t="str">
        <x:v>2024-09-30</x:v>
      </x:c>
      <x:c r="B39" s="38" t="n">
        <x:v>71.77</x:v>
      </x:c>
      <x:c r="C39" s="38" t="n">
        <x:v>12.66</x:v>
      </x:c>
      <x:c r="D39" s="38" t="n">
        <x:v>10.86</x:v>
      </x:c>
      <x:c r="E39" s="38" t="n">
        <x:v>0.06</x:v>
      </x:c>
      <x:c r="F39" s="38" t="n">
        <x:v>4.66</x:v>
      </x:c>
      <x:c r="G39" s="38" t="n">
        <x:f>IF(COUNT(B39:F39)=5,SUM(B39:F39),"")</x:f>
        <x:v>100.00999999999999</x:v>
      </x:c>
      <x:c r="H39" s="38" t="n">
        <x:f>IF(G39="","",ROUND(G39-100,2))</x:f>
        <x:v>0.01</x:v>
      </x:c>
      <x:c r="I39" s="38"/>
      <x:c r="J39" s="38"/>
      <x:c r="K39" s="38"/>
      <x:c r="L39" s="38"/>
      <x:c r="M39" s="38"/>
      <x:c r="N39" s="49" t="str">
        <x:v>Screener quarterly categories (not filing-audited)</x:v>
      </x:c>
      <x:c r="O39" t="str">
        <x:v>https://www.screener.in/company/TCS/</x:v>
      </x:c>
    </x:row>
    <x:row r="40">
      <x:c r="A40" t="str">
        <x:v>2024-12-31</x:v>
      </x:c>
      <x:c r="B40" s="38" t="n">
        <x:v>71.77</x:v>
      </x:c>
      <x:c r="C40" s="38" t="n">
        <x:v>12.68</x:v>
      </x:c>
      <x:c r="D40" s="38" t="n">
        <x:v>10.86</x:v>
      </x:c>
      <x:c r="E40" s="38" t="n">
        <x:v>0.06</x:v>
      </x:c>
      <x:c r="F40" s="38" t="n">
        <x:v>4.63</x:v>
      </x:c>
      <x:c r="G40" s="38" t="n">
        <x:f>IF(COUNT(B40:F40)=5,SUM(B40:F40),"")</x:f>
        <x:v>99.99999999999999</x:v>
      </x:c>
      <x:c r="H40" s="38" t="n">
        <x:f>IF(G40="","",ROUND(G40-100,2))</x:f>
        <x:v>0</x:v>
      </x:c>
      <x:c r="I40" s="38"/>
      <x:c r="J40" s="38"/>
      <x:c r="K40" s="38"/>
      <x:c r="L40" s="38"/>
      <x:c r="M40" s="38"/>
      <x:c r="N40" s="49" t="str">
        <x:v>Screener quarterly categories (not filing-audited)</x:v>
      </x:c>
      <x:c r="O40" t="str">
        <x:v>https://www.screener.in/company/TCS/</x:v>
      </x:c>
    </x:row>
    <x:row r="41">
      <x:c r="A41" t="str">
        <x:v>2025-03-31</x:v>
      </x:c>
      <x:c r="B41" s="38" t="n">
        <x:v>71.77</x:v>
      </x:c>
      <x:c r="C41" s="38" t="n">
        <x:v>12.04</x:v>
      </x:c>
      <x:c r="D41" s="38" t="n">
        <x:v>11.49</x:v>
      </x:c>
      <x:c r="E41" s="38" t="n">
        <x:v>0.06</x:v>
      </x:c>
      <x:c r="F41" s="38" t="n">
        <x:v>4.63</x:v>
      </x:c>
      <x:c r="G41" s="38" t="n">
        <x:f>IF(COUNT(B41:F41)=5,SUM(B41:F41),"")</x:f>
        <x:v>99.99</x:v>
      </x:c>
      <x:c r="H41" s="38" t="n">
        <x:f>IF(G41="","",ROUND(G41-100,2))</x:f>
        <x:v>-0.01</x:v>
      </x:c>
      <x:c r="I41" s="38"/>
      <x:c r="J41" s="38"/>
      <x:c r="K41" s="38"/>
      <x:c r="L41" s="38"/>
      <x:c r="M41" s="38"/>
      <x:c r="N41" s="49" t="str">
        <x:v>Screener quarterly categories (not filing-audited)</x:v>
      </x:c>
      <x:c r="O41" t="str">
        <x:v>https://www.screener.in/company/TCS/</x:v>
      </x:c>
    </x:row>
    <x:row r="42">
      <x:c r="A42" t="str">
        <x:v>2025-06-30</x:v>
      </x:c>
      <x:c r="B42" s="38" t="n">
        <x:v>71.77</x:v>
      </x:c>
      <x:c r="C42" s="38" t="n">
        <x:v>11.48</x:v>
      </x:c>
      <x:c r="D42" s="38" t="n">
        <x:v>11.95</x:v>
      </x:c>
      <x:c r="E42" s="38" t="n">
        <x:v>0.06</x:v>
      </x:c>
      <x:c r="F42" s="38" t="n">
        <x:v>4.77</x:v>
      </x:c>
      <x:c r="G42" s="38" t="n">
        <x:f>IF(COUNT(B42:F42)=5,SUM(B42:F42),"")</x:f>
        <x:v>100.03</x:v>
      </x:c>
      <x:c r="H42" s="38" t="n">
        <x:f>IF(G42="","",ROUND(G42-100,2))</x:f>
        <x:v>0.03</x:v>
      </x:c>
      <x:c r="I42" s="38"/>
      <x:c r="J42" s="38"/>
      <x:c r="K42" s="38"/>
      <x:c r="L42" s="38"/>
      <x:c r="M42" s="38"/>
      <x:c r="N42" s="49" t="str">
        <x:v>Screener quarterly categories (not filing-audited)</x:v>
      </x:c>
      <x:c r="O42" t="str">
        <x:v>https://www.screener.in/company/TCS/</x:v>
      </x:c>
    </x:row>
    <x:row r="43">
      <x:c r="A43" t="str">
        <x:v>2025-09-30</x:v>
      </x:c>
      <x:c r="B43" s="38" t="n">
        <x:v>71.77</x:v>
      </x:c>
      <x:c r="C43" s="38" t="n">
        <x:v>10.33</x:v>
      </x:c>
      <x:c r="D43" s="38" t="n">
        <x:v>12.64</x:v>
      </x:c>
      <x:c r="E43" s="38" t="n">
        <x:v>0.06</x:v>
      </x:c>
      <x:c r="F43" s="38" t="n">
        <x:v>5.21</x:v>
      </x:c>
      <x:c r="G43" s="38" t="n">
        <x:f>IF(COUNT(B43:F43)=5,SUM(B43:F43),"")</x:f>
        <x:v>100.00999999999999</x:v>
      </x:c>
      <x:c r="H43" s="38" t="n">
        <x:f>IF(G43="","",ROUND(G43-100,2))</x:f>
        <x:v>0.01</x:v>
      </x:c>
      <x:c r="I43" s="38"/>
      <x:c r="J43" s="38"/>
      <x:c r="K43" s="38"/>
      <x:c r="L43" s="38"/>
      <x:c r="M43" s="38"/>
      <x:c r="N43" s="49" t="str">
        <x:v>Screener quarterly categories (not filing-audited)</x:v>
      </x:c>
      <x:c r="O43" t="str">
        <x:v>https://www.screener.in/company/TCS/</x:v>
      </x:c>
    </x:row>
    <x:row r="44">
      <x:c r="A44" t="str">
        <x:v>2025-12-31</x:v>
      </x:c>
      <x:c r="B44" s="38" t="n">
        <x:v>71.77</x:v>
      </x:c>
      <x:c r="C44" s="38" t="n">
        <x:v>10.37</x:v>
      </x:c>
      <x:c r="D44" s="38" t="n">
        <x:v>12.81</x:v>
      </x:c>
      <x:c r="E44" s="38" t="n">
        <x:v>0.06</x:v>
      </x:c>
      <x:c r="F44" s="38" t="n">
        <x:v>4.98</x:v>
      </x:c>
      <x:c r="G44" s="38" t="n">
        <x:f>IF(COUNT(B44:F44)=5,SUM(B44:F44),"")</x:f>
        <x:v>99.99000000000001</x:v>
      </x:c>
      <x:c r="H44" s="38" t="n">
        <x:f>IF(G44="","",ROUND(G44-100,2))</x:f>
        <x:v>-0.01</x:v>
      </x:c>
      <x:c r="I44" s="38"/>
      <x:c r="J44" s="38"/>
      <x:c r="K44" s="38"/>
      <x:c r="L44" s="38"/>
      <x:c r="M44" s="38"/>
      <x:c r="N44" s="49" t="str">
        <x:v>Screener quarterly categories (not filing-audited)</x:v>
      </x:c>
      <x:c r="O44" t="str">
        <x:v>https://www.screener.in/company/TCS/</x:v>
      </x:c>
    </x:row>
    <x:row r="45">
      <x:c r="A45" t="str">
        <x:v>2026-03-31</x:v>
      </x:c>
      <x:c r="B45" s="38" t="n">
        <x:v>71.77</x:v>
      </x:c>
      <x:c r="C45" s="38" t="n">
        <x:v>9.66</x:v>
      </x:c>
      <x:c r="D45" s="38" t="n">
        <x:v>13.34</x:v>
      </x:c>
      <x:c r="E45" s="38" t="n">
        <x:v>0.06</x:v>
      </x:c>
      <x:c r="F45" s="38" t="n">
        <x:v>5.16</x:v>
      </x:c>
      <x:c r="G45" s="38" t="n">
        <x:f>IF(COUNT(B45:F45)=5,SUM(B45:F45),"")</x:f>
        <x:v>99.99</x:v>
      </x:c>
      <x:c r="H45" s="38" t="n">
        <x:f>IF(G45="","",ROUND(G45-100,2))</x:f>
        <x:v>-0.01</x:v>
      </x:c>
      <x:c r="I45" s="38"/>
      <x:c r="J45" s="38"/>
      <x:c r="K45" s="38"/>
      <x:c r="L45" s="38"/>
      <x:c r="M45" s="38"/>
      <x:c r="N45" s="49" t="str">
        <x:v>Screener quarterly categories (not filing-audited)</x:v>
      </x:c>
      <x:c r="O45" t="str">
        <x:v>https://www.screener.in/company/TCS/</x:v>
      </x:c>
    </x:row>
    <x:row r="46">
      <x:c r="A46" t="str">
        <x:v>2026-06-30</x:v>
      </x:c>
      <x:c r="B46" s="38" t="n">
        <x:v>71.77</x:v>
      </x:c>
      <x:c r="C46" s="38" t="n">
        <x:v>9.07</x:v>
      </x:c>
      <x:c r="D46" s="38" t="n">
        <x:v>13.41</x:v>
      </x:c>
      <x:c r="E46" s="38" t="n">
        <x:v>0.06</x:v>
      </x:c>
      <x:c r="F46" s="38" t="n">
        <x:v>5.69</x:v>
      </x:c>
      <x:c r="G46" s="38" t="n">
        <x:f>IF(COUNT(B46:F46)=5,SUM(B46:F46),"")</x:f>
        <x:v>100</x:v>
      </x:c>
      <x:c r="H46" s="38" t="n">
        <x:f>IF(G46="","",ROUND(G46-100,2))</x:f>
        <x:v>0</x:v>
      </x:c>
      <x:c r="I46" s="38"/>
      <x:c r="J46" s="38"/>
      <x:c r="K46" s="38"/>
      <x:c r="L46" s="38"/>
      <x:c r="M46" s="38"/>
      <x:c r="N46" s="49" t="str">
        <x:v>Screener quarterly categories (not filing-audited)</x:v>
      </x:c>
      <x:c r="O46" t="str">
        <x:v>https://www.screener.in/company/TCS/</x:v>
      </x:c>
    </x:row>
    <x:row r="47">
      <x:c r="A47" t="str">
        <x:v>2026-09-30</x:v>
      </x:c>
      <x:c r="B47" s="38" t="n">
        <x:v>71.77</x:v>
      </x:c>
      <x:c r="C47" s="38" t="n">
        <x:v>9.01</x:v>
      </x:c>
      <x:c r="D47" s="38" t="n">
        <x:v>13.57</x:v>
      </x:c>
      <x:c r="E47" s="38" t="n">
        <x:v>0</x:v>
      </x:c>
      <x:c r="F47" s="38" t="n">
        <x:v>5.65</x:v>
      </x:c>
      <x:c r="G47" s="38" t="n">
        <x:f>IF(COUNT(B47:F47)=5,SUM(B47:F47),"")</x:f>
        <x:v>100</x:v>
      </x:c>
      <x:c r="H47" s="38" t="n">
        <x:f>IF(G47="","",ROUND(G47-100,2))</x:f>
        <x:v>0</x:v>
      </x:c>
      <x:c r="I47" s="38" t="n">
        <x:v>5.65</x:v>
      </x:c>
      <x:c r="J47" s="38" t="n">
        <x:v>6.8</x:v>
      </x:c>
      <x:c r="K47" s="38" t="n">
        <x:v>1.12</x:v>
      </x:c>
      <x:c r="L47" s="38" t="n">
        <x:v>4.67</x:v>
      </x:c>
      <x:c r="M47" s="38" t="n">
        <x:v>0.98</x:v>
      </x:c>
      <x:c r="N47" s="49" t="str">
        <x:v>NSE-filing-derived category detail reported by FundTracker; government included in other public in this classification</x:v>
      </x:c>
      <x:c r="O47" t="str">
        <x:v>https://fundtrackerindia.com/stock/TCS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15" hidden="0" customWidth="1"/>
  </x:cols>
  <x:sheetData>
    <x:row r="1">
      <x:c r="A1" s="46" t="str">
        <x:v>Topic</x:v>
      </x:c>
      <x:c r="B1" s="46" t="str">
        <x:v>Explanation</x:v>
      </x:c>
    </x:row>
    <x:row r="2">
      <x:c r="A2" t="str">
        <x:v>Start</x:v>
      </x:c>
      <x:c r="B2" t="str">
        <x:v>FY16 means fiscal year ended 31 March 2016. First observation Mar 2016.</x:v>
      </x:c>
    </x:row>
    <x:row r="3">
      <x:c r="A3" t="str">
        <x:v>New data source</x:v>
      </x:c>
      <x:c r="B3" t="str">
        <x:v>Mar and Jun 2016: Trendlyne filing-derived holding breakdown; Mar 2017/2018/2019: Screener yearly history.</x:v>
      </x:c>
    </x:row>
    <x:row r="4">
      <x:c r="A4" t="str">
        <x:v>DII construction FY16</x:v>
      </x:c>
      <x:c r="B4" t="str">
        <x:v>DII is calculated from mutual funds + insurers + banks/institutions, not an independently named DII row in old regulatory filing.</x:v>
      </x:c>
    </x:row>
    <x:row r="5">
      <x:c r="A5" t="str">
        <x:v>Government FY16</x:v>
      </x:c>
      <x:c r="B5" t="str">
        <x:v>Not reliably separated in Mar/Jun 2016 from selected sourced excerpt; blank retained.</x:v>
      </x:c>
    </x:row>
    <x:row r="6">
      <x:c r="A6" t="str">
        <x:v>Quarterly gaps</x:v>
      </x:c>
      <x:c r="B6" t="str">
        <x:v>Many FY17–FY20 interim quarters lack independently verified category figures and are intentionally blank.</x:v>
      </x:c>
    </x:row>
    <x:row r="7">
      <x:c r="A7" t="str">
        <x:v>Publication warning</x:v>
      </x:c>
      <x:c r="B7" t="str">
        <x:v>A fully audited quarterly series requires extraction of corresponding original exchange shareholding reports. Sep 2022 XBRL regrouping can affect comparability.</x:v>
      </x:c>
    </x:row>
  </x:sheetData>
  <x:pageMargins left="0.7" right="0.7" top="0.75" bottom="0.75" header="0.3" footer="0.3"/>
</x:worksheet>
</file>