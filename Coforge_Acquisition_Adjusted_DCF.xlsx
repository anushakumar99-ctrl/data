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36d981270849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6b2602625914cec"/>
    <x:sheet xmlns:r="http://schemas.openxmlformats.org/officeDocument/2006/relationships" name="FCFF Forecast" sheetId="2" r:id="R7043ee5ed93d4680"/>
    <x:sheet xmlns:r="http://schemas.openxmlformats.org/officeDocument/2006/relationships" name="DCF Valuation" sheetId="3" r:id="R766e1c5ce2494287"/>
    <x:sheet xmlns:r="http://schemas.openxmlformats.org/officeDocument/2006/relationships" name="Sources &amp; Notes" sheetId="4" r:id="R92319e115b46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;[Red](#,##0.0);-"/>
    <x:numFmt numFmtId="201" formatCode="0.0%;[Red](0.0%);-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name val="Carlito"/>
    </x:font>
    <x:font>
      <x:b/>
      <x:sz val="11"/>
      <x:color rgb="FF00634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4263A"/>
      </x:patternFill>
    </x:fill>
    <x:fill>
      <x:patternFill patternType="solid">
        <x:fgColor rgb="FFFFF2B3"/>
      </x:patternFill>
    </x:fill>
    <x:fill>
      <x:patternFill patternType="solid">
        <x:fgColor rgb="FFEAF0F6"/>
      </x:patternFill>
    </x:fill>
    <x:fill>
      <x:patternFill patternType="solid">
        <x:fgColor rgb="FFDBF4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201" fontId="2" fillId="3" borderId="0" xfId="0" applyNumberFormat="1" applyFont="1" applyFill="1" applyBorder="1"/>
    <x:xf numFmtId="201" fontId="2" fillId="3" borderId="1" xfId="0" applyNumberFormat="1" applyFont="1" applyFill="1" applyBorder="1"/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3" fillId="4" borderId="0" xfId="0" applyNumberFormat="1" applyFont="1" applyFill="1" applyBorder="1"/>
    <x:xf numFmtId="200" fontId="0" fillId="0" borderId="1" xfId="0" applyNumberFormat="1" applyFont="1" applyFill="1" applyBorder="1"/>
    <x:xf numFmtId="20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5" borderId="0" xfId="0" applyNumberFormat="1" applyFont="1" applyFill="1" applyBorder="1"/>
    <x:xf numFmtId="200" fontId="4" fillId="5" borderId="0" xfId="0" applyNumberFormat="1" applyFont="1" applyFill="1" applyBorder="1"/>
    <x:xf numFmtId="200" fontId="0" fillId="5" borderId="1" xfId="0" applyNumberFormat="1" applyFont="1" applyFill="1" applyBorder="1"/>
    <x:xf numFmtId="200" fontId="4" fillId="5" borderId="1" xfId="0" applyNumberFormat="1" applyFont="1" applyFill="1" applyBorder="1"/>
    <x:xf numFmtId="200" fontId="0" fillId="4" borderId="0" xfId="0" applyNumberFormat="1" applyFont="1" applyFill="1" applyBorder="1"/>
    <x:xf numFmtId="200" fontId="4" fillId="4" borderId="0" xfId="0" applyNumberFormat="1" applyFont="1" applyFill="1" applyBorder="1"/>
    <x:xf numFmtId="200" fontId="0" fillId="4" borderId="1" xfId="0" applyNumberFormat="1" applyFont="1" applyFill="1" applyBorder="1"/>
    <x:xf numFmtId="200" fontId="4" fillId="4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ebf66de1d64a64" /><Relationship Type="http://schemas.openxmlformats.org/officeDocument/2006/relationships/theme" Target="/xl/theme/theme1.xml" Id="R513b41868266435c" /><Relationship Type="http://schemas.openxmlformats.org/officeDocument/2006/relationships/sharedStrings" Target="/xl/sharedStrings.xml" Id="R1fa4796948dd4235" /><Relationship Type="http://schemas.openxmlformats.org/officeDocument/2006/relationships/worksheet" Target="/xl/worksheets/sheet1.xml" Id="R66b2602625914cec" /><Relationship Type="http://schemas.openxmlformats.org/officeDocument/2006/relationships/worksheet" Target="/xl/worksheets/sheet2.xml" Id="R7043ee5ed93d4680" /><Relationship Type="http://schemas.openxmlformats.org/officeDocument/2006/relationships/worksheet" Target="/xl/worksheets/sheet3.xml" Id="R766e1c5ce2494287" /><Relationship Type="http://schemas.openxmlformats.org/officeDocument/2006/relationships/worksheet" Target="/xl/worksheets/sheet4.xml" Id="R92319e115b4642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53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8" customHeight="1">
      <x:c r="A1" s="3" t="str">
        <x:v>COFORGE | Acquisition-adjusted FCFF DCF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3" t="str">
        <x:v>ASSUMPTIONS / ANCHORS</x:v>
      </x:c>
      <x:c r="B3" s="3" t="str">
        <x:v>Value</x:v>
      </x:c>
      <x:c r="C3" s="3" t="str">
        <x:v>Status / evidence</x:v>
      </x:c>
    </x:row>
    <x:row r="4">
      <x:c r="A4" t="str">
        <x:v>FY26 revenue (₹ cr)</x:v>
      </x:c>
      <x:c r="B4" s="8" t="n">
        <x:v>16402.7</x:v>
      </x:c>
      <x:c r="C4" t="str">
        <x:v>Disclosed, consolidated</x:v>
      </x:c>
    </x:row>
    <x:row r="5">
      <x:c r="A5" t="str">
        <x:v>FY26 EBIT (₹ cr)</x:v>
      </x:c>
      <x:c r="B5" s="8" t="n">
        <x:v>2364.5</x:v>
      </x:c>
      <x:c r="C5" t="str">
        <x:v>Disclosed</x:v>
      </x:c>
    </x:row>
    <x:row r="6">
      <x:c r="A6" t="str">
        <x:v>FY26 D&amp;A (₹ cr)</x:v>
      </x:c>
      <x:c r="B6" s="8" t="n">
        <x:v>681.9</x:v>
      </x:c>
      <x:c r="C6" t="str">
        <x:v>Disclosed EBITDA - EBIT</x:v>
      </x:c>
    </x:row>
    <x:row r="7">
      <x:c r="A7" t="str">
        <x:v>FY26 closing cash (₹ cr)</x:v>
      </x:c>
      <x:c r="B7" s="8" t="n">
        <x:v>1093.6</x:v>
      </x:c>
      <x:c r="C7" t="str">
        <x:v>Disclosed 31 Mar 2026</x:v>
      </x:c>
    </x:row>
    <x:row r="8">
      <x:c r="A8" t="str">
        <x:v>FY26 disclosed borrowings (₹ cr)</x:v>
      </x:c>
      <x:c r="B8" s="8" t="n">
        <x:v>283</x:v>
      </x:c>
      <x:c r="C8" t="str">
        <x:v>Short-term only; confirm other debt/leases</x:v>
      </x:c>
    </x:row>
    <x:row r="9">
      <x:c r="A9" t="str">
        <x:v>Encora FY26E revenue (USD mn)</x:v>
      </x:c>
      <x:c r="B9" s="8" t="n">
        <x:v>600</x:v>
      </x:c>
      <x:c r="C9" t="str">
        <x:v>Management acquisition estimate</x:v>
      </x:c>
    </x:row>
    <x:row r="10">
      <x:c r="A10" t="str">
        <x:v>Acquisition debt (USD mn)</x:v>
      </x:c>
      <x:c r="B10" s="8" t="n">
        <x:v>550</x:v>
      </x:c>
      <x:c r="C10" t="str">
        <x:v>Disclosed</x:v>
      </x:c>
    </x:row>
    <x:row r="11">
      <x:c r="A11" t="str">
        <x:v>Acquisition loan rate</x:v>
      </x:c>
      <x:c r="B11" s="10" t="n">
        <x:v>0.046</x:v>
      </x:c>
      <x:c r="C11" t="str">
        <x:v>Disclosed; not FCFF interest</x:v>
      </x:c>
    </x:row>
    <x:row r="12">
      <x:c r="A12" t="str">
        <x:v>Encora new shares issued (mn)</x:v>
      </x:c>
      <x:c r="B12" s="10" t="n">
        <x:v>93.796508</x:v>
      </x:c>
      <x:c r="C12" t="str">
        <x:v>Disclosed</x:v>
      </x:c>
    </x:row>
    <x:row r="13">
      <x:c r="A13" t="str">
        <x:v>New shares / expanded equity</x:v>
      </x:c>
      <x:c r="B13" s="12" t="n">
        <x:v>0.2</x:v>
      </x:c>
      <x:c r="C13" t="str">
        <x:v>Approximate statement; check exact diluted shares</x:v>
      </x:c>
    </x:row>
    <x:row r="14">
      <x:c r="A14" t="str">
        <x:v>FY27 FX (₹ per USD)</x:v>
      </x:c>
      <x:c r="B14" s="8" t="n">
        <x:v>94</x:v>
      </x:c>
      <x:c r="C14" t="str">
        <x:v>Analyst assumption</x:v>
      </x:c>
    </x:row>
    <x:row r="15">
      <x:c r="A15" t="str">
        <x:v>FY28 FX (₹ per USD)</x:v>
      </x:c>
      <x:c r="B15" s="8" t="n">
        <x:v>96</x:v>
      </x:c>
      <x:c r="C15" t="str">
        <x:v>Analyst assumption</x:v>
      </x:c>
    </x:row>
    <x:row r="16">
      <x:c r="A16" t="str">
        <x:v>FY29 FX (₹ per USD)</x:v>
      </x:c>
      <x:c r="B16" s="8" t="n">
        <x:v>98</x:v>
      </x:c>
      <x:c r="C16" t="str">
        <x:v>Analyst assumption</x:v>
      </x:c>
    </x:row>
    <x:row r="17">
      <x:c r="A17" t="str">
        <x:v>FY30 FX (₹ per USD)</x:v>
      </x:c>
      <x:c r="B17" s="8" t="n">
        <x:v>100</x:v>
      </x:c>
      <x:c r="C17" t="str">
        <x:v>Analyst assumption</x:v>
      </x:c>
    </x:row>
    <x:row r="18">
      <x:c r="A18" t="str">
        <x:v>FY31 FX (₹ per USD)</x:v>
      </x:c>
      <x:c r="B18" s="8" t="n">
        <x:v>102</x:v>
      </x:c>
      <x:c r="C18" t="str">
        <x:v>Analyst assumption</x:v>
      </x:c>
    </x:row>
    <x:row r="19">
      <x:c r="A19" t="str">
        <x:v>FY27 legacy organic growth</x:v>
      </x:c>
      <x:c r="B19" s="10" t="n">
        <x:v>0.12</x:v>
      </x:c>
      <x:c r="C19" t="str">
        <x:v>Analyst scenario</x:v>
      </x:c>
    </x:row>
    <x:row r="20">
      <x:c r="A20" t="str">
        <x:v>FY28 legacy organic growth</x:v>
      </x:c>
      <x:c r="B20" s="10" t="n">
        <x:v>0.12</x:v>
      </x:c>
      <x:c r="C20" t="str">
        <x:v>Analyst scenario</x:v>
      </x:c>
    </x:row>
    <x:row r="21">
      <x:c r="A21" t="str">
        <x:v>FY29 legacy organic growth</x:v>
      </x:c>
      <x:c r="B21" s="10" t="n">
        <x:v>0.11</x:v>
      </x:c>
      <x:c r="C21" t="str">
        <x:v>Analyst scenario</x:v>
      </x:c>
    </x:row>
    <x:row r="22">
      <x:c r="A22" t="str">
        <x:v>FY30 legacy organic growth</x:v>
      </x:c>
      <x:c r="B22" s="10" t="n">
        <x:v>0.1</x:v>
      </x:c>
      <x:c r="C22" t="str">
        <x:v>Analyst scenario</x:v>
      </x:c>
    </x:row>
    <x:row r="23">
      <x:c r="A23" t="str">
        <x:v>FY31 legacy organic growth</x:v>
      </x:c>
      <x:c r="B23" s="10" t="n">
        <x:v>0.09</x:v>
      </x:c>
      <x:c r="C23" t="str">
        <x:v>Analyst scenario</x:v>
      </x:c>
    </x:row>
    <x:row r="24">
      <x:c r="A24" t="str">
        <x:v>FY27 Encora organic growth</x:v>
      </x:c>
      <x:c r="B24" s="10" t="n">
        <x:v>0.08</x:v>
      </x:c>
      <x:c r="C24" t="str">
        <x:v>Analyst scenario</x:v>
      </x:c>
    </x:row>
    <x:row r="25">
      <x:c r="A25" t="str">
        <x:v>FY28 Encora organic growth</x:v>
      </x:c>
      <x:c r="B25" s="10" t="n">
        <x:v>0.1</x:v>
      </x:c>
      <x:c r="C25" t="str">
        <x:v>Analyst scenario</x:v>
      </x:c>
    </x:row>
    <x:row r="26">
      <x:c r="A26" t="str">
        <x:v>FY29 Encora organic growth</x:v>
      </x:c>
      <x:c r="B26" s="10" t="n">
        <x:v>0.1</x:v>
      </x:c>
      <x:c r="C26" t="str">
        <x:v>Analyst scenario</x:v>
      </x:c>
    </x:row>
    <x:row r="27">
      <x:c r="A27" t="str">
        <x:v>FY30 Encora organic growth</x:v>
      </x:c>
      <x:c r="B27" s="10" t="n">
        <x:v>0.09</x:v>
      </x:c>
      <x:c r="C27" t="str">
        <x:v>Analyst scenario</x:v>
      </x:c>
    </x:row>
    <x:row r="28">
      <x:c r="A28" t="str">
        <x:v>FY31 Encora organic growth</x:v>
      </x:c>
      <x:c r="B28" s="10" t="n">
        <x:v>0.08</x:v>
      </x:c>
      <x:c r="C28" t="str">
        <x:v>Analyst scenario</x:v>
      </x:c>
    </x:row>
    <x:row r="29">
      <x:c r="A29" t="str">
        <x:v>FY27 reported EBIT margin</x:v>
      </x:c>
      <x:c r="B29" s="10" t="n">
        <x:v>0.16</x:v>
      </x:c>
      <x:c r="C29" t="str">
        <x:v>Company guidance</x:v>
      </x:c>
    </x:row>
    <x:row r="30">
      <x:c r="A30" t="str">
        <x:v>FY28 reported EBIT margin</x:v>
      </x:c>
      <x:c r="B30" s="10" t="n">
        <x:v>0.17</x:v>
      </x:c>
      <x:c r="C30" t="str">
        <x:v>Management outlook</x:v>
      </x:c>
    </x:row>
    <x:row r="31">
      <x:c r="A31" t="str">
        <x:v>FY29 EBIT margin</x:v>
      </x:c>
      <x:c r="B31" s="10" t="n">
        <x:v>0.175</x:v>
      </x:c>
      <x:c r="C31" t="str">
        <x:v>Analyst assumption</x:v>
      </x:c>
    </x:row>
    <x:row r="32">
      <x:c r="A32" t="str">
        <x:v>FY30 EBIT margin</x:v>
      </x:c>
      <x:c r="B32" s="10" t="n">
        <x:v>0.18</x:v>
      </x:c>
      <x:c r="C32" t="str">
        <x:v>Analyst assumption</x:v>
      </x:c>
    </x:row>
    <x:row r="33">
      <x:c r="A33" t="str">
        <x:v>FY31 EBIT margin</x:v>
      </x:c>
      <x:c r="B33" s="10" t="n">
        <x:v>0.18</x:v>
      </x:c>
      <x:c r="C33" t="str">
        <x:v>Analyst assumption</x:v>
      </x:c>
    </x:row>
    <x:row r="34">
      <x:c r="A34" t="str">
        <x:v>Effective cash tax rate</x:v>
      </x:c>
      <x:c r="B34" s="10" t="n">
        <x:v>0.255</x:v>
      </x:c>
      <x:c r="C34" t="str">
        <x:v>Analyst assumption</x:v>
      </x:c>
    </x:row>
    <x:row r="35">
      <x:c r="A35" t="str">
        <x:v>D&amp;A / revenue</x:v>
      </x:c>
      <x:c r="B35" s="12" t="n">
        <x:v>0.042</x:v>
      </x:c>
      <x:c r="C35" t="str">
        <x:v>Analyst estimate; incl acquired amortization</x:v>
      </x:c>
    </x:row>
    <x:row r="36">
      <x:c r="A36" t="str">
        <x:v>Operating capex / revenue</x:v>
      </x:c>
      <x:c r="B36" s="12" t="n">
        <x:v>0.025</x:v>
      </x:c>
      <x:c r="C36" t="str">
        <x:v>Analyst estimate; excludes purchase price</x:v>
      </x:c>
    </x:row>
    <x:row r="37">
      <x:c r="A37" t="str">
        <x:v>Operating incremental NWC / revenue</x:v>
      </x:c>
      <x:c r="B37" s="12" t="n">
        <x:v>0.08</x:v>
      </x:c>
      <x:c r="C37" t="str">
        <x:v>Analyst estimate; applies to organic revenue increments only</x:v>
      </x:c>
    </x:row>
    <x:row r="38">
      <x:c r="A38" t="str">
        <x:v>FY27 integration cash cost (₹ cr)</x:v>
      </x:c>
      <x:c r="B38" s="14" t="n">
        <x:v>80</x:v>
      </x:c>
      <x:c r="C38" t="str">
        <x:v>Analyst assumption; after EBIT if non-operating</x:v>
      </x:c>
    </x:row>
    <x:row r="39">
      <x:c r="A39" t="str">
        <x:v>FY28 integration cash cost (₹ cr)</x:v>
      </x:c>
      <x:c r="B39" s="14" t="n">
        <x:v>30</x:v>
      </x:c>
      <x:c r="C39" t="str">
        <x:v>Analyst assumption</x:v>
      </x:c>
    </x:row>
    <x:row r="40">
      <x:c r="A40" t="str">
        <x:v>WACC</x:v>
      </x:c>
      <x:c r="B40" s="12" t="n">
        <x:v>0.105</x:v>
      </x:c>
      <x:c r="C40" t="str">
        <x:v>Analyst placeholder; update using separate WACC</x:v>
      </x:c>
    </x:row>
    <x:row r="41">
      <x:c r="A41" t="str">
        <x:v>Terminal growth</x:v>
      </x:c>
      <x:c r="B41" s="12" t="n">
        <x:v>0.035</x:v>
      </x:c>
      <x:c r="C41" t="str">
        <x:v>Analyst placeholder</x:v>
      </x:c>
    </x:row>
    <x:row r="42">
      <x:c r="A42" t="str">
        <x:v>FY26-end other financial debt (₹ cr)</x:v>
      </x:c>
      <x:c r="B42" s="14" t="n">
        <x:v>0</x:v>
      </x:c>
      <x:c r="C42" t="str">
        <x:v>REVIEW! Lease / long term debt excluded</x:v>
      </x:c>
    </x:row>
    <x:row r="43">
      <x:c r="A43" t="str">
        <x:v>Other financial investments (₹ cr)</x:v>
      </x:c>
      <x:c r="B43" s="14" t="n">
        <x:v>0</x:v>
      </x:c>
      <x:c r="C43" t="str">
        <x:v>REVIEW! Include non-operating investments</x:v>
      </x:c>
    </x:row>
    <x:row r="44">
      <x:c r="A44" t="str">
        <x:v>Non-controlling interest (₹ cr)</x:v>
      </x:c>
      <x:c r="B44" s="14" t="n">
        <x:v>0</x:v>
      </x:c>
      <x:c r="C44" t="str">
        <x:v>REVIEW! Market value / appropriate adjustment</x:v>
      </x:c>
    </x:row>
    <x:row r="45">
      <x:c r="A45" t="str">
        <x:v>Other claims / acquisition adjustment (₹ cr)</x:v>
      </x:c>
      <x:c r="B45" s="14" t="n">
        <x:v>0</x:v>
      </x:c>
      <x:c r="C45" t="str">
        <x:v>REVIEW! Debt-like claims etc</x:v>
      </x:c>
    </x:row>
    <x:row r="46">
      <x:c r="A46" t="str">
        <x:v>Assumed start FY27 (discount periods)</x:v>
      </x:c>
      <x:c r="B46" s="8" t="n">
        <x:v>1</x:v>
      </x:c>
      <x:c r="C46" t="str">
        <x:v>FY26-end valuation; 1=year end</x:v>
      </x:c>
    </x:row>
    <x:row r="47">
      <x:c r="A47" t="str">
        <x:v>Encora FY27 consolidation fraction</x:v>
      </x:c>
      <x:c r="B47" s="10" t="n">
        <x:v>0.9166666666666666</x:v>
      </x:c>
      <x:c r="C47" t="str">
        <x:v>May 1 close; FY27 11 months</x:v>
      </x:c>
    </x:row>
  </x:sheetData>
  <x:mergeCells>
    <x:mergeCell ref="A1:L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8" customHeight="1">
      <x:c r="A1" s="3" t="str">
        <x:v>COFORGE | Acquisition-adjusted FCFF DCF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3" t="str">
        <x:v>₹ crore unless stated</x:v>
      </x:c>
      <x:c r="B3" s="3" t="str">
        <x:v>FY26A</x:v>
      </x:c>
      <x:c r="C3" s="3" t="str">
        <x:v>FY27E</x:v>
      </x:c>
      <x:c r="D3" s="3" t="str">
        <x:v>FY28E</x:v>
      </x:c>
      <x:c r="E3" s="3" t="str">
        <x:v>FY29E</x:v>
      </x:c>
      <x:c r="F3" s="3" t="str">
        <x:v>FY30E</x:v>
      </x:c>
      <x:c r="G3" s="3" t="str">
        <x:v>FY31E</x:v>
      </x:c>
    </x:row>
    <x:row r="5">
      <x:c r="A5" t="str">
        <x:v>Legacy Coforge revenues</x:v>
      </x:c>
      <x:c r="B5" s="20" t="n">
        <x:f>Inputs!B4</x:f>
        <x:v>16402.7</x:v>
      </x:c>
      <x:c r="C5" s="20" t="n">
        <x:f>B5*(1+Inputs!B19)</x:f>
        <x:v>18371.024</x:v>
      </x:c>
      <x:c r="D5" s="20" t="n">
        <x:f>C5*(1+Inputs!B20)</x:f>
        <x:v>20575.54688</x:v>
      </x:c>
      <x:c r="E5" s="20" t="n">
        <x:f>D5*(1+Inputs!B21)</x:f>
        <x:v>22838.857036800004</x:v>
      </x:c>
      <x:c r="F5" s="20" t="n">
        <x:f>E5*(1+Inputs!B22)</x:f>
        <x:v>25122.742740480007</x:v>
      </x:c>
      <x:c r="G5" s="20" t="n">
        <x:f>F5*(1+Inputs!B23)</x:f>
        <x:v>27383.78958712321</x:v>
      </x:c>
    </x:row>
    <x:row r="6">
      <x:c r="A6" t="str">
        <x:v>Legacy organic growth</x:v>
      </x:c>
      <x:c r="B6" s="24"/>
      <x:c r="C6" s="24" t="n">
        <x:f>Inputs!B19</x:f>
        <x:v>0.12</x:v>
      </x:c>
      <x:c r="D6" s="24" t="n">
        <x:f>Inputs!B20</x:f>
        <x:v>0.12</x:v>
      </x:c>
      <x:c r="E6" s="24" t="n">
        <x:f>Inputs!B21</x:f>
        <x:v>0.11</x:v>
      </x:c>
      <x:c r="F6" s="24" t="n">
        <x:f>Inputs!B22</x:f>
        <x:v>0.1</x:v>
      </x:c>
      <x:c r="G6" s="24" t="n">
        <x:f>Inputs!B23</x:f>
        <x:v>0.09</x:v>
      </x:c>
    </x:row>
    <x:row r="7">
      <x:c r="B7" s="20"/>
      <x:c r="C7" s="20"/>
      <x:c r="D7" s="20"/>
      <x:c r="E7" s="20"/>
      <x:c r="F7" s="20"/>
      <x:c r="G7" s="20"/>
    </x:row>
    <x:row r="8">
      <x:c r="A8" t="str">
        <x:v>Encora revenue (USD mn, annualized)</x:v>
      </x:c>
      <x:c r="B8" s="20" t="n">
        <x:f>Inputs!B9</x:f>
        <x:v>600</x:v>
      </x:c>
      <x:c r="C8" s="20" t="n">
        <x:f>B8*(1+Inputs!B24)</x:f>
        <x:v>648</x:v>
      </x:c>
      <x:c r="D8" s="20" t="n">
        <x:f>C8*(1+Inputs!B25)</x:f>
        <x:v>712.8000000000001</x:v>
      </x:c>
      <x:c r="E8" s="20" t="n">
        <x:f>D8*(1+Inputs!B26)</x:f>
        <x:v>784.0800000000002</x:v>
      </x:c>
      <x:c r="F8" s="20" t="n">
        <x:f>E8*(1+Inputs!B27)</x:f>
        <x:v>854.6472000000002</x:v>
      </x:c>
      <x:c r="G8" s="20" t="n">
        <x:f>F8*(1+Inputs!B28)</x:f>
        <x:v>923.0189760000003</x:v>
      </x:c>
    </x:row>
    <x:row r="9">
      <x:c r="A9" t="str">
        <x:v>Encora consolidated portion</x:v>
      </x:c>
      <x:c r="B9" s="24"/>
      <x:c r="C9" s="24" t="n">
        <x:f>Inputs!B47</x:f>
        <x:v>0.9166666666666666</x:v>
      </x:c>
      <x:c r="D9" s="24" t="n">
        <x:f>1</x:f>
        <x:v>1</x:v>
      </x:c>
      <x:c r="E9" s="24" t="n">
        <x:f>1</x:f>
        <x:v>1</x:v>
      </x:c>
      <x:c r="F9" s="24" t="n">
        <x:f>1</x:f>
        <x:v>1</x:v>
      </x:c>
      <x:c r="G9" s="24" t="n">
        <x:f>1</x:f>
        <x:v>1</x:v>
      </x:c>
    </x:row>
    <x:row r="10">
      <x:c r="A10" t="str">
        <x:v>FX INR/USD</x:v>
      </x:c>
      <x:c r="B10" s="20" t="n">
        <x:f>Inputs!B14</x:f>
        <x:v>94</x:v>
      </x:c>
      <x:c r="C10" s="20" t="n">
        <x:f>Inputs!B14</x:f>
        <x:v>94</x:v>
      </x:c>
      <x:c r="D10" s="20" t="n">
        <x:f>Inputs!B15</x:f>
        <x:v>96</x:v>
      </x:c>
      <x:c r="E10" s="20" t="n">
        <x:f>Inputs!B16</x:f>
        <x:v>98</x:v>
      </x:c>
      <x:c r="F10" s="20" t="n">
        <x:f>Inputs!B17</x:f>
        <x:v>100</x:v>
      </x:c>
      <x:c r="G10" s="20" t="n">
        <x:f>Inputs!B18</x:f>
        <x:v>102</x:v>
      </x:c>
    </x:row>
    <x:row r="11">
      <x:c r="A11" t="str">
        <x:v>Encora reported revenue (₹ cr)</x:v>
      </x:c>
      <x:c r="B11" s="20"/>
      <x:c r="C11" s="20" t="n">
        <x:f>C8*C9*C10/10</x:f>
        <x:v>5583.6</x:v>
      </x:c>
      <x:c r="D11" s="20" t="n">
        <x:f>D8*D9*D10/10</x:f>
        <x:v>6842.88</x:v>
      </x:c>
      <x:c r="E11" s="20" t="n">
        <x:f>E8*E9*E10/10</x:f>
        <x:v>7683.984000000001</x:v>
      </x:c>
      <x:c r="F11" s="20" t="n">
        <x:f>F8*F9*F10/10</x:f>
        <x:v>8546.472000000002</x:v>
      </x:c>
      <x:c r="G11" s="20" t="n">
        <x:f>G8*G9*G10/10</x:f>
        <x:v>9414.793555200002</x:v>
      </x:c>
    </x:row>
    <x:row r="12">
      <x:c r="B12" s="20"/>
      <x:c r="C12" s="20"/>
      <x:c r="D12" s="20"/>
      <x:c r="E12" s="20"/>
      <x:c r="F12" s="20"/>
      <x:c r="G12" s="20"/>
    </x:row>
    <x:row r="13">
      <x:c r="A13" s="18" t="str">
        <x:v>Consolidated operating revenue</x:v>
      </x:c>
      <x:c r="B13" s="21" t="n">
        <x:f>B5</x:f>
        <x:v>16402.7</x:v>
      </x:c>
      <x:c r="C13" s="21" t="n">
        <x:f>SUM(C5,C11)</x:f>
        <x:v>23954.624000000003</x:v>
      </x:c>
      <x:c r="D13" s="21" t="n">
        <x:f>SUM(D5,D11)</x:f>
        <x:v>27418.426880000003</x:v>
      </x:c>
      <x:c r="E13" s="21" t="n">
        <x:f>SUM(E5,E11)</x:f>
        <x:v>30522.841036800004</x:v>
      </x:c>
      <x:c r="F13" s="21" t="n">
        <x:f>SUM(F5,F11)</x:f>
        <x:v>33669.214740480005</x:v>
      </x:c>
      <x:c r="G13" s="21" t="n">
        <x:f>SUM(G5,G11)</x:f>
        <x:v>36798.583142323216</x:v>
      </x:c>
    </x:row>
    <x:row r="14">
      <x:c r="A14" t="str">
        <x:v>Reported revenue growth</x:v>
      </x:c>
      <x:c r="B14" s="24"/>
      <x:c r="C14" s="24" t="n">
        <x:f>C13/B13-1</x:f>
        <x:v>0.46040737195705606</x:v>
      </x:c>
      <x:c r="D14" s="24" t="n">
        <x:f>D13/C13-1</x:f>
        <x:v>0.14459850757832804</x:v>
      </x:c>
      <x:c r="E14" s="24" t="n">
        <x:f>E13/D13-1</x:f>
        <x:v>0.11322364227484094</x:v>
      </x:c>
      <x:c r="F14" s="24" t="n">
        <x:f>F13/E13-1</x:f>
        <x:v>0.10308259640334794</x:v>
      </x:c>
      <x:c r="G14" s="24" t="n">
        <x:f>G13/F13-1</x:f>
        <x:v>0.09294450215023331</x:v>
      </x:c>
    </x:row>
    <x:row r="15">
      <x:c r="B15" s="20"/>
      <x:c r="C15" s="20"/>
      <x:c r="D15" s="20"/>
      <x:c r="E15" s="20"/>
      <x:c r="F15" s="20"/>
      <x:c r="G15" s="20"/>
    </x:row>
    <x:row r="16">
      <x:c r="A16" t="str">
        <x:v>EBIT margin</x:v>
      </x:c>
      <x:c r="B16" s="24" t="n">
        <x:f>B17/B13</x:f>
        <x:v>0.1441530967462674</x:v>
      </x:c>
      <x:c r="C16" s="24" t="n">
        <x:f>Inputs!B29</x:f>
        <x:v>0.16</x:v>
      </x:c>
      <x:c r="D16" s="24" t="n">
        <x:f>Inputs!B30</x:f>
        <x:v>0.17</x:v>
      </x:c>
      <x:c r="E16" s="24" t="n">
        <x:f>Inputs!B31</x:f>
        <x:v>0.175</x:v>
      </x:c>
      <x:c r="F16" s="24" t="n">
        <x:f>Inputs!B32</x:f>
        <x:v>0.18</x:v>
      </x:c>
      <x:c r="G16" s="24" t="n">
        <x:f>Inputs!B33</x:f>
        <x:v>0.18</x:v>
      </x:c>
    </x:row>
    <x:row r="17">
      <x:c r="A17" t="str">
        <x:v>EBIT</x:v>
      </x:c>
      <x:c r="B17" s="20" t="n">
        <x:f>Inputs!B5</x:f>
        <x:v>2364.5</x:v>
      </x:c>
      <x:c r="C17" s="20" t="n">
        <x:f>C13*C16</x:f>
        <x:v>3832.7398400000006</x:v>
      </x:c>
      <x:c r="D17" s="20" t="n">
        <x:f>D13*D16</x:f>
        <x:v>4661.1325696</x:v>
      </x:c>
      <x:c r="E17" s="20" t="n">
        <x:f>E13*E16</x:f>
        <x:v>5341.4971814400005</x:v>
      </x:c>
      <x:c r="F17" s="20" t="n">
        <x:f>F13*F16</x:f>
        <x:v>6060.4586532864005</x:v>
      </x:c>
      <x:c r="G17" s="20" t="n">
        <x:f>G13*G16</x:f>
        <x:v>6623.744965618179</x:v>
      </x:c>
    </x:row>
    <x:row r="18">
      <x:c r="A18" t="str">
        <x:v>Less: cash operating taxes</x:v>
      </x:c>
      <x:c r="B18" s="20"/>
      <x:c r="C18" s="20" t="n">
        <x:f>-C17*Inputs!B34</x:f>
        <x:v>-977.3486592000002</x:v>
      </x:c>
      <x:c r="D18" s="20" t="n">
        <x:f>-D17*Inputs!B34</x:f>
        <x:v>-1188.5888052480002</x:v>
      </x:c>
      <x:c r="E18" s="20" t="n">
        <x:f>-E17*Inputs!B34</x:f>
        <x:v>-1362.0817812672</x:v>
      </x:c>
      <x:c r="F18" s="20" t="n">
        <x:f>-F17*Inputs!B34</x:f>
        <x:v>-1545.4169565880322</x:v>
      </x:c>
      <x:c r="G18" s="20" t="n">
        <x:f>-G17*Inputs!B34</x:f>
        <x:v>-1689.0549662326357</x:v>
      </x:c>
    </x:row>
    <x:row r="19">
      <x:c r="A19" s="18" t="str">
        <x:v>NOPAT</x:v>
      </x:c>
      <x:c r="B19" s="21"/>
      <x:c r="C19" s="21" t="n">
        <x:f>SUM(C17:C18)</x:f>
        <x:v>2855.3911808000003</x:v>
      </x:c>
      <x:c r="D19" s="21" t="n">
        <x:f>SUM(D17:D18)</x:f>
        <x:v>3472.543764352</x:v>
      </x:c>
      <x:c r="E19" s="21" t="n">
        <x:f>SUM(E17:E18)</x:f>
        <x:v>3979.4154001728</x:v>
      </x:c>
      <x:c r="F19" s="21" t="n">
        <x:f>SUM(F17:F18)</x:f>
        <x:v>4515.0416966983685</x:v>
      </x:c>
      <x:c r="G19" s="21" t="n">
        <x:f>SUM(G17:G18)</x:f>
        <x:v>4934.689999385543</x:v>
      </x:c>
    </x:row>
    <x:row r="20">
      <x:c r="B20" s="20"/>
      <x:c r="C20" s="20"/>
      <x:c r="D20" s="20"/>
      <x:c r="E20" s="20"/>
      <x:c r="F20" s="20"/>
      <x:c r="G20" s="20"/>
    </x:row>
    <x:row r="21">
      <x:c r="A21" t="str">
        <x:v>D&amp;A addback</x:v>
      </x:c>
      <x:c r="B21" s="20" t="n">
        <x:f>Inputs!B6</x:f>
        <x:v>681.9</x:v>
      </x:c>
      <x:c r="C21" s="20" t="n">
        <x:f>C13*Inputs!B35</x:f>
        <x:v>1006.0942080000002</x:v>
      </x:c>
      <x:c r="D21" s="20" t="n">
        <x:f>D13*Inputs!B35</x:f>
        <x:v>1151.57392896</x:v>
      </x:c>
      <x:c r="E21" s="20" t="n">
        <x:f>E13*Inputs!B35</x:f>
        <x:v>1281.9593235456002</x:v>
      </x:c>
      <x:c r="F21" s="20" t="n">
        <x:f>F13*Inputs!B35</x:f>
        <x:v>1414.1070191001604</x:v>
      </x:c>
      <x:c r="G21" s="20" t="n">
        <x:f>G13*Inputs!B35</x:f>
        <x:v>1545.5404919775751</x:v>
      </x:c>
    </x:row>
    <x:row r="22">
      <x:c r="A22" t="str">
        <x:v>Operating capex</x:v>
      </x:c>
      <x:c r="B22" s="20"/>
      <x:c r="C22" s="20" t="n">
        <x:f>-C13*Inputs!B36</x:f>
        <x:v>-598.8656000000001</x:v>
      </x:c>
      <x:c r="D22" s="20" t="n">
        <x:f>-D13*Inputs!B36</x:f>
        <x:v>-685.4606720000002</x:v>
      </x:c>
      <x:c r="E22" s="20" t="n">
        <x:f>-E13*Inputs!B36</x:f>
        <x:v>-763.0710259200001</x:v>
      </x:c>
      <x:c r="F22" s="20" t="n">
        <x:f>-F13*Inputs!B36</x:f>
        <x:v>-841.7303685120002</x:v>
      </x:c>
      <x:c r="G22" s="20" t="n">
        <x:f>-G13*Inputs!B36</x:f>
        <x:v>-919.9645785580805</x:v>
      </x:c>
    </x:row>
    <x:row r="23">
      <x:c r="A23" t="str">
        <x:v>Δ NWC - legacy organic</x:v>
      </x:c>
      <x:c r="B23" s="20"/>
      <x:c r="C23" s="20" t="n">
        <x:f>-(C5-B5)*Inputs!B37</x:f>
        <x:v>-157.46592000000004</x:v>
      </x:c>
      <x:c r="D23" s="20" t="n">
        <x:f>-(D5-C5)*Inputs!B37</x:f>
        <x:v>-176.36183040000003</x:v>
      </x:c>
      <x:c r="E23" s="20" t="n">
        <x:f>-(E5-D5)*Inputs!B37</x:f>
        <x:v>-181.06481254400018</x:v>
      </x:c>
      <x:c r="F23" s="20" t="n">
        <x:f>-(F5-E5)*Inputs!B37</x:f>
        <x:v>-182.7108562944003</x:v>
      </x:c>
      <x:c r="G23" s="20" t="n">
        <x:f>-(G5-F5)*Inputs!B37</x:f>
        <x:v>-180.88374773145625</x:v>
      </x:c>
    </x:row>
    <x:row r="24">
      <x:c r="A24" t="str">
        <x:v>Δ NWC - acquired organic</x:v>
      </x:c>
      <x:c r="B24" s="20"/>
      <x:c r="C24" s="20" t="n">
        <x:f>-(C8-B8)*C10/10*Inputs!B37</x:f>
        <x:v>-36.096</x:v>
      </x:c>
      <x:c r="D24" s="20" t="n">
        <x:f>-(D8-C8)*D10/10*Inputs!B37</x:f>
        <x:v>-49.76640000000005</x:v>
      </x:c>
      <x:c r="E24" s="20" t="n">
        <x:f>-(E8-D8)*E10/10*Inputs!B37</x:f>
        <x:v>-55.883520000000075</x:v>
      </x:c>
      <x:c r="F24" s="20" t="n">
        <x:f>-(F8-E8)*F10/10*Inputs!B37</x:f>
        <x:v>-56.45376000000006</x:v>
      </x:c>
      <x:c r="G24" s="20" t="n">
        <x:f>-(G8-F8)*G10/10*Inputs!B37</x:f>
        <x:v>-55.79136921600006</x:v>
      </x:c>
    </x:row>
    <x:row r="25">
      <x:c r="A25" t="str">
        <x:v>Integration cash cost (incremental)</x:v>
      </x:c>
      <x:c r="B25" s="20"/>
      <x:c r="C25" s="20" t="n">
        <x:f>-Inputs!B38</x:f>
        <x:v>-80</x:v>
      </x:c>
      <x:c r="D25" s="20" t="n">
        <x:f>-Inputs!B39</x:f>
        <x:v>-30</x:v>
      </x:c>
      <x:c r="E25" s="20" t="n">
        <x:f>0</x:f>
        <x:v>0</x:v>
      </x:c>
      <x:c r="F25" s="20" t="n">
        <x:f>0</x:f>
        <x:v>0</x:v>
      </x:c>
      <x:c r="G25" s="20" t="n">
        <x:f>0</x:f>
        <x:v>0</x:v>
      </x:c>
    </x:row>
    <x:row r="26">
      <x:c r="B26" s="20"/>
      <x:c r="C26" s="20"/>
      <x:c r="D26" s="20"/>
      <x:c r="E26" s="20"/>
      <x:c r="F26" s="20"/>
      <x:c r="G26" s="20"/>
    </x:row>
    <x:row r="27">
      <x:c r="A27" s="18" t="str">
        <x:v>FCFF</x:v>
      </x:c>
      <x:c r="B27" s="21"/>
      <x:c r="C27" s="21" t="n">
        <x:f>SUM(C19,C21:C25)</x:f>
        <x:v>2989.0578688000005</x:v>
      </x:c>
      <x:c r="D27" s="21" t="n">
        <x:f>SUM(D19,D21:D25)</x:f>
        <x:v>3682.5287909119997</x:v>
      </x:c>
      <x:c r="E27" s="21" t="n">
        <x:f>SUM(E19,E21:E25)</x:f>
        <x:v>4261.3553652544</x:v>
      </x:c>
      <x:c r="F27" s="21" t="n">
        <x:f>SUM(F19,F21:F25)</x:f>
        <x:v>4848.253730992128</x:v>
      </x:c>
      <x:c r="G27" s="21" t="n">
        <x:f>SUM(G19,G21:G25)</x:f>
        <x:v>5323.590795857582</x:v>
      </x:c>
    </x:row>
    <x:row r="28">
      <x:c r="B28" s="20"/>
      <x:c r="C28" s="20"/>
      <x:c r="D28" s="20"/>
      <x:c r="E28" s="20"/>
      <x:c r="F28" s="20"/>
      <x:c r="G28" s="20"/>
    </x:row>
    <x:row r="29">
      <x:c r="A29" t="str">
        <x:v>FY27 H1 reported revenue (₹ cr)</x:v>
      </x:c>
      <x:c r="B29" s="20"/>
      <x:c r="C29" s="8" t="n">
        <x:v>11718.5</x:v>
      </x:c>
      <x:c r="D29" s="20"/>
      <x:c r="E29" s="20"/>
      <x:c r="F29" s="20"/>
      <x:c r="G29" s="20"/>
    </x:row>
    <x:row r="30">
      <x:c r="A30" t="str">
        <x:v>FY27 H1 quarterly EBIT (₹ cr)</x:v>
      </x:c>
      <x:c r="B30" s="20"/>
      <x:c r="C30" s="20"/>
      <x:c r="D30" s="20"/>
      <x:c r="E30" s="20"/>
      <x:c r="F30" s="20"/>
      <x:c r="G30" s="20"/>
    </x:row>
    <x:row r="31">
      <x:c r="A31" t="str">
        <x:v>Check: annualized FY27 implied H2 revenue</x:v>
      </x:c>
      <x:c r="B31" s="20"/>
      <x:c r="C31" s="20" t="n">
        <x:f>C13-C29</x:f>
        <x:v>12236.124000000003</x:v>
      </x:c>
      <x:c r="D31" s="20"/>
      <x:c r="E31" s="20"/>
      <x:c r="F31" s="20"/>
      <x:c r="G31" s="20"/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8" hidden="0" customWidth="1"/>
    <x:col min="3" max="3" width="55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8" customHeight="1">
      <x:c r="A1" s="3" t="str">
        <x:v>COFORGE | Acquisition-adjusted FCFF DCF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3" t="str">
        <x:v>DCF equity bridge | FY26-end basis</x:v>
      </x:c>
      <x:c r="B3" s="3" t="str">
        <x:v>Value</x:v>
      </x:c>
      <x:c r="C3" s="3" t="str">
        <x:v>Note</x:v>
      </x:c>
    </x:row>
    <x:row r="5">
      <x:c r="A5" t="str">
        <x:v>PV forecast FCFF</x:v>
      </x:c>
      <x:c r="B5" s="20" t="n">
        <x:f>SUM(D15:H15)</x:f>
        <x:v>15362.628778019514</x:v>
      </x:c>
      <x:c r="C5" t="str">
        <x:v>FY27–31</x:v>
      </x:c>
    </x:row>
    <x:row r="6">
      <x:c r="A6" t="str">
        <x:v>PV terminal value</x:v>
      </x:c>
      <x:c r="B6" s="20" t="n">
        <x:f>H18</x:f>
        <x:v>47778.83820523121</x:v>
      </x:c>
      <x:c r="C6" t="str">
        <x:v>Gordon growth</x:v>
      </x:c>
    </x:row>
    <x:row r="7">
      <x:c r="A7" t="str">
        <x:v>Enterprise value</x:v>
      </x:c>
      <x:c r="B7" s="20" t="n">
        <x:f>SUM(B5:B6)</x:f>
        <x:v>63141.46698325072</x:v>
      </x:c>
      <x:c r="C7" t="str">
        <x:v>₹ crore</x:v>
      </x:c>
    </x:row>
    <x:row r="8">
      <x:c r="B8" s="20"/>
    </x:row>
    <x:row r="9">
      <x:c r="A9" t="str">
        <x:v>FY26 debt incl extra identified</x:v>
      </x:c>
      <x:c r="B9" s="20" t="n">
        <x:f>Inputs!B8+Inputs!B42</x:f>
        <x:v>283</x:v>
      </x:c>
      <x:c r="C9" t="str">
        <x:v>Confirm full debt/lease balance</x:v>
      </x:c>
    </x:row>
    <x:row r="10">
      <x:c r="A10" t="str">
        <x:v>Encora acquisition new debt</x:v>
      </x:c>
      <x:c r="B10" s="20" t="n">
        <x:f>Inputs!B10*Inputs!B14/10</x:f>
        <x:v>5170</x:v>
      </x:c>
      <x:c r="C10" t="str">
        <x:v>Pro forma conversion at FY27 FX proxy</x:v>
      </x:c>
      <x:c r="D10" s="3" t="str">
        <x:v>FY27</x:v>
      </x:c>
      <x:c r="E10" s="3" t="str">
        <x:v>FY28</x:v>
      </x:c>
      <x:c r="F10" s="3" t="str">
        <x:v>FY29</x:v>
      </x:c>
      <x:c r="G10" s="3" t="str">
        <x:v>FY30</x:v>
      </x:c>
      <x:c r="H10" s="3" t="str">
        <x:v>FY31</x:v>
      </x:c>
    </x:row>
    <x:row r="11">
      <x:c r="A11" t="str">
        <x:v>FY26 cash</x:v>
      </x:c>
      <x:c r="B11" s="20" t="n">
        <x:f>Inputs!B7</x:f>
        <x:v>1093.6</x:v>
      </x:c>
      <x:c r="C11" t="str">
        <x:v>31 Mar 2026; update transaction cash</x:v>
      </x:c>
      <x:c r="D11" s="20" t="n">
        <x:f>'FCFF Forecast'!C27</x:f>
        <x:v>2989.0578688000005</x:v>
      </x:c>
      <x:c r="E11" s="20" t="n">
        <x:f>'FCFF Forecast'!D27</x:f>
        <x:v>3682.5287909119997</x:v>
      </x:c>
      <x:c r="F11" s="20" t="n">
        <x:f>'FCFF Forecast'!E27</x:f>
        <x:v>4261.3553652544</x:v>
      </x:c>
      <x:c r="G11" s="20" t="n">
        <x:f>'FCFF Forecast'!F27</x:f>
        <x:v>4848.253730992128</x:v>
      </x:c>
      <x:c r="H11" s="20" t="n">
        <x:f>'FCFF Forecast'!G27</x:f>
        <x:v>5323.590795857582</x:v>
      </x:c>
    </x:row>
    <x:row r="12">
      <x:c r="A12" t="str">
        <x:v>Other investments</x:v>
      </x:c>
      <x:c r="B12" s="20" t="n">
        <x:f>Inputs!B43</x:f>
        <x:v>0</x:v>
      </x:c>
      <x:c r="C12" t="str">
        <x:v>Exclude operating cash</x:v>
      </x:c>
      <x:c r="D12" s="20" t="n">
        <x:f>1</x:f>
        <x:v>1</x:v>
      </x:c>
      <x:c r="E12" s="20" t="n">
        <x:f>2</x:f>
        <x:v>2</x:v>
      </x:c>
      <x:c r="F12" s="20" t="n">
        <x:f>3</x:f>
        <x:v>3</x:v>
      </x:c>
      <x:c r="G12" s="20" t="n">
        <x:f>4</x:f>
        <x:v>4</x:v>
      </x:c>
      <x:c r="H12" s="20" t="n">
        <x:f>5</x:f>
        <x:v>5</x:v>
      </x:c>
    </x:row>
    <x:row r="13">
      <x:c r="A13" t="str">
        <x:v>Minority interest</x:v>
      </x:c>
      <x:c r="B13" s="20" t="n">
        <x:f>Inputs!B44</x:f>
        <x:v>0</x:v>
      </x:c>
      <x:c r="C13" t="str">
        <x:v>Check consolidated attributable ownership</x:v>
      </x:c>
      <x:c r="D13" s="20" t="n">
        <x:f>1/(1+$B$20)^D12</x:f>
        <x:v>0.9049773755656109</x:v>
      </x:c>
      <x:c r="E13" s="20" t="n">
        <x:f>1/(1+$B$20)^E12</x:f>
        <x:v>0.8189840502856207</x:v>
      </x:c>
      <x:c r="F13" s="20" t="n">
        <x:f>1/(1+$B$20)^F12</x:f>
        <x:v>0.7411620364575753</x:v>
      </x:c>
      <x:c r="G13" s="20" t="n">
        <x:f>1/(1+$B$20)^G12</x:f>
        <x:v>0.67073487462224</x:v>
      </x:c>
      <x:c r="H13" s="20" t="n">
        <x:f>1/(1+$B$20)^H12</x:f>
        <x:v>0.6069998865359638</x:v>
      </x:c>
    </x:row>
    <x:row r="14">
      <x:c r="A14" t="str">
        <x:v>Other claims / adjustments</x:v>
      </x:c>
      <x:c r="B14" s="20" t="n">
        <x:f>Inputs!B45</x:f>
        <x:v>0</x:v>
      </x:c>
      <x:c r="C14" t="str">
        <x:v>Editable</x:v>
      </x:c>
      <x:c r="D14" s="20"/>
      <x:c r="E14" s="20"/>
      <x:c r="F14" s="20"/>
      <x:c r="G14" s="20"/>
      <x:c r="H14" s="20"/>
    </x:row>
    <x:row r="15">
      <x:c r="B15" s="20"/>
      <x:c r="D15" s="20" t="n">
        <x:f>D11*D13</x:f>
        <x:v>2705.0297455203627</x:v>
      </x:c>
      <x:c r="E15" s="20" t="n">
        <x:f>E11*E13</x:f>
        <x:v>3015.932344474519</x:v>
      </x:c>
      <x:c r="F15" s="20" t="n">
        <x:f>F11*F13</x:f>
        <x:v>3158.3548205813654</x:v>
      </x:c>
      <x:c r="G15" s="20" t="n">
        <x:f>G11*G13</x:f>
        <x:v>3251.8928583938123</x:v>
      </x:c>
      <x:c r="H15" s="20" t="n">
        <x:f>H11*H13</x:f>
        <x:v>3231.4190090494535</x:v>
      </x:c>
    </x:row>
    <x:row r="16">
      <x:c r="A16" s="16" t="str">
        <x:v>Equity value</x:v>
      </x:c>
      <x:c r="B16" s="30" t="n">
        <x:f>B7-SUM(B9:B10)+SUM(B11:B12)-SUM(B13:B14)</x:f>
        <x:v>58782.06698325072</x:v>
      </x:c>
      <x:c r="C16" t="str">
        <x:v>Pro-forma acquisition basis</x:v>
      </x:c>
      <x:c r="D16" s="20"/>
      <x:c r="E16" s="20"/>
      <x:c r="F16" s="20"/>
      <x:c r="G16" s="20"/>
      <x:c r="H16" s="20"/>
    </x:row>
    <x:row r="17">
      <x:c r="A17" s="16" t="str">
        <x:v>Shares diluted post-deal (mn)</x:v>
      </x:c>
      <x:c r="B17" s="30" t="n">
        <x:f>Inputs!B12/Inputs!B13</x:f>
        <x:v>468.98254</x:v>
      </x:c>
      <x:c r="C17" t="str">
        <x:v>Approximate; replace with exact shares</x:v>
      </x:c>
      <x:c r="D17" s="20"/>
      <x:c r="E17" s="20"/>
      <x:c r="F17" s="20"/>
      <x:c r="G17" s="20"/>
      <x:c r="H17" s="20" t="n">
        <x:f>H11*(1+$B$21)/($B$20-$B$21)</x:f>
        <x:v>78713.09248160853</x:v>
      </x:c>
    </x:row>
    <x:row r="18">
      <x:c r="A18" s="16" t="str">
        <x:v>DCF value per share (₹)</x:v>
      </x:c>
      <x:c r="B18" s="31" t="n">
        <x:f>B16*10/B17</x:f>
        <x:v>1253.3956377832471</x:v>
      </x:c>
      <x:c r="C18" t="str">
        <x:v>Equity ₹cr to ₹mn / shares mn</x:v>
      </x:c>
      <x:c r="D18" s="20"/>
      <x:c r="E18" s="20"/>
      <x:c r="F18" s="20"/>
      <x:c r="G18" s="20"/>
      <x:c r="H18" s="20" t="n">
        <x:f>H17*H13</x:f>
        <x:v>47778.83820523121</x:v>
      </x:c>
    </x:row>
    <x:row r="19">
      <x:c r="B19" s="20"/>
    </x:row>
    <x:row r="20">
      <x:c r="A20" t="str">
        <x:v>WACC</x:v>
      </x:c>
      <x:c r="B20" s="24" t="n">
        <x:f>Inputs!B40</x:f>
        <x:v>0.105</x:v>
      </x:c>
      <x:c r="C20" t="str">
        <x:v>Editable</x:v>
      </x:c>
    </x:row>
    <x:row r="21">
      <x:c r="A21" t="str">
        <x:v>Terminal g</x:v>
      </x:c>
      <x:c r="B21" s="24" t="n">
        <x:f>Inputs!B41</x:f>
        <x:v>0.035</x:v>
      </x:c>
      <x:c r="C21" t="str">
        <x:v>Editable</x:v>
      </x:c>
    </x:row>
    <x:row r="22">
      <x:c r="A22" t="str">
        <x:v>Terminal value / enterprise value</x:v>
      </x:c>
      <x:c r="B22" s="24" t="n">
        <x:f>H17/B7</x:f>
        <x:v>1.2466148830924126</x:v>
      </x:c>
      <x:c r="C22" t="str">
        <x:v>Terminal dependence</x:v>
      </x:c>
    </x:row>
    <x:row r="25">
      <x:c r="A25" t="str">
        <x:v>Target price sensitivity (₹) | WACC ↓ / g →</x:v>
      </x:c>
    </x:row>
    <x:row r="26">
      <x:c r="B26" s="24" t="n">
        <x:v>0.025</x:v>
      </x:c>
      <x:c r="C26" s="24" t="n">
        <x:v>0.03</x:v>
      </x:c>
      <x:c r="D26" s="24" t="n">
        <x:v>0.035</x:v>
      </x:c>
      <x:c r="E26" s="24" t="n">
        <x:v>0.04</x:v>
      </x:c>
      <x:c r="F26" s="24" t="n">
        <x:v>0.045</x:v>
      </x:c>
    </x:row>
    <x:row r="27">
      <x:c r="A27" s="24" t="n">
        <x:f>$B$20+(0-2)*0.005</x:f>
        <x:v>0.095</x:v>
      </x:c>
      <x:c r="B27" s="20" t="n">
        <x:f>(SUMPRODUCT($D$11:$H$11,1/(1+$A27)^$D$12:$H$12)+($H$11*(1+B$26)/($A27-B$26))/(1+$A27)^$H$12-SUM($B$9:$B$10)+SUM($B$11:$B$12)-SUM($B$13:$B$14))*10/$B$17</x:f>
        <x:v>1299.812317946152</x:v>
      </x:c>
      <x:c r="C27" s="20" t="n">
        <x:f>(SUMPRODUCT($D$11:$H$11,1/(1+$A27)^$D$12:$H$12)+($H$11*(1+C$26)/($A27-C$26))/(1+$A27)^$H$12-SUM($B$9:$B$10)+SUM($B$11:$B$12)-SUM($B$13:$B$14))*10/$B$17</x:f>
        <x:v>1386.578426941784</x:v>
      </x:c>
      <x:c r="D27" s="20" t="n">
        <x:f>(SUMPRODUCT($D$11:$H$11,1/(1+$A27)^$D$12:$H$12)+($H$11*(1+D$26)/($A27-D$26))/(1+$A27)^$H$12-SUM($B$9:$B$10)+SUM($B$11:$B$12)-SUM($B$13:$B$14))*10/$B$17</x:f>
        <x:v>1487.8055541033548</x:v>
      </x:c>
      <x:c r="E27" s="20" t="n">
        <x:f>(SUMPRODUCT($D$11:$H$11,1/(1+$A27)^$D$12:$H$12)+($H$11*(1+E$26)/($A27-E$26))/(1+$A27)^$H$12-SUM($B$9:$B$10)+SUM($B$11:$B$12)-SUM($B$13:$B$14))*10/$B$17</x:f>
        <x:v>1607.43761347612</x:v>
      </x:c>
      <x:c r="F27" s="20" t="n">
        <x:f>(SUMPRODUCT($D$11:$H$11,1/(1+$A27)^$D$12:$H$12)+($H$11*(1+F$26)/($A27-F$26))/(1+$A27)^$H$12-SUM($B$9:$B$10)+SUM($B$11:$B$12)-SUM($B$13:$B$14))*10/$B$17</x:f>
        <x:v>1750.9960847234383</x:v>
      </x:c>
    </x:row>
    <x:row r="28">
      <x:c r="A28" s="24" t="n">
        <x:f>$B$20+(1-2)*0.005</x:f>
        <x:v>0.09999999999999999</x:v>
      </x:c>
      <x:c r="B28" s="20" t="n">
        <x:f>(SUMPRODUCT($D$11:$H$11,1/(1+$A28)^$D$12:$H$12)+($H$11*(1+B$26)/($A28-B$26))/(1+$A28)^$H$12-SUM($B$9:$B$10)+SUM($B$11:$B$12)-SUM($B$13:$B$14))*10/$B$17</x:f>
        <x:v>1202.5074830288372</x:v>
      </x:c>
      <x:c r="C28" s="20" t="n">
        <x:f>(SUMPRODUCT($D$11:$H$11,1/(1+$A28)^$D$12:$H$12)+($H$11*(1+C$26)/($A28-C$26))/(1+$A28)^$H$12-SUM($B$9:$B$10)+SUM($B$11:$B$12)-SUM($B$13:$B$14))*10/$B$17</x:f>
        <x:v>1276.346847718362</x:v>
      </x:c>
      <x:c r="D28" s="20" t="n">
        <x:f>(SUMPRODUCT($D$11:$H$11,1/(1+$A28)^$D$12:$H$12)+($H$11*(1+D$26)/($A28-D$26))/(1+$A28)^$H$12-SUM($B$9:$B$10)+SUM($B$11:$B$12)-SUM($B$13:$B$14))*10/$B$17</x:f>
        <x:v>1361.546114667814</x:v>
      </x:c>
      <x:c r="E28" s="20" t="n">
        <x:f>(SUMPRODUCT($D$11:$H$11,1/(1+$A28)^$D$12:$H$12)+($H$11*(1+E$26)/($A28-E$26))/(1+$A28)^$H$12-SUM($B$9:$B$10)+SUM($B$11:$B$12)-SUM($B$13:$B$14))*10/$B$17</x:f>
        <x:v>1460.9452594421746</x:v>
      </x:c>
      <x:c r="F28" s="20" t="n">
        <x:f>(SUMPRODUCT($D$11:$H$11,1/(1+$A28)^$D$12:$H$12)+($H$11*(1+F$26)/($A28-F$26))/(1+$A28)^$H$12-SUM($B$9:$B$10)+SUM($B$11:$B$12)-SUM($B$13:$B$14))*10/$B$17</x:f>
        <x:v>1578.4169759936915</x:v>
      </x:c>
    </x:row>
    <x:row r="29">
      <x:c r="A29" s="24" t="n">
        <x:f>$B$20+(2-2)*0.005</x:f>
        <x:v>0.105</x:v>
      </x:c>
      <x:c r="B29" s="20" t="n">
        <x:f>(SUMPRODUCT($D$11:$H$11,1/(1+$A29)^$D$12:$H$12)+($H$11*(1+B$26)/($A29-B$26))/(1+$A29)^$H$12-SUM($B$9:$B$10)+SUM($B$11:$B$12)-SUM($B$13:$B$14))*10/$B$17</x:f>
        <x:v>1117.4357329265529</x:v>
      </x:c>
      <x:c r="C29" s="20" t="n">
        <x:f>(SUMPRODUCT($D$11:$H$11,1/(1+$A29)^$D$12:$H$12)+($H$11*(1+C$26)/($A29-C$26))/(1+$A29)^$H$12-SUM($B$9:$B$10)+SUM($B$11:$B$12)-SUM($B$13:$B$14))*10/$B$17</x:f>
        <x:v>1180.8836885263433</x:v>
      </x:c>
      <x:c r="D29" s="20" t="n">
        <x:f>(SUMPRODUCT($D$11:$H$11,1/(1+$A29)^$D$12:$H$12)+($H$11*(1+D$26)/($A29-D$26))/(1+$A29)^$H$12-SUM($B$9:$B$10)+SUM($B$11:$B$12)-SUM($B$13:$B$14))*10/$B$17</x:f>
        <x:v>1253.3956377832471</x:v>
      </x:c>
      <x:c r="E29" s="20" t="n">
        <x:f>(SUMPRODUCT($D$11:$H$11,1/(1+$A29)^$D$12:$H$12)+($H$11*(1+E$26)/($A29-E$26))/(1+$A29)^$H$12-SUM($B$9:$B$10)+SUM($B$11:$B$12)-SUM($B$13:$B$14))*10/$B$17</x:f>
        <x:v>1337.063271541213</x:v>
      </x:c>
      <x:c r="F29" s="20" t="n">
        <x:f>(SUMPRODUCT($D$11:$H$11,1/(1+$A29)^$D$12:$H$12)+($H$11*(1+F$26)/($A29-F$26))/(1+$A29)^$H$12-SUM($B$9:$B$10)+SUM($B$11:$B$12)-SUM($B$13:$B$14))*10/$B$17</x:f>
        <x:v>1434.6755109255062</x:v>
      </x:c>
    </x:row>
    <x:row r="30">
      <x:c r="A30" s="24" t="n">
        <x:f>$B$20+(3-2)*0.005</x:f>
        <x:v>0.11</x:v>
      </x:c>
      <x:c r="B30" s="20" t="n">
        <x:f>(SUMPRODUCT($D$11:$H$11,1/(1+$A30)^$D$12:$H$12)+($H$11*(1+B$26)/($A30-B$26))/(1+$A30)^$H$12-SUM($B$9:$B$10)+SUM($B$11:$B$12)-SUM($B$13:$B$14))*10/$B$17</x:f>
        <x:v>1042.4368078380364</x:v>
      </x:c>
      <x:c r="C30" s="20" t="n">
        <x:f>(SUMPRODUCT($D$11:$H$11,1/(1+$A30)^$D$12:$H$12)+($H$11*(1+C$26)/($A30-C$26))/(1+$A30)^$H$12-SUM($B$9:$B$10)+SUM($B$11:$B$12)-SUM($B$13:$B$14))*10/$B$17</x:f>
        <x:v>1097.418381711589</x:v>
      </x:c>
      <x:c r="D30" s="20" t="n">
        <x:f>(SUMPRODUCT($D$11:$H$11,1/(1+$A30)^$D$12:$H$12)+($H$11*(1+D$26)/($A30-D$26))/(1+$A30)^$H$12-SUM($B$9:$B$10)+SUM($B$11:$B$12)-SUM($B$13:$B$14))*10/$B$17</x:f>
        <x:v>1159.730832101615</x:v>
      </x:c>
      <x:c r="E30" s="20" t="n">
        <x:f>(SUMPRODUCT($D$11:$H$11,1/(1+$A30)^$D$12:$H$12)+($H$11*(1+E$26)/($A30-E$26))/(1+$A30)^$H$12-SUM($B$9:$B$10)+SUM($B$11:$B$12)-SUM($B$13:$B$14))*10/$B$17</x:f>
        <x:v>1230.9450611187879</x:v>
      </x:c>
      <x:c r="F30" s="20" t="n">
        <x:f>(SUMPRODUCT($D$11:$H$11,1/(1+$A30)^$D$12:$H$12)+($H$11*(1+F$26)/($A30-F$26))/(1+$A30)^$H$12-SUM($B$9:$B$10)+SUM($B$11:$B$12)-SUM($B$13:$B$14))*10/$B$17</x:f>
        <x:v>1313.115325369372</x:v>
      </x:c>
    </x:row>
    <x:row r="31">
      <x:c r="A31" s="24" t="n">
        <x:f>$B$20+(4-2)*0.005</x:f>
        <x:v>0.11499999999999999</x:v>
      </x:c>
      <x:c r="B31" s="20" t="n">
        <x:f>(SUMPRODUCT($D$11:$H$11,1/(1+$A31)^$D$12:$H$12)+($H$11*(1+B$26)/($A31-B$26))/(1+$A31)^$H$12-SUM($B$9:$B$10)+SUM($B$11:$B$12)-SUM($B$13:$B$14))*10/$B$17</x:f>
        <x:v>975.8305443358555</x:v>
      </x:c>
      <x:c r="C31" s="20" t="n">
        <x:f>(SUMPRODUCT($D$11:$H$11,1/(1+$A31)^$D$12:$H$12)+($H$11*(1+C$26)/($A31-C$26))/(1+$A31)^$H$12-SUM($B$9:$B$10)+SUM($B$11:$B$12)-SUM($B$13:$B$14))*10/$B$17</x:f>
        <x:v>1023.8322965456322</x:v>
      </x:c>
      <x:c r="D31" s="20" t="n">
        <x:f>(SUMPRODUCT($D$11:$H$11,1/(1+$A31)^$D$12:$H$12)+($H$11*(1+D$26)/($A31-D$26))/(1+$A31)^$H$12-SUM($B$9:$B$10)+SUM($B$11:$B$12)-SUM($B$13:$B$14))*10/$B$17</x:f>
        <x:v>1077.834267781631</x:v>
      </x:c>
      <x:c r="E31" s="20" t="n">
        <x:f>(SUMPRODUCT($D$11:$H$11,1/(1+$A31)^$D$12:$H$12)+($H$11*(1+E$26)/($A31-E$26))/(1+$A31)^$H$12-SUM($B$9:$B$10)+SUM($B$11:$B$12)-SUM($B$13:$B$14))*10/$B$17</x:f>
        <x:v>1139.0365018490963</x:v>
      </x:c>
      <x:c r="F31" s="20" t="n">
        <x:f>(SUMPRODUCT($D$11:$H$11,1/(1+$A31)^$D$12:$H$12)+($H$11*(1+F$26)/($A31-F$26))/(1+$A31)^$H$12-SUM($B$9:$B$10)+SUM($B$11:$B$12)-SUM($B$13:$B$14))*10/$B$17</x:f>
        <x:v>1208.9819122119136</x:v>
      </x:c>
    </x:row>
  </x:sheetData>
  <x:mergeCells>
    <x:mergeCell ref="A1:L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78" hidden="0" customWidth="1"/>
    <x:col min="3" max="3" width="9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28" customHeight="1">
      <x:c r="A1" s="3" t="str">
        <x:v>COFORGE | Acquisition-adjusted FCFF DCF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3">
      <x:c r="A3" s="3" t="str">
        <x:v>Source / key assumption</x:v>
      </x:c>
      <x:c r="B3" s="3" t="str">
        <x:v>URL or provenance</x:v>
      </x:c>
      <x:c r="C3" s="3" t="str">
        <x:v>Treatment</x:v>
      </x:c>
    </x:row>
    <x:row r="4">
      <x:c r="A4" t="str">
        <x:v>FY26 annual report</x:v>
      </x:c>
      <x:c r="B4" t="str">
        <x:v>https://financialfilings.com/filings/coforge-limited/annual-report/2026/49873256/</x:v>
      </x:c>
      <x:c r="C4" t="str">
        <x:v>FY26 164027 ₹mn revenue / 23645 EBIT / 6819 D&amp;A / 10936 cash / 2830 short debt</x:v>
      </x:c>
    </x:row>
    <x:row r="5">
      <x:c r="A5" t="str">
        <x:v>Encora acquisition close</x:v>
      </x:c>
      <x:c r="B5" t="str">
        <x:v>https://news.coforge.com/newsroom/press-release/coforge-announces-the-successful-closure-of-the-encora-acquisition</x:v>
      </x:c>
      <x:c r="C5" t="str">
        <x:v>May 1, 2026 financial consolidation; $550mn loan; no QIP</x:v>
      </x:c>
    </x:row>
    <x:row r="6">
      <x:c r="A6" t="str">
        <x:v>Encora initial acquisition release</x:v>
      </x:c>
      <x:c r="B6" t="str">
        <x:v>https://news.coforge.com/newsroom/press-release/coforge-to-acquire-encora.-reaffirms-intent-to-be-the-leading-ai-driven-engineering-firm-for-the-new-era</x:v>
      </x:c>
      <x:c r="C6" t="str">
        <x:v>Encora FY26E USD600mn, adj EBITDA 19%; management estimate</x:v>
      </x:c>
    </x:row>
    <x:row r="7">
      <x:c r="A7" t="str">
        <x:v>Share issuance and loan</x:v>
      </x:c>
      <x:c r="B7" t="str">
        <x:v>https://financialfilings.com/filings/coforge-limited/audit-report-information/2026/42187193/</x:v>
      </x:c>
      <x:c r="C7" t="str">
        <x:v>93.796508mn shares / ₹1815.91/share; debt</x:v>
      </x:c>
    </x:row>
    <x:row r="8">
      <x:c r="A8" t="str">
        <x:v>Q2 FY27 operating update</x:v>
      </x:c>
      <x:c r="B8" t="str">
        <x:v>https://news.coforge.com/newsroom/press-release/coforge-delivers-an-outstanding-performance-revenue-growth-536-yoy-raises-ebit-margin-guidance-for-the-year?hs_amp=true</x:v>
      </x:c>
      <x:c r="C8" t="str">
        <x:v>Q2FY27 ₹61708mn revenue; FY27 16% EBIT; FY28 17% outlook</x:v>
      </x:c>
    </x:row>
    <x:row r="9">
      <x:c r="A9" t="str">
        <x:v>FY27 H1 actual</x:v>
      </x:c>
      <x:c r="B9" t="str">
        <x:v>https://www.icicidirect.com/research/equity/rapid-results/coforge-ltd</x:v>
      </x:c>
      <x:c r="C9" t="str">
        <x:v>₹117185mn revenue, used as reasonableness check</x:v>
      </x:c>
    </x:row>
    <x:row r="10">
      <x:c r="A10" t="str">
        <x:v>Important FY26 base</x:v>
      </x:c>
      <x:c r="B10" t="str">
        <x:v>Model convention</x:v>
      </x:c>
      <x:c r="C10" t="str">
        <x:v>Valuation FY26-end, but includes pro-forma Encora operating cash flows AND debt/equity consideration.</x:v>
      </x:c>
    </x:row>
    <x:row r="11">
      <x:c r="A11" t="str">
        <x:v>Working capital</x:v>
      </x:c>
      <x:c r="B11" t="str">
        <x:v>Analyst assumption</x:v>
      </x:c>
      <x:c r="C11" t="str">
        <x:v>Only organic operating increments; acquired initial NWC not FCFF cash outflow</x:v>
      </x:c>
    </x:row>
    <x:row r="12">
      <x:c r="A12" t="str">
        <x:v>FY27 discounting</x:v>
      </x:c>
      <x:c r="B12" t="str">
        <x:v>Analyst choice</x:v>
      </x:c>
      <x:c r="C12" t="str">
        <x:v>Full-year periods; change to midyear if desired; April deal pro-forma approximation</x:v>
      </x:c>
    </x:row>
    <x:row r="13">
      <x:c r="A13" t="str">
        <x:v>D&amp;A caveat</x:v>
      </x:c>
      <x:c r="B13" t="str">
        <x:v>Analyst assumption</x:v>
      </x:c>
      <x:c r="C13" t="str">
        <x:v>Estimated acquisition intangible amortization; must align EBIT adjustments and taxes</x:v>
      </x:c>
    </x:row>
    <x:row r="14">
      <x:c r="A14" t="str">
        <x:v>FCFF / integration caveat</x:v>
      </x:c>
      <x:c r="B14" t="str">
        <x:v>Analyst assumption</x:v>
      </x:c>
      <x:c r="C14" t="str">
        <x:v>Integration cost only if EBIT margin excludes the costs; otherwise set to zero to prevent double count</x:v>
      </x:c>
    </x:row>
    <x:row r="15">
      <x:c r="A15" t="str">
        <x:v>Shares caveat</x:v>
      </x:c>
      <x:c r="B15" t="str">
        <x:v>Model assumption</x:v>
      </x:c>
      <x:c r="C15" t="str">
        <x:v>Derived issued shares / approximate 20% acquisition ownership; replace with verified diluted share count</x:v>
      </x:c>
    </x:row>
    <x:row r="16">
      <x:c r="A16" t="str">
        <x:v>Cash / debt caveat</x:v>
      </x:c>
      <x:c r="B16" t="str">
        <x:v>Model assumption</x:v>
      </x:c>
      <x:c r="C16" t="str">
        <x:v>FY26 short-term borrowings not a full net debt measure; update leases and other debt</x:v>
      </x:c>
    </x:row>
    <x:row r="17">
      <x:c r="A17" t="str">
        <x:v>FX basis caveat</x:v>
      </x:c>
      <x:c r="B17" t="str">
        <x:v>Model assumption</x:v>
      </x:c>
      <x:c r="C17" t="str">
        <x:v>Legacy modeled in INR, Encora in USD; FY27 loan bridge spot FX needs as-of-date rate</x:v>
      </x:c>
    </x:row>
    <x:row r="18">
      <x:c r="A18" t="str">
        <x:v>NCI caveat</x:v>
      </x:c>
      <x:c r="B18" t="str">
        <x:v>Model assumption</x:v>
      </x:c>
      <x:c r="C18" t="str">
        <x:v>Use NCI bridge if consolidated EBIT includes subsidiary minority earnings</x:v>
      </x:c>
    </x:row>
  </x:sheetData>
  <x:mergeCells>
    <x:mergeCell ref="A1:L1"/>
  </x:mergeCells>
  <x:pageMargins left="0.7" right="0.7" top="0.75" bottom="0.75" header="0.3" footer="0.3"/>
</x:worksheet>
</file>