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199B429-F172-4601-AD9E-533A8E71B38D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Cover" sheetId="1" r:id="rId1"/>
    <sheet name="Summary" sheetId="2" r:id="rId2"/>
    <sheet name="Sources" sheetId="3" r:id="rId3"/>
    <sheet name="Assumptions" sheetId="4" r:id="rId4"/>
    <sheet name="Raw Financials" sheetId="5" r:id="rId5"/>
    <sheet name="Raw Operating" sheetId="6" r:id="rId6"/>
    <sheet name="Quarterly P&amp;L" sheetId="7" r:id="rId7"/>
    <sheet name="Annual P&amp;L" sheetId="8" r:id="rId8"/>
    <sheet name="Annual Balance Sheet" sheetId="9" r:id="rId9"/>
    <sheet name="Annual Cash Flow" sheetId="10" r:id="rId10"/>
    <sheet name="Industry Revenue" sheetId="11" r:id="rId11"/>
    <sheet name="Geography &amp; Currency" sheetId="12" r:id="rId12"/>
    <sheet name="Client Data" sheetId="13" r:id="rId13"/>
    <sheet name="Revenue Drivers" sheetId="14" r:id="rId14"/>
    <sheet name="TECHM Prices" sheetId="15" r:id="rId15"/>
    <sheet name="Valuation" sheetId="16" r:id="rId16"/>
    <sheet name="Checks" sheetId="17" r:id="rId17"/>
    <sheet name="Q1 FY27 Update" sheetId="18" r:id="rId18"/>
    <sheet name="BS Forecast Schedule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9" l="1"/>
  <c r="F45" i="19"/>
  <c r="E45" i="19"/>
  <c r="D45" i="19"/>
  <c r="G35" i="19"/>
  <c r="F35" i="19"/>
  <c r="E35" i="19"/>
  <c r="D35" i="19"/>
  <c r="D86" i="18"/>
  <c r="E86" i="18" s="1"/>
  <c r="F86" i="18" s="1"/>
  <c r="F85" i="18"/>
  <c r="F84" i="18"/>
  <c r="E83" i="18"/>
  <c r="F83" i="18" s="1"/>
  <c r="D83" i="18"/>
  <c r="F82" i="18"/>
  <c r="F81" i="18"/>
  <c r="F80" i="18"/>
  <c r="F79" i="18"/>
  <c r="D78" i="18"/>
  <c r="E78" i="18" s="1"/>
  <c r="F78" i="18" s="1"/>
  <c r="D77" i="18"/>
  <c r="E77" i="18" s="1"/>
  <c r="F77" i="18" s="1"/>
  <c r="D76" i="18"/>
  <c r="E76" i="18" s="1"/>
  <c r="F76" i="18" s="1"/>
  <c r="G71" i="18"/>
  <c r="F71" i="18"/>
  <c r="G70" i="18"/>
  <c r="F70" i="18"/>
  <c r="G69" i="18"/>
  <c r="F69" i="18"/>
  <c r="G68" i="18"/>
  <c r="F68" i="18"/>
  <c r="G67" i="18"/>
  <c r="F67" i="18"/>
  <c r="G66" i="18"/>
  <c r="F66" i="18"/>
  <c r="G65" i="18"/>
  <c r="F65" i="18"/>
  <c r="G64" i="18"/>
  <c r="F64" i="18"/>
  <c r="G63" i="18"/>
  <c r="F63" i="18"/>
  <c r="G62" i="18"/>
  <c r="F62" i="18"/>
  <c r="G61" i="18"/>
  <c r="F61" i="18"/>
  <c r="G60" i="18"/>
  <c r="F60" i="18"/>
  <c r="G59" i="18"/>
  <c r="F59" i="18"/>
  <c r="G58" i="18"/>
  <c r="F58" i="18"/>
  <c r="G57" i="18"/>
  <c r="F57" i="18"/>
  <c r="G56" i="18"/>
  <c r="F56" i="18"/>
  <c r="G55" i="18"/>
  <c r="F55" i="18"/>
  <c r="G54" i="18"/>
  <c r="F54" i="18"/>
  <c r="G53" i="18"/>
  <c r="F53" i="18"/>
  <c r="G52" i="18"/>
  <c r="F52" i="18"/>
  <c r="G51" i="18"/>
  <c r="F51" i="18"/>
  <c r="G50" i="18"/>
  <c r="F50" i="18"/>
  <c r="G49" i="18"/>
  <c r="F49" i="18"/>
  <c r="G48" i="18"/>
  <c r="F48" i="18"/>
  <c r="G47" i="18"/>
  <c r="F47" i="18"/>
  <c r="G46" i="18"/>
  <c r="F46" i="18"/>
  <c r="G45" i="18"/>
  <c r="F45" i="18"/>
  <c r="G44" i="18"/>
  <c r="F44" i="18"/>
  <c r="G43" i="18"/>
  <c r="F43" i="18"/>
  <c r="G42" i="18"/>
  <c r="F42" i="18"/>
  <c r="G41" i="18"/>
  <c r="F41" i="18"/>
  <c r="G40" i="18"/>
  <c r="F40" i="18"/>
  <c r="G39" i="18"/>
  <c r="F39" i="18"/>
  <c r="G38" i="18"/>
  <c r="F38" i="18"/>
  <c r="G37" i="18"/>
  <c r="F37" i="18"/>
  <c r="G36" i="18"/>
  <c r="F36" i="18"/>
  <c r="G35" i="18"/>
  <c r="F35" i="18"/>
  <c r="G34" i="18"/>
  <c r="F34" i="18"/>
  <c r="G33" i="18"/>
  <c r="F33" i="18"/>
  <c r="G32" i="18"/>
  <c r="F32" i="18"/>
  <c r="E25" i="18"/>
  <c r="G25" i="18" s="1"/>
  <c r="D25" i="18"/>
  <c r="C25" i="18"/>
  <c r="G24" i="18"/>
  <c r="E24" i="18"/>
  <c r="F24" i="18" s="1"/>
  <c r="D24" i="18"/>
  <c r="C24" i="18"/>
  <c r="P13" i="18"/>
  <c r="M13" i="18"/>
  <c r="E230" i="17"/>
  <c r="B230" i="17" s="1"/>
  <c r="D230" i="17"/>
  <c r="C230" i="17"/>
  <c r="D229" i="17"/>
  <c r="D222" i="17"/>
  <c r="D215" i="17"/>
  <c r="D208" i="17"/>
  <c r="E201" i="17"/>
  <c r="B201" i="17" s="1"/>
  <c r="D201" i="17"/>
  <c r="C201" i="17"/>
  <c r="D200" i="17"/>
  <c r="C200" i="17"/>
  <c r="E200" i="17" s="1"/>
  <c r="B200" i="17" s="1"/>
  <c r="D199" i="17"/>
  <c r="C199" i="17"/>
  <c r="E199" i="17" s="1"/>
  <c r="B199" i="17" s="1"/>
  <c r="D198" i="17"/>
  <c r="E198" i="17" s="1"/>
  <c r="B198" i="17" s="1"/>
  <c r="C198" i="17"/>
  <c r="D197" i="17"/>
  <c r="C197" i="17"/>
  <c r="E197" i="17" s="1"/>
  <c r="B197" i="17" s="1"/>
  <c r="D196" i="17"/>
  <c r="C196" i="17"/>
  <c r="E196" i="17" s="1"/>
  <c r="B196" i="17"/>
  <c r="D190" i="17"/>
  <c r="C190" i="17"/>
  <c r="E190" i="17" s="1"/>
  <c r="B190" i="17"/>
  <c r="D189" i="17"/>
  <c r="D188" i="17"/>
  <c r="D187" i="17"/>
  <c r="D185" i="17"/>
  <c r="D183" i="17"/>
  <c r="D182" i="17"/>
  <c r="D180" i="17"/>
  <c r="D178" i="17"/>
  <c r="D177" i="17"/>
  <c r="D175" i="17"/>
  <c r="D173" i="17"/>
  <c r="D172" i="17"/>
  <c r="D170" i="17"/>
  <c r="D168" i="17"/>
  <c r="D167" i="17"/>
  <c r="D166" i="17"/>
  <c r="D165" i="17"/>
  <c r="D164" i="17"/>
  <c r="D163" i="17"/>
  <c r="D156" i="17"/>
  <c r="D155" i="17"/>
  <c r="D154" i="17"/>
  <c r="D153" i="17"/>
  <c r="D152" i="17"/>
  <c r="D151" i="17"/>
  <c r="D144" i="17"/>
  <c r="D143" i="17"/>
  <c r="D142" i="17"/>
  <c r="D141" i="17"/>
  <c r="D140" i="17"/>
  <c r="D139" i="17"/>
  <c r="D132" i="17"/>
  <c r="D131" i="17"/>
  <c r="D130" i="17"/>
  <c r="D129" i="17"/>
  <c r="D128" i="17"/>
  <c r="D127" i="17"/>
  <c r="D120" i="17"/>
  <c r="D119" i="17"/>
  <c r="D118" i="17"/>
  <c r="D117" i="17"/>
  <c r="D116" i="17"/>
  <c r="D115" i="17"/>
  <c r="D108" i="17"/>
  <c r="D107" i="17"/>
  <c r="D106" i="17"/>
  <c r="D105" i="17"/>
  <c r="D104" i="17"/>
  <c r="D103" i="17"/>
  <c r="D96" i="17"/>
  <c r="D95" i="17"/>
  <c r="D94" i="17"/>
  <c r="D93" i="17"/>
  <c r="D92" i="17"/>
  <c r="D91" i="17"/>
  <c r="D84" i="17"/>
  <c r="D83" i="17"/>
  <c r="D82" i="17"/>
  <c r="D81" i="17"/>
  <c r="D80" i="17"/>
  <c r="D72" i="17"/>
  <c r="D71" i="17"/>
  <c r="D70" i="17"/>
  <c r="D69" i="17"/>
  <c r="D68" i="17"/>
  <c r="D60" i="17"/>
  <c r="D59" i="17"/>
  <c r="D58" i="17"/>
  <c r="D57" i="17"/>
  <c r="D56" i="17"/>
  <c r="D48" i="17"/>
  <c r="D47" i="17"/>
  <c r="D46" i="17"/>
  <c r="D45" i="17"/>
  <c r="D44" i="17"/>
  <c r="M21" i="16"/>
  <c r="L21" i="16"/>
  <c r="K21" i="16"/>
  <c r="J21" i="16"/>
  <c r="I21" i="16"/>
  <c r="H21" i="16"/>
  <c r="G21" i="16"/>
  <c r="F21" i="16"/>
  <c r="E21" i="16"/>
  <c r="D21" i="16"/>
  <c r="Q19" i="16"/>
  <c r="P19" i="16"/>
  <c r="O19" i="16"/>
  <c r="N19" i="16"/>
  <c r="F36" i="14"/>
  <c r="Q35" i="14"/>
  <c r="P35" i="14"/>
  <c r="O35" i="14"/>
  <c r="N35" i="14"/>
  <c r="M35" i="14"/>
  <c r="L35" i="14"/>
  <c r="K35" i="14"/>
  <c r="J35" i="14"/>
  <c r="I35" i="14"/>
  <c r="H35" i="14"/>
  <c r="G35" i="14"/>
  <c r="G36" i="14" s="1"/>
  <c r="F35" i="14"/>
  <c r="E35" i="14"/>
  <c r="D35" i="14"/>
  <c r="C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M32" i="14"/>
  <c r="L32" i="14"/>
  <c r="K32" i="14"/>
  <c r="J32" i="14"/>
  <c r="I32" i="14"/>
  <c r="H32" i="14"/>
  <c r="G32" i="14"/>
  <c r="F32" i="14"/>
  <c r="E32" i="14"/>
  <c r="D32" i="14"/>
  <c r="C32" i="14"/>
  <c r="Q28" i="14"/>
  <c r="P28" i="14"/>
  <c r="O28" i="14"/>
  <c r="N28" i="14"/>
  <c r="Q26" i="14"/>
  <c r="P26" i="14"/>
  <c r="O26" i="14"/>
  <c r="N26" i="14"/>
  <c r="N25" i="14"/>
  <c r="Q24" i="14"/>
  <c r="P24" i="14"/>
  <c r="O24" i="14"/>
  <c r="N24" i="14"/>
  <c r="Q23" i="14"/>
  <c r="P23" i="14"/>
  <c r="O23" i="14"/>
  <c r="N23" i="14"/>
  <c r="H23" i="14"/>
  <c r="F23" i="14"/>
  <c r="D23" i="14"/>
  <c r="N22" i="14"/>
  <c r="O22" i="14" s="1"/>
  <c r="O25" i="14" s="1"/>
  <c r="M22" i="14"/>
  <c r="M23" i="14" s="1"/>
  <c r="L22" i="14"/>
  <c r="K22" i="14"/>
  <c r="K23" i="14" s="1"/>
  <c r="J22" i="14"/>
  <c r="J23" i="14" s="1"/>
  <c r="I22" i="14"/>
  <c r="H22" i="14"/>
  <c r="I23" i="14" s="1"/>
  <c r="G22" i="14"/>
  <c r="G23" i="14" s="1"/>
  <c r="F22" i="14"/>
  <c r="E22" i="14"/>
  <c r="E23" i="14" s="1"/>
  <c r="D22" i="14"/>
  <c r="C22" i="14"/>
  <c r="Q20" i="14"/>
  <c r="P20" i="14"/>
  <c r="O20" i="14"/>
  <c r="N20" i="14"/>
  <c r="Q18" i="14"/>
  <c r="P18" i="14"/>
  <c r="O18" i="14"/>
  <c r="N18" i="14"/>
  <c r="Q15" i="14"/>
  <c r="P15" i="14"/>
  <c r="O15" i="14"/>
  <c r="N15" i="14"/>
  <c r="Q14" i="14"/>
  <c r="P14" i="14"/>
  <c r="O14" i="14"/>
  <c r="N14" i="14"/>
  <c r="J13" i="14"/>
  <c r="N11" i="14"/>
  <c r="N24" i="2" s="1"/>
  <c r="J11" i="14"/>
  <c r="C130" i="17" s="1"/>
  <c r="E130" i="17" s="1"/>
  <c r="B130" i="17" s="1"/>
  <c r="I11" i="14"/>
  <c r="C118" i="17" s="1"/>
  <c r="E118" i="17" s="1"/>
  <c r="B118" i="17" s="1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N9" i="14"/>
  <c r="C172" i="17" s="1"/>
  <c r="E172" i="17" s="1"/>
  <c r="B172" i="17" s="1"/>
  <c r="M9" i="14"/>
  <c r="C165" i="17" s="1"/>
  <c r="E165" i="17" s="1"/>
  <c r="B165" i="17" s="1"/>
  <c r="L9" i="14"/>
  <c r="K9" i="14"/>
  <c r="K11" i="14" s="1"/>
  <c r="J9" i="14"/>
  <c r="I9" i="14"/>
  <c r="H9" i="14"/>
  <c r="C105" i="17" s="1"/>
  <c r="E105" i="17" s="1"/>
  <c r="B105" i="17" s="1"/>
  <c r="G9" i="14"/>
  <c r="F9" i="14"/>
  <c r="C81" i="17" s="1"/>
  <c r="E81" i="17" s="1"/>
  <c r="B81" i="17" s="1"/>
  <c r="E9" i="14"/>
  <c r="D9" i="14"/>
  <c r="C9" i="14"/>
  <c r="Q8" i="14"/>
  <c r="P8" i="14"/>
  <c r="O8" i="14"/>
  <c r="N8" i="14"/>
  <c r="L8" i="14"/>
  <c r="K8" i="14"/>
  <c r="F8" i="14"/>
  <c r="E8" i="14"/>
  <c r="Q7" i="14"/>
  <c r="P7" i="14"/>
  <c r="O7" i="14"/>
  <c r="N7" i="14"/>
  <c r="M7" i="14"/>
  <c r="L7" i="14"/>
  <c r="H7" i="14"/>
  <c r="G7" i="14"/>
  <c r="F7" i="14"/>
  <c r="P6" i="14"/>
  <c r="O6" i="14"/>
  <c r="N6" i="14"/>
  <c r="M6" i="14"/>
  <c r="M8" i="14" s="1"/>
  <c r="L6" i="14"/>
  <c r="K6" i="14"/>
  <c r="J6" i="14"/>
  <c r="I6" i="14"/>
  <c r="H6" i="14"/>
  <c r="G6" i="14"/>
  <c r="G8" i="14" s="1"/>
  <c r="F6" i="14"/>
  <c r="E6" i="14"/>
  <c r="D6" i="14"/>
  <c r="C6" i="14"/>
  <c r="M22" i="13"/>
  <c r="H22" i="13"/>
  <c r="G22" i="13"/>
  <c r="F22" i="13"/>
  <c r="O21" i="13"/>
  <c r="N21" i="13"/>
  <c r="I21" i="13"/>
  <c r="H21" i="13"/>
  <c r="O20" i="13"/>
  <c r="N20" i="13"/>
  <c r="M20" i="13"/>
  <c r="M21" i="13" s="1"/>
  <c r="L20" i="13"/>
  <c r="K20" i="13"/>
  <c r="J20" i="13"/>
  <c r="J22" i="13" s="1"/>
  <c r="I20" i="13"/>
  <c r="H20" i="13"/>
  <c r="G20" i="13"/>
  <c r="G21" i="13" s="1"/>
  <c r="F20" i="13"/>
  <c r="E20" i="13"/>
  <c r="D20" i="13"/>
  <c r="C20" i="13"/>
  <c r="H19" i="13"/>
  <c r="G19" i="13"/>
  <c r="K18" i="13"/>
  <c r="J18" i="13"/>
  <c r="E18" i="13"/>
  <c r="M17" i="13"/>
  <c r="L17" i="13"/>
  <c r="H17" i="13"/>
  <c r="G17" i="13"/>
  <c r="O16" i="13"/>
  <c r="P16" i="13" s="1"/>
  <c r="Q16" i="13" s="1"/>
  <c r="N16" i="13"/>
  <c r="M16" i="13"/>
  <c r="L16" i="13"/>
  <c r="K16" i="13"/>
  <c r="J16" i="13"/>
  <c r="I16" i="13"/>
  <c r="H16" i="13"/>
  <c r="G16" i="13"/>
  <c r="F16" i="13"/>
  <c r="E16" i="13"/>
  <c r="D16" i="13"/>
  <c r="C16" i="13"/>
  <c r="M15" i="13"/>
  <c r="N15" i="13" s="1"/>
  <c r="O15" i="13" s="1"/>
  <c r="P15" i="13" s="1"/>
  <c r="Q15" i="13" s="1"/>
  <c r="L15" i="13"/>
  <c r="K15" i="13"/>
  <c r="J15" i="13"/>
  <c r="I15" i="13"/>
  <c r="H15" i="13"/>
  <c r="G15" i="13"/>
  <c r="F15" i="13"/>
  <c r="E15" i="13"/>
  <c r="D15" i="13"/>
  <c r="C15" i="13"/>
  <c r="P14" i="13"/>
  <c r="Q14" i="13" s="1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M13" i="13"/>
  <c r="M19" i="13" s="1"/>
  <c r="L13" i="13"/>
  <c r="L19" i="13" s="1"/>
  <c r="K13" i="13"/>
  <c r="K19" i="13" s="1"/>
  <c r="J13" i="13"/>
  <c r="I13" i="13"/>
  <c r="J19" i="13" s="1"/>
  <c r="H13" i="13"/>
  <c r="I19" i="13" s="1"/>
  <c r="G13" i="13"/>
  <c r="F13" i="13"/>
  <c r="F19" i="13" s="1"/>
  <c r="E13" i="13"/>
  <c r="E19" i="13" s="1"/>
  <c r="D13" i="13"/>
  <c r="C13" i="13"/>
  <c r="D19" i="13" s="1"/>
  <c r="M12" i="13"/>
  <c r="L12" i="13"/>
  <c r="K12" i="13"/>
  <c r="J12" i="13"/>
  <c r="I12" i="13"/>
  <c r="H12" i="13"/>
  <c r="G12" i="13"/>
  <c r="F12" i="13"/>
  <c r="E12" i="13"/>
  <c r="D12" i="13"/>
  <c r="C12" i="13"/>
  <c r="M11" i="13"/>
  <c r="L11" i="13"/>
  <c r="K11" i="13"/>
  <c r="J11" i="13"/>
  <c r="I11" i="13"/>
  <c r="H11" i="13"/>
  <c r="G11" i="13"/>
  <c r="F11" i="13"/>
  <c r="E11" i="13"/>
  <c r="D11" i="13"/>
  <c r="C11" i="13"/>
  <c r="M10" i="13"/>
  <c r="L10" i="13"/>
  <c r="K10" i="13"/>
  <c r="J10" i="13"/>
  <c r="I10" i="13"/>
  <c r="H10" i="13"/>
  <c r="G10" i="13"/>
  <c r="F10" i="13"/>
  <c r="E10" i="13"/>
  <c r="D10" i="13"/>
  <c r="C10" i="13"/>
  <c r="M9" i="13"/>
  <c r="L9" i="13"/>
  <c r="K9" i="13"/>
  <c r="J9" i="13"/>
  <c r="I9" i="13"/>
  <c r="H9" i="13"/>
  <c r="G9" i="13"/>
  <c r="F9" i="13"/>
  <c r="E9" i="13"/>
  <c r="D9" i="13"/>
  <c r="C9" i="13"/>
  <c r="M8" i="13"/>
  <c r="L8" i="13"/>
  <c r="K8" i="13"/>
  <c r="J8" i="13"/>
  <c r="I8" i="13"/>
  <c r="H8" i="13"/>
  <c r="G8" i="13"/>
  <c r="F8" i="13"/>
  <c r="E8" i="13"/>
  <c r="D8" i="13"/>
  <c r="C8" i="13"/>
  <c r="M7" i="13"/>
  <c r="L7" i="13"/>
  <c r="K7" i="13"/>
  <c r="J7" i="13"/>
  <c r="I7" i="13"/>
  <c r="H7" i="13"/>
  <c r="G7" i="13"/>
  <c r="F7" i="13"/>
  <c r="F17" i="13" s="1"/>
  <c r="E7" i="13"/>
  <c r="D7" i="13"/>
  <c r="C7" i="13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Q42" i="12"/>
  <c r="Q43" i="12" s="1"/>
  <c r="P42" i="12"/>
  <c r="P43" i="12" s="1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M41" i="12"/>
  <c r="H41" i="12"/>
  <c r="G41" i="12"/>
  <c r="M40" i="12"/>
  <c r="L40" i="12"/>
  <c r="L41" i="12" s="1"/>
  <c r="K40" i="12"/>
  <c r="J40" i="12"/>
  <c r="I40" i="12"/>
  <c r="H40" i="12"/>
  <c r="H18" i="13" s="1"/>
  <c r="G40" i="12"/>
  <c r="F40" i="12"/>
  <c r="F41" i="12" s="1"/>
  <c r="E40" i="12"/>
  <c r="D40" i="12"/>
  <c r="C40" i="12"/>
  <c r="L35" i="12"/>
  <c r="C156" i="17" s="1"/>
  <c r="E156" i="17" s="1"/>
  <c r="B156" i="17" s="1"/>
  <c r="M33" i="12"/>
  <c r="L33" i="12"/>
  <c r="K33" i="12"/>
  <c r="J33" i="12"/>
  <c r="I33" i="12"/>
  <c r="H33" i="12"/>
  <c r="G33" i="12"/>
  <c r="F33" i="12"/>
  <c r="E33" i="12"/>
  <c r="D33" i="12"/>
  <c r="C33" i="12"/>
  <c r="M31" i="12"/>
  <c r="L31" i="12"/>
  <c r="K31" i="12"/>
  <c r="J31" i="12"/>
  <c r="I31" i="12"/>
  <c r="H31" i="12"/>
  <c r="G31" i="12"/>
  <c r="F31" i="12"/>
  <c r="E31" i="12"/>
  <c r="D31" i="12"/>
  <c r="C31" i="12"/>
  <c r="M29" i="12"/>
  <c r="L29" i="12"/>
  <c r="K29" i="12"/>
  <c r="J29" i="12"/>
  <c r="I29" i="12"/>
  <c r="H29" i="12"/>
  <c r="G29" i="12"/>
  <c r="F29" i="12"/>
  <c r="E29" i="12"/>
  <c r="D29" i="12"/>
  <c r="C29" i="12"/>
  <c r="M27" i="12"/>
  <c r="L27" i="12"/>
  <c r="K27" i="12"/>
  <c r="J27" i="12"/>
  <c r="I27" i="12"/>
  <c r="H27" i="12"/>
  <c r="G27" i="12"/>
  <c r="F27" i="12"/>
  <c r="E27" i="12"/>
  <c r="D27" i="12"/>
  <c r="C27" i="12"/>
  <c r="M25" i="12"/>
  <c r="L25" i="12"/>
  <c r="K25" i="12"/>
  <c r="J25" i="12"/>
  <c r="J35" i="12" s="1"/>
  <c r="C132" i="17" s="1"/>
  <c r="E132" i="17" s="1"/>
  <c r="B132" i="17" s="1"/>
  <c r="I25" i="12"/>
  <c r="I35" i="12" s="1"/>
  <c r="C120" i="17" s="1"/>
  <c r="E120" i="17" s="1"/>
  <c r="B120" i="17" s="1"/>
  <c r="H25" i="12"/>
  <c r="H35" i="12" s="1"/>
  <c r="C108" i="17" s="1"/>
  <c r="E108" i="17" s="1"/>
  <c r="B108" i="17" s="1"/>
  <c r="G25" i="12"/>
  <c r="F25" i="12"/>
  <c r="E25" i="12"/>
  <c r="D25" i="12"/>
  <c r="D35" i="12" s="1"/>
  <c r="C60" i="17" s="1"/>
  <c r="E60" i="17" s="1"/>
  <c r="B60" i="17" s="1"/>
  <c r="C25" i="12"/>
  <c r="C35" i="12" s="1"/>
  <c r="C48" i="17" s="1"/>
  <c r="E48" i="17" s="1"/>
  <c r="B48" i="17" s="1"/>
  <c r="J22" i="12"/>
  <c r="H22" i="12"/>
  <c r="D22" i="12"/>
  <c r="M21" i="12"/>
  <c r="N21" i="12" s="1"/>
  <c r="O21" i="12" s="1"/>
  <c r="P21" i="12" s="1"/>
  <c r="Q21" i="12" s="1"/>
  <c r="L21" i="12"/>
  <c r="K21" i="12"/>
  <c r="J21" i="12"/>
  <c r="I21" i="12"/>
  <c r="H21" i="12"/>
  <c r="G21" i="12"/>
  <c r="F21" i="12"/>
  <c r="E21" i="12"/>
  <c r="D21" i="12"/>
  <c r="C21" i="12"/>
  <c r="O20" i="12"/>
  <c r="N20" i="12"/>
  <c r="N22" i="12" s="1"/>
  <c r="M20" i="12"/>
  <c r="M22" i="12" s="1"/>
  <c r="L20" i="12"/>
  <c r="K20" i="12"/>
  <c r="J20" i="12"/>
  <c r="I20" i="12"/>
  <c r="I22" i="12" s="1"/>
  <c r="H20" i="12"/>
  <c r="G20" i="12"/>
  <c r="G22" i="12" s="1"/>
  <c r="F20" i="12"/>
  <c r="E20" i="12"/>
  <c r="D20" i="12"/>
  <c r="C20" i="12"/>
  <c r="C22" i="12" s="1"/>
  <c r="Q19" i="12"/>
  <c r="P19" i="12"/>
  <c r="O19" i="12"/>
  <c r="N19" i="12"/>
  <c r="M19" i="12"/>
  <c r="H19" i="12"/>
  <c r="G19" i="12"/>
  <c r="M18" i="12"/>
  <c r="L18" i="12"/>
  <c r="L19" i="12" s="1"/>
  <c r="K18" i="12"/>
  <c r="J18" i="12"/>
  <c r="I18" i="12"/>
  <c r="H18" i="12"/>
  <c r="G18" i="12"/>
  <c r="F18" i="12"/>
  <c r="F19" i="12" s="1"/>
  <c r="E18" i="12"/>
  <c r="D18" i="12"/>
  <c r="C18" i="12"/>
  <c r="M17" i="12"/>
  <c r="L17" i="12"/>
  <c r="K17" i="12"/>
  <c r="K19" i="12" s="1"/>
  <c r="J17" i="12"/>
  <c r="J19" i="12" s="1"/>
  <c r="I17" i="12"/>
  <c r="I19" i="12" s="1"/>
  <c r="H17" i="12"/>
  <c r="G17" i="12"/>
  <c r="F17" i="12"/>
  <c r="E17" i="12"/>
  <c r="E19" i="12" s="1"/>
  <c r="D17" i="12"/>
  <c r="D19" i="12" s="1"/>
  <c r="C17" i="12"/>
  <c r="C19" i="12" s="1"/>
  <c r="K13" i="12"/>
  <c r="M12" i="12"/>
  <c r="L12" i="12"/>
  <c r="K12" i="12"/>
  <c r="J12" i="12"/>
  <c r="I12" i="12"/>
  <c r="H12" i="12"/>
  <c r="G12" i="12"/>
  <c r="F12" i="12"/>
  <c r="E12" i="12"/>
  <c r="D12" i="12"/>
  <c r="C12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N8" i="12"/>
  <c r="M8" i="12"/>
  <c r="L8" i="12"/>
  <c r="K8" i="12"/>
  <c r="K14" i="12" s="1"/>
  <c r="C143" i="17" s="1"/>
  <c r="E143" i="17" s="1"/>
  <c r="B143" i="17" s="1"/>
  <c r="J8" i="12"/>
  <c r="J14" i="12" s="1"/>
  <c r="C131" i="17" s="1"/>
  <c r="E131" i="17" s="1"/>
  <c r="B131" i="17" s="1"/>
  <c r="I8" i="12"/>
  <c r="I14" i="12" s="1"/>
  <c r="C119" i="17" s="1"/>
  <c r="E119" i="17" s="1"/>
  <c r="B119" i="17" s="1"/>
  <c r="H8" i="12"/>
  <c r="G8" i="12"/>
  <c r="F8" i="12"/>
  <c r="E8" i="12"/>
  <c r="E14" i="12" s="1"/>
  <c r="C71" i="17" s="1"/>
  <c r="E71" i="17" s="1"/>
  <c r="B71" i="17" s="1"/>
  <c r="D8" i="12"/>
  <c r="D14" i="12" s="1"/>
  <c r="C59" i="17" s="1"/>
  <c r="E59" i="17" s="1"/>
  <c r="B59" i="17" s="1"/>
  <c r="C8" i="12"/>
  <c r="C14" i="12" s="1"/>
  <c r="C47" i="17" s="1"/>
  <c r="E47" i="17" s="1"/>
  <c r="B47" i="17" s="1"/>
  <c r="L60" i="11"/>
  <c r="M56" i="11"/>
  <c r="L56" i="11"/>
  <c r="K56" i="11"/>
  <c r="J56" i="11"/>
  <c r="I56" i="11"/>
  <c r="H56" i="11"/>
  <c r="G56" i="11"/>
  <c r="F56" i="11"/>
  <c r="E56" i="11"/>
  <c r="D56" i="11"/>
  <c r="C56" i="11"/>
  <c r="M54" i="11"/>
  <c r="L54" i="11"/>
  <c r="K54" i="11"/>
  <c r="J54" i="11"/>
  <c r="I54" i="11"/>
  <c r="H54" i="11"/>
  <c r="G54" i="11"/>
  <c r="F54" i="11"/>
  <c r="E54" i="11"/>
  <c r="D54" i="11"/>
  <c r="C54" i="11"/>
  <c r="N52" i="11"/>
  <c r="M52" i="11"/>
  <c r="L52" i="11"/>
  <c r="L53" i="11" s="1"/>
  <c r="K52" i="11"/>
  <c r="J52" i="11"/>
  <c r="I52" i="11"/>
  <c r="H52" i="11"/>
  <c r="G52" i="11"/>
  <c r="F52" i="11"/>
  <c r="F53" i="11" s="1"/>
  <c r="E52" i="11"/>
  <c r="D52" i="11"/>
  <c r="C52" i="11"/>
  <c r="K51" i="11"/>
  <c r="J51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N46" i="11"/>
  <c r="M46" i="11"/>
  <c r="L46" i="11"/>
  <c r="K46" i="11"/>
  <c r="J46" i="11"/>
  <c r="I46" i="11"/>
  <c r="H46" i="11"/>
  <c r="G46" i="11"/>
  <c r="G47" i="11" s="1"/>
  <c r="F46" i="11"/>
  <c r="E46" i="11"/>
  <c r="D46" i="11"/>
  <c r="C46" i="11"/>
  <c r="N44" i="11"/>
  <c r="M44" i="11"/>
  <c r="L44" i="11"/>
  <c r="K44" i="11"/>
  <c r="K58" i="11" s="1"/>
  <c r="J44" i="11"/>
  <c r="J58" i="11" s="1"/>
  <c r="I44" i="11"/>
  <c r="I58" i="11" s="1"/>
  <c r="H44" i="11"/>
  <c r="G44" i="11"/>
  <c r="F44" i="11"/>
  <c r="E44" i="11"/>
  <c r="E58" i="11" s="1"/>
  <c r="D44" i="11"/>
  <c r="D58" i="11" s="1"/>
  <c r="C44" i="11"/>
  <c r="C58" i="11" s="1"/>
  <c r="Q41" i="11"/>
  <c r="P41" i="11"/>
  <c r="O41" i="11"/>
  <c r="Q38" i="11"/>
  <c r="P38" i="11"/>
  <c r="O38" i="11"/>
  <c r="N38" i="11"/>
  <c r="N41" i="11" s="1"/>
  <c r="M38" i="11"/>
  <c r="Q37" i="11"/>
  <c r="P37" i="11"/>
  <c r="O37" i="11"/>
  <c r="N37" i="11"/>
  <c r="K37" i="11"/>
  <c r="M36" i="11"/>
  <c r="L36" i="11"/>
  <c r="K36" i="11"/>
  <c r="J36" i="11"/>
  <c r="I36" i="11"/>
  <c r="H36" i="11"/>
  <c r="G36" i="11"/>
  <c r="F36" i="11"/>
  <c r="E36" i="11"/>
  <c r="D36" i="11"/>
  <c r="C36" i="11"/>
  <c r="Q35" i="11"/>
  <c r="Q39" i="11" s="1"/>
  <c r="P35" i="11"/>
  <c r="O35" i="11"/>
  <c r="N35" i="11"/>
  <c r="F35" i="11"/>
  <c r="E35" i="11"/>
  <c r="M34" i="11"/>
  <c r="L34" i="11"/>
  <c r="K34" i="11"/>
  <c r="J34" i="11"/>
  <c r="I34" i="11"/>
  <c r="H34" i="11"/>
  <c r="G34" i="11"/>
  <c r="F34" i="11"/>
  <c r="E34" i="11"/>
  <c r="D34" i="11"/>
  <c r="C34" i="11"/>
  <c r="Q33" i="11"/>
  <c r="P33" i="11"/>
  <c r="O33" i="11"/>
  <c r="N33" i="11"/>
  <c r="M32" i="11"/>
  <c r="L32" i="11"/>
  <c r="K32" i="11"/>
  <c r="J32" i="11"/>
  <c r="I32" i="11"/>
  <c r="H32" i="11"/>
  <c r="G32" i="11"/>
  <c r="F32" i="11"/>
  <c r="E32" i="11"/>
  <c r="D32" i="11"/>
  <c r="C32" i="11"/>
  <c r="Q31" i="11"/>
  <c r="P31" i="11"/>
  <c r="O31" i="11"/>
  <c r="N31" i="11"/>
  <c r="J31" i="11"/>
  <c r="M30" i="11"/>
  <c r="M31" i="11" s="1"/>
  <c r="L30" i="11"/>
  <c r="K30" i="11"/>
  <c r="J30" i="11"/>
  <c r="I30" i="11"/>
  <c r="H30" i="11"/>
  <c r="G30" i="11"/>
  <c r="G31" i="11" s="1"/>
  <c r="F30" i="11"/>
  <c r="E30" i="11"/>
  <c r="D30" i="11"/>
  <c r="C30" i="11"/>
  <c r="Q29" i="11"/>
  <c r="P29" i="11"/>
  <c r="O29" i="11"/>
  <c r="N29" i="11"/>
  <c r="M28" i="11"/>
  <c r="L28" i="11"/>
  <c r="K28" i="11"/>
  <c r="J28" i="11"/>
  <c r="I28" i="11"/>
  <c r="H28" i="11"/>
  <c r="G28" i="11"/>
  <c r="G29" i="11" s="1"/>
  <c r="F28" i="11"/>
  <c r="F38" i="11" s="1"/>
  <c r="E28" i="11"/>
  <c r="D28" i="11"/>
  <c r="C28" i="11"/>
  <c r="Q27" i="11"/>
  <c r="P27" i="11"/>
  <c r="P39" i="11" s="1"/>
  <c r="O27" i="11"/>
  <c r="O39" i="11" s="1"/>
  <c r="N27" i="11"/>
  <c r="N39" i="11" s="1"/>
  <c r="M26" i="11"/>
  <c r="M27" i="11" s="1"/>
  <c r="L26" i="11"/>
  <c r="K26" i="11"/>
  <c r="K38" i="11" s="1"/>
  <c r="J26" i="11"/>
  <c r="I26" i="11"/>
  <c r="H26" i="11"/>
  <c r="G26" i="11"/>
  <c r="F26" i="11"/>
  <c r="E26" i="11"/>
  <c r="E38" i="11" s="1"/>
  <c r="D26" i="11"/>
  <c r="C26" i="11"/>
  <c r="Q23" i="11"/>
  <c r="P23" i="11"/>
  <c r="G22" i="11"/>
  <c r="Q20" i="11"/>
  <c r="P20" i="11"/>
  <c r="O20" i="11"/>
  <c r="O23" i="11" s="1"/>
  <c r="N20" i="11"/>
  <c r="N23" i="11" s="1"/>
  <c r="I20" i="11"/>
  <c r="F20" i="11"/>
  <c r="Q19" i="11"/>
  <c r="P19" i="11"/>
  <c r="O19" i="11"/>
  <c r="N19" i="11"/>
  <c r="J19" i="11"/>
  <c r="M18" i="11"/>
  <c r="L18" i="11"/>
  <c r="K18" i="11"/>
  <c r="J18" i="11"/>
  <c r="I18" i="11"/>
  <c r="H18" i="11"/>
  <c r="H19" i="11" s="1"/>
  <c r="G18" i="11"/>
  <c r="F18" i="11"/>
  <c r="E18" i="11"/>
  <c r="D18" i="11"/>
  <c r="C18" i="11"/>
  <c r="Q17" i="11"/>
  <c r="P17" i="11"/>
  <c r="O17" i="11"/>
  <c r="N17" i="11"/>
  <c r="J17" i="11"/>
  <c r="M16" i="11"/>
  <c r="L16" i="11"/>
  <c r="K16" i="11"/>
  <c r="K17" i="11" s="1"/>
  <c r="J16" i="11"/>
  <c r="I16" i="11"/>
  <c r="H16" i="11"/>
  <c r="G16" i="11"/>
  <c r="F16" i="11"/>
  <c r="E16" i="11"/>
  <c r="D16" i="11"/>
  <c r="C16" i="11"/>
  <c r="Q15" i="11"/>
  <c r="P15" i="11"/>
  <c r="O15" i="11"/>
  <c r="N15" i="11"/>
  <c r="M14" i="11"/>
  <c r="M15" i="11" s="1"/>
  <c r="L14" i="11"/>
  <c r="L15" i="11" s="1"/>
  <c r="K14" i="11"/>
  <c r="J14" i="11"/>
  <c r="I14" i="11"/>
  <c r="H14" i="11"/>
  <c r="G14" i="11"/>
  <c r="G15" i="11" s="1"/>
  <c r="F14" i="11"/>
  <c r="F15" i="11" s="1"/>
  <c r="E14" i="11"/>
  <c r="D14" i="11"/>
  <c r="C14" i="11"/>
  <c r="Q13" i="11"/>
  <c r="P13" i="11"/>
  <c r="O13" i="11"/>
  <c r="N13" i="11"/>
  <c r="M12" i="11"/>
  <c r="M13" i="11" s="1"/>
  <c r="L12" i="11"/>
  <c r="K12" i="11"/>
  <c r="J12" i="11"/>
  <c r="I12" i="11"/>
  <c r="H12" i="11"/>
  <c r="G12" i="11"/>
  <c r="G13" i="11" s="1"/>
  <c r="F12" i="11"/>
  <c r="E12" i="11"/>
  <c r="D12" i="11"/>
  <c r="C12" i="11"/>
  <c r="Q11" i="11"/>
  <c r="P11" i="11"/>
  <c r="O11" i="11"/>
  <c r="N11" i="11"/>
  <c r="M10" i="11"/>
  <c r="L10" i="11"/>
  <c r="K10" i="11"/>
  <c r="J10" i="11"/>
  <c r="I10" i="11"/>
  <c r="H10" i="11"/>
  <c r="H11" i="11" s="1"/>
  <c r="G10" i="11"/>
  <c r="F10" i="11"/>
  <c r="E10" i="11"/>
  <c r="D10" i="11"/>
  <c r="C10" i="11"/>
  <c r="Q9" i="11"/>
  <c r="Q21" i="11" s="1"/>
  <c r="P9" i="11"/>
  <c r="O9" i="11"/>
  <c r="N9" i="11"/>
  <c r="N21" i="11" s="1"/>
  <c r="J9" i="11"/>
  <c r="M8" i="11"/>
  <c r="L8" i="11"/>
  <c r="K8" i="11"/>
  <c r="K20" i="11" s="1"/>
  <c r="J8" i="11"/>
  <c r="J20" i="11" s="1"/>
  <c r="I8" i="11"/>
  <c r="H8" i="11"/>
  <c r="G8" i="11"/>
  <c r="F8" i="11"/>
  <c r="E8" i="11"/>
  <c r="E20" i="11" s="1"/>
  <c r="D8" i="11"/>
  <c r="D20" i="11" s="1"/>
  <c r="C8" i="11"/>
  <c r="J88" i="10"/>
  <c r="I88" i="10"/>
  <c r="G88" i="10"/>
  <c r="K86" i="10"/>
  <c r="J86" i="10"/>
  <c r="I86" i="10"/>
  <c r="D20" i="17" s="1"/>
  <c r="M85" i="10"/>
  <c r="L85" i="10"/>
  <c r="K85" i="10"/>
  <c r="J85" i="10"/>
  <c r="I85" i="10"/>
  <c r="I84" i="10" s="1"/>
  <c r="H85" i="10"/>
  <c r="G85" i="10"/>
  <c r="F85" i="10"/>
  <c r="E85" i="10"/>
  <c r="D85" i="10"/>
  <c r="C85" i="10"/>
  <c r="M84" i="10"/>
  <c r="L84" i="10"/>
  <c r="G84" i="10"/>
  <c r="C84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M80" i="10"/>
  <c r="L80" i="10"/>
  <c r="K80" i="10"/>
  <c r="K84" i="10" s="1"/>
  <c r="J80" i="10"/>
  <c r="I80" i="10"/>
  <c r="H80" i="10"/>
  <c r="G80" i="10"/>
  <c r="F80" i="10"/>
  <c r="E80" i="10"/>
  <c r="E84" i="10" s="1"/>
  <c r="D80" i="10"/>
  <c r="C80" i="10"/>
  <c r="Q79" i="10"/>
  <c r="G53" i="19" s="1"/>
  <c r="P79" i="10"/>
  <c r="F53" i="19" s="1"/>
  <c r="O79" i="10"/>
  <c r="E53" i="19" s="1"/>
  <c r="N79" i="10"/>
  <c r="D53" i="19" s="1"/>
  <c r="M79" i="10"/>
  <c r="L79" i="10"/>
  <c r="K79" i="10"/>
  <c r="J79" i="10"/>
  <c r="I79" i="10"/>
  <c r="H79" i="10"/>
  <c r="G79" i="10"/>
  <c r="F79" i="10"/>
  <c r="E79" i="10"/>
  <c r="D79" i="10"/>
  <c r="C79" i="10"/>
  <c r="M78" i="10"/>
  <c r="L78" i="10"/>
  <c r="K78" i="10"/>
  <c r="J78" i="10"/>
  <c r="I78" i="10"/>
  <c r="H78" i="10"/>
  <c r="G78" i="10"/>
  <c r="F78" i="10"/>
  <c r="E78" i="10"/>
  <c r="D78" i="10"/>
  <c r="C78" i="10"/>
  <c r="M77" i="10"/>
  <c r="L77" i="10"/>
  <c r="K77" i="10"/>
  <c r="J77" i="10"/>
  <c r="I77" i="10"/>
  <c r="H77" i="10"/>
  <c r="G77" i="10"/>
  <c r="F77" i="10"/>
  <c r="E77" i="10"/>
  <c r="D77" i="10"/>
  <c r="C77" i="10"/>
  <c r="Q76" i="10"/>
  <c r="P76" i="10"/>
  <c r="O76" i="10"/>
  <c r="N76" i="10"/>
  <c r="C76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M74" i="10"/>
  <c r="L74" i="10"/>
  <c r="K74" i="10"/>
  <c r="J74" i="10"/>
  <c r="I74" i="10"/>
  <c r="H74" i="10"/>
  <c r="G74" i="10"/>
  <c r="F74" i="10"/>
  <c r="E74" i="10"/>
  <c r="D74" i="10"/>
  <c r="C74" i="10"/>
  <c r="M73" i="10"/>
  <c r="L73" i="10"/>
  <c r="K73" i="10"/>
  <c r="J73" i="10"/>
  <c r="I73" i="10"/>
  <c r="H73" i="10"/>
  <c r="G73" i="10"/>
  <c r="F73" i="10"/>
  <c r="E73" i="10"/>
  <c r="D73" i="10"/>
  <c r="C73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M71" i="10"/>
  <c r="L71" i="10"/>
  <c r="K71" i="10"/>
  <c r="J71" i="10"/>
  <c r="I71" i="10"/>
  <c r="H71" i="10"/>
  <c r="G71" i="10"/>
  <c r="F71" i="10"/>
  <c r="E71" i="10"/>
  <c r="D71" i="10"/>
  <c r="C71" i="10"/>
  <c r="M70" i="10"/>
  <c r="L70" i="10"/>
  <c r="K70" i="10"/>
  <c r="J70" i="10"/>
  <c r="I70" i="10"/>
  <c r="H70" i="10"/>
  <c r="G70" i="10"/>
  <c r="F70" i="10"/>
  <c r="E70" i="10"/>
  <c r="D70" i="10"/>
  <c r="C70" i="10"/>
  <c r="M69" i="10"/>
  <c r="L69" i="10"/>
  <c r="K69" i="10"/>
  <c r="J69" i="10"/>
  <c r="I69" i="10"/>
  <c r="H69" i="10"/>
  <c r="G69" i="10"/>
  <c r="F69" i="10"/>
  <c r="E69" i="10"/>
  <c r="D69" i="10"/>
  <c r="C69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J65" i="10"/>
  <c r="D65" i="10"/>
  <c r="C65" i="10"/>
  <c r="Q64" i="10"/>
  <c r="P64" i="10"/>
  <c r="O64" i="10"/>
  <c r="N64" i="10"/>
  <c r="M64" i="10"/>
  <c r="L64" i="10"/>
  <c r="L65" i="10" s="1"/>
  <c r="K64" i="10"/>
  <c r="J64" i="10"/>
  <c r="I64" i="10"/>
  <c r="H64" i="10"/>
  <c r="G64" i="10"/>
  <c r="F64" i="10"/>
  <c r="E64" i="10"/>
  <c r="D64" i="10"/>
  <c r="C64" i="10"/>
  <c r="M63" i="10"/>
  <c r="M65" i="10" s="1"/>
  <c r="L63" i="10"/>
  <c r="K63" i="10"/>
  <c r="J63" i="10"/>
  <c r="I63" i="10"/>
  <c r="I65" i="10" s="1"/>
  <c r="H63" i="10"/>
  <c r="H65" i="10" s="1"/>
  <c r="G63" i="10"/>
  <c r="G65" i="10" s="1"/>
  <c r="F63" i="10"/>
  <c r="F65" i="10" s="1"/>
  <c r="E63" i="10"/>
  <c r="D63" i="10"/>
  <c r="C63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M60" i="10"/>
  <c r="L60" i="10"/>
  <c r="K60" i="10"/>
  <c r="J60" i="10"/>
  <c r="I60" i="10"/>
  <c r="I76" i="10" s="1"/>
  <c r="H60" i="10"/>
  <c r="G60" i="10"/>
  <c r="F60" i="10"/>
  <c r="E60" i="10"/>
  <c r="D60" i="10"/>
  <c r="C60" i="10"/>
  <c r="M59" i="10"/>
  <c r="L59" i="10"/>
  <c r="L58" i="10" s="1"/>
  <c r="K59" i="10"/>
  <c r="J59" i="10"/>
  <c r="I59" i="10"/>
  <c r="H59" i="10"/>
  <c r="G59" i="10"/>
  <c r="G58" i="10" s="1"/>
  <c r="F59" i="10"/>
  <c r="F58" i="10" s="1"/>
  <c r="E59" i="10"/>
  <c r="D59" i="10"/>
  <c r="C59" i="10"/>
  <c r="M58" i="10"/>
  <c r="M57" i="10"/>
  <c r="L57" i="10"/>
  <c r="K57" i="10"/>
  <c r="J57" i="10"/>
  <c r="I57" i="10"/>
  <c r="H57" i="10"/>
  <c r="G57" i="10"/>
  <c r="F57" i="10"/>
  <c r="E57" i="10"/>
  <c r="D57" i="10"/>
  <c r="C57" i="10"/>
  <c r="M56" i="10"/>
  <c r="L56" i="10"/>
  <c r="K56" i="10"/>
  <c r="J56" i="10"/>
  <c r="I56" i="10"/>
  <c r="H56" i="10"/>
  <c r="G56" i="10"/>
  <c r="F56" i="10"/>
  <c r="E56" i="10"/>
  <c r="D56" i="10"/>
  <c r="C56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M50" i="10"/>
  <c r="L50" i="10"/>
  <c r="K50" i="10"/>
  <c r="J50" i="10"/>
  <c r="I50" i="10"/>
  <c r="H50" i="10"/>
  <c r="G50" i="10"/>
  <c r="F50" i="10"/>
  <c r="E50" i="10"/>
  <c r="D50" i="10"/>
  <c r="C50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M43" i="10"/>
  <c r="L43" i="10"/>
  <c r="K43" i="10"/>
  <c r="J43" i="10"/>
  <c r="I43" i="10"/>
  <c r="H43" i="10"/>
  <c r="G43" i="10"/>
  <c r="F43" i="10"/>
  <c r="E43" i="10"/>
  <c r="D43" i="10"/>
  <c r="C43" i="10"/>
  <c r="M42" i="10"/>
  <c r="L42" i="10"/>
  <c r="K42" i="10"/>
  <c r="J42" i="10"/>
  <c r="I42" i="10"/>
  <c r="I58" i="10" s="1"/>
  <c r="H42" i="10"/>
  <c r="G42" i="10"/>
  <c r="F42" i="10"/>
  <c r="E42" i="10"/>
  <c r="D42" i="10"/>
  <c r="C42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M40" i="10"/>
  <c r="L40" i="10"/>
  <c r="K40" i="10"/>
  <c r="K58" i="10" s="1"/>
  <c r="J40" i="10"/>
  <c r="I40" i="10"/>
  <c r="H40" i="10"/>
  <c r="G40" i="10"/>
  <c r="F40" i="10"/>
  <c r="E40" i="10"/>
  <c r="E58" i="10" s="1"/>
  <c r="D40" i="10"/>
  <c r="D58" i="10" s="1"/>
  <c r="C40" i="10"/>
  <c r="M38" i="10"/>
  <c r="M88" i="10" s="1"/>
  <c r="L38" i="10"/>
  <c r="L88" i="10" s="1"/>
  <c r="K38" i="10"/>
  <c r="J38" i="10"/>
  <c r="I38" i="10"/>
  <c r="H38" i="10"/>
  <c r="H88" i="10" s="1"/>
  <c r="G38" i="10"/>
  <c r="F38" i="10"/>
  <c r="F88" i="10" s="1"/>
  <c r="E38" i="10"/>
  <c r="D38" i="10"/>
  <c r="C38" i="10"/>
  <c r="M37" i="10"/>
  <c r="L37" i="10"/>
  <c r="K37" i="10"/>
  <c r="J37" i="10"/>
  <c r="I37" i="10"/>
  <c r="H37" i="10"/>
  <c r="G37" i="10"/>
  <c r="F37" i="10"/>
  <c r="E37" i="10"/>
  <c r="D37" i="10"/>
  <c r="C37" i="10"/>
  <c r="M36" i="10"/>
  <c r="L36" i="10"/>
  <c r="K36" i="10"/>
  <c r="J36" i="10"/>
  <c r="I36" i="10"/>
  <c r="H36" i="10"/>
  <c r="G36" i="10"/>
  <c r="F36" i="10"/>
  <c r="E36" i="10"/>
  <c r="D36" i="10"/>
  <c r="C36" i="10"/>
  <c r="M35" i="10"/>
  <c r="L35" i="10"/>
  <c r="K35" i="10"/>
  <c r="J35" i="10"/>
  <c r="I35" i="10"/>
  <c r="H35" i="10"/>
  <c r="G35" i="10"/>
  <c r="F35" i="10"/>
  <c r="E35" i="10"/>
  <c r="D35" i="10"/>
  <c r="C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M33" i="10"/>
  <c r="L33" i="10"/>
  <c r="K33" i="10"/>
  <c r="J33" i="10"/>
  <c r="I33" i="10"/>
  <c r="H33" i="10"/>
  <c r="G33" i="10"/>
  <c r="F33" i="10"/>
  <c r="E33" i="10"/>
  <c r="D33" i="10"/>
  <c r="C33" i="10"/>
  <c r="M32" i="10"/>
  <c r="L32" i="10"/>
  <c r="K32" i="10"/>
  <c r="J32" i="10"/>
  <c r="I32" i="10"/>
  <c r="H32" i="10"/>
  <c r="G32" i="10"/>
  <c r="F32" i="10"/>
  <c r="E32" i="10"/>
  <c r="D32" i="10"/>
  <c r="C32" i="10"/>
  <c r="M31" i="10"/>
  <c r="L31" i="10"/>
  <c r="K31" i="10"/>
  <c r="J31" i="10"/>
  <c r="I31" i="10"/>
  <c r="H31" i="10"/>
  <c r="G31" i="10"/>
  <c r="F31" i="10"/>
  <c r="E31" i="10"/>
  <c r="D31" i="10"/>
  <c r="C31" i="10"/>
  <c r="M30" i="10"/>
  <c r="L30" i="10"/>
  <c r="K30" i="10"/>
  <c r="J30" i="10"/>
  <c r="I30" i="10"/>
  <c r="H30" i="10"/>
  <c r="G30" i="10"/>
  <c r="F30" i="10"/>
  <c r="E30" i="10"/>
  <c r="D30" i="10"/>
  <c r="C30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M23" i="10"/>
  <c r="L23" i="10"/>
  <c r="K23" i="10"/>
  <c r="J23" i="10"/>
  <c r="I23" i="10"/>
  <c r="H23" i="10"/>
  <c r="G23" i="10"/>
  <c r="F23" i="10"/>
  <c r="E23" i="10"/>
  <c r="D23" i="10"/>
  <c r="C23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M19" i="10"/>
  <c r="L19" i="10"/>
  <c r="K19" i="10"/>
  <c r="J19" i="10"/>
  <c r="I19" i="10"/>
  <c r="H19" i="10"/>
  <c r="G19" i="10"/>
  <c r="F19" i="10"/>
  <c r="E19" i="10"/>
  <c r="D19" i="10"/>
  <c r="C19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M17" i="10"/>
  <c r="L17" i="10"/>
  <c r="K17" i="10"/>
  <c r="J17" i="10"/>
  <c r="I17" i="10"/>
  <c r="H17" i="10"/>
  <c r="G17" i="10"/>
  <c r="F17" i="10"/>
  <c r="E17" i="10"/>
  <c r="D17" i="10"/>
  <c r="C17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M14" i="10"/>
  <c r="L14" i="10"/>
  <c r="K14" i="10"/>
  <c r="J14" i="10"/>
  <c r="I14" i="10"/>
  <c r="H14" i="10"/>
  <c r="G14" i="10"/>
  <c r="F14" i="10"/>
  <c r="E14" i="10"/>
  <c r="D14" i="10"/>
  <c r="C14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Q9" i="10"/>
  <c r="P9" i="10"/>
  <c r="O9" i="10"/>
  <c r="N9" i="10"/>
  <c r="M9" i="10"/>
  <c r="L9" i="10"/>
  <c r="K9" i="10"/>
  <c r="J9" i="10"/>
  <c r="J27" i="10" s="1"/>
  <c r="I9" i="10"/>
  <c r="H9" i="10"/>
  <c r="G9" i="10"/>
  <c r="F9" i="10"/>
  <c r="E9" i="10"/>
  <c r="D9" i="10"/>
  <c r="C9" i="10"/>
  <c r="M8" i="10"/>
  <c r="L8" i="10"/>
  <c r="K8" i="10"/>
  <c r="J8" i="10"/>
  <c r="I8" i="10"/>
  <c r="H8" i="10"/>
  <c r="G8" i="10"/>
  <c r="F8" i="10"/>
  <c r="E8" i="10"/>
  <c r="D8" i="10"/>
  <c r="C8" i="10"/>
  <c r="M7" i="10"/>
  <c r="L7" i="10"/>
  <c r="K7" i="10"/>
  <c r="J7" i="10"/>
  <c r="I7" i="10"/>
  <c r="H7" i="10"/>
  <c r="H27" i="10" s="1"/>
  <c r="G7" i="10"/>
  <c r="F7" i="10"/>
  <c r="E7" i="10"/>
  <c r="D7" i="10"/>
  <c r="C7" i="10"/>
  <c r="J62" i="9"/>
  <c r="J10" i="16" s="1"/>
  <c r="I62" i="9"/>
  <c r="I63" i="9" s="1"/>
  <c r="I22" i="2" s="1"/>
  <c r="C62" i="9"/>
  <c r="K61" i="9"/>
  <c r="K12" i="16" s="1"/>
  <c r="J61" i="9"/>
  <c r="J12" i="16" s="1"/>
  <c r="E61" i="9"/>
  <c r="E12" i="16" s="1"/>
  <c r="D61" i="9"/>
  <c r="D12" i="16" s="1"/>
  <c r="H60" i="9"/>
  <c r="H11" i="16" s="1"/>
  <c r="D60" i="9"/>
  <c r="D11" i="16" s="1"/>
  <c r="C60" i="9"/>
  <c r="C11" i="16" s="1"/>
  <c r="D59" i="9"/>
  <c r="M58" i="9"/>
  <c r="L58" i="9"/>
  <c r="D25" i="17" s="1"/>
  <c r="K58" i="9"/>
  <c r="D23" i="17" s="1"/>
  <c r="J58" i="9"/>
  <c r="D21" i="17" s="1"/>
  <c r="I58" i="9"/>
  <c r="D19" i="17" s="1"/>
  <c r="H58" i="9"/>
  <c r="D17" i="17" s="1"/>
  <c r="G58" i="9"/>
  <c r="D15" i="17" s="1"/>
  <c r="F58" i="9"/>
  <c r="D13" i="17" s="1"/>
  <c r="E58" i="9"/>
  <c r="D11" i="17" s="1"/>
  <c r="D58" i="9"/>
  <c r="D9" i="17" s="1"/>
  <c r="C58" i="9"/>
  <c r="D7" i="17" s="1"/>
  <c r="O57" i="9"/>
  <c r="P57" i="9" s="1"/>
  <c r="Q57" i="9" s="1"/>
  <c r="M57" i="9"/>
  <c r="N57" i="9" s="1"/>
  <c r="L57" i="9"/>
  <c r="K57" i="9"/>
  <c r="J57" i="9"/>
  <c r="I57" i="9"/>
  <c r="H57" i="9"/>
  <c r="G57" i="9"/>
  <c r="F57" i="9"/>
  <c r="E57" i="9"/>
  <c r="D57" i="9"/>
  <c r="C57" i="9"/>
  <c r="M56" i="9"/>
  <c r="L56" i="9"/>
  <c r="K56" i="9"/>
  <c r="J56" i="9"/>
  <c r="I56" i="9"/>
  <c r="H56" i="9"/>
  <c r="G56" i="9"/>
  <c r="F56" i="9"/>
  <c r="E56" i="9"/>
  <c r="D56" i="9"/>
  <c r="C56" i="9"/>
  <c r="M55" i="9"/>
  <c r="L55" i="9"/>
  <c r="K55" i="9"/>
  <c r="J55" i="9"/>
  <c r="I55" i="9"/>
  <c r="H55" i="9"/>
  <c r="G55" i="9"/>
  <c r="F55" i="9"/>
  <c r="E55" i="9"/>
  <c r="D55" i="9"/>
  <c r="C55" i="9"/>
  <c r="M54" i="9"/>
  <c r="L54" i="9"/>
  <c r="K54" i="9"/>
  <c r="J54" i="9"/>
  <c r="I54" i="9"/>
  <c r="H54" i="9"/>
  <c r="G54" i="9"/>
  <c r="F54" i="9"/>
  <c r="E54" i="9"/>
  <c r="D54" i="9"/>
  <c r="C54" i="9"/>
  <c r="M53" i="9"/>
  <c r="L53" i="9"/>
  <c r="K53" i="9"/>
  <c r="J53" i="9"/>
  <c r="I53" i="9"/>
  <c r="H53" i="9"/>
  <c r="G53" i="9"/>
  <c r="F53" i="9"/>
  <c r="E53" i="9"/>
  <c r="D53" i="9"/>
  <c r="C53" i="9"/>
  <c r="M52" i="9"/>
  <c r="L52" i="9"/>
  <c r="K52" i="9"/>
  <c r="J52" i="9"/>
  <c r="I52" i="9"/>
  <c r="H52" i="9"/>
  <c r="G52" i="9"/>
  <c r="F52" i="9"/>
  <c r="E52" i="9"/>
  <c r="D52" i="9"/>
  <c r="C52" i="9"/>
  <c r="M51" i="9"/>
  <c r="L51" i="9"/>
  <c r="K51" i="9"/>
  <c r="J51" i="9"/>
  <c r="I51" i="9"/>
  <c r="H51" i="9"/>
  <c r="G51" i="9"/>
  <c r="F51" i="9"/>
  <c r="E51" i="9"/>
  <c r="D51" i="9"/>
  <c r="C51" i="9"/>
  <c r="M50" i="9"/>
  <c r="C30" i="19" s="1"/>
  <c r="L50" i="9"/>
  <c r="L61" i="9" s="1"/>
  <c r="L12" i="16" s="1"/>
  <c r="K50" i="9"/>
  <c r="J50" i="9"/>
  <c r="I50" i="9"/>
  <c r="H50" i="9"/>
  <c r="G50" i="9"/>
  <c r="F50" i="9"/>
  <c r="F61" i="9" s="1"/>
  <c r="F12" i="16" s="1"/>
  <c r="E50" i="9"/>
  <c r="D50" i="9"/>
  <c r="C50" i="9"/>
  <c r="M49" i="9"/>
  <c r="L49" i="9"/>
  <c r="L60" i="9" s="1"/>
  <c r="L11" i="16" s="1"/>
  <c r="K49" i="9"/>
  <c r="J49" i="9"/>
  <c r="I49" i="9"/>
  <c r="H49" i="9"/>
  <c r="G49" i="9"/>
  <c r="F49" i="9"/>
  <c r="E49" i="9"/>
  <c r="D49" i="9"/>
  <c r="C49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M46" i="9"/>
  <c r="L46" i="9"/>
  <c r="K46" i="9"/>
  <c r="J46" i="9"/>
  <c r="I46" i="9"/>
  <c r="H46" i="9"/>
  <c r="G46" i="9"/>
  <c r="F46" i="9"/>
  <c r="E46" i="9"/>
  <c r="D46" i="9"/>
  <c r="C46" i="9"/>
  <c r="M45" i="9"/>
  <c r="L45" i="9"/>
  <c r="K45" i="9"/>
  <c r="J45" i="9"/>
  <c r="I45" i="9"/>
  <c r="H45" i="9"/>
  <c r="G45" i="9"/>
  <c r="F45" i="9"/>
  <c r="E45" i="9"/>
  <c r="D45" i="9"/>
  <c r="C45" i="9"/>
  <c r="M44" i="9"/>
  <c r="L44" i="9"/>
  <c r="K44" i="9"/>
  <c r="J44" i="9"/>
  <c r="I44" i="9"/>
  <c r="H44" i="9"/>
  <c r="G44" i="9"/>
  <c r="F44" i="9"/>
  <c r="E44" i="9"/>
  <c r="D44" i="9"/>
  <c r="C44" i="9"/>
  <c r="M43" i="9"/>
  <c r="N43" i="9" s="1"/>
  <c r="O43" i="9" s="1"/>
  <c r="P43" i="9" s="1"/>
  <c r="Q43" i="9" s="1"/>
  <c r="L43" i="9"/>
  <c r="K43" i="9"/>
  <c r="J43" i="9"/>
  <c r="I43" i="9"/>
  <c r="H43" i="9"/>
  <c r="G43" i="9"/>
  <c r="F43" i="9"/>
  <c r="E43" i="9"/>
  <c r="D43" i="9"/>
  <c r="C43" i="9"/>
  <c r="M42" i="9"/>
  <c r="C31" i="19" s="1"/>
  <c r="L42" i="9"/>
  <c r="K42" i="9"/>
  <c r="J42" i="9"/>
  <c r="I42" i="9"/>
  <c r="I61" i="9" s="1"/>
  <c r="I12" i="16" s="1"/>
  <c r="H42" i="9"/>
  <c r="H61" i="9" s="1"/>
  <c r="H12" i="16" s="1"/>
  <c r="G42" i="9"/>
  <c r="G61" i="9" s="1"/>
  <c r="G12" i="16" s="1"/>
  <c r="F42" i="9"/>
  <c r="E42" i="9"/>
  <c r="D42" i="9"/>
  <c r="C42" i="9"/>
  <c r="C61" i="9" s="1"/>
  <c r="C12" i="16" s="1"/>
  <c r="M41" i="9"/>
  <c r="C38" i="19" s="1"/>
  <c r="L41" i="9"/>
  <c r="K41" i="9"/>
  <c r="K60" i="9" s="1"/>
  <c r="K11" i="16" s="1"/>
  <c r="J41" i="9"/>
  <c r="J60" i="9" s="1"/>
  <c r="J11" i="16" s="1"/>
  <c r="I41" i="9"/>
  <c r="I60" i="9" s="1"/>
  <c r="I11" i="16" s="1"/>
  <c r="H41" i="9"/>
  <c r="G41" i="9"/>
  <c r="F41" i="9"/>
  <c r="E41" i="9"/>
  <c r="E60" i="9" s="1"/>
  <c r="E11" i="16" s="1"/>
  <c r="D41" i="9"/>
  <c r="C41" i="9"/>
  <c r="M40" i="9"/>
  <c r="L40" i="9"/>
  <c r="K40" i="9"/>
  <c r="J40" i="9"/>
  <c r="I40" i="9"/>
  <c r="H40" i="9"/>
  <c r="G40" i="9"/>
  <c r="F40" i="9"/>
  <c r="E40" i="9"/>
  <c r="D40" i="9"/>
  <c r="C40" i="9"/>
  <c r="O39" i="9"/>
  <c r="P39" i="9" s="1"/>
  <c r="Q39" i="9" s="1"/>
  <c r="M39" i="9"/>
  <c r="N39" i="9" s="1"/>
  <c r="L39" i="9"/>
  <c r="K39" i="9"/>
  <c r="J39" i="9"/>
  <c r="I39" i="9"/>
  <c r="H39" i="9"/>
  <c r="G39" i="9"/>
  <c r="F39" i="9"/>
  <c r="E39" i="9"/>
  <c r="D39" i="9"/>
  <c r="C39" i="9"/>
  <c r="M38" i="9"/>
  <c r="L38" i="9"/>
  <c r="K38" i="9"/>
  <c r="J38" i="9"/>
  <c r="I38" i="9"/>
  <c r="H38" i="9"/>
  <c r="G38" i="9"/>
  <c r="F38" i="9"/>
  <c r="E38" i="9"/>
  <c r="D38" i="9"/>
  <c r="C38" i="9"/>
  <c r="M37" i="9"/>
  <c r="C46" i="19" s="1"/>
  <c r="D41" i="19" s="1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M35" i="9"/>
  <c r="C27" i="17" s="1"/>
  <c r="L35" i="9"/>
  <c r="C25" i="17" s="1"/>
  <c r="K35" i="9"/>
  <c r="C23" i="17" s="1"/>
  <c r="E23" i="17" s="1"/>
  <c r="B23" i="17" s="1"/>
  <c r="J35" i="9"/>
  <c r="I35" i="9"/>
  <c r="C19" i="17" s="1"/>
  <c r="H35" i="9"/>
  <c r="C17" i="17" s="1"/>
  <c r="G35" i="9"/>
  <c r="C15" i="17" s="1"/>
  <c r="F35" i="9"/>
  <c r="C13" i="17" s="1"/>
  <c r="E35" i="9"/>
  <c r="C11" i="17" s="1"/>
  <c r="E11" i="17" s="1"/>
  <c r="B11" i="17" s="1"/>
  <c r="D35" i="9"/>
  <c r="C9" i="17" s="1"/>
  <c r="E9" i="17" s="1"/>
  <c r="B9" i="17" s="1"/>
  <c r="C35" i="9"/>
  <c r="C7" i="17" s="1"/>
  <c r="M34" i="9"/>
  <c r="L34" i="9"/>
  <c r="K34" i="9"/>
  <c r="J34" i="9"/>
  <c r="I34" i="9"/>
  <c r="H34" i="9"/>
  <c r="G34" i="9"/>
  <c r="F34" i="9"/>
  <c r="E34" i="9"/>
  <c r="D34" i="9"/>
  <c r="C34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M32" i="9"/>
  <c r="L32" i="9"/>
  <c r="K32" i="9"/>
  <c r="J32" i="9"/>
  <c r="I32" i="9"/>
  <c r="H32" i="9"/>
  <c r="G32" i="9"/>
  <c r="F32" i="9"/>
  <c r="E32" i="9"/>
  <c r="D32" i="9"/>
  <c r="C32" i="9"/>
  <c r="M31" i="9"/>
  <c r="L31" i="9"/>
  <c r="K31" i="9"/>
  <c r="J31" i="9"/>
  <c r="I31" i="9"/>
  <c r="H31" i="9"/>
  <c r="G31" i="9"/>
  <c r="F31" i="9"/>
  <c r="E31" i="9"/>
  <c r="D31" i="9"/>
  <c r="C31" i="9"/>
  <c r="M30" i="9"/>
  <c r="L30" i="9"/>
  <c r="K30" i="9"/>
  <c r="J30" i="9"/>
  <c r="I30" i="9"/>
  <c r="H30" i="9"/>
  <c r="G30" i="9"/>
  <c r="F30" i="9"/>
  <c r="E30" i="9"/>
  <c r="D30" i="9"/>
  <c r="C30" i="9"/>
  <c r="M29" i="9"/>
  <c r="L29" i="9"/>
  <c r="K29" i="9"/>
  <c r="J29" i="9"/>
  <c r="I29" i="9"/>
  <c r="H29" i="9"/>
  <c r="G29" i="9"/>
  <c r="F29" i="9"/>
  <c r="E29" i="9"/>
  <c r="D29" i="9"/>
  <c r="C29" i="9"/>
  <c r="M28" i="9"/>
  <c r="L28" i="9"/>
  <c r="L86" i="10" s="1"/>
  <c r="K28" i="9"/>
  <c r="J28" i="9"/>
  <c r="I28" i="9"/>
  <c r="H28" i="9"/>
  <c r="H86" i="10" s="1"/>
  <c r="D18" i="17" s="1"/>
  <c r="G28" i="9"/>
  <c r="G86" i="10" s="1"/>
  <c r="F28" i="9"/>
  <c r="F86" i="10" s="1"/>
  <c r="E28" i="9"/>
  <c r="E86" i="10" s="1"/>
  <c r="D28" i="9"/>
  <c r="D86" i="10" s="1"/>
  <c r="C28" i="9"/>
  <c r="C86" i="10" s="1"/>
  <c r="M27" i="9"/>
  <c r="L27" i="9"/>
  <c r="K27" i="9"/>
  <c r="J27" i="9"/>
  <c r="I27" i="9"/>
  <c r="H27" i="9"/>
  <c r="G27" i="9"/>
  <c r="F27" i="9"/>
  <c r="E27" i="9"/>
  <c r="D27" i="9"/>
  <c r="C27" i="9"/>
  <c r="M26" i="9"/>
  <c r="L26" i="9"/>
  <c r="K26" i="9"/>
  <c r="J26" i="9"/>
  <c r="I26" i="9"/>
  <c r="H26" i="9"/>
  <c r="G26" i="9"/>
  <c r="F26" i="9"/>
  <c r="E26" i="9"/>
  <c r="D26" i="9"/>
  <c r="C26" i="9"/>
  <c r="M25" i="9"/>
  <c r="L25" i="9"/>
  <c r="K25" i="9"/>
  <c r="J25" i="9"/>
  <c r="I25" i="9"/>
  <c r="H25" i="9"/>
  <c r="G25" i="9"/>
  <c r="F25" i="9"/>
  <c r="E25" i="9"/>
  <c r="D25" i="9"/>
  <c r="D62" i="9" s="1"/>
  <c r="C25" i="9"/>
  <c r="M24" i="9"/>
  <c r="L24" i="9"/>
  <c r="K24" i="9"/>
  <c r="J24" i="9"/>
  <c r="I24" i="9"/>
  <c r="H24" i="9"/>
  <c r="G24" i="9"/>
  <c r="F24" i="9"/>
  <c r="E24" i="9"/>
  <c r="D24" i="9"/>
  <c r="C24" i="9"/>
  <c r="M23" i="9"/>
  <c r="L23" i="9"/>
  <c r="K23" i="9"/>
  <c r="J23" i="9"/>
  <c r="I23" i="9"/>
  <c r="H23" i="9"/>
  <c r="G23" i="9"/>
  <c r="F23" i="9"/>
  <c r="E23" i="9"/>
  <c r="D23" i="9"/>
  <c r="C23" i="9"/>
  <c r="M22" i="9"/>
  <c r="L22" i="9"/>
  <c r="K22" i="9"/>
  <c r="J22" i="9"/>
  <c r="I22" i="9"/>
  <c r="H22" i="9"/>
  <c r="G22" i="9"/>
  <c r="F22" i="9"/>
  <c r="E22" i="9"/>
  <c r="D22" i="9"/>
  <c r="C22" i="9"/>
  <c r="M21" i="9"/>
  <c r="L21" i="9"/>
  <c r="K21" i="9"/>
  <c r="J21" i="9"/>
  <c r="I21" i="9"/>
  <c r="H21" i="9"/>
  <c r="G21" i="9"/>
  <c r="F21" i="9"/>
  <c r="E21" i="9"/>
  <c r="D21" i="9"/>
  <c r="C21" i="9"/>
  <c r="M20" i="9"/>
  <c r="L20" i="9"/>
  <c r="K20" i="9"/>
  <c r="J20" i="9"/>
  <c r="I20" i="9"/>
  <c r="H20" i="9"/>
  <c r="G20" i="9"/>
  <c r="F20" i="9"/>
  <c r="E20" i="9"/>
  <c r="D20" i="9"/>
  <c r="C20" i="9"/>
  <c r="M19" i="9"/>
  <c r="L19" i="9"/>
  <c r="K19" i="9"/>
  <c r="J19" i="9"/>
  <c r="I19" i="9"/>
  <c r="H19" i="9"/>
  <c r="G19" i="9"/>
  <c r="F19" i="9"/>
  <c r="E19" i="9"/>
  <c r="D19" i="9"/>
  <c r="C19" i="9"/>
  <c r="P18" i="9"/>
  <c r="Q18" i="9" s="1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M15" i="9"/>
  <c r="L15" i="9"/>
  <c r="L62" i="9" s="1"/>
  <c r="K15" i="9"/>
  <c r="J15" i="9"/>
  <c r="I15" i="9"/>
  <c r="H15" i="9"/>
  <c r="G15" i="9"/>
  <c r="G62" i="9" s="1"/>
  <c r="F15" i="9"/>
  <c r="F62" i="9" s="1"/>
  <c r="E15" i="9"/>
  <c r="D15" i="9"/>
  <c r="C15" i="9"/>
  <c r="O14" i="9"/>
  <c r="O50" i="10" s="1"/>
  <c r="N14" i="9"/>
  <c r="N50" i="10" s="1"/>
  <c r="M14" i="9"/>
  <c r="L14" i="9"/>
  <c r="K14" i="9"/>
  <c r="J14" i="9"/>
  <c r="I14" i="9"/>
  <c r="H14" i="9"/>
  <c r="G14" i="9"/>
  <c r="F14" i="9"/>
  <c r="E14" i="9"/>
  <c r="D14" i="9"/>
  <c r="C14" i="9"/>
  <c r="M13" i="9"/>
  <c r="N13" i="9" s="1"/>
  <c r="O13" i="9" s="1"/>
  <c r="P13" i="9" s="1"/>
  <c r="Q13" i="9" s="1"/>
  <c r="L13" i="9"/>
  <c r="K13" i="9"/>
  <c r="J13" i="9"/>
  <c r="I13" i="9"/>
  <c r="H13" i="9"/>
  <c r="G13" i="9"/>
  <c r="F13" i="9"/>
  <c r="E13" i="9"/>
  <c r="D13" i="9"/>
  <c r="C13" i="9"/>
  <c r="M12" i="9"/>
  <c r="C20" i="19" s="1"/>
  <c r="L12" i="9"/>
  <c r="K12" i="9"/>
  <c r="J12" i="9"/>
  <c r="I12" i="9"/>
  <c r="H12" i="9"/>
  <c r="G12" i="9"/>
  <c r="F12" i="9"/>
  <c r="E12" i="9"/>
  <c r="D12" i="9"/>
  <c r="C12" i="9"/>
  <c r="M11" i="9"/>
  <c r="N11" i="9" s="1"/>
  <c r="O11" i="9" s="1"/>
  <c r="P11" i="9" s="1"/>
  <c r="Q11" i="9" s="1"/>
  <c r="L11" i="9"/>
  <c r="K11" i="9"/>
  <c r="J11" i="9"/>
  <c r="I11" i="9"/>
  <c r="H11" i="9"/>
  <c r="G11" i="9"/>
  <c r="F11" i="9"/>
  <c r="E11" i="9"/>
  <c r="D11" i="9"/>
  <c r="C11" i="9"/>
  <c r="O10" i="9"/>
  <c r="P10" i="9" s="1"/>
  <c r="N10" i="9"/>
  <c r="N58" i="10" s="1"/>
  <c r="M10" i="9"/>
  <c r="L10" i="9"/>
  <c r="K10" i="9"/>
  <c r="J10" i="9"/>
  <c r="I10" i="9"/>
  <c r="H10" i="9"/>
  <c r="G10" i="9"/>
  <c r="F10" i="9"/>
  <c r="E10" i="9"/>
  <c r="D10" i="9"/>
  <c r="C10" i="9"/>
  <c r="M9" i="9"/>
  <c r="C26" i="19" s="1"/>
  <c r="D23" i="19" s="1"/>
  <c r="L9" i="9"/>
  <c r="K9" i="9"/>
  <c r="J9" i="9"/>
  <c r="I9" i="9"/>
  <c r="H9" i="9"/>
  <c r="G9" i="9"/>
  <c r="F9" i="9"/>
  <c r="E9" i="9"/>
  <c r="D9" i="9"/>
  <c r="C9" i="9"/>
  <c r="M8" i="9"/>
  <c r="C17" i="19" s="1"/>
  <c r="L8" i="9"/>
  <c r="K8" i="9"/>
  <c r="J8" i="9"/>
  <c r="I8" i="9"/>
  <c r="H8" i="9"/>
  <c r="G8" i="9"/>
  <c r="F8" i="9"/>
  <c r="E8" i="9"/>
  <c r="D8" i="9"/>
  <c r="C8" i="9"/>
  <c r="M7" i="9"/>
  <c r="C19" i="19" s="1"/>
  <c r="L7" i="9"/>
  <c r="K7" i="9"/>
  <c r="J7" i="9"/>
  <c r="I7" i="9"/>
  <c r="H7" i="9"/>
  <c r="G7" i="9"/>
  <c r="F7" i="9"/>
  <c r="E7" i="9"/>
  <c r="D7" i="9"/>
  <c r="C7" i="9"/>
  <c r="Q43" i="8"/>
  <c r="P43" i="8"/>
  <c r="O43" i="8"/>
  <c r="N43" i="8"/>
  <c r="M42" i="8"/>
  <c r="D162" i="17" s="1"/>
  <c r="L42" i="8"/>
  <c r="D150" i="17" s="1"/>
  <c r="K42" i="8"/>
  <c r="D138" i="17" s="1"/>
  <c r="J42" i="8"/>
  <c r="D126" i="17" s="1"/>
  <c r="I42" i="8"/>
  <c r="D114" i="17" s="1"/>
  <c r="H42" i="8"/>
  <c r="D102" i="17" s="1"/>
  <c r="G42" i="8"/>
  <c r="D90" i="17" s="1"/>
  <c r="F42" i="8"/>
  <c r="D78" i="17" s="1"/>
  <c r="E42" i="8"/>
  <c r="D66" i="17" s="1"/>
  <c r="D42" i="8"/>
  <c r="D54" i="17" s="1"/>
  <c r="C42" i="8"/>
  <c r="D42" i="17" s="1"/>
  <c r="M41" i="8"/>
  <c r="L41" i="8"/>
  <c r="K41" i="8"/>
  <c r="J41" i="8"/>
  <c r="I41" i="8"/>
  <c r="H41" i="8"/>
  <c r="G41" i="8"/>
  <c r="F41" i="8"/>
  <c r="E41" i="8"/>
  <c r="D41" i="8"/>
  <c r="C41" i="8"/>
  <c r="M34" i="8"/>
  <c r="L34" i="8"/>
  <c r="K34" i="8"/>
  <c r="J34" i="8"/>
  <c r="I34" i="8"/>
  <c r="H34" i="8"/>
  <c r="G34" i="8"/>
  <c r="F34" i="8"/>
  <c r="E34" i="8"/>
  <c r="D34" i="8"/>
  <c r="C34" i="8"/>
  <c r="G32" i="8"/>
  <c r="M31" i="8"/>
  <c r="L31" i="8"/>
  <c r="K31" i="8"/>
  <c r="K32" i="8" s="1"/>
  <c r="J31" i="8"/>
  <c r="I31" i="8"/>
  <c r="H31" i="8"/>
  <c r="G31" i="8"/>
  <c r="F31" i="8"/>
  <c r="E31" i="8"/>
  <c r="E32" i="8" s="1"/>
  <c r="D31" i="8"/>
  <c r="C31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J27" i="8"/>
  <c r="J29" i="8" s="1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M25" i="8"/>
  <c r="L25" i="8"/>
  <c r="K25" i="8"/>
  <c r="K27" i="8" s="1"/>
  <c r="K29" i="8" s="1"/>
  <c r="J25" i="8"/>
  <c r="I25" i="8"/>
  <c r="I27" i="8" s="1"/>
  <c r="I29" i="8" s="1"/>
  <c r="H25" i="8"/>
  <c r="G25" i="8"/>
  <c r="F25" i="8"/>
  <c r="E25" i="8"/>
  <c r="E27" i="8" s="1"/>
  <c r="E29" i="8" s="1"/>
  <c r="D25" i="8"/>
  <c r="D27" i="8" s="1"/>
  <c r="D29" i="8" s="1"/>
  <c r="C25" i="8"/>
  <c r="C27" i="8" s="1"/>
  <c r="C29" i="8" s="1"/>
  <c r="M24" i="8"/>
  <c r="L24" i="8"/>
  <c r="K24" i="8"/>
  <c r="J24" i="8"/>
  <c r="I24" i="8"/>
  <c r="H24" i="8"/>
  <c r="G24" i="8"/>
  <c r="F24" i="8"/>
  <c r="E24" i="8"/>
  <c r="D24" i="8"/>
  <c r="C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Q22" i="8"/>
  <c r="Q23" i="10" s="1"/>
  <c r="P22" i="8"/>
  <c r="P23" i="10" s="1"/>
  <c r="O22" i="8"/>
  <c r="O23" i="10" s="1"/>
  <c r="N22" i="8"/>
  <c r="M22" i="8"/>
  <c r="M27" i="8" s="1"/>
  <c r="M29" i="8" s="1"/>
  <c r="M30" i="8" s="1"/>
  <c r="L22" i="8"/>
  <c r="K22" i="8"/>
  <c r="J22" i="8"/>
  <c r="I22" i="8"/>
  <c r="H22" i="8"/>
  <c r="H27" i="8" s="1"/>
  <c r="H29" i="8" s="1"/>
  <c r="G22" i="8"/>
  <c r="G27" i="8" s="1"/>
  <c r="G29" i="8" s="1"/>
  <c r="G30" i="8" s="1"/>
  <c r="F22" i="8"/>
  <c r="E22" i="8"/>
  <c r="D22" i="8"/>
  <c r="C22" i="8"/>
  <c r="K21" i="8"/>
  <c r="J21" i="8"/>
  <c r="E21" i="8"/>
  <c r="D21" i="8"/>
  <c r="D14" i="2" s="1"/>
  <c r="M20" i="8"/>
  <c r="L20" i="8"/>
  <c r="K20" i="8"/>
  <c r="D135" i="17" s="1"/>
  <c r="J20" i="8"/>
  <c r="D123" i="17" s="1"/>
  <c r="I20" i="8"/>
  <c r="D111" i="17" s="1"/>
  <c r="H20" i="8"/>
  <c r="D99" i="17" s="1"/>
  <c r="G20" i="8"/>
  <c r="F20" i="8"/>
  <c r="E20" i="8"/>
  <c r="D63" i="17" s="1"/>
  <c r="D20" i="8"/>
  <c r="D51" i="17" s="1"/>
  <c r="C20" i="8"/>
  <c r="D39" i="17" s="1"/>
  <c r="M19" i="8"/>
  <c r="C9" i="19" s="1"/>
  <c r="L19" i="8"/>
  <c r="K19" i="8"/>
  <c r="J19" i="8"/>
  <c r="I19" i="8"/>
  <c r="H19" i="8"/>
  <c r="G19" i="8"/>
  <c r="F19" i="8"/>
  <c r="E19" i="8"/>
  <c r="D19" i="8"/>
  <c r="C19" i="8"/>
  <c r="Q18" i="8"/>
  <c r="P18" i="8"/>
  <c r="O18" i="8"/>
  <c r="N18" i="8"/>
  <c r="M17" i="8"/>
  <c r="L17" i="8"/>
  <c r="K17" i="8"/>
  <c r="J17" i="8"/>
  <c r="I17" i="8"/>
  <c r="H17" i="8"/>
  <c r="G17" i="8"/>
  <c r="F17" i="8"/>
  <c r="E17" i="8"/>
  <c r="D17" i="8"/>
  <c r="C17" i="8"/>
  <c r="M14" i="8"/>
  <c r="L14" i="8"/>
  <c r="K14" i="8"/>
  <c r="J14" i="8"/>
  <c r="I14" i="8"/>
  <c r="H14" i="8"/>
  <c r="G14" i="8"/>
  <c r="F14" i="8"/>
  <c r="E14" i="8"/>
  <c r="D14" i="8"/>
  <c r="C14" i="8"/>
  <c r="Q13" i="8"/>
  <c r="P13" i="8"/>
  <c r="O13" i="8"/>
  <c r="N13" i="8"/>
  <c r="M12" i="8"/>
  <c r="L12" i="8"/>
  <c r="K12" i="8"/>
  <c r="J12" i="8"/>
  <c r="I12" i="8"/>
  <c r="H12" i="8"/>
  <c r="G12" i="8"/>
  <c r="F12" i="8"/>
  <c r="E12" i="8"/>
  <c r="D12" i="8"/>
  <c r="C12" i="8"/>
  <c r="M10" i="8"/>
  <c r="L10" i="8"/>
  <c r="G10" i="8"/>
  <c r="F10" i="8"/>
  <c r="M9" i="8"/>
  <c r="L9" i="8"/>
  <c r="K9" i="8"/>
  <c r="J9" i="8"/>
  <c r="I9" i="8"/>
  <c r="H9" i="8"/>
  <c r="G9" i="8"/>
  <c r="F9" i="8"/>
  <c r="E9" i="8"/>
  <c r="D9" i="8"/>
  <c r="C9" i="8"/>
  <c r="M8" i="8"/>
  <c r="L8" i="8"/>
  <c r="L8" i="2" s="1"/>
  <c r="G8" i="8"/>
  <c r="F8" i="8"/>
  <c r="F8" i="2" s="1"/>
  <c r="M7" i="8"/>
  <c r="M33" i="11" s="1"/>
  <c r="L7" i="8"/>
  <c r="K7" i="8"/>
  <c r="K31" i="11" s="1"/>
  <c r="J7" i="8"/>
  <c r="I7" i="8"/>
  <c r="I30" i="12" s="1"/>
  <c r="H7" i="8"/>
  <c r="H9" i="11" s="1"/>
  <c r="G7" i="8"/>
  <c r="G35" i="11" s="1"/>
  <c r="F7" i="8"/>
  <c r="F29" i="11" s="1"/>
  <c r="E7" i="8"/>
  <c r="D7" i="8"/>
  <c r="C7" i="8"/>
  <c r="C13" i="11" s="1"/>
  <c r="AQ33" i="7"/>
  <c r="C27" i="18" s="1"/>
  <c r="AK33" i="7"/>
  <c r="AJ33" i="7"/>
  <c r="AE33" i="7"/>
  <c r="Y33" i="7"/>
  <c r="X33" i="7"/>
  <c r="S33" i="7"/>
  <c r="M33" i="7"/>
  <c r="L33" i="7"/>
  <c r="G33" i="7"/>
  <c r="AS32" i="7"/>
  <c r="AR32" i="7"/>
  <c r="AN32" i="7"/>
  <c r="AM32" i="7"/>
  <c r="AL32" i="7"/>
  <c r="AH32" i="7"/>
  <c r="AG32" i="7"/>
  <c r="AF32" i="7"/>
  <c r="AB32" i="7"/>
  <c r="AA32" i="7"/>
  <c r="Z32" i="7"/>
  <c r="V32" i="7"/>
  <c r="U32" i="7"/>
  <c r="T32" i="7"/>
  <c r="P32" i="7"/>
  <c r="O32" i="7"/>
  <c r="N32" i="7"/>
  <c r="J32" i="7"/>
  <c r="I32" i="7"/>
  <c r="H32" i="7"/>
  <c r="D32" i="7"/>
  <c r="AU31" i="7"/>
  <c r="AT31" i="7"/>
  <c r="AS31" i="7"/>
  <c r="AR31" i="7"/>
  <c r="AQ31" i="7"/>
  <c r="C26" i="18" s="1"/>
  <c r="AP31" i="7"/>
  <c r="AP32" i="7" s="1"/>
  <c r="AO31" i="7"/>
  <c r="AN31" i="7"/>
  <c r="AM31" i="7"/>
  <c r="AL31" i="7"/>
  <c r="AK31" i="7"/>
  <c r="AK32" i="7" s="1"/>
  <c r="AJ31" i="7"/>
  <c r="AJ32" i="7" s="1"/>
  <c r="AI31" i="7"/>
  <c r="AH31" i="7"/>
  <c r="AG31" i="7"/>
  <c r="AF31" i="7"/>
  <c r="AE31" i="7"/>
  <c r="AE32" i="7" s="1"/>
  <c r="AD31" i="7"/>
  <c r="AD32" i="7" s="1"/>
  <c r="AC31" i="7"/>
  <c r="AB31" i="7"/>
  <c r="AA31" i="7"/>
  <c r="Z31" i="7"/>
  <c r="Y31" i="7"/>
  <c r="Y32" i="7" s="1"/>
  <c r="X31" i="7"/>
  <c r="X32" i="7" s="1"/>
  <c r="W31" i="7"/>
  <c r="V31" i="7"/>
  <c r="U31" i="7"/>
  <c r="T31" i="7"/>
  <c r="S31" i="7"/>
  <c r="S32" i="7" s="1"/>
  <c r="R31" i="7"/>
  <c r="R32" i="7" s="1"/>
  <c r="Q31" i="7"/>
  <c r="P31" i="7"/>
  <c r="O31" i="7"/>
  <c r="N31" i="7"/>
  <c r="M31" i="7"/>
  <c r="M32" i="7" s="1"/>
  <c r="L31" i="7"/>
  <c r="L32" i="7" s="1"/>
  <c r="K31" i="7"/>
  <c r="J31" i="7"/>
  <c r="I31" i="7"/>
  <c r="H31" i="7"/>
  <c r="G31" i="7"/>
  <c r="G32" i="7" s="1"/>
  <c r="F31" i="7"/>
  <c r="F32" i="7" s="1"/>
  <c r="E31" i="7"/>
  <c r="D31" i="7"/>
  <c r="C31" i="7"/>
  <c r="AU28" i="7"/>
  <c r="E21" i="18" s="1"/>
  <c r="AT28" i="7"/>
  <c r="D21" i="18" s="1"/>
  <c r="AS28" i="7"/>
  <c r="AR28" i="7"/>
  <c r="AQ28" i="7"/>
  <c r="C21" i="18" s="1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U26" i="7"/>
  <c r="E19" i="18" s="1"/>
  <c r="AT26" i="7"/>
  <c r="D19" i="18" s="1"/>
  <c r="AS26" i="7"/>
  <c r="AR26" i="7"/>
  <c r="AQ26" i="7"/>
  <c r="C19" i="18" s="1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U15" i="7"/>
  <c r="E15" i="18" s="1"/>
  <c r="AT15" i="7"/>
  <c r="D15" i="18" s="1"/>
  <c r="AS15" i="7"/>
  <c r="AR15" i="7"/>
  <c r="AQ15" i="7"/>
  <c r="C15" i="18" s="1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U12" i="7"/>
  <c r="E12" i="18" s="1"/>
  <c r="AT12" i="7"/>
  <c r="D12" i="18" s="1"/>
  <c r="AS12" i="7"/>
  <c r="AR12" i="7"/>
  <c r="AQ12" i="7"/>
  <c r="C12" i="18" s="1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N11" i="7"/>
  <c r="V11" i="7"/>
  <c r="D11" i="7"/>
  <c r="AN10" i="7"/>
  <c r="AN13" i="7" s="1"/>
  <c r="AM10" i="7"/>
  <c r="AL10" i="7"/>
  <c r="AF10" i="7"/>
  <c r="AE10" i="7"/>
  <c r="AE13" i="7" s="1"/>
  <c r="V10" i="7"/>
  <c r="V13" i="7" s="1"/>
  <c r="U10" i="7"/>
  <c r="T10" i="7"/>
  <c r="N10" i="7"/>
  <c r="M10" i="7"/>
  <c r="M13" i="7" s="1"/>
  <c r="D10" i="7"/>
  <c r="D13" i="7" s="1"/>
  <c r="C10" i="7"/>
  <c r="AU9" i="7"/>
  <c r="E9" i="18" s="1"/>
  <c r="AT9" i="7"/>
  <c r="D9" i="18" s="1"/>
  <c r="AS9" i="7"/>
  <c r="AR9" i="7"/>
  <c r="AQ9" i="7"/>
  <c r="C9" i="18" s="1"/>
  <c r="AP9" i="7"/>
  <c r="AP10" i="7" s="1"/>
  <c r="AP13" i="7" s="1"/>
  <c r="AO9" i="7"/>
  <c r="AN9" i="7"/>
  <c r="AM9" i="7"/>
  <c r="AL9" i="7"/>
  <c r="AK9" i="7"/>
  <c r="AK10" i="7" s="1"/>
  <c r="AJ9" i="7"/>
  <c r="AJ10" i="7" s="1"/>
  <c r="AJ11" i="7" s="1"/>
  <c r="AI9" i="7"/>
  <c r="AH9" i="7"/>
  <c r="AG9" i="7"/>
  <c r="AF9" i="7"/>
  <c r="AE9" i="7"/>
  <c r="AD9" i="7"/>
  <c r="AD10" i="7" s="1"/>
  <c r="AD11" i="7" s="1"/>
  <c r="AC9" i="7"/>
  <c r="AB9" i="7"/>
  <c r="AA9" i="7"/>
  <c r="Z9" i="7"/>
  <c r="Y9" i="7"/>
  <c r="Y10" i="7" s="1"/>
  <c r="X9" i="7"/>
  <c r="X10" i="7" s="1"/>
  <c r="X13" i="7" s="1"/>
  <c r="W9" i="7"/>
  <c r="V9" i="7"/>
  <c r="U9" i="7"/>
  <c r="T9" i="7"/>
  <c r="S9" i="7"/>
  <c r="S10" i="7" s="1"/>
  <c r="R9" i="7"/>
  <c r="R10" i="7" s="1"/>
  <c r="R11" i="7" s="1"/>
  <c r="Q9" i="7"/>
  <c r="P9" i="7"/>
  <c r="O9" i="7"/>
  <c r="N9" i="7"/>
  <c r="M9" i="7"/>
  <c r="L9" i="7"/>
  <c r="L10" i="7" s="1"/>
  <c r="L11" i="7" s="1"/>
  <c r="K9" i="7"/>
  <c r="J9" i="7"/>
  <c r="I9" i="7"/>
  <c r="H9" i="7"/>
  <c r="G9" i="7"/>
  <c r="G10" i="7" s="1"/>
  <c r="F9" i="7"/>
  <c r="F10" i="7" s="1"/>
  <c r="F13" i="7" s="1"/>
  <c r="E9" i="7"/>
  <c r="D9" i="7"/>
  <c r="C9" i="7"/>
  <c r="AR8" i="7"/>
  <c r="AN8" i="7"/>
  <c r="AK8" i="7"/>
  <c r="AH8" i="7"/>
  <c r="AF8" i="7"/>
  <c r="Z8" i="7"/>
  <c r="V8" i="7"/>
  <c r="S8" i="7"/>
  <c r="P8" i="7"/>
  <c r="N8" i="7"/>
  <c r="H8" i="7"/>
  <c r="AQ7" i="7"/>
  <c r="AM7" i="7"/>
  <c r="AL7" i="7"/>
  <c r="AK7" i="7"/>
  <c r="AF7" i="7"/>
  <c r="AE7" i="7"/>
  <c r="Y7" i="7"/>
  <c r="U7" i="7"/>
  <c r="T7" i="7"/>
  <c r="S7" i="7"/>
  <c r="N7" i="7"/>
  <c r="M7" i="7"/>
  <c r="G7" i="7"/>
  <c r="AU6" i="7"/>
  <c r="AT6" i="7"/>
  <c r="AT8" i="7" s="1"/>
  <c r="AS6" i="7"/>
  <c r="AS33" i="7" s="1"/>
  <c r="AR6" i="7"/>
  <c r="AR33" i="7" s="1"/>
  <c r="AQ6" i="7"/>
  <c r="AP6" i="7"/>
  <c r="AO6" i="7"/>
  <c r="AN6" i="7"/>
  <c r="AM6" i="7"/>
  <c r="AM8" i="7" s="1"/>
  <c r="AL6" i="7"/>
  <c r="AK6" i="7"/>
  <c r="AJ6" i="7"/>
  <c r="AI6" i="7"/>
  <c r="AH6" i="7"/>
  <c r="AH10" i="7" s="1"/>
  <c r="AG6" i="7"/>
  <c r="AG33" i="7" s="1"/>
  <c r="AF6" i="7"/>
  <c r="AE6" i="7"/>
  <c r="AD6" i="7"/>
  <c r="AC6" i="7"/>
  <c r="AC33" i="7" s="1"/>
  <c r="AB6" i="7"/>
  <c r="AB8" i="7" s="1"/>
  <c r="AA6" i="7"/>
  <c r="AE8" i="7" s="1"/>
  <c r="Z6" i="7"/>
  <c r="Y6" i="7"/>
  <c r="X6" i="7"/>
  <c r="W6" i="7"/>
  <c r="V6" i="7"/>
  <c r="U6" i="7"/>
  <c r="U33" i="7" s="1"/>
  <c r="T6" i="7"/>
  <c r="S6" i="7"/>
  <c r="R6" i="7"/>
  <c r="Q6" i="7"/>
  <c r="Q33" i="7" s="1"/>
  <c r="P6" i="7"/>
  <c r="P10" i="7" s="1"/>
  <c r="O6" i="7"/>
  <c r="O10" i="7" s="1"/>
  <c r="N6" i="7"/>
  <c r="M6" i="7"/>
  <c r="L6" i="7"/>
  <c r="K6" i="7"/>
  <c r="J6" i="7"/>
  <c r="J8" i="7" s="1"/>
  <c r="I6" i="7"/>
  <c r="I33" i="7" s="1"/>
  <c r="H6" i="7"/>
  <c r="G6" i="7"/>
  <c r="F6" i="7"/>
  <c r="E6" i="7"/>
  <c r="D6" i="7"/>
  <c r="C6" i="7"/>
  <c r="M30" i="2"/>
  <c r="L30" i="2"/>
  <c r="K30" i="2"/>
  <c r="J30" i="2"/>
  <c r="I30" i="2"/>
  <c r="H30" i="2"/>
  <c r="G30" i="2"/>
  <c r="F30" i="2"/>
  <c r="E30" i="2"/>
  <c r="D30" i="2"/>
  <c r="C30" i="2"/>
  <c r="M29" i="2"/>
  <c r="L29" i="2"/>
  <c r="K29" i="2"/>
  <c r="J29" i="2"/>
  <c r="I29" i="2"/>
  <c r="H29" i="2"/>
  <c r="G29" i="2"/>
  <c r="F29" i="2"/>
  <c r="E29" i="2"/>
  <c r="D29" i="2"/>
  <c r="C29" i="2"/>
  <c r="M28" i="2"/>
  <c r="L28" i="2"/>
  <c r="K28" i="2"/>
  <c r="J28" i="2"/>
  <c r="I28" i="2"/>
  <c r="H28" i="2"/>
  <c r="G28" i="2"/>
  <c r="F28" i="2"/>
  <c r="E28" i="2"/>
  <c r="D28" i="2"/>
  <c r="C28" i="2"/>
  <c r="K27" i="2"/>
  <c r="J27" i="2"/>
  <c r="H27" i="2"/>
  <c r="E27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K24" i="2"/>
  <c r="J24" i="2"/>
  <c r="I24" i="2"/>
  <c r="O23" i="2"/>
  <c r="N23" i="2"/>
  <c r="M23" i="2"/>
  <c r="L23" i="2"/>
  <c r="K23" i="2"/>
  <c r="I23" i="2"/>
  <c r="H23" i="2"/>
  <c r="G23" i="2"/>
  <c r="F23" i="2"/>
  <c r="E23" i="2"/>
  <c r="C23" i="2"/>
  <c r="L21" i="2"/>
  <c r="J21" i="2"/>
  <c r="G21" i="2"/>
  <c r="F21" i="2"/>
  <c r="D21" i="2"/>
  <c r="M19" i="2"/>
  <c r="J19" i="2"/>
  <c r="H19" i="2"/>
  <c r="M18" i="2"/>
  <c r="L18" i="2"/>
  <c r="K18" i="2"/>
  <c r="J18" i="2"/>
  <c r="I18" i="2"/>
  <c r="H18" i="2"/>
  <c r="G18" i="2"/>
  <c r="F18" i="2"/>
  <c r="E18" i="2"/>
  <c r="D18" i="2"/>
  <c r="C18" i="2"/>
  <c r="K14" i="2"/>
  <c r="J14" i="2"/>
  <c r="E14" i="2"/>
  <c r="M13" i="2"/>
  <c r="L13" i="2"/>
  <c r="K13" i="2"/>
  <c r="J13" i="2"/>
  <c r="I13" i="2"/>
  <c r="H13" i="2"/>
  <c r="G13" i="2"/>
  <c r="F13" i="2"/>
  <c r="E13" i="2"/>
  <c r="D13" i="2"/>
  <c r="C13" i="2"/>
  <c r="M10" i="2"/>
  <c r="L10" i="2"/>
  <c r="H10" i="2"/>
  <c r="G10" i="2"/>
  <c r="F10" i="2"/>
  <c r="C10" i="2"/>
  <c r="M9" i="2"/>
  <c r="L9" i="2"/>
  <c r="K9" i="2"/>
  <c r="J9" i="2"/>
  <c r="I9" i="2"/>
  <c r="H9" i="2"/>
  <c r="G9" i="2"/>
  <c r="F9" i="2"/>
  <c r="E9" i="2"/>
  <c r="D9" i="2"/>
  <c r="C9" i="2"/>
  <c r="M8" i="2"/>
  <c r="G8" i="2"/>
  <c r="C8" i="2"/>
  <c r="M7" i="2"/>
  <c r="L7" i="2"/>
  <c r="K7" i="2"/>
  <c r="J7" i="2"/>
  <c r="H7" i="2"/>
  <c r="G7" i="2"/>
  <c r="F7" i="2"/>
  <c r="E7" i="2"/>
  <c r="D7" i="2"/>
  <c r="M16" i="7" l="1"/>
  <c r="M17" i="7" s="1"/>
  <c r="M14" i="7"/>
  <c r="D52" i="17"/>
  <c r="C55" i="17"/>
  <c r="D30" i="8"/>
  <c r="D33" i="8"/>
  <c r="D35" i="8" s="1"/>
  <c r="D124" i="17"/>
  <c r="C127" i="17"/>
  <c r="E127" i="17" s="1"/>
  <c r="B127" i="17" s="1"/>
  <c r="J30" i="8"/>
  <c r="J33" i="8"/>
  <c r="J35" i="8" s="1"/>
  <c r="AN16" i="7"/>
  <c r="AN17" i="7" s="1"/>
  <c r="AN14" i="7"/>
  <c r="P58" i="10"/>
  <c r="Q10" i="9"/>
  <c r="Q58" i="10" s="1"/>
  <c r="O13" i="7"/>
  <c r="O11" i="7"/>
  <c r="F16" i="7"/>
  <c r="F14" i="7"/>
  <c r="X16" i="7"/>
  <c r="X14" i="7"/>
  <c r="AP16" i="7"/>
  <c r="AP14" i="7"/>
  <c r="V16" i="7"/>
  <c r="V17" i="7" s="1"/>
  <c r="V14" i="7"/>
  <c r="H21" i="11"/>
  <c r="P13" i="7"/>
  <c r="P11" i="7"/>
  <c r="AH13" i="7"/>
  <c r="AH11" i="7"/>
  <c r="G11" i="7"/>
  <c r="G13" i="7"/>
  <c r="S11" i="7"/>
  <c r="S13" i="7"/>
  <c r="Y11" i="7"/>
  <c r="Y13" i="7"/>
  <c r="AK11" i="7"/>
  <c r="AK13" i="7"/>
  <c r="D14" i="7"/>
  <c r="D16" i="7"/>
  <c r="D17" i="7" s="1"/>
  <c r="AE16" i="7"/>
  <c r="AE14" i="7"/>
  <c r="V23" i="7"/>
  <c r="V25" i="7" s="1"/>
  <c r="V27" i="7" s="1"/>
  <c r="V29" i="7" s="1"/>
  <c r="V30" i="7" s="1"/>
  <c r="D40" i="17"/>
  <c r="C43" i="17"/>
  <c r="C30" i="8"/>
  <c r="C33" i="8"/>
  <c r="C35" i="8" s="1"/>
  <c r="C39" i="10" s="1"/>
  <c r="D112" i="17"/>
  <c r="C115" i="17"/>
  <c r="E115" i="17" s="1"/>
  <c r="B115" i="17" s="1"/>
  <c r="I30" i="8"/>
  <c r="I33" i="8"/>
  <c r="I35" i="8" s="1"/>
  <c r="E7" i="7"/>
  <c r="E10" i="7"/>
  <c r="C97" i="17"/>
  <c r="W7" i="7"/>
  <c r="W10" i="7"/>
  <c r="W8" i="7"/>
  <c r="AO7" i="7"/>
  <c r="AO10" i="7"/>
  <c r="AO8" i="7"/>
  <c r="U13" i="7"/>
  <c r="U11" i="7"/>
  <c r="G45" i="8"/>
  <c r="F7" i="7"/>
  <c r="AS8" i="7"/>
  <c r="N13" i="7"/>
  <c r="N11" i="7"/>
  <c r="AF13" i="7"/>
  <c r="AF11" i="7"/>
  <c r="R13" i="7"/>
  <c r="AJ13" i="7"/>
  <c r="G15" i="8"/>
  <c r="G13" i="8"/>
  <c r="G11" i="8"/>
  <c r="D10" i="17"/>
  <c r="D87" i="10"/>
  <c r="I27" i="10"/>
  <c r="I19" i="2"/>
  <c r="I89" i="10"/>
  <c r="I20" i="2" s="1"/>
  <c r="I19" i="11"/>
  <c r="G28" i="12"/>
  <c r="G35" i="12"/>
  <c r="C96" i="17" s="1"/>
  <c r="E96" i="17" s="1"/>
  <c r="B96" i="17" s="1"/>
  <c r="Q36" i="14"/>
  <c r="P9" i="14"/>
  <c r="Q6" i="14"/>
  <c r="P37" i="14"/>
  <c r="F19" i="2"/>
  <c r="O7" i="7"/>
  <c r="AG7" i="7"/>
  <c r="T8" i="7"/>
  <c r="AL8" i="7"/>
  <c r="AG10" i="7"/>
  <c r="AQ10" i="7"/>
  <c r="F11" i="7"/>
  <c r="X11" i="7"/>
  <c r="AP11" i="7"/>
  <c r="E33" i="7"/>
  <c r="AO33" i="7"/>
  <c r="L15" i="8"/>
  <c r="L13" i="8"/>
  <c r="L11" i="8"/>
  <c r="I21" i="8"/>
  <c r="I14" i="2" s="1"/>
  <c r="D64" i="17"/>
  <c r="C67" i="17"/>
  <c r="E30" i="8"/>
  <c r="E33" i="8"/>
  <c r="E35" i="8" s="1"/>
  <c r="D136" i="17"/>
  <c r="C139" i="17"/>
  <c r="E139" i="17" s="1"/>
  <c r="B139" i="17" s="1"/>
  <c r="K30" i="8"/>
  <c r="K33" i="8"/>
  <c r="K35" i="8" s="1"/>
  <c r="F10" i="16"/>
  <c r="L10" i="16"/>
  <c r="L63" i="9"/>
  <c r="L22" i="2" s="1"/>
  <c r="C21" i="17"/>
  <c r="E21" i="17" s="1"/>
  <c r="B21" i="17" s="1"/>
  <c r="J59" i="9"/>
  <c r="E59" i="9"/>
  <c r="C63" i="9"/>
  <c r="C22" i="2" s="1"/>
  <c r="F27" i="10"/>
  <c r="L27" i="10"/>
  <c r="O58" i="10"/>
  <c r="D22" i="17"/>
  <c r="J87" i="10"/>
  <c r="H13" i="11"/>
  <c r="G20" i="11"/>
  <c r="Q7" i="7"/>
  <c r="Q10" i="7"/>
  <c r="Q8" i="7"/>
  <c r="C133" i="17"/>
  <c r="AI7" i="7"/>
  <c r="AI10" i="7"/>
  <c r="AI8" i="7"/>
  <c r="AM13" i="7"/>
  <c r="AM11" i="7"/>
  <c r="M23" i="7"/>
  <c r="M25" i="7" s="1"/>
  <c r="M27" i="7" s="1"/>
  <c r="M29" i="7" s="1"/>
  <c r="M30" i="7" s="1"/>
  <c r="D37" i="17"/>
  <c r="C60" i="11"/>
  <c r="C40" i="11"/>
  <c r="C38" i="12"/>
  <c r="C11" i="12"/>
  <c r="C57" i="11"/>
  <c r="C53" i="11"/>
  <c r="C49" i="11"/>
  <c r="C45" i="11"/>
  <c r="C33" i="11"/>
  <c r="C30" i="12"/>
  <c r="C31" i="14"/>
  <c r="C51" i="11"/>
  <c r="C13" i="12"/>
  <c r="C27" i="11"/>
  <c r="C26" i="12"/>
  <c r="C28" i="12"/>
  <c r="C55" i="11"/>
  <c r="C22" i="11"/>
  <c r="C19" i="11"/>
  <c r="C7" i="2"/>
  <c r="C9" i="12"/>
  <c r="C17" i="11"/>
  <c r="C10" i="8"/>
  <c r="C34" i="12"/>
  <c r="C32" i="12"/>
  <c r="C47" i="11"/>
  <c r="D109" i="17"/>
  <c r="I31" i="14"/>
  <c r="I60" i="11"/>
  <c r="I40" i="11"/>
  <c r="I34" i="12"/>
  <c r="I28" i="12"/>
  <c r="I13" i="12"/>
  <c r="I9" i="12"/>
  <c r="I55" i="11"/>
  <c r="I51" i="11"/>
  <c r="I47" i="11"/>
  <c r="I32" i="12"/>
  <c r="I26" i="12"/>
  <c r="I53" i="11"/>
  <c r="I45" i="11"/>
  <c r="I59" i="11" s="1"/>
  <c r="I61" i="11" s="1"/>
  <c r="I37" i="11"/>
  <c r="I22" i="11"/>
  <c r="I38" i="12"/>
  <c r="I49" i="11"/>
  <c r="I17" i="11"/>
  <c r="I7" i="2"/>
  <c r="I13" i="11"/>
  <c r="I10" i="8"/>
  <c r="I8" i="8"/>
  <c r="I8" i="2" s="1"/>
  <c r="I11" i="11"/>
  <c r="F15" i="8"/>
  <c r="F13" i="8"/>
  <c r="F11" i="8"/>
  <c r="D100" i="17"/>
  <c r="C103" i="17"/>
  <c r="E103" i="17" s="1"/>
  <c r="B103" i="17" s="1"/>
  <c r="H33" i="8"/>
  <c r="H35" i="8" s="1"/>
  <c r="H32" i="8"/>
  <c r="H30" i="8"/>
  <c r="J32" i="8"/>
  <c r="D8" i="17"/>
  <c r="C87" i="10"/>
  <c r="N60" i="10"/>
  <c r="C37" i="19"/>
  <c r="M60" i="9"/>
  <c r="D27" i="17"/>
  <c r="M59" i="9"/>
  <c r="I33" i="11"/>
  <c r="I57" i="11"/>
  <c r="X7" i="7"/>
  <c r="M11" i="7"/>
  <c r="AE11" i="7"/>
  <c r="C27" i="10"/>
  <c r="M28" i="12"/>
  <c r="N27" i="12"/>
  <c r="E36" i="14"/>
  <c r="D7" i="14"/>
  <c r="E37" i="14"/>
  <c r="D8" i="14"/>
  <c r="J7" i="14"/>
  <c r="K36" i="14"/>
  <c r="J8" i="14"/>
  <c r="G19" i="2"/>
  <c r="D23" i="2"/>
  <c r="J23" i="2"/>
  <c r="P23" i="2"/>
  <c r="L8" i="7"/>
  <c r="H33" i="7"/>
  <c r="R8" i="7"/>
  <c r="N33" i="7"/>
  <c r="X8" i="7"/>
  <c r="T33" i="7"/>
  <c r="AD8" i="7"/>
  <c r="Z33" i="7"/>
  <c r="AJ8" i="7"/>
  <c r="AF33" i="7"/>
  <c r="AP8" i="7"/>
  <c r="AL33" i="7"/>
  <c r="H7" i="7"/>
  <c r="R7" i="7"/>
  <c r="Z7" i="7"/>
  <c r="AJ7" i="7"/>
  <c r="AR7" i="7"/>
  <c r="M8" i="7"/>
  <c r="U8" i="7"/>
  <c r="H10" i="7"/>
  <c r="Z10" i="7"/>
  <c r="AR10" i="7"/>
  <c r="L13" i="7"/>
  <c r="AD13" i="7"/>
  <c r="D26" i="18"/>
  <c r="AT32" i="7"/>
  <c r="F33" i="7"/>
  <c r="R33" i="7"/>
  <c r="AD33" i="7"/>
  <c r="AP33" i="7"/>
  <c r="M15" i="8"/>
  <c r="M13" i="8"/>
  <c r="M11" i="8"/>
  <c r="D75" i="17"/>
  <c r="F21" i="8"/>
  <c r="F14" i="2" s="1"/>
  <c r="D147" i="17"/>
  <c r="L21" i="8"/>
  <c r="L14" i="2" s="1"/>
  <c r="M32" i="8"/>
  <c r="G10" i="16"/>
  <c r="G63" i="9"/>
  <c r="G22" i="2" s="1"/>
  <c r="M62" i="9"/>
  <c r="N15" i="9"/>
  <c r="K59" i="9"/>
  <c r="J76" i="10"/>
  <c r="F76" i="10"/>
  <c r="L76" i="10"/>
  <c r="C11" i="11"/>
  <c r="H17" i="11"/>
  <c r="H37" i="11"/>
  <c r="C37" i="11"/>
  <c r="G38" i="11"/>
  <c r="D10" i="16"/>
  <c r="D63" i="9"/>
  <c r="D22" i="2" s="1"/>
  <c r="O36" i="9"/>
  <c r="C37" i="17"/>
  <c r="E37" i="17" s="1"/>
  <c r="B37" i="17" s="1"/>
  <c r="C33" i="7"/>
  <c r="C73" i="17"/>
  <c r="E73" i="17" s="1"/>
  <c r="B73" i="17" s="1"/>
  <c r="O33" i="7"/>
  <c r="C109" i="17"/>
  <c r="AA33" i="7"/>
  <c r="C145" i="17"/>
  <c r="AM33" i="7"/>
  <c r="I7" i="7"/>
  <c r="AA7" i="7"/>
  <c r="AS7" i="7"/>
  <c r="I10" i="7"/>
  <c r="AA10" i="7"/>
  <c r="AS10" i="7"/>
  <c r="E32" i="7"/>
  <c r="K32" i="7"/>
  <c r="Q32" i="7"/>
  <c r="W32" i="7"/>
  <c r="AC32" i="7"/>
  <c r="AI32" i="7"/>
  <c r="AO32" i="7"/>
  <c r="E26" i="18"/>
  <c r="AU32" i="7"/>
  <c r="D87" i="17"/>
  <c r="G21" i="8"/>
  <c r="G14" i="2" s="1"/>
  <c r="D159" i="17"/>
  <c r="M21" i="8"/>
  <c r="M14" i="2" s="1"/>
  <c r="F27" i="8"/>
  <c r="F29" i="8" s="1"/>
  <c r="L27" i="8"/>
  <c r="L29" i="8" s="1"/>
  <c r="P14" i="9"/>
  <c r="H62" i="9"/>
  <c r="D16" i="17"/>
  <c r="G87" i="10"/>
  <c r="C16" i="17" s="1"/>
  <c r="E16" i="17" s="1"/>
  <c r="B16" i="17" s="1"/>
  <c r="C54" i="19"/>
  <c r="C55" i="19"/>
  <c r="N80" i="10"/>
  <c r="M86" i="10"/>
  <c r="F60" i="9"/>
  <c r="F11" i="16" s="1"/>
  <c r="L59" i="9"/>
  <c r="C10" i="16"/>
  <c r="C21" i="2"/>
  <c r="J63" i="9"/>
  <c r="J22" i="2" s="1"/>
  <c r="C189" i="17"/>
  <c r="E189" i="17" s="1"/>
  <c r="B189" i="17" s="1"/>
  <c r="G76" i="10"/>
  <c r="M76" i="10"/>
  <c r="H87" i="10"/>
  <c r="H38" i="11"/>
  <c r="M47" i="11"/>
  <c r="M58" i="11"/>
  <c r="I11" i="12"/>
  <c r="G13" i="12"/>
  <c r="G14" i="12"/>
  <c r="C95" i="17" s="1"/>
  <c r="E95" i="17" s="1"/>
  <c r="B95" i="17" s="1"/>
  <c r="M13" i="12"/>
  <c r="N12" i="12"/>
  <c r="C61" i="17"/>
  <c r="K7" i="7"/>
  <c r="K10" i="7"/>
  <c r="K8" i="7"/>
  <c r="AC7" i="7"/>
  <c r="AC10" i="7"/>
  <c r="AC8" i="7"/>
  <c r="E8" i="18"/>
  <c r="M8" i="18"/>
  <c r="P8" i="18" s="1"/>
  <c r="D191" i="17"/>
  <c r="AU7" i="7"/>
  <c r="AU10" i="7"/>
  <c r="AU8" i="7"/>
  <c r="C13" i="7"/>
  <c r="C11" i="7"/>
  <c r="AE23" i="7"/>
  <c r="AE25" i="7" s="1"/>
  <c r="D32" i="8"/>
  <c r="C173" i="17"/>
  <c r="E173" i="17" s="1"/>
  <c r="B173" i="17" s="1"/>
  <c r="L19" i="2"/>
  <c r="AP7" i="7"/>
  <c r="I8" i="7"/>
  <c r="AA8" i="7"/>
  <c r="D33" i="7"/>
  <c r="D7" i="7"/>
  <c r="J33" i="7"/>
  <c r="J7" i="7"/>
  <c r="P33" i="7"/>
  <c r="P7" i="7"/>
  <c r="V33" i="7"/>
  <c r="V7" i="7"/>
  <c r="AB33" i="7"/>
  <c r="AB7" i="7"/>
  <c r="AH33" i="7"/>
  <c r="AH7" i="7"/>
  <c r="AN33" i="7"/>
  <c r="AN7" i="7"/>
  <c r="D8" i="18"/>
  <c r="AT33" i="7"/>
  <c r="D27" i="18" s="1"/>
  <c r="AT7" i="7"/>
  <c r="L7" i="7"/>
  <c r="AD7" i="7"/>
  <c r="G8" i="7"/>
  <c r="O8" i="7"/>
  <c r="Y8" i="7"/>
  <c r="AG8" i="7"/>
  <c r="AQ8" i="7"/>
  <c r="F9" i="18"/>
  <c r="G9" i="18"/>
  <c r="J10" i="7"/>
  <c r="T13" i="7"/>
  <c r="T11" i="7"/>
  <c r="AB10" i="7"/>
  <c r="AL13" i="7"/>
  <c r="AL11" i="7"/>
  <c r="AT10" i="7"/>
  <c r="F15" i="18"/>
  <c r="G15" i="18"/>
  <c r="K33" i="7"/>
  <c r="W33" i="7"/>
  <c r="AI33" i="7"/>
  <c r="AU33" i="7"/>
  <c r="E27" i="18" s="1"/>
  <c r="D97" i="17"/>
  <c r="H35" i="11"/>
  <c r="H29" i="11"/>
  <c r="H34" i="12"/>
  <c r="H28" i="12"/>
  <c r="H31" i="14"/>
  <c r="H30" i="12"/>
  <c r="H26" i="12"/>
  <c r="H40" i="11"/>
  <c r="H32" i="12"/>
  <c r="H22" i="11"/>
  <c r="H38" i="12"/>
  <c r="H60" i="11"/>
  <c r="H27" i="11"/>
  <c r="H15" i="11"/>
  <c r="H10" i="8"/>
  <c r="H8" i="8"/>
  <c r="H8" i="2" s="1"/>
  <c r="C21" i="8"/>
  <c r="C14" i="2" s="1"/>
  <c r="D88" i="17"/>
  <c r="C91" i="17"/>
  <c r="E91" i="17" s="1"/>
  <c r="B91" i="17" s="1"/>
  <c r="G33" i="8"/>
  <c r="G35" i="8" s="1"/>
  <c r="D160" i="17"/>
  <c r="C163" i="17"/>
  <c r="E163" i="17" s="1"/>
  <c r="B163" i="17" s="1"/>
  <c r="M33" i="8"/>
  <c r="M35" i="8" s="1"/>
  <c r="M39" i="10" s="1"/>
  <c r="C32" i="8"/>
  <c r="I32" i="8"/>
  <c r="G60" i="9"/>
  <c r="G11" i="16" s="1"/>
  <c r="I10" i="16"/>
  <c r="I21" i="2"/>
  <c r="F84" i="10"/>
  <c r="I87" i="10"/>
  <c r="H33" i="11"/>
  <c r="C35" i="11"/>
  <c r="I35" i="11"/>
  <c r="H47" i="11"/>
  <c r="O46" i="11"/>
  <c r="D49" i="17"/>
  <c r="D31" i="14"/>
  <c r="D60" i="11"/>
  <c r="D40" i="11"/>
  <c r="D22" i="11"/>
  <c r="D33" i="11"/>
  <c r="D30" i="12"/>
  <c r="D34" i="12"/>
  <c r="D28" i="12"/>
  <c r="D13" i="12"/>
  <c r="D9" i="12"/>
  <c r="D55" i="11"/>
  <c r="D51" i="11"/>
  <c r="D47" i="11"/>
  <c r="D11" i="12"/>
  <c r="D57" i="11"/>
  <c r="D27" i="11"/>
  <c r="D26" i="12"/>
  <c r="D31" i="11"/>
  <c r="D53" i="11"/>
  <c r="D45" i="11"/>
  <c r="D19" i="11"/>
  <c r="D13" i="11"/>
  <c r="D32" i="12"/>
  <c r="D121" i="17"/>
  <c r="J31" i="14"/>
  <c r="J60" i="11"/>
  <c r="J40" i="11"/>
  <c r="J22" i="11"/>
  <c r="J33" i="11"/>
  <c r="J32" i="12"/>
  <c r="J26" i="12"/>
  <c r="J38" i="12"/>
  <c r="J39" i="12" s="1"/>
  <c r="J11" i="12"/>
  <c r="J57" i="11"/>
  <c r="J53" i="11"/>
  <c r="J49" i="11"/>
  <c r="J45" i="11"/>
  <c r="J13" i="12"/>
  <c r="J28" i="12"/>
  <c r="J55" i="11"/>
  <c r="J47" i="11"/>
  <c r="E13" i="17"/>
  <c r="B13" i="17" s="1"/>
  <c r="E25" i="17"/>
  <c r="B25" i="17" s="1"/>
  <c r="F59" i="9"/>
  <c r="G27" i="10"/>
  <c r="M27" i="10"/>
  <c r="M89" i="10"/>
  <c r="M20" i="2" s="1"/>
  <c r="D24" i="17"/>
  <c r="K87" i="10"/>
  <c r="J89" i="10"/>
  <c r="J20" i="2" s="1"/>
  <c r="K9" i="11"/>
  <c r="K21" i="11" s="1"/>
  <c r="K23" i="11" s="1"/>
  <c r="D11" i="11"/>
  <c r="D15" i="11"/>
  <c r="G17" i="11"/>
  <c r="M17" i="11"/>
  <c r="F19" i="11"/>
  <c r="L19" i="11"/>
  <c r="G27" i="11"/>
  <c r="C31" i="11"/>
  <c r="D35" i="11"/>
  <c r="J35" i="11"/>
  <c r="J37" i="11"/>
  <c r="H9" i="12"/>
  <c r="H14" i="12"/>
  <c r="C107" i="17" s="1"/>
  <c r="E107" i="17" s="1"/>
  <c r="B107" i="17" s="1"/>
  <c r="O8" i="12"/>
  <c r="N14" i="12"/>
  <c r="F11" i="12"/>
  <c r="L11" i="12"/>
  <c r="L14" i="12"/>
  <c r="C155" i="17" s="1"/>
  <c r="E155" i="17" s="1"/>
  <c r="B155" i="17" s="1"/>
  <c r="J30" i="12"/>
  <c r="E7" i="14"/>
  <c r="K7" i="14"/>
  <c r="D61" i="17"/>
  <c r="E31" i="14"/>
  <c r="E60" i="11"/>
  <c r="E40" i="11"/>
  <c r="E22" i="11"/>
  <c r="E38" i="12"/>
  <c r="E39" i="12" s="1"/>
  <c r="E13" i="12"/>
  <c r="E9" i="12"/>
  <c r="E55" i="11"/>
  <c r="E51" i="11"/>
  <c r="E47" i="11"/>
  <c r="E31" i="11"/>
  <c r="E53" i="11"/>
  <c r="E45" i="11"/>
  <c r="E17" i="11"/>
  <c r="E11" i="11"/>
  <c r="E37" i="11"/>
  <c r="D133" i="17"/>
  <c r="K31" i="14"/>
  <c r="K60" i="11"/>
  <c r="K40" i="11"/>
  <c r="K22" i="11"/>
  <c r="K38" i="12"/>
  <c r="K39" i="12" s="1"/>
  <c r="K11" i="12"/>
  <c r="K57" i="11"/>
  <c r="K53" i="11"/>
  <c r="K49" i="11"/>
  <c r="K45" i="11"/>
  <c r="K55" i="11"/>
  <c r="K47" i="11"/>
  <c r="K9" i="12"/>
  <c r="E15" i="17"/>
  <c r="B15" i="17" s="1"/>
  <c r="E27" i="17"/>
  <c r="B27" i="17" s="1"/>
  <c r="G59" i="9"/>
  <c r="M61" i="9"/>
  <c r="C58" i="10"/>
  <c r="F9" i="11"/>
  <c r="L20" i="11"/>
  <c r="L9" i="11"/>
  <c r="K11" i="11"/>
  <c r="J11" i="11"/>
  <c r="J21" i="11" s="1"/>
  <c r="J23" i="11" s="1"/>
  <c r="G19" i="11"/>
  <c r="M19" i="11"/>
  <c r="C29" i="11"/>
  <c r="I29" i="11"/>
  <c r="E33" i="11"/>
  <c r="K33" i="11"/>
  <c r="K35" i="11"/>
  <c r="F45" i="11"/>
  <c r="F58" i="11"/>
  <c r="L45" i="11"/>
  <c r="L58" i="11"/>
  <c r="D49" i="11"/>
  <c r="G55" i="11"/>
  <c r="M55" i="11"/>
  <c r="E26" i="12"/>
  <c r="E35" i="12"/>
  <c r="C72" i="17" s="1"/>
  <c r="E72" i="17" s="1"/>
  <c r="B72" i="17" s="1"/>
  <c r="K26" i="12"/>
  <c r="K35" i="12"/>
  <c r="C144" i="17" s="1"/>
  <c r="E144" i="17" s="1"/>
  <c r="B144" i="17" s="1"/>
  <c r="J34" i="12"/>
  <c r="G12" i="18"/>
  <c r="F12" i="18"/>
  <c r="F19" i="18"/>
  <c r="G19" i="18"/>
  <c r="F21" i="18"/>
  <c r="G21" i="18"/>
  <c r="D73" i="17"/>
  <c r="F31" i="14"/>
  <c r="F38" i="12"/>
  <c r="F37" i="11"/>
  <c r="F31" i="11"/>
  <c r="F60" i="11"/>
  <c r="F17" i="11"/>
  <c r="F11" i="11"/>
  <c r="D145" i="17"/>
  <c r="L31" i="14"/>
  <c r="L38" i="12"/>
  <c r="L39" i="12" s="1"/>
  <c r="L37" i="11"/>
  <c r="L31" i="11"/>
  <c r="L40" i="11"/>
  <c r="L22" i="11"/>
  <c r="L29" i="11"/>
  <c r="L17" i="11"/>
  <c r="L11" i="11"/>
  <c r="D8" i="8"/>
  <c r="D8" i="2" s="1"/>
  <c r="J8" i="8"/>
  <c r="J8" i="2" s="1"/>
  <c r="D10" i="8"/>
  <c r="J10" i="8"/>
  <c r="E87" i="10"/>
  <c r="C12" i="17" s="1"/>
  <c r="E12" i="17" s="1"/>
  <c r="B12" i="17" s="1"/>
  <c r="D12" i="17"/>
  <c r="I59" i="9"/>
  <c r="N23" i="10"/>
  <c r="J58" i="10"/>
  <c r="D76" i="10"/>
  <c r="G9" i="11"/>
  <c r="M20" i="11"/>
  <c r="M9" i="11"/>
  <c r="M21" i="11" s="1"/>
  <c r="J13" i="11"/>
  <c r="J15" i="11"/>
  <c r="D38" i="11"/>
  <c r="J38" i="11"/>
  <c r="J27" i="11"/>
  <c r="E49" i="11"/>
  <c r="H55" i="11"/>
  <c r="N54" i="11"/>
  <c r="J9" i="12"/>
  <c r="O22" i="12"/>
  <c r="P20" i="12"/>
  <c r="E21" i="13"/>
  <c r="E22" i="13"/>
  <c r="K21" i="13"/>
  <c r="K22" i="13"/>
  <c r="C49" i="17"/>
  <c r="E49" i="17" s="1"/>
  <c r="B49" i="17" s="1"/>
  <c r="C85" i="17"/>
  <c r="E85" i="17" s="1"/>
  <c r="B85" i="17" s="1"/>
  <c r="C121" i="17"/>
  <c r="E121" i="17" s="1"/>
  <c r="B121" i="17" s="1"/>
  <c r="C157" i="17"/>
  <c r="C8" i="18"/>
  <c r="AQ32" i="7"/>
  <c r="D85" i="17"/>
  <c r="G38" i="12"/>
  <c r="G39" i="12" s="1"/>
  <c r="G31" i="14"/>
  <c r="G60" i="11"/>
  <c r="G40" i="11"/>
  <c r="C8" i="19"/>
  <c r="D157" i="17"/>
  <c r="M38" i="12"/>
  <c r="M31" i="14"/>
  <c r="M60" i="11"/>
  <c r="M40" i="11"/>
  <c r="M29" i="11"/>
  <c r="M22" i="11"/>
  <c r="M35" i="11"/>
  <c r="M39" i="11" s="1"/>
  <c r="M41" i="11" s="1"/>
  <c r="E8" i="8"/>
  <c r="E8" i="2" s="1"/>
  <c r="K8" i="8"/>
  <c r="K8" i="2" s="1"/>
  <c r="E10" i="8"/>
  <c r="K10" i="8"/>
  <c r="H21" i="8"/>
  <c r="H14" i="2" s="1"/>
  <c r="E62" i="9"/>
  <c r="K62" i="9"/>
  <c r="D14" i="17"/>
  <c r="F87" i="10"/>
  <c r="C14" i="17" s="1"/>
  <c r="E14" i="17" s="1"/>
  <c r="B14" i="17" s="1"/>
  <c r="D26" i="17"/>
  <c r="L87" i="10"/>
  <c r="C26" i="17" s="1"/>
  <c r="E26" i="17" s="1"/>
  <c r="B26" i="17" s="1"/>
  <c r="E7" i="17"/>
  <c r="B7" i="17" s="1"/>
  <c r="E19" i="17"/>
  <c r="B19" i="17" s="1"/>
  <c r="C59" i="9"/>
  <c r="D27" i="10"/>
  <c r="D39" i="10"/>
  <c r="D88" i="10"/>
  <c r="J39" i="10"/>
  <c r="C10" i="17"/>
  <c r="E10" i="17" s="1"/>
  <c r="B10" i="17" s="1"/>
  <c r="D84" i="10"/>
  <c r="C22" i="17"/>
  <c r="E22" i="17" s="1"/>
  <c r="B22" i="17" s="1"/>
  <c r="J84" i="10"/>
  <c r="C88" i="10"/>
  <c r="H20" i="11"/>
  <c r="D9" i="11"/>
  <c r="D21" i="11" s="1"/>
  <c r="D23" i="11" s="1"/>
  <c r="P21" i="11"/>
  <c r="G11" i="11"/>
  <c r="M11" i="11"/>
  <c r="O21" i="11"/>
  <c r="F13" i="11"/>
  <c r="L13" i="11"/>
  <c r="E15" i="11"/>
  <c r="K15" i="11"/>
  <c r="D17" i="11"/>
  <c r="F22" i="11"/>
  <c r="K29" i="11"/>
  <c r="G33" i="11"/>
  <c r="G37" i="11"/>
  <c r="M37" i="11"/>
  <c r="F40" i="11"/>
  <c r="E57" i="11"/>
  <c r="E11" i="12"/>
  <c r="D38" i="12"/>
  <c r="D39" i="12" s="1"/>
  <c r="M35" i="12"/>
  <c r="C168" i="17" s="1"/>
  <c r="E168" i="17" s="1"/>
  <c r="B168" i="17" s="1"/>
  <c r="E30" i="12"/>
  <c r="K30" i="12"/>
  <c r="C17" i="13"/>
  <c r="C18" i="13"/>
  <c r="C27" i="2" s="1"/>
  <c r="I17" i="13"/>
  <c r="I41" i="12"/>
  <c r="I10" i="2" s="1"/>
  <c r="E17" i="17"/>
  <c r="B17" i="17" s="1"/>
  <c r="H59" i="9"/>
  <c r="E39" i="10"/>
  <c r="K39" i="10"/>
  <c r="H58" i="10"/>
  <c r="H76" i="10"/>
  <c r="K88" i="10"/>
  <c r="C9" i="11"/>
  <c r="I9" i="11"/>
  <c r="E9" i="11"/>
  <c r="C15" i="11"/>
  <c r="I15" i="11"/>
  <c r="C20" i="11"/>
  <c r="D29" i="11"/>
  <c r="J29" i="11"/>
  <c r="H31" i="11"/>
  <c r="F33" i="11"/>
  <c r="L33" i="11"/>
  <c r="F49" i="11"/>
  <c r="L49" i="11"/>
  <c r="G51" i="11"/>
  <c r="M51" i="11"/>
  <c r="F57" i="11"/>
  <c r="L57" i="11"/>
  <c r="H13" i="12"/>
  <c r="F30" i="12"/>
  <c r="L30" i="12"/>
  <c r="D17" i="13"/>
  <c r="D41" i="12"/>
  <c r="D10" i="2" s="1"/>
  <c r="D18" i="13"/>
  <c r="D27" i="2" s="1"/>
  <c r="J17" i="13"/>
  <c r="J41" i="12"/>
  <c r="J10" i="2" s="1"/>
  <c r="J21" i="13"/>
  <c r="C142" i="17"/>
  <c r="E142" i="17" s="1"/>
  <c r="B142" i="17" s="1"/>
  <c r="K12" i="14"/>
  <c r="K13" i="14"/>
  <c r="E65" i="10"/>
  <c r="K65" i="10"/>
  <c r="C18" i="17"/>
  <c r="E18" i="17" s="1"/>
  <c r="B18" i="17" s="1"/>
  <c r="H84" i="10"/>
  <c r="E88" i="10"/>
  <c r="E29" i="11"/>
  <c r="I31" i="11"/>
  <c r="L35" i="11"/>
  <c r="D37" i="11"/>
  <c r="H51" i="11"/>
  <c r="O50" i="11"/>
  <c r="G30" i="12"/>
  <c r="M30" i="12"/>
  <c r="N29" i="12"/>
  <c r="E32" i="12"/>
  <c r="K32" i="12"/>
  <c r="G34" i="12"/>
  <c r="M34" i="12"/>
  <c r="N33" i="12"/>
  <c r="I18" i="13"/>
  <c r="I27" i="2" s="1"/>
  <c r="C22" i="13"/>
  <c r="I22" i="13"/>
  <c r="C153" i="17"/>
  <c r="E153" i="17" s="1"/>
  <c r="B153" i="17" s="1"/>
  <c r="L11" i="14"/>
  <c r="F11" i="14"/>
  <c r="E27" i="10"/>
  <c r="K27" i="10"/>
  <c r="C8" i="17"/>
  <c r="E8" i="17" s="1"/>
  <c r="B8" i="17" s="1"/>
  <c r="C20" i="17"/>
  <c r="E20" i="17" s="1"/>
  <c r="B20" i="17" s="1"/>
  <c r="E13" i="11"/>
  <c r="K13" i="11"/>
  <c r="E19" i="11"/>
  <c r="K19" i="11"/>
  <c r="C38" i="11"/>
  <c r="I38" i="11"/>
  <c r="I27" i="11"/>
  <c r="I39" i="11" s="1"/>
  <c r="G9" i="12"/>
  <c r="M9" i="12"/>
  <c r="M14" i="12"/>
  <c r="C167" i="17" s="1"/>
  <c r="E167" i="17" s="1"/>
  <c r="B167" i="17" s="1"/>
  <c r="D22" i="13"/>
  <c r="D21" i="13"/>
  <c r="D36" i="14"/>
  <c r="D37" i="14" s="1"/>
  <c r="C8" i="14"/>
  <c r="J36" i="14"/>
  <c r="J37" i="14" s="1"/>
  <c r="I7" i="14"/>
  <c r="I8" i="14"/>
  <c r="P36" i="14"/>
  <c r="O9" i="14"/>
  <c r="G45" i="11"/>
  <c r="M45" i="11"/>
  <c r="M59" i="11" s="1"/>
  <c r="G49" i="11"/>
  <c r="M49" i="11"/>
  <c r="G53" i="11"/>
  <c r="M53" i="11"/>
  <c r="G57" i="11"/>
  <c r="M57" i="11"/>
  <c r="G58" i="11"/>
  <c r="G11" i="12"/>
  <c r="M11" i="12"/>
  <c r="F26" i="12"/>
  <c r="L26" i="12"/>
  <c r="F32" i="12"/>
  <c r="L32" i="12"/>
  <c r="E17" i="13"/>
  <c r="E41" i="12"/>
  <c r="E10" i="2" s="1"/>
  <c r="K17" i="13"/>
  <c r="K41" i="12"/>
  <c r="K10" i="2" s="1"/>
  <c r="F21" i="13"/>
  <c r="L21" i="13"/>
  <c r="L22" i="13"/>
  <c r="C93" i="17"/>
  <c r="E93" i="17" s="1"/>
  <c r="B93" i="17" s="1"/>
  <c r="G11" i="14"/>
  <c r="H11" i="14"/>
  <c r="I12" i="14" s="1"/>
  <c r="I13" i="14"/>
  <c r="L23" i="14"/>
  <c r="H45" i="11"/>
  <c r="O44" i="11"/>
  <c r="H49" i="11"/>
  <c r="O48" i="11"/>
  <c r="H53" i="11"/>
  <c r="O52" i="11"/>
  <c r="H57" i="11"/>
  <c r="N56" i="11"/>
  <c r="H58" i="11"/>
  <c r="H11" i="12"/>
  <c r="O10" i="12"/>
  <c r="E22" i="12"/>
  <c r="K22" i="12"/>
  <c r="G26" i="12"/>
  <c r="M26" i="12"/>
  <c r="N25" i="12"/>
  <c r="E28" i="12"/>
  <c r="K28" i="12"/>
  <c r="G32" i="12"/>
  <c r="M32" i="12"/>
  <c r="N31" i="12"/>
  <c r="E34" i="12"/>
  <c r="K34" i="12"/>
  <c r="C24" i="17"/>
  <c r="E24" i="17" s="1"/>
  <c r="B24" i="17" s="1"/>
  <c r="F27" i="11"/>
  <c r="F39" i="11" s="1"/>
  <c r="F41" i="11" s="1"/>
  <c r="L27" i="11"/>
  <c r="L38" i="11"/>
  <c r="F47" i="11"/>
  <c r="L47" i="11"/>
  <c r="F51" i="11"/>
  <c r="L51" i="11"/>
  <c r="F55" i="11"/>
  <c r="L55" i="11"/>
  <c r="F9" i="12"/>
  <c r="L9" i="12"/>
  <c r="F13" i="12"/>
  <c r="L13" i="12"/>
  <c r="F14" i="12"/>
  <c r="C83" i="17" s="1"/>
  <c r="E83" i="17" s="1"/>
  <c r="B83" i="17" s="1"/>
  <c r="F22" i="12"/>
  <c r="L22" i="12"/>
  <c r="F28" i="12"/>
  <c r="L28" i="12"/>
  <c r="F34" i="12"/>
  <c r="L34" i="12"/>
  <c r="F35" i="12"/>
  <c r="C84" i="17" s="1"/>
  <c r="E84" i="17" s="1"/>
  <c r="B84" i="17" s="1"/>
  <c r="G18" i="13"/>
  <c r="G27" i="2" s="1"/>
  <c r="M18" i="13"/>
  <c r="M27" i="2" s="1"/>
  <c r="I36" i="14"/>
  <c r="I37" i="14" s="1"/>
  <c r="H8" i="14"/>
  <c r="O36" i="14"/>
  <c r="O37" i="14" s="1"/>
  <c r="F18" i="13"/>
  <c r="F27" i="2" s="1"/>
  <c r="L18" i="13"/>
  <c r="L27" i="2" s="1"/>
  <c r="C45" i="17"/>
  <c r="E45" i="17" s="1"/>
  <c r="B45" i="17" s="1"/>
  <c r="C117" i="17"/>
  <c r="E117" i="17" s="1"/>
  <c r="B117" i="17" s="1"/>
  <c r="C11" i="14"/>
  <c r="J12" i="14"/>
  <c r="L36" i="14"/>
  <c r="L37" i="14" s="1"/>
  <c r="E27" i="11"/>
  <c r="K27" i="11"/>
  <c r="F37" i="14"/>
  <c r="C57" i="17"/>
  <c r="E57" i="17" s="1"/>
  <c r="B57" i="17" s="1"/>
  <c r="C129" i="17"/>
  <c r="E129" i="17" s="1"/>
  <c r="B129" i="17" s="1"/>
  <c r="D11" i="14"/>
  <c r="P22" i="14"/>
  <c r="M36" i="14"/>
  <c r="M37" i="14" s="1"/>
  <c r="K37" i="14"/>
  <c r="G37" i="14"/>
  <c r="H36" i="14"/>
  <c r="H37" i="14" s="1"/>
  <c r="N36" i="14"/>
  <c r="N37" i="14" s="1"/>
  <c r="C69" i="17"/>
  <c r="E69" i="17" s="1"/>
  <c r="B69" i="17" s="1"/>
  <c r="C141" i="17"/>
  <c r="E141" i="17" s="1"/>
  <c r="B141" i="17" s="1"/>
  <c r="E11" i="14"/>
  <c r="M11" i="14"/>
  <c r="F25" i="18"/>
  <c r="C166" i="17" l="1"/>
  <c r="E166" i="17" s="1"/>
  <c r="B166" i="17" s="1"/>
  <c r="M12" i="14"/>
  <c r="M13" i="14"/>
  <c r="N13" i="14" s="1"/>
  <c r="O13" i="14" s="1"/>
  <c r="P13" i="14" s="1"/>
  <c r="Q13" i="14" s="1"/>
  <c r="M24" i="2"/>
  <c r="E89" i="10"/>
  <c r="E20" i="2" s="1"/>
  <c r="E19" i="2"/>
  <c r="M23" i="11"/>
  <c r="AR13" i="7"/>
  <c r="AR11" i="7"/>
  <c r="D74" i="17"/>
  <c r="F16" i="8"/>
  <c r="F12" i="2" s="1"/>
  <c r="F18" i="8"/>
  <c r="F11" i="2"/>
  <c r="AG13" i="7"/>
  <c r="AG11" i="7"/>
  <c r="AE17" i="7"/>
  <c r="Y14" i="7"/>
  <c r="Y16" i="7"/>
  <c r="K89" i="10"/>
  <c r="K20" i="2" s="1"/>
  <c r="K19" i="2"/>
  <c r="O27" i="12"/>
  <c r="C15" i="8"/>
  <c r="C11" i="8"/>
  <c r="C13" i="8"/>
  <c r="C10" i="18"/>
  <c r="AQ13" i="7"/>
  <c r="AQ11" i="7"/>
  <c r="C11" i="18" s="1"/>
  <c r="R16" i="7"/>
  <c r="R14" i="7"/>
  <c r="AO11" i="7"/>
  <c r="AO13" i="7"/>
  <c r="E12" i="14"/>
  <c r="C70" i="17"/>
  <c r="E70" i="17" s="1"/>
  <c r="B70" i="17" s="1"/>
  <c r="E13" i="14"/>
  <c r="E24" i="2"/>
  <c r="C82" i="17"/>
  <c r="E82" i="17" s="1"/>
  <c r="B82" i="17" s="1"/>
  <c r="F13" i="14"/>
  <c r="F12" i="14"/>
  <c r="F24" i="2"/>
  <c r="E10" i="16"/>
  <c r="E63" i="9"/>
  <c r="E22" i="2" s="1"/>
  <c r="E21" i="2"/>
  <c r="C29" i="19"/>
  <c r="D27" i="19" s="1"/>
  <c r="M12" i="16"/>
  <c r="C94" i="17"/>
  <c r="E94" i="17" s="1"/>
  <c r="B94" i="17" s="1"/>
  <c r="G13" i="14"/>
  <c r="G12" i="14"/>
  <c r="G24" i="2"/>
  <c r="C154" i="17"/>
  <c r="E154" i="17" s="1"/>
  <c r="B154" i="17" s="1"/>
  <c r="L13" i="14"/>
  <c r="L12" i="14"/>
  <c r="L24" i="2"/>
  <c r="G21" i="11"/>
  <c r="K59" i="11"/>
  <c r="K61" i="11" s="1"/>
  <c r="M45" i="8"/>
  <c r="D28" i="17"/>
  <c r="M87" i="10"/>
  <c r="C28" i="17" s="1"/>
  <c r="H10" i="16"/>
  <c r="H63" i="9"/>
  <c r="H22" i="2" s="1"/>
  <c r="H21" i="2"/>
  <c r="AA13" i="7"/>
  <c r="AA11" i="7"/>
  <c r="E145" i="17"/>
  <c r="B145" i="17" s="1"/>
  <c r="Z13" i="7"/>
  <c r="Z11" i="7"/>
  <c r="D101" i="17"/>
  <c r="C104" i="17"/>
  <c r="E104" i="17" s="1"/>
  <c r="B104" i="17" s="1"/>
  <c r="H45" i="8"/>
  <c r="H37" i="8"/>
  <c r="H39" i="8" s="1"/>
  <c r="H38" i="8"/>
  <c r="H36" i="8"/>
  <c r="H16" i="2" s="1"/>
  <c r="H89" i="10"/>
  <c r="H20" i="2" s="1"/>
  <c r="H39" i="10"/>
  <c r="H15" i="2"/>
  <c r="E133" i="17"/>
  <c r="B133" i="17" s="1"/>
  <c r="Q9" i="14"/>
  <c r="Q37" i="14"/>
  <c r="Q23" i="2"/>
  <c r="AF14" i="7"/>
  <c r="AF16" i="7"/>
  <c r="D113" i="17"/>
  <c r="C116" i="17"/>
  <c r="E116" i="17" s="1"/>
  <c r="B116" i="17" s="1"/>
  <c r="I15" i="2"/>
  <c r="I40" i="8"/>
  <c r="I38" i="8"/>
  <c r="I36" i="8"/>
  <c r="I16" i="2" s="1"/>
  <c r="I39" i="10"/>
  <c r="I45" i="8"/>
  <c r="I39" i="8"/>
  <c r="I37" i="8"/>
  <c r="C122" i="17"/>
  <c r="AH16" i="7"/>
  <c r="AH14" i="7"/>
  <c r="F17" i="7"/>
  <c r="F23" i="7"/>
  <c r="F25" i="7" s="1"/>
  <c r="F27" i="7" s="1"/>
  <c r="F29" i="7" s="1"/>
  <c r="F30" i="7" s="1"/>
  <c r="C56" i="17"/>
  <c r="E56" i="17" s="1"/>
  <c r="B56" i="17" s="1"/>
  <c r="D53" i="17"/>
  <c r="D38" i="8"/>
  <c r="D36" i="8"/>
  <c r="D16" i="2" s="1"/>
  <c r="D45" i="8"/>
  <c r="D37" i="8"/>
  <c r="D39" i="8" s="1"/>
  <c r="D15" i="2"/>
  <c r="K10" i="16"/>
  <c r="K63" i="9"/>
  <c r="K22" i="2" s="1"/>
  <c r="K21" i="2"/>
  <c r="N16" i="14"/>
  <c r="N27" i="14"/>
  <c r="N29" i="14"/>
  <c r="N28" i="2" s="1"/>
  <c r="C191" i="17"/>
  <c r="E191" i="17" s="1"/>
  <c r="B191" i="17" s="1"/>
  <c r="D192" i="17"/>
  <c r="E10" i="18"/>
  <c r="AU11" i="7"/>
  <c r="E11" i="18" s="1"/>
  <c r="AU13" i="7"/>
  <c r="AI11" i="7"/>
  <c r="AI13" i="7"/>
  <c r="E13" i="7"/>
  <c r="E11" i="7"/>
  <c r="X23" i="7"/>
  <c r="X25" i="7" s="1"/>
  <c r="X27" i="7" s="1"/>
  <c r="X29" i="7" s="1"/>
  <c r="X30" i="7" s="1"/>
  <c r="X17" i="7"/>
  <c r="G59" i="11"/>
  <c r="G61" i="11" s="1"/>
  <c r="O29" i="12"/>
  <c r="M39" i="12"/>
  <c r="J39" i="11"/>
  <c r="P8" i="12"/>
  <c r="O14" i="12"/>
  <c r="D39" i="11"/>
  <c r="D10" i="18"/>
  <c r="AT13" i="7"/>
  <c r="AT11" i="7"/>
  <c r="D11" i="18" s="1"/>
  <c r="P52" i="11"/>
  <c r="C177" i="17"/>
  <c r="E177" i="17" s="1"/>
  <c r="B177" i="17" s="1"/>
  <c r="O11" i="14"/>
  <c r="O33" i="12"/>
  <c r="J41" i="11"/>
  <c r="O25" i="12"/>
  <c r="N35" i="12"/>
  <c r="K45" i="8"/>
  <c r="E21" i="11"/>
  <c r="E23" i="11" s="1"/>
  <c r="K15" i="8"/>
  <c r="K13" i="8"/>
  <c r="K11" i="8"/>
  <c r="D41" i="11"/>
  <c r="L59" i="11"/>
  <c r="L61" i="11" s="1"/>
  <c r="L21" i="11"/>
  <c r="D59" i="11"/>
  <c r="D61" i="11" s="1"/>
  <c r="H15" i="8"/>
  <c r="H13" i="8"/>
  <c r="H11" i="8"/>
  <c r="AL16" i="7"/>
  <c r="AL14" i="7"/>
  <c r="K11" i="7"/>
  <c r="K13" i="7"/>
  <c r="P50" i="10"/>
  <c r="Q14" i="9"/>
  <c r="Q50" i="10" s="1"/>
  <c r="I13" i="7"/>
  <c r="I11" i="7"/>
  <c r="O60" i="10"/>
  <c r="P36" i="9"/>
  <c r="H13" i="7"/>
  <c r="H11" i="7"/>
  <c r="I39" i="12"/>
  <c r="C39" i="11"/>
  <c r="C41" i="11" s="1"/>
  <c r="C59" i="11"/>
  <c r="C61" i="11" s="1"/>
  <c r="F63" i="9"/>
  <c r="F22" i="2" s="1"/>
  <c r="C68" i="17"/>
  <c r="E68" i="17" s="1"/>
  <c r="B68" i="17" s="1"/>
  <c r="D65" i="17"/>
  <c r="E38" i="8"/>
  <c r="E8" i="16" s="1"/>
  <c r="E9" i="16" s="1"/>
  <c r="E36" i="8"/>
  <c r="E16" i="2" s="1"/>
  <c r="E37" i="8"/>
  <c r="E39" i="8" s="1"/>
  <c r="E15" i="2"/>
  <c r="C182" i="17"/>
  <c r="E182" i="17" s="1"/>
  <c r="B182" i="17" s="1"/>
  <c r="P11" i="14"/>
  <c r="D86" i="17"/>
  <c r="G16" i="8"/>
  <c r="G12" i="2" s="1"/>
  <c r="G11" i="2"/>
  <c r="G18" i="8"/>
  <c r="W13" i="7"/>
  <c r="W11" i="7"/>
  <c r="C86" i="17"/>
  <c r="E86" i="17" s="1"/>
  <c r="B86" i="17" s="1"/>
  <c r="S16" i="7"/>
  <c r="S14" i="7"/>
  <c r="T16" i="7"/>
  <c r="T14" i="7"/>
  <c r="F27" i="18"/>
  <c r="G27" i="18"/>
  <c r="H41" i="11"/>
  <c r="P10" i="12"/>
  <c r="P44" i="11"/>
  <c r="D89" i="10"/>
  <c r="D20" i="2" s="1"/>
  <c r="D19" i="2"/>
  <c r="P25" i="14"/>
  <c r="Q22" i="14"/>
  <c r="P20" i="13"/>
  <c r="P26" i="2"/>
  <c r="P50" i="11"/>
  <c r="E44" i="8"/>
  <c r="E17" i="16" s="1"/>
  <c r="E18" i="16" s="1"/>
  <c r="E33" i="2" s="1"/>
  <c r="E45" i="8"/>
  <c r="I21" i="11"/>
  <c r="I23" i="11" s="1"/>
  <c r="E15" i="8"/>
  <c r="E13" i="8"/>
  <c r="E11" i="8"/>
  <c r="O54" i="11"/>
  <c r="K76" i="10"/>
  <c r="L23" i="11"/>
  <c r="E59" i="11"/>
  <c r="E61" i="11" s="1"/>
  <c r="J59" i="11"/>
  <c r="J61" i="11" s="1"/>
  <c r="C92" i="17"/>
  <c r="E92" i="17" s="1"/>
  <c r="B92" i="17" s="1"/>
  <c r="D89" i="17"/>
  <c r="G37" i="8"/>
  <c r="G39" i="8" s="1"/>
  <c r="G15" i="2"/>
  <c r="G40" i="8"/>
  <c r="G36" i="8"/>
  <c r="G16" i="2" s="1"/>
  <c r="G39" i="10"/>
  <c r="G38" i="8"/>
  <c r="AB13" i="7"/>
  <c r="AB11" i="7"/>
  <c r="C38" i="17"/>
  <c r="C14" i="7"/>
  <c r="C16" i="7"/>
  <c r="G8" i="18"/>
  <c r="F8" i="18"/>
  <c r="D148" i="17"/>
  <c r="C151" i="17"/>
  <c r="E151" i="17" s="1"/>
  <c r="B151" i="17" s="1"/>
  <c r="L33" i="8"/>
  <c r="L35" i="8" s="1"/>
  <c r="L30" i="8"/>
  <c r="L32" i="8"/>
  <c r="E109" i="17"/>
  <c r="B109" i="17" s="1"/>
  <c r="D158" i="17"/>
  <c r="M16" i="8"/>
  <c r="M12" i="2" s="1"/>
  <c r="M18" i="8"/>
  <c r="M11" i="2"/>
  <c r="C36" i="19"/>
  <c r="D34" i="19" s="1"/>
  <c r="D36" i="19" s="1"/>
  <c r="D205" i="17"/>
  <c r="M11" i="16"/>
  <c r="I13" i="8"/>
  <c r="I11" i="8"/>
  <c r="I15" i="8"/>
  <c r="C146" i="17"/>
  <c r="E146" i="17" s="1"/>
  <c r="B146" i="17" s="1"/>
  <c r="AM16" i="7"/>
  <c r="AM14" i="7"/>
  <c r="Q13" i="7"/>
  <c r="Q11" i="7"/>
  <c r="D146" i="17"/>
  <c r="L18" i="8"/>
  <c r="L11" i="2"/>
  <c r="L16" i="8"/>
  <c r="L12" i="2" s="1"/>
  <c r="N14" i="7"/>
  <c r="N16" i="7"/>
  <c r="U14" i="7"/>
  <c r="U16" i="7"/>
  <c r="P14" i="7"/>
  <c r="P16" i="7"/>
  <c r="AP17" i="7"/>
  <c r="AP23" i="7"/>
  <c r="AP25" i="7" s="1"/>
  <c r="AP27" i="7" s="1"/>
  <c r="AP29" i="7" s="1"/>
  <c r="AP30" i="7" s="1"/>
  <c r="O14" i="7"/>
  <c r="O16" i="7"/>
  <c r="D125" i="17"/>
  <c r="C128" i="17"/>
  <c r="E128" i="17" s="1"/>
  <c r="B128" i="17" s="1"/>
  <c r="J40" i="8"/>
  <c r="J38" i="8"/>
  <c r="J36" i="8"/>
  <c r="J16" i="2" s="1"/>
  <c r="J37" i="8"/>
  <c r="J45" i="8"/>
  <c r="J39" i="8"/>
  <c r="J15" i="2"/>
  <c r="N58" i="11"/>
  <c r="AE27" i="7"/>
  <c r="AE29" i="7" s="1"/>
  <c r="AC11" i="7"/>
  <c r="AC13" i="7"/>
  <c r="O12" i="12"/>
  <c r="M10" i="16"/>
  <c r="M63" i="9"/>
  <c r="M22" i="2" s="1"/>
  <c r="N24" i="8"/>
  <c r="M21" i="2"/>
  <c r="L16" i="7"/>
  <c r="L14" i="7"/>
  <c r="C44" i="17"/>
  <c r="E44" i="17" s="1"/>
  <c r="B44" i="17" s="1"/>
  <c r="D41" i="17"/>
  <c r="C15" i="2"/>
  <c r="C40" i="8"/>
  <c r="C38" i="8"/>
  <c r="C36" i="8"/>
  <c r="C16" i="2" s="1"/>
  <c r="C45" i="8"/>
  <c r="C37" i="8"/>
  <c r="C39" i="8" s="1"/>
  <c r="H13" i="14"/>
  <c r="C106" i="17"/>
  <c r="E106" i="17" s="1"/>
  <c r="B106" i="17" s="1"/>
  <c r="H12" i="14"/>
  <c r="H24" i="2"/>
  <c r="I41" i="11"/>
  <c r="H23" i="11"/>
  <c r="Q20" i="12"/>
  <c r="Q22" i="12" s="1"/>
  <c r="P22" i="12"/>
  <c r="J13" i="8"/>
  <c r="J15" i="8"/>
  <c r="J11" i="8"/>
  <c r="P46" i="11"/>
  <c r="D161" i="17"/>
  <c r="C164" i="17"/>
  <c r="E164" i="17" s="1"/>
  <c r="B164" i="17" s="1"/>
  <c r="M37" i="8"/>
  <c r="N37" i="8" s="1"/>
  <c r="O37" i="8" s="1"/>
  <c r="P37" i="8" s="1"/>
  <c r="Q37" i="8" s="1"/>
  <c r="M38" i="8"/>
  <c r="M15" i="2"/>
  <c r="M36" i="8"/>
  <c r="M16" i="2" s="1"/>
  <c r="H39" i="12"/>
  <c r="J11" i="7"/>
  <c r="J13" i="7"/>
  <c r="AS13" i="7"/>
  <c r="AS11" i="7"/>
  <c r="G23" i="11"/>
  <c r="C46" i="17"/>
  <c r="E46" i="17" s="1"/>
  <c r="B46" i="17" s="1"/>
  <c r="C24" i="2"/>
  <c r="C13" i="14"/>
  <c r="C89" i="10"/>
  <c r="C20" i="2" s="1"/>
  <c r="C19" i="2"/>
  <c r="D15" i="8"/>
  <c r="D11" i="8"/>
  <c r="D13" i="8"/>
  <c r="F39" i="12"/>
  <c r="K39" i="11"/>
  <c r="K41" i="11" s="1"/>
  <c r="O31" i="12"/>
  <c r="H59" i="11"/>
  <c r="C58" i="17"/>
  <c r="E58" i="17" s="1"/>
  <c r="B58" i="17" s="1"/>
  <c r="D12" i="14"/>
  <c r="D13" i="14"/>
  <c r="D24" i="2"/>
  <c r="E39" i="11"/>
  <c r="E41" i="11" s="1"/>
  <c r="L39" i="11"/>
  <c r="L41" i="11" s="1"/>
  <c r="H61" i="11"/>
  <c r="P48" i="11"/>
  <c r="C21" i="11"/>
  <c r="C23" i="11" s="1"/>
  <c r="E157" i="17"/>
  <c r="B157" i="17" s="1"/>
  <c r="E76" i="10"/>
  <c r="F59" i="11"/>
  <c r="F61" i="11" s="1"/>
  <c r="F21" i="11"/>
  <c r="F23" i="11" s="1"/>
  <c r="G39" i="11"/>
  <c r="G41" i="11" s="1"/>
  <c r="H39" i="11"/>
  <c r="N12" i="14"/>
  <c r="N17" i="14" s="1"/>
  <c r="E61" i="17"/>
  <c r="B61" i="17" s="1"/>
  <c r="M61" i="11"/>
  <c r="C56" i="19"/>
  <c r="D49" i="19"/>
  <c r="D76" i="17"/>
  <c r="C79" i="17"/>
  <c r="F33" i="8"/>
  <c r="F35" i="8" s="1"/>
  <c r="F30" i="8"/>
  <c r="F32" i="8"/>
  <c r="G26" i="18"/>
  <c r="F26" i="18"/>
  <c r="O15" i="9"/>
  <c r="AD16" i="7"/>
  <c r="AD14" i="7"/>
  <c r="D137" i="17"/>
  <c r="C140" i="17"/>
  <c r="E140" i="17" s="1"/>
  <c r="B140" i="17" s="1"/>
  <c r="K38" i="8"/>
  <c r="K8" i="16" s="1"/>
  <c r="K9" i="16" s="1"/>
  <c r="K36" i="8"/>
  <c r="K16" i="2" s="1"/>
  <c r="K39" i="8"/>
  <c r="K37" i="8"/>
  <c r="K15" i="2"/>
  <c r="AJ16" i="7"/>
  <c r="AJ14" i="7"/>
  <c r="E97" i="17"/>
  <c r="B97" i="17" s="1"/>
  <c r="AN23" i="7"/>
  <c r="AN25" i="7" s="1"/>
  <c r="AN27" i="7" s="1"/>
  <c r="AN29" i="7" s="1"/>
  <c r="AN30" i="7" s="1"/>
  <c r="D23" i="7"/>
  <c r="D25" i="7" s="1"/>
  <c r="D27" i="7" s="1"/>
  <c r="D29" i="7" s="1"/>
  <c r="D30" i="7" s="1"/>
  <c r="AK16" i="7"/>
  <c r="AK14" i="7"/>
  <c r="G14" i="7"/>
  <c r="G16" i="7"/>
  <c r="G89" i="10"/>
  <c r="G20" i="2" s="1"/>
  <c r="J16" i="7" l="1"/>
  <c r="J14" i="7"/>
  <c r="Q46" i="11"/>
  <c r="C13" i="18"/>
  <c r="C158" i="17"/>
  <c r="E158" i="17" s="1"/>
  <c r="B158" i="17" s="1"/>
  <c r="AQ14" i="7"/>
  <c r="C14" i="18" s="1"/>
  <c r="AQ16" i="7"/>
  <c r="P27" i="12"/>
  <c r="C42" i="17"/>
  <c r="E42" i="17" s="1"/>
  <c r="B42" i="17" s="1"/>
  <c r="C14" i="16"/>
  <c r="C31" i="2" s="1"/>
  <c r="C17" i="2"/>
  <c r="C43" i="8"/>
  <c r="N17" i="7"/>
  <c r="N23" i="7"/>
  <c r="N25" i="7" s="1"/>
  <c r="N27" i="7" s="1"/>
  <c r="N29" i="7" s="1"/>
  <c r="N30" i="7" s="1"/>
  <c r="C39" i="17"/>
  <c r="E39" i="17" s="1"/>
  <c r="B39" i="17" s="1"/>
  <c r="C17" i="7"/>
  <c r="C23" i="7"/>
  <c r="C25" i="7" s="1"/>
  <c r="AK17" i="7"/>
  <c r="AK23" i="7"/>
  <c r="AK25" i="7" s="1"/>
  <c r="AK27" i="7" s="1"/>
  <c r="AK29" i="7" s="1"/>
  <c r="AK30" i="7" s="1"/>
  <c r="Q48" i="11"/>
  <c r="Q16" i="7"/>
  <c r="C75" i="17" s="1"/>
  <c r="E75" i="17" s="1"/>
  <c r="B75" i="17" s="1"/>
  <c r="Q14" i="7"/>
  <c r="D149" i="17"/>
  <c r="C152" i="17"/>
  <c r="E152" i="17" s="1"/>
  <c r="B152" i="17" s="1"/>
  <c r="L37" i="8"/>
  <c r="L39" i="8" s="1"/>
  <c r="L36" i="8"/>
  <c r="L16" i="2" s="1"/>
  <c r="L38" i="8"/>
  <c r="L15" i="2"/>
  <c r="L40" i="8"/>
  <c r="L39" i="10"/>
  <c r="L45" i="8"/>
  <c r="L89" i="10"/>
  <c r="L20" i="2" s="1"/>
  <c r="P54" i="11"/>
  <c r="P21" i="13"/>
  <c r="H16" i="7"/>
  <c r="H14" i="7"/>
  <c r="Q52" i="11"/>
  <c r="AE30" i="7"/>
  <c r="P17" i="7"/>
  <c r="P23" i="7"/>
  <c r="P25" i="7" s="1"/>
  <c r="P27" i="7" s="1"/>
  <c r="P29" i="7" s="1"/>
  <c r="P30" i="7" s="1"/>
  <c r="C90" i="17"/>
  <c r="E90" i="17" s="1"/>
  <c r="B90" i="17" s="1"/>
  <c r="G14" i="16"/>
  <c r="G31" i="2" s="1"/>
  <c r="G43" i="8"/>
  <c r="G17" i="2"/>
  <c r="Q25" i="14"/>
  <c r="Q20" i="13"/>
  <c r="Q26" i="2"/>
  <c r="O56" i="11"/>
  <c r="C87" i="17"/>
  <c r="E87" i="17" s="1"/>
  <c r="B87" i="17" s="1"/>
  <c r="S17" i="7"/>
  <c r="S23" i="7"/>
  <c r="S25" i="7" s="1"/>
  <c r="Q36" i="9"/>
  <c r="P60" i="10"/>
  <c r="K44" i="8"/>
  <c r="K17" i="16" s="1"/>
  <c r="K18" i="16" s="1"/>
  <c r="K33" i="2" s="1"/>
  <c r="P33" i="12"/>
  <c r="Q8" i="12"/>
  <c r="C192" i="17"/>
  <c r="E192" i="17" s="1"/>
  <c r="B192" i="17" s="1"/>
  <c r="E13" i="18"/>
  <c r="M9" i="18"/>
  <c r="P9" i="18" s="1"/>
  <c r="D193" i="17"/>
  <c r="AU16" i="7"/>
  <c r="AU14" i="7"/>
  <c r="E14" i="18" s="1"/>
  <c r="D8" i="16"/>
  <c r="D9" i="16" s="1"/>
  <c r="D44" i="8"/>
  <c r="D17" i="16" s="1"/>
  <c r="D18" i="16" s="1"/>
  <c r="D33" i="2" s="1"/>
  <c r="C187" i="17"/>
  <c r="E187" i="17" s="1"/>
  <c r="B187" i="17" s="1"/>
  <c r="Q11" i="14"/>
  <c r="H8" i="16"/>
  <c r="H9" i="16" s="1"/>
  <c r="H44" i="8"/>
  <c r="H17" i="16" s="1"/>
  <c r="H18" i="16" s="1"/>
  <c r="H33" i="2" s="1"/>
  <c r="C110" i="17"/>
  <c r="E110" i="17" s="1"/>
  <c r="B110" i="17" s="1"/>
  <c r="AA14" i="7"/>
  <c r="AA16" i="7"/>
  <c r="D28" i="19"/>
  <c r="N74" i="10" s="1"/>
  <c r="AO16" i="7"/>
  <c r="AO14" i="7"/>
  <c r="AJ23" i="7"/>
  <c r="AJ25" i="7" s="1"/>
  <c r="AJ27" i="7" s="1"/>
  <c r="AJ29" i="7" s="1"/>
  <c r="AJ30" i="7" s="1"/>
  <c r="AJ17" i="7"/>
  <c r="P15" i="9"/>
  <c r="AS14" i="7"/>
  <c r="AS16" i="7"/>
  <c r="AC16" i="7"/>
  <c r="AC14" i="7"/>
  <c r="C126" i="17"/>
  <c r="E126" i="17" s="1"/>
  <c r="B126" i="17" s="1"/>
  <c r="J14" i="16"/>
  <c r="J31" i="2" s="1"/>
  <c r="J43" i="8"/>
  <c r="J17" i="2"/>
  <c r="C80" i="17"/>
  <c r="E80" i="17" s="1"/>
  <c r="B80" i="17" s="1"/>
  <c r="D77" i="17"/>
  <c r="F37" i="8"/>
  <c r="F39" i="8" s="1"/>
  <c r="F38" i="8"/>
  <c r="F40" i="8" s="1"/>
  <c r="F15" i="2"/>
  <c r="F36" i="8"/>
  <c r="F16" i="2" s="1"/>
  <c r="F39" i="10"/>
  <c r="F45" i="8"/>
  <c r="F89" i="10"/>
  <c r="F20" i="2" s="1"/>
  <c r="C51" i="17"/>
  <c r="E51" i="17" s="1"/>
  <c r="B51" i="17" s="1"/>
  <c r="G17" i="7"/>
  <c r="G23" i="7"/>
  <c r="G25" i="7" s="1"/>
  <c r="M39" i="8"/>
  <c r="D122" i="17"/>
  <c r="J18" i="8"/>
  <c r="J16" i="8"/>
  <c r="J12" i="2" s="1"/>
  <c r="J11" i="2"/>
  <c r="O17" i="7"/>
  <c r="O23" i="7"/>
  <c r="O25" i="7" s="1"/>
  <c r="C147" i="17"/>
  <c r="E147" i="17" s="1"/>
  <c r="B147" i="17" s="1"/>
  <c r="AM17" i="7"/>
  <c r="AM23" i="7"/>
  <c r="AM25" i="7" s="1"/>
  <c r="O58" i="11"/>
  <c r="D13" i="18"/>
  <c r="AT16" i="7"/>
  <c r="AT14" i="7"/>
  <c r="D14" i="18" s="1"/>
  <c r="G11" i="18"/>
  <c r="F11" i="18"/>
  <c r="D40" i="8"/>
  <c r="AH17" i="7"/>
  <c r="AH23" i="7"/>
  <c r="AH25" i="7" s="1"/>
  <c r="AH27" i="7" s="1"/>
  <c r="AH29" i="7" s="1"/>
  <c r="AH30" i="7" s="1"/>
  <c r="H40" i="8"/>
  <c r="AG14" i="7"/>
  <c r="AG16" i="7"/>
  <c r="C183" i="17"/>
  <c r="E183" i="17" s="1"/>
  <c r="B183" i="17" s="1"/>
  <c r="P12" i="14"/>
  <c r="P24" i="2"/>
  <c r="E16" i="16"/>
  <c r="E13" i="16"/>
  <c r="E15" i="16" s="1"/>
  <c r="E32" i="2" s="1"/>
  <c r="C62" i="17"/>
  <c r="K16" i="7"/>
  <c r="K14" i="7"/>
  <c r="D98" i="17"/>
  <c r="H18" i="8"/>
  <c r="H16" i="8"/>
  <c r="H12" i="2" s="1"/>
  <c r="H11" i="2"/>
  <c r="C178" i="17"/>
  <c r="E178" i="17" s="1"/>
  <c r="B178" i="17" s="1"/>
  <c r="O12" i="14"/>
  <c r="O24" i="2"/>
  <c r="G10" i="18"/>
  <c r="F10" i="18"/>
  <c r="N19" i="14"/>
  <c r="N21" i="14" s="1"/>
  <c r="N29" i="2" s="1"/>
  <c r="E122" i="17"/>
  <c r="B122" i="17" s="1"/>
  <c r="AF17" i="7"/>
  <c r="AF23" i="7"/>
  <c r="AF25" i="7" s="1"/>
  <c r="Z16" i="7"/>
  <c r="Z14" i="7"/>
  <c r="Y17" i="7"/>
  <c r="Y23" i="7"/>
  <c r="Y25" i="7" s="1"/>
  <c r="Y27" i="7" s="1"/>
  <c r="Y29" i="7" s="1"/>
  <c r="Y30" i="7" s="1"/>
  <c r="AR14" i="7"/>
  <c r="AR16" i="7"/>
  <c r="K16" i="16"/>
  <c r="K13" i="16"/>
  <c r="K15" i="16" s="1"/>
  <c r="K32" i="2" s="1"/>
  <c r="K40" i="8"/>
  <c r="M8" i="16"/>
  <c r="M9" i="16" s="1"/>
  <c r="N38" i="8"/>
  <c r="M44" i="8"/>
  <c r="M17" i="16" s="1"/>
  <c r="M18" i="16" s="1"/>
  <c r="M33" i="2" s="1"/>
  <c r="N19" i="10"/>
  <c r="N57" i="10"/>
  <c r="AL17" i="7"/>
  <c r="AL23" i="7"/>
  <c r="AL25" i="7" s="1"/>
  <c r="AL27" i="7" s="1"/>
  <c r="AL29" i="7" s="1"/>
  <c r="AL30" i="7" s="1"/>
  <c r="D50" i="17"/>
  <c r="D18" i="8"/>
  <c r="D16" i="8"/>
  <c r="D12" i="2" s="1"/>
  <c r="D11" i="2"/>
  <c r="M40" i="8"/>
  <c r="P12" i="12"/>
  <c r="C170" i="17"/>
  <c r="E170" i="17" s="1"/>
  <c r="B170" i="17" s="1"/>
  <c r="U17" i="7"/>
  <c r="U23" i="7"/>
  <c r="U25" i="7" s="1"/>
  <c r="U27" i="7" s="1"/>
  <c r="U29" i="7" s="1"/>
  <c r="U30" i="7" s="1"/>
  <c r="AB16" i="7"/>
  <c r="AB14" i="7"/>
  <c r="Q50" i="11"/>
  <c r="Q44" i="11"/>
  <c r="P56" i="11"/>
  <c r="C50" i="17"/>
  <c r="AD17" i="7"/>
  <c r="AD23" i="7"/>
  <c r="AD25" i="7" s="1"/>
  <c r="AD27" i="7" s="1"/>
  <c r="AD29" i="7" s="1"/>
  <c r="AD30" i="7" s="1"/>
  <c r="P31" i="12"/>
  <c r="C8" i="16"/>
  <c r="C9" i="16" s="1"/>
  <c r="C44" i="8"/>
  <c r="C17" i="16" s="1"/>
  <c r="C18" i="16" s="1"/>
  <c r="C33" i="2" s="1"/>
  <c r="L23" i="7"/>
  <c r="L25" i="7" s="1"/>
  <c r="L27" i="7" s="1"/>
  <c r="L29" i="7" s="1"/>
  <c r="L30" i="7" s="1"/>
  <c r="L17" i="7"/>
  <c r="J8" i="16"/>
  <c r="J9" i="16" s="1"/>
  <c r="J44" i="8"/>
  <c r="J17" i="16" s="1"/>
  <c r="J18" i="16" s="1"/>
  <c r="J33" i="2" s="1"/>
  <c r="C74" i="17"/>
  <c r="E74" i="17" s="1"/>
  <c r="B74" i="17" s="1"/>
  <c r="D110" i="17"/>
  <c r="I11" i="2"/>
  <c r="I18" i="8"/>
  <c r="I16" i="8"/>
  <c r="I12" i="2" s="1"/>
  <c r="D37" i="19"/>
  <c r="E34" i="19"/>
  <c r="E36" i="19" s="1"/>
  <c r="G8" i="16"/>
  <c r="G9" i="16" s="1"/>
  <c r="G44" i="8"/>
  <c r="G17" i="16" s="1"/>
  <c r="G18" i="16" s="1"/>
  <c r="G33" i="2" s="1"/>
  <c r="D62" i="17"/>
  <c r="E18" i="8"/>
  <c r="E16" i="8"/>
  <c r="E12" i="2" s="1"/>
  <c r="E11" i="2"/>
  <c r="C98" i="17"/>
  <c r="W16" i="7"/>
  <c r="W14" i="7"/>
  <c r="E40" i="8"/>
  <c r="D134" i="17"/>
  <c r="K18" i="8"/>
  <c r="K16" i="8"/>
  <c r="K12" i="2" s="1"/>
  <c r="K11" i="2"/>
  <c r="P25" i="12"/>
  <c r="O35" i="12"/>
  <c r="E16" i="7"/>
  <c r="E14" i="7"/>
  <c r="I8" i="16"/>
  <c r="I9" i="16" s="1"/>
  <c r="I44" i="8"/>
  <c r="I17" i="16" s="1"/>
  <c r="I18" i="16" s="1"/>
  <c r="I33" i="2" s="1"/>
  <c r="R17" i="7"/>
  <c r="R23" i="7"/>
  <c r="R25" i="7" s="1"/>
  <c r="R27" i="7" s="1"/>
  <c r="R29" i="7" s="1"/>
  <c r="R30" i="7" s="1"/>
  <c r="D38" i="17"/>
  <c r="E38" i="17" s="1"/>
  <c r="B38" i="17" s="1"/>
  <c r="C11" i="2"/>
  <c r="C18" i="8"/>
  <c r="C16" i="8"/>
  <c r="C12" i="2" s="1"/>
  <c r="Q10" i="12"/>
  <c r="T17" i="7"/>
  <c r="T23" i="7"/>
  <c r="T25" i="7" s="1"/>
  <c r="T27" i="7" s="1"/>
  <c r="T29" i="7" s="1"/>
  <c r="T30" i="7" s="1"/>
  <c r="I16" i="7"/>
  <c r="I14" i="7"/>
  <c r="P29" i="12"/>
  <c r="C134" i="17"/>
  <c r="E134" i="17" s="1"/>
  <c r="B134" i="17" s="1"/>
  <c r="AI16" i="7"/>
  <c r="AI14" i="7"/>
  <c r="C114" i="17"/>
  <c r="E114" i="17" s="1"/>
  <c r="B114" i="17" s="1"/>
  <c r="I14" i="16"/>
  <c r="I31" i="2" s="1"/>
  <c r="I17" i="2"/>
  <c r="I43" i="8"/>
  <c r="E28" i="17"/>
  <c r="B28" i="17" s="1"/>
  <c r="C78" i="17" l="1"/>
  <c r="E78" i="17" s="1"/>
  <c r="B78" i="17" s="1"/>
  <c r="F14" i="16"/>
  <c r="F31" i="2" s="1"/>
  <c r="F43" i="8"/>
  <c r="F17" i="2"/>
  <c r="C102" i="17"/>
  <c r="E102" i="17" s="1"/>
  <c r="B102" i="17" s="1"/>
  <c r="H14" i="16"/>
  <c r="H31" i="2" s="1"/>
  <c r="H43" i="8"/>
  <c r="H17" i="2"/>
  <c r="F8" i="16"/>
  <c r="F9" i="16" s="1"/>
  <c r="F44" i="8"/>
  <c r="F17" i="16" s="1"/>
  <c r="F18" i="16" s="1"/>
  <c r="F33" i="2" s="1"/>
  <c r="C88" i="17"/>
  <c r="E88" i="17" s="1"/>
  <c r="B88" i="17" s="1"/>
  <c r="S27" i="7"/>
  <c r="S29" i="7" s="1"/>
  <c r="M16" i="16"/>
  <c r="M13" i="16"/>
  <c r="M15" i="16" s="1"/>
  <c r="M32" i="2" s="1"/>
  <c r="Q33" i="12"/>
  <c r="C162" i="17"/>
  <c r="E162" i="17" s="1"/>
  <c r="B162" i="17" s="1"/>
  <c r="M14" i="16"/>
  <c r="M31" i="2" s="1"/>
  <c r="M43" i="8"/>
  <c r="M17" i="2"/>
  <c r="N8" i="16"/>
  <c r="O38" i="8"/>
  <c r="C135" i="17"/>
  <c r="E135" i="17" s="1"/>
  <c r="B135" i="17" s="1"/>
  <c r="AI17" i="7"/>
  <c r="AI23" i="7"/>
  <c r="AI25" i="7" s="1"/>
  <c r="E98" i="17"/>
  <c r="B98" i="17" s="1"/>
  <c r="G16" i="16"/>
  <c r="G13" i="16"/>
  <c r="G15" i="16" s="1"/>
  <c r="G32" i="2" s="1"/>
  <c r="N30" i="14"/>
  <c r="E62" i="17"/>
  <c r="B62" i="17" s="1"/>
  <c r="C54" i="17"/>
  <c r="E54" i="17" s="1"/>
  <c r="B54" i="17" s="1"/>
  <c r="D14" i="16"/>
  <c r="D31" i="2" s="1"/>
  <c r="D43" i="8"/>
  <c r="D17" i="2"/>
  <c r="C175" i="17"/>
  <c r="E175" i="17" s="1"/>
  <c r="B175" i="17" s="1"/>
  <c r="Q15" i="9"/>
  <c r="AO23" i="7"/>
  <c r="AO25" i="7" s="1"/>
  <c r="AO27" i="7" s="1"/>
  <c r="AO29" i="7" s="1"/>
  <c r="AO30" i="7" s="1"/>
  <c r="AO17" i="7"/>
  <c r="F14" i="18"/>
  <c r="G14" i="18"/>
  <c r="C150" i="17"/>
  <c r="E150" i="17" s="1"/>
  <c r="B150" i="17" s="1"/>
  <c r="L14" i="16"/>
  <c r="L31" i="2" s="1"/>
  <c r="L43" i="8"/>
  <c r="L17" i="2"/>
  <c r="Q27" i="12"/>
  <c r="Q29" i="12"/>
  <c r="C66" i="17"/>
  <c r="E66" i="17" s="1"/>
  <c r="B66" i="17" s="1"/>
  <c r="E14" i="16"/>
  <c r="E31" i="2" s="1"/>
  <c r="E43" i="8"/>
  <c r="E17" i="2"/>
  <c r="N49" i="9"/>
  <c r="N71" i="10"/>
  <c r="AS17" i="7"/>
  <c r="AS23" i="7"/>
  <c r="AS25" i="7" s="1"/>
  <c r="AS27" i="7" s="1"/>
  <c r="AS29" i="7" s="1"/>
  <c r="AS30" i="7" s="1"/>
  <c r="C111" i="17"/>
  <c r="E111" i="17" s="1"/>
  <c r="B111" i="17" s="1"/>
  <c r="AA17" i="7"/>
  <c r="AA23" i="7"/>
  <c r="AA25" i="7" s="1"/>
  <c r="Q17" i="7"/>
  <c r="Q23" i="7"/>
  <c r="Q25" i="7" s="1"/>
  <c r="Q27" i="7" s="1"/>
  <c r="Q29" i="7" s="1"/>
  <c r="Q30" i="7" s="1"/>
  <c r="P35" i="12"/>
  <c r="Q25" i="12"/>
  <c r="Q31" i="12"/>
  <c r="AB17" i="7"/>
  <c r="AB23" i="7"/>
  <c r="AB25" i="7" s="1"/>
  <c r="AB27" i="7" s="1"/>
  <c r="AB29" i="7" s="1"/>
  <c r="AB30" i="7" s="1"/>
  <c r="Q12" i="12"/>
  <c r="D16" i="18"/>
  <c r="AT17" i="7"/>
  <c r="D17" i="18" s="1"/>
  <c r="AT23" i="7"/>
  <c r="AT25" i="7" s="1"/>
  <c r="C138" i="17"/>
  <c r="E138" i="17" s="1"/>
  <c r="B138" i="17" s="1"/>
  <c r="K14" i="16"/>
  <c r="K31" i="2" s="1"/>
  <c r="K43" i="8"/>
  <c r="K17" i="2"/>
  <c r="E23" i="7"/>
  <c r="E25" i="7" s="1"/>
  <c r="E27" i="7" s="1"/>
  <c r="E29" i="7" s="1"/>
  <c r="E30" i="7" s="1"/>
  <c r="E17" i="7"/>
  <c r="E37" i="19"/>
  <c r="E38" i="19" s="1"/>
  <c r="F34" i="19"/>
  <c r="F36" i="19" s="1"/>
  <c r="Z17" i="7"/>
  <c r="Z23" i="7"/>
  <c r="Z25" i="7" s="1"/>
  <c r="Z27" i="7" s="1"/>
  <c r="Z29" i="7" s="1"/>
  <c r="Z30" i="7" s="1"/>
  <c r="AG17" i="7"/>
  <c r="AG23" i="7"/>
  <c r="AG25" i="7" s="1"/>
  <c r="AG27" i="7" s="1"/>
  <c r="AG29" i="7" s="1"/>
  <c r="AG30" i="7" s="1"/>
  <c r="C123" i="17"/>
  <c r="E123" i="17" s="1"/>
  <c r="B123" i="17" s="1"/>
  <c r="AM27" i="7"/>
  <c r="AM29" i="7" s="1"/>
  <c r="D55" i="17"/>
  <c r="E55" i="17" s="1"/>
  <c r="B55" i="17" s="1"/>
  <c r="C52" i="17"/>
  <c r="E52" i="17" s="1"/>
  <c r="B52" i="17" s="1"/>
  <c r="G27" i="7"/>
  <c r="G29" i="7" s="1"/>
  <c r="H13" i="16"/>
  <c r="H15" i="16" s="1"/>
  <c r="H32" i="2" s="1"/>
  <c r="H16" i="16"/>
  <c r="M10" i="18"/>
  <c r="P10" i="18" s="1"/>
  <c r="C193" i="17"/>
  <c r="E193" i="17" s="1"/>
  <c r="B193" i="17" s="1"/>
  <c r="E16" i="18"/>
  <c r="AU17" i="7"/>
  <c r="E17" i="18" s="1"/>
  <c r="D194" i="17"/>
  <c r="AU23" i="7"/>
  <c r="AU25" i="7" s="1"/>
  <c r="P14" i="12"/>
  <c r="C16" i="18"/>
  <c r="C159" i="17"/>
  <c r="E159" i="17" s="1"/>
  <c r="B159" i="17" s="1"/>
  <c r="AQ17" i="7"/>
  <c r="C17" i="18" s="1"/>
  <c r="AQ23" i="7"/>
  <c r="AQ25" i="7" s="1"/>
  <c r="J13" i="16"/>
  <c r="J15" i="16" s="1"/>
  <c r="J32" i="2" s="1"/>
  <c r="J16" i="16"/>
  <c r="O27" i="7"/>
  <c r="O29" i="7" s="1"/>
  <c r="F13" i="18"/>
  <c r="G13" i="18"/>
  <c r="H17" i="7"/>
  <c r="H23" i="7"/>
  <c r="H25" i="7" s="1"/>
  <c r="H27" i="7" s="1"/>
  <c r="H29" i="7" s="1"/>
  <c r="H30" i="7" s="1"/>
  <c r="I17" i="7"/>
  <c r="I23" i="7"/>
  <c r="I25" i="7" s="1"/>
  <c r="I27" i="7" s="1"/>
  <c r="I29" i="7" s="1"/>
  <c r="I30" i="7" s="1"/>
  <c r="I13" i="16"/>
  <c r="I15" i="16" s="1"/>
  <c r="I32" i="2" s="1"/>
  <c r="I16" i="16"/>
  <c r="C99" i="17"/>
  <c r="E99" i="17" s="1"/>
  <c r="B99" i="17" s="1"/>
  <c r="W17" i="7"/>
  <c r="W23" i="7"/>
  <c r="W25" i="7" s="1"/>
  <c r="P58" i="11"/>
  <c r="C63" i="17"/>
  <c r="E63" i="17" s="1"/>
  <c r="B63" i="17" s="1"/>
  <c r="K17" i="7"/>
  <c r="K23" i="7"/>
  <c r="K25" i="7" s="1"/>
  <c r="D13" i="16"/>
  <c r="D15" i="16" s="1"/>
  <c r="D32" i="2" s="1"/>
  <c r="D16" i="16"/>
  <c r="D38" i="19"/>
  <c r="C13" i="16"/>
  <c r="C15" i="16" s="1"/>
  <c r="C32" i="2" s="1"/>
  <c r="C16" i="16"/>
  <c r="E50" i="17"/>
  <c r="B50" i="17" s="1"/>
  <c r="AR17" i="7"/>
  <c r="AR23" i="7"/>
  <c r="AR25" i="7" s="1"/>
  <c r="AR27" i="7" s="1"/>
  <c r="AR29" i="7" s="1"/>
  <c r="AR30" i="7" s="1"/>
  <c r="AF27" i="7"/>
  <c r="AF29" i="7" s="1"/>
  <c r="C124" i="17"/>
  <c r="E124" i="17" s="1"/>
  <c r="B124" i="17" s="1"/>
  <c r="AC17" i="7"/>
  <c r="AC23" i="7"/>
  <c r="AC25" i="7" s="1"/>
  <c r="AC27" i="7" s="1"/>
  <c r="AC29" i="7" s="1"/>
  <c r="AC30" i="7" s="1"/>
  <c r="Q12" i="14"/>
  <c r="C188" i="17"/>
  <c r="E188" i="17" s="1"/>
  <c r="B188" i="17" s="1"/>
  <c r="Q24" i="2"/>
  <c r="Q14" i="12"/>
  <c r="Q60" i="10"/>
  <c r="Q21" i="13"/>
  <c r="Q54" i="11"/>
  <c r="Q56" i="11" s="1"/>
  <c r="L8" i="16"/>
  <c r="L9" i="16" s="1"/>
  <c r="L44" i="8"/>
  <c r="L17" i="16" s="1"/>
  <c r="L18" i="16" s="1"/>
  <c r="L33" i="2" s="1"/>
  <c r="D43" i="17"/>
  <c r="E43" i="17" s="1"/>
  <c r="B43" i="17" s="1"/>
  <c r="C40" i="17"/>
  <c r="E40" i="17" s="1"/>
  <c r="B40" i="17" s="1"/>
  <c r="C27" i="7"/>
  <c r="C29" i="7" s="1"/>
  <c r="J17" i="7"/>
  <c r="J23" i="7"/>
  <c r="J25" i="7" s="1"/>
  <c r="J27" i="7" s="1"/>
  <c r="J29" i="7" s="1"/>
  <c r="J30" i="7" s="1"/>
  <c r="O70" i="10" l="1"/>
  <c r="O69" i="10"/>
  <c r="O41" i="9"/>
  <c r="G16" i="18"/>
  <c r="F16" i="18"/>
  <c r="D18" i="18"/>
  <c r="AT27" i="7"/>
  <c r="C149" i="17"/>
  <c r="E149" i="17" s="1"/>
  <c r="B149" i="17" s="1"/>
  <c r="AM30" i="7"/>
  <c r="C112" i="17"/>
  <c r="E112" i="17" s="1"/>
  <c r="B112" i="17" s="1"/>
  <c r="AA27" i="7"/>
  <c r="AA29" i="7" s="1"/>
  <c r="C169" i="17"/>
  <c r="N7" i="8"/>
  <c r="O8" i="16"/>
  <c r="P38" i="8"/>
  <c r="D67" i="17"/>
  <c r="E67" i="17" s="1"/>
  <c r="B67" i="17" s="1"/>
  <c r="C64" i="17"/>
  <c r="E64" i="17" s="1"/>
  <c r="B64" i="17" s="1"/>
  <c r="K27" i="7"/>
  <c r="K29" i="7" s="1"/>
  <c r="L16" i="16"/>
  <c r="L13" i="16"/>
  <c r="L15" i="16" s="1"/>
  <c r="L32" i="2" s="1"/>
  <c r="C180" i="17"/>
  <c r="E180" i="17" s="1"/>
  <c r="B180" i="17" s="1"/>
  <c r="C77" i="17"/>
  <c r="E77" i="17" s="1"/>
  <c r="B77" i="17" s="1"/>
  <c r="O30" i="7"/>
  <c r="C18" i="18"/>
  <c r="C160" i="17"/>
  <c r="E160" i="17" s="1"/>
  <c r="B160" i="17" s="1"/>
  <c r="AQ27" i="7"/>
  <c r="C194" i="17"/>
  <c r="E194" i="17" s="1"/>
  <c r="B194" i="17" s="1"/>
  <c r="E18" i="18"/>
  <c r="M11" i="18"/>
  <c r="P11" i="18" s="1"/>
  <c r="AU27" i="7"/>
  <c r="C148" i="17"/>
  <c r="E148" i="17" s="1"/>
  <c r="B148" i="17" s="1"/>
  <c r="F37" i="19"/>
  <c r="F38" i="19"/>
  <c r="G34" i="19"/>
  <c r="G36" i="19" s="1"/>
  <c r="C136" i="17"/>
  <c r="E136" i="17" s="1"/>
  <c r="B136" i="17" s="1"/>
  <c r="AI27" i="7"/>
  <c r="AI29" i="7" s="1"/>
  <c r="F16" i="16"/>
  <c r="F13" i="16"/>
  <c r="F15" i="16" s="1"/>
  <c r="F32" i="2" s="1"/>
  <c r="C89" i="17"/>
  <c r="E89" i="17" s="1"/>
  <c r="B89" i="17" s="1"/>
  <c r="S30" i="7"/>
  <c r="N70" i="10"/>
  <c r="N69" i="10"/>
  <c r="N41" i="9"/>
  <c r="C100" i="17"/>
  <c r="E100" i="17" s="1"/>
  <c r="B100" i="17" s="1"/>
  <c r="W27" i="7"/>
  <c r="W29" i="7" s="1"/>
  <c r="C76" i="17"/>
  <c r="E76" i="17" s="1"/>
  <c r="B76" i="17" s="1"/>
  <c r="Q35" i="12"/>
  <c r="AF30" i="7"/>
  <c r="C125" i="17"/>
  <c r="E125" i="17" s="1"/>
  <c r="B125" i="17" s="1"/>
  <c r="C41" i="17"/>
  <c r="E41" i="17" s="1"/>
  <c r="B41" i="17" s="1"/>
  <c r="C30" i="7"/>
  <c r="D79" i="17"/>
  <c r="E79" i="17" s="1"/>
  <c r="B79" i="17" s="1"/>
  <c r="G17" i="18"/>
  <c r="F17" i="18"/>
  <c r="C53" i="17"/>
  <c r="E53" i="17" s="1"/>
  <c r="B53" i="17" s="1"/>
  <c r="G30" i="7"/>
  <c r="O71" i="10"/>
  <c r="O49" i="9"/>
  <c r="Q58" i="11"/>
  <c r="P71" i="10" l="1"/>
  <c r="P49" i="9"/>
  <c r="N60" i="9"/>
  <c r="C101" i="17"/>
  <c r="E101" i="17" s="1"/>
  <c r="B101" i="17" s="1"/>
  <c r="W30" i="7"/>
  <c r="P69" i="10"/>
  <c r="P41" i="9"/>
  <c r="P70" i="10"/>
  <c r="C65" i="17"/>
  <c r="E65" i="17" s="1"/>
  <c r="B65" i="17" s="1"/>
  <c r="K30" i="7"/>
  <c r="C20" i="18"/>
  <c r="AQ29" i="7"/>
  <c r="O60" i="9"/>
  <c r="C185" i="17"/>
  <c r="E185" i="17" s="1"/>
  <c r="B185" i="17" s="1"/>
  <c r="C137" i="17"/>
  <c r="E137" i="17" s="1"/>
  <c r="B137" i="17" s="1"/>
  <c r="AI30" i="7"/>
  <c r="E20" i="18"/>
  <c r="D195" i="17"/>
  <c r="AU29" i="7"/>
  <c r="D20" i="18"/>
  <c r="AT29" i="7"/>
  <c r="G37" i="19"/>
  <c r="G18" i="18"/>
  <c r="F18" i="18"/>
  <c r="D8" i="19"/>
  <c r="D169" i="17"/>
  <c r="E169" i="17" s="1"/>
  <c r="B169" i="17" s="1"/>
  <c r="D202" i="17"/>
  <c r="L8" i="18"/>
  <c r="N8" i="18" s="1"/>
  <c r="O8" i="18" s="1"/>
  <c r="D171" i="17"/>
  <c r="N31" i="14"/>
  <c r="N38" i="12"/>
  <c r="N60" i="11"/>
  <c r="N55" i="9"/>
  <c r="N53" i="9"/>
  <c r="N51" i="9"/>
  <c r="N33" i="10" s="1"/>
  <c r="N47" i="9"/>
  <c r="N45" i="9"/>
  <c r="N31" i="9"/>
  <c r="N29" i="9"/>
  <c r="N56" i="10" s="1"/>
  <c r="N27" i="9"/>
  <c r="N31" i="10" s="1"/>
  <c r="N25" i="9"/>
  <c r="N21" i="9"/>
  <c r="N19" i="9"/>
  <c r="N30" i="9"/>
  <c r="N32" i="10" s="1"/>
  <c r="N24" i="9"/>
  <c r="N19" i="8"/>
  <c r="N9" i="8"/>
  <c r="N44" i="9"/>
  <c r="N32" i="9"/>
  <c r="N26" i="9"/>
  <c r="N30" i="10" s="1"/>
  <c r="N20" i="9"/>
  <c r="N17" i="10"/>
  <c r="D44" i="19" s="1"/>
  <c r="N52" i="9"/>
  <c r="N46" i="9"/>
  <c r="N14" i="8"/>
  <c r="N10" i="8"/>
  <c r="N8" i="8"/>
  <c r="N40" i="11"/>
  <c r="N22" i="9"/>
  <c r="N22" i="11"/>
  <c r="N7" i="2"/>
  <c r="N54" i="9"/>
  <c r="N51" i="11"/>
  <c r="N9" i="12"/>
  <c r="N45" i="11"/>
  <c r="N53" i="11"/>
  <c r="N11" i="12"/>
  <c r="N47" i="11"/>
  <c r="N49" i="11"/>
  <c r="N28" i="12"/>
  <c r="N30" i="12"/>
  <c r="N13" i="12"/>
  <c r="N32" i="12"/>
  <c r="N26" i="12"/>
  <c r="N57" i="11"/>
  <c r="N55" i="11"/>
  <c r="N34" i="12"/>
  <c r="P8" i="16"/>
  <c r="Q38" i="8"/>
  <c r="Q8" i="16" s="1"/>
  <c r="C113" i="17"/>
  <c r="E113" i="17" s="1"/>
  <c r="B113" i="17" s="1"/>
  <c r="AA30" i="7"/>
  <c r="O27" i="14" l="1"/>
  <c r="O16" i="14"/>
  <c r="O29" i="14"/>
  <c r="O28" i="2" s="1"/>
  <c r="O17" i="14"/>
  <c r="N32" i="14"/>
  <c r="C195" i="17"/>
  <c r="E195" i="17" s="1"/>
  <c r="B195" i="17" s="1"/>
  <c r="E22" i="18"/>
  <c r="M12" i="18"/>
  <c r="P12" i="18" s="1"/>
  <c r="AU30" i="7"/>
  <c r="E23" i="18" s="1"/>
  <c r="N59" i="11"/>
  <c r="N35" i="10"/>
  <c r="C202" i="17"/>
  <c r="E202" i="17" s="1"/>
  <c r="B202" i="17" s="1"/>
  <c r="N42" i="10"/>
  <c r="N43" i="10"/>
  <c r="D9" i="19"/>
  <c r="N8" i="10"/>
  <c r="Q71" i="10"/>
  <c r="Q49" i="9"/>
  <c r="G20" i="18"/>
  <c r="F20" i="18"/>
  <c r="D219" i="17"/>
  <c r="C212" i="17"/>
  <c r="O11" i="16"/>
  <c r="N12" i="13"/>
  <c r="N10" i="13"/>
  <c r="N9" i="13"/>
  <c r="N11" i="13"/>
  <c r="N8" i="2"/>
  <c r="N13" i="13"/>
  <c r="N27" i="10"/>
  <c r="G38" i="19"/>
  <c r="C22" i="18"/>
  <c r="C161" i="17"/>
  <c r="E161" i="17" s="1"/>
  <c r="B161" i="17" s="1"/>
  <c r="AQ30" i="7"/>
  <c r="C23" i="18" s="1"/>
  <c r="P60" i="9"/>
  <c r="C205" i="17"/>
  <c r="E205" i="17" s="1"/>
  <c r="B205" i="17" s="1"/>
  <c r="N11" i="16"/>
  <c r="D212" i="17"/>
  <c r="O25" i="8"/>
  <c r="N25" i="8"/>
  <c r="D22" i="18"/>
  <c r="AT30" i="7"/>
  <c r="D23" i="18" s="1"/>
  <c r="N15" i="8"/>
  <c r="N11" i="8"/>
  <c r="N12" i="8"/>
  <c r="N40" i="12"/>
  <c r="N39" i="12"/>
  <c r="D14" i="19"/>
  <c r="D24" i="19"/>
  <c r="D15" i="19"/>
  <c r="L9" i="18" l="1"/>
  <c r="N9" i="18" s="1"/>
  <c r="O9" i="18" s="1"/>
  <c r="N17" i="8"/>
  <c r="N20" i="8"/>
  <c r="N16" i="8"/>
  <c r="N12" i="2" s="1"/>
  <c r="N11" i="2"/>
  <c r="D10" i="19"/>
  <c r="D13" i="19" s="1"/>
  <c r="C208" i="17" s="1"/>
  <c r="E208" i="17" s="1"/>
  <c r="B208" i="17" s="1"/>
  <c r="D11" i="19"/>
  <c r="D25" i="19" s="1"/>
  <c r="D26" i="19" s="1"/>
  <c r="D12" i="19"/>
  <c r="D20" i="19" s="1"/>
  <c r="C171" i="17"/>
  <c r="E171" i="17" s="1"/>
  <c r="B171" i="17" s="1"/>
  <c r="N61" i="11"/>
  <c r="N18" i="13"/>
  <c r="N27" i="2" s="1"/>
  <c r="N22" i="13"/>
  <c r="N17" i="13"/>
  <c r="N41" i="12"/>
  <c r="N10" i="2" s="1"/>
  <c r="N9" i="2"/>
  <c r="G23" i="18"/>
  <c r="F23" i="18"/>
  <c r="D16" i="19"/>
  <c r="N40" i="10"/>
  <c r="N59" i="10" s="1"/>
  <c r="D51" i="19" s="1"/>
  <c r="E212" i="17"/>
  <c r="B212" i="17" s="1"/>
  <c r="Q69" i="10"/>
  <c r="Q70" i="10"/>
  <c r="Q41" i="9"/>
  <c r="O19" i="14"/>
  <c r="O21" i="14" s="1"/>
  <c r="O29" i="2" s="1"/>
  <c r="D29" i="19"/>
  <c r="N14" i="10"/>
  <c r="N73" i="10"/>
  <c r="N27" i="8"/>
  <c r="N29" i="8" s="1"/>
  <c r="C219" i="17"/>
  <c r="E219" i="17" s="1"/>
  <c r="B219" i="17" s="1"/>
  <c r="D226" i="17"/>
  <c r="P11" i="16"/>
  <c r="O73" i="10"/>
  <c r="O14" i="10"/>
  <c r="N19" i="13"/>
  <c r="P25" i="8"/>
  <c r="G22" i="18"/>
  <c r="F22" i="18"/>
  <c r="N12" i="9" l="1"/>
  <c r="E23" i="19"/>
  <c r="N9" i="9"/>
  <c r="L11" i="18"/>
  <c r="N11" i="18" s="1"/>
  <c r="O11" i="18" s="1"/>
  <c r="N33" i="8"/>
  <c r="N31" i="8"/>
  <c r="N30" i="8"/>
  <c r="N7" i="10"/>
  <c r="N36" i="10" s="1"/>
  <c r="P14" i="10"/>
  <c r="P73" i="10"/>
  <c r="D17" i="19"/>
  <c r="N8" i="9" s="1"/>
  <c r="Q60" i="9"/>
  <c r="L10" i="18"/>
  <c r="N10" i="18" s="1"/>
  <c r="O10" i="18" s="1"/>
  <c r="N21" i="8"/>
  <c r="N14" i="2" s="1"/>
  <c r="N13" i="2"/>
  <c r="D30" i="19"/>
  <c r="N50" i="9" s="1"/>
  <c r="N56" i="9" s="1"/>
  <c r="D31" i="19"/>
  <c r="N42" i="9" s="1"/>
  <c r="E27" i="19"/>
  <c r="D204" i="17"/>
  <c r="O30" i="14"/>
  <c r="E28" i="19" l="1"/>
  <c r="O74" i="10" s="1"/>
  <c r="C226" i="17"/>
  <c r="E226" i="17" s="1"/>
  <c r="B226" i="17" s="1"/>
  <c r="Q11" i="16"/>
  <c r="Q25" i="8"/>
  <c r="N61" i="9"/>
  <c r="N48" i="9"/>
  <c r="D18" i="19"/>
  <c r="D19" i="19" s="1"/>
  <c r="C174" i="17"/>
  <c r="O7" i="8"/>
  <c r="N34" i="8"/>
  <c r="N35" i="8" s="1"/>
  <c r="N37" i="10"/>
  <c r="N38" i="10" s="1"/>
  <c r="N32" i="8"/>
  <c r="D50" i="19" l="1"/>
  <c r="N88" i="10"/>
  <c r="N39" i="10"/>
  <c r="N18" i="2"/>
  <c r="D42" i="19"/>
  <c r="L12" i="18"/>
  <c r="N12" i="18" s="1"/>
  <c r="O12" i="18" s="1"/>
  <c r="N39" i="8"/>
  <c r="N41" i="8" s="1"/>
  <c r="N40" i="8"/>
  <c r="N36" i="8"/>
  <c r="N16" i="2" s="1"/>
  <c r="N15" i="2"/>
  <c r="E174" i="17"/>
  <c r="B174" i="17" s="1"/>
  <c r="D203" i="17"/>
  <c r="N7" i="9"/>
  <c r="Q73" i="10"/>
  <c r="Q14" i="10"/>
  <c r="E8" i="19"/>
  <c r="D209" i="17"/>
  <c r="D176" i="17"/>
  <c r="D174" i="17"/>
  <c r="O60" i="11"/>
  <c r="O40" i="11"/>
  <c r="O38" i="12"/>
  <c r="O31" i="14"/>
  <c r="O44" i="9"/>
  <c r="O27" i="9"/>
  <c r="O31" i="10" s="1"/>
  <c r="O21" i="9"/>
  <c r="O53" i="9"/>
  <c r="O47" i="9"/>
  <c r="O32" i="9"/>
  <c r="O26" i="9"/>
  <c r="O30" i="10" s="1"/>
  <c r="O20" i="9"/>
  <c r="O7" i="2"/>
  <c r="O17" i="10"/>
  <c r="E44" i="19" s="1"/>
  <c r="O52" i="9"/>
  <c r="O46" i="9"/>
  <c r="O29" i="9"/>
  <c r="O56" i="10" s="1"/>
  <c r="O14" i="8"/>
  <c r="O10" i="8"/>
  <c r="O8" i="8"/>
  <c r="O22" i="11"/>
  <c r="O55" i="9"/>
  <c r="O22" i="9"/>
  <c r="O31" i="9"/>
  <c r="O25" i="9"/>
  <c r="O19" i="9"/>
  <c r="O30" i="9"/>
  <c r="O24" i="9"/>
  <c r="O19" i="8"/>
  <c r="O9" i="8"/>
  <c r="O54" i="9"/>
  <c r="O51" i="9"/>
  <c r="O33" i="10" s="1"/>
  <c r="O45" i="9"/>
  <c r="O9" i="12"/>
  <c r="O53" i="11"/>
  <c r="O11" i="12"/>
  <c r="O49" i="11"/>
  <c r="O51" i="11"/>
  <c r="O45" i="11"/>
  <c r="O47" i="11"/>
  <c r="O26" i="12"/>
  <c r="O30" i="12"/>
  <c r="O34" i="12"/>
  <c r="O55" i="11"/>
  <c r="O28" i="12"/>
  <c r="O32" i="12"/>
  <c r="O13" i="12"/>
  <c r="O57" i="11"/>
  <c r="C204" i="17"/>
  <c r="E204" i="17" s="1"/>
  <c r="B204" i="17" s="1"/>
  <c r="N12" i="16"/>
  <c r="O8" i="2" l="1"/>
  <c r="O9" i="13"/>
  <c r="O10" i="13"/>
  <c r="O12" i="13"/>
  <c r="O13" i="13"/>
  <c r="O11" i="13"/>
  <c r="C209" i="17"/>
  <c r="E209" i="17" s="1"/>
  <c r="B209" i="17" s="1"/>
  <c r="O43" i="10"/>
  <c r="O42" i="10"/>
  <c r="C203" i="17"/>
  <c r="E203" i="17" s="1"/>
  <c r="B203" i="17" s="1"/>
  <c r="N23" i="9"/>
  <c r="N7" i="16"/>
  <c r="N42" i="8"/>
  <c r="L13" i="18" s="1"/>
  <c r="N13" i="18" s="1"/>
  <c r="O13" i="18" s="1"/>
  <c r="N17" i="2"/>
  <c r="E9" i="19"/>
  <c r="O8" i="10"/>
  <c r="O27" i="10"/>
  <c r="P17" i="14"/>
  <c r="P16" i="14"/>
  <c r="P29" i="14"/>
  <c r="P28" i="2" s="1"/>
  <c r="P27" i="14"/>
  <c r="O32" i="14"/>
  <c r="N89" i="10"/>
  <c r="N20" i="2" s="1"/>
  <c r="N19" i="2"/>
  <c r="D43" i="19"/>
  <c r="N63" i="10" s="1"/>
  <c r="D46" i="19"/>
  <c r="O12" i="8"/>
  <c r="O15" i="8"/>
  <c r="O11" i="8"/>
  <c r="O59" i="11"/>
  <c r="O32" i="10"/>
  <c r="O35" i="10"/>
  <c r="O39" i="12"/>
  <c r="O40" i="12"/>
  <c r="E14" i="19"/>
  <c r="E24" i="19"/>
  <c r="E15" i="19"/>
  <c r="O11" i="2" l="1"/>
  <c r="O20" i="8"/>
  <c r="O16" i="8"/>
  <c r="O12" i="2" s="1"/>
  <c r="O17" i="8"/>
  <c r="N65" i="10"/>
  <c r="N77" i="10"/>
  <c r="P19" i="14"/>
  <c r="P21" i="14" s="1"/>
  <c r="P29" i="2" s="1"/>
  <c r="O17" i="13"/>
  <c r="O18" i="13"/>
  <c r="O27" i="2" s="1"/>
  <c r="O41" i="12"/>
  <c r="O10" i="2" s="1"/>
  <c r="O9" i="2"/>
  <c r="O22" i="13"/>
  <c r="E10" i="19"/>
  <c r="E13" i="19" s="1"/>
  <c r="C215" i="17" s="1"/>
  <c r="E215" i="17" s="1"/>
  <c r="B215" i="17" s="1"/>
  <c r="E11" i="19"/>
  <c r="E25" i="19" s="1"/>
  <c r="E12" i="19"/>
  <c r="E29" i="19"/>
  <c r="E26" i="19"/>
  <c r="O19" i="13"/>
  <c r="E41" i="19"/>
  <c r="D206" i="17"/>
  <c r="N37" i="9"/>
  <c r="E20" i="19"/>
  <c r="C176" i="17"/>
  <c r="E176" i="17" s="1"/>
  <c r="B176" i="17" s="1"/>
  <c r="O61" i="11"/>
  <c r="E16" i="19"/>
  <c r="O40" i="10"/>
  <c r="N21" i="16"/>
  <c r="N9" i="16"/>
  <c r="N14" i="16"/>
  <c r="N31" i="2" s="1"/>
  <c r="N20" i="16"/>
  <c r="N30" i="2"/>
  <c r="C206" i="17" l="1"/>
  <c r="E206" i="17" s="1"/>
  <c r="B206" i="17" s="1"/>
  <c r="N38" i="9"/>
  <c r="N40" i="9" s="1"/>
  <c r="N58" i="9" s="1"/>
  <c r="D29" i="17" s="1"/>
  <c r="O12" i="9"/>
  <c r="F23" i="19"/>
  <c r="O9" i="9"/>
  <c r="E17" i="19"/>
  <c r="O8" i="9" s="1"/>
  <c r="E18" i="19"/>
  <c r="E19" i="19" s="1"/>
  <c r="E30" i="19"/>
  <c r="O50" i="9" s="1"/>
  <c r="O56" i="9" s="1"/>
  <c r="E31" i="19"/>
  <c r="O42" i="9" s="1"/>
  <c r="F27" i="19"/>
  <c r="D211" i="17"/>
  <c r="P30" i="14"/>
  <c r="N16" i="16"/>
  <c r="D52" i="19"/>
  <c r="D54" i="19" s="1"/>
  <c r="N78" i="10"/>
  <c r="N84" i="10" s="1"/>
  <c r="N85" i="10" s="1"/>
  <c r="O13" i="2"/>
  <c r="O21" i="8"/>
  <c r="O14" i="2" s="1"/>
  <c r="N45" i="8"/>
  <c r="N44" i="8"/>
  <c r="N17" i="16" s="1"/>
  <c r="N18" i="16" s="1"/>
  <c r="N33" i="2" s="1"/>
  <c r="F28" i="19" l="1"/>
  <c r="P74" i="10" s="1"/>
  <c r="O61" i="9"/>
  <c r="O48" i="9"/>
  <c r="E49" i="19"/>
  <c r="C179" i="17"/>
  <c r="P7" i="8"/>
  <c r="D210" i="17"/>
  <c r="O7" i="9"/>
  <c r="D207" i="17"/>
  <c r="N28" i="9"/>
  <c r="C207" i="17" l="1"/>
  <c r="E207" i="17" s="1"/>
  <c r="B207" i="17" s="1"/>
  <c r="D55" i="19"/>
  <c r="D56" i="19" s="1"/>
  <c r="N86" i="10"/>
  <c r="O80" i="10"/>
  <c r="N62" i="9"/>
  <c r="N34" i="9"/>
  <c r="N35" i="9" s="1"/>
  <c r="F8" i="19"/>
  <c r="D181" i="17"/>
  <c r="D179" i="17"/>
  <c r="D216" i="17"/>
  <c r="P31" i="14"/>
  <c r="P60" i="11"/>
  <c r="P40" i="11"/>
  <c r="P22" i="11"/>
  <c r="P38" i="12"/>
  <c r="P53" i="9"/>
  <c r="P47" i="9"/>
  <c r="P32" i="9"/>
  <c r="P26" i="9"/>
  <c r="P30" i="10" s="1"/>
  <c r="P20" i="9"/>
  <c r="P17" i="10"/>
  <c r="F44" i="19" s="1"/>
  <c r="P52" i="9"/>
  <c r="P46" i="9"/>
  <c r="P29" i="9"/>
  <c r="P56" i="10" s="1"/>
  <c r="P14" i="8"/>
  <c r="P8" i="8"/>
  <c r="P55" i="9"/>
  <c r="P22" i="9"/>
  <c r="P54" i="9"/>
  <c r="P31" i="9"/>
  <c r="P25" i="9"/>
  <c r="P19" i="9"/>
  <c r="P30" i="9"/>
  <c r="P24" i="9"/>
  <c r="P19" i="8"/>
  <c r="P9" i="8"/>
  <c r="P10" i="8" s="1"/>
  <c r="P44" i="9"/>
  <c r="P27" i="9"/>
  <c r="P31" i="10" s="1"/>
  <c r="P21" i="9"/>
  <c r="P7" i="2"/>
  <c r="P51" i="9"/>
  <c r="P33" i="10" s="1"/>
  <c r="P45" i="9"/>
  <c r="P11" i="12"/>
  <c r="P47" i="11"/>
  <c r="P45" i="11"/>
  <c r="P53" i="11"/>
  <c r="P51" i="11"/>
  <c r="P9" i="12"/>
  <c r="P49" i="11"/>
  <c r="P28" i="12"/>
  <c r="P55" i="11"/>
  <c r="P34" i="12"/>
  <c r="P26" i="12"/>
  <c r="P13" i="12"/>
  <c r="P30" i="12"/>
  <c r="P57" i="11"/>
  <c r="P32" i="12"/>
  <c r="C211" i="17"/>
  <c r="E211" i="17" s="1"/>
  <c r="B211" i="17" s="1"/>
  <c r="O12" i="16"/>
  <c r="E179" i="17"/>
  <c r="B179" i="17" s="1"/>
  <c r="C210" i="17"/>
  <c r="E210" i="17" s="1"/>
  <c r="B210" i="17" s="1"/>
  <c r="O23" i="9"/>
  <c r="P12" i="8" l="1"/>
  <c r="P15" i="8"/>
  <c r="P11" i="8"/>
  <c r="C29" i="17"/>
  <c r="E29" i="17" s="1"/>
  <c r="B29" i="17" s="1"/>
  <c r="N59" i="9"/>
  <c r="N10" i="16"/>
  <c r="N13" i="16" s="1"/>
  <c r="N15" i="16" s="1"/>
  <c r="N32" i="2" s="1"/>
  <c r="N63" i="9"/>
  <c r="N22" i="2" s="1"/>
  <c r="O24" i="8"/>
  <c r="N21" i="2"/>
  <c r="P32" i="10"/>
  <c r="P8" i="2"/>
  <c r="P13" i="13"/>
  <c r="P10" i="13"/>
  <c r="P9" i="13"/>
  <c r="P11" i="13"/>
  <c r="P12" i="13"/>
  <c r="P39" i="12"/>
  <c r="P40" i="12"/>
  <c r="D30" i="17"/>
  <c r="N87" i="10"/>
  <c r="C30" i="17" s="1"/>
  <c r="E30" i="17" s="1"/>
  <c r="B30" i="17" s="1"/>
  <c r="F9" i="19"/>
  <c r="P8" i="10"/>
  <c r="P27" i="10"/>
  <c r="Q29" i="14"/>
  <c r="Q28" i="2" s="1"/>
  <c r="Q16" i="14"/>
  <c r="Q27" i="14"/>
  <c r="Q17" i="14"/>
  <c r="P32" i="14"/>
  <c r="P35" i="10"/>
  <c r="C216" i="17"/>
  <c r="E216" i="17" s="1"/>
  <c r="B216" i="17" s="1"/>
  <c r="P42" i="10"/>
  <c r="P43" i="10"/>
  <c r="P59" i="11"/>
  <c r="F14" i="19"/>
  <c r="F24" i="19"/>
  <c r="F15" i="19"/>
  <c r="F11" i="19" l="1"/>
  <c r="F25" i="19" s="1"/>
  <c r="F12" i="19"/>
  <c r="F20" i="19" s="1"/>
  <c r="F13" i="19"/>
  <c r="C222" i="17" s="1"/>
  <c r="E222" i="17" s="1"/>
  <c r="B222" i="17" s="1"/>
  <c r="F10" i="19"/>
  <c r="Q30" i="14"/>
  <c r="Q19" i="14"/>
  <c r="Q21" i="14" s="1"/>
  <c r="Q29" i="2" s="1"/>
  <c r="F29" i="19"/>
  <c r="F26" i="19"/>
  <c r="F16" i="19"/>
  <c r="P40" i="10"/>
  <c r="O19" i="10"/>
  <c r="O57" i="10"/>
  <c r="O59" i="10" s="1"/>
  <c r="E51" i="19" s="1"/>
  <c r="O27" i="8"/>
  <c r="O29" i="8" s="1"/>
  <c r="P20" i="8"/>
  <c r="P16" i="8"/>
  <c r="P12" i="2" s="1"/>
  <c r="P17" i="8"/>
  <c r="P11" i="2"/>
  <c r="C181" i="17"/>
  <c r="E181" i="17" s="1"/>
  <c r="B181" i="17" s="1"/>
  <c r="P61" i="11"/>
  <c r="P17" i="13"/>
  <c r="P41" i="12"/>
  <c r="P10" i="2" s="1"/>
  <c r="P18" i="13"/>
  <c r="P27" i="2" s="1"/>
  <c r="P9" i="2"/>
  <c r="P22" i="13"/>
  <c r="P19" i="13"/>
  <c r="P12" i="9" l="1"/>
  <c r="O30" i="8"/>
  <c r="O7" i="10"/>
  <c r="O36" i="10" s="1"/>
  <c r="O31" i="8"/>
  <c r="O33" i="8"/>
  <c r="G27" i="19"/>
  <c r="F30" i="19"/>
  <c r="P50" i="9" s="1"/>
  <c r="P56" i="9" s="1"/>
  <c r="D218" i="17"/>
  <c r="C184" i="17"/>
  <c r="Q7" i="8"/>
  <c r="G23" i="19"/>
  <c r="P9" i="9"/>
  <c r="P13" i="2"/>
  <c r="P21" i="8"/>
  <c r="P14" i="2" s="1"/>
  <c r="F17" i="19"/>
  <c r="P8" i="9" s="1"/>
  <c r="O34" i="8" l="1"/>
  <c r="O35" i="8" s="1"/>
  <c r="O37" i="10"/>
  <c r="O32" i="8"/>
  <c r="O38" i="10"/>
  <c r="E184" i="17"/>
  <c r="B184" i="17" s="1"/>
  <c r="F18" i="19"/>
  <c r="F19" i="19" s="1"/>
  <c r="G8" i="19"/>
  <c r="D186" i="17"/>
  <c r="D223" i="17"/>
  <c r="Q31" i="14"/>
  <c r="Q32" i="14" s="1"/>
  <c r="D184" i="17"/>
  <c r="Q60" i="11"/>
  <c r="Q40" i="11"/>
  <c r="Q22" i="11"/>
  <c r="Q38" i="12"/>
  <c r="Q17" i="10"/>
  <c r="G44" i="19" s="1"/>
  <c r="Q54" i="9"/>
  <c r="Q52" i="9"/>
  <c r="Q46" i="9"/>
  <c r="Q44" i="9"/>
  <c r="Q32" i="9"/>
  <c r="Q30" i="9"/>
  <c r="Q32" i="10" s="1"/>
  <c r="Q26" i="9"/>
  <c r="Q30" i="10" s="1"/>
  <c r="Q24" i="9"/>
  <c r="Q22" i="9"/>
  <c r="Q20" i="9"/>
  <c r="Q29" i="9"/>
  <c r="Q56" i="10" s="1"/>
  <c r="Q14" i="8"/>
  <c r="Q8" i="8"/>
  <c r="Q55" i="9"/>
  <c r="Q31" i="9"/>
  <c r="Q25" i="9"/>
  <c r="Q19" i="9"/>
  <c r="Q51" i="9"/>
  <c r="Q33" i="10" s="1"/>
  <c r="Q45" i="9"/>
  <c r="Q19" i="8"/>
  <c r="Q9" i="8"/>
  <c r="Q10" i="8" s="1"/>
  <c r="Q27" i="9"/>
  <c r="Q31" i="10" s="1"/>
  <c r="Q21" i="9"/>
  <c r="Q7" i="2"/>
  <c r="Q53" i="9"/>
  <c r="Q47" i="9"/>
  <c r="Q9" i="12"/>
  <c r="Q51" i="11"/>
  <c r="Q45" i="11"/>
  <c r="Q59" i="11" s="1"/>
  <c r="Q47" i="11"/>
  <c r="Q49" i="11"/>
  <c r="Q11" i="12"/>
  <c r="Q53" i="11"/>
  <c r="Q57" i="11"/>
  <c r="Q13" i="12"/>
  <c r="Q30" i="12"/>
  <c r="Q34" i="12"/>
  <c r="Q26" i="12"/>
  <c r="Q32" i="12"/>
  <c r="Q55" i="11"/>
  <c r="Q28" i="12"/>
  <c r="G28" i="19"/>
  <c r="Q74" i="10" s="1"/>
  <c r="F31" i="19"/>
  <c r="P42" i="9" s="1"/>
  <c r="Q12" i="8" l="1"/>
  <c r="Q15" i="8"/>
  <c r="Q11" i="8"/>
  <c r="E42" i="19"/>
  <c r="O15" i="2"/>
  <c r="O40" i="8"/>
  <c r="O36" i="8"/>
  <c r="O16" i="2" s="1"/>
  <c r="O39" i="8"/>
  <c r="O41" i="8" s="1"/>
  <c r="P61" i="9"/>
  <c r="P48" i="9"/>
  <c r="G9" i="19"/>
  <c r="Q8" i="10"/>
  <c r="G14" i="19"/>
  <c r="G24" i="19"/>
  <c r="G15" i="19"/>
  <c r="Q39" i="12"/>
  <c r="Q40" i="12"/>
  <c r="Q8" i="2"/>
  <c r="Q11" i="13"/>
  <c r="Q13" i="13"/>
  <c r="Q19" i="13" s="1"/>
  <c r="Q12" i="13"/>
  <c r="Q10" i="13"/>
  <c r="Q9" i="13"/>
  <c r="Q27" i="10"/>
  <c r="Q35" i="10"/>
  <c r="C186" i="17"/>
  <c r="E186" i="17" s="1"/>
  <c r="B186" i="17" s="1"/>
  <c r="Q61" i="11"/>
  <c r="C223" i="17"/>
  <c r="E223" i="17" s="1"/>
  <c r="B223" i="17" s="1"/>
  <c r="Q43" i="10"/>
  <c r="Q42" i="10"/>
  <c r="E50" i="19"/>
  <c r="O39" i="10"/>
  <c r="O88" i="10"/>
  <c r="O18" i="2"/>
  <c r="D217" i="17"/>
  <c r="P7" i="9"/>
  <c r="O89" i="10" l="1"/>
  <c r="O20" i="2" s="1"/>
  <c r="O19" i="2"/>
  <c r="E43" i="19"/>
  <c r="O63" i="10" s="1"/>
  <c r="C217" i="17"/>
  <c r="E217" i="17" s="1"/>
  <c r="B217" i="17" s="1"/>
  <c r="P23" i="9"/>
  <c r="C218" i="17"/>
  <c r="E218" i="17" s="1"/>
  <c r="B218" i="17" s="1"/>
  <c r="P12" i="16"/>
  <c r="O7" i="16"/>
  <c r="O17" i="2"/>
  <c r="O42" i="8"/>
  <c r="Q17" i="13"/>
  <c r="Q41" i="12"/>
  <c r="Q10" i="2" s="1"/>
  <c r="Q18" i="13"/>
  <c r="Q27" i="2" s="1"/>
  <c r="Q9" i="2"/>
  <c r="Q22" i="13"/>
  <c r="G29" i="19"/>
  <c r="Q20" i="8"/>
  <c r="Q16" i="8"/>
  <c r="Q12" i="2" s="1"/>
  <c r="Q17" i="8"/>
  <c r="Q11" i="2"/>
  <c r="G11" i="19"/>
  <c r="G25" i="19" s="1"/>
  <c r="G26" i="19" s="1"/>
  <c r="Q9" i="9" s="1"/>
  <c r="G12" i="19"/>
  <c r="G20" i="19" s="1"/>
  <c r="Q12" i="9" s="1"/>
  <c r="G13" i="19"/>
  <c r="C229" i="17" s="1"/>
  <c r="E229" i="17" s="1"/>
  <c r="B229" i="17" s="1"/>
  <c r="G10" i="19"/>
  <c r="G16" i="19"/>
  <c r="Q40" i="10"/>
  <c r="G18" i="19" l="1"/>
  <c r="G19" i="19" s="1"/>
  <c r="G17" i="19"/>
  <c r="Q8" i="9" s="1"/>
  <c r="E46" i="19"/>
  <c r="O21" i="16"/>
  <c r="O9" i="16"/>
  <c r="O20" i="16"/>
  <c r="O14" i="16"/>
  <c r="O31" i="2" s="1"/>
  <c r="O30" i="2"/>
  <c r="O65" i="10"/>
  <c r="O77" i="10"/>
  <c r="G30" i="19"/>
  <c r="Q50" i="9" s="1"/>
  <c r="Q56" i="9" s="1"/>
  <c r="D225" i="17"/>
  <c r="Q21" i="8"/>
  <c r="Q14" i="2" s="1"/>
  <c r="Q13" i="2"/>
  <c r="E52" i="19" l="1"/>
  <c r="E54" i="19" s="1"/>
  <c r="O78" i="10"/>
  <c r="O84" i="10" s="1"/>
  <c r="O85" i="10" s="1"/>
  <c r="O44" i="8"/>
  <c r="O17" i="16" s="1"/>
  <c r="O18" i="16" s="1"/>
  <c r="O33" i="2" s="1"/>
  <c r="O45" i="8"/>
  <c r="F41" i="19"/>
  <c r="D213" i="17"/>
  <c r="O37" i="9"/>
  <c r="G31" i="19"/>
  <c r="Q42" i="9" s="1"/>
  <c r="D224" i="17"/>
  <c r="Q7" i="9"/>
  <c r="D214" i="17" l="1"/>
  <c r="O28" i="9"/>
  <c r="F49" i="19"/>
  <c r="Q61" i="9"/>
  <c r="Q48" i="9"/>
  <c r="C213" i="17"/>
  <c r="E213" i="17" s="1"/>
  <c r="B213" i="17" s="1"/>
  <c r="O38" i="9"/>
  <c r="O40" i="9" s="1"/>
  <c r="C224" i="17"/>
  <c r="E224" i="17" s="1"/>
  <c r="B224" i="17" s="1"/>
  <c r="Q23" i="9"/>
  <c r="O58" i="9" l="1"/>
  <c r="D31" i="17" s="1"/>
  <c r="O16" i="16"/>
  <c r="E55" i="19"/>
  <c r="E56" i="19" s="1"/>
  <c r="C214" i="17"/>
  <c r="E214" i="17" s="1"/>
  <c r="B214" i="17" s="1"/>
  <c r="O86" i="10"/>
  <c r="P80" i="10"/>
  <c r="O34" i="9"/>
  <c r="O35" i="9" s="1"/>
  <c r="O62" i="9"/>
  <c r="C225" i="17"/>
  <c r="E225" i="17" s="1"/>
  <c r="B225" i="17" s="1"/>
  <c r="Q12" i="16"/>
  <c r="D32" i="17" l="1"/>
  <c r="O87" i="10"/>
  <c r="C32" i="17" s="1"/>
  <c r="E32" i="17" s="1"/>
  <c r="B32" i="17" s="1"/>
  <c r="O10" i="16"/>
  <c r="O13" i="16" s="1"/>
  <c r="O15" i="16" s="1"/>
  <c r="O32" i="2" s="1"/>
  <c r="O63" i="9"/>
  <c r="O22" i="2" s="1"/>
  <c r="P24" i="8"/>
  <c r="O21" i="2"/>
  <c r="C31" i="17"/>
  <c r="E31" i="17" s="1"/>
  <c r="B31" i="17" s="1"/>
  <c r="O59" i="9"/>
  <c r="P19" i="10" l="1"/>
  <c r="P57" i="10"/>
  <c r="P59" i="10" s="1"/>
  <c r="F51" i="19" s="1"/>
  <c r="P27" i="8"/>
  <c r="P29" i="8" s="1"/>
  <c r="P30" i="8" l="1"/>
  <c r="P7" i="10"/>
  <c r="P36" i="10" s="1"/>
  <c r="P31" i="8"/>
  <c r="P33" i="8"/>
  <c r="P34" i="8" l="1"/>
  <c r="P35" i="8"/>
  <c r="P32" i="8"/>
  <c r="P37" i="10"/>
  <c r="P38" i="10"/>
  <c r="F50" i="19" l="1"/>
  <c r="P39" i="10"/>
  <c r="P88" i="10"/>
  <c r="P18" i="2"/>
  <c r="F42" i="19"/>
  <c r="P40" i="8"/>
  <c r="P36" i="8"/>
  <c r="P16" i="2" s="1"/>
  <c r="P15" i="2"/>
  <c r="P39" i="8"/>
  <c r="P41" i="8" s="1"/>
  <c r="F43" i="19" l="1"/>
  <c r="P63" i="10" s="1"/>
  <c r="F46" i="19"/>
  <c r="P89" i="10"/>
  <c r="P20" i="2" s="1"/>
  <c r="P19" i="2"/>
  <c r="P7" i="16"/>
  <c r="P42" i="8"/>
  <c r="P17" i="2"/>
  <c r="P9" i="16" l="1"/>
  <c r="P20" i="16"/>
  <c r="P21" i="16"/>
  <c r="P14" i="16"/>
  <c r="P31" i="2" s="1"/>
  <c r="P30" i="2"/>
  <c r="G41" i="19"/>
  <c r="D220" i="17"/>
  <c r="P37" i="9"/>
  <c r="P65" i="10"/>
  <c r="P77" i="10"/>
  <c r="P44" i="8" l="1"/>
  <c r="P17" i="16" s="1"/>
  <c r="P18" i="16" s="1"/>
  <c r="P33" i="2" s="1"/>
  <c r="P45" i="8"/>
  <c r="C220" i="17"/>
  <c r="E220" i="17" s="1"/>
  <c r="B220" i="17" s="1"/>
  <c r="P38" i="9"/>
  <c r="P40" i="9" s="1"/>
  <c r="P58" i="9" s="1"/>
  <c r="D33" i="17" s="1"/>
  <c r="F52" i="19"/>
  <c r="F54" i="19" s="1"/>
  <c r="P78" i="10"/>
  <c r="P84" i="10" s="1"/>
  <c r="P85" i="10" s="1"/>
  <c r="P16" i="16" l="1"/>
  <c r="G49" i="19"/>
  <c r="D221" i="17"/>
  <c r="P28" i="9"/>
  <c r="F55" i="19" l="1"/>
  <c r="F56" i="19" s="1"/>
  <c r="C221" i="17"/>
  <c r="E221" i="17" s="1"/>
  <c r="B221" i="17" s="1"/>
  <c r="Q80" i="10"/>
  <c r="P86" i="10"/>
  <c r="P62" i="9"/>
  <c r="P34" i="9"/>
  <c r="P35" i="9" s="1"/>
  <c r="P10" i="16" l="1"/>
  <c r="P13" i="16" s="1"/>
  <c r="P15" i="16" s="1"/>
  <c r="P32" i="2" s="1"/>
  <c r="Q24" i="8"/>
  <c r="P63" i="9"/>
  <c r="P22" i="2" s="1"/>
  <c r="P21" i="2"/>
  <c r="D34" i="17"/>
  <c r="P87" i="10"/>
  <c r="C34" i="17" s="1"/>
  <c r="E34" i="17" s="1"/>
  <c r="B34" i="17" s="1"/>
  <c r="C33" i="17"/>
  <c r="E33" i="17" s="1"/>
  <c r="B33" i="17" s="1"/>
  <c r="P59" i="9"/>
  <c r="Q57" i="10" l="1"/>
  <c r="Q59" i="10" s="1"/>
  <c r="G51" i="19" s="1"/>
  <c r="Q19" i="10"/>
  <c r="Q27" i="8"/>
  <c r="Q29" i="8" s="1"/>
  <c r="Q7" i="10" l="1"/>
  <c r="Q36" i="10" s="1"/>
  <c r="Q30" i="8"/>
  <c r="Q31" i="8"/>
  <c r="Q37" i="10" l="1"/>
  <c r="Q32" i="8"/>
  <c r="Q33" i="8"/>
  <c r="Q38" i="10"/>
  <c r="G50" i="19" l="1"/>
  <c r="Q88" i="10"/>
  <c r="Q18" i="2"/>
  <c r="Q34" i="8"/>
  <c r="Q35" i="8" s="1"/>
  <c r="G42" i="19" l="1"/>
  <c r="Q40" i="8"/>
  <c r="Q36" i="8"/>
  <c r="Q16" i="2" s="1"/>
  <c r="Q39" i="8"/>
  <c r="Q41" i="8" s="1"/>
  <c r="Q15" i="2"/>
  <c r="Q39" i="10"/>
  <c r="Q89" i="10"/>
  <c r="Q20" i="2" s="1"/>
  <c r="Q19" i="2"/>
  <c r="Q7" i="16" l="1"/>
  <c r="Q42" i="8"/>
  <c r="Q17" i="2"/>
  <c r="G43" i="19"/>
  <c r="Q63" i="10" s="1"/>
  <c r="G46" i="19" l="1"/>
  <c r="Q65" i="10"/>
  <c r="Q77" i="10"/>
  <c r="Q20" i="16"/>
  <c r="Q14" i="16"/>
  <c r="Q31" i="2" s="1"/>
  <c r="Q9" i="16"/>
  <c r="Q21" i="16"/>
  <c r="Q30" i="2"/>
  <c r="Q44" i="8" l="1"/>
  <c r="Q17" i="16" s="1"/>
  <c r="Q18" i="16" s="1"/>
  <c r="Q33" i="2" s="1"/>
  <c r="Q45" i="8"/>
  <c r="G52" i="19"/>
  <c r="G54" i="19" s="1"/>
  <c r="Q78" i="10"/>
  <c r="Q84" i="10" s="1"/>
  <c r="Q85" i="10" s="1"/>
  <c r="D227" i="17"/>
  <c r="Q37" i="9"/>
  <c r="D228" i="17" l="1"/>
  <c r="Q28" i="9"/>
  <c r="C227" i="17"/>
  <c r="E227" i="17" s="1"/>
  <c r="B227" i="17" s="1"/>
  <c r="Q38" i="9"/>
  <c r="Q40" i="9" s="1"/>
  <c r="Q58" i="9" l="1"/>
  <c r="D35" i="17" s="1"/>
  <c r="Q16" i="16"/>
  <c r="C228" i="17"/>
  <c r="E228" i="17" s="1"/>
  <c r="B228" i="17" s="1"/>
  <c r="G55" i="19"/>
  <c r="G56" i="19" s="1"/>
  <c r="Q86" i="10"/>
  <c r="Q34" i="9"/>
  <c r="Q35" i="9" s="1"/>
  <c r="Q62" i="9"/>
  <c r="D36" i="17" l="1"/>
  <c r="Q87" i="10"/>
  <c r="C36" i="17" s="1"/>
  <c r="E36" i="17" s="1"/>
  <c r="B36" i="17" s="1"/>
  <c r="C35" i="17"/>
  <c r="E35" i="17" s="1"/>
  <c r="B35" i="17" s="1"/>
  <c r="B6" i="17" s="1"/>
  <c r="B16" i="1" s="1"/>
  <c r="Q59" i="9"/>
  <c r="Q10" i="16"/>
  <c r="Q13" i="16" s="1"/>
  <c r="Q15" i="16" s="1"/>
  <c r="Q32" i="2" s="1"/>
  <c r="Q63" i="9"/>
  <c r="Q22" i="2" s="1"/>
  <c r="Q21" i="2"/>
</calcChain>
</file>

<file path=xl/sharedStrings.xml><?xml version="1.0" encoding="utf-8"?>
<sst xmlns="http://schemas.openxmlformats.org/spreadsheetml/2006/main" count="10273" uniqueCount="3563">
  <si>
    <t>Tech Mahindra Integrated Financial Model</t>
  </si>
  <si>
    <t>Fresh official-source build | Quarterly P&amp;L FY16–FY26 | Annual three statements FY16–FY30E | INR crore unless stated</t>
  </si>
  <si>
    <t>Operating model, cash-anchored three statements, client mining, TCV, AI revenue bridge and valuation</t>
  </si>
  <si>
    <t>Model scope</t>
  </si>
  <si>
    <t>Quarterly P&amp;L only; annual P&amp;L, balance sheet and detailed cash flow</t>
  </si>
  <si>
    <t>Historical period</t>
  </si>
  <si>
    <t>FY16–FY26</t>
  </si>
  <si>
    <t>Forecast period</t>
  </si>
  <si>
    <t>Quarterly P&amp;L FY16–Q1 FY27; annual P&amp;L, balance sheet and detailed cash flow FY16–FY30E</t>
  </si>
  <si>
    <t>Primary source</t>
  </si>
  <si>
    <t>Tech Mahindra Q4 FY26 official data sheet, with cached reported values from the company workbook</t>
  </si>
  <si>
    <t>Cash policy</t>
  </si>
  <si>
    <t>Historical CFS ending cash is reconciled explicitly to reported balance-sheet cash; forecast cash is formula-linked across statements</t>
  </si>
  <si>
    <t>Forecast revenue</t>
  </si>
  <si>
    <t>Retained base + billable-capacity expansion − T&amp;M AI deflation + deal realization + client mining + AI uplift</t>
  </si>
  <si>
    <t>AI disclosure policy</t>
  </si>
  <si>
    <t>No historical AI revenue is hardcoded because Tech Mahindra did not carve it out in the source data sheet; forecast uplift is an editable assumption</t>
  </si>
  <si>
    <t>Industry classifications</t>
  </si>
  <si>
    <t>Legacy, FY22–FY23 recast and current FY24+ classifications remain separate; classifications are not blended</t>
  </si>
  <si>
    <t>Client policy</t>
  </si>
  <si>
    <t>Discontinued / unavailable fields remain blank; revenue per client is calculated only on a clearly labelled proxy basis</t>
  </si>
  <si>
    <t>Formatting</t>
  </si>
  <si>
    <t>Forecast balance sheet rebuilt with explicit asset, working-capital, debt, lease, equity and cash roll-forwards; no circular references</t>
  </si>
  <si>
    <t>Model status</t>
  </si>
  <si>
    <t>Tech Mahindra Summary</t>
  </si>
  <si>
    <t>Annual investment summary through FY26A; Q1 FY27A detail is on the update tab; forecast balance sheet and cash flow use one-way, no-plug schedules</t>
  </si>
  <si>
    <t>Metric</t>
  </si>
  <si>
    <t>Units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</si>
  <si>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</si>
  <si>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</si>
  <si>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</si>
  <si>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</si>
  <si>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</si>
  <si>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</si>
  <si>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</si>
  <si>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</si>
  <si>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</si>
  <si>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</si>
  <si>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</si>
  <si>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</si>
  <si>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</si>
  <si>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</si>
  <si>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</si>
  <si>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Revenue</t>
  </si>
  <si>
    <t>₹ cr</t>
  </si>
  <si>
    <t>Revenue growth</t>
  </si>
  <si>
    <t>%</t>
  </si>
  <si>
    <t>USD revenue</t>
  </si>
  <si>
    <t>$m</t>
  </si>
  <si>
    <t>USD revenue growth</t>
  </si>
  <si>
    <t>EBITDA</t>
  </si>
  <si>
    <t>EBITDA margin</t>
  </si>
  <si>
    <t>EBIT</t>
  </si>
  <si>
    <t>EBIT margin</t>
  </si>
  <si>
    <t>Net income</t>
  </si>
  <si>
    <t>Net margin</t>
  </si>
  <si>
    <t>Diluted EPS</t>
  </si>
  <si>
    <t>₹ / share</t>
  </si>
  <si>
    <t>CFO</t>
  </si>
  <si>
    <t>FCF</t>
  </si>
  <si>
    <t>FCF / net income</t>
  </si>
  <si>
    <t>Cash + investments</t>
  </si>
  <si>
    <t>Net cash / (debt)</t>
  </si>
  <si>
    <t>Total headcount</t>
  </si>
  <si>
    <t>#</t>
  </si>
  <si>
    <t>Implied billable IT FTE</t>
  </si>
  <si>
    <t>LTM attrition</t>
  </si>
  <si>
    <t>TCV</t>
  </si>
  <si>
    <t>Revenue / $1m+ client proxy</t>
  </si>
  <si>
    <t>AI uplift</t>
  </si>
  <si>
    <t>AI deflation drag</t>
  </si>
  <si>
    <t>Share price / implied target</t>
  </si>
  <si>
    <t>P/E</t>
  </si>
  <si>
    <t>x</t>
  </si>
  <si>
    <t>EV / EBITDA</t>
  </si>
  <si>
    <t>Dividend yield</t>
  </si>
  <si>
    <t>Sources &amp; Data Conventions</t>
  </si>
  <si>
    <t>Official source register, including the Q1 FY27 Tech Mahindra data sheet used for the latest-quarter update</t>
  </si>
  <si>
    <t>ID</t>
  </si>
  <si>
    <t>Data / Period</t>
  </si>
  <si>
    <t>Use in model</t>
  </si>
  <si>
    <t>Status</t>
  </si>
  <si>
    <t>Notes</t>
  </si>
  <si>
    <t>S1</t>
  </si>
  <si>
    <t>FY16–FY26 data sheet</t>
  </si>
  <si>
    <t>₹ mn / $m / % / #</t>
  </si>
  <si>
    <t>https://insights.techmahindra.com/investors/tml-q4-fy-26-datasheet.xlsx</t>
  </si>
  <si>
    <t>Quarterly P&amp;L, annual BS/CFS and operating metrics</t>
  </si>
  <si>
    <t>Loaded</t>
  </si>
  <si>
    <t>Official company file; cached values used for external-link cells</t>
  </si>
  <si>
    <t>S2</t>
  </si>
  <si>
    <t>Quarterly earnings archive</t>
  </si>
  <si>
    <t>mixed</t>
  </si>
  <si>
    <t>https://www.techmahindra.com/investors/quarterly-earnings/</t>
  </si>
  <si>
    <t>Cross-checks and disclosure definitions</t>
  </si>
  <si>
    <t>Referenced</t>
  </si>
  <si>
    <t>Company investor archive</t>
  </si>
  <si>
    <t>S3</t>
  </si>
  <si>
    <t>FY26 Q4 earnings presentation</t>
  </si>
  <si>
    <t>https://insights.techmahindra.com/investors/tml-q4-fy-26-earnings-presentation.pdf</t>
  </si>
  <si>
    <t>FY26 strategy and operating context</t>
  </si>
  <si>
    <t>No historical AI revenue hardcoded unless explicitly disclosed</t>
  </si>
  <si>
    <t>S4</t>
  </si>
  <si>
    <t>Annual reports archive</t>
  </si>
  <si>
    <t>₹ mn</t>
  </si>
  <si>
    <t>https://www.techmahindra.com/investors/annual-reports-filings/?report-section=tech-mahindra</t>
  </si>
  <si>
    <t>Accounting policy and annual cross-checks</t>
  </si>
  <si>
    <t>Official annual reports</t>
  </si>
  <si>
    <t>S5</t>
  </si>
  <si>
    <t>TECHM.NS daily prices</t>
  </si>
  <si>
    <t>https://query1.finance.yahoo.com/v8/finance/chart/TECHM.NS</t>
  </si>
  <si>
    <t>Historical price tab and FY-end prices</t>
  </si>
  <si>
    <t>Market price source only; valuation formulas are model calculations</t>
  </si>
  <si>
    <t>S6</t>
  </si>
  <si>
    <t>Official FY26 data sheet — Operating Metrics</t>
  </si>
  <si>
    <t>Industry revenue tabs</t>
  </si>
  <si>
    <t>Legacy, FY22–23 recast and FY24+ current classifications kept separate</t>
  </si>
  <si>
    <t>S7</t>
  </si>
  <si>
    <t>Cash-flow dividends</t>
  </si>
  <si>
    <t>Official FY26 data sheet — Cash Flow rows 77 and 81</t>
  </si>
  <si>
    <t>Dividend paid and payout calculations</t>
  </si>
  <si>
    <t>Both reported dividend rows retained separately; total dividend is their sum</t>
  </si>
  <si>
    <t>S8</t>
  </si>
  <si>
    <t>Unavailable disclosures</t>
  </si>
  <si>
    <t>n/a</t>
  </si>
  <si>
    <t>Blanks retained</t>
  </si>
  <si>
    <t>Policy</t>
  </si>
  <si>
    <t>No unreported historical T&amp;M mix or historical AI revenue is invented</t>
  </si>
  <si>
    <t>S9</t>
  </si>
  <si>
    <t>Q1 FY27 data sheet</t>
  </si>
  <si>
    <t>https://insights.techmahindra.com/investors/tml-q1-fy-27-datasheet.xlsx</t>
  </si>
  <si>
    <t>Q1 FY27 P&amp;L, operating metrics, liquidity and cash-flow snapshot</t>
  </si>
  <si>
    <t>Official company data sheet; Q1 values converted from ₹ million to ₹ crore where applicable</t>
  </si>
  <si>
    <t>Forecast Assumptions</t>
  </si>
  <si>
    <t>Blue text on yellow = editable input; balance-sheet forecasts use explicit drivers and cash is calculated from the cash-flow statement</t>
  </si>
  <si>
    <t>Driver</t>
  </si>
  <si>
    <t>Rationale / anchor</t>
  </si>
  <si>
    <t>Total headcount growth</t>
  </si>
  <si>
    <t>Software professional share</t>
  </si>
  <si>
    <t>Utilization / billable rate</t>
  </si>
  <si>
    <t>Revenue per billable FTE pricing / productivity</t>
  </si>
  <si>
    <t>Billable capacity revenue realization</t>
  </si>
  <si>
    <t>Core revenue retention</t>
  </si>
  <si>
    <t>T&amp;M mix</t>
  </si>
  <si>
    <t>AI deflation on T&amp;M revenue</t>
  </si>
  <si>
    <t>TCV growth</t>
  </si>
  <si>
    <t>TCV current-year revenue realization</t>
  </si>
  <si>
    <t>AI revenue uplift / prior-year revenue</t>
  </si>
  <si>
    <t>Client-mining uplift / prior-year revenue</t>
  </si>
  <si>
    <t>USD / INR average</t>
  </si>
  <si>
    <t>₹ / $</t>
  </si>
  <si>
    <t>Gross margin</t>
  </si>
  <si>
    <t>SG&amp;A / revenue</t>
  </si>
  <si>
    <t>D&amp;A / revenue</t>
  </si>
  <si>
    <t>Goodwill / non-current impairment</t>
  </si>
  <si>
    <t>Other income yield on avg. cash + investments</t>
  </si>
  <si>
    <t>Finance cost rate on avg. borrowings</t>
  </si>
  <si>
    <t>Effective tax rate</t>
  </si>
  <si>
    <t>NCI / PAT before NCI</t>
  </si>
  <si>
    <t>Billed receivable days</t>
  </si>
  <si>
    <t>days</t>
  </si>
  <si>
    <t>Unbilled receivable days</t>
  </si>
  <si>
    <t>Other current financial assets / revenue</t>
  </si>
  <si>
    <t>Other current assets / revenue</t>
  </si>
  <si>
    <t>Minimum operating cash / revenue</t>
  </si>
  <si>
    <t>Other non-current assets / revenue</t>
  </si>
  <si>
    <t>Current operating liabilities / revenue</t>
  </si>
  <si>
    <t>Other non-current liabilities / revenue</t>
  </si>
  <si>
    <t>Reset from 5%+ of revenue; FY26 reported other non-current liabilities were immaterial.</t>
  </si>
  <si>
    <t>Capex / revenue</t>
  </si>
  <si>
    <t>ROU additions / revenue</t>
  </si>
  <si>
    <t>ROU additions calibrated to keep ROU assets and lease liabilities broadly stable relative to revenue.</t>
  </si>
  <si>
    <t>Lease principal / opening lease liability</t>
  </si>
  <si>
    <t>Lease principal as a percentage of opening total lease liabilities.</t>
  </si>
  <si>
    <t>Acquisitions / business payments</t>
  </si>
  <si>
    <t>Net borrowing change</t>
  </si>
  <si>
    <t>Current debt share</t>
  </si>
  <si>
    <t>Dividend payout</t>
  </si>
  <si>
    <t>Other comprehensive income / reserves</t>
  </si>
  <si>
    <t>Diluted share count change</t>
  </si>
  <si>
    <t>Target P/E</t>
  </si>
  <si>
    <t>Current lease liability share</t>
  </si>
  <si>
    <t>Current tax liabilities / revenue</t>
  </si>
  <si>
    <t>Trade payables / revenue</t>
  </si>
  <si>
    <t>Current provisions / revenue</t>
  </si>
  <si>
    <t>Other current liabilities / revenue</t>
  </si>
  <si>
    <t>Other current financial liabilities / revenue</t>
  </si>
  <si>
    <t>Share-based compensation / revenue</t>
  </si>
  <si>
    <t>Balance-sheet and cash-flow forecast drivers</t>
  </si>
  <si>
    <t>D&amp;A allocation — PPE</t>
  </si>
  <si>
    <t>Explicit allocation; forecast D&amp;A allocations sum to 100%.</t>
  </si>
  <si>
    <t>D&amp;A allocation — ROU assets</t>
  </si>
  <si>
    <t>Explicit allocation; used in the ROU asset roll-forward.</t>
  </si>
  <si>
    <t>D&amp;A allocation — intangibles</t>
  </si>
  <si>
    <t>Explicit allocation; used in the intangible asset roll-forward.</t>
  </si>
  <si>
    <t>Intangible additions / revenue</t>
  </si>
  <si>
    <t>Included within total capex; prevents unsupported hardcoded intangible balances.</t>
  </si>
  <si>
    <t>Closing CWIP / tangible capex</t>
  </si>
  <si>
    <t>Anchored to FY26 CWIP as a share of annual capex.</t>
  </si>
  <si>
    <t>Inventories / revenue</t>
  </si>
  <si>
    <t>Anchored to the FY26 reported ratio.</t>
  </si>
  <si>
    <t>Current investments / revenue</t>
  </si>
  <si>
    <t>Explicit liquidity allocation; replaces the former balance-sheet plug.</t>
  </si>
  <si>
    <t>Other bank balances / revenue</t>
  </si>
  <si>
    <t>Other tax assets / revenue</t>
  </si>
  <si>
    <t>Gradual normalization from the FY26 reported ratio.</t>
  </si>
  <si>
    <t>Deferred tax assets / revenue</t>
  </si>
  <si>
    <t>Other non-current financial assets / revenue</t>
  </si>
  <si>
    <t>Non-current provisions / revenue</t>
  </si>
  <si>
    <t>Deferred tax liabilities / revenue</t>
  </si>
  <si>
    <t>Current loans / revenue</t>
  </si>
  <si>
    <t>No current loans assumed unless separately disclosed.</t>
  </si>
  <si>
    <t>Other non-current financial liabilities / revenue</t>
  </si>
  <si>
    <t>Raw Reported Financials — Source Layer</t>
  </si>
  <si>
    <t>Official Tech Mahindra reported inputs only; quarterly P&amp;L updated through Q1 FY27A; annual statements remain FY16–FY30E</t>
  </si>
  <si>
    <t>Annual reported P&amp;L (INR crore unless stated)</t>
  </si>
  <si>
    <t>Cost of services</t>
  </si>
  <si>
    <t>Gross profit</t>
  </si>
  <si>
    <t>SG&amp;A</t>
  </si>
  <si>
    <t>D&amp;A</t>
  </si>
  <si>
    <t>Impairment</t>
  </si>
  <si>
    <t>Other income total</t>
  </si>
  <si>
    <t>FX gain / (loss)</t>
  </si>
  <si>
    <t>Interest, dividend &amp; miscellaneous income</t>
  </si>
  <si>
    <t>Interest expense</t>
  </si>
  <si>
    <t>Share of associate</t>
  </si>
  <si>
    <t>PBT before exceptional</t>
  </si>
  <si>
    <t>Exceptional item</t>
  </si>
  <si>
    <t>PBT</t>
  </si>
  <si>
    <t>Tax</t>
  </si>
  <si>
    <t>PAT before NCI</t>
  </si>
  <si>
    <t>NCI / minority interest</t>
  </si>
  <si>
    <t>Net income attributable</t>
  </si>
  <si>
    <t>Reported basic EPS</t>
  </si>
  <si>
    <t>Reported diluted EPS</t>
  </si>
  <si>
    <t>Quarterly reported P&amp;L (INR crore unless stated)</t>
  </si>
  <si>
    <t>Q1 FY16A</t>
  </si>
  <si>
    <t>Q2 FY16A</t>
  </si>
  <si>
    <t>Q3 FY16A</t>
  </si>
  <si>
    <t>Q4 FY16A</t>
  </si>
  <si>
    <t>Q1 FY17A</t>
  </si>
  <si>
    <t>Q2 FY17A</t>
  </si>
  <si>
    <t>Q3 FY17A</t>
  </si>
  <si>
    <t>Q4 FY17A</t>
  </si>
  <si>
    <t>Q1 FY18A</t>
  </si>
  <si>
    <t>Q2 FY18A</t>
  </si>
  <si>
    <t>Q3 FY18A</t>
  </si>
  <si>
    <t>Q4 FY18A</t>
  </si>
  <si>
    <t>Q1 FY19A</t>
  </si>
  <si>
    <t>Q2 FY19A</t>
  </si>
  <si>
    <t>Q3 FY19A</t>
  </si>
  <si>
    <t>Q4 FY19A</t>
  </si>
  <si>
    <t>Q1 FY20A</t>
  </si>
  <si>
    <t>Q2 FY20A</t>
  </si>
  <si>
    <t>Q3 FY20A</t>
  </si>
  <si>
    <t>Q4 FY20A</t>
  </si>
  <si>
    <t>Q1 FY21A</t>
  </si>
  <si>
    <t>Q2 FY21A</t>
  </si>
  <si>
    <t>Q3 FY21A</t>
  </si>
  <si>
    <t>Q4 FY21A</t>
  </si>
  <si>
    <t>Q1 FY22A</t>
  </si>
  <si>
    <t>Q2 FY22A</t>
  </si>
  <si>
    <t>Q3 FY22A</t>
  </si>
  <si>
    <t>Q4 FY22A</t>
  </si>
  <si>
    <t>Q1 FY23A</t>
  </si>
  <si>
    <t>Q2 FY23A</t>
  </si>
  <si>
    <t>Q3 FY23A</t>
  </si>
  <si>
    <t>Q4 FY23A</t>
  </si>
  <si>
    <t>Q1 FY24A</t>
  </si>
  <si>
    <t>Q2 FY24A</t>
  </si>
  <si>
    <t>Q3 FY24A</t>
  </si>
  <si>
    <t>Q4 FY24A</t>
  </si>
  <si>
    <t>Q1 FY25A</t>
  </si>
  <si>
    <t>Q2 FY25A</t>
  </si>
  <si>
    <t>Q3 FY25A</t>
  </si>
  <si>
    <t>Q4 FY25A</t>
  </si>
  <si>
    <t>Q1 FY26A</t>
  </si>
  <si>
    <t>Q2 FY26A</t>
  </si>
  <si>
    <t>Q3 FY26A</t>
  </si>
  <si>
    <t>Q4 FY26A</t>
  </si>
  <si>
    <t>Q1 FY27A</t>
  </si>
  <si>
    <t>Annual reported balance sheet (INR crore)</t>
  </si>
  <si>
    <t>PPE</t>
  </si>
  <si>
    <t>Capital work-in-progress</t>
  </si>
  <si>
    <t>ROU assets</t>
  </si>
  <si>
    <t>Investment property</t>
  </si>
  <si>
    <t>Goodwill</t>
  </si>
  <si>
    <t>Other intangible assets</t>
  </si>
  <si>
    <t>Intangible assets under development</t>
  </si>
  <si>
    <t>Equity-method investments</t>
  </si>
  <si>
    <t>Non-current investments</t>
  </si>
  <si>
    <t>Non-current billed receivables</t>
  </si>
  <si>
    <t>Non-current unbilled receivables</t>
  </si>
  <si>
    <t>Non-current loans</t>
  </si>
  <si>
    <t>Other non-current financial assets</t>
  </si>
  <si>
    <t>Other tax assets</t>
  </si>
  <si>
    <t>Deferred tax assets</t>
  </si>
  <si>
    <t>Other non-current assets</t>
  </si>
  <si>
    <t>Total non-current assets</t>
  </si>
  <si>
    <t>Inventories</t>
  </si>
  <si>
    <t>Current investments</t>
  </si>
  <si>
    <t>Billed receivables</t>
  </si>
  <si>
    <t>Unbilled receivables</t>
  </si>
  <si>
    <t>Cash and cash equivalents</t>
  </si>
  <si>
    <t>Other bank balances</t>
  </si>
  <si>
    <t>Current loans</t>
  </si>
  <si>
    <t>Other current financial assets</t>
  </si>
  <si>
    <t>Other current assets</t>
  </si>
  <si>
    <t>Assets held for sale</t>
  </si>
  <si>
    <t>Total current assets</t>
  </si>
  <si>
    <t>Total assets</t>
  </si>
  <si>
    <t>Share capital</t>
  </si>
  <si>
    <t>Other equity</t>
  </si>
  <si>
    <t>Equity attributable to owners</t>
  </si>
  <si>
    <t>NCI</t>
  </si>
  <si>
    <t>Total equity</t>
  </si>
  <si>
    <t>Long-term borrowings</t>
  </si>
  <si>
    <t>Non-current lease liabilities</t>
  </si>
  <si>
    <t>Non-current trade payables</t>
  </si>
  <si>
    <t>Other non-current financial liabilities</t>
  </si>
  <si>
    <t>Non-current provisions</t>
  </si>
  <si>
    <t>Deferred tax liabilities</t>
  </si>
  <si>
    <t>Other non-current liabilities</t>
  </si>
  <si>
    <t>Total non-current liabilities</t>
  </si>
  <si>
    <t>Short-term borrowings</t>
  </si>
  <si>
    <t>Current lease liabilities</t>
  </si>
  <si>
    <t>Trade payables</t>
  </si>
  <si>
    <t>Other current financial liabilities</t>
  </si>
  <si>
    <t>Current provisions</t>
  </si>
  <si>
    <t>Current tax liabilities</t>
  </si>
  <si>
    <t>Other current liabilities</t>
  </si>
  <si>
    <t>Total current liabilities</t>
  </si>
  <si>
    <t>Suspense account</t>
  </si>
  <si>
    <t>Total liabilities &amp; equity</t>
  </si>
  <si>
    <t>Annual reported cash flow (INR crore)</t>
  </si>
  <si>
    <t>Profit before tax</t>
  </si>
  <si>
    <t>Amortization of deferred revenue</t>
  </si>
  <si>
    <t>Bad debts / allowance</t>
  </si>
  <si>
    <t>Impairment reversal</t>
  </si>
  <si>
    <t>Claims &amp; warranties</t>
  </si>
  <si>
    <t>Associate adjustment</t>
  </si>
  <si>
    <t>Gain on disposal of PPE</t>
  </si>
  <si>
    <t>Finance costs</t>
  </si>
  <si>
    <t>Onerous contracts</t>
  </si>
  <si>
    <t>Unrealized FX</t>
  </si>
  <si>
    <t>Share-based payments</t>
  </si>
  <si>
    <t>Provision writeback</t>
  </si>
  <si>
    <t>Sundry balances writeback</t>
  </si>
  <si>
    <t>Interest income adjustment</t>
  </si>
  <si>
    <t>Rental income adjustment</t>
  </si>
  <si>
    <t>Dividend income adjustment</t>
  </si>
  <si>
    <t>Investment gain adjustment</t>
  </si>
  <si>
    <t>Property gain adjustment</t>
  </si>
  <si>
    <t>Goodwill impairment</t>
  </si>
  <si>
    <t>Contractual obligation FV</t>
  </si>
  <si>
    <t>Gain on sale of subsidiary</t>
  </si>
  <si>
    <t>Investment FV adjustment</t>
  </si>
  <si>
    <t>Impairment of non-current assets</t>
  </si>
  <si>
    <t>Profit on sale of investments</t>
  </si>
  <si>
    <t>Profit on sale of subsidiary</t>
  </si>
  <si>
    <t>Diminution of associate investment</t>
  </si>
  <si>
    <t>WC: receivables &amp; other assets — legacy</t>
  </si>
  <si>
    <t>WC: payables, liabilities &amp; provisions — legacy</t>
  </si>
  <si>
    <t>WC: trade receivables / contract assets</t>
  </si>
  <si>
    <t>WC: unbilled revenue / contract assets</t>
  </si>
  <si>
    <t>WC: other financial assets / other assets</t>
  </si>
  <si>
    <t>WC: trade payables</t>
  </si>
  <si>
    <t>WC: deferred revenue</t>
  </si>
  <si>
    <t>WC: other liabilities / provisions</t>
  </si>
  <si>
    <t>Cash generated before tax</t>
  </si>
  <si>
    <t>Tax paid</t>
  </si>
  <si>
    <t>Cash flow from operations</t>
  </si>
  <si>
    <t>Capex</t>
  </si>
  <si>
    <t>Proceeds from PPE sale</t>
  </si>
  <si>
    <t>Purchase of investments</t>
  </si>
  <si>
    <t>Sale / redemption of investments</t>
  </si>
  <si>
    <t>Purchase of treasury bonds</t>
  </si>
  <si>
    <t>Maturity of treasury bonds</t>
  </si>
  <si>
    <t>Dividend received</t>
  </si>
  <si>
    <t>Purchase of market-linked debentures</t>
  </si>
  <si>
    <t>Acquisition of company</t>
  </si>
  <si>
    <t>Sale of market-linked debentures</t>
  </si>
  <si>
    <t>Sale of subsidiary</t>
  </si>
  <si>
    <t>Contingent consideration</t>
  </si>
  <si>
    <t>Investment in associates</t>
  </si>
  <si>
    <t>Repatriation on liquidation</t>
  </si>
  <si>
    <t>Business acquisition payments</t>
  </si>
  <si>
    <t>Rental income received</t>
  </si>
  <si>
    <t>Advance towards investments</t>
  </si>
  <si>
    <t>Inter-corporate deposits given</t>
  </si>
  <si>
    <t>Inter-corporate deposits repaid</t>
  </si>
  <si>
    <t>Purchase-price adjustment</t>
  </si>
  <si>
    <t>Deposits placed / margin money</t>
  </si>
  <si>
    <t>Deposits realized / margin money</t>
  </si>
  <si>
    <t>Interest received</t>
  </si>
  <si>
    <t>Cash flow from investing</t>
  </si>
  <si>
    <t>Equity issuance</t>
  </si>
  <si>
    <t>Dividend paid — line 1</t>
  </si>
  <si>
    <t>Acquisition of NCI</t>
  </si>
  <si>
    <t>Related-party loan repayment</t>
  </si>
  <si>
    <t>Dividend paid — line 2</t>
  </si>
  <si>
    <t>Buyback deposits</t>
  </si>
  <si>
    <t>NCI transaction</t>
  </si>
  <si>
    <t>Buyback</t>
  </si>
  <si>
    <t>Proceeds from long-term borrowings</t>
  </si>
  <si>
    <t>Repayment of long-term borrowings</t>
  </si>
  <si>
    <t>Net change in short-term borrowings</t>
  </si>
  <si>
    <t>Additional investment in subsidiaries</t>
  </si>
  <si>
    <t>Repayment of short-term borrowings</t>
  </si>
  <si>
    <t>Finance costs paid</t>
  </si>
  <si>
    <t>Lease principal paid</t>
  </si>
  <si>
    <t>Share application money from NCI</t>
  </si>
  <si>
    <t>Cash flow from financing</t>
  </si>
  <si>
    <t>Net cash before FX</t>
  </si>
  <si>
    <t>FX effect on cash</t>
  </si>
  <si>
    <t>Opening cash</t>
  </si>
  <si>
    <t>Cash acquired</t>
  </si>
  <si>
    <t>Cash disposed</t>
  </si>
  <si>
    <t>Other acquisition cash</t>
  </si>
  <si>
    <t>Closing cash per CFS</t>
  </si>
  <si>
    <t>Raw Reported Operating Metrics</t>
  </si>
  <si>
    <t>Reported annual / Q4 snapshot inputs from the official Tech Mahindra data sheet</t>
  </si>
  <si>
    <t>Software professionals</t>
  </si>
  <si>
    <t>BPS professionals</t>
  </si>
  <si>
    <t>Sales &amp; support</t>
  </si>
  <si>
    <t>IT utilization</t>
  </si>
  <si>
    <t>IT utilization excl. trainees</t>
  </si>
  <si>
    <t>Active clients</t>
  </si>
  <si>
    <t>Repeat business</t>
  </si>
  <si>
    <t>$1m+ clients</t>
  </si>
  <si>
    <t>$5m+ clients</t>
  </si>
  <si>
    <t>$10m+ clients</t>
  </si>
  <si>
    <t>$20m+ clients</t>
  </si>
  <si>
    <t>$50m+ clients</t>
  </si>
  <si>
    <t>Top 5 client concentration</t>
  </si>
  <si>
    <t>Top 10 client concentration</t>
  </si>
  <si>
    <t>Top 20 client concentration</t>
  </si>
  <si>
    <t>DSO incl. unbilled</t>
  </si>
  <si>
    <t>Average INR / USD</t>
  </si>
  <si>
    <t>Closing INR / USD</t>
  </si>
  <si>
    <t>Free cash flow</t>
  </si>
  <si>
    <t>FCF / PAT</t>
  </si>
  <si>
    <t>Onsite revenue mix</t>
  </si>
  <si>
    <t>Offshore revenue mix</t>
  </si>
  <si>
    <t>Onsite IT headcount mix</t>
  </si>
  <si>
    <t>Offshore IT headcount mix</t>
  </si>
  <si>
    <t>USD revenue mix</t>
  </si>
  <si>
    <t>GBP revenue mix</t>
  </si>
  <si>
    <t>EUR revenue mix</t>
  </si>
  <si>
    <t>AUD revenue mix</t>
  </si>
  <si>
    <t>Other currency revenue mix</t>
  </si>
  <si>
    <t>Americas mix</t>
  </si>
  <si>
    <t>Europe mix</t>
  </si>
  <si>
    <t>Rest of world mix</t>
  </si>
  <si>
    <t>Legacy: Communications</t>
  </si>
  <si>
    <t>Legacy: Manufacturing</t>
  </si>
  <si>
    <t>Legacy: Technology, Media &amp; Entertainment</t>
  </si>
  <si>
    <t>Legacy: BFSI</t>
  </si>
  <si>
    <t>Legacy: Retail, Transport &amp; Logistics</t>
  </si>
  <si>
    <t>Legacy: Others</t>
  </si>
  <si>
    <t>FY22–23 recast: CME</t>
  </si>
  <si>
    <t>FY22–23 recast: Manufacturing</t>
  </si>
  <si>
    <t>FY22–23 recast: Technology</t>
  </si>
  <si>
    <t>FY22–23 recast: BFSI</t>
  </si>
  <si>
    <t>FY22–23 recast: Retail, Transport &amp; Logistics</t>
  </si>
  <si>
    <t>FY22–23 recast: Others</t>
  </si>
  <si>
    <t>Current: Communications</t>
  </si>
  <si>
    <t>Current: Manufacturing</t>
  </si>
  <si>
    <t>Current: Hi-Tech &amp; Media</t>
  </si>
  <si>
    <t>Current: BFSI</t>
  </si>
  <si>
    <t>Current: Retail, Transport &amp; Logistics</t>
  </si>
  <si>
    <t>Current: Healthcare &amp; Life Sciences</t>
  </si>
  <si>
    <t>Current: Others</t>
  </si>
  <si>
    <t>Quarterly Profit &amp; Loss</t>
  </si>
  <si>
    <t>Reported quarterly P&amp;L through Q1 FY27A; growth, margins and profit subtotals are formula-driven</t>
  </si>
  <si>
    <t>QoQ growth</t>
  </si>
  <si>
    <t>YoY growth</t>
  </si>
  <si>
    <t>USD revenue QoQ growth</t>
  </si>
  <si>
    <t>Implied INR / USD</t>
  </si>
  <si>
    <t>Annual Profit &amp; Loss</t>
  </si>
  <si>
    <t>Actuals link to reported source data; FY27E–FY30E are formula-driven from the operating bridge and assumptions</t>
  </si>
  <si>
    <t>Reported gross profit control</t>
  </si>
  <si>
    <t>Gross profit check</t>
  </si>
  <si>
    <t>Reported EBITDA control</t>
  </si>
  <si>
    <t>EBITDA check</t>
  </si>
  <si>
    <t>PBT margin</t>
  </si>
  <si>
    <t>Basic shares</t>
  </si>
  <si>
    <t>crore</t>
  </si>
  <si>
    <t>Diluted shares</t>
  </si>
  <si>
    <t>Basic EPS</t>
  </si>
  <si>
    <t>Reported basic EPS control</t>
  </si>
  <si>
    <t>Reported diluted EPS control</t>
  </si>
  <si>
    <t>Diluted EPS check</t>
  </si>
  <si>
    <t>Dividend per share — cash basis</t>
  </si>
  <si>
    <t>Dividend payout — cash basis</t>
  </si>
  <si>
    <t>Annual Balance Sheet</t>
  </si>
  <si>
    <t>Historical balances link to reported data; FY27E–FY30E use explicit roll-forwards and forecast cash is the output of the cash-flow statement</t>
  </si>
  <si>
    <t>Intangibles under development</t>
  </si>
  <si>
    <t>Balance check</t>
  </si>
  <si>
    <t>Total borrowings</t>
  </si>
  <si>
    <t>Total lease liabilities</t>
  </si>
  <si>
    <t>Annual Cash Flow Statement</t>
  </si>
  <si>
    <t>Reported historical line items are preserved; FY27E–FY30E cash flow is derived from explicit balance changes with no cash or investment plug</t>
  </si>
  <si>
    <t>Provision / sundry writebacks</t>
  </si>
  <si>
    <t>Investment / property gains</t>
  </si>
  <si>
    <t>Other operating adjustments / reclassification</t>
  </si>
  <si>
    <t>CFO / net income</t>
  </si>
  <si>
    <t>Purchase of treasury bonds / debentures</t>
  </si>
  <si>
    <t>Maturity / sale of treasury bonds / debentures</t>
  </si>
  <si>
    <t>Repatriation / liquidation</t>
  </si>
  <si>
    <t>Inter-corporate deposits, net</t>
  </si>
  <si>
    <t>Deposits / margin money, net</t>
  </si>
  <si>
    <t>Other investing / three-statement integration</t>
  </si>
  <si>
    <t>Dividend paid — source line 1</t>
  </si>
  <si>
    <t>Dividend paid — source line 2</t>
  </si>
  <si>
    <t>Total dividends paid</t>
  </si>
  <si>
    <t>Other financing / reclassification</t>
  </si>
  <si>
    <t>Net change in cash</t>
  </si>
  <si>
    <t>Reported closing cash per CFS</t>
  </si>
  <si>
    <t>Closing cash per balance sheet</t>
  </si>
  <si>
    <t>Cash-basis / reporting reconciliation</t>
  </si>
  <si>
    <t>Revenue by Industry</t>
  </si>
  <si>
    <t>Reported classifications remain separate; revenue is calculated from reported mix × annual P&amp;L revenue</t>
  </si>
  <si>
    <t>Legacy classification — used through FY21</t>
  </si>
  <si>
    <t>Communications mix</t>
  </si>
  <si>
    <t>Communications revenue</t>
  </si>
  <si>
    <t>Manufacturing mix</t>
  </si>
  <si>
    <t>Manufacturing revenue</t>
  </si>
  <si>
    <t>Technology, Media &amp; Entertainment mix</t>
  </si>
  <si>
    <t>Technology, Media &amp; Entertainment revenue</t>
  </si>
  <si>
    <t>BFSI mix</t>
  </si>
  <si>
    <t>BFSI revenue</t>
  </si>
  <si>
    <t>Retail, Transport &amp; Logistics mix</t>
  </si>
  <si>
    <t>Retail, Transport &amp; Logistics revenue</t>
  </si>
  <si>
    <t>Others mix</t>
  </si>
  <si>
    <t>Others revenue</t>
  </si>
  <si>
    <t>Mix check</t>
  </si>
  <si>
    <t>Calculated industry revenue</t>
  </si>
  <si>
    <t>Annual P&amp;L revenue</t>
  </si>
  <si>
    <t>Revenue check</t>
  </si>
  <si>
    <t>FY21–FY24 restated classification</t>
  </si>
  <si>
    <t>Communications, Media &amp; Entertainment mix</t>
  </si>
  <si>
    <t>Communications, Media &amp; Entertainment revenue</t>
  </si>
  <si>
    <t>Technology mix</t>
  </si>
  <si>
    <t>Technology revenue</t>
  </si>
  <si>
    <t>Current classification — FY24 onward</t>
  </si>
  <si>
    <t>Hi-Tech &amp; Media mix</t>
  </si>
  <si>
    <t>Hi-Tech &amp; Media revenue</t>
  </si>
  <si>
    <t>Healthcare &amp; Life Sciences mix</t>
  </si>
  <si>
    <t>Healthcare &amp; Life Sciences revenue</t>
  </si>
  <si>
    <t>Geography, Delivery Mix and Currency</t>
  </si>
  <si>
    <t>Reported mix is linked to the source layer; absolute revenue and growth are calculated</t>
  </si>
  <si>
    <t>Geography mix</t>
  </si>
  <si>
    <t>Americas revenue</t>
  </si>
  <si>
    <t>Europe revenue</t>
  </si>
  <si>
    <t>Rest of world revenue</t>
  </si>
  <si>
    <t>Onsite / offshore disclosure — revenue mix through FY22; IT headcount mix from FY23</t>
  </si>
  <si>
    <t>Revenue mix check</t>
  </si>
  <si>
    <t>Headcount mix check</t>
  </si>
  <si>
    <t>Revenue currency mix and absolute revenue</t>
  </si>
  <si>
    <t>USD mix</t>
  </si>
  <si>
    <t>GBP mix</t>
  </si>
  <si>
    <t>GBP revenue</t>
  </si>
  <si>
    <t>EUR mix</t>
  </si>
  <si>
    <t>EUR revenue</t>
  </si>
  <si>
    <t>AUD mix</t>
  </si>
  <si>
    <t>AUD revenue</t>
  </si>
  <si>
    <t>Other mix</t>
  </si>
  <si>
    <t>Other revenue</t>
  </si>
  <si>
    <t>Currency mix check</t>
  </si>
  <si>
    <t>Revenue growth by reporting currency</t>
  </si>
  <si>
    <t>Revenue in INR</t>
  </si>
  <si>
    <t>INR revenue growth</t>
  </si>
  <si>
    <t>Revenue in USD</t>
  </si>
  <si>
    <t>Client Metrics and Deal Wins</t>
  </si>
  <si>
    <t>Reported client bands, concentration and TCV; unavailable active-client data stays blank</t>
  </si>
  <si>
    <t>Top 5 client contribution</t>
  </si>
  <si>
    <t>Top 10 client contribution</t>
  </si>
  <si>
    <t>Top 20 client contribution</t>
  </si>
  <si>
    <t>Revenue per active client</t>
  </si>
  <si>
    <t>Revenue per $1m+ client proxy</t>
  </si>
  <si>
    <t>Incremental $1m+ clients</t>
  </si>
  <si>
    <t>TCV / USD revenue</t>
  </si>
  <si>
    <t>Revenue Drivers — Capacity, Deals, T&amp;M Deflation and AI Uplift</t>
  </si>
  <si>
    <t>Revenue is not forecast from headcount alone; each bridge component is separate and assumption-driven</t>
  </si>
  <si>
    <t>Headcount growth</t>
  </si>
  <si>
    <t>Reported / assumed utilization</t>
  </si>
  <si>
    <t>Billable FTE growth</t>
  </si>
  <si>
    <t>Revenue per billable FTE</t>
  </si>
  <si>
    <t>$k</t>
  </si>
  <si>
    <t>Pricing / productivity uplift</t>
  </si>
  <si>
    <t>Retained revenue base</t>
  </si>
  <si>
    <t>Capacity expansion revenue</t>
  </si>
  <si>
    <t>T&amp;M revenue before deflation</t>
  </si>
  <si>
    <t>AI deflation rate</t>
  </si>
  <si>
    <t>TCV realization rate</t>
  </si>
  <si>
    <t>Deal-led revenue</t>
  </si>
  <si>
    <t>Client-mining uplift</t>
  </si>
  <si>
    <t>Client-mining revenue</t>
  </si>
  <si>
    <t>AI revenue uplift rate</t>
  </si>
  <si>
    <t>AI revenue uplift</t>
  </si>
  <si>
    <t>Total modeled revenue</t>
  </si>
  <si>
    <t>Revenue bridge check</t>
  </si>
  <si>
    <t>Historical AI revenue disclosed</t>
  </si>
  <si>
    <t>AI note</t>
  </si>
  <si>
    <t>text</t>
  </si>
  <si>
    <t>Implied separations</t>
  </si>
  <si>
    <t>Implied gross additions</t>
  </si>
  <si>
    <t>TECHM Prices</t>
  </si>
  <si>
    <t>Daily TECHM.NS market prices; FY-end prices are linked into valuation</t>
  </si>
  <si>
    <t>Date</t>
  </si>
  <si>
    <t>Close</t>
  </si>
  <si>
    <t>Adjusted close</t>
  </si>
  <si>
    <t>Volume</t>
  </si>
  <si>
    <t>Fiscal year</t>
  </si>
  <si>
    <t>Source</t>
  </si>
  <si>
    <t>2016-01-01</t>
  </si>
  <si>
    <t>FY16</t>
  </si>
  <si>
    <t>TECHM.NS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</si>
  <si>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</si>
  <si>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</si>
  <si>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</si>
  <si>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</si>
  <si>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</si>
  <si>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</si>
  <si>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</si>
  <si>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</si>
  <si>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</si>
  <si>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</si>
  <si>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</si>
  <si>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</si>
  <si>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</si>
  <si>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</si>
  <si>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</si>
  <si>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</si>
  <si>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</si>
  <si>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</si>
  <si>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</si>
  <si>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</si>
  <si>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</si>
  <si>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</si>
  <si>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</si>
  <si>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</si>
  <si>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</si>
  <si>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</si>
  <si>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</si>
  <si>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</si>
  <si>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</si>
  <si>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</si>
  <si>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</si>
  <si>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</si>
  <si>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</si>
  <si>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</si>
  <si>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</si>
  <si>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</si>
  <si>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</si>
  <si>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</si>
  <si>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</si>
  <si>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</si>
  <si>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</si>
  <si>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</si>
  <si>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</si>
  <si>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</si>
  <si>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</si>
  <si>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</si>
  <si>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</si>
  <si>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</si>
  <si>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</si>
  <si>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</si>
  <si>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</si>
  <si>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</si>
  <si>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</si>
  <si>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</si>
  <si>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</si>
  <si>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</si>
  <si>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</si>
  <si>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</si>
  <si>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</si>
  <si>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</si>
  <si>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</si>
  <si>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FY17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</si>
  <si>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</si>
  <si>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</si>
  <si>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</si>
  <si>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</si>
  <si>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</si>
  <si>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</si>
  <si>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</si>
  <si>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</si>
  <si>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</si>
  <si>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</si>
  <si>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</si>
  <si>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</si>
  <si>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</si>
  <si>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</si>
  <si>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</si>
  <si>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</si>
  <si>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</si>
  <si>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</si>
  <si>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</si>
  <si>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</si>
  <si>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</si>
  <si>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</si>
  <si>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</si>
  <si>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</si>
  <si>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</si>
  <si>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</si>
  <si>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</si>
  <si>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</si>
  <si>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</si>
  <si>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</si>
  <si>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</si>
  <si>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</si>
  <si>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</si>
  <si>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</si>
  <si>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</si>
  <si>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</si>
  <si>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</si>
  <si>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</si>
  <si>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</si>
  <si>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</si>
  <si>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</si>
  <si>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</si>
  <si>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</si>
  <si>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</si>
  <si>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</si>
  <si>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</si>
  <si>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</si>
  <si>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</si>
  <si>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</si>
  <si>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</si>
  <si>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</si>
  <si>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</si>
  <si>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</si>
  <si>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</si>
  <si>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</si>
  <si>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</si>
  <si>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</si>
  <si>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</si>
  <si>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</si>
  <si>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</si>
  <si>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</si>
  <si>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</si>
  <si>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</si>
  <si>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</si>
  <si>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</si>
  <si>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</si>
  <si>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</si>
  <si>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</si>
  <si>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</si>
  <si>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</si>
  <si>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</si>
  <si>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</si>
  <si>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</si>
  <si>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</si>
  <si>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</si>
  <si>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</si>
  <si>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</si>
  <si>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</si>
  <si>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</si>
  <si>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</si>
  <si>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</si>
  <si>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</si>
  <si>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</si>
  <si>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</si>
  <si>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</si>
  <si>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</si>
  <si>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</si>
  <si>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</si>
  <si>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</si>
  <si>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</si>
  <si>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</si>
  <si>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</si>
  <si>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</si>
  <si>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</si>
  <si>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</si>
  <si>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</si>
  <si>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</si>
  <si>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</si>
  <si>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</si>
  <si>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</si>
  <si>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</si>
  <si>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</si>
  <si>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</si>
  <si>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</si>
  <si>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</si>
  <si>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</si>
  <si>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</si>
  <si>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</si>
  <si>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</si>
  <si>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</si>
  <si>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</si>
  <si>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</si>
  <si>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</si>
  <si>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</si>
  <si>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</si>
  <si>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</si>
  <si>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</si>
  <si>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</si>
  <si>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</si>
  <si>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</si>
  <si>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</si>
  <si>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</si>
  <si>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</si>
  <si>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</si>
  <si>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</si>
  <si>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</si>
  <si>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</si>
  <si>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</si>
  <si>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</si>
  <si>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</si>
  <si>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</si>
  <si>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</si>
  <si>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</si>
  <si>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</si>
  <si>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</si>
  <si>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</si>
  <si>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</si>
  <si>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</si>
  <si>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</si>
  <si>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</si>
  <si>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</si>
  <si>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</si>
  <si>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</si>
  <si>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</si>
  <si>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</si>
  <si>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</si>
  <si>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</si>
  <si>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</si>
  <si>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</si>
  <si>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</si>
  <si>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</si>
  <si>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</si>
  <si>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</si>
  <si>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</si>
  <si>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</si>
  <si>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</si>
  <si>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</si>
  <si>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</si>
  <si>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</si>
  <si>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</si>
  <si>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</si>
  <si>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</si>
  <si>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</si>
  <si>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</si>
  <si>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</si>
  <si>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</si>
  <si>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</si>
  <si>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</si>
  <si>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</si>
  <si>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</si>
  <si>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</si>
  <si>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</si>
  <si>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</si>
  <si>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</si>
  <si>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</si>
  <si>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</si>
  <si>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</si>
  <si>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</si>
  <si>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</si>
  <si>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</si>
  <si>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</si>
  <si>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</si>
  <si>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</si>
  <si>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</si>
  <si>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</si>
  <si>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</si>
  <si>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</si>
  <si>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</si>
  <si>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</si>
  <si>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</si>
  <si>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</si>
  <si>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</si>
  <si>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</si>
  <si>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</si>
  <si>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</si>
  <si>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</si>
  <si>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</si>
  <si>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</si>
  <si>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</si>
  <si>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</si>
  <si>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</si>
  <si>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</si>
  <si>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</si>
  <si>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</si>
  <si>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</si>
  <si>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</si>
  <si>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</si>
  <si>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</si>
  <si>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</si>
  <si>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</si>
  <si>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</si>
  <si>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</si>
  <si>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</si>
  <si>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</si>
  <si>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</si>
  <si>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</si>
  <si>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</si>
  <si>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</si>
  <si>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</si>
  <si>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</si>
  <si>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</si>
  <si>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</si>
  <si>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</si>
  <si>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</si>
  <si>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</si>
  <si>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</si>
  <si>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</si>
  <si>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</si>
  <si>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</si>
  <si>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</si>
  <si>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</si>
  <si>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</si>
  <si>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</si>
  <si>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</si>
  <si>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</si>
  <si>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</si>
  <si>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</si>
  <si>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</si>
  <si>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</si>
  <si>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</si>
  <si>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</si>
  <si>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</si>
  <si>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</si>
  <si>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</si>
  <si>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</si>
  <si>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</si>
  <si>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</si>
  <si>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FY18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</si>
  <si>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</si>
  <si>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</si>
  <si>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</si>
  <si>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</si>
  <si>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</si>
  <si>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</si>
  <si>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</si>
  <si>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</si>
  <si>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</si>
  <si>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</si>
  <si>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</si>
  <si>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</si>
  <si>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</si>
  <si>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</si>
  <si>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</si>
  <si>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</si>
  <si>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</si>
  <si>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</si>
  <si>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</si>
  <si>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</si>
  <si>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</si>
  <si>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</si>
  <si>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</si>
  <si>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</si>
  <si>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</si>
  <si>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</si>
  <si>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</si>
  <si>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</si>
  <si>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</si>
  <si>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</si>
  <si>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</si>
  <si>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</si>
  <si>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</si>
  <si>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</si>
  <si>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</si>
  <si>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</si>
  <si>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</si>
  <si>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</si>
  <si>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</si>
  <si>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</si>
  <si>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</si>
  <si>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</si>
  <si>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</si>
  <si>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</si>
  <si>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</si>
  <si>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</si>
  <si>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</si>
  <si>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</si>
  <si>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</si>
  <si>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</si>
  <si>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</si>
  <si>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</si>
  <si>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</si>
  <si>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</si>
  <si>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</si>
  <si>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</si>
  <si>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</si>
  <si>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</si>
  <si>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</si>
  <si>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</si>
  <si>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</si>
  <si>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</si>
  <si>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</si>
  <si>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</si>
  <si>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</si>
  <si>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</si>
  <si>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</si>
  <si>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</si>
  <si>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</si>
  <si>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</si>
  <si>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</si>
  <si>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</si>
  <si>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</si>
  <si>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</si>
  <si>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</si>
  <si>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</si>
  <si>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</si>
  <si>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</si>
  <si>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</si>
  <si>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</si>
  <si>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</si>
  <si>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</si>
  <si>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</si>
  <si>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</si>
  <si>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</si>
  <si>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</si>
  <si>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</si>
  <si>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</si>
  <si>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</si>
  <si>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</si>
  <si>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</si>
  <si>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</si>
  <si>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</si>
  <si>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</si>
  <si>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</si>
  <si>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</si>
  <si>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</si>
  <si>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</si>
  <si>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</si>
  <si>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</si>
  <si>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</si>
  <si>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</si>
  <si>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</si>
  <si>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</si>
  <si>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</si>
  <si>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</si>
  <si>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</si>
  <si>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</si>
  <si>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</si>
  <si>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</si>
  <si>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</si>
  <si>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</si>
  <si>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</si>
  <si>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</si>
  <si>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</si>
  <si>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</si>
  <si>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</si>
  <si>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</si>
  <si>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</si>
  <si>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</si>
  <si>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</si>
  <si>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</si>
  <si>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</si>
  <si>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</si>
  <si>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</si>
  <si>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</si>
  <si>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</si>
  <si>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</si>
  <si>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</si>
  <si>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</si>
  <si>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</si>
  <si>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</si>
  <si>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</si>
  <si>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</si>
  <si>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</si>
  <si>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</si>
  <si>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</si>
  <si>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</si>
  <si>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</si>
  <si>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</si>
  <si>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</si>
  <si>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</si>
  <si>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</si>
  <si>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</si>
  <si>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</si>
  <si>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</si>
  <si>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</si>
  <si>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</si>
  <si>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</si>
  <si>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</si>
  <si>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</si>
  <si>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</si>
  <si>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</si>
  <si>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</si>
  <si>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</si>
  <si>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</si>
  <si>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</si>
  <si>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</si>
  <si>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</si>
  <si>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</si>
  <si>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</si>
  <si>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</si>
  <si>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</si>
  <si>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</si>
  <si>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</si>
  <si>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</si>
  <si>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</si>
  <si>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</si>
  <si>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</si>
  <si>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</si>
  <si>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</si>
  <si>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</si>
  <si>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</si>
  <si>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</si>
  <si>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</si>
  <si>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</si>
  <si>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</si>
  <si>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</si>
  <si>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</si>
  <si>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</si>
  <si>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</si>
  <si>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</si>
  <si>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</si>
  <si>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</si>
  <si>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</si>
  <si>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</si>
  <si>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</si>
  <si>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</si>
  <si>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</si>
  <si>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</si>
  <si>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</si>
  <si>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</si>
  <si>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</si>
  <si>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</si>
  <si>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</si>
  <si>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</si>
  <si>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</si>
  <si>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</si>
  <si>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</si>
  <si>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</si>
  <si>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</si>
  <si>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</si>
  <si>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</si>
  <si>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</si>
  <si>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</si>
  <si>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</si>
  <si>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</si>
  <si>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</si>
  <si>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</si>
  <si>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</si>
  <si>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</si>
  <si>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</si>
  <si>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</si>
  <si>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</si>
  <si>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</si>
  <si>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</si>
  <si>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</si>
  <si>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</si>
  <si>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</si>
  <si>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</si>
  <si>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</si>
  <si>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</si>
  <si>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</si>
  <si>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</si>
  <si>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</si>
  <si>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</si>
  <si>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</si>
  <si>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</si>
  <si>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</si>
  <si>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</si>
  <si>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</si>
  <si>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</si>
  <si>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</si>
  <si>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</si>
  <si>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</si>
  <si>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</si>
  <si>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</si>
  <si>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</si>
  <si>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</si>
  <si>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</si>
  <si>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</si>
  <si>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</si>
  <si>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</si>
  <si>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</si>
  <si>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</si>
  <si>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2018-04-02</t>
  </si>
  <si>
    <t>FY19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</si>
  <si>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</si>
  <si>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</si>
  <si>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</si>
  <si>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</si>
  <si>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</si>
  <si>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</si>
  <si>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</si>
  <si>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</si>
  <si>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</si>
  <si>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</si>
  <si>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</si>
  <si>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</si>
  <si>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</si>
  <si>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</si>
  <si>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</si>
  <si>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</si>
  <si>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</si>
  <si>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</si>
  <si>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</si>
  <si>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</si>
  <si>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</si>
  <si>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</si>
  <si>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</si>
  <si>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</si>
  <si>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</si>
  <si>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</si>
  <si>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</si>
  <si>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</si>
  <si>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</si>
  <si>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</si>
  <si>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</si>
  <si>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</si>
  <si>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</si>
  <si>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</si>
  <si>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</si>
  <si>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</si>
  <si>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</si>
  <si>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</si>
  <si>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</si>
  <si>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</si>
  <si>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</si>
  <si>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</si>
  <si>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</si>
  <si>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</si>
  <si>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</si>
  <si>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</si>
  <si>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</si>
  <si>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</si>
  <si>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</si>
  <si>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</si>
  <si>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</si>
  <si>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</si>
  <si>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</si>
  <si>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</si>
  <si>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</si>
  <si>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</si>
  <si>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</si>
  <si>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</si>
  <si>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</si>
  <si>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</si>
  <si>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</si>
  <si>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</si>
  <si>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</si>
  <si>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</si>
  <si>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</si>
  <si>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</si>
  <si>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</si>
  <si>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</si>
  <si>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</si>
  <si>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</si>
  <si>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</si>
  <si>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</si>
  <si>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</si>
  <si>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</si>
  <si>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</si>
  <si>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</si>
  <si>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</si>
  <si>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</si>
  <si>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</si>
  <si>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</si>
  <si>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</si>
  <si>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</si>
  <si>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</si>
  <si>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</si>
  <si>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</si>
  <si>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</si>
  <si>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</si>
  <si>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</si>
  <si>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</si>
  <si>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</si>
  <si>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</si>
  <si>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</si>
  <si>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</si>
  <si>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</si>
  <si>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</si>
  <si>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</si>
  <si>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</si>
  <si>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</si>
  <si>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</si>
  <si>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</si>
  <si>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</si>
  <si>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</si>
  <si>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</si>
  <si>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</si>
  <si>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</si>
  <si>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</si>
  <si>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</si>
  <si>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</si>
  <si>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</si>
  <si>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</si>
  <si>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</si>
  <si>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</si>
  <si>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</si>
  <si>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</si>
  <si>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</si>
  <si>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</si>
  <si>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</si>
  <si>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</si>
  <si>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</si>
  <si>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</si>
  <si>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</si>
  <si>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</si>
  <si>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</si>
  <si>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</si>
  <si>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</si>
  <si>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</si>
  <si>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</si>
  <si>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</si>
  <si>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</si>
  <si>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</si>
  <si>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</si>
  <si>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</si>
  <si>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</si>
  <si>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</si>
  <si>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</si>
  <si>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</si>
  <si>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</si>
  <si>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</si>
  <si>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</si>
  <si>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</si>
  <si>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</si>
  <si>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</si>
  <si>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</si>
  <si>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</si>
  <si>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</si>
  <si>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</si>
  <si>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</si>
  <si>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</si>
  <si>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</si>
  <si>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</si>
  <si>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</si>
  <si>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</si>
  <si>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</si>
  <si>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</si>
  <si>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</si>
  <si>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</si>
  <si>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</si>
  <si>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</si>
  <si>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</si>
  <si>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</si>
  <si>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</si>
  <si>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</si>
  <si>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</si>
  <si>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</si>
  <si>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</si>
  <si>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</si>
  <si>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</si>
  <si>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</si>
  <si>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</si>
  <si>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</si>
  <si>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</si>
  <si>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</si>
  <si>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</si>
  <si>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</si>
  <si>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</si>
  <si>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</si>
  <si>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</si>
  <si>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</si>
  <si>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</si>
  <si>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</si>
  <si>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</si>
  <si>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</si>
  <si>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</si>
  <si>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</si>
  <si>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</si>
  <si>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</si>
  <si>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</si>
  <si>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</si>
  <si>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</si>
  <si>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</si>
  <si>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</si>
  <si>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</si>
  <si>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</si>
  <si>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</si>
  <si>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</si>
  <si>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</si>
  <si>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</si>
  <si>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</si>
  <si>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</si>
  <si>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</si>
  <si>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</si>
  <si>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</si>
  <si>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</si>
  <si>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</si>
  <si>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</si>
  <si>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</si>
  <si>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</si>
  <si>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</si>
  <si>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</si>
  <si>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</si>
  <si>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</si>
  <si>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</si>
  <si>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</si>
  <si>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</si>
  <si>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</si>
  <si>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</si>
  <si>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</si>
  <si>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</si>
  <si>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</si>
  <si>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</si>
  <si>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</si>
  <si>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</si>
  <si>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</si>
  <si>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</si>
  <si>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</si>
  <si>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</si>
  <si>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</si>
  <si>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</si>
  <si>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</si>
  <si>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</si>
  <si>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</si>
  <si>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</si>
  <si>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</si>
  <si>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</si>
  <si>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</si>
  <si>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</si>
  <si>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</si>
  <si>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</si>
  <si>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</si>
  <si>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</si>
  <si>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</si>
  <si>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</si>
  <si>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</si>
  <si>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</si>
  <si>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</si>
  <si>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2019-04-01</t>
  </si>
  <si>
    <t>FY20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</si>
  <si>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</si>
  <si>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</si>
  <si>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</si>
  <si>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</si>
  <si>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</si>
  <si>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</si>
  <si>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</si>
  <si>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</si>
  <si>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</si>
  <si>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</si>
  <si>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</si>
  <si>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</si>
  <si>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</si>
  <si>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</si>
  <si>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</si>
  <si>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</si>
  <si>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</si>
  <si>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</si>
  <si>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</si>
  <si>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</si>
  <si>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</si>
  <si>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</si>
  <si>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</si>
  <si>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</si>
  <si>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</si>
  <si>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</si>
  <si>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</si>
  <si>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</si>
  <si>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</si>
  <si>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</si>
  <si>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</si>
  <si>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</si>
  <si>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</si>
  <si>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</si>
  <si>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</si>
  <si>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</si>
  <si>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</si>
  <si>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</si>
  <si>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</si>
  <si>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</si>
  <si>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</si>
  <si>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</si>
  <si>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</si>
  <si>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</si>
  <si>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</si>
  <si>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</si>
  <si>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</si>
  <si>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</si>
  <si>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</si>
  <si>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</si>
  <si>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</si>
  <si>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</si>
  <si>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</si>
  <si>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</si>
  <si>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</si>
  <si>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</si>
  <si>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</si>
  <si>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</si>
  <si>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</si>
  <si>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</si>
  <si>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</si>
  <si>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</si>
  <si>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</si>
  <si>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</si>
  <si>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</si>
  <si>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</si>
  <si>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</si>
  <si>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</si>
  <si>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</si>
  <si>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</si>
  <si>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</si>
  <si>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</si>
  <si>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</si>
  <si>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</si>
  <si>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</si>
  <si>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</si>
  <si>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</si>
  <si>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</si>
  <si>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</si>
  <si>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</si>
  <si>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</si>
  <si>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</si>
  <si>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</si>
  <si>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</si>
  <si>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</si>
  <si>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</si>
  <si>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</si>
  <si>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</si>
  <si>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</si>
  <si>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</si>
  <si>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</si>
  <si>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</si>
  <si>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</si>
  <si>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</si>
  <si>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</si>
  <si>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</si>
  <si>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</si>
  <si>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</si>
  <si>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</si>
  <si>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</si>
  <si>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</si>
  <si>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</si>
  <si>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</si>
  <si>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</si>
  <si>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</si>
  <si>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</si>
  <si>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</si>
  <si>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</si>
  <si>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</si>
  <si>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</si>
  <si>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</si>
  <si>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</si>
  <si>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</si>
  <si>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</si>
  <si>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</si>
  <si>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</si>
  <si>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</si>
  <si>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</si>
  <si>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</si>
  <si>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</si>
  <si>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</si>
  <si>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</si>
  <si>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</si>
  <si>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</si>
  <si>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</si>
  <si>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</si>
  <si>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</si>
  <si>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</si>
  <si>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</si>
  <si>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</si>
  <si>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</si>
  <si>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</si>
  <si>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</si>
  <si>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</si>
  <si>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</si>
  <si>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</si>
  <si>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</si>
  <si>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2019-10-27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</si>
  <si>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</si>
  <si>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</si>
  <si>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</si>
  <si>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</si>
  <si>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</si>
  <si>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</si>
  <si>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</si>
  <si>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</si>
  <si>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</si>
  <si>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</si>
  <si>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</si>
  <si>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</si>
  <si>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</si>
  <si>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</si>
  <si>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</si>
  <si>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</si>
  <si>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</si>
  <si>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</si>
  <si>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</si>
  <si>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</si>
  <si>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</si>
  <si>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</si>
  <si>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</si>
  <si>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</si>
  <si>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</si>
  <si>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</si>
  <si>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</si>
  <si>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</si>
  <si>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</si>
  <si>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</si>
  <si>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</si>
  <si>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</si>
  <si>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</si>
  <si>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</si>
  <si>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</si>
  <si>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</si>
  <si>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</si>
  <si>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</si>
  <si>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</si>
  <si>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</si>
  <si>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</si>
  <si>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</si>
  <si>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</si>
  <si>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</si>
  <si>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</si>
  <si>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</si>
  <si>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</si>
  <si>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</si>
  <si>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</si>
  <si>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</si>
  <si>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</si>
  <si>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</si>
  <si>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</si>
  <si>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</si>
  <si>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</si>
  <si>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</si>
  <si>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</si>
  <si>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</si>
  <si>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</si>
  <si>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</si>
  <si>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</si>
  <si>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</si>
  <si>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</si>
  <si>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</si>
  <si>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</si>
  <si>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</si>
  <si>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</si>
  <si>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</si>
  <si>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</si>
  <si>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</si>
  <si>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</si>
  <si>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</si>
  <si>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</si>
  <si>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</si>
  <si>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</si>
  <si>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</si>
  <si>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</si>
  <si>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</si>
  <si>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</si>
  <si>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</si>
  <si>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</si>
  <si>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</si>
  <si>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</si>
  <si>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</si>
  <si>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</si>
  <si>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</si>
  <si>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</si>
  <si>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</si>
  <si>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</si>
  <si>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</si>
  <si>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</si>
  <si>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</si>
  <si>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</si>
  <si>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</si>
  <si>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</si>
  <si>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</si>
  <si>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</si>
  <si>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</si>
  <si>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</si>
  <si>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</si>
  <si>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</si>
  <si>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</si>
  <si>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</si>
  <si>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</si>
  <si>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</si>
  <si>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</si>
  <si>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</si>
  <si>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</si>
  <si>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FY21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</si>
  <si>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</si>
  <si>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</si>
  <si>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</si>
  <si>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</si>
  <si>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</si>
  <si>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</si>
  <si>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</si>
  <si>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</si>
  <si>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</si>
  <si>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</si>
  <si>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</si>
  <si>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</si>
  <si>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</si>
  <si>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</si>
  <si>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</si>
  <si>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</si>
  <si>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</si>
  <si>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</si>
  <si>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</si>
  <si>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</si>
  <si>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</si>
  <si>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</si>
  <si>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</si>
  <si>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</si>
  <si>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</si>
  <si>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</si>
  <si>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</si>
  <si>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</si>
  <si>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</si>
  <si>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</si>
  <si>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</si>
  <si>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</si>
  <si>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</si>
  <si>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</si>
  <si>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</si>
  <si>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</si>
  <si>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</si>
  <si>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</si>
  <si>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</si>
  <si>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</si>
  <si>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</si>
  <si>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</si>
  <si>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</si>
  <si>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</si>
  <si>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</si>
  <si>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</si>
  <si>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</si>
  <si>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</si>
  <si>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</si>
  <si>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</si>
  <si>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</si>
  <si>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</si>
  <si>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</si>
  <si>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</si>
  <si>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</si>
  <si>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</si>
  <si>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</si>
  <si>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</si>
  <si>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</si>
  <si>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</si>
  <si>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</si>
  <si>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</si>
  <si>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</si>
  <si>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</si>
  <si>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</si>
  <si>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</si>
  <si>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</si>
  <si>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</si>
  <si>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</si>
  <si>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</si>
  <si>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</si>
  <si>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</si>
  <si>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</si>
  <si>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</si>
  <si>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</si>
  <si>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</si>
  <si>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</si>
  <si>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</si>
  <si>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</si>
  <si>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</si>
  <si>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</si>
  <si>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</si>
  <si>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</si>
  <si>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</si>
  <si>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</si>
  <si>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</si>
  <si>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</si>
  <si>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</si>
  <si>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</si>
  <si>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</si>
  <si>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</si>
  <si>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</si>
  <si>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</si>
  <si>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</si>
  <si>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</si>
  <si>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</si>
  <si>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</si>
  <si>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</si>
  <si>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</si>
  <si>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</si>
  <si>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</si>
  <si>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</si>
  <si>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</si>
  <si>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</si>
  <si>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</si>
  <si>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</si>
  <si>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</si>
  <si>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</si>
  <si>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</si>
  <si>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</si>
  <si>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</si>
  <si>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</si>
  <si>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</si>
  <si>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</si>
  <si>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</si>
  <si>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</si>
  <si>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</si>
  <si>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</si>
  <si>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</si>
  <si>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</si>
  <si>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</si>
  <si>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</si>
  <si>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</si>
  <si>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</si>
  <si>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</si>
  <si>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</si>
  <si>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</si>
  <si>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</si>
  <si>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</si>
  <si>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</si>
  <si>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</si>
  <si>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</si>
  <si>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</si>
  <si>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</si>
  <si>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</si>
  <si>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</si>
  <si>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</si>
  <si>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</si>
  <si>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</si>
  <si>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</si>
  <si>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</si>
  <si>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</si>
  <si>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</si>
  <si>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</si>
  <si>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</si>
  <si>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</si>
  <si>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</si>
  <si>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</si>
  <si>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</si>
  <si>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</si>
  <si>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</si>
  <si>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</si>
  <si>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</si>
  <si>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</si>
  <si>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</si>
  <si>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2020-11-14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</si>
  <si>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</si>
  <si>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</si>
  <si>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</si>
  <si>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</si>
  <si>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</si>
  <si>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</si>
  <si>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</si>
  <si>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</si>
  <si>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</si>
  <si>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</si>
  <si>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</si>
  <si>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</si>
  <si>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</si>
  <si>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</si>
  <si>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</si>
  <si>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</si>
  <si>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</si>
  <si>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</si>
  <si>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</si>
  <si>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</si>
  <si>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</si>
  <si>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</si>
  <si>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</si>
  <si>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</si>
  <si>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</si>
  <si>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</si>
  <si>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</si>
  <si>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</si>
  <si>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</si>
  <si>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</si>
  <si>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</si>
  <si>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</si>
  <si>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</si>
  <si>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</si>
  <si>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</si>
  <si>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</si>
  <si>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</si>
  <si>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</si>
  <si>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</si>
  <si>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</si>
  <si>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</si>
  <si>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</si>
  <si>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</si>
  <si>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</si>
  <si>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</si>
  <si>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</si>
  <si>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</si>
  <si>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</si>
  <si>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</si>
  <si>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</si>
  <si>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</si>
  <si>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</si>
  <si>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</si>
  <si>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</si>
  <si>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</si>
  <si>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</si>
  <si>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</si>
  <si>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</si>
  <si>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</si>
  <si>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</si>
  <si>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</si>
  <si>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</si>
  <si>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</si>
  <si>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</si>
  <si>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</si>
  <si>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</si>
  <si>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</si>
  <si>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</si>
  <si>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</si>
  <si>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</si>
  <si>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</si>
  <si>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</si>
  <si>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</si>
  <si>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</si>
  <si>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</si>
  <si>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</si>
  <si>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</si>
  <si>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</si>
  <si>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</si>
  <si>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</si>
  <si>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</si>
  <si>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</si>
  <si>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</si>
  <si>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</si>
  <si>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</si>
  <si>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</si>
  <si>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</si>
  <si>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</si>
  <si>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</si>
  <si>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</si>
  <si>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</si>
  <si>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</si>
  <si>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</si>
  <si>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FY22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</si>
  <si>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</si>
  <si>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</si>
  <si>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</si>
  <si>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</si>
  <si>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</si>
  <si>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</si>
  <si>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</si>
  <si>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</si>
  <si>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</si>
  <si>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</si>
  <si>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</si>
  <si>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</si>
  <si>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</si>
  <si>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</si>
  <si>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</si>
  <si>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</si>
  <si>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</si>
  <si>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</si>
  <si>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</si>
  <si>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</si>
  <si>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</si>
  <si>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</si>
  <si>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</si>
  <si>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</si>
  <si>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</si>
  <si>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</si>
  <si>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</si>
  <si>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</si>
  <si>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</si>
  <si>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</si>
  <si>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</si>
  <si>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</si>
  <si>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</si>
  <si>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</si>
  <si>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</si>
  <si>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</si>
  <si>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</si>
  <si>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</si>
  <si>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</si>
  <si>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</si>
  <si>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</si>
  <si>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</si>
  <si>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</si>
  <si>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</si>
  <si>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</si>
  <si>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</si>
  <si>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</si>
  <si>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</si>
  <si>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</si>
  <si>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</si>
  <si>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</si>
  <si>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</si>
  <si>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</si>
  <si>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</si>
  <si>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</si>
  <si>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</si>
  <si>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</si>
  <si>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</si>
  <si>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</si>
  <si>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</si>
  <si>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</si>
  <si>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</si>
  <si>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</si>
  <si>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</si>
  <si>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</si>
  <si>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</si>
  <si>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</si>
  <si>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</si>
  <si>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</si>
  <si>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</si>
  <si>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</si>
  <si>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</si>
  <si>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</si>
  <si>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</si>
  <si>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</si>
  <si>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</si>
  <si>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</si>
  <si>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</si>
  <si>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</si>
  <si>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</si>
  <si>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</si>
  <si>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</si>
  <si>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</si>
  <si>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</si>
  <si>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</si>
  <si>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</si>
  <si>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</si>
  <si>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</si>
  <si>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</si>
  <si>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</si>
  <si>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</si>
  <si>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</si>
  <si>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</si>
  <si>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</si>
  <si>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</si>
  <si>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</si>
  <si>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</si>
  <si>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</si>
  <si>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</si>
  <si>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</si>
  <si>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</si>
  <si>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</si>
  <si>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</si>
  <si>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</si>
  <si>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</si>
  <si>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</si>
  <si>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</si>
  <si>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</si>
  <si>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</si>
  <si>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</si>
  <si>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</si>
  <si>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</si>
  <si>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</si>
  <si>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</si>
  <si>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</si>
  <si>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</si>
  <si>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</si>
  <si>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</si>
  <si>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</si>
  <si>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</si>
  <si>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</si>
  <si>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</si>
  <si>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</si>
  <si>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</si>
  <si>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</si>
  <si>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</si>
  <si>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</si>
  <si>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</si>
  <si>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</si>
  <si>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</si>
  <si>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</si>
  <si>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</si>
  <si>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</si>
  <si>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</si>
  <si>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</si>
  <si>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</si>
  <si>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</si>
  <si>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</si>
  <si>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</si>
  <si>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</si>
  <si>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</si>
  <si>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</si>
  <si>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</si>
  <si>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</si>
  <si>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</si>
  <si>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</si>
  <si>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</si>
  <si>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</si>
  <si>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</si>
  <si>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</si>
  <si>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</si>
  <si>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</si>
  <si>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</si>
  <si>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</si>
  <si>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</si>
  <si>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</si>
  <si>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</si>
  <si>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</si>
  <si>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</si>
  <si>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</si>
  <si>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</si>
  <si>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</si>
  <si>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</si>
  <si>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</si>
  <si>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</si>
  <si>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</si>
  <si>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</si>
  <si>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</si>
  <si>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</si>
  <si>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</si>
  <si>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</si>
  <si>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</si>
  <si>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</si>
  <si>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</si>
  <si>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</si>
  <si>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</si>
  <si>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</si>
  <si>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</si>
  <si>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</si>
  <si>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</si>
  <si>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</si>
  <si>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</si>
  <si>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</si>
  <si>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</si>
  <si>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</si>
  <si>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</si>
  <si>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</si>
  <si>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</si>
  <si>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</si>
  <si>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</si>
  <si>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</si>
  <si>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</si>
  <si>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</si>
  <si>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</si>
  <si>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</si>
  <si>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</si>
  <si>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</si>
  <si>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</si>
  <si>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</si>
  <si>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</si>
  <si>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</si>
  <si>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</si>
  <si>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</si>
  <si>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</si>
  <si>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</si>
  <si>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</si>
  <si>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</si>
  <si>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</si>
  <si>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</si>
  <si>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</si>
  <si>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</si>
  <si>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</si>
  <si>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</si>
  <si>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</si>
  <si>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</si>
  <si>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</si>
  <si>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</si>
  <si>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</si>
  <si>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</si>
  <si>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</si>
  <si>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</si>
  <si>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</si>
  <si>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</si>
  <si>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</si>
  <si>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</si>
  <si>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</si>
  <si>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</si>
  <si>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</si>
  <si>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</si>
  <si>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</si>
  <si>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</si>
  <si>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</si>
  <si>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</si>
  <si>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</si>
  <si>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</si>
  <si>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</si>
  <si>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</si>
  <si>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</si>
  <si>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</si>
  <si>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</si>
  <si>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</si>
  <si>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</si>
  <si>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</si>
  <si>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</si>
  <si>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</si>
  <si>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</si>
  <si>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</si>
  <si>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</si>
  <si>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FY23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</si>
  <si>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</si>
  <si>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</si>
  <si>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</si>
  <si>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</si>
  <si>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</si>
  <si>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</si>
  <si>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</si>
  <si>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</si>
  <si>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</si>
  <si>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</si>
  <si>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</si>
  <si>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</si>
  <si>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</si>
  <si>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</si>
  <si>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</si>
  <si>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</si>
  <si>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</si>
  <si>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</si>
  <si>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</si>
  <si>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</si>
  <si>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</si>
  <si>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</si>
  <si>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</si>
  <si>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</si>
  <si>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</si>
  <si>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</si>
  <si>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</si>
  <si>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</si>
  <si>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</si>
  <si>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</si>
  <si>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</si>
  <si>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</si>
  <si>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</si>
  <si>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</si>
  <si>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</si>
  <si>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</si>
  <si>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</si>
  <si>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</si>
  <si>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</si>
  <si>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</si>
  <si>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</si>
  <si>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</si>
  <si>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</si>
  <si>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</si>
  <si>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</si>
  <si>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</si>
  <si>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</si>
  <si>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</si>
  <si>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</si>
  <si>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</si>
  <si>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</si>
  <si>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</si>
  <si>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</si>
  <si>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</si>
  <si>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</si>
  <si>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</si>
  <si>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</si>
  <si>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</si>
  <si>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</si>
  <si>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</si>
  <si>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</si>
  <si>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</si>
  <si>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</si>
  <si>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</si>
  <si>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</si>
  <si>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</si>
  <si>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</si>
  <si>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</si>
  <si>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</si>
  <si>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</si>
  <si>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</si>
  <si>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</si>
  <si>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</si>
  <si>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</si>
  <si>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</si>
  <si>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</si>
  <si>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</si>
  <si>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</si>
  <si>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</si>
  <si>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</si>
  <si>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</si>
  <si>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</si>
  <si>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</si>
  <si>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</si>
  <si>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</si>
  <si>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</si>
  <si>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</si>
  <si>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</si>
  <si>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</si>
  <si>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</si>
  <si>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</si>
  <si>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</si>
  <si>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</si>
  <si>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</si>
  <si>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</si>
  <si>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</si>
  <si>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</si>
  <si>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</si>
  <si>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</si>
  <si>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</si>
  <si>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</si>
  <si>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</si>
  <si>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</si>
  <si>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</si>
  <si>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</si>
  <si>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</si>
  <si>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</si>
  <si>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</si>
  <si>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</si>
  <si>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</si>
  <si>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</si>
  <si>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</si>
  <si>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</si>
  <si>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</si>
  <si>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</si>
  <si>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</si>
  <si>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</si>
  <si>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</si>
  <si>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</si>
  <si>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</si>
  <si>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</si>
  <si>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</si>
  <si>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</si>
  <si>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</si>
  <si>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</si>
  <si>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</si>
  <si>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</si>
  <si>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</si>
  <si>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</si>
  <si>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</si>
  <si>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</si>
  <si>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</si>
  <si>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</si>
  <si>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</si>
  <si>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</si>
  <si>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</si>
  <si>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</si>
  <si>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</si>
  <si>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</si>
  <si>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</si>
  <si>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</si>
  <si>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</si>
  <si>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</si>
  <si>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</si>
  <si>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</si>
  <si>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</si>
  <si>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</si>
  <si>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</si>
  <si>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</si>
  <si>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</si>
  <si>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</si>
  <si>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</si>
  <si>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</si>
  <si>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</si>
  <si>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</si>
  <si>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</si>
  <si>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</si>
  <si>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</si>
  <si>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</si>
  <si>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</si>
  <si>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</si>
  <si>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</si>
  <si>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</si>
  <si>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</si>
  <si>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</si>
  <si>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</si>
  <si>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</si>
  <si>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</si>
  <si>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</si>
  <si>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</si>
  <si>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</si>
  <si>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</si>
  <si>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</si>
  <si>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</si>
  <si>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</si>
  <si>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</si>
  <si>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</si>
  <si>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</si>
  <si>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</si>
  <si>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</si>
  <si>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</si>
  <si>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</si>
  <si>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</si>
  <si>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</si>
  <si>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</si>
  <si>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</si>
  <si>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</si>
  <si>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</si>
  <si>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</si>
  <si>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</si>
  <si>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</si>
  <si>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</si>
  <si>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</si>
  <si>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</si>
  <si>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</si>
  <si>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</si>
  <si>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</si>
  <si>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</si>
  <si>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</si>
  <si>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</si>
  <si>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</si>
  <si>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</si>
  <si>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</si>
  <si>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</si>
  <si>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</si>
  <si>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</si>
  <si>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</si>
  <si>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</si>
  <si>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</si>
  <si>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</si>
  <si>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</si>
  <si>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</si>
  <si>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</si>
  <si>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</si>
  <si>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</si>
  <si>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</si>
  <si>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</si>
  <si>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</si>
  <si>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</si>
  <si>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</si>
  <si>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</si>
  <si>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</si>
  <si>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</si>
  <si>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</si>
  <si>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</si>
  <si>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</si>
  <si>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</si>
  <si>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</si>
  <si>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</si>
  <si>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</si>
  <si>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</si>
  <si>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</si>
  <si>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</si>
  <si>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</si>
  <si>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</si>
  <si>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</si>
  <si>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</si>
  <si>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</si>
  <si>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</si>
  <si>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</si>
  <si>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</si>
  <si>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</si>
  <si>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</si>
  <si>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</si>
  <si>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</si>
  <si>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</si>
  <si>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</si>
  <si>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</si>
  <si>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</si>
  <si>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FY24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</si>
  <si>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</si>
  <si>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</si>
  <si>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</si>
  <si>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</si>
  <si>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</si>
  <si>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</si>
  <si>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</si>
  <si>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</si>
  <si>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</si>
  <si>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</si>
  <si>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</si>
  <si>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</si>
  <si>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</si>
  <si>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</si>
  <si>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</si>
  <si>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</si>
  <si>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</si>
  <si>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</si>
  <si>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</si>
  <si>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</si>
  <si>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</si>
  <si>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</si>
  <si>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</si>
  <si>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</si>
  <si>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</si>
  <si>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</si>
  <si>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</si>
  <si>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</si>
  <si>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</si>
  <si>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</si>
  <si>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</si>
  <si>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</si>
  <si>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</si>
  <si>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</si>
  <si>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</si>
  <si>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</si>
  <si>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</si>
  <si>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</si>
  <si>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</si>
  <si>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</si>
  <si>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</si>
  <si>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</si>
  <si>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</si>
  <si>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</si>
  <si>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</si>
  <si>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</si>
  <si>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</si>
  <si>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</si>
  <si>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</si>
  <si>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</si>
  <si>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</si>
  <si>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</si>
  <si>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</si>
  <si>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</si>
  <si>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</si>
  <si>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</si>
  <si>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</si>
  <si>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</si>
  <si>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</si>
  <si>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</si>
  <si>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</si>
  <si>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</si>
  <si>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</si>
  <si>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</si>
  <si>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</si>
  <si>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</si>
  <si>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</si>
  <si>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</si>
  <si>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</si>
  <si>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</si>
  <si>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</si>
  <si>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</si>
  <si>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</si>
  <si>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</si>
  <si>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</si>
  <si>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</si>
  <si>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</si>
  <si>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</si>
  <si>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</si>
  <si>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</si>
  <si>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</si>
  <si>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</si>
  <si>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</si>
  <si>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</si>
  <si>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</si>
  <si>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</si>
  <si>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</si>
  <si>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</si>
  <si>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</si>
  <si>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</si>
  <si>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</si>
  <si>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</si>
  <si>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</si>
  <si>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</si>
  <si>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</si>
  <si>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</si>
  <si>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</si>
  <si>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</si>
  <si>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</si>
  <si>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</si>
  <si>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</si>
  <si>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</si>
  <si>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</si>
  <si>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</si>
  <si>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</si>
  <si>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</si>
  <si>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</si>
  <si>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</si>
  <si>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</si>
  <si>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</si>
  <si>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</si>
  <si>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</si>
  <si>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</si>
  <si>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</si>
  <si>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</si>
  <si>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</si>
  <si>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</si>
  <si>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</si>
  <si>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</si>
  <si>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</si>
  <si>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</si>
  <si>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</si>
  <si>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</si>
  <si>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</si>
  <si>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</si>
  <si>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</si>
  <si>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</si>
  <si>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</si>
  <si>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</si>
  <si>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</si>
  <si>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</si>
  <si>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</si>
  <si>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</si>
  <si>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</si>
  <si>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</si>
  <si>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</si>
  <si>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</si>
  <si>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</si>
  <si>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</si>
  <si>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</si>
  <si>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</si>
  <si>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</si>
  <si>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</si>
  <si>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</si>
  <si>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</si>
  <si>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</si>
  <si>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</si>
  <si>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</si>
  <si>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</si>
  <si>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</si>
  <si>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</si>
  <si>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</si>
  <si>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</si>
  <si>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</si>
  <si>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</si>
  <si>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</si>
  <si>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</si>
  <si>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</si>
  <si>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</si>
  <si>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</si>
  <si>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</si>
  <si>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</si>
  <si>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</si>
  <si>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</si>
  <si>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</si>
  <si>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</si>
  <si>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</si>
  <si>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</si>
  <si>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</si>
  <si>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</si>
  <si>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</si>
  <si>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</si>
  <si>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</si>
  <si>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</si>
  <si>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</si>
  <si>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</si>
  <si>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</si>
  <si>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</si>
  <si>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</si>
  <si>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</si>
  <si>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</si>
  <si>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</si>
  <si>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</si>
  <si>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</si>
  <si>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</si>
  <si>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</si>
  <si>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</si>
  <si>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</si>
  <si>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</si>
  <si>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</si>
  <si>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</si>
  <si>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</si>
  <si>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</si>
  <si>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</si>
  <si>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</si>
  <si>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</si>
  <si>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</si>
  <si>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</si>
  <si>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</si>
  <si>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</si>
  <si>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</si>
  <si>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</si>
  <si>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</si>
  <si>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</si>
  <si>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</si>
  <si>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</si>
  <si>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</si>
  <si>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</si>
  <si>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</si>
  <si>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</si>
  <si>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</si>
  <si>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</si>
  <si>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</si>
  <si>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</si>
  <si>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</si>
  <si>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</si>
  <si>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</si>
  <si>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</si>
  <si>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</si>
  <si>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</si>
  <si>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</si>
  <si>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</si>
  <si>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</si>
  <si>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</si>
  <si>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</si>
  <si>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</si>
  <si>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</si>
  <si>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</si>
  <si>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</si>
  <si>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</si>
  <si>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</si>
  <si>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</si>
  <si>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</si>
  <si>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</si>
  <si>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</si>
  <si>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</si>
  <si>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</si>
  <si>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</si>
  <si>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</si>
  <si>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</si>
  <si>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</si>
  <si>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</si>
  <si>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</si>
  <si>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FY25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</si>
  <si>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</si>
  <si>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</si>
  <si>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</si>
  <si>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</si>
  <si>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</si>
  <si>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</si>
  <si>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</si>
  <si>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</si>
  <si>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</si>
  <si>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</si>
  <si>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</si>
  <si>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</si>
  <si>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</si>
  <si>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</si>
  <si>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</si>
  <si>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</si>
  <si>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</si>
  <si>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</si>
  <si>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</si>
  <si>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</si>
  <si>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</si>
  <si>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</si>
  <si>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</si>
  <si>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</si>
  <si>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</si>
  <si>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</si>
  <si>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</si>
  <si>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</si>
  <si>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</si>
  <si>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</si>
  <si>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</si>
  <si>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</si>
  <si>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</si>
  <si>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</si>
  <si>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</si>
  <si>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</si>
  <si>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</si>
  <si>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</si>
  <si>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</si>
  <si>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</si>
  <si>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</si>
  <si>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</si>
  <si>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</si>
  <si>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</si>
  <si>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</si>
  <si>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</si>
  <si>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</si>
  <si>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</si>
  <si>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</si>
  <si>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</si>
  <si>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</si>
  <si>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</si>
  <si>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</si>
  <si>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</si>
  <si>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</si>
  <si>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</si>
  <si>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</si>
  <si>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</si>
  <si>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</si>
  <si>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</si>
  <si>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</si>
  <si>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</si>
  <si>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</si>
  <si>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</si>
  <si>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</si>
  <si>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</si>
  <si>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</si>
  <si>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</si>
  <si>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</si>
  <si>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</si>
  <si>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</si>
  <si>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</si>
  <si>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</si>
  <si>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</si>
  <si>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</si>
  <si>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</si>
  <si>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</si>
  <si>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</si>
  <si>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</si>
  <si>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</si>
  <si>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</si>
  <si>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</si>
  <si>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</si>
  <si>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</si>
  <si>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</si>
  <si>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</si>
  <si>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</si>
  <si>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</si>
  <si>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</si>
  <si>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</si>
  <si>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</si>
  <si>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</si>
  <si>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</si>
  <si>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</si>
  <si>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</si>
  <si>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</si>
  <si>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</si>
  <si>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</si>
  <si>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</si>
  <si>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</si>
  <si>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</si>
  <si>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</si>
  <si>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</si>
  <si>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</si>
  <si>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</si>
  <si>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</si>
  <si>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</si>
  <si>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</si>
  <si>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</si>
  <si>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</si>
  <si>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</si>
  <si>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</si>
  <si>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</si>
  <si>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</si>
  <si>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</si>
  <si>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</si>
  <si>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</si>
  <si>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</si>
  <si>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</si>
  <si>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</si>
  <si>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</si>
  <si>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</si>
  <si>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</si>
  <si>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</si>
  <si>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</si>
  <si>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</si>
  <si>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</si>
  <si>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</si>
  <si>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</si>
  <si>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</si>
  <si>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</si>
  <si>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</si>
  <si>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</si>
  <si>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</si>
  <si>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</si>
  <si>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</si>
  <si>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</si>
  <si>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</si>
  <si>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</si>
  <si>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</si>
  <si>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</si>
  <si>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</si>
  <si>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</si>
  <si>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</si>
  <si>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</si>
  <si>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</si>
  <si>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</si>
  <si>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</si>
  <si>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</si>
  <si>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</si>
  <si>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</si>
  <si>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</si>
  <si>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</si>
  <si>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</si>
  <si>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</si>
  <si>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</si>
  <si>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</si>
  <si>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</si>
  <si>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</si>
  <si>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</si>
  <si>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</si>
  <si>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</si>
  <si>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</si>
  <si>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</si>
  <si>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</si>
  <si>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</si>
  <si>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</si>
  <si>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</si>
  <si>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</si>
  <si>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</si>
  <si>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</si>
  <si>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</si>
  <si>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</si>
  <si>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</si>
  <si>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</si>
  <si>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</si>
  <si>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</si>
  <si>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</si>
  <si>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</si>
  <si>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</si>
  <si>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</si>
  <si>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</si>
  <si>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</si>
  <si>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</si>
  <si>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</si>
  <si>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</si>
  <si>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</si>
  <si>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</si>
  <si>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</si>
  <si>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</si>
  <si>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</si>
  <si>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</si>
  <si>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</si>
  <si>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</si>
  <si>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</si>
  <si>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</si>
  <si>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</si>
  <si>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</si>
  <si>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</si>
  <si>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</si>
  <si>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</si>
  <si>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</si>
  <si>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</si>
  <si>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</si>
  <si>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</si>
  <si>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</si>
  <si>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</si>
  <si>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</si>
  <si>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</si>
  <si>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</si>
  <si>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</si>
  <si>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</si>
  <si>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</si>
  <si>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</si>
  <si>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</si>
  <si>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</si>
  <si>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</si>
  <si>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</si>
  <si>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</si>
  <si>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</si>
  <si>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</si>
  <si>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</si>
  <si>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</si>
  <si>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</si>
  <si>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</si>
  <si>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</si>
  <si>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</si>
  <si>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</si>
  <si>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</si>
  <si>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</si>
  <si>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</si>
  <si>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</si>
  <si>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</si>
  <si>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</si>
  <si>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</si>
  <si>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</si>
  <si>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</si>
  <si>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</si>
  <si>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</si>
  <si>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</si>
  <si>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</si>
  <si>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</si>
  <si>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</si>
  <si>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</si>
  <si>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</si>
  <si>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</si>
  <si>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</si>
  <si>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</si>
  <si>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FY26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</si>
  <si>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</si>
  <si>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</si>
  <si>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</si>
  <si>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</si>
  <si>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</si>
  <si>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</si>
  <si>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</si>
  <si>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</si>
  <si>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</si>
  <si>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</si>
  <si>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</si>
  <si>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</si>
  <si>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</si>
  <si>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</si>
  <si>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</si>
  <si>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</si>
  <si>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</si>
  <si>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</si>
  <si>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</si>
  <si>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</si>
  <si>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</si>
  <si>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</si>
  <si>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</si>
  <si>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</si>
  <si>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</si>
  <si>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</si>
  <si>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</si>
  <si>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</si>
  <si>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</si>
  <si>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</si>
  <si>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</si>
  <si>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</si>
  <si>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</si>
  <si>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</si>
  <si>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</si>
  <si>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</si>
  <si>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</si>
  <si>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</si>
  <si>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</si>
  <si>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</si>
  <si>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</si>
  <si>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</si>
  <si>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</si>
  <si>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</si>
  <si>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</si>
  <si>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</si>
  <si>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</si>
  <si>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</si>
  <si>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</si>
  <si>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</si>
  <si>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</si>
  <si>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</si>
  <si>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</si>
  <si>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</si>
  <si>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</si>
  <si>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</si>
  <si>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</si>
  <si>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</si>
  <si>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</si>
  <si>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</si>
  <si>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</si>
  <si>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</si>
  <si>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</si>
  <si>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</si>
  <si>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</si>
  <si>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</si>
  <si>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</si>
  <si>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</si>
  <si>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</si>
  <si>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</si>
  <si>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</si>
  <si>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</si>
  <si>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</si>
  <si>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</si>
  <si>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</si>
  <si>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</si>
  <si>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</si>
  <si>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</si>
  <si>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</si>
  <si>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</si>
  <si>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</si>
  <si>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</si>
  <si>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</si>
  <si>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</si>
  <si>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</si>
  <si>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</si>
  <si>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</si>
  <si>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</si>
  <si>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</si>
  <si>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</si>
  <si>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</si>
  <si>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</si>
  <si>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</si>
  <si>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</si>
  <si>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</si>
  <si>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</si>
  <si>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</si>
  <si>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</si>
  <si>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</si>
  <si>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</si>
  <si>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</si>
  <si>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</si>
  <si>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</si>
  <si>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</si>
  <si>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</si>
  <si>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</si>
  <si>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</si>
  <si>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</si>
  <si>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</si>
  <si>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</si>
  <si>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</si>
  <si>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</si>
  <si>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</si>
  <si>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</si>
  <si>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</si>
  <si>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</si>
  <si>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</si>
  <si>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</si>
  <si>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</si>
  <si>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</si>
  <si>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</si>
  <si>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</si>
  <si>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</si>
  <si>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</si>
  <si>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</si>
  <si>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</si>
  <si>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</si>
  <si>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</si>
  <si>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</si>
  <si>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</si>
  <si>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</si>
  <si>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</si>
  <si>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</si>
  <si>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</si>
  <si>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</si>
  <si>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</si>
  <si>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</si>
  <si>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</si>
  <si>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</si>
  <si>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</si>
  <si>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</si>
  <si>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</si>
  <si>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</si>
  <si>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</si>
  <si>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</si>
  <si>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</si>
  <si>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</si>
  <si>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</si>
  <si>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</si>
  <si>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</si>
  <si>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</si>
  <si>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</si>
  <si>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</si>
  <si>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</si>
  <si>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</si>
  <si>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</si>
  <si>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</si>
  <si>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</si>
  <si>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</si>
  <si>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</si>
  <si>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</si>
  <si>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</si>
  <si>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</si>
  <si>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</si>
  <si>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</si>
  <si>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</si>
  <si>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</si>
  <si>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</si>
  <si>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</si>
  <si>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</si>
  <si>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</si>
  <si>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</si>
  <si>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</si>
  <si>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</si>
  <si>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</si>
  <si>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</si>
  <si>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</si>
  <si>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</si>
  <si>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</si>
  <si>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</si>
  <si>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</si>
  <si>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</si>
  <si>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</si>
  <si>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</si>
  <si>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</si>
  <si>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</si>
  <si>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</si>
  <si>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</si>
  <si>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</si>
  <si>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</si>
  <si>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</si>
  <si>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</si>
  <si>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</si>
  <si>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</si>
  <si>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</si>
  <si>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</si>
  <si>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</si>
  <si>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</si>
  <si>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</si>
  <si>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</si>
  <si>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</si>
  <si>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</si>
  <si>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</si>
  <si>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</si>
  <si>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</si>
  <si>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</si>
  <si>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</si>
  <si>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</si>
  <si>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</si>
  <si>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</si>
  <si>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</si>
  <si>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</si>
  <si>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</si>
  <si>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</si>
  <si>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</si>
  <si>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</si>
  <si>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</si>
  <si>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</si>
  <si>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</si>
  <si>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</si>
  <si>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</si>
  <si>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</si>
  <si>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</si>
  <si>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</si>
  <si>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</si>
  <si>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</si>
  <si>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</si>
  <si>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</si>
  <si>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</si>
  <si>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</si>
  <si>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</si>
  <si>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</si>
  <si>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</si>
  <si>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</si>
  <si>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</si>
  <si>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</si>
  <si>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</si>
  <si>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</si>
  <si>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</si>
  <si>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</si>
  <si>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</si>
  <si>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</si>
  <si>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</si>
  <si>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</si>
  <si>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</si>
  <si>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</si>
  <si>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2026-04-01</t>
  </si>
  <si>
    <t>FY27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</si>
  <si>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</si>
  <si>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</si>
  <si>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</si>
  <si>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</si>
  <si>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</si>
  <si>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</si>
  <si>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</si>
  <si>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</si>
  <si>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</si>
  <si>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</si>
  <si>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</si>
  <si>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</si>
  <si>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</si>
  <si>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</si>
  <si>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</si>
  <si>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</si>
  <si>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</si>
  <si>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</si>
  <si>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</si>
  <si>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</si>
  <si>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</si>
  <si>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</si>
  <si>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</si>
  <si>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</si>
  <si>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</si>
  <si>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</si>
  <si>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</si>
  <si>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</si>
  <si>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</si>
  <si>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</si>
  <si>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</si>
  <si>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</si>
  <si>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</si>
  <si>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</si>
  <si>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</si>
  <si>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</si>
  <si>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</si>
  <si>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</si>
  <si>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</si>
  <si>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</si>
  <si>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</si>
  <si>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</si>
  <si>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</si>
  <si>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</si>
  <si>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</si>
  <si>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</si>
  <si>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</si>
  <si>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</si>
  <si>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</si>
  <si>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</si>
  <si>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</si>
  <si>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</si>
  <si>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</si>
  <si>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</si>
  <si>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</si>
  <si>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</si>
  <si>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</si>
  <si>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</si>
  <si>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</si>
  <si>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</si>
  <si>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</si>
  <si>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</si>
  <si>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</si>
  <si>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</si>
  <si>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</si>
  <si>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</si>
  <si>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</si>
  <si>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</si>
  <si>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</si>
  <si>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</si>
  <si>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</si>
  <si>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</si>
  <si>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</si>
  <si>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</si>
  <si>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</si>
  <si>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</si>
  <si>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</si>
  <si>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</si>
  <si>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</si>
  <si>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</si>
  <si>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</si>
  <si>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</si>
  <si>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</si>
  <si>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Valuation</t>
  </si>
  <si>
    <t>Historical FY-end price; forecast implied price = diluted EPS × target P/E</t>
  </si>
  <si>
    <t>Market capitalization</t>
  </si>
  <si>
    <t>Lease liabilities</t>
  </si>
  <si>
    <t>Enterprise value</t>
  </si>
  <si>
    <t>P / book</t>
  </si>
  <si>
    <t>Target P/E assumption</t>
  </si>
  <si>
    <t>Implied share price</t>
  </si>
  <si>
    <t>Upside / (downside) vs prior FY-end</t>
  </si>
  <si>
    <t>Model Checks</t>
  </si>
  <si>
    <t>Accounting, cash, quarterly roll-up, operating-mix, forecast-integration and circularity checks</t>
  </si>
  <si>
    <t>Check</t>
  </si>
  <si>
    <t>Actual / Calc</t>
  </si>
  <si>
    <t>Control</t>
  </si>
  <si>
    <t>Difference</t>
  </si>
  <si>
    <t>Tolerance</t>
  </si>
  <si>
    <t>OVERALL MODEL STATUS</t>
  </si>
  <si>
    <t>FY16A balance sheet</t>
  </si>
  <si>
    <t>FY16A cash tie after basis reconciliation</t>
  </si>
  <si>
    <t>FY17A balance sheet</t>
  </si>
  <si>
    <t>FY17A cash tie after basis reconciliation</t>
  </si>
  <si>
    <t>FY18A balance sheet</t>
  </si>
  <si>
    <t>FY18A cash tie after basis reconciliation</t>
  </si>
  <si>
    <t>FY19A balance sheet</t>
  </si>
  <si>
    <t>FY19A cash tie after basis reconciliation</t>
  </si>
  <si>
    <t>FY20A balance sheet</t>
  </si>
  <si>
    <t>FY20A cash tie after basis reconciliation</t>
  </si>
  <si>
    <t>FY21A balance sheet</t>
  </si>
  <si>
    <t>FY21A cash tie after basis reconciliation</t>
  </si>
  <si>
    <t>FY22A balance sheet</t>
  </si>
  <si>
    <t>FY22A cash tie after basis reconciliation</t>
  </si>
  <si>
    <t>FY23A balance sheet</t>
  </si>
  <si>
    <t>FY23A cash tie after basis reconciliation</t>
  </si>
  <si>
    <t>FY24A balance sheet</t>
  </si>
  <si>
    <t>FY24A cash tie after basis reconciliation</t>
  </si>
  <si>
    <t>FY25A balance sheet</t>
  </si>
  <si>
    <t>FY25A cash tie after basis reconciliation</t>
  </si>
  <si>
    <t>FY26A balance sheet</t>
  </si>
  <si>
    <t>FY26A cash tie after basis reconciliation</t>
  </si>
  <si>
    <t>FY27E balance sheet</t>
  </si>
  <si>
    <t>FY27E cash tie after basis reconciliation</t>
  </si>
  <si>
    <t>FY28E balance sheet</t>
  </si>
  <si>
    <t>FY28E cash tie after basis reconciliation</t>
  </si>
  <si>
    <t>FY29E balance sheet</t>
  </si>
  <si>
    <t>FY29E cash tie after basis reconciliation</t>
  </si>
  <si>
    <t>FY30E balance sheet</t>
  </si>
  <si>
    <t>FY30E cash tie after basis reconciliation</t>
  </si>
  <si>
    <t>FY16 quarterly revenue roll-up</t>
  </si>
  <si>
    <t>FY16 quarterly EBITDA roll-up</t>
  </si>
  <si>
    <t>FY16 quarterly EBIT roll-up</t>
  </si>
  <si>
    <t>FY16 quarterly PBT roll-up</t>
  </si>
  <si>
    <t>FY16 quarterly NI roll-up</t>
  </si>
  <si>
    <t>FY16 diluted EPS check</t>
  </si>
  <si>
    <t>FY16 PBT reported / quarterly control</t>
  </si>
  <si>
    <t>FY16 NI reported control</t>
  </si>
  <si>
    <t>FY16 technical HC &lt;= total</t>
  </si>
  <si>
    <t>FY16 billable FTE &lt;= technical HC</t>
  </si>
  <si>
    <t>FY16 geography mix</t>
  </si>
  <si>
    <t>FY16 currency mix</t>
  </si>
  <si>
    <t>FY17 quarterly revenue roll-up</t>
  </si>
  <si>
    <t>FY17 quarterly EBITDA roll-up</t>
  </si>
  <si>
    <t>FY17 quarterly EBIT roll-up</t>
  </si>
  <si>
    <t>FY17 quarterly PBT roll-up</t>
  </si>
  <si>
    <t>FY17 quarterly NI roll-up</t>
  </si>
  <si>
    <t>FY17 diluted EPS check</t>
  </si>
  <si>
    <t>FY17 PBT reported / quarterly control</t>
  </si>
  <si>
    <t>FY17 NI reported control</t>
  </si>
  <si>
    <t>FY17 technical HC &lt;= total</t>
  </si>
  <si>
    <t>FY17 billable FTE &lt;= technical HC</t>
  </si>
  <si>
    <t>FY17 geography mix</t>
  </si>
  <si>
    <t>FY17 currency mix</t>
  </si>
  <si>
    <t>FY18 quarterly revenue roll-up</t>
  </si>
  <si>
    <t>FY18 quarterly EBITDA roll-up</t>
  </si>
  <si>
    <t>FY18 quarterly EBIT roll-up</t>
  </si>
  <si>
    <t>FY18 quarterly PBT roll-up</t>
  </si>
  <si>
    <t>FY18 quarterly NI roll-up</t>
  </si>
  <si>
    <t>FY18 diluted EPS check</t>
  </si>
  <si>
    <t>FY18 PBT reported / quarterly control</t>
  </si>
  <si>
    <t>FY18 NI reported control</t>
  </si>
  <si>
    <t>FY18 technical HC &lt;= total</t>
  </si>
  <si>
    <t>FY18 billable FTE &lt;= technical HC</t>
  </si>
  <si>
    <t>FY18 geography mix</t>
  </si>
  <si>
    <t>FY18 currency mix</t>
  </si>
  <si>
    <t>FY19 quarterly revenue roll-up</t>
  </si>
  <si>
    <t>FY19 quarterly EBITDA roll-up</t>
  </si>
  <si>
    <t>FY19 quarterly EBIT roll-up</t>
  </si>
  <si>
    <t>FY19 quarterly PBT roll-up</t>
  </si>
  <si>
    <t>FY19 quarterly NI roll-up</t>
  </si>
  <si>
    <t>FY19 diluted EPS check</t>
  </si>
  <si>
    <t>FY19 PBT reported / quarterly control</t>
  </si>
  <si>
    <t>FY19 NI reported control</t>
  </si>
  <si>
    <t>FY19 technical HC &lt;= total</t>
  </si>
  <si>
    <t>FY19 billable FTE &lt;= technical HC</t>
  </si>
  <si>
    <t>FY19 geography mix</t>
  </si>
  <si>
    <t>FY19 currency mix</t>
  </si>
  <si>
    <t>FY20 quarterly revenue roll-up</t>
  </si>
  <si>
    <t>FY20 quarterly EBITDA roll-up</t>
  </si>
  <si>
    <t>FY20 quarterly EBIT roll-up</t>
  </si>
  <si>
    <t>FY20 quarterly PBT roll-up</t>
  </si>
  <si>
    <t>FY20 quarterly NI roll-up</t>
  </si>
  <si>
    <t>FY20 diluted EPS check</t>
  </si>
  <si>
    <t>FY20 PBT reported / quarterly control</t>
  </si>
  <si>
    <t>FY20 NI reported control</t>
  </si>
  <si>
    <t>FY20 technical HC &lt;= total</t>
  </si>
  <si>
    <t>FY20 billable FTE &lt;= technical HC</t>
  </si>
  <si>
    <t>FY20 geography mix</t>
  </si>
  <si>
    <t>FY20 currency mix</t>
  </si>
  <si>
    <t>FY21 quarterly revenue roll-up</t>
  </si>
  <si>
    <t>FY21 quarterly EBITDA roll-up</t>
  </si>
  <si>
    <t>FY21 quarterly EBIT roll-up</t>
  </si>
  <si>
    <t>FY21 quarterly PBT roll-up</t>
  </si>
  <si>
    <t>FY21 quarterly NI roll-up</t>
  </si>
  <si>
    <t>FY21 diluted EPS check</t>
  </si>
  <si>
    <t>FY21 PBT reported / quarterly control</t>
  </si>
  <si>
    <t>FY21 NI reported control</t>
  </si>
  <si>
    <t>FY21 technical HC &lt;= total</t>
  </si>
  <si>
    <t>FY21 billable FTE &lt;= technical HC</t>
  </si>
  <si>
    <t>FY21 geography mix</t>
  </si>
  <si>
    <t>FY21 currency mix</t>
  </si>
  <si>
    <t>FY22 quarterly revenue roll-up</t>
  </si>
  <si>
    <t>FY22 quarterly EBITDA roll-up</t>
  </si>
  <si>
    <t>FY22 quarterly EBIT roll-up</t>
  </si>
  <si>
    <t>FY22 quarterly PBT roll-up</t>
  </si>
  <si>
    <t>FY22 quarterly NI roll-up</t>
  </si>
  <si>
    <t>FY22 diluted EPS check</t>
  </si>
  <si>
    <t>FY22 PBT reported / quarterly control</t>
  </si>
  <si>
    <t>FY22 NI reported control</t>
  </si>
  <si>
    <t>FY22 technical HC &lt;= total</t>
  </si>
  <si>
    <t>FY22 billable FTE &lt;= technical HC</t>
  </si>
  <si>
    <t>FY22 geography mix</t>
  </si>
  <si>
    <t>FY22 currency mix</t>
  </si>
  <si>
    <t>FY23 quarterly revenue roll-up</t>
  </si>
  <si>
    <t>FY23 quarterly EBITDA roll-up</t>
  </si>
  <si>
    <t>FY23 quarterly EBIT roll-up</t>
  </si>
  <si>
    <t>FY23 quarterly PBT roll-up</t>
  </si>
  <si>
    <t>FY23 quarterly NI roll-up</t>
  </si>
  <si>
    <t>FY23 diluted EPS check</t>
  </si>
  <si>
    <t>FY23 PBT reported / quarterly control</t>
  </si>
  <si>
    <t>FY23 NI reported control</t>
  </si>
  <si>
    <t>FY23 technical HC &lt;= total</t>
  </si>
  <si>
    <t>FY23 billable FTE &lt;= technical HC</t>
  </si>
  <si>
    <t>FY23 geography mix</t>
  </si>
  <si>
    <t>FY23 currency mix</t>
  </si>
  <si>
    <t>FY24 quarterly revenue roll-up</t>
  </si>
  <si>
    <t>FY24 quarterly EBITDA roll-up</t>
  </si>
  <si>
    <t>FY24 quarterly EBIT roll-up</t>
  </si>
  <si>
    <t>FY24 quarterly PBT roll-up</t>
  </si>
  <si>
    <t>FY24 quarterly NI roll-up</t>
  </si>
  <si>
    <t>FY24 diluted EPS check</t>
  </si>
  <si>
    <t>FY24 PBT reported / quarterly control</t>
  </si>
  <si>
    <t>FY24 NI reported control</t>
  </si>
  <si>
    <t>FY24 technical HC &lt;= total</t>
  </si>
  <si>
    <t>FY24 billable FTE &lt;= technical HC</t>
  </si>
  <si>
    <t>FY24 geography mix</t>
  </si>
  <si>
    <t>FY24 currency mix</t>
  </si>
  <si>
    <t>FY25 quarterly revenue roll-up</t>
  </si>
  <si>
    <t>FY25 quarterly EBITDA roll-up</t>
  </si>
  <si>
    <t>FY25 quarterly EBIT roll-up</t>
  </si>
  <si>
    <t>FY25 quarterly PBT roll-up</t>
  </si>
  <si>
    <t>FY25 quarterly NI roll-up</t>
  </si>
  <si>
    <t>FY25 diluted EPS check</t>
  </si>
  <si>
    <t>FY25 PBT reported / quarterly control</t>
  </si>
  <si>
    <t>FY25 NI reported control</t>
  </si>
  <si>
    <t>FY25 technical HC &lt;= total</t>
  </si>
  <si>
    <t>FY25 billable FTE &lt;= technical HC</t>
  </si>
  <si>
    <t>FY25 geography mix</t>
  </si>
  <si>
    <t>FY25 currency mix</t>
  </si>
  <si>
    <t>FY26 quarterly revenue roll-up</t>
  </si>
  <si>
    <t>FY26 quarterly EBITDA roll-up</t>
  </si>
  <si>
    <t>FY26 quarterly EBIT roll-up</t>
  </si>
  <si>
    <t>FY26 quarterly PBT roll-up</t>
  </si>
  <si>
    <t>FY26 quarterly NI roll-up</t>
  </si>
  <si>
    <t>FY26 diluted EPS check</t>
  </si>
  <si>
    <t>FY26 PBT reported / quarterly control</t>
  </si>
  <si>
    <t>FY26 NI reported control</t>
  </si>
  <si>
    <t>FY26 technical HC &lt;= total</t>
  </si>
  <si>
    <t>FY26 billable FTE &lt;= technical HC</t>
  </si>
  <si>
    <t>FY26 geography mix</t>
  </si>
  <si>
    <t>FY26 currency mix</t>
  </si>
  <si>
    <t>FY27 revenue driver tie</t>
  </si>
  <si>
    <t>FY27 current industry mix</t>
  </si>
  <si>
    <t>FY27 current industry revenue tie</t>
  </si>
  <si>
    <t>FY27 technical HC &lt;= total</t>
  </si>
  <si>
    <t>FY27 billable FTE &lt;= technical HC</t>
  </si>
  <si>
    <t>FY28 revenue driver tie</t>
  </si>
  <si>
    <t>FY28 current industry mix</t>
  </si>
  <si>
    <t>FY28 current industry revenue tie</t>
  </si>
  <si>
    <t>FY28 technical HC &lt;= total</t>
  </si>
  <si>
    <t>FY28 billable FTE &lt;= technical HC</t>
  </si>
  <si>
    <t>FY29 revenue driver tie</t>
  </si>
  <si>
    <t>FY29 current industry mix</t>
  </si>
  <si>
    <t>FY29 current industry revenue tie</t>
  </si>
  <si>
    <t>FY29 technical HC &lt;= total</t>
  </si>
  <si>
    <t>FY29 billable FTE &lt;= technical HC</t>
  </si>
  <si>
    <t>FY30 revenue driver tie</t>
  </si>
  <si>
    <t>FY30 current industry mix</t>
  </si>
  <si>
    <t>FY30 current industry revenue tie</t>
  </si>
  <si>
    <t>FY30 technical HC &lt;= total</t>
  </si>
  <si>
    <t>FY30 billable FTE &lt;= technical HC</t>
  </si>
  <si>
    <t>Historical total-dividend formulas complete</t>
  </si>
  <si>
    <t>Historical annual assets / liabilities controls complete</t>
  </si>
  <si>
    <t>Q1 FY27 gross profit</t>
  </si>
  <si>
    <t>Q1 FY27 EBITDA</t>
  </si>
  <si>
    <t>Q1 FY27 EBIT</t>
  </si>
  <si>
    <t>Q1 FY27 PBT</t>
  </si>
  <si>
    <t>Q1 FY27 net income</t>
  </si>
  <si>
    <t>Q1 FY27 headcount components</t>
  </si>
  <si>
    <t>Q1 FY27 industry mix</t>
  </si>
  <si>
    <t>Q1 FY27 geography mix</t>
  </si>
  <si>
    <t>Q1 FY27 currency mix</t>
  </si>
  <si>
    <t>Q1 FY27 balance sheet</t>
  </si>
  <si>
    <t>Q1 FY27 closing cash bridge</t>
  </si>
  <si>
    <t>FY27E current investments driver</t>
  </si>
  <si>
    <t>FY27E PPE roll-forward</t>
  </si>
  <si>
    <t>FY27E lease roll-forward</t>
  </si>
  <si>
    <t>FY27E debt roll-forward</t>
  </si>
  <si>
    <t>FY27E other-equity roll-forward</t>
  </si>
  <si>
    <t>FY27E cash roll-forward</t>
  </si>
  <si>
    <t>FY27E D&amp;A allocation</t>
  </si>
  <si>
    <t>FY28E current investments driver</t>
  </si>
  <si>
    <t>FY28E PPE roll-forward</t>
  </si>
  <si>
    <t>FY28E lease roll-forward</t>
  </si>
  <si>
    <t>FY28E debt roll-forward</t>
  </si>
  <si>
    <t>FY28E other-equity roll-forward</t>
  </si>
  <si>
    <t>FY28E cash roll-forward</t>
  </si>
  <si>
    <t>FY28E D&amp;A allocation</t>
  </si>
  <si>
    <t>FY29E current investments driver</t>
  </si>
  <si>
    <t>FY29E PPE roll-forward</t>
  </si>
  <si>
    <t>FY29E lease roll-forward</t>
  </si>
  <si>
    <t>FY29E debt roll-forward</t>
  </si>
  <si>
    <t>FY29E other-equity roll-forward</t>
  </si>
  <si>
    <t>FY29E cash roll-forward</t>
  </si>
  <si>
    <t>FY29E D&amp;A allocation</t>
  </si>
  <si>
    <t>FY30E current investments driver</t>
  </si>
  <si>
    <t>FY30E PPE roll-forward</t>
  </si>
  <si>
    <t>FY30E lease roll-forward</t>
  </si>
  <si>
    <t>FY30E debt roll-forward</t>
  </si>
  <si>
    <t>FY30E other-equity roll-forward</t>
  </si>
  <si>
    <t>FY30E cash roll-forward</t>
  </si>
  <si>
    <t>FY30E D&amp;A allocation</t>
  </si>
  <si>
    <t>Build-time circular dependency cycles detected</t>
  </si>
  <si>
    <t>Tech Mahindra — Q1 FY27 Actual Update</t>
  </si>
  <si>
    <t>Reported quarter ended June 2026 | INR crore unless stated | Annual FY27E–FY30E forecasts remain formula-driven in the core model</t>
  </si>
  <si>
    <t>Source S9: Tech Mahindra official Q1 FY27 data sheet — https://insights.techmahindra.com/investors/tml-q1-fy-27-datasheet.xlsx</t>
  </si>
  <si>
    <t>Quarterly profit &amp; loss — reported actuals and calculated comparisons</t>
  </si>
  <si>
    <t>FY27E annual bridge — forecast not hardcoded to the quarter</t>
  </si>
  <si>
    <t>QoQ</t>
  </si>
  <si>
    <t>YoY</t>
  </si>
  <si>
    <t>Implied 9M</t>
  </si>
  <si>
    <t>Avg. remaining qtr</t>
  </si>
  <si>
    <t>Q1 annualized</t>
  </si>
  <si>
    <t>Interpretation: Q1 FY27 actuals are added to the historical quarterly layer. The annual forecast remains driven by the existing capacity, T&amp;M deflation, deal realization, client-mining and AI-uplift assumptions; this bridge exposes the remaining 9M requirement without hardcoding a new full-year estimate.</t>
  </si>
  <si>
    <t>Operating metrics — reported quarter-end / LTM data</t>
  </si>
  <si>
    <t>QoQ change</t>
  </si>
  <si>
    <t>YoY change</t>
  </si>
  <si>
    <t>IT attrition (LTM)</t>
  </si>
  <si>
    <t>Net new deal wins TCV</t>
  </si>
  <si>
    <t>Cash, investments &amp; margin money</t>
  </si>
  <si>
    <t>Borrowings excl. lease liabilities</t>
  </si>
  <si>
    <t>Period closing INR / USD</t>
  </si>
  <si>
    <t>Period average INR / USD</t>
  </si>
  <si>
    <t>Americas revenue mix</t>
  </si>
  <si>
    <t>Europe revenue mix</t>
  </si>
  <si>
    <t>Rest of world revenue mix</t>
  </si>
  <si>
    <t>Communications revenue mix</t>
  </si>
  <si>
    <t>Manufacturing revenue mix</t>
  </si>
  <si>
    <t>Hi-Tech &amp; Media revenue mix</t>
  </si>
  <si>
    <t>BFSI revenue mix</t>
  </si>
  <si>
    <t>Others revenue mix</t>
  </si>
  <si>
    <t>USD revenue currency mix</t>
  </si>
  <si>
    <t>GBP revenue currency mix</t>
  </si>
  <si>
    <t>EUR revenue currency mix</t>
  </si>
  <si>
    <t>AUD revenue currency mix</t>
  </si>
  <si>
    <t>Liquidity and cash-flow snapshot — reported Q1 FY27</t>
  </si>
  <si>
    <t>Calculated / control</t>
  </si>
  <si>
    <t>Comment</t>
  </si>
  <si>
    <t>Balance sheet</t>
  </si>
  <si>
    <t>Total equity &amp; liabilities</t>
  </si>
  <si>
    <t>Cash &amp; cash equivalents</t>
  </si>
  <si>
    <t>Balance sheet / cash flow</t>
  </si>
  <si>
    <t>Cash from operations</t>
  </si>
  <si>
    <t>YTD June 2026</t>
  </si>
  <si>
    <t>A + B + C</t>
  </si>
  <si>
    <t>Closing cash</t>
  </si>
  <si>
    <t>Closing cash bridge</t>
  </si>
  <si>
    <t>Balance Sheet Forecast Schedules — No Circular References</t>
  </si>
  <si>
    <t>One-way model flow: P&amp;L and assumptions → non-cash balance schedules → CFO / CFI / CFF → closing cash → balance sheet</t>
  </si>
  <si>
    <t>D&amp;A and capital expenditure schedules</t>
  </si>
  <si>
    <t>Total D&amp;A</t>
  </si>
  <si>
    <t>PPE D&amp;A</t>
  </si>
  <si>
    <t>ROU D&amp;A</t>
  </si>
  <si>
    <t>Intangible D&amp;A</t>
  </si>
  <si>
    <t>D&amp;A allocation check</t>
  </si>
  <si>
    <t>Total capex</t>
  </si>
  <si>
    <t>Intangible additions</t>
  </si>
  <si>
    <t>Tangible capex</t>
  </si>
  <si>
    <t>Closing CWIP</t>
  </si>
  <si>
    <t>PPE additions net of CWIP movement</t>
  </si>
  <si>
    <t>Closing PPE</t>
  </si>
  <si>
    <t>Closing intangible assets</t>
  </si>
  <si>
    <t>ROU asset and lease-liability schedules</t>
  </si>
  <si>
    <t>Opening ROU assets</t>
  </si>
  <si>
    <t>ROU additions</t>
  </si>
  <si>
    <t>Closing ROU assets</t>
  </si>
  <si>
    <t>Opening lease liabilities</t>
  </si>
  <si>
    <t>Closing lease liabilities</t>
  </si>
  <si>
    <t>Borrowing schedule</t>
  </si>
  <si>
    <t>Opening borrowings</t>
  </si>
  <si>
    <t>Closing borrowings</t>
  </si>
  <si>
    <t>Current borrowings</t>
  </si>
  <si>
    <t>Other-equity roll-forward</t>
  </si>
  <si>
    <t>Opening other equity</t>
  </si>
  <si>
    <t>Dividends paid</t>
  </si>
  <si>
    <t>Share-based compensation</t>
  </si>
  <si>
    <t>OCI / other reserve movement</t>
  </si>
  <si>
    <t>Closing other equity</t>
  </si>
  <si>
    <t>Cash roll-forward</t>
  </si>
  <si>
    <t>Balance-sheet cash</t>
  </si>
  <si>
    <t>Cash check</t>
  </si>
  <si>
    <t>No balance-sheet line is used as a plug. Current investments are driven from an explicit revenue ratio, while forecast cash is calculated only after operating, investing and financing cash flows. Interest income uses prior-year liquidity and finance costs use the independent borrowing schedule.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</si>
</sst>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[Red]\(0.0%\);\-"/>
    <numFmt numFmtId="165" formatCode="#,##0.0;[Red]\(#,##0.0\);\-"/>
    <numFmt numFmtId="166" formatCode="#,##0;[Red]\(#,##0\);\-"/>
    <numFmt numFmtId="167" formatCode="0.00;[Red]\(0.00\);\-"/>
    <numFmt numFmtId="168" formatCode="\$#,##0.0;[Red]\(\$#,##0.0\);\-"/>
  </numFmts>
  <fonts count="13">
    <font>
      <sz val="11"/>
      <name val="Carlito"/>
    </font>
    <font>
      <sz val="10"/>
      <name val="Aptos Narrow"/>
    </font>
    <font>
      <b/>
      <sz val="16"/>
      <color rgb="FFFFFFFF"/>
      <name val="Aptos Narrow"/>
    </font>
    <font>
      <i/>
      <sz val="10"/>
      <color rgb="FF666666"/>
      <name val="Aptos Narrow"/>
    </font>
    <font>
      <b/>
      <sz val="13"/>
      <name val="Aptos Narrow"/>
    </font>
    <font>
      <sz val="10"/>
      <color rgb="FF000000"/>
      <name val="Aptos Narrow"/>
    </font>
    <font>
      <b/>
      <sz val="10"/>
      <name val="Aptos Narrow"/>
    </font>
    <font>
      <b/>
      <sz val="10"/>
      <color rgb="FFFFFFFF"/>
      <name val="Aptos Narrow"/>
    </font>
    <font>
      <sz val="10"/>
      <color rgb="FF4472C4"/>
      <name val="Aptos Narrow"/>
    </font>
    <font>
      <sz val="11"/>
      <color rgb="FF4472C4"/>
      <name val="Carlito"/>
    </font>
    <font>
      <b/>
      <sz val="10"/>
      <color rgb="FF000000"/>
      <name val="Aptos Narrow"/>
    </font>
    <font>
      <sz val="10"/>
      <color rgb="FF0563C1"/>
      <name val="Aptos Narrow"/>
    </font>
    <font>
      <sz val="11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4" borderId="0" xfId="0" applyFont="1" applyFill="1" applyAlignment="1">
      <alignment horizontal="center" vertical="center"/>
    </xf>
    <xf numFmtId="164" fontId="8" fillId="5" borderId="0" xfId="0" applyNumberFormat="1" applyFont="1" applyFill="1"/>
    <xf numFmtId="165" fontId="8" fillId="5" borderId="0" xfId="0" applyNumberFormat="1" applyFont="1" applyFill="1"/>
    <xf numFmtId="0" fontId="7" fillId="2" borderId="0" xfId="0" applyFont="1" applyFill="1"/>
    <xf numFmtId="0" fontId="8" fillId="0" borderId="0" xfId="0" applyFont="1"/>
    <xf numFmtId="166" fontId="8" fillId="0" borderId="0" xfId="0" applyNumberFormat="1" applyFont="1"/>
    <xf numFmtId="167" fontId="8" fillId="0" borderId="0" xfId="0" applyNumberFormat="1" applyFont="1"/>
    <xf numFmtId="168" fontId="8" fillId="0" borderId="0" xfId="0" applyNumberFormat="1" applyFont="1"/>
    <xf numFmtId="0" fontId="7" fillId="6" borderId="0" xfId="0" applyFont="1" applyFill="1" applyAlignment="1">
      <alignment horizontal="center" vertical="center"/>
    </xf>
    <xf numFmtId="3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/>
    <xf numFmtId="168" fontId="5" fillId="0" borderId="0" xfId="0" applyNumberFormat="1" applyFont="1"/>
    <xf numFmtId="165" fontId="5" fillId="0" borderId="0" xfId="0" applyNumberFormat="1" applyFont="1"/>
    <xf numFmtId="0" fontId="1" fillId="0" borderId="1" xfId="0" applyFont="1" applyBorder="1"/>
    <xf numFmtId="166" fontId="5" fillId="0" borderId="1" xfId="0" applyNumberFormat="1" applyFont="1" applyBorder="1"/>
    <xf numFmtId="0" fontId="6" fillId="0" borderId="1" xfId="0" applyFont="1" applyBorder="1"/>
    <xf numFmtId="3" fontId="5" fillId="0" borderId="0" xfId="0" applyNumberFormat="1" applyFont="1"/>
    <xf numFmtId="3" fontId="5" fillId="0" borderId="1" xfId="0" applyNumberFormat="1" applyFont="1" applyBorder="1"/>
    <xf numFmtId="3" fontId="5" fillId="6" borderId="0" xfId="0" applyNumberFormat="1" applyFont="1" applyFill="1"/>
    <xf numFmtId="164" fontId="5" fillId="6" borderId="0" xfId="0" applyNumberFormat="1" applyFont="1" applyFill="1"/>
    <xf numFmtId="3" fontId="5" fillId="6" borderId="1" xfId="0" applyNumberFormat="1" applyFont="1" applyFill="1" applyBorder="1"/>
    <xf numFmtId="165" fontId="5" fillId="6" borderId="0" xfId="0" applyNumberFormat="1" applyFont="1" applyFill="1"/>
    <xf numFmtId="166" fontId="5" fillId="6" borderId="1" xfId="0" applyNumberFormat="1" applyFont="1" applyFill="1" applyBorder="1"/>
    <xf numFmtId="166" fontId="5" fillId="6" borderId="0" xfId="0" applyNumberFormat="1" applyFont="1" applyFill="1"/>
    <xf numFmtId="168" fontId="5" fillId="6" borderId="0" xfId="0" applyNumberFormat="1" applyFont="1" applyFill="1"/>
    <xf numFmtId="0" fontId="5" fillId="6" borderId="0" xfId="0" applyFont="1" applyFill="1" applyAlignment="1">
      <alignment wrapText="1"/>
    </xf>
    <xf numFmtId="167" fontId="5" fillId="0" borderId="0" xfId="0" applyNumberFormat="1" applyFont="1"/>
    <xf numFmtId="0" fontId="1" fillId="6" borderId="0" xfId="0" applyFont="1" applyFill="1"/>
    <xf numFmtId="167" fontId="5" fillId="6" borderId="0" xfId="0" applyNumberFormat="1" applyFont="1" applyFill="1"/>
    <xf numFmtId="0" fontId="9" fillId="0" borderId="0" xfId="0" applyFont="1"/>
    <xf numFmtId="4" fontId="8" fillId="0" borderId="0" xfId="0" applyNumberFormat="1" applyFont="1"/>
    <xf numFmtId="4" fontId="9" fillId="0" borderId="0" xfId="0" applyNumberFormat="1" applyFont="1"/>
    <xf numFmtId="4" fontId="5" fillId="6" borderId="0" xfId="0" applyNumberFormat="1" applyFont="1" applyFill="1"/>
    <xf numFmtId="167" fontId="5" fillId="0" borderId="1" xfId="0" applyNumberFormat="1" applyFont="1" applyBorder="1"/>
    <xf numFmtId="167" fontId="5" fillId="6" borderId="1" xfId="0" applyNumberFormat="1" applyFont="1" applyFill="1" applyBorder="1"/>
    <xf numFmtId="0" fontId="10" fillId="2" borderId="0" xfId="0" applyFont="1" applyFill="1"/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165" fontId="5" fillId="0" borderId="1" xfId="0" applyNumberFormat="1" applyFont="1" applyBorder="1"/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5" fillId="0" borderId="3" xfId="0" applyFont="1" applyBorder="1"/>
    <xf numFmtId="165" fontId="5" fillId="0" borderId="3" xfId="0" applyNumberFormat="1" applyFont="1" applyBorder="1"/>
    <xf numFmtId="164" fontId="5" fillId="0" borderId="3" xfId="0" applyNumberFormat="1" applyFont="1" applyBorder="1"/>
    <xf numFmtId="0" fontId="8" fillId="0" borderId="3" xfId="0" applyFont="1" applyBorder="1"/>
    <xf numFmtId="165" fontId="1" fillId="0" borderId="0" xfId="0" applyNumberFormat="1" applyFont="1"/>
    <xf numFmtId="0" fontId="12" fillId="0" borderId="0" xfId="0" applyFont="1"/>
    <xf numFmtId="0" fontId="7" fillId="11" borderId="0" xfId="0" applyFont="1" applyFill="1" applyAlignment="1">
      <alignment horizontal="center" vertical="center" wrapText="1"/>
    </xf>
    <xf numFmtId="164" fontId="8" fillId="12" borderId="0" xfId="0" applyNumberFormat="1" applyFont="1" applyFill="1"/>
    <xf numFmtId="0" fontId="7" fillId="14" borderId="0" xfId="0" applyFont="1" applyFill="1" applyAlignment="1">
      <alignment horizontal="center" vertical="center" wrapText="1"/>
    </xf>
    <xf numFmtId="0" fontId="5" fillId="14" borderId="0" xfId="0" applyFont="1" applyFill="1"/>
    <xf numFmtId="165" fontId="5" fillId="14" borderId="0" xfId="0" applyNumberFormat="1" applyFont="1" applyFill="1"/>
    <xf numFmtId="0" fontId="5" fillId="0" borderId="1" xfId="0" applyFont="1" applyBorder="1"/>
    <xf numFmtId="165" fontId="5" fillId="14" borderId="1" xfId="0" applyNumberFormat="1" applyFont="1" applyFill="1" applyBorder="1"/>
    <xf numFmtId="0" fontId="10" fillId="0" borderId="1" xfId="0" applyFont="1" applyBorder="1"/>
    <xf numFmtId="0" fontId="7" fillId="14" borderId="2" xfId="0" applyFont="1" applyFill="1" applyBorder="1" applyAlignment="1">
      <alignment horizontal="center" vertical="center"/>
    </xf>
    <xf numFmtId="0" fontId="1" fillId="14" borderId="0" xfId="0" applyFont="1" applyFill="1"/>
    <xf numFmtId="164" fontId="5" fillId="14" borderId="0" xfId="0" applyNumberFormat="1" applyFont="1" applyFill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/>
    <xf numFmtId="0" fontId="1" fillId="0" borderId="0" xfId="0" applyFont="1"/>
    <xf numFmtId="0" fontId="7" fillId="13" borderId="0" xfId="0" applyFont="1" applyFill="1"/>
    <xf numFmtId="0" fontId="7" fillId="2" borderId="0" xfId="0" applyFont="1" applyFill="1"/>
    <xf numFmtId="0" fontId="0" fillId="0" borderId="0" xfId="0"/>
    <xf numFmtId="0" fontId="7" fillId="6" borderId="0" xfId="0" applyFont="1" applyFill="1"/>
    <xf numFmtId="0" fontId="2" fillId="8" borderId="0" xfId="0" applyFont="1" applyFill="1"/>
    <xf numFmtId="0" fontId="7" fillId="8" borderId="0" xfId="0" applyFont="1" applyFill="1"/>
    <xf numFmtId="0" fontId="3" fillId="0" borderId="0" xfId="0" applyFont="1"/>
    <xf numFmtId="0" fontId="11" fillId="9" borderId="0" xfId="0" applyFont="1" applyFill="1"/>
    <xf numFmtId="0" fontId="5" fillId="10" borderId="0" xfId="0" applyFont="1" applyFill="1" applyAlignment="1">
      <alignment vertical="top" wrapText="1"/>
    </xf>
    <xf numFmtId="0" fontId="2" fillId="13" borderId="0" xfId="0" applyFont="1" applyFill="1"/>
    <xf numFmtId="0" fontId="5" fillId="1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0"/>
  <sheetViews>
    <sheetView showGridLines="0" workbookViewId="0">
      <selection sqref="A1:H1"/>
    </sheetView>
  </sheetViews>
  <sheetFormatPr defaultRowHeight="13.8"/>
  <cols>
    <col min="1" max="1" width="28" customWidth="1"/>
    <col min="2" max="2" width="64" customWidth="1"/>
  </cols>
  <sheetData>
    <row r="1" spans="1:46" ht="25.95" customHeight="1">
      <c r="A1" s="68" t="s">
        <v>0</v>
      </c>
      <c r="B1" s="68"/>
      <c r="C1" s="68"/>
      <c r="D1" s="68"/>
      <c r="E1" s="68"/>
      <c r="F1" s="68"/>
      <c r="G1" s="68"/>
      <c r="H1" s="6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1</v>
      </c>
      <c r="B2" s="69"/>
      <c r="C2" s="69"/>
      <c r="D2" s="69"/>
      <c r="E2" s="69"/>
      <c r="F2" s="69"/>
      <c r="G2" s="69"/>
      <c r="H2" s="6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7.399999999999999">
      <c r="A4" s="70" t="s">
        <v>2</v>
      </c>
      <c r="B4" s="70"/>
      <c r="C4" s="70"/>
      <c r="D4" s="70"/>
      <c r="E4" s="70"/>
      <c r="F4" s="70"/>
      <c r="G4" s="70"/>
      <c r="H4" s="7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3" t="s">
        <v>3</v>
      </c>
      <c r="B6" s="4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3" t="s">
        <v>5</v>
      </c>
      <c r="B7" s="4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>
      <c r="A8" s="3" t="s">
        <v>7</v>
      </c>
      <c r="B8" s="4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27.6">
      <c r="A9" s="3" t="s">
        <v>9</v>
      </c>
      <c r="B9" s="4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27.6">
      <c r="A10" s="3" t="s">
        <v>11</v>
      </c>
      <c r="B10" s="4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27.6">
      <c r="A11" s="3" t="s">
        <v>13</v>
      </c>
      <c r="B11" s="4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27.6">
      <c r="A12" s="3" t="s">
        <v>15</v>
      </c>
      <c r="B12" s="4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27.6">
      <c r="A13" s="3" t="s">
        <v>17</v>
      </c>
      <c r="B13" s="4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27.6">
      <c r="A14" s="3" t="s">
        <v>19</v>
      </c>
      <c r="B14" s="4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27.6">
      <c r="A15" s="3" t="s">
        <v>21</v>
      </c>
      <c r="B15" s="4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3" t="s">
        <v>23</v>
      </c>
      <c r="B16" s="5" t="str">
        <f>Checks!B6</f>
        <v>OK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00"/>
  <sheetViews>
    <sheetView showGridLines="0" workbookViewId="0"/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24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25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46" t="s">
        <v>39</v>
      </c>
      <c r="O5" s="46" t="s">
        <v>40</v>
      </c>
      <c r="P5" s="46" t="s">
        <v>41</v>
      </c>
      <c r="Q5" s="46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6"/>
      <c r="O6" s="36"/>
      <c r="P6" s="36"/>
      <c r="Q6" s="3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24" t="s">
        <v>43</v>
      </c>
      <c r="B7" s="22" t="s">
        <v>44</v>
      </c>
      <c r="C7" s="23">
        <f>'Annual P&amp;L'!C7</f>
        <v>26494.232248126711</v>
      </c>
      <c r="D7" s="23">
        <f>'Annual P&amp;L'!D7</f>
        <v>29140.8414557</v>
      </c>
      <c r="E7" s="23">
        <f>'Annual P&amp;L'!E7</f>
        <v>30772.881154600007</v>
      </c>
      <c r="F7" s="23">
        <f>'Annual P&amp;L'!F7</f>
        <v>34742.131633800003</v>
      </c>
      <c r="G7" s="23">
        <f>'Annual P&amp;L'!G7</f>
        <v>36867.678999999996</v>
      </c>
      <c r="H7" s="23">
        <f>'Annual P&amp;L'!H7</f>
        <v>37855.080999999998</v>
      </c>
      <c r="I7" s="23">
        <f>'Annual P&amp;L'!I7</f>
        <v>44645.964000000007</v>
      </c>
      <c r="J7" s="23">
        <f>'Annual P&amp;L'!J7</f>
        <v>53290.167000000009</v>
      </c>
      <c r="K7" s="23">
        <f>'Annual P&amp;L'!K7</f>
        <v>51995.540999999997</v>
      </c>
      <c r="L7" s="23">
        <f>'Annual P&amp;L'!L7</f>
        <v>52988.300303977914</v>
      </c>
      <c r="M7" s="23">
        <f>'Annual P&amp;L'!M7</f>
        <v>56815.399599999764</v>
      </c>
      <c r="N7" s="31">
        <f>'Annual P&amp;L'!N7</f>
        <v>58225.878004588383</v>
      </c>
      <c r="O7" s="31">
        <f>'Annual P&amp;L'!O7</f>
        <v>60460.105140546773</v>
      </c>
      <c r="P7" s="31">
        <f>'Annual P&amp;L'!P7</f>
        <v>63337.981622471256</v>
      </c>
      <c r="Q7" s="31">
        <f>'Annual P&amp;L'!Q7</f>
        <v>66753.180321994849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45</v>
      </c>
      <c r="B8" s="1" t="s">
        <v>46</v>
      </c>
      <c r="C8" s="19">
        <f>'Annual P&amp;L'!C8</f>
        <v>0</v>
      </c>
      <c r="D8" s="19">
        <f>'Annual P&amp;L'!D8</f>
        <v>9.9893787552965074E-2</v>
      </c>
      <c r="E8" s="19">
        <f>'Annual P&amp;L'!E8</f>
        <v>5.6005235860503211E-2</v>
      </c>
      <c r="F8" s="19">
        <f>'Annual P&amp;L'!F8</f>
        <v>0.12898533807279411</v>
      </c>
      <c r="G8" s="19">
        <f>'Annual P&amp;L'!G8</f>
        <v>6.1180683689888715E-2</v>
      </c>
      <c r="H8" s="19">
        <f>'Annual P&amp;L'!H8</f>
        <v>2.6782320633745416E-2</v>
      </c>
      <c r="I8" s="19">
        <f>'Annual P&amp;L'!I8</f>
        <v>0.17939158550473078</v>
      </c>
      <c r="J8" s="19">
        <f>'Annual P&amp;L'!J8</f>
        <v>0.1936166727187254</v>
      </c>
      <c r="K8" s="19">
        <f>'Annual P&amp;L'!K8</f>
        <v>-2.429390022365685E-2</v>
      </c>
      <c r="L8" s="19">
        <f>'Annual P&amp;L'!L8</f>
        <v>1.9093162315166889E-2</v>
      </c>
      <c r="M8" s="19">
        <f>'Annual P&amp;L'!M8</f>
        <v>7.2225364355281041E-2</v>
      </c>
      <c r="N8" s="28">
        <f>'Annual P&amp;L'!N8</f>
        <v>2.482563555864914E-2</v>
      </c>
      <c r="O8" s="28">
        <f>'Annual P&amp;L'!O8</f>
        <v>3.8371720831454459E-2</v>
      </c>
      <c r="P8" s="28">
        <f>'Annual P&amp;L'!P8</f>
        <v>4.7599594397570222E-2</v>
      </c>
      <c r="Q8" s="28">
        <f>'Annual P&amp;L'!Q8</f>
        <v>5.3920232568824611E-2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47</v>
      </c>
      <c r="B9" s="1" t="s">
        <v>48</v>
      </c>
      <c r="C9" s="20">
        <f>'Geography &amp; Currency'!C40</f>
        <v>4037.4553475371813</v>
      </c>
      <c r="D9" s="20">
        <f>'Geography &amp; Currency'!D40</f>
        <v>4351.0924023774605</v>
      </c>
      <c r="E9" s="20">
        <f>'Geography &amp; Currency'!E40</f>
        <v>4770.7658739261751</v>
      </c>
      <c r="F9" s="20">
        <f>'Geography &amp; Currency'!F40</f>
        <v>4970.5229494135701</v>
      </c>
      <c r="G9" s="20">
        <f>'Geography &amp; Currency'!G40</f>
        <v>5181.87</v>
      </c>
      <c r="H9" s="20">
        <f>'Geography &amp; Currency'!H40</f>
        <v>5111.0600000000004</v>
      </c>
      <c r="I9" s="20">
        <f>'Geography &amp; Currency'!I40</f>
        <v>5997.79</v>
      </c>
      <c r="J9" s="20">
        <f>'Geography &amp; Currency'!J40</f>
        <v>6606.52</v>
      </c>
      <c r="K9" s="20">
        <f>'Geography &amp; Currency'!K40</f>
        <v>6277.11</v>
      </c>
      <c r="L9" s="20">
        <f>'Geography &amp; Currency'!L40</f>
        <v>6263.9884598536701</v>
      </c>
      <c r="M9" s="20">
        <f>'Geography &amp; Currency'!M40</f>
        <v>6384.864312717852</v>
      </c>
      <c r="N9" s="33">
        <f>'Geography &amp; Currency'!N40</f>
        <v>6129.0397899566724</v>
      </c>
      <c r="O9" s="33">
        <f>'Geography &amp; Currency'!O40</f>
        <v>6297.9276188069562</v>
      </c>
      <c r="P9" s="33">
        <f>'Geography &amp; Currency'!P40</f>
        <v>6529.6888270588925</v>
      </c>
      <c r="Q9" s="33">
        <f>'Geography &amp; Currency'!Q40</f>
        <v>6811.5490124484531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49</v>
      </c>
      <c r="B10" s="1" t="s">
        <v>46</v>
      </c>
      <c r="C10" s="19">
        <f>'Geography &amp; Currency'!C41</f>
        <v>0</v>
      </c>
      <c r="D10" s="19">
        <f>'Geography &amp; Currency'!D41</f>
        <v>7.7681863412209839E-2</v>
      </c>
      <c r="E10" s="19">
        <f>'Geography &amp; Currency'!E41</f>
        <v>9.6452438316272593E-2</v>
      </c>
      <c r="F10" s="19">
        <f>'Geography &amp; Currency'!F41</f>
        <v>4.1871070760175932E-2</v>
      </c>
      <c r="G10" s="19">
        <f>'Geography &amp; Currency'!G41</f>
        <v>4.2520083447429746E-2</v>
      </c>
      <c r="H10" s="19">
        <f>'Geography &amp; Currency'!H41</f>
        <v>-1.366495106978749E-2</v>
      </c>
      <c r="I10" s="19">
        <f>'Geography &amp; Currency'!I41</f>
        <v>0.17349238709778403</v>
      </c>
      <c r="J10" s="19">
        <f>'Geography &amp; Currency'!J41</f>
        <v>0.10149238302774855</v>
      </c>
      <c r="K10" s="19">
        <f>'Geography &amp; Currency'!K41</f>
        <v>-4.9861349091503637E-2</v>
      </c>
      <c r="L10" s="19">
        <f>'Geography &amp; Currency'!L41</f>
        <v>-2.090379194618186E-3</v>
      </c>
      <c r="M10" s="19">
        <f>'Geography &amp; Currency'!M41</f>
        <v>1.929694692748618E-2</v>
      </c>
      <c r="N10" s="28">
        <f>'Geography &amp; Currency'!N41</f>
        <v>-4.0067338980345979E-2</v>
      </c>
      <c r="O10" s="28">
        <f>'Geography &amp; Currency'!O41</f>
        <v>2.7555348739460195E-2</v>
      </c>
      <c r="P10" s="28">
        <f>'Geography &amp; Currency'!P41</f>
        <v>3.6799598579038584E-2</v>
      </c>
      <c r="Q10" s="28">
        <f>'Geography &amp; Currency'!Q41</f>
        <v>4.3165944481387442E-2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24" t="s">
        <v>50</v>
      </c>
      <c r="B11" s="22" t="s">
        <v>44</v>
      </c>
      <c r="C11" s="23">
        <f>'Annual P&amp;L'!C15</f>
        <v>4270.6902621572144</v>
      </c>
      <c r="D11" s="23">
        <f>'Annual P&amp;L'!D15</f>
        <v>4184.4348312927295</v>
      </c>
      <c r="E11" s="23">
        <f>'Annual P&amp;L'!E15</f>
        <v>4709.5592147949992</v>
      </c>
      <c r="F11" s="23">
        <f>'Annual P&amp;L'!F15</f>
        <v>6336.917634084999</v>
      </c>
      <c r="G11" s="23">
        <f>'Annual P&amp;L'!G15</f>
        <v>5726.038999999997</v>
      </c>
      <c r="H11" s="23">
        <f>'Annual P&amp;L'!H15</f>
        <v>6847.0469999999987</v>
      </c>
      <c r="I11" s="23">
        <f>'Annual P&amp;L'!I15</f>
        <v>8019.984000000004</v>
      </c>
      <c r="J11" s="23">
        <f>'Annual P&amp;L'!J15</f>
        <v>8028.7760000000062</v>
      </c>
      <c r="K11" s="23">
        <f>'Annual P&amp;L'!K15</f>
        <v>4964.5989999999911</v>
      </c>
      <c r="L11" s="23">
        <f>'Annual P&amp;L'!L15</f>
        <v>6991.0846331270659</v>
      </c>
      <c r="M11" s="23">
        <f>'Annual P&amp;L'!M15</f>
        <v>9034.0995185884894</v>
      </c>
      <c r="N11" s="31">
        <f>'Annual P&amp;L'!N15</f>
        <v>9723.7216267662589</v>
      </c>
      <c r="O11" s="31">
        <f>'Annual P&amp;L'!O15</f>
        <v>10459.598189314598</v>
      </c>
      <c r="P11" s="31">
        <f>'Annual P&amp;L'!P15</f>
        <v>11400.836692044821</v>
      </c>
      <c r="Q11" s="31">
        <f>'Annual P&amp;L'!Q15</f>
        <v>12416.091539891046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51</v>
      </c>
      <c r="B12" s="1" t="s">
        <v>46</v>
      </c>
      <c r="C12" s="19">
        <f>'Annual P&amp;L'!C16</f>
        <v>0.16119320696523207</v>
      </c>
      <c r="D12" s="19">
        <f>'Annual P&amp;L'!D16</f>
        <v>0.14359347988128349</v>
      </c>
      <c r="E12" s="19">
        <f>'Annual P&amp;L'!E16</f>
        <v>0.15304251789537107</v>
      </c>
      <c r="F12" s="19">
        <f>'Annual P&amp;L'!F16</f>
        <v>0.18239864211210127</v>
      </c>
      <c r="G12" s="19">
        <f>'Annual P&amp;L'!G16</f>
        <v>0.15531324876730096</v>
      </c>
      <c r="H12" s="19">
        <f>'Annual P&amp;L'!H16</f>
        <v>0.1808752436694033</v>
      </c>
      <c r="I12" s="19">
        <f>'Annual P&amp;L'!I16</f>
        <v>0.17963514014391094</v>
      </c>
      <c r="J12" s="19">
        <f>'Annual P&amp;L'!J16</f>
        <v>0.15066149070240303</v>
      </c>
      <c r="K12" s="19">
        <f>'Annual P&amp;L'!K16</f>
        <v>9.5481245209084201E-2</v>
      </c>
      <c r="L12" s="19">
        <f>'Annual P&amp;L'!L16</f>
        <v>0.13193638205077951</v>
      </c>
      <c r="M12" s="19">
        <f>'Annual P&amp;L'!M16</f>
        <v>0.15900793767520252</v>
      </c>
      <c r="N12" s="28">
        <f>'Annual P&amp;L'!N16</f>
        <v>0.16699999999999998</v>
      </c>
      <c r="O12" s="28">
        <f>'Annual P&amp;L'!O16</f>
        <v>0.1730000000000001</v>
      </c>
      <c r="P12" s="28">
        <f>'Annual P&amp;L'!P16</f>
        <v>0.17999999999999991</v>
      </c>
      <c r="Q12" s="28">
        <f>'Annual P&amp;L'!Q16</f>
        <v>0.18600000000000005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24" t="s">
        <v>52</v>
      </c>
      <c r="B13" s="22" t="s">
        <v>44</v>
      </c>
      <c r="C13" s="23">
        <f>'Annual P&amp;L'!C20</f>
        <v>3511.7672591590026</v>
      </c>
      <c r="D13" s="23">
        <f>'Annual P&amp;L'!D20</f>
        <v>3206.3796350927296</v>
      </c>
      <c r="E13" s="23">
        <f>'Annual P&amp;L'!E20</f>
        <v>3624.5722042950001</v>
      </c>
      <c r="F13" s="23">
        <f>'Annual P&amp;L'!F20</f>
        <v>5207.7176340850001</v>
      </c>
      <c r="G13" s="23">
        <f>'Annual P&amp;L'!G20</f>
        <v>4280.2699999999995</v>
      </c>
      <c r="H13" s="23">
        <f>'Annual P&amp;L'!H20</f>
        <v>5389.3370000000004</v>
      </c>
      <c r="I13" s="23">
        <f>'Annual P&amp;L'!I20</f>
        <v>6499.5910000000003</v>
      </c>
      <c r="J13" s="23">
        <f>'Annual P&amp;L'!J20</f>
        <v>6072.0760000000009</v>
      </c>
      <c r="K13" s="23">
        <f>'Annual P&amp;L'!K20</f>
        <v>3147.5110000000004</v>
      </c>
      <c r="L13" s="23">
        <f>'Annual P&amp;L'!L20</f>
        <v>5138.2428334690994</v>
      </c>
      <c r="M13" s="23">
        <f>'Annual P&amp;L'!M20</f>
        <v>7152.4995185881071</v>
      </c>
      <c r="N13" s="31">
        <f>'Annual P&amp;L'!N20</f>
        <v>7802.2676526148425</v>
      </c>
      <c r="O13" s="31">
        <f>'Annual P&amp;L'!O20</f>
        <v>8524.8748248171014</v>
      </c>
      <c r="P13" s="31">
        <f>'Annual P&amp;L'!P20</f>
        <v>9437.3592617482118</v>
      </c>
      <c r="Q13" s="31">
        <f>'Annual P&amp;L'!Q20</f>
        <v>10413.4961302312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53</v>
      </c>
      <c r="B14" s="1" t="s">
        <v>46</v>
      </c>
      <c r="C14" s="19">
        <f>'Annual P&amp;L'!C21</f>
        <v>0.13254836850036686</v>
      </c>
      <c r="D14" s="19">
        <f>'Annual P&amp;L'!D21</f>
        <v>0.11003044095233414</v>
      </c>
      <c r="E14" s="19">
        <f>'Annual P&amp;L'!E21</f>
        <v>0.11778462296349493</v>
      </c>
      <c r="F14" s="19">
        <f>'Annual P&amp;L'!F21</f>
        <v>0.14989631865358843</v>
      </c>
      <c r="G14" s="19">
        <f>'Annual P&amp;L'!G21</f>
        <v>0.11609816826277564</v>
      </c>
      <c r="H14" s="19">
        <f>'Annual P&amp;L'!H21</f>
        <v>0.14236759921343189</v>
      </c>
      <c r="I14" s="19">
        <f>'Annual P&amp;L'!I21</f>
        <v>0.14558070691451525</v>
      </c>
      <c r="J14" s="19">
        <f>'Annual P&amp;L'!J21</f>
        <v>0.11394364742748883</v>
      </c>
      <c r="K14" s="19">
        <f>'Annual P&amp;L'!K21</f>
        <v>6.0534248504116935E-2</v>
      </c>
      <c r="L14" s="19">
        <f>'Annual P&amp;L'!L21</f>
        <v>9.6969383882716531E-2</v>
      </c>
      <c r="M14" s="19">
        <f>'Annual P&amp;L'!M21</f>
        <v>0.12589015599545544</v>
      </c>
      <c r="N14" s="28">
        <f>'Annual P&amp;L'!N21</f>
        <v>0.13399999999999998</v>
      </c>
      <c r="O14" s="28">
        <f>'Annual P&amp;L'!O21</f>
        <v>0.1410000000000001</v>
      </c>
      <c r="P14" s="28">
        <f>'Annual P&amp;L'!P21</f>
        <v>0.14899999999999991</v>
      </c>
      <c r="Q14" s="28">
        <f>'Annual P&amp;L'!Q21</f>
        <v>0.15600000000000006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24" t="s">
        <v>54</v>
      </c>
      <c r="B15" s="22" t="s">
        <v>44</v>
      </c>
      <c r="C15" s="23">
        <f>'Annual P&amp;L'!C35</f>
        <v>2992.8860053151525</v>
      </c>
      <c r="D15" s="23">
        <f>'Annual P&amp;L'!D35</f>
        <v>2812.9330782209036</v>
      </c>
      <c r="E15" s="23">
        <f>'Annual P&amp;L'!E35</f>
        <v>3799.7550226799999</v>
      </c>
      <c r="F15" s="23">
        <f>'Annual P&amp;L'!F35</f>
        <v>4297.6164959594671</v>
      </c>
      <c r="G15" s="23">
        <f>'Annual P&amp;L'!G35</f>
        <v>4032.942</v>
      </c>
      <c r="H15" s="23">
        <f>'Annual P&amp;L'!H35</f>
        <v>4428.0590000000002</v>
      </c>
      <c r="I15" s="23">
        <f>'Annual P&amp;L'!I35</f>
        <v>5566.1130000000003</v>
      </c>
      <c r="J15" s="23">
        <f>'Annual P&amp;L'!J35</f>
        <v>4831.2760000000007</v>
      </c>
      <c r="K15" s="23">
        <f>'Annual P&amp;L'!K35</f>
        <v>2357.8960000000002</v>
      </c>
      <c r="L15" s="23">
        <f>'Annual P&amp;L'!L35</f>
        <v>4251.5417544192997</v>
      </c>
      <c r="M15" s="23">
        <f>'Annual P&amp;L'!M35</f>
        <v>4810.8996096165001</v>
      </c>
      <c r="N15" s="31">
        <f>'Annual P&amp;L'!N35</f>
        <v>5943.415661240213</v>
      </c>
      <c r="O15" s="31">
        <f>'Annual P&amp;L'!O35</f>
        <v>6534.4729382922669</v>
      </c>
      <c r="P15" s="31">
        <f>'Annual P&amp;L'!P35</f>
        <v>7247.7202470973189</v>
      </c>
      <c r="Q15" s="31">
        <f>'Annual P&amp;L'!Q35</f>
        <v>8008.9396767037542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55</v>
      </c>
      <c r="B16" s="1" t="s">
        <v>46</v>
      </c>
      <c r="C16" s="19">
        <f>'Annual P&amp;L'!C36</f>
        <v>0.11296368119996253</v>
      </c>
      <c r="D16" s="19">
        <f>'Annual P&amp;L'!D36</f>
        <v>9.6528889960062869E-2</v>
      </c>
      <c r="E16" s="19">
        <f>'Annual P&amp;L'!E36</f>
        <v>0.1234773891853153</v>
      </c>
      <c r="F16" s="19">
        <f>'Annual P&amp;L'!F36</f>
        <v>0.12370042636584774</v>
      </c>
      <c r="G16" s="19">
        <f>'Annual P&amp;L'!G36</f>
        <v>0.10938963638041875</v>
      </c>
      <c r="H16" s="19">
        <f>'Annual P&amp;L'!H36</f>
        <v>0.11697396711421647</v>
      </c>
      <c r="I16" s="19">
        <f>'Annual P&amp;L'!I36</f>
        <v>0.12467225480896771</v>
      </c>
      <c r="J16" s="19">
        <f>'Annual P&amp;L'!J36</f>
        <v>9.0659802210790591E-2</v>
      </c>
      <c r="K16" s="19">
        <f>'Annual P&amp;L'!K36</f>
        <v>4.534804244079315E-2</v>
      </c>
      <c r="L16" s="19">
        <f>'Annual P&amp;L'!L36</f>
        <v>8.0235480851989699E-2</v>
      </c>
      <c r="M16" s="19">
        <f>'Annual P&amp;L'!M36</f>
        <v>8.4675979461324075E-2</v>
      </c>
      <c r="N16" s="28">
        <f>'Annual P&amp;L'!N36</f>
        <v>0.10207515738572208</v>
      </c>
      <c r="O16" s="28">
        <f>'Annual P&amp;L'!O36</f>
        <v>0.10807908658283177</v>
      </c>
      <c r="P16" s="28">
        <f>'Annual P&amp;L'!P36</f>
        <v>0.11442928968431083</v>
      </c>
      <c r="Q16" s="28">
        <f>'Annual P&amp;L'!Q36</f>
        <v>0.11997839860320254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24" t="s">
        <v>56</v>
      </c>
      <c r="B17" s="22" t="s">
        <v>57</v>
      </c>
      <c r="C17" s="42">
        <f>'Annual P&amp;L'!C40</f>
        <v>33.714149690140587</v>
      </c>
      <c r="D17" s="42">
        <f>'Annual P&amp;L'!D40</f>
        <v>31.644761957394365</v>
      </c>
      <c r="E17" s="42">
        <f>'Annual P&amp;L'!E40</f>
        <v>42.664589334496988</v>
      </c>
      <c r="F17" s="42">
        <f>'Annual P&amp;L'!F40</f>
        <v>47.72050194230458</v>
      </c>
      <c r="G17" s="42">
        <f>'Annual P&amp;L'!G40</f>
        <v>45.85</v>
      </c>
      <c r="H17" s="42">
        <f>'Annual P&amp;L'!H40</f>
        <v>50.19</v>
      </c>
      <c r="I17" s="42">
        <f>'Annual P&amp;L'!I40</f>
        <v>62.81</v>
      </c>
      <c r="J17" s="42">
        <f>'Annual P&amp;L'!J40</f>
        <v>54.56</v>
      </c>
      <c r="K17" s="42">
        <f>'Annual P&amp;L'!K40</f>
        <v>26.57</v>
      </c>
      <c r="L17" s="42">
        <f>'Annual P&amp;L'!L40</f>
        <v>47.906127978815775</v>
      </c>
      <c r="M17" s="42">
        <f>'Annual P&amp;L'!M40</f>
        <v>54.189099296056625</v>
      </c>
      <c r="N17" s="43">
        <f>'Annual P&amp;L'!N40</f>
        <v>66.94555437841646</v>
      </c>
      <c r="O17" s="43">
        <f>'Annual P&amp;L'!O40</f>
        <v>73.603116180747193</v>
      </c>
      <c r="P17" s="43">
        <f>'Annual P&amp;L'!P40</f>
        <v>81.637004304752978</v>
      </c>
      <c r="Q17" s="43">
        <f>'Annual P&amp;L'!Q40</f>
        <v>90.211241683262514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24" t="s">
        <v>58</v>
      </c>
      <c r="B18" s="22" t="s">
        <v>44</v>
      </c>
      <c r="C18" s="23">
        <f>'Annual Cash Flow'!C38</f>
        <v>3213.1962696370997</v>
      </c>
      <c r="D18" s="23">
        <f>'Annual Cash Flow'!D38</f>
        <v>4071.3559717631761</v>
      </c>
      <c r="E18" s="23">
        <f>'Annual Cash Flow'!E38</f>
        <v>3553.6000000000004</v>
      </c>
      <c r="F18" s="23">
        <f>'Annual Cash Flow'!F38</f>
        <v>4432.0486187606393</v>
      </c>
      <c r="G18" s="23">
        <f>'Annual Cash Flow'!G38</f>
        <v>4358.058</v>
      </c>
      <c r="H18" s="23">
        <f>'Annual Cash Flow'!H38</f>
        <v>8093.8410000000003</v>
      </c>
      <c r="I18" s="23">
        <f>'Annual Cash Flow'!I38</f>
        <v>5285.2743000000009</v>
      </c>
      <c r="J18" s="23">
        <f>'Annual Cash Flow'!J38</f>
        <v>5571.9639999999999</v>
      </c>
      <c r="K18" s="23">
        <f>'Annual Cash Flow'!K38</f>
        <v>6376.3690000000006</v>
      </c>
      <c r="L18" s="23">
        <f>'Annual Cash Flow'!L38</f>
        <v>5785.6512626000003</v>
      </c>
      <c r="M18" s="23">
        <f>'Annual Cash Flow'!M38</f>
        <v>6172</v>
      </c>
      <c r="N18" s="31">
        <f>'Annual Cash Flow'!N38</f>
        <v>7479.0540566639111</v>
      </c>
      <c r="O18" s="31">
        <f>'Annual Cash Flow'!O38</f>
        <v>8217.209130427058</v>
      </c>
      <c r="P18" s="31">
        <f>'Annual Cash Flow'!P38</f>
        <v>8831.3385771890662</v>
      </c>
      <c r="Q18" s="31">
        <f>'Annual Cash Flow'!Q38</f>
        <v>9597.0302774822394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59</v>
      </c>
      <c r="B19" s="1" t="s">
        <v>44</v>
      </c>
      <c r="C19" s="18">
        <f>'Annual Cash Flow'!C88</f>
        <v>2286.6962696370997</v>
      </c>
      <c r="D19" s="18">
        <f>'Annual Cash Flow'!D88</f>
        <v>3303.1642863676166</v>
      </c>
      <c r="E19" s="18">
        <f>'Annual Cash Flow'!E88</f>
        <v>2536.9712214693427</v>
      </c>
      <c r="F19" s="18">
        <f>'Annual Cash Flow'!F88</f>
        <v>3627.4486187606394</v>
      </c>
      <c r="G19" s="18">
        <f>'Annual Cash Flow'!G88</f>
        <v>3513.4580000000001</v>
      </c>
      <c r="H19" s="18">
        <f>'Annual Cash Flow'!H88</f>
        <v>7427.8410000000003</v>
      </c>
      <c r="I19" s="18">
        <f>'Annual Cash Flow'!I88</f>
        <v>4326.8743000000013</v>
      </c>
      <c r="J19" s="18">
        <f>'Annual Cash Flow'!J88</f>
        <v>4556.7939999999999</v>
      </c>
      <c r="K19" s="18">
        <f>'Annual Cash Flow'!K88</f>
        <v>5585.2690000000002</v>
      </c>
      <c r="L19" s="18">
        <f>'Annual Cash Flow'!L88</f>
        <v>5192.1512626000003</v>
      </c>
      <c r="M19" s="18">
        <f>'Annual Cash Flow'!M88</f>
        <v>5476.3</v>
      </c>
      <c r="N19" s="32">
        <f>'Annual Cash Flow'!N88</f>
        <v>6722.1176426042621</v>
      </c>
      <c r="O19" s="32">
        <f>'Annual Cash Flow'!O88</f>
        <v>7431.2277635999499</v>
      </c>
      <c r="P19" s="32">
        <f>'Annual Cash Flow'!P88</f>
        <v>8007.9448160969396</v>
      </c>
      <c r="Q19" s="32">
        <f>'Annual Cash Flow'!Q88</f>
        <v>8729.2389332963066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60</v>
      </c>
      <c r="B20" s="1" t="s">
        <v>46</v>
      </c>
      <c r="C20" s="19">
        <f>'Annual Cash Flow'!C89</f>
        <v>0.76404389127286831</v>
      </c>
      <c r="D20" s="19">
        <f>'Annual Cash Flow'!D89</f>
        <v>1.1742775937125278</v>
      </c>
      <c r="E20" s="19">
        <f>'Annual Cash Flow'!E89</f>
        <v>0.66766704861935944</v>
      </c>
      <c r="F20" s="19">
        <f>'Annual Cash Flow'!F89</f>
        <v>0.84406056756602033</v>
      </c>
      <c r="G20" s="19">
        <f>'Annual Cash Flow'!G89</f>
        <v>0.87118981626812386</v>
      </c>
      <c r="H20" s="19">
        <f>'Annual Cash Flow'!H89</f>
        <v>1.6774485163815569</v>
      </c>
      <c r="I20" s="19">
        <f>'Annual Cash Flow'!I89</f>
        <v>0.77736012545918509</v>
      </c>
      <c r="J20" s="19">
        <f>'Annual Cash Flow'!J89</f>
        <v>0.94318643770300004</v>
      </c>
      <c r="K20" s="19">
        <f>'Annual Cash Flow'!K89</f>
        <v>2.3687512087047096</v>
      </c>
      <c r="L20" s="19">
        <f>'Annual Cash Flow'!L89</f>
        <v>1.2212396261198604</v>
      </c>
      <c r="M20" s="19">
        <f>'Annual Cash Flow'!M89</f>
        <v>1.1383110113238348</v>
      </c>
      <c r="N20" s="28">
        <f>'Annual Cash Flow'!N89</f>
        <v>1.1310192700204915</v>
      </c>
      <c r="O20" s="28">
        <f>'Annual Cash Flow'!O89</f>
        <v>1.137234453914816</v>
      </c>
      <c r="P20" s="28">
        <f>'Annual Cash Flow'!P89</f>
        <v>1.1048915442485638</v>
      </c>
      <c r="Q20" s="28">
        <f>'Annual Cash Flow'!Q89</f>
        <v>1.0899369062159059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61</v>
      </c>
      <c r="B21" s="1" t="s">
        <v>44</v>
      </c>
      <c r="C21" s="18">
        <f>'Annual Balance Sheet'!C62</f>
        <v>6507.1237355621697</v>
      </c>
      <c r="D21" s="18">
        <f>'Annual Balance Sheet'!D62</f>
        <v>5614.1408370851605</v>
      </c>
      <c r="E21" s="18">
        <f>'Annual Balance Sheet'!E62</f>
        <v>7735.0749277000004</v>
      </c>
      <c r="F21" s="18">
        <f>'Annual Balance Sheet'!F62</f>
        <v>9664.4913061718016</v>
      </c>
      <c r="G21" s="18">
        <f>'Annual Balance Sheet'!G62</f>
        <v>8976.8872794880008</v>
      </c>
      <c r="H21" s="18">
        <f>'Annual Balance Sheet'!H62</f>
        <v>13044.901287252898</v>
      </c>
      <c r="I21" s="18">
        <f>'Annual Balance Sheet'!I62</f>
        <v>8661.3735723110003</v>
      </c>
      <c r="J21" s="18">
        <f>'Annual Balance Sheet'!J62</f>
        <v>7469.9120274289999</v>
      </c>
      <c r="K21" s="18">
        <f>'Annual Balance Sheet'!K62</f>
        <v>7927.1260000000002</v>
      </c>
      <c r="L21" s="18">
        <f>'Annual Balance Sheet'!L62</f>
        <v>7670.4000000000005</v>
      </c>
      <c r="M21" s="18">
        <f>'Annual Balance Sheet'!M62</f>
        <v>8476.0999999999985</v>
      </c>
      <c r="N21" s="32">
        <f>'Annual Balance Sheet'!N62</f>
        <v>10016.23161361209</v>
      </c>
      <c r="O21" s="32">
        <f>'Annual Balance Sheet'!O62</f>
        <v>11812.01165610201</v>
      </c>
      <c r="P21" s="32">
        <f>'Annual Balance Sheet'!P62</f>
        <v>13637.378774846116</v>
      </c>
      <c r="Q21" s="32">
        <f>'Annual Balance Sheet'!Q62</f>
        <v>15595.339648555404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24" t="s">
        <v>62</v>
      </c>
      <c r="B22" s="22" t="s">
        <v>44</v>
      </c>
      <c r="C22" s="23">
        <f>'Annual Balance Sheet'!C63</f>
        <v>5504.9221529259048</v>
      </c>
      <c r="D22" s="23">
        <f>'Annual Balance Sheet'!D63</f>
        <v>4394.7051676851606</v>
      </c>
      <c r="E22" s="23">
        <f>'Annual Balance Sheet'!E63</f>
        <v>6009.1218482000004</v>
      </c>
      <c r="F22" s="23">
        <f>'Annual Balance Sheet'!F63</f>
        <v>8259.7913061718009</v>
      </c>
      <c r="G22" s="23">
        <f>'Annual Balance Sheet'!G63</f>
        <v>5348.8872794880008</v>
      </c>
      <c r="H22" s="23">
        <f>'Annual Balance Sheet'!H63</f>
        <v>10175.101287252899</v>
      </c>
      <c r="I22" s="23">
        <f>'Annual Balance Sheet'!I63</f>
        <v>6042.9374801110007</v>
      </c>
      <c r="J22" s="23">
        <f>'Annual Balance Sheet'!J63</f>
        <v>4729.712027429</v>
      </c>
      <c r="K22" s="23">
        <f>'Annual Balance Sheet'!K63</f>
        <v>5390.4260000000004</v>
      </c>
      <c r="L22" s="23">
        <f>'Annual Balance Sheet'!L63</f>
        <v>5645.2000000000007</v>
      </c>
      <c r="M22" s="23">
        <f>'Annual Balance Sheet'!M63</f>
        <v>6289.8999999999978</v>
      </c>
      <c r="N22" s="31">
        <f>'Annual Balance Sheet'!N63</f>
        <v>7766.3010775570292</v>
      </c>
      <c r="O22" s="31">
        <f>'Annual Balance Sheet'!O63</f>
        <v>9490.6590191769046</v>
      </c>
      <c r="P22" s="31">
        <f>'Annual Balance Sheet'!P63</f>
        <v>11231.496149528888</v>
      </c>
      <c r="Q22" s="31">
        <f>'Annual Balance Sheet'!Q63</f>
        <v>13089.303646969405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24" t="s">
        <v>63</v>
      </c>
      <c r="B23" s="22" t="s">
        <v>64</v>
      </c>
      <c r="C23" s="26">
        <f>'Revenue Drivers'!C6</f>
        <v>105432</v>
      </c>
      <c r="D23" s="26">
        <f>'Revenue Drivers'!D6</f>
        <v>117693</v>
      </c>
      <c r="E23" s="26">
        <f>'Revenue Drivers'!E6</f>
        <v>112807</v>
      </c>
      <c r="F23" s="26">
        <f>'Revenue Drivers'!F6</f>
        <v>121082</v>
      </c>
      <c r="G23" s="26">
        <f>'Revenue Drivers'!G6</f>
        <v>125236</v>
      </c>
      <c r="H23" s="26">
        <f>'Revenue Drivers'!H6</f>
        <v>121054</v>
      </c>
      <c r="I23" s="26">
        <f>'Revenue Drivers'!I6</f>
        <v>151173</v>
      </c>
      <c r="J23" s="26">
        <f>'Revenue Drivers'!J6</f>
        <v>152400</v>
      </c>
      <c r="K23" s="26">
        <f>'Revenue Drivers'!K6</f>
        <v>145455</v>
      </c>
      <c r="L23" s="26">
        <f>'Revenue Drivers'!L6</f>
        <v>148731</v>
      </c>
      <c r="M23" s="26">
        <f>'Revenue Drivers'!M6</f>
        <v>147623</v>
      </c>
      <c r="N23" s="29">
        <f>'Revenue Drivers'!N6</f>
        <v>147623</v>
      </c>
      <c r="O23" s="29">
        <f>'Revenue Drivers'!O6</f>
        <v>149099.23000000001</v>
      </c>
      <c r="P23" s="29">
        <f>'Revenue Drivers'!P6</f>
        <v>151335.71844999999</v>
      </c>
      <c r="Q23" s="29">
        <f>'Revenue Drivers'!Q6</f>
        <v>154362.43281899998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65</v>
      </c>
      <c r="B24" s="1" t="s">
        <v>64</v>
      </c>
      <c r="C24" s="25">
        <f>'Revenue Drivers'!C11</f>
        <v>55886.747490827693</v>
      </c>
      <c r="D24" s="25">
        <f>'Revenue Drivers'!D11</f>
        <v>63339.329033693662</v>
      </c>
      <c r="E24" s="25">
        <f>'Revenue Drivers'!E11</f>
        <v>60718.4428192798</v>
      </c>
      <c r="F24" s="25">
        <f>'Revenue Drivers'!F11</f>
        <v>58468.185999999994</v>
      </c>
      <c r="G24" s="25">
        <f>'Revenue Drivers'!G11</f>
        <v>59472.448474039804</v>
      </c>
      <c r="H24" s="25">
        <f>'Revenue Drivers'!H11</f>
        <v>59805.197999999997</v>
      </c>
      <c r="I24" s="25">
        <f>'Revenue Drivers'!I11</f>
        <v>71324.73</v>
      </c>
      <c r="J24" s="25">
        <f>'Revenue Drivers'!J11</f>
        <v>72461.745801366415</v>
      </c>
      <c r="K24" s="25">
        <f>'Revenue Drivers'!K11</f>
        <v>69935.384999999995</v>
      </c>
      <c r="L24" s="25">
        <f>'Revenue Drivers'!L11</f>
        <v>69605.871500000008</v>
      </c>
      <c r="M24" s="25">
        <f>'Revenue Drivers'!M11</f>
        <v>64914.672399999996</v>
      </c>
      <c r="N24" s="27">
        <f>'Revenue Drivers'!N11</f>
        <v>65382.226699999999</v>
      </c>
      <c r="O24" s="27">
        <f>'Revenue Drivers'!O11</f>
        <v>66832.238855200005</v>
      </c>
      <c r="P24" s="27">
        <f>'Revenue Drivers'!P11</f>
        <v>68725.333141106254</v>
      </c>
      <c r="Q24" s="27">
        <f>'Revenue Drivers'!Q11</f>
        <v>70767.457325870535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66</v>
      </c>
      <c r="B25" s="1" t="s">
        <v>46</v>
      </c>
      <c r="C25" s="19">
        <f>'Revenue Drivers'!C35</f>
        <v>0.2107329740553309</v>
      </c>
      <c r="D25" s="19">
        <f>'Revenue Drivers'!D35</f>
        <v>0.16516347237880497</v>
      </c>
      <c r="E25" s="19">
        <f>'Revenue Drivers'!E35</f>
        <v>0.18084725536992841</v>
      </c>
      <c r="F25" s="19">
        <f>'Revenue Drivers'!F35</f>
        <v>0.20799999999999999</v>
      </c>
      <c r="G25" s="19">
        <f>'Revenue Drivers'!G35</f>
        <v>0.191</v>
      </c>
      <c r="H25" s="19">
        <f>'Revenue Drivers'!H35</f>
        <v>0.13300000000000001</v>
      </c>
      <c r="I25" s="19">
        <f>'Revenue Drivers'!I35</f>
        <v>0.23499999999999999</v>
      </c>
      <c r="J25" s="19">
        <f>'Revenue Drivers'!J35</f>
        <v>0.14799999999999999</v>
      </c>
      <c r="K25" s="19">
        <f>'Revenue Drivers'!K35</f>
        <v>0.1</v>
      </c>
      <c r="L25" s="19">
        <f>'Revenue Drivers'!L35</f>
        <v>0.11799999999999999</v>
      </c>
      <c r="M25" s="19">
        <f>'Revenue Drivers'!M35</f>
        <v>0.121</v>
      </c>
      <c r="N25" s="28">
        <f>'Revenue Drivers'!N35</f>
        <v>0.12</v>
      </c>
      <c r="O25" s="28">
        <f>'Revenue Drivers'!O35</f>
        <v>0.115</v>
      </c>
      <c r="P25" s="28">
        <f>'Revenue Drivers'!P35</f>
        <v>0.11</v>
      </c>
      <c r="Q25" s="28">
        <f>'Revenue Drivers'!Q35</f>
        <v>0.105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67</v>
      </c>
      <c r="B26" s="1" t="s">
        <v>48</v>
      </c>
      <c r="C26" s="20">
        <f>'Revenue Drivers'!C22</f>
        <v>0</v>
      </c>
      <c r="D26" s="20">
        <f>'Revenue Drivers'!D22</f>
        <v>0</v>
      </c>
      <c r="E26" s="20">
        <f>'Revenue Drivers'!E22</f>
        <v>0</v>
      </c>
      <c r="F26" s="20">
        <f>'Revenue Drivers'!F22</f>
        <v>1666.8999999999999</v>
      </c>
      <c r="G26" s="20">
        <f>'Revenue Drivers'!G22</f>
        <v>3712</v>
      </c>
      <c r="H26" s="20">
        <f>'Revenue Drivers'!H22</f>
        <v>2209.69</v>
      </c>
      <c r="I26" s="20">
        <f>'Revenue Drivers'!I22</f>
        <v>3280</v>
      </c>
      <c r="J26" s="20">
        <f>'Revenue Drivers'!J22</f>
        <v>2905</v>
      </c>
      <c r="K26" s="20">
        <f>'Revenue Drivers'!K22</f>
        <v>1880.1849999999999</v>
      </c>
      <c r="L26" s="20">
        <f>'Revenue Drivers'!L22</f>
        <v>2680</v>
      </c>
      <c r="M26" s="20">
        <f>'Revenue Drivers'!M22</f>
        <v>3793.62</v>
      </c>
      <c r="N26" s="33">
        <f>'Revenue Drivers'!N22</f>
        <v>3983.3009999999999</v>
      </c>
      <c r="O26" s="33">
        <f>'Revenue Drivers'!O22</f>
        <v>4222.2990600000003</v>
      </c>
      <c r="P26" s="33">
        <f>'Revenue Drivers'!P22</f>
        <v>4517.859994200001</v>
      </c>
      <c r="Q26" s="33">
        <f>'Revenue Drivers'!Q22</f>
        <v>4834.1101937940011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68</v>
      </c>
      <c r="B27" s="1" t="s">
        <v>48</v>
      </c>
      <c r="C27" s="20">
        <f>'Client Data'!C18</f>
        <v>12.656599835539753</v>
      </c>
      <c r="D27" s="20">
        <f>'Client Data'!D18</f>
        <v>12.291221475642544</v>
      </c>
      <c r="E27" s="20">
        <f>'Client Data'!E18</f>
        <v>12.170321106954528</v>
      </c>
      <c r="F27" s="20">
        <f>'Client Data'!F18</f>
        <v>11.695348116267224</v>
      </c>
      <c r="G27" s="20">
        <f>'Client Data'!G18</f>
        <v>11.618542600896861</v>
      </c>
      <c r="H27" s="20">
        <f>'Client Data'!H18</f>
        <v>11.332727272727274</v>
      </c>
      <c r="I27" s="20">
        <f>'Client Data'!I18</f>
        <v>11.446164122137404</v>
      </c>
      <c r="J27" s="20">
        <f>'Client Data'!J18</f>
        <v>11.351408934707905</v>
      </c>
      <c r="K27" s="20">
        <f>'Client Data'!K18</f>
        <v>11.351012658227848</v>
      </c>
      <c r="L27" s="20">
        <f>'Client Data'!L18</f>
        <v>11.599978629358649</v>
      </c>
      <c r="M27" s="20">
        <f>'Client Data'!M18</f>
        <v>12.470438110777055</v>
      </c>
      <c r="N27" s="33">
        <f>'Client Data'!N18</f>
        <v>11.674361504679377</v>
      </c>
      <c r="O27" s="33">
        <f>'Client Data'!O18</f>
        <v>11.555830493223773</v>
      </c>
      <c r="P27" s="33">
        <f>'Client Data'!P18</f>
        <v>11.435532096425382</v>
      </c>
      <c r="Q27" s="33">
        <f>'Client Data'!Q18</f>
        <v>11.314865469183477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69</v>
      </c>
      <c r="B28" s="1" t="s">
        <v>44</v>
      </c>
      <c r="C28" s="18">
        <f>'Revenue Drivers'!C29</f>
        <v>0</v>
      </c>
      <c r="D28" s="18">
        <f>'Revenue Drivers'!D29</f>
        <v>0</v>
      </c>
      <c r="E28" s="18">
        <f>'Revenue Drivers'!E29</f>
        <v>0</v>
      </c>
      <c r="F28" s="18">
        <f>'Revenue Drivers'!F29</f>
        <v>0</v>
      </c>
      <c r="G28" s="18">
        <f>'Revenue Drivers'!G29</f>
        <v>0</v>
      </c>
      <c r="H28" s="18">
        <f>'Revenue Drivers'!H29</f>
        <v>0</v>
      </c>
      <c r="I28" s="18">
        <f>'Revenue Drivers'!I29</f>
        <v>0</v>
      </c>
      <c r="J28" s="18">
        <f>'Revenue Drivers'!J29</f>
        <v>0</v>
      </c>
      <c r="K28" s="18">
        <f>'Revenue Drivers'!K29</f>
        <v>0</v>
      </c>
      <c r="L28" s="18">
        <f>'Revenue Drivers'!L29</f>
        <v>0</v>
      </c>
      <c r="M28" s="18">
        <f>'Revenue Drivers'!M29</f>
        <v>0</v>
      </c>
      <c r="N28" s="32">
        <f>'Revenue Drivers'!N29</f>
        <v>454.52319679999812</v>
      </c>
      <c r="O28" s="32">
        <f>'Revenue Drivers'!O29</f>
        <v>698.71053605506063</v>
      </c>
      <c r="P28" s="32">
        <f>'Revenue Drivers'!P29</f>
        <v>967.36168224874837</v>
      </c>
      <c r="Q28" s="32">
        <f>'Revenue Drivers'!Q29</f>
        <v>1266.7596324494252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70</v>
      </c>
      <c r="B29" s="1" t="s">
        <v>44</v>
      </c>
      <c r="C29" s="18">
        <f>'Revenue Drivers'!C21</f>
        <v>0</v>
      </c>
      <c r="D29" s="18">
        <f>'Revenue Drivers'!D21</f>
        <v>0</v>
      </c>
      <c r="E29" s="18">
        <f>'Revenue Drivers'!E21</f>
        <v>0</v>
      </c>
      <c r="F29" s="18">
        <f>'Revenue Drivers'!F21</f>
        <v>0</v>
      </c>
      <c r="G29" s="18">
        <f>'Revenue Drivers'!G21</f>
        <v>0</v>
      </c>
      <c r="H29" s="18">
        <f>'Revenue Drivers'!H21</f>
        <v>0</v>
      </c>
      <c r="I29" s="18">
        <f>'Revenue Drivers'!I21</f>
        <v>0</v>
      </c>
      <c r="J29" s="18">
        <f>'Revenue Drivers'!J21</f>
        <v>0</v>
      </c>
      <c r="K29" s="18">
        <f>'Revenue Drivers'!K21</f>
        <v>0</v>
      </c>
      <c r="L29" s="18">
        <f>'Revenue Drivers'!L21</f>
        <v>0</v>
      </c>
      <c r="M29" s="18">
        <f>'Revenue Drivers'!M21</f>
        <v>0</v>
      </c>
      <c r="N29" s="32">
        <f>'Revenue Drivers'!N21</f>
        <v>-287.42381252715654</v>
      </c>
      <c r="O29" s="32">
        <f>'Revenue Drivers'!O21</f>
        <v>-373.1804611891842</v>
      </c>
      <c r="P29" s="32">
        <f>'Revenue Drivers'!P21</f>
        <v>-456.45949491330913</v>
      </c>
      <c r="Q29" s="32">
        <f>'Revenue Drivers'!Q21</f>
        <v>-555.70935418938473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24" t="s">
        <v>71</v>
      </c>
      <c r="B30" s="22" t="s">
        <v>57</v>
      </c>
      <c r="C30" s="42">
        <f>Valuation!C7</f>
        <v>474.95001220703125</v>
      </c>
      <c r="D30" s="42">
        <f>Valuation!D7</f>
        <v>459.14999389648438</v>
      </c>
      <c r="E30" s="42">
        <f>Valuation!E7</f>
        <v>638.70001220703125</v>
      </c>
      <c r="F30" s="42">
        <f>Valuation!F7</f>
        <v>771.70001220703125</v>
      </c>
      <c r="G30" s="42">
        <f>Valuation!G7</f>
        <v>565.5</v>
      </c>
      <c r="H30" s="42">
        <f>Valuation!H7</f>
        <v>991.45001220703125</v>
      </c>
      <c r="I30" s="42">
        <f>Valuation!I7</f>
        <v>1499.449951171875</v>
      </c>
      <c r="J30" s="42">
        <f>Valuation!J7</f>
        <v>1101.8499755859375</v>
      </c>
      <c r="K30" s="42">
        <f>Valuation!K7</f>
        <v>1248.0999755859375</v>
      </c>
      <c r="L30" s="42">
        <f>Valuation!L7</f>
        <v>1418.25</v>
      </c>
      <c r="M30" s="42">
        <f>Valuation!M7</f>
        <v>1384</v>
      </c>
      <c r="N30" s="43">
        <f>Valuation!N7</f>
        <v>1506.2749735143705</v>
      </c>
      <c r="O30" s="43">
        <f>Valuation!O7</f>
        <v>1692.8716721571855</v>
      </c>
      <c r="P30" s="43">
        <f>Valuation!P7</f>
        <v>1918.469601161695</v>
      </c>
      <c r="Q30" s="43">
        <f>Valuation!Q7</f>
        <v>2165.0698003983002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72</v>
      </c>
      <c r="B31" s="1" t="s">
        <v>73</v>
      </c>
      <c r="C31" s="21">
        <f>Valuation!C14</f>
        <v>14.087557199935144</v>
      </c>
      <c r="D31" s="21">
        <f>Valuation!D14</f>
        <v>14.509510120969507</v>
      </c>
      <c r="E31" s="21">
        <f>Valuation!E14</f>
        <v>14.970260400247247</v>
      </c>
      <c r="F31" s="21">
        <f>Valuation!F14</f>
        <v>16.171246755535769</v>
      </c>
      <c r="G31" s="21">
        <f>Valuation!G14</f>
        <v>12.333696837513632</v>
      </c>
      <c r="H31" s="21">
        <f>Valuation!H14</f>
        <v>19.753935290038481</v>
      </c>
      <c r="I31" s="21">
        <f>Valuation!I14</f>
        <v>23.872790179459876</v>
      </c>
      <c r="J31" s="21">
        <f>Valuation!J14</f>
        <v>20.195197499742257</v>
      </c>
      <c r="K31" s="21">
        <f>Valuation!K14</f>
        <v>46.974029943016092</v>
      </c>
      <c r="L31" s="21">
        <f>Valuation!L14</f>
        <v>29.604772078994866</v>
      </c>
      <c r="M31" s="21">
        <f>Valuation!M14</f>
        <v>25.540191993940645</v>
      </c>
      <c r="N31" s="30">
        <f>Valuation!N14</f>
        <v>22.5</v>
      </c>
      <c r="O31" s="30">
        <f>Valuation!O14</f>
        <v>23</v>
      </c>
      <c r="P31" s="30">
        <f>Valuation!P14</f>
        <v>23.5</v>
      </c>
      <c r="Q31" s="30">
        <f>Valuation!Q14</f>
        <v>24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74</v>
      </c>
      <c r="B32" s="1" t="s">
        <v>73</v>
      </c>
      <c r="C32" s="21">
        <f>Valuation!C15</f>
        <v>8.5835142306293637</v>
      </c>
      <c r="D32" s="21">
        <f>Valuation!D15</f>
        <v>8.7035829852127407</v>
      </c>
      <c r="E32" s="21">
        <f>Valuation!E15</f>
        <v>10.802327347036334</v>
      </c>
      <c r="F32" s="21">
        <f>Valuation!F15</f>
        <v>9.6636928309218924</v>
      </c>
      <c r="G32" s="21">
        <f>Valuation!G15</f>
        <v>7.752688501036741</v>
      </c>
      <c r="H32" s="21">
        <f>Valuation!H15</f>
        <v>11.289025715643493</v>
      </c>
      <c r="I32" s="21">
        <f>Valuation!I15</f>
        <v>15.814958020371723</v>
      </c>
      <c r="J32" s="21">
        <f>Valuation!J15</f>
        <v>11.563264558425308</v>
      </c>
      <c r="K32" s="21">
        <f>Valuation!K15</f>
        <v>21.224161570051891</v>
      </c>
      <c r="L32" s="21">
        <f>Valuation!L15</f>
        <v>17.196290837941039</v>
      </c>
      <c r="M32" s="21">
        <f>Valuation!M15</f>
        <v>12.904595466687365</v>
      </c>
      <c r="N32" s="30">
        <f>Valuation!N15</f>
        <v>12.953944604257194</v>
      </c>
      <c r="O32" s="30">
        <f>Valuation!O15</f>
        <v>13.461532270464</v>
      </c>
      <c r="P32" s="30">
        <f>Valuation!P15</f>
        <v>13.954232829969973</v>
      </c>
      <c r="Q32" s="30">
        <f>Valuation!Q15</f>
        <v>14.426862754548647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75</v>
      </c>
      <c r="B33" s="1" t="s">
        <v>46</v>
      </c>
      <c r="C33" s="19">
        <f>Valuation!C18</f>
        <v>1.4811756874524115E-2</v>
      </c>
      <c r="D33" s="19">
        <f>Valuation!D18</f>
        <v>3.0361056017864194E-2</v>
      </c>
      <c r="E33" s="19">
        <f>Valuation!E18</f>
        <v>1.6591551701292118E-2</v>
      </c>
      <c r="F33" s="19">
        <f>Valuation!F18</f>
        <v>2.1449594653154415E-2</v>
      </c>
      <c r="G33" s="19">
        <f>Valuation!G18</f>
        <v>5.0093399662078542E-2</v>
      </c>
      <c r="H33" s="19">
        <f>Valuation!H18</f>
        <v>2.0113444616282585E-2</v>
      </c>
      <c r="I33" s="19">
        <f>Valuation!I18</f>
        <v>2.9958221783421737E-2</v>
      </c>
      <c r="J33" s="19">
        <f>Valuation!J18</f>
        <v>4.3695453044958026E-2</v>
      </c>
      <c r="K33" s="19">
        <f>Valuation!K18</f>
        <v>3.5364791793331983E-2</v>
      </c>
      <c r="L33" s="19">
        <f>Valuation!L18</f>
        <v>3.0522955370798542E-2</v>
      </c>
      <c r="M33" s="19">
        <f>Valuation!M18</f>
        <v>3.2761922516096345E-2</v>
      </c>
      <c r="N33" s="28">
        <f>Valuation!N18</f>
        <v>3.5555555555555556E-2</v>
      </c>
      <c r="O33" s="28">
        <f>Valuation!O18</f>
        <v>3.4782608695652174E-2</v>
      </c>
      <c r="P33" s="28">
        <f>Valuation!P18</f>
        <v>3.4042553191489362E-2</v>
      </c>
      <c r="Q33" s="28">
        <f>Valuation!Q18</f>
        <v>3.3333333333333333E-2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6"/>
      <c r="O34" s="36"/>
      <c r="P34" s="36"/>
      <c r="Q34" s="3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6"/>
      <c r="O35" s="36"/>
      <c r="P35" s="36"/>
      <c r="Q35" s="3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6"/>
      <c r="O36" s="36"/>
      <c r="P36" s="36"/>
      <c r="Q36" s="3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6"/>
      <c r="O37" s="36"/>
      <c r="P37" s="36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6"/>
      <c r="O38" s="36"/>
      <c r="P38" s="36"/>
      <c r="Q38" s="3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6"/>
      <c r="O39" s="36"/>
      <c r="P39" s="36"/>
      <c r="Q39" s="3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6"/>
      <c r="O40" s="36"/>
      <c r="P40" s="36"/>
      <c r="Q40" s="3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6"/>
      <c r="O41" s="36"/>
      <c r="P41" s="36"/>
      <c r="Q41" s="3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6"/>
      <c r="O42" s="36"/>
      <c r="P42" s="36"/>
      <c r="Q42" s="3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6"/>
      <c r="O43" s="36"/>
      <c r="P43" s="36"/>
      <c r="Q43" s="3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6"/>
      <c r="O44" s="36"/>
      <c r="P44" s="36"/>
      <c r="Q44" s="3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6"/>
      <c r="O45" s="36"/>
      <c r="P45" s="36"/>
      <c r="Q45" s="3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6"/>
      <c r="O46" s="36"/>
      <c r="P46" s="36"/>
      <c r="Q46" s="3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6"/>
      <c r="O47" s="36"/>
      <c r="P47" s="36"/>
      <c r="Q47" s="3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6"/>
      <c r="O48" s="36"/>
      <c r="P48" s="36"/>
      <c r="Q48" s="3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6"/>
      <c r="O49" s="36"/>
      <c r="P49" s="36"/>
      <c r="Q49" s="3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6"/>
      <c r="O50" s="36"/>
      <c r="P50" s="36"/>
      <c r="Q50" s="3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6"/>
      <c r="O51" s="36"/>
      <c r="P51" s="36"/>
      <c r="Q51" s="3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6"/>
      <c r="O52" s="36"/>
      <c r="P52" s="36"/>
      <c r="Q52" s="3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6"/>
      <c r="O53" s="36"/>
      <c r="P53" s="36"/>
      <c r="Q53" s="3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6"/>
      <c r="O54" s="36"/>
      <c r="P54" s="36"/>
      <c r="Q54" s="3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6"/>
      <c r="O55" s="36"/>
      <c r="P55" s="36"/>
      <c r="Q55" s="3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6"/>
      <c r="O56" s="36"/>
      <c r="P56" s="36"/>
      <c r="Q56" s="3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6"/>
      <c r="O57" s="36"/>
      <c r="P57" s="36"/>
      <c r="Q57" s="3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6"/>
      <c r="O58" s="36"/>
      <c r="P58" s="36"/>
      <c r="Q58" s="3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6"/>
      <c r="O59" s="36"/>
      <c r="P59" s="36"/>
      <c r="Q59" s="3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6"/>
      <c r="O60" s="36"/>
      <c r="P60" s="36"/>
      <c r="Q60" s="3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6"/>
      <c r="O61" s="36"/>
      <c r="P61" s="36"/>
      <c r="Q61" s="3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6"/>
      <c r="O62" s="36"/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6"/>
      <c r="O63" s="36"/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6"/>
      <c r="O64" s="36"/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6"/>
      <c r="O65" s="36"/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6"/>
      <c r="O66" s="36"/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6"/>
      <c r="O67" s="36"/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6"/>
      <c r="O68" s="36"/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6"/>
      <c r="O69" s="36"/>
      <c r="P69" s="36"/>
      <c r="Q69" s="3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6"/>
      <c r="O70" s="36"/>
      <c r="P70" s="36"/>
      <c r="Q70" s="3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6"/>
      <c r="O71" s="36"/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6"/>
      <c r="O72" s="36"/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6"/>
      <c r="O73" s="36"/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6"/>
      <c r="O74" s="36"/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6"/>
      <c r="O75" s="36"/>
      <c r="P75" s="36"/>
      <c r="Q75" s="3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6"/>
      <c r="O76" s="36"/>
      <c r="P76" s="36"/>
      <c r="Q76" s="3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6"/>
      <c r="O77" s="36"/>
      <c r="P77" s="36"/>
      <c r="Q77" s="3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6"/>
      <c r="O78" s="36"/>
      <c r="P78" s="36"/>
      <c r="Q78" s="3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6"/>
      <c r="O79" s="36"/>
      <c r="P79" s="36"/>
      <c r="Q79" s="3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6"/>
      <c r="O80" s="36"/>
      <c r="P80" s="36"/>
      <c r="Q80" s="3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6"/>
      <c r="O81" s="36"/>
      <c r="P81" s="36"/>
      <c r="Q81" s="3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6"/>
      <c r="O82" s="36"/>
      <c r="P82" s="36"/>
      <c r="Q82" s="3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6"/>
      <c r="O83" s="36"/>
      <c r="P83" s="36"/>
      <c r="Q83" s="3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6"/>
      <c r="O84" s="36"/>
      <c r="P84" s="36"/>
      <c r="Q84" s="3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6"/>
      <c r="O85" s="36"/>
      <c r="P85" s="36"/>
      <c r="Q85" s="3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6"/>
      <c r="O86" s="36"/>
      <c r="P86" s="36"/>
      <c r="Q86" s="3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6"/>
      <c r="O87" s="36"/>
      <c r="P87" s="36"/>
      <c r="Q87" s="3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6"/>
      <c r="O88" s="36"/>
      <c r="P88" s="36"/>
      <c r="Q88" s="3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6"/>
      <c r="O89" s="36"/>
      <c r="P89" s="36"/>
      <c r="Q89" s="3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6"/>
      <c r="O90" s="36"/>
      <c r="P90" s="36"/>
      <c r="Q90" s="3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6"/>
      <c r="O91" s="36"/>
      <c r="P91" s="36"/>
      <c r="Q91" s="3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6"/>
      <c r="O92" s="36"/>
      <c r="P92" s="36"/>
      <c r="Q92" s="3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6"/>
      <c r="O93" s="36"/>
      <c r="P93" s="36"/>
      <c r="Q93" s="3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6"/>
      <c r="O94" s="36"/>
      <c r="P94" s="36"/>
      <c r="Q94" s="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6"/>
      <c r="O95" s="36"/>
      <c r="P95" s="36"/>
      <c r="Q95" s="3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6"/>
      <c r="O96" s="36"/>
      <c r="P96" s="36"/>
      <c r="Q96" s="3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6"/>
      <c r="O97" s="36"/>
      <c r="P97" s="36"/>
      <c r="Q97" s="3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6"/>
      <c r="O98" s="36"/>
      <c r="P98" s="36"/>
      <c r="Q98" s="3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6"/>
      <c r="O99" s="36"/>
      <c r="P99" s="36"/>
      <c r="Q99" s="3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6"/>
      <c r="O100" s="36"/>
      <c r="P100" s="36"/>
      <c r="Q100" s="3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6"/>
      <c r="O101" s="36"/>
      <c r="P101" s="36"/>
      <c r="Q101" s="3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6"/>
      <c r="O102" s="36"/>
      <c r="P102" s="36"/>
      <c r="Q102" s="3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6"/>
      <c r="O103" s="36"/>
      <c r="P103" s="36"/>
      <c r="Q103" s="3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6"/>
      <c r="O104" s="36"/>
      <c r="P104" s="36"/>
      <c r="Q104" s="3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6"/>
      <c r="O105" s="36"/>
      <c r="P105" s="36"/>
      <c r="Q105" s="3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6"/>
      <c r="O106" s="36"/>
      <c r="P106" s="36"/>
      <c r="Q106" s="3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6"/>
      <c r="O107" s="36"/>
      <c r="P107" s="36"/>
      <c r="Q107" s="3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6"/>
      <c r="O108" s="36"/>
      <c r="P108" s="36"/>
      <c r="Q108" s="3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6"/>
      <c r="O109" s="36"/>
      <c r="P109" s="36"/>
      <c r="Q109" s="3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6"/>
      <c r="O110" s="36"/>
      <c r="P110" s="36"/>
      <c r="Q110" s="3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6"/>
      <c r="O111" s="36"/>
      <c r="P111" s="36"/>
      <c r="Q111" s="3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6"/>
      <c r="O112" s="36"/>
      <c r="P112" s="36"/>
      <c r="Q112" s="3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6"/>
      <c r="O113" s="36"/>
      <c r="P113" s="36"/>
      <c r="Q113" s="3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6"/>
      <c r="O114" s="36"/>
      <c r="P114" s="36"/>
      <c r="Q114" s="3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6"/>
      <c r="O115" s="36"/>
      <c r="P115" s="36"/>
      <c r="Q115" s="3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6"/>
      <c r="O116" s="36"/>
      <c r="P116" s="36"/>
      <c r="Q116" s="3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6"/>
      <c r="O117" s="36"/>
      <c r="P117" s="36"/>
      <c r="Q117" s="3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6"/>
      <c r="O118" s="36"/>
      <c r="P118" s="36"/>
      <c r="Q118" s="3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6"/>
      <c r="O119" s="36"/>
      <c r="P119" s="36"/>
      <c r="Q119" s="3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6"/>
      <c r="O120" s="36"/>
      <c r="P120" s="36"/>
      <c r="Q120" s="3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6"/>
      <c r="O121" s="36"/>
      <c r="P121" s="36"/>
      <c r="Q121" s="3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6"/>
      <c r="O122" s="36"/>
      <c r="P122" s="36"/>
      <c r="Q122" s="3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6"/>
      <c r="O123" s="36"/>
      <c r="P123" s="36"/>
      <c r="Q123" s="3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6"/>
      <c r="O124" s="36"/>
      <c r="P124" s="36"/>
      <c r="Q124" s="3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6"/>
      <c r="O125" s="36"/>
      <c r="P125" s="36"/>
      <c r="Q125" s="3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6"/>
      <c r="O126" s="36"/>
      <c r="P126" s="36"/>
      <c r="Q126" s="3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6"/>
      <c r="O127" s="36"/>
      <c r="P127" s="36"/>
      <c r="Q127" s="3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6"/>
      <c r="O128" s="36"/>
      <c r="P128" s="36"/>
      <c r="Q128" s="3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6"/>
      <c r="O129" s="36"/>
      <c r="P129" s="36"/>
      <c r="Q129" s="3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6"/>
      <c r="O130" s="36"/>
      <c r="P130" s="36"/>
      <c r="Q130" s="3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6"/>
      <c r="O131" s="36"/>
      <c r="P131" s="36"/>
      <c r="Q131" s="3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6"/>
      <c r="O132" s="36"/>
      <c r="P132" s="36"/>
      <c r="Q132" s="3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6"/>
      <c r="O133" s="36"/>
      <c r="P133" s="36"/>
      <c r="Q133" s="3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6"/>
      <c r="O134" s="36"/>
      <c r="P134" s="36"/>
      <c r="Q134" s="3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6"/>
      <c r="O135" s="36"/>
      <c r="P135" s="36"/>
      <c r="Q135" s="3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6"/>
      <c r="O136" s="36"/>
      <c r="P136" s="36"/>
      <c r="Q136" s="3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6"/>
      <c r="O137" s="36"/>
      <c r="P137" s="36"/>
      <c r="Q137" s="3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6"/>
      <c r="O138" s="36"/>
      <c r="P138" s="36"/>
      <c r="Q138" s="3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6"/>
      <c r="O139" s="36"/>
      <c r="P139" s="36"/>
      <c r="Q139" s="3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6"/>
      <c r="O140" s="36"/>
      <c r="P140" s="36"/>
      <c r="Q140" s="3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6"/>
      <c r="O141" s="36"/>
      <c r="P141" s="36"/>
      <c r="Q141" s="3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6"/>
      <c r="O142" s="36"/>
      <c r="P142" s="36"/>
      <c r="Q142" s="3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6"/>
      <c r="O143" s="36"/>
      <c r="P143" s="36"/>
      <c r="Q143" s="3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6"/>
      <c r="O144" s="36"/>
      <c r="P144" s="36"/>
      <c r="Q144" s="3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6"/>
      <c r="O145" s="36"/>
      <c r="P145" s="36"/>
      <c r="Q145" s="3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6"/>
      <c r="O146" s="36"/>
      <c r="P146" s="36"/>
      <c r="Q146" s="3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6"/>
      <c r="O147" s="36"/>
      <c r="P147" s="36"/>
      <c r="Q147" s="3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6"/>
      <c r="O148" s="36"/>
      <c r="P148" s="36"/>
      <c r="Q148" s="3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6"/>
      <c r="O149" s="36"/>
      <c r="P149" s="36"/>
      <c r="Q149" s="3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6"/>
      <c r="O150" s="36"/>
      <c r="P150" s="36"/>
      <c r="Q150" s="3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6"/>
      <c r="O151" s="36"/>
      <c r="P151" s="36"/>
      <c r="Q151" s="3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6"/>
      <c r="O152" s="36"/>
      <c r="P152" s="36"/>
      <c r="Q152" s="3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6"/>
      <c r="O153" s="36"/>
      <c r="P153" s="36"/>
      <c r="Q153" s="3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6"/>
      <c r="O154" s="36"/>
      <c r="P154" s="36"/>
      <c r="Q154" s="3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6"/>
      <c r="O155" s="36"/>
      <c r="P155" s="36"/>
      <c r="Q155" s="3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6"/>
      <c r="O156" s="36"/>
      <c r="P156" s="36"/>
      <c r="Q156" s="3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6"/>
      <c r="O157" s="36"/>
      <c r="P157" s="36"/>
      <c r="Q157" s="3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6"/>
      <c r="O158" s="36"/>
      <c r="P158" s="36"/>
      <c r="Q158" s="3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6"/>
      <c r="O159" s="36"/>
      <c r="P159" s="36"/>
      <c r="Q159" s="3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6"/>
      <c r="O160" s="36"/>
      <c r="P160" s="36"/>
      <c r="Q160" s="3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6"/>
      <c r="O161" s="36"/>
      <c r="P161" s="36"/>
      <c r="Q161" s="3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6"/>
      <c r="O162" s="36"/>
      <c r="P162" s="36"/>
      <c r="Q162" s="3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6"/>
      <c r="O163" s="36"/>
      <c r="P163" s="36"/>
      <c r="Q163" s="3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6"/>
      <c r="O164" s="36"/>
      <c r="P164" s="36"/>
      <c r="Q164" s="3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6"/>
      <c r="O165" s="36"/>
      <c r="P165" s="36"/>
      <c r="Q165" s="3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6"/>
      <c r="O166" s="36"/>
      <c r="P166" s="36"/>
      <c r="Q166" s="3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6"/>
      <c r="O167" s="36"/>
      <c r="P167" s="36"/>
      <c r="Q167" s="3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6"/>
      <c r="O168" s="36"/>
      <c r="P168" s="36"/>
      <c r="Q168" s="3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6"/>
      <c r="O169" s="36"/>
      <c r="P169" s="36"/>
      <c r="Q169" s="3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6"/>
      <c r="O170" s="36"/>
      <c r="P170" s="36"/>
      <c r="Q170" s="3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6"/>
      <c r="O171" s="36"/>
      <c r="P171" s="36"/>
      <c r="Q171" s="3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6"/>
      <c r="O172" s="36"/>
      <c r="P172" s="36"/>
      <c r="Q172" s="3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6"/>
      <c r="O173" s="36"/>
      <c r="P173" s="36"/>
      <c r="Q173" s="3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6"/>
      <c r="O174" s="36"/>
      <c r="P174" s="36"/>
      <c r="Q174" s="3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6"/>
      <c r="O175" s="36"/>
      <c r="P175" s="36"/>
      <c r="Q175" s="3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6"/>
      <c r="O176" s="36"/>
      <c r="P176" s="36"/>
      <c r="Q176" s="3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6"/>
      <c r="O177" s="36"/>
      <c r="P177" s="36"/>
      <c r="Q177" s="3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6"/>
      <c r="O178" s="36"/>
      <c r="P178" s="36"/>
      <c r="Q178" s="3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6"/>
      <c r="O179" s="36"/>
      <c r="P179" s="36"/>
      <c r="Q179" s="3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6"/>
      <c r="O180" s="36"/>
      <c r="P180" s="36"/>
      <c r="Q180" s="3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6"/>
      <c r="O181" s="36"/>
      <c r="P181" s="36"/>
      <c r="Q181" s="3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6"/>
      <c r="O182" s="36"/>
      <c r="P182" s="36"/>
      <c r="Q182" s="3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6"/>
      <c r="O183" s="36"/>
      <c r="P183" s="36"/>
      <c r="Q183" s="3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6"/>
      <c r="O184" s="36"/>
      <c r="P184" s="36"/>
      <c r="Q184" s="3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6"/>
      <c r="O185" s="36"/>
      <c r="P185" s="36"/>
      <c r="Q185" s="3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6"/>
      <c r="O186" s="36"/>
      <c r="P186" s="36"/>
      <c r="Q186" s="3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6"/>
      <c r="O187" s="36"/>
      <c r="P187" s="36"/>
      <c r="Q187" s="3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6"/>
      <c r="O188" s="36"/>
      <c r="P188" s="36"/>
      <c r="Q188" s="3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6"/>
      <c r="O189" s="36"/>
      <c r="P189" s="36"/>
      <c r="Q189" s="3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6"/>
      <c r="O190" s="36"/>
      <c r="P190" s="36"/>
      <c r="Q190" s="3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6"/>
      <c r="O191" s="36"/>
      <c r="P191" s="36"/>
      <c r="Q191" s="3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6"/>
      <c r="O192" s="36"/>
      <c r="P192" s="36"/>
      <c r="Q192" s="3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6"/>
      <c r="O193" s="36"/>
      <c r="P193" s="36"/>
      <c r="Q193" s="3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6"/>
      <c r="O194" s="36"/>
      <c r="P194" s="36"/>
      <c r="Q194" s="3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6"/>
      <c r="O195" s="36"/>
      <c r="P195" s="36"/>
      <c r="Q195" s="3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6"/>
      <c r="O196" s="36"/>
      <c r="P196" s="36"/>
      <c r="Q196" s="3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6"/>
      <c r="O197" s="36"/>
      <c r="P197" s="36"/>
      <c r="Q197" s="3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6"/>
      <c r="O198" s="36"/>
      <c r="P198" s="36"/>
      <c r="Q198" s="3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6"/>
      <c r="O199" s="36"/>
      <c r="P199" s="36"/>
      <c r="Q199" s="3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6"/>
      <c r="O200" s="36"/>
      <c r="P200" s="36"/>
      <c r="Q200" s="3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00"/>
  <sheetViews>
    <sheetView showGridLines="0" workbookViewId="0"/>
  </sheetViews>
  <sheetFormatPr defaultRowHeight="13.8"/>
  <cols>
    <col min="1" max="1" width="8" customWidth="1"/>
    <col min="2" max="2" width="27" customWidth="1"/>
    <col min="3" max="3" width="12" customWidth="1"/>
    <col min="4" max="4" width="64" customWidth="1"/>
    <col min="5" max="5" width="34" customWidth="1"/>
    <col min="6" max="6" width="12" customWidth="1"/>
    <col min="7" max="7" width="47" customWidth="1"/>
  </cols>
  <sheetData>
    <row r="1" spans="1:46" ht="25.95" customHeight="1">
      <c r="A1" s="68" t="s">
        <v>76</v>
      </c>
      <c r="B1" s="68"/>
      <c r="C1" s="68"/>
      <c r="D1" s="68"/>
      <c r="E1" s="68"/>
      <c r="F1" s="68"/>
      <c r="G1" s="6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77</v>
      </c>
      <c r="B2" s="69"/>
      <c r="C2" s="69"/>
      <c r="D2" s="69"/>
      <c r="E2" s="69"/>
      <c r="F2" s="69"/>
      <c r="G2" s="6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6" t="s">
        <v>78</v>
      </c>
      <c r="B5" s="6" t="s">
        <v>79</v>
      </c>
      <c r="C5" s="6" t="s">
        <v>27</v>
      </c>
      <c r="D5" s="6" t="s">
        <v>9</v>
      </c>
      <c r="E5" s="6" t="s">
        <v>80</v>
      </c>
      <c r="F5" s="6" t="s">
        <v>81</v>
      </c>
      <c r="G5" s="6" t="s">
        <v>82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37.950000000000003" customHeight="1">
      <c r="A6" s="4" t="s">
        <v>83</v>
      </c>
      <c r="B6" s="4" t="s">
        <v>84</v>
      </c>
      <c r="C6" s="4" t="s">
        <v>85</v>
      </c>
      <c r="D6" s="4" t="s">
        <v>86</v>
      </c>
      <c r="E6" s="4" t="s">
        <v>87</v>
      </c>
      <c r="F6" s="4" t="s">
        <v>88</v>
      </c>
      <c r="G6" s="4" t="s">
        <v>89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37.950000000000003" customHeight="1">
      <c r="A7" s="4" t="s">
        <v>90</v>
      </c>
      <c r="B7" s="4" t="s">
        <v>91</v>
      </c>
      <c r="C7" s="4" t="s">
        <v>92</v>
      </c>
      <c r="D7" s="4" t="s">
        <v>93</v>
      </c>
      <c r="E7" s="4" t="s">
        <v>94</v>
      </c>
      <c r="F7" s="4" t="s">
        <v>95</v>
      </c>
      <c r="G7" s="4" t="s">
        <v>96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37.950000000000003" customHeight="1">
      <c r="A8" s="4" t="s">
        <v>97</v>
      </c>
      <c r="B8" s="4" t="s">
        <v>98</v>
      </c>
      <c r="C8" s="4" t="s">
        <v>92</v>
      </c>
      <c r="D8" s="4" t="s">
        <v>99</v>
      </c>
      <c r="E8" s="4" t="s">
        <v>100</v>
      </c>
      <c r="F8" s="4" t="s">
        <v>88</v>
      </c>
      <c r="G8" s="4" t="s">
        <v>101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37.950000000000003" customHeight="1">
      <c r="A9" s="4" t="s">
        <v>102</v>
      </c>
      <c r="B9" s="4" t="s">
        <v>103</v>
      </c>
      <c r="C9" s="4" t="s">
        <v>104</v>
      </c>
      <c r="D9" s="4" t="s">
        <v>105</v>
      </c>
      <c r="E9" s="4" t="s">
        <v>106</v>
      </c>
      <c r="F9" s="4" t="s">
        <v>95</v>
      </c>
      <c r="G9" s="4" t="s">
        <v>107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37.950000000000003" customHeight="1">
      <c r="A10" s="4" t="s">
        <v>108</v>
      </c>
      <c r="B10" s="4" t="s">
        <v>109</v>
      </c>
      <c r="C10" s="4" t="s">
        <v>57</v>
      </c>
      <c r="D10" s="4" t="s">
        <v>110</v>
      </c>
      <c r="E10" s="4" t="s">
        <v>111</v>
      </c>
      <c r="F10" s="4" t="s">
        <v>88</v>
      </c>
      <c r="G10" s="4" t="s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37.950000000000003" customHeight="1">
      <c r="A11" s="4" t="s">
        <v>113</v>
      </c>
      <c r="B11" s="4" t="s">
        <v>17</v>
      </c>
      <c r="C11" s="4" t="s">
        <v>46</v>
      </c>
      <c r="D11" s="4" t="s">
        <v>114</v>
      </c>
      <c r="E11" s="4" t="s">
        <v>115</v>
      </c>
      <c r="F11" s="4" t="s">
        <v>88</v>
      </c>
      <c r="G11" s="4" t="s">
        <v>116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37.950000000000003" customHeight="1">
      <c r="A12" s="4" t="s">
        <v>117</v>
      </c>
      <c r="B12" s="4" t="s">
        <v>118</v>
      </c>
      <c r="C12" s="4" t="s">
        <v>104</v>
      </c>
      <c r="D12" s="4" t="s">
        <v>119</v>
      </c>
      <c r="E12" s="4" t="s">
        <v>120</v>
      </c>
      <c r="F12" s="4" t="s">
        <v>88</v>
      </c>
      <c r="G12" s="4" t="s">
        <v>121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37.950000000000003" customHeight="1">
      <c r="A13" s="4" t="s">
        <v>122</v>
      </c>
      <c r="B13" s="4" t="s">
        <v>123</v>
      </c>
      <c r="C13" s="4" t="s">
        <v>124</v>
      </c>
      <c r="D13" s="4" t="s">
        <v>124</v>
      </c>
      <c r="E13" s="4" t="s">
        <v>125</v>
      </c>
      <c r="F13" s="4" t="s">
        <v>126</v>
      </c>
      <c r="G13" s="4" t="s">
        <v>127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40.049999999999997" customHeight="1">
      <c r="A14" s="49" t="s">
        <v>128</v>
      </c>
      <c r="B14" s="49" t="s">
        <v>129</v>
      </c>
      <c r="C14" s="49" t="s">
        <v>85</v>
      </c>
      <c r="D14" s="50" t="s">
        <v>130</v>
      </c>
      <c r="E14" s="49" t="s">
        <v>131</v>
      </c>
      <c r="F14" s="49" t="s">
        <v>88</v>
      </c>
      <c r="G14" s="49" t="s">
        <v>132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00"/>
  <sheetViews>
    <sheetView showGridLines="0" workbookViewId="0"/>
  </sheetViews>
  <sheetFormatPr defaultRowHeight="13.8"/>
  <cols>
    <col min="1" max="1" width="50" customWidth="1"/>
    <col min="2" max="2" width="12" customWidth="1"/>
    <col min="3" max="6" width="13" customWidth="1"/>
    <col min="7" max="7" width="58" customWidth="1"/>
  </cols>
  <sheetData>
    <row r="1" spans="1:46" ht="25.95" customHeight="1">
      <c r="A1" s="68" t="s">
        <v>133</v>
      </c>
      <c r="B1" s="68"/>
      <c r="C1" s="68"/>
      <c r="D1" s="68"/>
      <c r="E1" s="68"/>
      <c r="F1" s="68"/>
      <c r="G1" s="7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134</v>
      </c>
      <c r="B2" s="69"/>
      <c r="C2" s="69"/>
      <c r="D2" s="69"/>
      <c r="E2" s="69"/>
      <c r="F2" s="69"/>
      <c r="G2" s="7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6" t="s">
        <v>135</v>
      </c>
      <c r="B5" s="6" t="s">
        <v>27</v>
      </c>
      <c r="C5" s="6" t="s">
        <v>39</v>
      </c>
      <c r="D5" s="6" t="s">
        <v>40</v>
      </c>
      <c r="E5" s="6" t="s">
        <v>41</v>
      </c>
      <c r="F5" s="6" t="s">
        <v>42</v>
      </c>
      <c r="G5" s="57" t="s">
        <v>136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137</v>
      </c>
      <c r="B6" s="1" t="s">
        <v>46</v>
      </c>
      <c r="C6" s="7">
        <v>0</v>
      </c>
      <c r="D6" s="7">
        <v>0.01</v>
      </c>
      <c r="E6" s="7">
        <v>1.4999999999999999E-2</v>
      </c>
      <c r="F6" s="7">
        <v>0.02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138</v>
      </c>
      <c r="B7" s="1" t="s">
        <v>46</v>
      </c>
      <c r="C7" s="7">
        <v>0.51500000000000001</v>
      </c>
      <c r="D7" s="7">
        <v>0.52</v>
      </c>
      <c r="E7" s="7">
        <v>0.52500000000000002</v>
      </c>
      <c r="F7" s="7">
        <v>0.53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139</v>
      </c>
      <c r="B8" s="1" t="s">
        <v>46</v>
      </c>
      <c r="C8" s="7">
        <v>0.86</v>
      </c>
      <c r="D8" s="7">
        <v>0.86199999999999999</v>
      </c>
      <c r="E8" s="7">
        <v>0.86499999999999999</v>
      </c>
      <c r="F8" s="7">
        <v>0.86499999999999999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140</v>
      </c>
      <c r="B9" s="1" t="s">
        <v>46</v>
      </c>
      <c r="C9" s="7">
        <v>0.02</v>
      </c>
      <c r="D9" s="7">
        <v>2.5000000000000001E-2</v>
      </c>
      <c r="E9" s="7">
        <v>0.03</v>
      </c>
      <c r="F9" s="7">
        <v>0.03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141</v>
      </c>
      <c r="B10" s="1" t="s">
        <v>46</v>
      </c>
      <c r="C10" s="7">
        <v>0.5</v>
      </c>
      <c r="D10" s="7">
        <v>0.5</v>
      </c>
      <c r="E10" s="7">
        <v>0.5</v>
      </c>
      <c r="F10" s="7">
        <v>0.5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142</v>
      </c>
      <c r="B11" s="1" t="s">
        <v>46</v>
      </c>
      <c r="C11" s="7">
        <v>0.96</v>
      </c>
      <c r="D11" s="7">
        <v>0.96</v>
      </c>
      <c r="E11" s="7">
        <v>0.96</v>
      </c>
      <c r="F11" s="7">
        <v>0.96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143</v>
      </c>
      <c r="B12" s="1" t="s">
        <v>46</v>
      </c>
      <c r="C12" s="7">
        <v>0.35</v>
      </c>
      <c r="D12" s="7">
        <v>0.33</v>
      </c>
      <c r="E12" s="7">
        <v>0.31</v>
      </c>
      <c r="F12" s="7">
        <v>0.3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144</v>
      </c>
      <c r="B13" s="1" t="s">
        <v>46</v>
      </c>
      <c r="C13" s="7">
        <v>1.4999999999999999E-2</v>
      </c>
      <c r="D13" s="7">
        <v>0.02</v>
      </c>
      <c r="E13" s="7">
        <v>2.5000000000000001E-2</v>
      </c>
      <c r="F13" s="7">
        <v>0.03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145</v>
      </c>
      <c r="B14" s="1" t="s">
        <v>46</v>
      </c>
      <c r="C14" s="7">
        <v>0.05</v>
      </c>
      <c r="D14" s="7">
        <v>0.06</v>
      </c>
      <c r="E14" s="7">
        <v>7.0000000000000007E-2</v>
      </c>
      <c r="F14" s="7">
        <v>7.0000000000000007E-2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146</v>
      </c>
      <c r="B15" s="1" t="s">
        <v>46</v>
      </c>
      <c r="C15" s="7">
        <v>0.08</v>
      </c>
      <c r="D15" s="7">
        <v>0.08</v>
      </c>
      <c r="E15" s="7">
        <v>0.08</v>
      </c>
      <c r="F15" s="7">
        <v>0.08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147</v>
      </c>
      <c r="B16" s="1" t="s">
        <v>46</v>
      </c>
      <c r="C16" s="7">
        <v>8.0000000000000002E-3</v>
      </c>
      <c r="D16" s="7">
        <v>1.2E-2</v>
      </c>
      <c r="E16" s="7">
        <v>1.6E-2</v>
      </c>
      <c r="F16" s="7">
        <v>0.02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148</v>
      </c>
      <c r="B17" s="1" t="s">
        <v>46</v>
      </c>
      <c r="C17" s="7">
        <v>5.0000000000000001E-3</v>
      </c>
      <c r="D17" s="7">
        <v>6.0000000000000001E-3</v>
      </c>
      <c r="E17" s="7">
        <v>7.0000000000000001E-3</v>
      </c>
      <c r="F17" s="7">
        <v>8.0000000000000002E-3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149</v>
      </c>
      <c r="B18" s="1" t="s">
        <v>150</v>
      </c>
      <c r="C18" s="8">
        <v>95</v>
      </c>
      <c r="D18" s="8">
        <v>96</v>
      </c>
      <c r="E18" s="8">
        <v>97</v>
      </c>
      <c r="F18" s="8">
        <v>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151</v>
      </c>
      <c r="B19" s="1" t="s">
        <v>46</v>
      </c>
      <c r="C19" s="7">
        <v>0.30499999999999999</v>
      </c>
      <c r="D19" s="7">
        <v>0.31</v>
      </c>
      <c r="E19" s="7">
        <v>0.315</v>
      </c>
      <c r="F19" s="7">
        <v>0.32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152</v>
      </c>
      <c r="B20" s="1" t="s">
        <v>46</v>
      </c>
      <c r="C20" s="7">
        <v>0.13800000000000001</v>
      </c>
      <c r="D20" s="7">
        <v>0.13700000000000001</v>
      </c>
      <c r="E20" s="7">
        <v>0.13500000000000001</v>
      </c>
      <c r="F20" s="7">
        <v>0.13400000000000001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153</v>
      </c>
      <c r="B21" s="1" t="s">
        <v>46</v>
      </c>
      <c r="C21" s="7">
        <v>3.3000000000000002E-2</v>
      </c>
      <c r="D21" s="7">
        <v>3.2000000000000001E-2</v>
      </c>
      <c r="E21" s="7">
        <v>3.1E-2</v>
      </c>
      <c r="F21" s="7">
        <v>0.03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154</v>
      </c>
      <c r="B22" s="1" t="s">
        <v>44</v>
      </c>
      <c r="C22" s="8">
        <v>0</v>
      </c>
      <c r="D22" s="8">
        <v>0</v>
      </c>
      <c r="E22" s="8">
        <v>0</v>
      </c>
      <c r="F22" s="8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155</v>
      </c>
      <c r="B23" s="1" t="s">
        <v>46</v>
      </c>
      <c r="C23" s="7">
        <v>2.5000000000000001E-2</v>
      </c>
      <c r="D23" s="7">
        <v>2.5000000000000001E-2</v>
      </c>
      <c r="E23" s="7">
        <v>2.5000000000000001E-2</v>
      </c>
      <c r="F23" s="7">
        <v>2.5000000000000001E-2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156</v>
      </c>
      <c r="B24" s="1" t="s">
        <v>46</v>
      </c>
      <c r="C24" s="7">
        <v>0.06</v>
      </c>
      <c r="D24" s="7">
        <v>0.06</v>
      </c>
      <c r="E24" s="7">
        <v>0.06</v>
      </c>
      <c r="F24" s="7">
        <v>0.06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157</v>
      </c>
      <c r="B25" s="1" t="s">
        <v>46</v>
      </c>
      <c r="C25" s="7">
        <v>0.25800000000000001</v>
      </c>
      <c r="D25" s="7">
        <v>0.255</v>
      </c>
      <c r="E25" s="7">
        <v>0.255</v>
      </c>
      <c r="F25" s="7">
        <v>0.255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158</v>
      </c>
      <c r="B26" s="1" t="s">
        <v>46</v>
      </c>
      <c r="C26" s="7">
        <v>0</v>
      </c>
      <c r="D26" s="7">
        <v>0</v>
      </c>
      <c r="E26" s="7">
        <v>0</v>
      </c>
      <c r="F26" s="7"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159</v>
      </c>
      <c r="B27" s="1" t="s">
        <v>160</v>
      </c>
      <c r="C27" s="8">
        <v>49</v>
      </c>
      <c r="D27" s="8">
        <v>48</v>
      </c>
      <c r="E27" s="8">
        <v>47</v>
      </c>
      <c r="F27" s="8">
        <v>46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161</v>
      </c>
      <c r="B28" s="1" t="s">
        <v>160</v>
      </c>
      <c r="C28" s="8">
        <v>37</v>
      </c>
      <c r="D28" s="8">
        <v>36</v>
      </c>
      <c r="E28" s="8">
        <v>35</v>
      </c>
      <c r="F28" s="8">
        <v>34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162</v>
      </c>
      <c r="B29" s="1" t="s">
        <v>46</v>
      </c>
      <c r="C29" s="7">
        <v>8.0000000000000002E-3</v>
      </c>
      <c r="D29" s="7">
        <v>8.0000000000000002E-3</v>
      </c>
      <c r="E29" s="7">
        <v>8.0000000000000002E-3</v>
      </c>
      <c r="F29" s="7">
        <v>8.0000000000000002E-3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163</v>
      </c>
      <c r="B30" s="1" t="s">
        <v>46</v>
      </c>
      <c r="C30" s="7">
        <v>9.1999999999999998E-2</v>
      </c>
      <c r="D30" s="7">
        <v>0.09</v>
      </c>
      <c r="E30" s="7">
        <v>8.7999999999999995E-2</v>
      </c>
      <c r="F30" s="7">
        <v>8.5999999999999993E-2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164</v>
      </c>
      <c r="B31" s="1" t="s">
        <v>46</v>
      </c>
      <c r="C31" s="7">
        <v>0.09</v>
      </c>
      <c r="D31" s="7">
        <v>0.09</v>
      </c>
      <c r="E31" s="7">
        <v>0.09</v>
      </c>
      <c r="F31" s="7">
        <v>0.09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165</v>
      </c>
      <c r="B32" s="1" t="s">
        <v>46</v>
      </c>
      <c r="C32" s="7">
        <v>0.02</v>
      </c>
      <c r="D32" s="7">
        <v>1.9E-2</v>
      </c>
      <c r="E32" s="7">
        <v>1.7999999999999999E-2</v>
      </c>
      <c r="F32" s="7">
        <v>1.7000000000000001E-2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166</v>
      </c>
      <c r="B33" s="1" t="s">
        <v>46</v>
      </c>
      <c r="C33" s="7">
        <v>0.23</v>
      </c>
      <c r="D33" s="7">
        <v>0.22800000000000001</v>
      </c>
      <c r="E33" s="7">
        <v>0.22600000000000001</v>
      </c>
      <c r="F33" s="7">
        <v>0.22500000000000001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27.6">
      <c r="A34" s="1" t="s">
        <v>167</v>
      </c>
      <c r="B34" s="1" t="s">
        <v>46</v>
      </c>
      <c r="C34" s="58">
        <v>1E-3</v>
      </c>
      <c r="D34" s="58">
        <v>1E-3</v>
      </c>
      <c r="E34" s="58">
        <v>1E-3</v>
      </c>
      <c r="F34" s="58">
        <v>1E-3</v>
      </c>
      <c r="G34" s="4" t="s">
        <v>168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169</v>
      </c>
      <c r="B35" s="1" t="s">
        <v>46</v>
      </c>
      <c r="C35" s="7">
        <v>1.2999999999999999E-2</v>
      </c>
      <c r="D35" s="7">
        <v>1.2999999999999999E-2</v>
      </c>
      <c r="E35" s="7">
        <v>1.2999999999999999E-2</v>
      </c>
      <c r="F35" s="7">
        <v>1.2999999999999999E-2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27.6">
      <c r="A36" s="1" t="s">
        <v>170</v>
      </c>
      <c r="B36" s="1" t="s">
        <v>46</v>
      </c>
      <c r="C36" s="58">
        <v>1.2E-2</v>
      </c>
      <c r="D36" s="58">
        <v>1.2E-2</v>
      </c>
      <c r="E36" s="58">
        <v>1.2E-2</v>
      </c>
      <c r="F36" s="58">
        <v>1.2E-2</v>
      </c>
      <c r="G36" s="4" t="s">
        <v>171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172</v>
      </c>
      <c r="B37" s="1" t="s">
        <v>46</v>
      </c>
      <c r="C37" s="58">
        <v>0.3</v>
      </c>
      <c r="D37" s="58">
        <v>0.3</v>
      </c>
      <c r="E37" s="58">
        <v>0.3</v>
      </c>
      <c r="F37" s="58">
        <v>0.3</v>
      </c>
      <c r="G37" s="4" t="s">
        <v>173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174</v>
      </c>
      <c r="B38" s="1" t="s">
        <v>44</v>
      </c>
      <c r="C38" s="7">
        <v>0</v>
      </c>
      <c r="D38" s="7">
        <v>0</v>
      </c>
      <c r="E38" s="7">
        <v>0</v>
      </c>
      <c r="F38" s="7"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175</v>
      </c>
      <c r="B39" s="1" t="s">
        <v>44</v>
      </c>
      <c r="C39" s="8">
        <v>0</v>
      </c>
      <c r="D39" s="8">
        <v>0</v>
      </c>
      <c r="E39" s="8">
        <v>0</v>
      </c>
      <c r="F39" s="8"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176</v>
      </c>
      <c r="B40" s="1" t="s">
        <v>46</v>
      </c>
      <c r="C40" s="7">
        <v>0.15</v>
      </c>
      <c r="D40" s="7">
        <v>0.15</v>
      </c>
      <c r="E40" s="7">
        <v>0.15</v>
      </c>
      <c r="F40" s="7">
        <v>0.15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177</v>
      </c>
      <c r="B41" s="1" t="s">
        <v>46</v>
      </c>
      <c r="C41" s="7">
        <v>0.8</v>
      </c>
      <c r="D41" s="7">
        <v>0.8</v>
      </c>
      <c r="E41" s="7">
        <v>0.8</v>
      </c>
      <c r="F41" s="7">
        <v>0.8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178</v>
      </c>
      <c r="B42" s="1" t="s">
        <v>44</v>
      </c>
      <c r="C42" s="8">
        <v>0</v>
      </c>
      <c r="D42" s="8">
        <v>0</v>
      </c>
      <c r="E42" s="8">
        <v>0</v>
      </c>
      <c r="F42" s="8"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179</v>
      </c>
      <c r="B43" s="1" t="s">
        <v>46</v>
      </c>
      <c r="C43" s="7">
        <v>0</v>
      </c>
      <c r="D43" s="7">
        <v>0</v>
      </c>
      <c r="E43" s="7">
        <v>0</v>
      </c>
      <c r="F43" s="7"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180</v>
      </c>
      <c r="B44" s="1" t="s">
        <v>73</v>
      </c>
      <c r="C44" s="8">
        <v>22.5</v>
      </c>
      <c r="D44" s="8">
        <v>23</v>
      </c>
      <c r="E44" s="8">
        <v>23.5</v>
      </c>
      <c r="F44" s="8">
        <v>24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66</v>
      </c>
      <c r="B45" s="1" t="s">
        <v>46</v>
      </c>
      <c r="C45" s="7">
        <v>0.12</v>
      </c>
      <c r="D45" s="7">
        <v>0.115</v>
      </c>
      <c r="E45" s="7">
        <v>0.11</v>
      </c>
      <c r="F45" s="7">
        <v>0.105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181</v>
      </c>
      <c r="B46" s="1" t="s">
        <v>46</v>
      </c>
      <c r="C46" s="7">
        <v>0.25</v>
      </c>
      <c r="D46" s="7">
        <v>0.25</v>
      </c>
      <c r="E46" s="7">
        <v>0.25</v>
      </c>
      <c r="F46" s="7">
        <v>0.25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182</v>
      </c>
      <c r="B47" s="1" t="s">
        <v>46</v>
      </c>
      <c r="C47" s="7">
        <v>3.5000000000000003E-2</v>
      </c>
      <c r="D47" s="7">
        <v>3.4000000000000002E-2</v>
      </c>
      <c r="E47" s="7">
        <v>3.3000000000000002E-2</v>
      </c>
      <c r="F47" s="7">
        <v>3.2000000000000001E-2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183</v>
      </c>
      <c r="B48" s="1" t="s">
        <v>46</v>
      </c>
      <c r="C48" s="7">
        <v>8.7999999999999995E-2</v>
      </c>
      <c r="D48" s="7">
        <v>8.6999999999999994E-2</v>
      </c>
      <c r="E48" s="7">
        <v>8.5999999999999993E-2</v>
      </c>
      <c r="F48" s="7">
        <v>8.5000000000000006E-2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184</v>
      </c>
      <c r="B49" s="1" t="s">
        <v>46</v>
      </c>
      <c r="C49" s="7">
        <v>2.1999999999999999E-2</v>
      </c>
      <c r="D49" s="7">
        <v>2.1000000000000001E-2</v>
      </c>
      <c r="E49" s="7">
        <v>0.02</v>
      </c>
      <c r="F49" s="7">
        <v>0.02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185</v>
      </c>
      <c r="B50" s="1" t="s">
        <v>46</v>
      </c>
      <c r="C50" s="7">
        <v>4.3999999999999997E-2</v>
      </c>
      <c r="D50" s="7">
        <v>4.2999999999999997E-2</v>
      </c>
      <c r="E50" s="7">
        <v>4.2000000000000003E-2</v>
      </c>
      <c r="F50" s="7">
        <v>4.1000000000000002E-2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186</v>
      </c>
      <c r="B51" s="1" t="s">
        <v>46</v>
      </c>
      <c r="C51" s="7">
        <v>5.1999999999999998E-2</v>
      </c>
      <c r="D51" s="7">
        <v>5.0999999999999997E-2</v>
      </c>
      <c r="E51" s="7">
        <v>0.05</v>
      </c>
      <c r="F51" s="7">
        <v>4.9000000000000002E-2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187</v>
      </c>
      <c r="B52" s="1" t="s">
        <v>46</v>
      </c>
      <c r="C52" s="7">
        <v>2E-3</v>
      </c>
      <c r="D52" s="7">
        <v>2E-3</v>
      </c>
      <c r="E52" s="7">
        <v>2E-3</v>
      </c>
      <c r="F52" s="7">
        <v>2E-3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8" customHeight="1">
      <c r="A54" s="72" t="s">
        <v>188</v>
      </c>
      <c r="B54" s="72"/>
      <c r="C54" s="72"/>
      <c r="D54" s="72"/>
      <c r="E54" s="72"/>
      <c r="F54" s="72"/>
      <c r="G54" s="7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189</v>
      </c>
      <c r="B55" s="1" t="s">
        <v>46</v>
      </c>
      <c r="C55" s="58">
        <v>0.35</v>
      </c>
      <c r="D55" s="58">
        <v>0.35</v>
      </c>
      <c r="E55" s="58">
        <v>0.35</v>
      </c>
      <c r="F55" s="58">
        <v>0.35</v>
      </c>
      <c r="G55" s="4" t="s">
        <v>190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191</v>
      </c>
      <c r="B56" s="1" t="s">
        <v>46</v>
      </c>
      <c r="C56" s="58">
        <v>0.35</v>
      </c>
      <c r="D56" s="58">
        <v>0.35</v>
      </c>
      <c r="E56" s="58">
        <v>0.35</v>
      </c>
      <c r="F56" s="58">
        <v>0.35</v>
      </c>
      <c r="G56" s="4" t="s">
        <v>192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193</v>
      </c>
      <c r="B57" s="1" t="s">
        <v>46</v>
      </c>
      <c r="C57" s="58">
        <v>0.3</v>
      </c>
      <c r="D57" s="58">
        <v>0.3</v>
      </c>
      <c r="E57" s="58">
        <v>0.3</v>
      </c>
      <c r="F57" s="58">
        <v>0.3</v>
      </c>
      <c r="G57" s="4" t="s">
        <v>194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195</v>
      </c>
      <c r="B58" s="1" t="s">
        <v>46</v>
      </c>
      <c r="C58" s="58">
        <v>3.0000000000000001E-3</v>
      </c>
      <c r="D58" s="58">
        <v>3.0000000000000001E-3</v>
      </c>
      <c r="E58" s="58">
        <v>3.0000000000000001E-3</v>
      </c>
      <c r="F58" s="58">
        <v>3.0000000000000001E-3</v>
      </c>
      <c r="G58" s="4" t="s">
        <v>196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197</v>
      </c>
      <c r="B59" s="1" t="s">
        <v>46</v>
      </c>
      <c r="C59" s="58">
        <v>0.04</v>
      </c>
      <c r="D59" s="58">
        <v>0.04</v>
      </c>
      <c r="E59" s="58">
        <v>0.04</v>
      </c>
      <c r="F59" s="58">
        <v>0.04</v>
      </c>
      <c r="G59" s="4" t="s">
        <v>198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199</v>
      </c>
      <c r="B60" s="1" t="s">
        <v>46</v>
      </c>
      <c r="C60" s="58">
        <v>1.8E-3</v>
      </c>
      <c r="D60" s="58">
        <v>1.8E-3</v>
      </c>
      <c r="E60" s="58">
        <v>1.8E-3</v>
      </c>
      <c r="F60" s="58">
        <v>1.8E-3</v>
      </c>
      <c r="G60" s="4" t="s">
        <v>200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201</v>
      </c>
      <c r="B61" s="1" t="s">
        <v>46</v>
      </c>
      <c r="C61" s="58">
        <v>0.06</v>
      </c>
      <c r="D61" s="58">
        <v>0.06</v>
      </c>
      <c r="E61" s="58">
        <v>0.06</v>
      </c>
      <c r="F61" s="58">
        <v>0.06</v>
      </c>
      <c r="G61" s="4" t="s">
        <v>202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 t="s">
        <v>203</v>
      </c>
      <c r="B62" s="1" t="s">
        <v>46</v>
      </c>
      <c r="C62" s="58">
        <v>1E-3</v>
      </c>
      <c r="D62" s="58">
        <v>1E-3</v>
      </c>
      <c r="E62" s="58">
        <v>1E-3</v>
      </c>
      <c r="F62" s="58">
        <v>1E-3</v>
      </c>
      <c r="G62" s="4" t="s">
        <v>200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 t="s">
        <v>204</v>
      </c>
      <c r="B63" s="1" t="s">
        <v>46</v>
      </c>
      <c r="C63" s="58">
        <v>5.2999999999999999E-2</v>
      </c>
      <c r="D63" s="58">
        <v>5.1999999999999998E-2</v>
      </c>
      <c r="E63" s="58">
        <v>5.0999999999999997E-2</v>
      </c>
      <c r="F63" s="58">
        <v>0.05</v>
      </c>
      <c r="G63" s="4" t="s">
        <v>205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206</v>
      </c>
      <c r="B64" s="1" t="s">
        <v>46</v>
      </c>
      <c r="C64" s="58">
        <v>3.7999999999999999E-2</v>
      </c>
      <c r="D64" s="58">
        <v>3.6999999999999998E-2</v>
      </c>
      <c r="E64" s="58">
        <v>3.5999999999999997E-2</v>
      </c>
      <c r="F64" s="58">
        <v>3.5000000000000003E-2</v>
      </c>
      <c r="G64" s="4" t="s">
        <v>205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 t="s">
        <v>207</v>
      </c>
      <c r="B65" s="1" t="s">
        <v>46</v>
      </c>
      <c r="C65" s="58">
        <v>6.0000000000000001E-3</v>
      </c>
      <c r="D65" s="58">
        <v>6.0000000000000001E-3</v>
      </c>
      <c r="E65" s="58">
        <v>6.0000000000000001E-3</v>
      </c>
      <c r="F65" s="58">
        <v>6.0000000000000001E-3</v>
      </c>
      <c r="G65" s="4" t="s">
        <v>200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208</v>
      </c>
      <c r="B66" s="1" t="s">
        <v>46</v>
      </c>
      <c r="C66" s="58">
        <v>0.03</v>
      </c>
      <c r="D66" s="58">
        <v>2.9000000000000001E-2</v>
      </c>
      <c r="E66" s="58">
        <v>2.8000000000000001E-2</v>
      </c>
      <c r="F66" s="58">
        <v>2.7E-2</v>
      </c>
      <c r="G66" s="4" t="s">
        <v>205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209</v>
      </c>
      <c r="B67" s="1" t="s">
        <v>46</v>
      </c>
      <c r="C67" s="58">
        <v>3.5000000000000001E-3</v>
      </c>
      <c r="D67" s="58">
        <v>3.5000000000000001E-3</v>
      </c>
      <c r="E67" s="58">
        <v>3.5000000000000001E-3</v>
      </c>
      <c r="F67" s="58">
        <v>3.5000000000000001E-3</v>
      </c>
      <c r="G67" s="4" t="s">
        <v>200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210</v>
      </c>
      <c r="B68" s="1" t="s">
        <v>46</v>
      </c>
      <c r="C68" s="58">
        <v>0</v>
      </c>
      <c r="D68" s="58">
        <v>0</v>
      </c>
      <c r="E68" s="58">
        <v>0</v>
      </c>
      <c r="F68" s="58">
        <v>0</v>
      </c>
      <c r="G68" s="4" t="s">
        <v>211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212</v>
      </c>
      <c r="B69" s="1" t="s">
        <v>46</v>
      </c>
      <c r="C69" s="58">
        <v>1E-3</v>
      </c>
      <c r="D69" s="58">
        <v>1E-3</v>
      </c>
      <c r="E69" s="58">
        <v>1E-3</v>
      </c>
      <c r="F69" s="58">
        <v>1E-3</v>
      </c>
      <c r="G69" s="4" t="s">
        <v>200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3">
    <mergeCell ref="A1:G1"/>
    <mergeCell ref="A2:G2"/>
    <mergeCell ref="A54:G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00"/>
  <sheetViews>
    <sheetView showGridLines="0" workbookViewId="0"/>
  </sheetViews>
  <sheetFormatPr defaultRowHeight="13.8"/>
  <cols>
    <col min="1" max="1" width="48" customWidth="1"/>
    <col min="2" max="2" width="11" customWidth="1"/>
    <col min="3" max="47" width="10" customWidth="1"/>
  </cols>
  <sheetData>
    <row r="1" spans="1:47" ht="25.95" customHeight="1">
      <c r="A1" s="68" t="s">
        <v>213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74"/>
    </row>
    <row r="2" spans="1:47" ht="18" customHeight="1">
      <c r="A2" s="69" t="s">
        <v>214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74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7" ht="18" customHeight="1">
      <c r="A4" s="73" t="s">
        <v>215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7" ht="19.95" customHeight="1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7" ht="14.4">
      <c r="A6" s="1" t="s">
        <v>43</v>
      </c>
      <c r="B6" s="1" t="s">
        <v>44</v>
      </c>
      <c r="C6" s="11">
        <v>26494.232248126711</v>
      </c>
      <c r="D6" s="11">
        <v>29140.8414557</v>
      </c>
      <c r="E6" s="11">
        <v>30772.881154600007</v>
      </c>
      <c r="F6" s="11">
        <v>34742.131633800003</v>
      </c>
      <c r="G6" s="11">
        <v>36867.678999999996</v>
      </c>
      <c r="H6" s="11">
        <v>37855.080999999998</v>
      </c>
      <c r="I6" s="11">
        <v>44645.964000000007</v>
      </c>
      <c r="J6" s="11">
        <v>53290.167000000009</v>
      </c>
      <c r="K6" s="11">
        <v>51995.540999999997</v>
      </c>
      <c r="L6" s="11">
        <v>52988.300303977914</v>
      </c>
      <c r="M6" s="11">
        <v>56815.399599999764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7" ht="14.4">
      <c r="A7" s="1" t="s">
        <v>216</v>
      </c>
      <c r="B7" s="1" t="s">
        <v>44</v>
      </c>
      <c r="C7" s="11">
        <v>18329.037658400452</v>
      </c>
      <c r="D7" s="11">
        <v>20566.059319516593</v>
      </c>
      <c r="E7" s="11">
        <v>21530.041574555267</v>
      </c>
      <c r="F7" s="11">
        <v>23358.982437791899</v>
      </c>
      <c r="G7" s="11">
        <v>25974.337</v>
      </c>
      <c r="H7" s="11">
        <v>25855.48</v>
      </c>
      <c r="I7" s="11">
        <v>30972.015000000003</v>
      </c>
      <c r="J7" s="11">
        <v>38119.703000000001</v>
      </c>
      <c r="K7" s="11">
        <v>39114.670000000006</v>
      </c>
      <c r="L7" s="11">
        <v>38084.79426013273</v>
      </c>
      <c r="M7" s="11">
        <v>39868.820387216168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7" ht="14.4">
      <c r="A8" s="1" t="s">
        <v>217</v>
      </c>
      <c r="B8" s="1" t="s">
        <v>44</v>
      </c>
      <c r="C8" s="11">
        <v>8165.1945897262603</v>
      </c>
      <c r="D8" s="11">
        <v>8574.7821361834067</v>
      </c>
      <c r="E8" s="11">
        <v>9242.890580044741</v>
      </c>
      <c r="F8" s="11">
        <v>11383.149196008104</v>
      </c>
      <c r="G8" s="11">
        <v>10893.442000000001</v>
      </c>
      <c r="H8" s="11">
        <v>11999.6</v>
      </c>
      <c r="I8" s="11">
        <v>13673.949000000001</v>
      </c>
      <c r="J8" s="11">
        <v>15170.464000000002</v>
      </c>
      <c r="K8" s="11">
        <v>12880.882000000001</v>
      </c>
      <c r="L8" s="11">
        <v>14903.506043845189</v>
      </c>
      <c r="M8" s="11">
        <v>16946.57921278361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7" ht="14.4">
      <c r="A9" s="1" t="s">
        <v>218</v>
      </c>
      <c r="B9" s="1" t="s">
        <v>44</v>
      </c>
      <c r="C9" s="11">
        <v>3894.504327569045</v>
      </c>
      <c r="D9" s="11">
        <v>4390.3473048906772</v>
      </c>
      <c r="E9" s="11">
        <v>4533.2803652497405</v>
      </c>
      <c r="F9" s="11">
        <v>5046.2315619231049</v>
      </c>
      <c r="G9" s="11">
        <v>5167.3029999999999</v>
      </c>
      <c r="H9" s="11">
        <v>5152.5540000000001</v>
      </c>
      <c r="I9" s="11">
        <v>5653.9650000000001</v>
      </c>
      <c r="J9" s="11">
        <v>7141.688000000001</v>
      </c>
      <c r="K9" s="11">
        <v>7916.2720000000008</v>
      </c>
      <c r="L9" s="11">
        <v>7912.4214107181178</v>
      </c>
      <c r="M9" s="11">
        <v>7912.4796941951063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7" ht="14.4">
      <c r="A10" s="1" t="s">
        <v>50</v>
      </c>
      <c r="B10" s="1" t="s">
        <v>44</v>
      </c>
      <c r="C10" s="11">
        <v>4270.6902621572153</v>
      </c>
      <c r="D10" s="11">
        <v>4184.4348312927295</v>
      </c>
      <c r="E10" s="11">
        <v>4709.6102147950005</v>
      </c>
      <c r="F10" s="11">
        <v>6336.9176340849999</v>
      </c>
      <c r="G10" s="11">
        <v>5726.1390000000001</v>
      </c>
      <c r="H10" s="11">
        <v>6847.0470000000005</v>
      </c>
      <c r="I10" s="11">
        <v>8019.9840000000004</v>
      </c>
      <c r="J10" s="11">
        <v>8028.7759999999998</v>
      </c>
      <c r="K10" s="11">
        <v>4964.5400000000009</v>
      </c>
      <c r="L10" s="11">
        <v>6991.1424197589149</v>
      </c>
      <c r="M10" s="11">
        <v>9034.0995185885022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7" ht="14.4">
      <c r="A11" s="1" t="s">
        <v>219</v>
      </c>
      <c r="B11" s="1" t="s">
        <v>44</v>
      </c>
      <c r="C11" s="11">
        <v>758.92300299821306</v>
      </c>
      <c r="D11" s="11">
        <v>978.05519619999984</v>
      </c>
      <c r="E11" s="11">
        <v>1085.0380105000002</v>
      </c>
      <c r="F11" s="11">
        <v>1129.2</v>
      </c>
      <c r="G11" s="11">
        <v>1445.7690000000002</v>
      </c>
      <c r="H11" s="11">
        <v>1457.71</v>
      </c>
      <c r="I11" s="11">
        <v>1520.3920000000001</v>
      </c>
      <c r="J11" s="11">
        <v>1956.7</v>
      </c>
      <c r="K11" s="11">
        <v>1817.098</v>
      </c>
      <c r="L11" s="11">
        <v>1852.8995862898155</v>
      </c>
      <c r="M11" s="11">
        <v>1881.600000000393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7" ht="14.4">
      <c r="A12" s="1" t="s">
        <v>52</v>
      </c>
      <c r="B12" s="1" t="s">
        <v>44</v>
      </c>
      <c r="C12" s="11">
        <v>3511.7672591590026</v>
      </c>
      <c r="D12" s="11">
        <v>3206.3796350927296</v>
      </c>
      <c r="E12" s="11">
        <v>3624.5722042950001</v>
      </c>
      <c r="F12" s="11">
        <v>5207.7176340850001</v>
      </c>
      <c r="G12" s="11">
        <v>4280.2699999999995</v>
      </c>
      <c r="H12" s="11">
        <v>5389.3370000000004</v>
      </c>
      <c r="I12" s="11">
        <v>6499.5910000000003</v>
      </c>
      <c r="J12" s="11">
        <v>6072.0760000000009</v>
      </c>
      <c r="K12" s="11">
        <v>3147.5110000000004</v>
      </c>
      <c r="L12" s="11">
        <v>5138.2428334690994</v>
      </c>
      <c r="M12" s="11">
        <v>7152.4995185881071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7" ht="14.4">
      <c r="A13" s="1" t="s">
        <v>220</v>
      </c>
      <c r="B13" s="1" t="s">
        <v>44</v>
      </c>
      <c r="C13" s="11"/>
      <c r="D13" s="11"/>
      <c r="E13" s="11"/>
      <c r="F13" s="11"/>
      <c r="G13" s="11">
        <v>217.5</v>
      </c>
      <c r="H13" s="11">
        <v>50.7</v>
      </c>
      <c r="I13" s="11">
        <v>0</v>
      </c>
      <c r="J13" s="11">
        <v>237</v>
      </c>
      <c r="K13" s="11">
        <v>458.22</v>
      </c>
      <c r="L13" s="11">
        <v>27.300702455000021</v>
      </c>
      <c r="M13" s="11">
        <v>5.3290705182007522E-16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7" ht="14.4">
      <c r="A14" s="1" t="s">
        <v>221</v>
      </c>
      <c r="B14" s="1" t="s">
        <v>44</v>
      </c>
      <c r="C14" s="11">
        <v>439.377959302215</v>
      </c>
      <c r="D14" s="11">
        <v>777.55889674692605</v>
      </c>
      <c r="E14" s="11">
        <v>1416.45004122</v>
      </c>
      <c r="F14" s="11">
        <v>534.15286193046654</v>
      </c>
      <c r="G14" s="11">
        <v>1192.3900000000001</v>
      </c>
      <c r="H14" s="11">
        <v>787.11599999999999</v>
      </c>
      <c r="I14" s="11">
        <v>1112.316</v>
      </c>
      <c r="J14" s="11">
        <v>965</v>
      </c>
      <c r="K14" s="11">
        <v>916.89800000000002</v>
      </c>
      <c r="L14" s="11">
        <v>855.39962343700017</v>
      </c>
      <c r="M14" s="11">
        <v>31.899999923930977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7" ht="14.4">
      <c r="A15" s="1" t="s">
        <v>222</v>
      </c>
      <c r="B15" s="1" t="s">
        <v>44</v>
      </c>
      <c r="C15" s="11">
        <v>98.59186015285195</v>
      </c>
      <c r="D15" s="11">
        <v>387.58728235612205</v>
      </c>
      <c r="E15" s="11">
        <v>774.95874157200001</v>
      </c>
      <c r="F15" s="11">
        <v>12.109997512046105</v>
      </c>
      <c r="G15" s="11">
        <v>302.2</v>
      </c>
      <c r="H15" s="11">
        <v>97.5</v>
      </c>
      <c r="I15" s="11">
        <v>564.21400000000006</v>
      </c>
      <c r="J15" s="11">
        <v>299</v>
      </c>
      <c r="K15" s="11">
        <v>-42.099000000000004</v>
      </c>
      <c r="L15" s="11">
        <v>-237.60037659300002</v>
      </c>
      <c r="M15" s="11">
        <v>-479.90000007592602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7" ht="14.4">
      <c r="A16" s="1" t="s">
        <v>223</v>
      </c>
      <c r="B16" s="1" t="s">
        <v>44</v>
      </c>
      <c r="C16" s="11">
        <v>340.78609914936305</v>
      </c>
      <c r="D16" s="11">
        <v>389.97161439080401</v>
      </c>
      <c r="E16" s="11">
        <v>641.48929964800016</v>
      </c>
      <c r="F16" s="11">
        <v>522.09286441842039</v>
      </c>
      <c r="G16" s="11">
        <v>890.19</v>
      </c>
      <c r="H16" s="11">
        <v>689.61599999999999</v>
      </c>
      <c r="I16" s="11">
        <v>548.10200000000009</v>
      </c>
      <c r="J16" s="11">
        <v>666</v>
      </c>
      <c r="K16" s="11">
        <v>958.99800000000005</v>
      </c>
      <c r="L16" s="11">
        <v>1093.0000000300001</v>
      </c>
      <c r="M16" s="11">
        <v>511.79999999985705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7" ht="14.4">
      <c r="A17" s="1" t="s">
        <v>224</v>
      </c>
      <c r="B17" s="1" t="s">
        <v>44</v>
      </c>
      <c r="C17" s="11">
        <v>97.03755798485281</v>
      </c>
      <c r="D17" s="11">
        <v>128.59242845579999</v>
      </c>
      <c r="E17" s="11">
        <v>162.353644995</v>
      </c>
      <c r="F17" s="11">
        <v>133.161000024</v>
      </c>
      <c r="G17" s="11">
        <v>191.87800000000001</v>
      </c>
      <c r="H17" s="11">
        <v>174</v>
      </c>
      <c r="I17" s="11">
        <v>162.60000000000002</v>
      </c>
      <c r="J17" s="11">
        <v>325.60000000000002</v>
      </c>
      <c r="K17" s="11">
        <v>392.19900000000001</v>
      </c>
      <c r="L17" s="11">
        <v>321.70000003180007</v>
      </c>
      <c r="M17" s="11">
        <v>337.39999999968904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7" ht="14.4">
      <c r="A18" s="1" t="s">
        <v>225</v>
      </c>
      <c r="B18" s="1" t="s">
        <v>44</v>
      </c>
      <c r="C18" s="11">
        <v>2.62933484089183</v>
      </c>
      <c r="D18" s="11">
        <v>-2.3315043999999996</v>
      </c>
      <c r="E18" s="11">
        <v>6.9992100000000002E-2</v>
      </c>
      <c r="F18" s="11">
        <v>-65.549000000000007</v>
      </c>
      <c r="G18" s="11">
        <v>-5.5400000000000009</v>
      </c>
      <c r="H18" s="11">
        <v>1.2000000000000002</v>
      </c>
      <c r="I18" s="11">
        <v>2.8000000000000003</v>
      </c>
      <c r="J18" s="11">
        <v>-29</v>
      </c>
      <c r="K18" s="11">
        <v>10.5</v>
      </c>
      <c r="L18" s="11">
        <v>8.6</v>
      </c>
      <c r="M18" s="11">
        <v>-1.5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7" ht="14.4">
      <c r="A19" s="1" t="s">
        <v>226</v>
      </c>
      <c r="B19" s="1" t="s">
        <v>44</v>
      </c>
      <c r="C19" s="11">
        <v>3856.7369953172561</v>
      </c>
      <c r="D19" s="11">
        <v>3853.0145989838552</v>
      </c>
      <c r="E19" s="11">
        <v>4878.7505926200001</v>
      </c>
      <c r="F19" s="11">
        <v>5543.1604959914666</v>
      </c>
      <c r="G19" s="11">
        <v>5057.8420000000006</v>
      </c>
      <c r="H19" s="11">
        <v>5952.8530000000001</v>
      </c>
      <c r="I19" s="11">
        <v>7452.1070000000009</v>
      </c>
      <c r="J19" s="11">
        <v>6445.4769999999999</v>
      </c>
      <c r="K19" s="11">
        <v>3224.3900000000003</v>
      </c>
      <c r="L19" s="11">
        <v>5653.2417544192986</v>
      </c>
      <c r="M19" s="11">
        <v>6845.4995185123516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7" ht="14.4">
      <c r="A20" s="1" t="s">
        <v>227</v>
      </c>
      <c r="B20" s="1" t="s">
        <v>44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/>
      <c r="I20" s="11">
        <v>0</v>
      </c>
      <c r="J20" s="11">
        <v>0</v>
      </c>
      <c r="K20" s="11"/>
      <c r="L20" s="11"/>
      <c r="M20" s="11">
        <v>272.40000000000003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7" ht="14.4">
      <c r="A21" s="1" t="s">
        <v>228</v>
      </c>
      <c r="B21" s="1" t="s">
        <v>44</v>
      </c>
      <c r="C21" s="11"/>
      <c r="D21" s="11"/>
      <c r="E21" s="11"/>
      <c r="F21" s="11"/>
      <c r="G21" s="11">
        <v>5057.8420000000006</v>
      </c>
      <c r="H21" s="11">
        <v>5952.8530000000001</v>
      </c>
      <c r="I21" s="11">
        <v>7452.1070000000009</v>
      </c>
      <c r="J21" s="11">
        <v>6445.4769999999999</v>
      </c>
      <c r="K21" s="11">
        <v>3224.3900000000003</v>
      </c>
      <c r="L21" s="11">
        <v>5653.2417544192986</v>
      </c>
      <c r="M21" s="11">
        <v>6573.0995185123511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7" ht="14.4">
      <c r="A22" s="1" t="s">
        <v>229</v>
      </c>
      <c r="B22" s="1" t="s">
        <v>44</v>
      </c>
      <c r="C22" s="11">
        <v>830.11880791841713</v>
      </c>
      <c r="D22" s="11">
        <v>1002.1243317000001</v>
      </c>
      <c r="E22" s="11">
        <v>1092.5614852620001</v>
      </c>
      <c r="F22" s="11">
        <v>1254.3940000319999</v>
      </c>
      <c r="G22" s="11">
        <v>1160.4000000000001</v>
      </c>
      <c r="H22" s="11">
        <v>1599.894</v>
      </c>
      <c r="I22" s="11">
        <v>1821.9939999999999</v>
      </c>
      <c r="J22" s="11">
        <v>1588.5</v>
      </c>
      <c r="K22" s="11">
        <v>827.596</v>
      </c>
      <c r="L22" s="11">
        <v>1400.2</v>
      </c>
      <c r="M22" s="11">
        <v>1767.5995353721269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7" ht="14.4">
      <c r="A23" s="1" t="s">
        <v>230</v>
      </c>
      <c r="B23" s="1" t="s">
        <v>44</v>
      </c>
      <c r="C23" s="11">
        <v>3026.6181873988389</v>
      </c>
      <c r="D23" s="11">
        <v>2850.8902672838553</v>
      </c>
      <c r="E23" s="11">
        <v>3786.1891073580005</v>
      </c>
      <c r="F23" s="11">
        <v>4288.7664959594667</v>
      </c>
      <c r="G23" s="11">
        <v>3897.442</v>
      </c>
      <c r="H23" s="11">
        <v>4352.9589999999998</v>
      </c>
      <c r="I23" s="11">
        <v>5630.1130000000003</v>
      </c>
      <c r="J23" s="11">
        <v>4856.9769999999999</v>
      </c>
      <c r="K23" s="11">
        <v>2396.7930000000001</v>
      </c>
      <c r="L23" s="11">
        <v>4253.0417544192997</v>
      </c>
      <c r="M23" s="11">
        <v>4805.4999831402238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7" ht="14.4">
      <c r="A24" s="1" t="s">
        <v>231</v>
      </c>
      <c r="B24" s="1" t="s">
        <v>44</v>
      </c>
      <c r="C24" s="11">
        <v>-33.732182083687</v>
      </c>
      <c r="D24" s="11">
        <v>-37.957189062952374</v>
      </c>
      <c r="E24" s="11">
        <v>13.579915322000005</v>
      </c>
      <c r="F24" s="11">
        <v>8.7999999999999972</v>
      </c>
      <c r="G24" s="11">
        <v>135.6</v>
      </c>
      <c r="H24" s="11">
        <v>75</v>
      </c>
      <c r="I24" s="11">
        <v>-64</v>
      </c>
      <c r="J24" s="11">
        <v>25.700000000000003</v>
      </c>
      <c r="K24" s="11">
        <v>38.999000000000002</v>
      </c>
      <c r="L24" s="11">
        <v>1.5000000000000058</v>
      </c>
      <c r="M24" s="11">
        <v>-5.3996264762764357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7" ht="14.4">
      <c r="A25" s="1" t="s">
        <v>232</v>
      </c>
      <c r="B25" s="1" t="s">
        <v>44</v>
      </c>
      <c r="C25" s="11">
        <v>2992.886005315152</v>
      </c>
      <c r="D25" s="11">
        <v>2812.9330782209031</v>
      </c>
      <c r="E25" s="11">
        <v>3799.7690226800005</v>
      </c>
      <c r="F25" s="11">
        <v>4297.5664959594669</v>
      </c>
      <c r="G25" s="11">
        <v>4033.0419999999999</v>
      </c>
      <c r="H25" s="11">
        <v>4427.9589999999998</v>
      </c>
      <c r="I25" s="11">
        <v>5566.1130000000003</v>
      </c>
      <c r="J25" s="11">
        <v>4831.277</v>
      </c>
      <c r="K25" s="11">
        <v>2357.7930000000001</v>
      </c>
      <c r="L25" s="11">
        <v>4251.5417544192997</v>
      </c>
      <c r="M25" s="11">
        <v>4810.8996096165001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7" ht="14.4">
      <c r="A26" s="1" t="s">
        <v>233</v>
      </c>
      <c r="B26" s="1" t="s">
        <v>57</v>
      </c>
      <c r="C26" s="12">
        <v>34.508496407930977</v>
      </c>
      <c r="D26" s="12">
        <v>32.135676427662702</v>
      </c>
      <c r="E26" s="12">
        <v>43.020351722086183</v>
      </c>
      <c r="F26" s="12">
        <v>48.474930570423794</v>
      </c>
      <c r="G26" s="12">
        <v>46.21</v>
      </c>
      <c r="H26" s="12">
        <v>50.64</v>
      </c>
      <c r="I26" s="12">
        <v>63.32</v>
      </c>
      <c r="J26" s="12">
        <v>54.79</v>
      </c>
      <c r="K26" s="12">
        <v>26.66</v>
      </c>
      <c r="L26" s="12">
        <v>48.004795789190716</v>
      </c>
      <c r="M26" s="12">
        <v>54.279265137858388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7" ht="14.4">
      <c r="A27" s="1" t="s">
        <v>234</v>
      </c>
      <c r="B27" s="1" t="s">
        <v>57</v>
      </c>
      <c r="C27" s="12">
        <v>33.714149690140587</v>
      </c>
      <c r="D27" s="12">
        <v>31.644761957394365</v>
      </c>
      <c r="E27" s="12">
        <v>42.664589334496988</v>
      </c>
      <c r="F27" s="12">
        <v>47.72050194230458</v>
      </c>
      <c r="G27" s="12">
        <v>45.85</v>
      </c>
      <c r="H27" s="12">
        <v>50.19</v>
      </c>
      <c r="I27" s="12">
        <v>62.81</v>
      </c>
      <c r="J27" s="12">
        <v>54.56</v>
      </c>
      <c r="K27" s="12">
        <v>26.57</v>
      </c>
      <c r="L27" s="12">
        <v>47.906127978815775</v>
      </c>
      <c r="M27" s="12">
        <v>54.189099296056625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7" ht="14.4">
      <c r="A28" s="1" t="s">
        <v>47</v>
      </c>
      <c r="B28" s="1" t="s">
        <v>48</v>
      </c>
      <c r="C28" s="13">
        <v>4037.4553475371813</v>
      </c>
      <c r="D28" s="13">
        <v>4351.0924023774605</v>
      </c>
      <c r="E28" s="13">
        <v>4770.7658739261751</v>
      </c>
      <c r="F28" s="13">
        <v>4970.5229494135701</v>
      </c>
      <c r="G28" s="13">
        <v>5181.87</v>
      </c>
      <c r="H28" s="13">
        <v>5111.0600000000004</v>
      </c>
      <c r="I28" s="13">
        <v>5997.79</v>
      </c>
      <c r="J28" s="13">
        <v>6606.52</v>
      </c>
      <c r="K28" s="13">
        <v>6277.11</v>
      </c>
      <c r="L28" s="13">
        <v>6263.9884598536701</v>
      </c>
      <c r="M28" s="13">
        <v>6384.864312717852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7" ht="18" customHeight="1">
      <c r="A32" s="73" t="s">
        <v>235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4"/>
    </row>
    <row r="33" spans="1:47" ht="19.95" customHeight="1">
      <c r="A33" s="6" t="s">
        <v>26</v>
      </c>
      <c r="B33" s="6" t="s">
        <v>27</v>
      </c>
      <c r="C33" s="6" t="s">
        <v>236</v>
      </c>
      <c r="D33" s="6" t="s">
        <v>237</v>
      </c>
      <c r="E33" s="6" t="s">
        <v>238</v>
      </c>
      <c r="F33" s="6" t="s">
        <v>239</v>
      </c>
      <c r="G33" s="6" t="s">
        <v>240</v>
      </c>
      <c r="H33" s="6" t="s">
        <v>241</v>
      </c>
      <c r="I33" s="6" t="s">
        <v>242</v>
      </c>
      <c r="J33" s="6" t="s">
        <v>243</v>
      </c>
      <c r="K33" s="6" t="s">
        <v>244</v>
      </c>
      <c r="L33" s="6" t="s">
        <v>245</v>
      </c>
      <c r="M33" s="6" t="s">
        <v>246</v>
      </c>
      <c r="N33" s="6" t="s">
        <v>247</v>
      </c>
      <c r="O33" s="6" t="s">
        <v>248</v>
      </c>
      <c r="P33" s="6" t="s">
        <v>249</v>
      </c>
      <c r="Q33" s="6" t="s">
        <v>250</v>
      </c>
      <c r="R33" s="6" t="s">
        <v>251</v>
      </c>
      <c r="S33" s="6" t="s">
        <v>252</v>
      </c>
      <c r="T33" s="6" t="s">
        <v>253</v>
      </c>
      <c r="U33" s="6" t="s">
        <v>254</v>
      </c>
      <c r="V33" s="6" t="s">
        <v>255</v>
      </c>
      <c r="W33" s="6" t="s">
        <v>256</v>
      </c>
      <c r="X33" s="6" t="s">
        <v>257</v>
      </c>
      <c r="Y33" s="6" t="s">
        <v>258</v>
      </c>
      <c r="Z33" s="6" t="s">
        <v>259</v>
      </c>
      <c r="AA33" s="6" t="s">
        <v>260</v>
      </c>
      <c r="AB33" s="6" t="s">
        <v>261</v>
      </c>
      <c r="AC33" s="6" t="s">
        <v>262</v>
      </c>
      <c r="AD33" s="6" t="s">
        <v>263</v>
      </c>
      <c r="AE33" s="6" t="s">
        <v>264</v>
      </c>
      <c r="AF33" s="6" t="s">
        <v>265</v>
      </c>
      <c r="AG33" s="6" t="s">
        <v>266</v>
      </c>
      <c r="AH33" s="6" t="s">
        <v>267</v>
      </c>
      <c r="AI33" s="6" t="s">
        <v>268</v>
      </c>
      <c r="AJ33" s="6" t="s">
        <v>269</v>
      </c>
      <c r="AK33" s="6" t="s">
        <v>270</v>
      </c>
      <c r="AL33" s="6" t="s">
        <v>271</v>
      </c>
      <c r="AM33" s="6" t="s">
        <v>272</v>
      </c>
      <c r="AN33" s="6" t="s">
        <v>273</v>
      </c>
      <c r="AO33" s="6" t="s">
        <v>274</v>
      </c>
      <c r="AP33" s="6" t="s">
        <v>275</v>
      </c>
      <c r="AQ33" s="6" t="s">
        <v>276</v>
      </c>
      <c r="AR33" s="6" t="s">
        <v>277</v>
      </c>
      <c r="AS33" s="6" t="s">
        <v>278</v>
      </c>
      <c r="AT33" s="6" t="s">
        <v>279</v>
      </c>
      <c r="AU33" s="47" t="s">
        <v>280</v>
      </c>
    </row>
    <row r="34" spans="1:47" ht="14.4">
      <c r="A34" s="1" t="s">
        <v>43</v>
      </c>
      <c r="B34" s="1" t="s">
        <v>44</v>
      </c>
      <c r="C34" s="11">
        <v>6293.823657374428</v>
      </c>
      <c r="D34" s="11">
        <v>6615.5349999999999</v>
      </c>
      <c r="E34" s="11">
        <v>6701.1415758770254</v>
      </c>
      <c r="F34" s="11">
        <v>6883.8319664497103</v>
      </c>
      <c r="G34" s="11">
        <v>6920.934381600001</v>
      </c>
      <c r="H34" s="11">
        <v>7167.410088399999</v>
      </c>
      <c r="I34" s="11">
        <v>7557.5026543999993</v>
      </c>
      <c r="J34" s="11">
        <v>7494.9943313000003</v>
      </c>
      <c r="K34" s="11">
        <v>7336.1015275</v>
      </c>
      <c r="L34" s="11">
        <v>7606.3316430000013</v>
      </c>
      <c r="M34" s="11">
        <v>7775.9562282000034</v>
      </c>
      <c r="N34" s="11">
        <v>8054.4917558999996</v>
      </c>
      <c r="O34" s="11">
        <v>8276.2768119000011</v>
      </c>
      <c r="P34" s="11">
        <v>8629.8487416000007</v>
      </c>
      <c r="Q34" s="11">
        <v>8943.713532400001</v>
      </c>
      <c r="R34" s="11">
        <v>8892.2925478999969</v>
      </c>
      <c r="S34" s="11">
        <v>8653.0289601000004</v>
      </c>
      <c r="T34" s="11">
        <v>9069.8861089998991</v>
      </c>
      <c r="U34" s="11">
        <v>9654.5971657000027</v>
      </c>
      <c r="V34" s="11">
        <v>9490.1669169000834</v>
      </c>
      <c r="W34" s="11">
        <v>9106.3485313000001</v>
      </c>
      <c r="X34" s="11">
        <v>9371.7577118999998</v>
      </c>
      <c r="Y34" s="11">
        <v>9647.0623550000018</v>
      </c>
      <c r="Z34" s="11">
        <v>9729.9120335999996</v>
      </c>
      <c r="AA34" s="11">
        <v>10197.568810600002</v>
      </c>
      <c r="AB34" s="11">
        <v>10881.329360100002</v>
      </c>
      <c r="AC34" s="11">
        <v>11450.789552700002</v>
      </c>
      <c r="AD34" s="11">
        <v>12116.276117100002</v>
      </c>
      <c r="AE34" s="11">
        <v>12707.947733500001</v>
      </c>
      <c r="AF34" s="11">
        <v>13129.4682018</v>
      </c>
      <c r="AG34" s="11">
        <v>13734.560518658001</v>
      </c>
      <c r="AH34" s="11">
        <v>13718.190969000001</v>
      </c>
      <c r="AI34" s="11">
        <v>13158.976999999999</v>
      </c>
      <c r="AJ34" s="11">
        <v>12863.917000000001</v>
      </c>
      <c r="AK34" s="11">
        <v>13101.337</v>
      </c>
      <c r="AL34" s="11">
        <v>12871.321000000002</v>
      </c>
      <c r="AM34" s="11">
        <v>13005.474000000002</v>
      </c>
      <c r="AN34" s="11">
        <v>13313.222000000002</v>
      </c>
      <c r="AO34" s="11">
        <v>13285.603000000001</v>
      </c>
      <c r="AP34" s="11">
        <v>13384.001303977915</v>
      </c>
      <c r="AQ34" s="11">
        <v>13351.2</v>
      </c>
      <c r="AR34" s="11">
        <v>13994.89959999926</v>
      </c>
      <c r="AS34" s="11">
        <v>14393.200000000083</v>
      </c>
      <c r="AT34" s="11">
        <v>15076.100000000431</v>
      </c>
      <c r="AU34" s="17">
        <v>15711.9</v>
      </c>
    </row>
    <row r="35" spans="1:47" ht="14.4">
      <c r="A35" s="1" t="s">
        <v>216</v>
      </c>
      <c r="B35" s="1" t="s">
        <v>44</v>
      </c>
      <c r="C35" s="11">
        <v>4444.0767642177807</v>
      </c>
      <c r="D35" s="11">
        <v>4499.8859389798718</v>
      </c>
      <c r="E35" s="11">
        <v>4606.9072386220787</v>
      </c>
      <c r="F35" s="11">
        <v>4778.1677165807132</v>
      </c>
      <c r="G35" s="11">
        <v>4880.696456296856</v>
      </c>
      <c r="H35" s="11">
        <v>4971.6660717629575</v>
      </c>
      <c r="I35" s="11">
        <v>5235.2369371045779</v>
      </c>
      <c r="J35" s="11">
        <v>5478.4598543522025</v>
      </c>
      <c r="K35" s="11">
        <v>5281.8369229223317</v>
      </c>
      <c r="L35" s="11">
        <v>5378.9077856786544</v>
      </c>
      <c r="M35" s="11">
        <v>5380.7435518500733</v>
      </c>
      <c r="N35" s="11">
        <v>5488.6133141042101</v>
      </c>
      <c r="O35" s="11">
        <v>5733.9752494000004</v>
      </c>
      <c r="P35" s="11">
        <v>5692.3054983029979</v>
      </c>
      <c r="Q35" s="11">
        <v>5984.5336639465713</v>
      </c>
      <c r="R35" s="11">
        <v>5948.168026142328</v>
      </c>
      <c r="S35" s="11">
        <v>6164.189609021164</v>
      </c>
      <c r="T35" s="11">
        <v>6389.3099805456068</v>
      </c>
      <c r="U35" s="11">
        <v>6731.1710818763677</v>
      </c>
      <c r="V35" s="11">
        <v>6689.5660713407597</v>
      </c>
      <c r="W35" s="11">
        <v>6510.4656610546008</v>
      </c>
      <c r="X35" s="11">
        <v>6424.549295896586</v>
      </c>
      <c r="Y35" s="11">
        <v>6470.7935140517729</v>
      </c>
      <c r="Z35" s="11">
        <v>6449.6547652988947</v>
      </c>
      <c r="AA35" s="11">
        <v>6968.2266595536876</v>
      </c>
      <c r="AB35" s="11">
        <v>7434.6172844337198</v>
      </c>
      <c r="AC35" s="11">
        <v>8008.8287205139241</v>
      </c>
      <c r="AD35" s="11">
        <v>8560.3421092424778</v>
      </c>
      <c r="AE35" s="11">
        <v>9116.1913793775657</v>
      </c>
      <c r="AF35" s="11">
        <v>9461.3918584811818</v>
      </c>
      <c r="AG35" s="11">
        <v>9793.7419889514513</v>
      </c>
      <c r="AH35" s="11">
        <v>9748.3780824361602</v>
      </c>
      <c r="AI35" s="11">
        <v>9780.5280000000002</v>
      </c>
      <c r="AJ35" s="11">
        <v>9975.1869999999999</v>
      </c>
      <c r="AK35" s="11">
        <v>9964.8310000000001</v>
      </c>
      <c r="AL35" s="11">
        <v>9394.1240000000016</v>
      </c>
      <c r="AM35" s="11">
        <v>9553.1750000000011</v>
      </c>
      <c r="AN35" s="11">
        <v>9595.6810000000005</v>
      </c>
      <c r="AO35" s="11">
        <v>9455.9130000000005</v>
      </c>
      <c r="AP35" s="11">
        <v>9480.0252601327265</v>
      </c>
      <c r="AQ35" s="11">
        <v>9523.6221278591602</v>
      </c>
      <c r="AR35" s="11">
        <v>9915.8871318017009</v>
      </c>
      <c r="AS35" s="11">
        <v>10027.555607112192</v>
      </c>
      <c r="AT35" s="11">
        <v>10401.755520443112</v>
      </c>
      <c r="AU35" s="17">
        <v>10925.9</v>
      </c>
    </row>
    <row r="36" spans="1:47" ht="14.4">
      <c r="A36" s="1" t="s">
        <v>217</v>
      </c>
      <c r="B36" s="1" t="s">
        <v>44</v>
      </c>
      <c r="C36" s="11">
        <v>1849.7468931566466</v>
      </c>
      <c r="D36" s="11">
        <v>2115.6490610201276</v>
      </c>
      <c r="E36" s="11">
        <v>2094.2343372549462</v>
      </c>
      <c r="F36" s="11">
        <v>2105.6642498689976</v>
      </c>
      <c r="G36" s="11">
        <v>2040.2379253031454</v>
      </c>
      <c r="H36" s="11">
        <v>2195.7440166370411</v>
      </c>
      <c r="I36" s="11">
        <v>2322.2657172954218</v>
      </c>
      <c r="J36" s="11">
        <v>2016.5344769477977</v>
      </c>
      <c r="K36" s="11">
        <v>2054.2646045776687</v>
      </c>
      <c r="L36" s="11">
        <v>2227.4408573213464</v>
      </c>
      <c r="M36" s="11">
        <v>2395.25267634993</v>
      </c>
      <c r="N36" s="11">
        <v>2565.87844179579</v>
      </c>
      <c r="O36" s="11">
        <v>2542.3015625000003</v>
      </c>
      <c r="P36" s="11">
        <v>2937.5432432970033</v>
      </c>
      <c r="Q36" s="11">
        <v>2959.1798684534297</v>
      </c>
      <c r="R36" s="11">
        <v>2944.1245217576698</v>
      </c>
      <c r="S36" s="11">
        <v>2488.839351078836</v>
      </c>
      <c r="T36" s="11">
        <v>2680.5761284542928</v>
      </c>
      <c r="U36" s="11">
        <v>2923.4260838236341</v>
      </c>
      <c r="V36" s="11">
        <v>2800.6008455593242</v>
      </c>
      <c r="W36" s="11">
        <v>2595.8328702453991</v>
      </c>
      <c r="X36" s="11">
        <v>2947.2514160034139</v>
      </c>
      <c r="Y36" s="11">
        <v>3176.2688409482298</v>
      </c>
      <c r="Z36" s="11">
        <v>3280.1572683011054</v>
      </c>
      <c r="AA36" s="11">
        <v>3229.442151046313</v>
      </c>
      <c r="AB36" s="11">
        <v>3446.7120756662816</v>
      </c>
      <c r="AC36" s="11">
        <v>3441.9608321860783</v>
      </c>
      <c r="AD36" s="11">
        <v>3556.0340078575246</v>
      </c>
      <c r="AE36" s="11">
        <v>3591.6563541224405</v>
      </c>
      <c r="AF36" s="11">
        <v>3668.0763433188185</v>
      </c>
      <c r="AG36" s="11">
        <v>3940.8505297065517</v>
      </c>
      <c r="AH36" s="11">
        <v>3969.8128865638423</v>
      </c>
      <c r="AI36" s="11">
        <v>3378.549</v>
      </c>
      <c r="AJ36" s="11">
        <v>2888.73</v>
      </c>
      <c r="AK36" s="11">
        <v>3136.489</v>
      </c>
      <c r="AL36" s="11">
        <v>3477.1980000000003</v>
      </c>
      <c r="AM36" s="11">
        <v>3452.2980000000007</v>
      </c>
      <c r="AN36" s="11">
        <v>3717.5410000000006</v>
      </c>
      <c r="AO36" s="11">
        <v>3829.6900000000005</v>
      </c>
      <c r="AP36" s="11">
        <v>3903.9760438451908</v>
      </c>
      <c r="AQ36" s="11">
        <v>3827.5778721408396</v>
      </c>
      <c r="AR36" s="11">
        <v>4079.0124681975599</v>
      </c>
      <c r="AS36" s="11">
        <v>4365.6443928878898</v>
      </c>
      <c r="AT36" s="11">
        <v>4674.3444795573187</v>
      </c>
      <c r="AU36" s="17">
        <v>4786</v>
      </c>
    </row>
    <row r="37" spans="1:47" ht="14.4">
      <c r="A37" s="1" t="s">
        <v>218</v>
      </c>
      <c r="B37" s="1" t="s">
        <v>44</v>
      </c>
      <c r="C37" s="11">
        <v>944.75480796902161</v>
      </c>
      <c r="D37" s="11">
        <v>1028.8608586385258</v>
      </c>
      <c r="E37" s="11">
        <v>966.23089734268581</v>
      </c>
      <c r="F37" s="11">
        <v>954.75776361881128</v>
      </c>
      <c r="G37" s="11">
        <v>1011.1580695961464</v>
      </c>
      <c r="H37" s="11">
        <v>1125.6222072570454</v>
      </c>
      <c r="I37" s="11">
        <v>1135.7653728560265</v>
      </c>
      <c r="J37" s="11">
        <v>1117.8016551814594</v>
      </c>
      <c r="K37" s="11">
        <v>1119.6513276776702</v>
      </c>
      <c r="L37" s="11">
        <v>1121.78212512135</v>
      </c>
      <c r="M37" s="11">
        <v>1137.7603399479301</v>
      </c>
      <c r="N37" s="11">
        <v>1153.9865725027901</v>
      </c>
      <c r="O37" s="11">
        <v>1185.3941750000001</v>
      </c>
      <c r="P37" s="11">
        <v>1318.80962757</v>
      </c>
      <c r="Q37" s="11">
        <v>1236.5510400554301</v>
      </c>
      <c r="R37" s="11">
        <v>1305.3767192976738</v>
      </c>
      <c r="S37" s="11">
        <v>1174.7103909788359</v>
      </c>
      <c r="T37" s="11">
        <v>1179.7077316543937</v>
      </c>
      <c r="U37" s="11">
        <v>1360.144060623632</v>
      </c>
      <c r="V37" s="11">
        <v>1452.7410739592501</v>
      </c>
      <c r="W37" s="11">
        <v>1295.3410450454005</v>
      </c>
      <c r="X37" s="11">
        <v>1244.2748820034153</v>
      </c>
      <c r="Y37" s="11">
        <v>1280.944497648228</v>
      </c>
      <c r="Z37" s="11">
        <v>1332.0932129011067</v>
      </c>
      <c r="AA37" s="11">
        <v>1352.9733404463122</v>
      </c>
      <c r="AB37" s="11">
        <v>1451.4974880662817</v>
      </c>
      <c r="AC37" s="11">
        <v>1381.9414703860791</v>
      </c>
      <c r="AD37" s="11">
        <v>1467.553151157525</v>
      </c>
      <c r="AE37" s="11">
        <v>1711.6086206224352</v>
      </c>
      <c r="AF37" s="11">
        <v>1683.9572665188193</v>
      </c>
      <c r="AG37" s="11">
        <v>1796.8511447485475</v>
      </c>
      <c r="AH37" s="11">
        <v>1949.2738315638403</v>
      </c>
      <c r="AI37" s="11">
        <v>2040.4690000000001</v>
      </c>
      <c r="AJ37" s="11">
        <v>1816.414</v>
      </c>
      <c r="AK37" s="11">
        <v>1990.0419999999999</v>
      </c>
      <c r="AL37" s="11">
        <v>2069.3970000000004</v>
      </c>
      <c r="AM37" s="11">
        <v>1887.825</v>
      </c>
      <c r="AN37" s="11">
        <v>1967.3040000000001</v>
      </c>
      <c r="AO37" s="11">
        <v>2020.71</v>
      </c>
      <c r="AP37" s="11">
        <v>2036.5803072672752</v>
      </c>
      <c r="AQ37" s="11">
        <v>1892.3778721408389</v>
      </c>
      <c r="AR37" s="11">
        <v>1911.0129011897011</v>
      </c>
      <c r="AS37" s="11">
        <v>2000.0443927042379</v>
      </c>
      <c r="AT37" s="11">
        <v>2109.0445281603284</v>
      </c>
      <c r="AU37" s="17">
        <v>2043.5</v>
      </c>
    </row>
    <row r="38" spans="1:47" ht="14.4">
      <c r="A38" s="1" t="s">
        <v>50</v>
      </c>
      <c r="B38" s="1" t="s">
        <v>44</v>
      </c>
      <c r="C38" s="11">
        <v>904.99208518762498</v>
      </c>
      <c r="D38" s="11">
        <v>1086.7882023816019</v>
      </c>
      <c r="E38" s="11">
        <v>1128.0034399122603</v>
      </c>
      <c r="F38" s="11">
        <v>1150.9064862501862</v>
      </c>
      <c r="G38" s="11">
        <v>1029.0798557069991</v>
      </c>
      <c r="H38" s="11">
        <v>1070.121809379996</v>
      </c>
      <c r="I38" s="11">
        <v>1186.5003444393956</v>
      </c>
      <c r="J38" s="11">
        <v>898.73282176633825</v>
      </c>
      <c r="K38" s="11">
        <v>934.61327689999871</v>
      </c>
      <c r="L38" s="11">
        <v>1105.6487321999964</v>
      </c>
      <c r="M38" s="11">
        <v>1257.5003364019999</v>
      </c>
      <c r="N38" s="11">
        <v>1411.8888692929997</v>
      </c>
      <c r="O38" s="11">
        <v>1356.9073873</v>
      </c>
      <c r="P38" s="11">
        <v>1618.7336157270033</v>
      </c>
      <c r="Q38" s="11">
        <v>1722.6288283979993</v>
      </c>
      <c r="R38" s="11">
        <v>1638.7478024599959</v>
      </c>
      <c r="S38" s="11">
        <v>1314.1289601000001</v>
      </c>
      <c r="T38" s="11">
        <v>1500.8683967998988</v>
      </c>
      <c r="U38" s="11">
        <v>1563.2820232000022</v>
      </c>
      <c r="V38" s="11">
        <v>1347.8597716000802</v>
      </c>
      <c r="W38" s="11">
        <v>1300.5418251999986</v>
      </c>
      <c r="X38" s="11">
        <v>1702.9765339999985</v>
      </c>
      <c r="Y38" s="11">
        <v>1895.4243433000022</v>
      </c>
      <c r="Z38" s="11">
        <v>1948.0640553999983</v>
      </c>
      <c r="AA38" s="11">
        <v>1876.3688106000009</v>
      </c>
      <c r="AB38" s="11">
        <v>1995.2145876000004</v>
      </c>
      <c r="AC38" s="11">
        <v>2060.0193617999989</v>
      </c>
      <c r="AD38" s="11">
        <v>2088.3808566999996</v>
      </c>
      <c r="AE38" s="11">
        <v>1880.1477335</v>
      </c>
      <c r="AF38" s="11">
        <v>1984.1190767999994</v>
      </c>
      <c r="AG38" s="11">
        <v>2143.9703849580042</v>
      </c>
      <c r="AH38" s="11">
        <v>2020.539055000002</v>
      </c>
      <c r="AI38" s="11">
        <v>1337.98</v>
      </c>
      <c r="AJ38" s="11">
        <v>1072.316</v>
      </c>
      <c r="AK38" s="11">
        <v>1146.4639999999999</v>
      </c>
      <c r="AL38" s="11">
        <v>1407.8000000000002</v>
      </c>
      <c r="AM38" s="11">
        <v>1564.4740000000002</v>
      </c>
      <c r="AN38" s="11">
        <v>1750.2370000000001</v>
      </c>
      <c r="AO38" s="11">
        <v>1808.98</v>
      </c>
      <c r="AP38" s="11">
        <v>1867.3957365779161</v>
      </c>
      <c r="AQ38" s="11">
        <v>1935.2000000000007</v>
      </c>
      <c r="AR38" s="11">
        <v>2167.9995670078588</v>
      </c>
      <c r="AS38" s="11">
        <v>2365.6000001836514</v>
      </c>
      <c r="AT38" s="11">
        <v>2565.2999513969908</v>
      </c>
      <c r="AU38" s="17">
        <v>2742.5</v>
      </c>
    </row>
    <row r="39" spans="1:47" ht="14.4">
      <c r="A39" s="1" t="s">
        <v>219</v>
      </c>
      <c r="B39" s="1" t="s">
        <v>44</v>
      </c>
      <c r="C39" s="11">
        <v>172.41590145840601</v>
      </c>
      <c r="D39" s="11">
        <v>196.53225654159402</v>
      </c>
      <c r="E39" s="11">
        <v>172.65134636530706</v>
      </c>
      <c r="F39" s="11">
        <v>217.32349863290594</v>
      </c>
      <c r="G39" s="11">
        <v>201.87767809999997</v>
      </c>
      <c r="H39" s="11">
        <v>244.74799280000002</v>
      </c>
      <c r="I39" s="11">
        <v>247.96490299999996</v>
      </c>
      <c r="J39" s="11">
        <v>283.46462229999992</v>
      </c>
      <c r="K39" s="11">
        <v>246.84448210000002</v>
      </c>
      <c r="L39" s="11">
        <v>265.3583448</v>
      </c>
      <c r="M39" s="11">
        <v>274.1944962469999</v>
      </c>
      <c r="N39" s="11">
        <v>298.64068735300003</v>
      </c>
      <c r="O39" s="11">
        <v>280.77247649999998</v>
      </c>
      <c r="P39" s="11">
        <v>294.42932400000001</v>
      </c>
      <c r="Q39" s="11">
        <v>283.58468379999994</v>
      </c>
      <c r="R39" s="11">
        <v>270.41351570000006</v>
      </c>
      <c r="S39" s="11">
        <v>321.3</v>
      </c>
      <c r="T39" s="11">
        <v>341.45864060000002</v>
      </c>
      <c r="U39" s="11">
        <v>384.81180820000009</v>
      </c>
      <c r="V39" s="11">
        <v>398.19855119999994</v>
      </c>
      <c r="W39" s="11">
        <v>383.20000000000005</v>
      </c>
      <c r="X39" s="11">
        <v>371.67777890000008</v>
      </c>
      <c r="Y39" s="11">
        <v>358.36198949999999</v>
      </c>
      <c r="Z39" s="11">
        <v>344.36982890000002</v>
      </c>
      <c r="AA39" s="11">
        <v>331.1</v>
      </c>
      <c r="AB39" s="11">
        <v>342.9500529</v>
      </c>
      <c r="AC39" s="11">
        <v>362.10010590000002</v>
      </c>
      <c r="AD39" s="11">
        <v>484.24203039999998</v>
      </c>
      <c r="AE39" s="11">
        <v>476.70000000000005</v>
      </c>
      <c r="AF39" s="11">
        <v>491.70000000000005</v>
      </c>
      <c r="AG39" s="11">
        <v>498.10013887600007</v>
      </c>
      <c r="AH39" s="11">
        <v>490.20000000000005</v>
      </c>
      <c r="AI39" s="11">
        <v>446.6</v>
      </c>
      <c r="AJ39" s="11">
        <v>465.70000000000005</v>
      </c>
      <c r="AK39" s="11">
        <v>443.40000000000003</v>
      </c>
      <c r="AL39" s="11">
        <v>461.40000000000003</v>
      </c>
      <c r="AM39" s="11">
        <v>462.20000000000005</v>
      </c>
      <c r="AN39" s="11">
        <v>469.8</v>
      </c>
      <c r="AO39" s="11">
        <v>458.8</v>
      </c>
      <c r="AP39" s="11">
        <v>462.1</v>
      </c>
      <c r="AQ39" s="11">
        <v>458.1</v>
      </c>
      <c r="AR39" s="11">
        <v>468.70000000000005</v>
      </c>
      <c r="AS39" s="11">
        <v>473.69999999997793</v>
      </c>
      <c r="AT39" s="11">
        <v>481.10000000041504</v>
      </c>
      <c r="AU39" s="17">
        <v>478.6</v>
      </c>
    </row>
    <row r="40" spans="1:47" ht="14.4">
      <c r="A40" s="1" t="s">
        <v>52</v>
      </c>
      <c r="B40" s="1" t="s">
        <v>44</v>
      </c>
      <c r="C40" s="11">
        <v>732.576183729219</v>
      </c>
      <c r="D40" s="11">
        <v>890.25594584000794</v>
      </c>
      <c r="E40" s="11">
        <v>955.35209354695326</v>
      </c>
      <c r="F40" s="11">
        <v>933.58298761728008</v>
      </c>
      <c r="G40" s="11">
        <v>827.20217760699893</v>
      </c>
      <c r="H40" s="11">
        <v>825.37381657999583</v>
      </c>
      <c r="I40" s="11">
        <v>938.53544143939553</v>
      </c>
      <c r="J40" s="11">
        <v>615.26819946633827</v>
      </c>
      <c r="K40" s="11">
        <v>687.75079479999874</v>
      </c>
      <c r="L40" s="11">
        <v>840.24038739999639</v>
      </c>
      <c r="M40" s="11">
        <v>983.30584015499994</v>
      </c>
      <c r="N40" s="11">
        <v>1113.2511819399997</v>
      </c>
      <c r="O40" s="11">
        <v>1076.1349107999999</v>
      </c>
      <c r="P40" s="11">
        <v>1324.3042917270031</v>
      </c>
      <c r="Q40" s="11">
        <v>1439.0441445979995</v>
      </c>
      <c r="R40" s="11">
        <v>1368.3342867599958</v>
      </c>
      <c r="S40" s="11">
        <v>992.82896010000013</v>
      </c>
      <c r="T40" s="11">
        <v>1159.4097561998988</v>
      </c>
      <c r="U40" s="11">
        <v>1178.4702150000019</v>
      </c>
      <c r="V40" s="11">
        <v>949.56122040007722</v>
      </c>
      <c r="W40" s="11">
        <v>917.34182519999854</v>
      </c>
      <c r="X40" s="11">
        <v>1331.2987550999985</v>
      </c>
      <c r="Y40" s="11">
        <v>1536.9623538000021</v>
      </c>
      <c r="Z40" s="11">
        <v>1603.6942264999984</v>
      </c>
      <c r="AA40" s="11">
        <v>1545.2688106000007</v>
      </c>
      <c r="AB40" s="11">
        <v>1652.1645347000003</v>
      </c>
      <c r="AC40" s="11">
        <v>1697.9192558999994</v>
      </c>
      <c r="AD40" s="11">
        <v>1604.2388262999996</v>
      </c>
      <c r="AE40" s="11">
        <v>1403.4477335000001</v>
      </c>
      <c r="AF40" s="11">
        <v>1492.4190767999994</v>
      </c>
      <c r="AG40" s="11">
        <v>1645.8702460820041</v>
      </c>
      <c r="AH40" s="11">
        <v>1530.3390550000022</v>
      </c>
      <c r="AI40" s="11">
        <v>891.38</v>
      </c>
      <c r="AJ40" s="11">
        <v>606.61599999999999</v>
      </c>
      <c r="AK40" s="11">
        <v>703.06400000000008</v>
      </c>
      <c r="AL40" s="11">
        <v>946.40000000000009</v>
      </c>
      <c r="AM40" s="11">
        <v>1102.2740000000001</v>
      </c>
      <c r="AN40" s="11">
        <v>1280.4370000000001</v>
      </c>
      <c r="AO40" s="11">
        <v>1350.18</v>
      </c>
      <c r="AP40" s="11">
        <v>1405.2957365779157</v>
      </c>
      <c r="AQ40" s="11">
        <v>1477.1000000000006</v>
      </c>
      <c r="AR40" s="11">
        <v>1699.299567007859</v>
      </c>
      <c r="AS40" s="11">
        <v>1891.9000001836737</v>
      </c>
      <c r="AT40" s="11">
        <v>2084.1999513965757</v>
      </c>
      <c r="AU40" s="17">
        <v>2263.9</v>
      </c>
    </row>
    <row r="41" spans="1:47" ht="14.4">
      <c r="A41" s="1" t="s">
        <v>220</v>
      </c>
      <c r="B41" s="1" t="s">
        <v>44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217.5</v>
      </c>
      <c r="W41" s="11">
        <v>0</v>
      </c>
      <c r="X41" s="11">
        <v>0</v>
      </c>
      <c r="Y41" s="11">
        <v>0</v>
      </c>
      <c r="Z41" s="11">
        <v>50.7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24.400000000000002</v>
      </c>
      <c r="AG41" s="11">
        <v>0</v>
      </c>
      <c r="AH41" s="11">
        <v>212.60000000000002</v>
      </c>
      <c r="AI41" s="11">
        <v>0</v>
      </c>
      <c r="AJ41" s="11">
        <v>149.5</v>
      </c>
      <c r="AK41" s="11">
        <v>2.4352400000395848E-4</v>
      </c>
      <c r="AL41" s="11">
        <v>308.70000000000005</v>
      </c>
      <c r="AM41" s="11">
        <v>0</v>
      </c>
      <c r="AN41" s="11">
        <v>0</v>
      </c>
      <c r="AO41" s="11">
        <v>0</v>
      </c>
      <c r="AP41" s="11">
        <v>27.300366804000021</v>
      </c>
      <c r="AQ41" s="11">
        <v>0</v>
      </c>
      <c r="AR41" s="11">
        <v>0</v>
      </c>
      <c r="AS41" s="11">
        <v>0</v>
      </c>
      <c r="AT41" s="11">
        <v>0</v>
      </c>
      <c r="AU41" s="17">
        <v>0</v>
      </c>
    </row>
    <row r="42" spans="1:47" ht="14.4">
      <c r="A42" s="1" t="s">
        <v>221</v>
      </c>
      <c r="B42" s="1" t="s">
        <v>44</v>
      </c>
      <c r="C42" s="11">
        <v>124.445788660527</v>
      </c>
      <c r="D42" s="11">
        <v>97.760827576668035</v>
      </c>
      <c r="E42" s="11">
        <v>61.857078974766956</v>
      </c>
      <c r="F42" s="11">
        <v>155.31426409025303</v>
      </c>
      <c r="G42" s="11">
        <v>245.79645479999999</v>
      </c>
      <c r="H42" s="11">
        <v>138.71927370000395</v>
      </c>
      <c r="I42" s="11">
        <v>155.19624625541832</v>
      </c>
      <c r="J42" s="11">
        <v>237.84692199150379</v>
      </c>
      <c r="K42" s="11">
        <v>410.90054460000005</v>
      </c>
      <c r="L42" s="11">
        <v>322.15663220000005</v>
      </c>
      <c r="M42" s="11">
        <v>232.13896296000004</v>
      </c>
      <c r="N42" s="11">
        <v>451.25390146000001</v>
      </c>
      <c r="O42" s="11">
        <v>111.3972826</v>
      </c>
      <c r="P42" s="11">
        <v>175.05295170400001</v>
      </c>
      <c r="Q42" s="11">
        <v>80.559809891336116</v>
      </c>
      <c r="R42" s="11">
        <v>167.14281773513039</v>
      </c>
      <c r="S42" s="11">
        <v>341.3</v>
      </c>
      <c r="T42" s="11">
        <v>216.33867550000002</v>
      </c>
      <c r="U42" s="11">
        <v>349.59200000000004</v>
      </c>
      <c r="V42" s="11">
        <v>285.15932450000003</v>
      </c>
      <c r="W42" s="11">
        <v>416.1</v>
      </c>
      <c r="X42" s="11">
        <v>117.5</v>
      </c>
      <c r="Y42" s="11">
        <v>220.916</v>
      </c>
      <c r="Z42" s="11">
        <v>32.6</v>
      </c>
      <c r="AA42" s="11">
        <v>287.3</v>
      </c>
      <c r="AB42" s="11">
        <v>282.11599999999999</v>
      </c>
      <c r="AC42" s="11">
        <v>223.10000000000002</v>
      </c>
      <c r="AD42" s="11">
        <v>319.8</v>
      </c>
      <c r="AE42" s="11">
        <v>122.10000000000002</v>
      </c>
      <c r="AF42" s="11">
        <v>290.200487614172</v>
      </c>
      <c r="AG42" s="11">
        <v>247.20000000000002</v>
      </c>
      <c r="AH42" s="11">
        <v>305.5</v>
      </c>
      <c r="AI42" s="11">
        <v>191.70000000000002</v>
      </c>
      <c r="AJ42" s="11">
        <v>264.2</v>
      </c>
      <c r="AK42" s="11">
        <v>87.5</v>
      </c>
      <c r="AL42" s="11">
        <v>373.5</v>
      </c>
      <c r="AM42" s="11">
        <v>144.70000000000002</v>
      </c>
      <c r="AN42" s="11">
        <v>521.5</v>
      </c>
      <c r="AO42" s="11">
        <v>16.499999999999989</v>
      </c>
      <c r="AP42" s="11">
        <v>172.7</v>
      </c>
      <c r="AQ42" s="11">
        <v>218.3</v>
      </c>
      <c r="AR42" s="11">
        <v>39.999999924000036</v>
      </c>
      <c r="AS42" s="11">
        <v>-21.700000000254988</v>
      </c>
      <c r="AT42" s="11">
        <v>-204.69999999981403</v>
      </c>
      <c r="AU42" s="17">
        <v>-106.4</v>
      </c>
    </row>
    <row r="43" spans="1:47" ht="14.4">
      <c r="A43" s="1" t="s">
        <v>222</v>
      </c>
      <c r="B43" s="1" t="s">
        <v>44</v>
      </c>
      <c r="C43" s="11">
        <v>79.854661856994412</v>
      </c>
      <c r="D43" s="11">
        <v>-20.448292456994402</v>
      </c>
      <c r="E43" s="11">
        <v>-13.136941101925121</v>
      </c>
      <c r="F43" s="11">
        <v>52.342431854777082</v>
      </c>
      <c r="G43" s="11">
        <v>47.890939300000007</v>
      </c>
      <c r="H43" s="11">
        <v>87.622259400000004</v>
      </c>
      <c r="I43" s="11">
        <v>90.41958330441831</v>
      </c>
      <c r="J43" s="11">
        <v>161.65450035170375</v>
      </c>
      <c r="K43" s="11">
        <v>272.64986170000003</v>
      </c>
      <c r="L43" s="11">
        <v>226.95068040000001</v>
      </c>
      <c r="M43" s="11">
        <v>101.149438686</v>
      </c>
      <c r="N43" s="11">
        <v>174.250760786</v>
      </c>
      <c r="O43" s="11">
        <v>14.655578200000001</v>
      </c>
      <c r="P43" s="11">
        <v>50.051803400000004</v>
      </c>
      <c r="Q43" s="11">
        <v>-77.891056887953894</v>
      </c>
      <c r="R43" s="11">
        <v>25.193672800000002</v>
      </c>
      <c r="S43" s="11">
        <v>101.8</v>
      </c>
      <c r="T43" s="11">
        <v>49.597158299999997</v>
      </c>
      <c r="U43" s="11">
        <v>143.5</v>
      </c>
      <c r="V43" s="11">
        <v>7.3028417000000481</v>
      </c>
      <c r="W43" s="11">
        <v>85.7</v>
      </c>
      <c r="X43" s="11">
        <v>-35.6</v>
      </c>
      <c r="Y43" s="11">
        <v>110.2</v>
      </c>
      <c r="Z43" s="11">
        <v>-62.800000000000004</v>
      </c>
      <c r="AA43" s="11">
        <v>107.7</v>
      </c>
      <c r="AB43" s="11">
        <v>121.30000000000001</v>
      </c>
      <c r="AC43" s="11">
        <v>124.41388625272819</v>
      </c>
      <c r="AD43" s="11">
        <v>210.8</v>
      </c>
      <c r="AE43" s="11">
        <v>53.6</v>
      </c>
      <c r="AF43" s="11">
        <v>126.7</v>
      </c>
      <c r="AG43" s="11">
        <v>125.10000000000001</v>
      </c>
      <c r="AH43" s="11">
        <v>-6.4</v>
      </c>
      <c r="AI43" s="11">
        <v>44.5</v>
      </c>
      <c r="AJ43" s="11">
        <v>-3</v>
      </c>
      <c r="AK43" s="11">
        <v>-43.5</v>
      </c>
      <c r="AL43" s="11">
        <v>-40.1</v>
      </c>
      <c r="AM43" s="11">
        <v>-6.5</v>
      </c>
      <c r="AN43" s="11">
        <v>-101.30000000000001</v>
      </c>
      <c r="AO43" s="11">
        <v>-91.4</v>
      </c>
      <c r="AP43" s="11">
        <v>-38.400000000000013</v>
      </c>
      <c r="AQ43" s="11">
        <v>29.700000000000003</v>
      </c>
      <c r="AR43" s="11">
        <v>-109.50000007599999</v>
      </c>
      <c r="AS43" s="11">
        <v>-115.799999999881</v>
      </c>
      <c r="AT43" s="11">
        <v>-284.30000000004503</v>
      </c>
      <c r="AU43" s="17">
        <v>-214</v>
      </c>
    </row>
    <row r="44" spans="1:47" ht="14.4">
      <c r="A44" s="1" t="s">
        <v>223</v>
      </c>
      <c r="B44" s="1" t="s">
        <v>44</v>
      </c>
      <c r="C44" s="11">
        <v>44.591126803532603</v>
      </c>
      <c r="D44" s="11">
        <v>118.20912003366243</v>
      </c>
      <c r="E44" s="11">
        <v>74.994020076692081</v>
      </c>
      <c r="F44" s="11">
        <v>102.97183223547596</v>
      </c>
      <c r="G44" s="11">
        <v>197.90551550000001</v>
      </c>
      <c r="H44" s="11">
        <v>51.097014300003934</v>
      </c>
      <c r="I44" s="11">
        <v>64.776662951000006</v>
      </c>
      <c r="J44" s="11">
        <v>76.192421639800031</v>
      </c>
      <c r="K44" s="11">
        <v>138.25068289999999</v>
      </c>
      <c r="L44" s="11">
        <v>95.205951800000008</v>
      </c>
      <c r="M44" s="11">
        <v>131.00952427400003</v>
      </c>
      <c r="N44" s="11">
        <v>276.97314067400004</v>
      </c>
      <c r="O44" s="11">
        <v>96.741704400000003</v>
      </c>
      <c r="P44" s="11">
        <v>124.95114830400001</v>
      </c>
      <c r="Q44" s="11">
        <v>158.45086677929001</v>
      </c>
      <c r="R44" s="11">
        <v>141.94914493513042</v>
      </c>
      <c r="S44" s="11">
        <v>239.5</v>
      </c>
      <c r="T44" s="11">
        <v>166.74151720000003</v>
      </c>
      <c r="U44" s="11">
        <v>206.09200000000001</v>
      </c>
      <c r="V44" s="11">
        <v>277.85648279999998</v>
      </c>
      <c r="W44" s="11">
        <v>330.40000000000003</v>
      </c>
      <c r="X44" s="11">
        <v>153.1</v>
      </c>
      <c r="Y44" s="11">
        <v>110.71599999999999</v>
      </c>
      <c r="Z44" s="11">
        <v>95.4</v>
      </c>
      <c r="AA44" s="11">
        <v>179.60000000000002</v>
      </c>
      <c r="AB44" s="11">
        <v>160.81600000000003</v>
      </c>
      <c r="AC44" s="11">
        <v>98.686113747271804</v>
      </c>
      <c r="AD44" s="11">
        <v>108.99999999999999</v>
      </c>
      <c r="AE44" s="11">
        <v>68.5</v>
      </c>
      <c r="AF44" s="11">
        <v>163.50048761417202</v>
      </c>
      <c r="AG44" s="11">
        <v>122.10000000000001</v>
      </c>
      <c r="AH44" s="11">
        <v>311.90000000000003</v>
      </c>
      <c r="AI44" s="11">
        <v>147.20000000000002</v>
      </c>
      <c r="AJ44" s="11">
        <v>267.2</v>
      </c>
      <c r="AK44" s="11">
        <v>131</v>
      </c>
      <c r="AL44" s="11">
        <v>413.6</v>
      </c>
      <c r="AM44" s="11">
        <v>151.20000000000002</v>
      </c>
      <c r="AN44" s="11">
        <v>622.80000000000007</v>
      </c>
      <c r="AO44" s="11">
        <v>107.9</v>
      </c>
      <c r="AP44" s="11">
        <v>211.10000000000002</v>
      </c>
      <c r="AQ44" s="11">
        <v>188.60000000000002</v>
      </c>
      <c r="AR44" s="11">
        <v>149.50000000000003</v>
      </c>
      <c r="AS44" s="11">
        <v>94.099999999625993</v>
      </c>
      <c r="AT44" s="11">
        <v>79.600000000231006</v>
      </c>
      <c r="AU44" s="17">
        <v>107.6</v>
      </c>
    </row>
    <row r="45" spans="1:47" ht="14.4">
      <c r="A45" s="1" t="s">
        <v>224</v>
      </c>
      <c r="B45" s="1" t="s">
        <v>44</v>
      </c>
      <c r="C45" s="11">
        <v>21.463855416724702</v>
      </c>
      <c r="D45" s="11">
        <v>17.492207183275301</v>
      </c>
      <c r="E45" s="11">
        <v>24.612004825875257</v>
      </c>
      <c r="F45" s="11">
        <v>33.449490558977544</v>
      </c>
      <c r="G45" s="11">
        <v>27.4051972</v>
      </c>
      <c r="H45" s="11">
        <v>34.5101631</v>
      </c>
      <c r="I45" s="11">
        <v>34.887159155799999</v>
      </c>
      <c r="J45" s="11">
        <v>31.789908999999994</v>
      </c>
      <c r="K45" s="11">
        <v>36.953496499999993</v>
      </c>
      <c r="L45" s="11">
        <v>38.627934870000004</v>
      </c>
      <c r="M45" s="11">
        <v>34.054200915999999</v>
      </c>
      <c r="N45" s="11">
        <v>52.688012708999999</v>
      </c>
      <c r="O45" s="11">
        <v>30.519883800000002</v>
      </c>
      <c r="P45" s="11">
        <v>38.760564300000013</v>
      </c>
      <c r="Q45" s="11">
        <v>35.848417424000012</v>
      </c>
      <c r="R45" s="11">
        <v>28.132134499999992</v>
      </c>
      <c r="S45" s="11">
        <v>45.400000000000006</v>
      </c>
      <c r="T45" s="11">
        <v>38.250848399999995</v>
      </c>
      <c r="U45" s="11">
        <v>55</v>
      </c>
      <c r="V45" s="11">
        <v>53.227151600000006</v>
      </c>
      <c r="W45" s="11">
        <v>50.300000000000004</v>
      </c>
      <c r="X45" s="11">
        <v>39.900000000000006</v>
      </c>
      <c r="Y45" s="11">
        <v>42.1</v>
      </c>
      <c r="Z45" s="11">
        <v>41.7</v>
      </c>
      <c r="AA45" s="11">
        <v>38.1</v>
      </c>
      <c r="AB45" s="11">
        <v>35.4</v>
      </c>
      <c r="AC45" s="11">
        <v>33.9</v>
      </c>
      <c r="AD45" s="11">
        <v>55.2</v>
      </c>
      <c r="AE45" s="11">
        <v>40.300000000000004</v>
      </c>
      <c r="AF45" s="11">
        <v>79</v>
      </c>
      <c r="AG45" s="11">
        <v>112.9000056464</v>
      </c>
      <c r="AH45" s="11">
        <v>93.4</v>
      </c>
      <c r="AI45" s="11">
        <v>119.69900000000001</v>
      </c>
      <c r="AJ45" s="11">
        <v>97.5</v>
      </c>
      <c r="AK45" s="11">
        <v>116.5</v>
      </c>
      <c r="AL45" s="11">
        <v>58.5</v>
      </c>
      <c r="AM45" s="11">
        <v>71.5</v>
      </c>
      <c r="AN45" s="11">
        <v>89</v>
      </c>
      <c r="AO45" s="11">
        <v>75.900000000000006</v>
      </c>
      <c r="AP45" s="11">
        <v>85.300000000000011</v>
      </c>
      <c r="AQ45" s="11">
        <v>77.800000000000011</v>
      </c>
      <c r="AR45" s="11">
        <v>77.2</v>
      </c>
      <c r="AS45" s="11">
        <v>93.599999999684997</v>
      </c>
      <c r="AT45" s="11">
        <v>88.800000000004005</v>
      </c>
      <c r="AU45" s="17">
        <v>111.3</v>
      </c>
    </row>
    <row r="46" spans="1:47" ht="14.4">
      <c r="A46" s="1" t="s">
        <v>225</v>
      </c>
      <c r="B46" s="1" t="s">
        <v>44</v>
      </c>
      <c r="C46" s="11">
        <v>1.07346570605547</v>
      </c>
      <c r="D46" s="11">
        <v>0.32416479394453013</v>
      </c>
      <c r="E46" s="11">
        <v>-0.12559857652764014</v>
      </c>
      <c r="F46" s="11">
        <v>1.2753029174194701</v>
      </c>
      <c r="G46" s="11">
        <v>-2.2679132000000002</v>
      </c>
      <c r="H46" s="11">
        <v>-0.21745869999999987</v>
      </c>
      <c r="I46" s="11">
        <v>0.15204720000000052</v>
      </c>
      <c r="J46" s="11">
        <v>1.8202999999998417E-3</v>
      </c>
      <c r="K46" s="11">
        <v>2.2615300000000001E-2</v>
      </c>
      <c r="L46" s="11">
        <v>1.2220599999999998E-2</v>
      </c>
      <c r="M46" s="11">
        <v>1.3131900000000002E-2</v>
      </c>
      <c r="N46" s="11">
        <v>2.2024299999999997E-2</v>
      </c>
      <c r="O46" s="11">
        <v>-11.829282000000001</v>
      </c>
      <c r="P46" s="11">
        <v>-13.250756099999998</v>
      </c>
      <c r="Q46" s="11">
        <v>-13.248949600000003</v>
      </c>
      <c r="R46" s="11">
        <v>-27.240012300000004</v>
      </c>
      <c r="S46" s="11">
        <v>-7.8000000000000007</v>
      </c>
      <c r="T46" s="11">
        <v>0.29865380000000014</v>
      </c>
      <c r="U46" s="11">
        <v>0.50000000000000011</v>
      </c>
      <c r="V46" s="11">
        <v>1.4613461999999997</v>
      </c>
      <c r="W46" s="11">
        <v>0.1</v>
      </c>
      <c r="X46" s="11">
        <v>0.4</v>
      </c>
      <c r="Y46" s="11">
        <v>0.5</v>
      </c>
      <c r="Z46" s="11">
        <v>0.2</v>
      </c>
      <c r="AA46" s="11">
        <v>-0.2</v>
      </c>
      <c r="AB46" s="11">
        <v>-0.8</v>
      </c>
      <c r="AC46" s="11">
        <v>-0.70000000000000007</v>
      </c>
      <c r="AD46" s="11">
        <v>4.5</v>
      </c>
      <c r="AE46" s="11">
        <v>0.30000000000000004</v>
      </c>
      <c r="AF46" s="11">
        <v>-15.3</v>
      </c>
      <c r="AG46" s="11">
        <v>-9</v>
      </c>
      <c r="AH46" s="11">
        <v>-5</v>
      </c>
      <c r="AI46" s="11">
        <v>7.8000000000000007</v>
      </c>
      <c r="AJ46" s="11">
        <v>-8.5</v>
      </c>
      <c r="AK46" s="11">
        <v>4.8000000000000007</v>
      </c>
      <c r="AL46" s="11">
        <v>6.4</v>
      </c>
      <c r="AM46" s="11">
        <v>2.6</v>
      </c>
      <c r="AN46" s="11">
        <v>0.60000000000000009</v>
      </c>
      <c r="AO46" s="11">
        <v>6.6000000000000005</v>
      </c>
      <c r="AP46" s="11">
        <v>-1.2000000000000002</v>
      </c>
      <c r="AQ46" s="11">
        <v>0.5</v>
      </c>
      <c r="AR46" s="11">
        <v>-2.8000000000000003</v>
      </c>
      <c r="AS46" s="11">
        <v>0.9</v>
      </c>
      <c r="AT46" s="11">
        <v>-0.1</v>
      </c>
      <c r="AU46" s="17">
        <v>-4.3</v>
      </c>
    </row>
    <row r="47" spans="1:47" ht="14.4">
      <c r="A47" s="1" t="s">
        <v>226</v>
      </c>
      <c r="B47" s="1" t="s">
        <v>44</v>
      </c>
      <c r="C47" s="11">
        <v>836.63158267907693</v>
      </c>
      <c r="D47" s="11">
        <v>970.84873102734537</v>
      </c>
      <c r="E47" s="11">
        <v>992.47156911931745</v>
      </c>
      <c r="F47" s="11">
        <v>1056.723064065975</v>
      </c>
      <c r="G47" s="11">
        <v>1043.3255220069991</v>
      </c>
      <c r="H47" s="11">
        <v>929.36546847999989</v>
      </c>
      <c r="I47" s="11">
        <v>1058.9965757390139</v>
      </c>
      <c r="J47" s="11">
        <v>821.35703275784181</v>
      </c>
      <c r="K47" s="11">
        <v>1061.7494581999988</v>
      </c>
      <c r="L47" s="11">
        <v>1123.8513053299964</v>
      </c>
      <c r="M47" s="11">
        <v>1181.4167340989998</v>
      </c>
      <c r="N47" s="11">
        <v>1511.8390949909999</v>
      </c>
      <c r="O47" s="11">
        <v>1145.1830275999998</v>
      </c>
      <c r="P47" s="11">
        <v>1447.3459230310032</v>
      </c>
      <c r="Q47" s="11">
        <v>1470.5865874653355</v>
      </c>
      <c r="R47" s="11">
        <v>1480.1049576951261</v>
      </c>
      <c r="S47" s="11">
        <v>1280.9289601</v>
      </c>
      <c r="T47" s="11">
        <v>1337.7492370998989</v>
      </c>
      <c r="U47" s="11">
        <v>1473.562215000002</v>
      </c>
      <c r="V47" s="11">
        <v>965.55473950007718</v>
      </c>
      <c r="W47" s="11">
        <v>1283.2418251999986</v>
      </c>
      <c r="X47" s="11">
        <v>1409.2517550999985</v>
      </c>
      <c r="Y47" s="11">
        <v>1716.3783538000018</v>
      </c>
      <c r="Z47" s="11">
        <v>1544.0942264999985</v>
      </c>
      <c r="AA47" s="11">
        <v>1794.268810600001</v>
      </c>
      <c r="AB47" s="11">
        <v>1898.0805347000003</v>
      </c>
      <c r="AC47" s="11">
        <v>1886.4192558999994</v>
      </c>
      <c r="AD47" s="11">
        <v>1873.2388262999993</v>
      </c>
      <c r="AE47" s="11">
        <v>1485.5477335</v>
      </c>
      <c r="AF47" s="11">
        <v>1663.9195644141714</v>
      </c>
      <c r="AG47" s="11">
        <v>1771.1702404356042</v>
      </c>
      <c r="AH47" s="11">
        <v>1524.8390550000022</v>
      </c>
      <c r="AI47" s="11">
        <v>971.18</v>
      </c>
      <c r="AJ47" s="11">
        <v>615.29600000000005</v>
      </c>
      <c r="AK47" s="11">
        <v>678.86300000000006</v>
      </c>
      <c r="AL47" s="11">
        <v>959.1</v>
      </c>
      <c r="AM47" s="11">
        <v>1178.0740000000001</v>
      </c>
      <c r="AN47" s="11">
        <v>1713.5360000000001</v>
      </c>
      <c r="AO47" s="11">
        <v>1297.3800000000001</v>
      </c>
      <c r="AP47" s="11">
        <v>1464.1953697739159</v>
      </c>
      <c r="AQ47" s="11">
        <v>1618.1000000000004</v>
      </c>
      <c r="AR47" s="11">
        <v>1659.2995669318589</v>
      </c>
      <c r="AS47" s="11">
        <v>1777.5000001837336</v>
      </c>
      <c r="AT47" s="11">
        <v>1790.5999513967579</v>
      </c>
      <c r="AU47" s="17">
        <v>2041.9</v>
      </c>
    </row>
    <row r="48" spans="1:47" ht="14.4">
      <c r="A48" s="1" t="s">
        <v>227</v>
      </c>
      <c r="B48" s="1" t="s">
        <v>44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>
        <v>0</v>
      </c>
      <c r="AJ48" s="11">
        <v>0</v>
      </c>
      <c r="AK48" s="11"/>
      <c r="AL48" s="11"/>
      <c r="AM48" s="11">
        <v>0</v>
      </c>
      <c r="AN48" s="11">
        <v>0</v>
      </c>
      <c r="AO48" s="11"/>
      <c r="AP48" s="11"/>
      <c r="AQ48" s="11">
        <v>0</v>
      </c>
      <c r="AR48" s="11">
        <v>0</v>
      </c>
      <c r="AS48" s="11">
        <v>272.40000000000003</v>
      </c>
      <c r="AT48" s="11">
        <v>0</v>
      </c>
      <c r="AU48" s="17">
        <v>0</v>
      </c>
    </row>
    <row r="49" spans="1:47" ht="14.4">
      <c r="A49" s="1" t="s">
        <v>228</v>
      </c>
      <c r="B49" s="1" t="s">
        <v>44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1283.2418251999986</v>
      </c>
      <c r="X49" s="11">
        <v>1409.2517550999985</v>
      </c>
      <c r="Y49" s="11">
        <v>1716.3783538000018</v>
      </c>
      <c r="Z49" s="11">
        <v>1544.0942264999985</v>
      </c>
      <c r="AA49" s="11">
        <v>1794.268810600001</v>
      </c>
      <c r="AB49" s="11">
        <v>1898.0805347000003</v>
      </c>
      <c r="AC49" s="11">
        <v>1886.4192558999994</v>
      </c>
      <c r="AD49" s="11">
        <v>1873.2388262999993</v>
      </c>
      <c r="AE49" s="11">
        <v>1485.5477335</v>
      </c>
      <c r="AF49" s="11">
        <v>1663.9195644141714</v>
      </c>
      <c r="AG49" s="11">
        <v>1771.1702404356042</v>
      </c>
      <c r="AH49" s="11">
        <v>1524.8390550000022</v>
      </c>
      <c r="AI49" s="11">
        <v>971.18</v>
      </c>
      <c r="AJ49" s="11">
        <v>615.29600000000005</v>
      </c>
      <c r="AK49" s="11">
        <v>678.86300000000006</v>
      </c>
      <c r="AL49" s="11">
        <v>959.1</v>
      </c>
      <c r="AM49" s="11">
        <v>1178.0740000000001</v>
      </c>
      <c r="AN49" s="11">
        <v>1713.5360000000001</v>
      </c>
      <c r="AO49" s="11">
        <v>1297.3800000000001</v>
      </c>
      <c r="AP49" s="11">
        <v>1464.1953697739159</v>
      </c>
      <c r="AQ49" s="11">
        <v>1618.1000000000004</v>
      </c>
      <c r="AR49" s="11">
        <v>1659.2995669318589</v>
      </c>
      <c r="AS49" s="11">
        <v>1505.1000001837338</v>
      </c>
      <c r="AT49" s="11">
        <v>1790.5999513967579</v>
      </c>
      <c r="AU49" s="17">
        <v>2041.9</v>
      </c>
    </row>
    <row r="50" spans="1:47" ht="14.4">
      <c r="A50" s="1" t="s">
        <v>229</v>
      </c>
      <c r="B50" s="1" t="s">
        <v>44</v>
      </c>
      <c r="C50" s="11">
        <v>214.19505958086731</v>
      </c>
      <c r="D50" s="11">
        <v>202.31150631958064</v>
      </c>
      <c r="E50" s="11">
        <v>233.00482623120433</v>
      </c>
      <c r="F50" s="11">
        <v>180.62041578676482</v>
      </c>
      <c r="G50" s="11">
        <v>246.79285979999997</v>
      </c>
      <c r="H50" s="11">
        <v>309.5984024</v>
      </c>
      <c r="I50" s="11">
        <v>214.09446340000005</v>
      </c>
      <c r="J50" s="11">
        <v>231.63860610000003</v>
      </c>
      <c r="K50" s="11">
        <v>269.85603150000003</v>
      </c>
      <c r="L50" s="11">
        <v>284.71280763000004</v>
      </c>
      <c r="M50" s="11">
        <v>257.03692903199999</v>
      </c>
      <c r="N50" s="11">
        <v>280.95571710000007</v>
      </c>
      <c r="O50" s="11">
        <v>245.74898859999996</v>
      </c>
      <c r="P50" s="11">
        <v>391.37499360599986</v>
      </c>
      <c r="Q50" s="11">
        <v>263.77961010599995</v>
      </c>
      <c r="R50" s="11">
        <v>353.49040771999989</v>
      </c>
      <c r="S50" s="11">
        <v>331.8</v>
      </c>
      <c r="T50" s="11">
        <v>226.50412110000002</v>
      </c>
      <c r="U50" s="11">
        <v>362.89800000000002</v>
      </c>
      <c r="V50" s="11">
        <v>239.19787890000018</v>
      </c>
      <c r="W50" s="11">
        <v>327.60000000000002</v>
      </c>
      <c r="X50" s="11">
        <v>346.19800000000009</v>
      </c>
      <c r="Y50" s="11">
        <v>426.298</v>
      </c>
      <c r="Z50" s="11">
        <v>499.798</v>
      </c>
      <c r="AA50" s="11">
        <v>428.6</v>
      </c>
      <c r="AB50" s="11">
        <v>557.19799999999987</v>
      </c>
      <c r="AC50" s="11">
        <v>508.19799999999998</v>
      </c>
      <c r="AD50" s="11">
        <v>327.99800000000005</v>
      </c>
      <c r="AE50" s="11">
        <v>338</v>
      </c>
      <c r="AF50" s="11">
        <v>364.70000000000005</v>
      </c>
      <c r="AG50" s="11">
        <v>485.90000000000003</v>
      </c>
      <c r="AH50" s="11">
        <v>399.90000000000003</v>
      </c>
      <c r="AI50" s="11">
        <v>267.60000000000002</v>
      </c>
      <c r="AJ50" s="11">
        <v>110</v>
      </c>
      <c r="AK50" s="11">
        <v>155.10000000000002</v>
      </c>
      <c r="AL50" s="11">
        <v>294.90000000000003</v>
      </c>
      <c r="AM50" s="11">
        <v>313.3</v>
      </c>
      <c r="AN50" s="11">
        <v>456</v>
      </c>
      <c r="AO50" s="11">
        <v>308.59999999999991</v>
      </c>
      <c r="AP50" s="11">
        <v>322.3</v>
      </c>
      <c r="AQ50" s="11">
        <v>489.29999999999995</v>
      </c>
      <c r="AR50" s="11">
        <v>457.59999999999991</v>
      </c>
      <c r="AS50" s="11">
        <v>386.50000000000006</v>
      </c>
      <c r="AT50" s="11">
        <v>434.199535372127</v>
      </c>
      <c r="AU50" s="17">
        <v>555.6</v>
      </c>
    </row>
    <row r="51" spans="1:47" ht="14.4">
      <c r="A51" s="1" t="s">
        <v>230</v>
      </c>
      <c r="B51" s="1" t="s">
        <v>44</v>
      </c>
      <c r="C51" s="11">
        <v>622.4365230982097</v>
      </c>
      <c r="D51" s="11">
        <v>768.53722470776472</v>
      </c>
      <c r="E51" s="11">
        <v>759.46674288811312</v>
      </c>
      <c r="F51" s="11">
        <v>876.10264827921026</v>
      </c>
      <c r="G51" s="11">
        <v>796.53266220699913</v>
      </c>
      <c r="H51" s="11">
        <v>619.76706607999995</v>
      </c>
      <c r="I51" s="11">
        <v>844.90211233901391</v>
      </c>
      <c r="J51" s="11">
        <v>589.71842665784186</v>
      </c>
      <c r="K51" s="11">
        <v>791.84942669999873</v>
      </c>
      <c r="L51" s="11">
        <v>839.15149769999653</v>
      </c>
      <c r="M51" s="11">
        <v>924.37980506699978</v>
      </c>
      <c r="N51" s="11">
        <v>1230.8423778909998</v>
      </c>
      <c r="O51" s="11">
        <v>899.45103899999981</v>
      </c>
      <c r="P51" s="11">
        <v>1055.888929425</v>
      </c>
      <c r="Q51" s="11">
        <v>1206.8069773593354</v>
      </c>
      <c r="R51" s="11">
        <v>1126.6145499751262</v>
      </c>
      <c r="S51" s="11">
        <v>949.12896010000009</v>
      </c>
      <c r="T51" s="11">
        <v>1111.2451159998989</v>
      </c>
      <c r="U51" s="11">
        <v>1110.6642150000021</v>
      </c>
      <c r="V51" s="11">
        <v>726.35686060007697</v>
      </c>
      <c r="W51" s="11">
        <v>955.64182519999849</v>
      </c>
      <c r="X51" s="11">
        <v>1063.0537550999984</v>
      </c>
      <c r="Y51" s="11">
        <v>1290.0803538000021</v>
      </c>
      <c r="Z51" s="11">
        <v>1044.2962264999985</v>
      </c>
      <c r="AA51" s="11">
        <v>1365.6688106000008</v>
      </c>
      <c r="AB51" s="11">
        <v>1340.8825347000002</v>
      </c>
      <c r="AC51" s="11">
        <v>1378.2212558999993</v>
      </c>
      <c r="AD51" s="11">
        <v>1545.2408262999995</v>
      </c>
      <c r="AE51" s="11">
        <v>1147.5477335</v>
      </c>
      <c r="AF51" s="11">
        <v>1299.2195644141711</v>
      </c>
      <c r="AG51" s="11">
        <v>1285.2702404356041</v>
      </c>
      <c r="AH51" s="11">
        <v>1124.9390550000021</v>
      </c>
      <c r="AI51" s="11">
        <v>703.58</v>
      </c>
      <c r="AJ51" s="11">
        <v>505.29600000000005</v>
      </c>
      <c r="AK51" s="11">
        <v>523.66300000000001</v>
      </c>
      <c r="AL51" s="11">
        <v>664.2</v>
      </c>
      <c r="AM51" s="11">
        <v>864.774</v>
      </c>
      <c r="AN51" s="11">
        <v>1257.5360000000001</v>
      </c>
      <c r="AO51" s="11">
        <v>988.78</v>
      </c>
      <c r="AP51" s="11">
        <v>1141.8953697739157</v>
      </c>
      <c r="AQ51" s="11">
        <v>1128.8000000000006</v>
      </c>
      <c r="AR51" s="11">
        <v>1201.6995669318592</v>
      </c>
      <c r="AS51" s="11">
        <v>1118.6000001837335</v>
      </c>
      <c r="AT51" s="11">
        <v>1356.4004160246307</v>
      </c>
      <c r="AU51" s="17">
        <v>1486.3</v>
      </c>
    </row>
    <row r="52" spans="1:47" ht="14.4">
      <c r="A52" s="1" t="s">
        <v>231</v>
      </c>
      <c r="B52" s="1" t="s">
        <v>44</v>
      </c>
      <c r="C52" s="11">
        <v>6.1248338175775296E-2</v>
      </c>
      <c r="D52" s="11">
        <v>-4.171860729388345</v>
      </c>
      <c r="E52" s="11">
        <v>-8.2590115814043319</v>
      </c>
      <c r="F52" s="11">
        <v>-21.348558111070105</v>
      </c>
      <c r="G52" s="11">
        <v>-47.246113885500016</v>
      </c>
      <c r="H52" s="11">
        <v>0.89062440500000406</v>
      </c>
      <c r="I52" s="11">
        <v>10.1325106025</v>
      </c>
      <c r="J52" s="11">
        <v>-1.7342101849523701</v>
      </c>
      <c r="K52" s="11">
        <v>6.8196231000000003</v>
      </c>
      <c r="L52" s="11">
        <v>-3.1311890780000002</v>
      </c>
      <c r="M52" s="11">
        <v>18.721592800000003</v>
      </c>
      <c r="N52" s="11">
        <v>-8.8301114999999992</v>
      </c>
      <c r="O52" s="11">
        <v>-1.6309826999999999</v>
      </c>
      <c r="P52" s="11">
        <v>8.4295393999999995</v>
      </c>
      <c r="Q52" s="11">
        <v>-3.9199562000000001</v>
      </c>
      <c r="R52" s="11">
        <v>5.9213994999999988</v>
      </c>
      <c r="S52" s="11">
        <v>10.200000000000001</v>
      </c>
      <c r="T52" s="11">
        <v>12.736188</v>
      </c>
      <c r="U52" s="11">
        <v>35.200000000000003</v>
      </c>
      <c r="V52" s="11">
        <v>77.463812000000019</v>
      </c>
      <c r="W52" s="11">
        <v>16.7</v>
      </c>
      <c r="X52" s="11">
        <v>1.5</v>
      </c>
      <c r="Y52" s="11">
        <v>19.700000000000003</v>
      </c>
      <c r="Z52" s="11">
        <v>37.1</v>
      </c>
      <c r="AA52" s="11">
        <v>-12.5</v>
      </c>
      <c r="AB52" s="11">
        <v>-2.2000000000000006</v>
      </c>
      <c r="AC52" s="11">
        <v>-9.7000000000000011</v>
      </c>
      <c r="AD52" s="11">
        <v>-39.6</v>
      </c>
      <c r="AE52" s="11">
        <v>15.9</v>
      </c>
      <c r="AF52" s="11">
        <v>13.8</v>
      </c>
      <c r="AG52" s="11">
        <v>-11.299999999999997</v>
      </c>
      <c r="AH52" s="11">
        <v>7.3000000000000016</v>
      </c>
      <c r="AI52" s="11">
        <v>11.100000000000001</v>
      </c>
      <c r="AJ52" s="11">
        <v>11.4</v>
      </c>
      <c r="AK52" s="11">
        <v>13.3</v>
      </c>
      <c r="AL52" s="11">
        <v>3.2</v>
      </c>
      <c r="AM52" s="11">
        <v>13.3</v>
      </c>
      <c r="AN52" s="11">
        <v>7.4</v>
      </c>
      <c r="AO52" s="11">
        <v>5.5999999999999988</v>
      </c>
      <c r="AP52" s="11">
        <v>-24.799999999999997</v>
      </c>
      <c r="AQ52" s="11">
        <v>-11.8</v>
      </c>
      <c r="AR52" s="11">
        <v>7.2</v>
      </c>
      <c r="AS52" s="11">
        <v>-3.3996264762764357</v>
      </c>
      <c r="AT52" s="11">
        <v>2.6</v>
      </c>
      <c r="AU52" s="17">
        <v>21.2</v>
      </c>
    </row>
    <row r="53" spans="1:47" ht="14.4">
      <c r="A53" s="1" t="s">
        <v>232</v>
      </c>
      <c r="B53" s="1" t="s">
        <v>44</v>
      </c>
      <c r="C53" s="11">
        <v>622.49777143638539</v>
      </c>
      <c r="D53" s="11">
        <v>764.36536397837631</v>
      </c>
      <c r="E53" s="11">
        <v>751.20773130670887</v>
      </c>
      <c r="F53" s="11">
        <v>854.75409016814012</v>
      </c>
      <c r="G53" s="11">
        <v>749.28654832149914</v>
      </c>
      <c r="H53" s="11">
        <v>620.65769048499988</v>
      </c>
      <c r="I53" s="11">
        <v>855.03462294151404</v>
      </c>
      <c r="J53" s="11">
        <v>587.98421647288944</v>
      </c>
      <c r="K53" s="11">
        <v>798.66904979999867</v>
      </c>
      <c r="L53" s="11">
        <v>836.02030862199649</v>
      </c>
      <c r="M53" s="11">
        <v>943.10139786699972</v>
      </c>
      <c r="N53" s="11">
        <v>1222.0122663909997</v>
      </c>
      <c r="O53" s="11">
        <v>897.92005629999994</v>
      </c>
      <c r="P53" s="11">
        <v>1064.2874688250001</v>
      </c>
      <c r="Q53" s="11">
        <v>1202.8870211593355</v>
      </c>
      <c r="R53" s="11">
        <v>1132.5359494751262</v>
      </c>
      <c r="S53" s="11">
        <v>959.32896010000013</v>
      </c>
      <c r="T53" s="11">
        <v>1123.9453039998987</v>
      </c>
      <c r="U53" s="11">
        <v>1145.8642150000021</v>
      </c>
      <c r="V53" s="11">
        <v>803.92067260007707</v>
      </c>
      <c r="W53" s="11">
        <v>972.34182519999854</v>
      </c>
      <c r="X53" s="11">
        <v>1064.5537550999984</v>
      </c>
      <c r="Y53" s="11">
        <v>1309.7803538000019</v>
      </c>
      <c r="Z53" s="11">
        <v>1081.3962264999986</v>
      </c>
      <c r="AA53" s="11">
        <v>1353.1688106000008</v>
      </c>
      <c r="AB53" s="11">
        <v>1338.6825347000004</v>
      </c>
      <c r="AC53" s="11">
        <v>1368.5212558999992</v>
      </c>
      <c r="AD53" s="11">
        <v>1505.6408262999994</v>
      </c>
      <c r="AE53" s="11">
        <v>1131.6477335</v>
      </c>
      <c r="AF53" s="11">
        <v>1285.4195644141712</v>
      </c>
      <c r="AG53" s="11">
        <v>1296.5702404356043</v>
      </c>
      <c r="AH53" s="11">
        <v>1117.6390550000021</v>
      </c>
      <c r="AI53" s="11">
        <v>692.48</v>
      </c>
      <c r="AJ53" s="11">
        <v>493.89600000000002</v>
      </c>
      <c r="AK53" s="11">
        <v>510.36300000000006</v>
      </c>
      <c r="AL53" s="11">
        <v>661</v>
      </c>
      <c r="AM53" s="11">
        <v>851.47400000000005</v>
      </c>
      <c r="AN53" s="11">
        <v>1250.1360000000002</v>
      </c>
      <c r="AO53" s="11">
        <v>983.18</v>
      </c>
      <c r="AP53" s="11">
        <v>1166.6953697739157</v>
      </c>
      <c r="AQ53" s="11">
        <v>1140.6000000000004</v>
      </c>
      <c r="AR53" s="11">
        <v>1194.4995669318591</v>
      </c>
      <c r="AS53" s="11">
        <v>1121.9996266600101</v>
      </c>
      <c r="AT53" s="11">
        <v>1353.8004160246307</v>
      </c>
      <c r="AU53" s="17">
        <v>1465.1</v>
      </c>
    </row>
    <row r="54" spans="1:47" ht="14.4">
      <c r="A54" s="1" t="s">
        <v>233</v>
      </c>
      <c r="B54" s="1" t="s">
        <v>57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>
        <v>12.8728071043</v>
      </c>
      <c r="AR54" s="12">
        <v>13.476785830200001</v>
      </c>
      <c r="AS54" s="12">
        <v>12.6580452356</v>
      </c>
      <c r="AT54" s="12">
        <v>15.2716269677</v>
      </c>
      <c r="AU54" s="12">
        <v>16.53</v>
      </c>
    </row>
    <row r="55" spans="1:47" ht="14.4">
      <c r="A55" s="1" t="s">
        <v>234</v>
      </c>
      <c r="B55" s="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>
        <v>12.858221929700001</v>
      </c>
      <c r="AR55" s="12">
        <v>13.463071705000001</v>
      </c>
      <c r="AS55" s="12">
        <v>12.637980412299999</v>
      </c>
      <c r="AT55" s="12">
        <v>15.239825249000001</v>
      </c>
      <c r="AU55" s="12">
        <v>16.5</v>
      </c>
    </row>
    <row r="56" spans="1:47" ht="14.4">
      <c r="A56" s="1" t="s">
        <v>47</v>
      </c>
      <c r="B56" s="1" t="s">
        <v>48</v>
      </c>
      <c r="C56" s="13">
        <v>989.12300917609753</v>
      </c>
      <c r="D56" s="13">
        <v>1011.0333649308864</v>
      </c>
      <c r="E56" s="13">
        <v>1014.7136715686274</v>
      </c>
      <c r="F56" s="13">
        <v>1022.5853018615701</v>
      </c>
      <c r="G56" s="13">
        <v>1031.4657621951317</v>
      </c>
      <c r="H56" s="13">
        <v>1072.3791928158028</v>
      </c>
      <c r="I56" s="13">
        <v>1116.0922908541224</v>
      </c>
      <c r="J56" s="13">
        <v>1131.1551565124032</v>
      </c>
      <c r="K56" s="13">
        <v>1138.1445671469253</v>
      </c>
      <c r="L56" s="13">
        <v>1179.1638734742523</v>
      </c>
      <c r="M56" s="13">
        <v>1209.1212912363617</v>
      </c>
      <c r="N56" s="13">
        <v>1244.3361420686356</v>
      </c>
      <c r="O56" s="13">
        <v>1224.0603908232779</v>
      </c>
      <c r="P56" s="13">
        <v>1218.1912139581568</v>
      </c>
      <c r="Q56" s="13">
        <v>1260.7541901620375</v>
      </c>
      <c r="R56" s="13">
        <v>1267.5171544700979</v>
      </c>
      <c r="S56" s="13">
        <v>1247.1188350267985</v>
      </c>
      <c r="T56" s="13">
        <v>1287.216672474093</v>
      </c>
      <c r="U56" s="13">
        <v>1352.9835930486913</v>
      </c>
      <c r="V56" s="13">
        <v>1294.5533120766547</v>
      </c>
      <c r="W56" s="13">
        <v>1207.467722438525</v>
      </c>
      <c r="X56" s="13">
        <v>1265.379389187327</v>
      </c>
      <c r="Y56" s="13">
        <v>1308.6504990959829</v>
      </c>
      <c r="Z56" s="13">
        <v>1329.5656321794033</v>
      </c>
      <c r="AA56" s="13">
        <v>1383.5987056761269</v>
      </c>
      <c r="AB56" s="13">
        <v>1472.5783850438424</v>
      </c>
      <c r="AC56" s="13">
        <v>1533.475130470591</v>
      </c>
      <c r="AD56" s="13">
        <v>1608.1356426134844</v>
      </c>
      <c r="AE56" s="13">
        <v>1632.4503571514904</v>
      </c>
      <c r="AF56" s="13">
        <v>1638.1379636216266</v>
      </c>
      <c r="AG56" s="13">
        <v>1668.2938579207307</v>
      </c>
      <c r="AH56" s="13">
        <v>1667.6352141189177</v>
      </c>
      <c r="AI56" s="13">
        <v>1600.74</v>
      </c>
      <c r="AJ56" s="13">
        <v>1555.15</v>
      </c>
      <c r="AK56" s="13">
        <v>1573.02</v>
      </c>
      <c r="AL56" s="13">
        <v>1548.19</v>
      </c>
      <c r="AM56" s="13">
        <v>1558.92</v>
      </c>
      <c r="AN56" s="13">
        <v>1588.72</v>
      </c>
      <c r="AO56" s="13">
        <v>1567.47</v>
      </c>
      <c r="AP56" s="13">
        <v>1548.76</v>
      </c>
      <c r="AQ56" s="13">
        <v>1564.4110198129597</v>
      </c>
      <c r="AR56" s="13">
        <v>1585.9178002005656</v>
      </c>
      <c r="AS56" s="13">
        <v>1609.8644794172631</v>
      </c>
      <c r="AT56" s="13">
        <v>1624.671013287063</v>
      </c>
      <c r="AU56" s="17">
        <v>1660.4</v>
      </c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7" ht="18" customHeight="1">
      <c r="A61" s="73" t="s">
        <v>281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7" ht="19.95" customHeight="1">
      <c r="A62" s="6" t="s">
        <v>26</v>
      </c>
      <c r="B62" s="6" t="s">
        <v>27</v>
      </c>
      <c r="C62" s="6" t="s">
        <v>28</v>
      </c>
      <c r="D62" s="6" t="s">
        <v>29</v>
      </c>
      <c r="E62" s="6" t="s">
        <v>30</v>
      </c>
      <c r="F62" s="6" t="s">
        <v>31</v>
      </c>
      <c r="G62" s="6" t="s">
        <v>32</v>
      </c>
      <c r="H62" s="6" t="s">
        <v>33</v>
      </c>
      <c r="I62" s="6" t="s">
        <v>34</v>
      </c>
      <c r="J62" s="6" t="s">
        <v>35</v>
      </c>
      <c r="K62" s="6" t="s">
        <v>36</v>
      </c>
      <c r="L62" s="6" t="s">
        <v>37</v>
      </c>
      <c r="M62" s="6" t="s">
        <v>38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7" ht="14.4">
      <c r="A63" s="1" t="s">
        <v>282</v>
      </c>
      <c r="B63" s="1" t="s">
        <v>44</v>
      </c>
      <c r="C63" s="11">
        <v>2517.815128496421</v>
      </c>
      <c r="D63" s="11">
        <v>3071.7414755000004</v>
      </c>
      <c r="E63" s="11">
        <v>2980.9579109522615</v>
      </c>
      <c r="F63" s="11">
        <v>2622.8669109522616</v>
      </c>
      <c r="G63" s="11">
        <v>2660.9</v>
      </c>
      <c r="H63" s="11">
        <v>2463.2000000000003</v>
      </c>
      <c r="I63" s="11">
        <v>2682.3</v>
      </c>
      <c r="J63" s="11">
        <v>2862.2000000000003</v>
      </c>
      <c r="K63" s="11">
        <v>2557.7000000000003</v>
      </c>
      <c r="L63" s="11">
        <v>2380.5</v>
      </c>
      <c r="M63" s="11">
        <v>2425.6000000000017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7" ht="14.4">
      <c r="A64" s="1" t="s">
        <v>283</v>
      </c>
      <c r="B64" s="1" t="s">
        <v>44</v>
      </c>
      <c r="C64" s="11">
        <v>629.40472108088659</v>
      </c>
      <c r="D64" s="11">
        <v>372.86312340000001</v>
      </c>
      <c r="E64" s="11">
        <v>239.91685670000004</v>
      </c>
      <c r="F64" s="11">
        <v>276.3</v>
      </c>
      <c r="G64" s="11">
        <v>50.1</v>
      </c>
      <c r="H64" s="11">
        <v>118.30000000000001</v>
      </c>
      <c r="I64" s="11">
        <v>165.10000000000002</v>
      </c>
      <c r="J64" s="11">
        <v>83.600000000000009</v>
      </c>
      <c r="K64" s="11">
        <v>101.10000000000001</v>
      </c>
      <c r="L64" s="11">
        <v>20.6</v>
      </c>
      <c r="M64" s="11">
        <v>26.8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 t="s">
        <v>284</v>
      </c>
      <c r="B65" s="1" t="s">
        <v>44</v>
      </c>
      <c r="C65" s="11"/>
      <c r="D65" s="11"/>
      <c r="E65" s="11"/>
      <c r="F65" s="11"/>
      <c r="G65" s="11">
        <v>1173.0000000000002</v>
      </c>
      <c r="H65" s="11">
        <v>1007.2</v>
      </c>
      <c r="I65" s="11">
        <v>937.18565469999999</v>
      </c>
      <c r="J65" s="11">
        <v>1097.1856547</v>
      </c>
      <c r="K65" s="11">
        <v>960.5</v>
      </c>
      <c r="L65" s="11">
        <v>1518.6000000000001</v>
      </c>
      <c r="M65" s="11">
        <v>1980.2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285</v>
      </c>
      <c r="B66" s="1" t="s">
        <v>44</v>
      </c>
      <c r="C66" s="11"/>
      <c r="D66" s="11">
        <v>101.06761470000001</v>
      </c>
      <c r="E66" s="11">
        <v>190.55727790000003</v>
      </c>
      <c r="F66" s="11">
        <v>170.78449520000001</v>
      </c>
      <c r="G66" s="11">
        <v>144.42723299999997</v>
      </c>
      <c r="H66" s="11">
        <v>89.061788400000012</v>
      </c>
      <c r="I66" s="11">
        <v>79.7</v>
      </c>
      <c r="J66" s="11">
        <v>74.8</v>
      </c>
      <c r="K66" s="11">
        <v>71.3</v>
      </c>
      <c r="L66" s="11">
        <v>34</v>
      </c>
      <c r="M66" s="11">
        <v>32.300000000000004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286</v>
      </c>
      <c r="B67" s="1" t="s">
        <v>44</v>
      </c>
      <c r="C67" s="11">
        <v>1735.74600817701</v>
      </c>
      <c r="D67" s="11">
        <v>2627.9102181000048</v>
      </c>
      <c r="E67" s="11">
        <v>2772.709979747</v>
      </c>
      <c r="F67" s="11">
        <v>2816.3079593000002</v>
      </c>
      <c r="G67" s="11">
        <v>3387.7433615000004</v>
      </c>
      <c r="H67" s="11">
        <v>4008.2094178000002</v>
      </c>
      <c r="I67" s="11">
        <v>7425.8262074521299</v>
      </c>
      <c r="J67" s="11">
        <v>7665.6965319000001</v>
      </c>
      <c r="K67" s="11">
        <v>7510.5619999999999</v>
      </c>
      <c r="L67" s="11">
        <v>7699.3</v>
      </c>
      <c r="M67" s="11">
        <v>8456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287</v>
      </c>
      <c r="B68" s="1" t="s">
        <v>44</v>
      </c>
      <c r="C68" s="11">
        <v>91.078287500000116</v>
      </c>
      <c r="D68" s="11">
        <v>659.41413980000016</v>
      </c>
      <c r="E68" s="11">
        <v>1678.1244916000005</v>
      </c>
      <c r="F68" s="11">
        <v>1451.2244916000002</v>
      </c>
      <c r="G68" s="11">
        <v>1506</v>
      </c>
      <c r="H68" s="11">
        <v>1450.8000000000002</v>
      </c>
      <c r="I68" s="11">
        <v>3658.6000000000004</v>
      </c>
      <c r="J68" s="11">
        <v>3231.6401427999999</v>
      </c>
      <c r="K68" s="11">
        <v>2802.9</v>
      </c>
      <c r="L68" s="11">
        <v>2349.0750711999995</v>
      </c>
      <c r="M68" s="11">
        <v>1969.9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288</v>
      </c>
      <c r="B69" s="1" t="s">
        <v>44</v>
      </c>
      <c r="C69" s="11"/>
      <c r="D69" s="11"/>
      <c r="E69" s="11"/>
      <c r="F69" s="11"/>
      <c r="G69" s="11"/>
      <c r="H69" s="11">
        <v>0</v>
      </c>
      <c r="I69" s="11">
        <v>0</v>
      </c>
      <c r="J69" s="11">
        <v>36.1</v>
      </c>
      <c r="K69" s="11">
        <v>32.1</v>
      </c>
      <c r="L69" s="11">
        <v>0</v>
      </c>
      <c r="M69" s="11">
        <v>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289</v>
      </c>
      <c r="B70" s="1" t="s">
        <v>44</v>
      </c>
      <c r="C70" s="11"/>
      <c r="D70" s="11"/>
      <c r="E70" s="11"/>
      <c r="F70" s="11">
        <v>36.1</v>
      </c>
      <c r="G70" s="11">
        <v>19.656530620000002</v>
      </c>
      <c r="H70" s="11">
        <v>27.938734280000002</v>
      </c>
      <c r="I70" s="11">
        <v>196.87938126</v>
      </c>
      <c r="J70" s="11">
        <v>172.92984510000002</v>
      </c>
      <c r="K70" s="11">
        <v>46.108000000000004</v>
      </c>
      <c r="L70" s="11">
        <v>53.900000000000006</v>
      </c>
      <c r="M70" s="11">
        <v>55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290</v>
      </c>
      <c r="B71" s="1" t="s">
        <v>44</v>
      </c>
      <c r="C71" s="11">
        <v>1324.3564031125632</v>
      </c>
      <c r="D71" s="11">
        <v>230.82181548516064</v>
      </c>
      <c r="E71" s="11">
        <v>1245.8266724856003</v>
      </c>
      <c r="F71" s="11">
        <v>715.89130617180001</v>
      </c>
      <c r="G71" s="11">
        <v>216.28727948800002</v>
      </c>
      <c r="H71" s="11">
        <v>547.80128725290001</v>
      </c>
      <c r="I71" s="11">
        <v>250.97357231100005</v>
      </c>
      <c r="J71" s="11">
        <v>432.01202742900006</v>
      </c>
      <c r="K71" s="11">
        <v>412.22600000000006</v>
      </c>
      <c r="L71" s="11">
        <v>235.4</v>
      </c>
      <c r="M71" s="11">
        <v>35.200000000000003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291</v>
      </c>
      <c r="B72" s="1" t="s">
        <v>44</v>
      </c>
      <c r="C72" s="11"/>
      <c r="D72" s="11"/>
      <c r="E72" s="11"/>
      <c r="F72" s="11"/>
      <c r="G72" s="11"/>
      <c r="H72" s="11"/>
      <c r="I72" s="11">
        <v>0.9</v>
      </c>
      <c r="J72" s="11">
        <v>1.1000000000000001</v>
      </c>
      <c r="K72" s="11">
        <v>0.60000000000000009</v>
      </c>
      <c r="L72" s="11">
        <v>0</v>
      </c>
      <c r="M72" s="11">
        <v>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292</v>
      </c>
      <c r="B73" s="1" t="s">
        <v>44</v>
      </c>
      <c r="C73" s="11"/>
      <c r="D73" s="11"/>
      <c r="E73" s="11"/>
      <c r="F73" s="11"/>
      <c r="G73" s="11"/>
      <c r="H73" s="11"/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293</v>
      </c>
      <c r="B74" s="1" t="s">
        <v>44</v>
      </c>
      <c r="C74" s="11"/>
      <c r="D74" s="11">
        <v>0.90722210000000014</v>
      </c>
      <c r="E74" s="11">
        <v>5.239278800000001</v>
      </c>
      <c r="F74" s="11">
        <v>4.3</v>
      </c>
      <c r="G74" s="11">
        <v>4.5</v>
      </c>
      <c r="H74" s="11">
        <v>4.7</v>
      </c>
      <c r="I74" s="11">
        <v>13.600000000000001</v>
      </c>
      <c r="J74" s="11">
        <v>4.9000000000000004</v>
      </c>
      <c r="K74" s="11">
        <v>10.5</v>
      </c>
      <c r="L74" s="11">
        <v>10.8</v>
      </c>
      <c r="M74" s="11">
        <v>6.9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 t="s">
        <v>294</v>
      </c>
      <c r="B75" s="1" t="s">
        <v>44</v>
      </c>
      <c r="C75" s="11"/>
      <c r="D75" s="11">
        <v>432.90512059999992</v>
      </c>
      <c r="E75" s="11">
        <v>246.79474780000001</v>
      </c>
      <c r="F75" s="11">
        <v>478.5004457</v>
      </c>
      <c r="G75" s="11">
        <v>428.12804689999996</v>
      </c>
      <c r="H75" s="11">
        <v>474.3859721</v>
      </c>
      <c r="I75" s="11">
        <v>473.20044430000002</v>
      </c>
      <c r="J75" s="11">
        <v>331.80044150000003</v>
      </c>
      <c r="K75" s="11">
        <v>285.90000000000003</v>
      </c>
      <c r="L75" s="11">
        <v>537.4</v>
      </c>
      <c r="M75" s="11">
        <v>356.3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 t="s">
        <v>295</v>
      </c>
      <c r="B76" s="1" t="s">
        <v>44</v>
      </c>
      <c r="C76" s="11"/>
      <c r="D76" s="11">
        <v>1313.5218345000001</v>
      </c>
      <c r="E76" s="11">
        <v>1777.4956621000001</v>
      </c>
      <c r="F76" s="11">
        <v>2139.7000000000003</v>
      </c>
      <c r="G76" s="11">
        <v>2415.2000000000003</v>
      </c>
      <c r="H76" s="11">
        <v>2028.8000000000002</v>
      </c>
      <c r="I76" s="11">
        <v>2513.7000000000003</v>
      </c>
      <c r="J76" s="11">
        <v>3053.7000000000003</v>
      </c>
      <c r="K76" s="11">
        <v>2999.2000000000003</v>
      </c>
      <c r="L76" s="11">
        <v>3055.7000000000003</v>
      </c>
      <c r="M76" s="11">
        <v>3042.2000000000003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 t="s">
        <v>296</v>
      </c>
      <c r="B77" s="1" t="s">
        <v>44</v>
      </c>
      <c r="C77" s="11">
        <v>557.48676692540096</v>
      </c>
      <c r="D77" s="11">
        <v>267.4387428</v>
      </c>
      <c r="E77" s="11">
        <v>576.55021800000009</v>
      </c>
      <c r="F77" s="11">
        <v>609.1</v>
      </c>
      <c r="G77" s="11">
        <v>844.30000000000007</v>
      </c>
      <c r="H77" s="11">
        <v>913.30000000000007</v>
      </c>
      <c r="I77" s="11">
        <v>819.1</v>
      </c>
      <c r="J77" s="11">
        <v>1296.5</v>
      </c>
      <c r="K77" s="11">
        <v>1439.6000000000001</v>
      </c>
      <c r="L77" s="11">
        <v>1857.3000000000002</v>
      </c>
      <c r="M77" s="11">
        <v>2186.4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 t="s">
        <v>297</v>
      </c>
      <c r="B78" s="1" t="s">
        <v>44</v>
      </c>
      <c r="C78" s="11">
        <v>29.395767722426626</v>
      </c>
      <c r="D78" s="11">
        <v>645.85062829999993</v>
      </c>
      <c r="E78" s="11">
        <v>602.23102139999992</v>
      </c>
      <c r="F78" s="11">
        <v>553.70000000000005</v>
      </c>
      <c r="G78" s="11">
        <v>1327.3000000000002</v>
      </c>
      <c r="H78" s="11">
        <v>1286.5</v>
      </c>
      <c r="I78" s="11">
        <v>1197.9000000000001</v>
      </c>
      <c r="J78" s="11">
        <v>1376.5</v>
      </c>
      <c r="K78" s="11">
        <v>768</v>
      </c>
      <c r="L78" s="11">
        <v>1062.7</v>
      </c>
      <c r="M78" s="11">
        <v>1221.9000000000001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298</v>
      </c>
      <c r="B79" s="1" t="s">
        <v>44</v>
      </c>
      <c r="C79" s="11">
        <v>8561.8586681175711</v>
      </c>
      <c r="D79" s="11">
        <v>9739.9970408851641</v>
      </c>
      <c r="E79" s="11">
        <v>12330.248721458398</v>
      </c>
      <c r="F79" s="11">
        <v>11881.075608924062</v>
      </c>
      <c r="G79" s="11">
        <v>14181.242451508</v>
      </c>
      <c r="H79" s="11">
        <v>14422.697199832899</v>
      </c>
      <c r="I79" s="11">
        <v>20414.965260023131</v>
      </c>
      <c r="J79" s="11">
        <v>21720.564643429003</v>
      </c>
      <c r="K79" s="11">
        <v>19998.298000000003</v>
      </c>
      <c r="L79" s="11">
        <v>20815.275071200002</v>
      </c>
      <c r="M79" s="11">
        <v>21794.7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299</v>
      </c>
      <c r="B80" s="1" t="s">
        <v>44</v>
      </c>
      <c r="C80" s="11">
        <v>41.439602568618817</v>
      </c>
      <c r="D80" s="11">
        <v>61.058109100000003</v>
      </c>
      <c r="E80" s="11">
        <v>65.9183649</v>
      </c>
      <c r="F80" s="11">
        <v>75.2</v>
      </c>
      <c r="G80" s="11">
        <v>35.800000000000004</v>
      </c>
      <c r="H80" s="11">
        <v>24.200000000000003</v>
      </c>
      <c r="I80" s="11">
        <v>40.5</v>
      </c>
      <c r="J80" s="11">
        <v>23.6</v>
      </c>
      <c r="K80" s="11">
        <v>37.5</v>
      </c>
      <c r="L80" s="11">
        <v>39.400000000000006</v>
      </c>
      <c r="M80" s="11">
        <v>104.2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300</v>
      </c>
      <c r="B81" s="1" t="s">
        <v>44</v>
      </c>
      <c r="C81" s="11">
        <v>1168.9611965588269</v>
      </c>
      <c r="D81" s="11">
        <v>2164.6960006000004</v>
      </c>
      <c r="E81" s="11">
        <v>3444.9412767144004</v>
      </c>
      <c r="F81" s="11">
        <v>6589.9000000000005</v>
      </c>
      <c r="G81" s="11">
        <v>5612.3</v>
      </c>
      <c r="H81" s="11">
        <v>9661.9</v>
      </c>
      <c r="I81" s="11">
        <v>4435.9000000000005</v>
      </c>
      <c r="J81" s="11">
        <v>2783.2000000000003</v>
      </c>
      <c r="K81" s="11">
        <v>2779.4</v>
      </c>
      <c r="L81" s="11">
        <v>2892.8</v>
      </c>
      <c r="M81" s="11">
        <v>3335.5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301</v>
      </c>
      <c r="B82" s="1" t="s">
        <v>44</v>
      </c>
      <c r="C82" s="11"/>
      <c r="D82" s="11"/>
      <c r="E82" s="11"/>
      <c r="F82" s="11"/>
      <c r="G82" s="11"/>
      <c r="H82" s="11"/>
      <c r="I82" s="11">
        <v>7467.5551504000005</v>
      </c>
      <c r="J82" s="11">
        <v>8142.4020898000008</v>
      </c>
      <c r="K82" s="11">
        <v>7125.5850000000009</v>
      </c>
      <c r="L82" s="11">
        <v>6548.6</v>
      </c>
      <c r="M82" s="11">
        <v>7536.9000000000005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302</v>
      </c>
      <c r="B83" s="1" t="s">
        <v>44</v>
      </c>
      <c r="C83" s="11"/>
      <c r="D83" s="11"/>
      <c r="E83" s="11"/>
      <c r="F83" s="11"/>
      <c r="G83" s="11"/>
      <c r="H83" s="11"/>
      <c r="I83" s="11">
        <v>4465.8</v>
      </c>
      <c r="J83" s="11">
        <v>4739.2</v>
      </c>
      <c r="K83" s="11">
        <v>4275.5</v>
      </c>
      <c r="L83" s="11">
        <v>4998.4000000000005</v>
      </c>
      <c r="M83" s="11">
        <v>5820.8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 t="s">
        <v>303</v>
      </c>
      <c r="B84" s="1" t="s">
        <v>44</v>
      </c>
      <c r="C84" s="11">
        <v>4013.8061358907798</v>
      </c>
      <c r="D84" s="11">
        <v>2001.2741679999999</v>
      </c>
      <c r="E84" s="11">
        <v>1966.0826939000003</v>
      </c>
      <c r="F84" s="11">
        <v>2042.7</v>
      </c>
      <c r="G84" s="11">
        <v>3016.7000000000003</v>
      </c>
      <c r="H84" s="11">
        <v>2690.4</v>
      </c>
      <c r="I84" s="11">
        <v>3788.9</v>
      </c>
      <c r="J84" s="11">
        <v>4056.3</v>
      </c>
      <c r="K84" s="11">
        <v>4347.1000000000004</v>
      </c>
      <c r="L84" s="11">
        <v>4318.5</v>
      </c>
      <c r="M84" s="11">
        <v>5046.1000000000004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 t="s">
        <v>304</v>
      </c>
      <c r="B85" s="1" t="s">
        <v>44</v>
      </c>
      <c r="C85" s="11"/>
      <c r="D85" s="11">
        <v>1217.348853</v>
      </c>
      <c r="E85" s="11">
        <v>1078.2242845999999</v>
      </c>
      <c r="F85" s="11">
        <v>316</v>
      </c>
      <c r="G85" s="11">
        <v>131.6</v>
      </c>
      <c r="H85" s="11">
        <v>144.80000000000001</v>
      </c>
      <c r="I85" s="11">
        <v>185.60000000000002</v>
      </c>
      <c r="J85" s="11">
        <v>198.4</v>
      </c>
      <c r="K85" s="11">
        <v>388.40000000000003</v>
      </c>
      <c r="L85" s="11">
        <v>223.70000000000002</v>
      </c>
      <c r="M85" s="11">
        <v>59.300000000000004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 t="s">
        <v>305</v>
      </c>
      <c r="B86" s="1" t="s">
        <v>44</v>
      </c>
      <c r="C86" s="11"/>
      <c r="D86" s="11">
        <v>428.6</v>
      </c>
      <c r="E86" s="11">
        <v>150</v>
      </c>
      <c r="F86" s="11"/>
      <c r="G86" s="11"/>
      <c r="H86" s="11"/>
      <c r="I86" s="11"/>
      <c r="J86" s="11">
        <v>0</v>
      </c>
      <c r="K86" s="11">
        <v>0</v>
      </c>
      <c r="L86" s="11">
        <v>0</v>
      </c>
      <c r="M86" s="11">
        <v>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 t="s">
        <v>306</v>
      </c>
      <c r="B87" s="1" t="s">
        <v>44</v>
      </c>
      <c r="C87" s="11"/>
      <c r="D87" s="11">
        <v>2932.1900966000003</v>
      </c>
      <c r="E87" s="11">
        <v>2941.6707540000002</v>
      </c>
      <c r="F87" s="11">
        <v>2906.3910000000001</v>
      </c>
      <c r="G87" s="11">
        <v>3735.5</v>
      </c>
      <c r="H87" s="11">
        <v>3328.1000000000004</v>
      </c>
      <c r="I87" s="11">
        <v>675</v>
      </c>
      <c r="J87" s="11">
        <v>499.90000000000003</v>
      </c>
      <c r="K87" s="11">
        <v>431.90000000000003</v>
      </c>
      <c r="L87" s="11">
        <v>412.3</v>
      </c>
      <c r="M87" s="11">
        <v>447.6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 t="s">
        <v>307</v>
      </c>
      <c r="B88" s="1" t="s">
        <v>44</v>
      </c>
      <c r="C88" s="11">
        <v>2241.993687655005</v>
      </c>
      <c r="D88" s="11">
        <v>2157.1143895</v>
      </c>
      <c r="E88" s="11">
        <v>1962.2995814999999</v>
      </c>
      <c r="F88" s="11">
        <v>2677</v>
      </c>
      <c r="G88" s="11">
        <v>3063.2000000000003</v>
      </c>
      <c r="H88" s="11">
        <v>2933.1000000000004</v>
      </c>
      <c r="I88" s="11">
        <v>3396.4</v>
      </c>
      <c r="J88" s="11">
        <v>3989.7000000000003</v>
      </c>
      <c r="K88" s="11">
        <v>4039.9</v>
      </c>
      <c r="L88" s="11">
        <v>4245.5</v>
      </c>
      <c r="M88" s="11">
        <v>5224.3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 t="s">
        <v>308</v>
      </c>
      <c r="B89" s="1" t="s">
        <v>44</v>
      </c>
      <c r="C89" s="11"/>
      <c r="D89" s="11">
        <v>26.5</v>
      </c>
      <c r="E89" s="11">
        <v>0</v>
      </c>
      <c r="F89" s="11">
        <v>0</v>
      </c>
      <c r="G89" s="11"/>
      <c r="H89" s="11">
        <v>0</v>
      </c>
      <c r="I89" s="11"/>
      <c r="J89" s="11">
        <v>0</v>
      </c>
      <c r="K89" s="11">
        <v>0</v>
      </c>
      <c r="L89" s="11">
        <v>0</v>
      </c>
      <c r="M89" s="11">
        <v>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 t="s">
        <v>309</v>
      </c>
      <c r="B90" s="1" t="s">
        <v>44</v>
      </c>
      <c r="C90" s="11">
        <v>14945.134129738395</v>
      </c>
      <c r="D90" s="11">
        <v>16326.500319899998</v>
      </c>
      <c r="E90" s="11">
        <v>18106.995814014404</v>
      </c>
      <c r="F90" s="11">
        <v>21565.7656436</v>
      </c>
      <c r="G90" s="11">
        <v>23172.267709600001</v>
      </c>
      <c r="H90" s="11">
        <v>25255.316990400002</v>
      </c>
      <c r="I90" s="11">
        <v>24455.655150400002</v>
      </c>
      <c r="J90" s="11">
        <v>24432.702089800001</v>
      </c>
      <c r="K90" s="11">
        <v>23425.285000000003</v>
      </c>
      <c r="L90" s="11">
        <v>23679.200000000001</v>
      </c>
      <c r="M90" s="11">
        <v>27574.7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 t="s">
        <v>310</v>
      </c>
      <c r="B91" s="1" t="s">
        <v>44</v>
      </c>
      <c r="C91" s="11">
        <v>23507.012797857806</v>
      </c>
      <c r="D91" s="11">
        <v>26066.5</v>
      </c>
      <c r="E91" s="11">
        <v>30437.18221915227</v>
      </c>
      <c r="F91" s="11">
        <v>33446.851252524059</v>
      </c>
      <c r="G91" s="11">
        <v>37353.510161108003</v>
      </c>
      <c r="H91" s="11">
        <v>39678.014190232905</v>
      </c>
      <c r="I91" s="11">
        <v>44870.720410423135</v>
      </c>
      <c r="J91" s="11">
        <v>46153.266733229</v>
      </c>
      <c r="K91" s="11">
        <v>43423.583000000006</v>
      </c>
      <c r="L91" s="11">
        <v>44494.475071200002</v>
      </c>
      <c r="M91" s="11">
        <v>49369.4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 t="s">
        <v>311</v>
      </c>
      <c r="B92" s="1" t="s">
        <v>44</v>
      </c>
      <c r="C92" s="11">
        <v>483.90502432921204</v>
      </c>
      <c r="D92" s="11">
        <v>438.79965000000004</v>
      </c>
      <c r="E92" s="11">
        <v>441.68731400000001</v>
      </c>
      <c r="F92" s="11">
        <v>443.73456930000003</v>
      </c>
      <c r="G92" s="11">
        <v>435.87387259999997</v>
      </c>
      <c r="H92" s="11">
        <v>436.98958599999997</v>
      </c>
      <c r="I92" s="11">
        <v>438.80639709999997</v>
      </c>
      <c r="J92" s="11">
        <v>440</v>
      </c>
      <c r="K92" s="11">
        <v>441.30200000000008</v>
      </c>
      <c r="L92" s="11">
        <v>442.40000000000003</v>
      </c>
      <c r="M92" s="11">
        <v>442.8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 t="s">
        <v>312</v>
      </c>
      <c r="B93" s="1" t="s">
        <v>44</v>
      </c>
      <c r="C93" s="11">
        <v>13882.449228131894</v>
      </c>
      <c r="D93" s="11">
        <v>15998.418793699999</v>
      </c>
      <c r="E93" s="11">
        <v>18401.131304499999</v>
      </c>
      <c r="F93" s="11">
        <v>19840.7</v>
      </c>
      <c r="G93" s="11">
        <v>21377.200000000001</v>
      </c>
      <c r="H93" s="11">
        <v>24428</v>
      </c>
      <c r="I93" s="11">
        <v>26446.9</v>
      </c>
      <c r="J93" s="11">
        <v>27484.5</v>
      </c>
      <c r="K93" s="11">
        <v>26228.100000000002</v>
      </c>
      <c r="L93" s="11">
        <v>26919.100000000002</v>
      </c>
      <c r="M93" s="11">
        <v>29172.600000000002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 t="s">
        <v>313</v>
      </c>
      <c r="B94" s="1" t="s">
        <v>44</v>
      </c>
      <c r="C94" s="11">
        <v>14366.349252461107</v>
      </c>
      <c r="D94" s="11">
        <v>16437.2184437</v>
      </c>
      <c r="E94" s="11">
        <v>18842.818618500001</v>
      </c>
      <c r="F94" s="11">
        <v>20284.434569300003</v>
      </c>
      <c r="G94" s="11">
        <v>21813.073872600002</v>
      </c>
      <c r="H94" s="11">
        <v>24864.989586</v>
      </c>
      <c r="I94" s="11">
        <v>26885.706397100003</v>
      </c>
      <c r="J94" s="11">
        <v>27924.5</v>
      </c>
      <c r="K94" s="11">
        <v>26669.402270999999</v>
      </c>
      <c r="L94" s="11">
        <v>27361.5</v>
      </c>
      <c r="M94" s="11">
        <v>29615.4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 t="s">
        <v>314</v>
      </c>
      <c r="B95" s="1" t="s">
        <v>44</v>
      </c>
      <c r="C95" s="11">
        <v>201.952693039493</v>
      </c>
      <c r="D95" s="11">
        <v>464.12045519999992</v>
      </c>
      <c r="E95" s="11">
        <v>509.1</v>
      </c>
      <c r="F95" s="11">
        <v>477.70000000000005</v>
      </c>
      <c r="G95" s="11">
        <v>393.3</v>
      </c>
      <c r="H95" s="11">
        <v>379.5</v>
      </c>
      <c r="I95" s="11">
        <v>495.40000000000003</v>
      </c>
      <c r="J95" s="11">
        <v>470.20000000000005</v>
      </c>
      <c r="K95" s="11">
        <v>477.40000000000003</v>
      </c>
      <c r="L95" s="11">
        <v>430.20000000000005</v>
      </c>
      <c r="M95" s="11">
        <v>461.6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 t="s">
        <v>315</v>
      </c>
      <c r="B96" s="1" t="s">
        <v>44</v>
      </c>
      <c r="C96" s="11">
        <v>14569.658526349254</v>
      </c>
      <c r="D96" s="11">
        <v>16901.338898900001</v>
      </c>
      <c r="E96" s="11">
        <v>19351.9186185</v>
      </c>
      <c r="F96" s="11">
        <v>20762.134569300004</v>
      </c>
      <c r="G96" s="11">
        <v>22206.373872600001</v>
      </c>
      <c r="H96" s="11">
        <v>25244.489586</v>
      </c>
      <c r="I96" s="11">
        <v>27381.106397100004</v>
      </c>
      <c r="J96" s="11">
        <v>28394.7</v>
      </c>
      <c r="K96" s="11">
        <v>27146.802000000003</v>
      </c>
      <c r="L96" s="11">
        <v>27791.7</v>
      </c>
      <c r="M96" s="11">
        <v>30077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 t="s">
        <v>316</v>
      </c>
      <c r="B97" s="1" t="s">
        <v>44</v>
      </c>
      <c r="C97" s="11">
        <v>196.69737942974146</v>
      </c>
      <c r="D97" s="11">
        <v>385.25874910000005</v>
      </c>
      <c r="E97" s="11">
        <v>771.09717560000001</v>
      </c>
      <c r="F97" s="11">
        <v>208.60000000000002</v>
      </c>
      <c r="G97" s="11">
        <v>178.70000000000002</v>
      </c>
      <c r="H97" s="11">
        <v>165.8</v>
      </c>
      <c r="I97" s="11">
        <v>142</v>
      </c>
      <c r="J97" s="11">
        <v>128.80000000000001</v>
      </c>
      <c r="K97" s="11">
        <v>102.5</v>
      </c>
      <c r="L97" s="11">
        <v>0</v>
      </c>
      <c r="M97" s="11">
        <v>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 t="s">
        <v>317</v>
      </c>
      <c r="B98" s="1" t="s">
        <v>44</v>
      </c>
      <c r="C98" s="11"/>
      <c r="D98" s="11"/>
      <c r="E98" s="11"/>
      <c r="F98" s="11"/>
      <c r="G98" s="11">
        <v>853.90000000000009</v>
      </c>
      <c r="H98" s="11">
        <v>807.7</v>
      </c>
      <c r="I98" s="11">
        <v>720</v>
      </c>
      <c r="J98" s="11">
        <v>790.30000000000007</v>
      </c>
      <c r="K98" s="11">
        <v>670.90000000000009</v>
      </c>
      <c r="L98" s="11">
        <v>1147.2</v>
      </c>
      <c r="M98" s="11">
        <v>1588.8000000000002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 t="s">
        <v>318</v>
      </c>
      <c r="B99" s="1" t="s">
        <v>44</v>
      </c>
      <c r="C99" s="11"/>
      <c r="D99" s="11"/>
      <c r="E99" s="11"/>
      <c r="F99" s="11"/>
      <c r="G99" s="11"/>
      <c r="H99" s="11"/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 t="s">
        <v>319</v>
      </c>
      <c r="B100" s="1" t="s">
        <v>44</v>
      </c>
      <c r="C100" s="11"/>
      <c r="D100" s="11">
        <v>496.4981368</v>
      </c>
      <c r="E100" s="11">
        <v>572.91769150000016</v>
      </c>
      <c r="F100" s="11">
        <v>300.90000000000003</v>
      </c>
      <c r="G100" s="11">
        <v>1232.3000000000002</v>
      </c>
      <c r="H100" s="11">
        <v>922.5</v>
      </c>
      <c r="I100" s="11">
        <v>1478</v>
      </c>
      <c r="J100" s="11">
        <v>1008.3000000000001</v>
      </c>
      <c r="K100" s="11">
        <v>54.5</v>
      </c>
      <c r="L100" s="11">
        <v>16</v>
      </c>
      <c r="M100" s="11">
        <v>54.800000000000004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 t="s">
        <v>320</v>
      </c>
      <c r="B101" s="1" t="s">
        <v>44</v>
      </c>
      <c r="C101" s="11">
        <v>531.05074831946558</v>
      </c>
      <c r="D101" s="11">
        <v>620.0808399</v>
      </c>
      <c r="E101" s="11">
        <v>555.13775609999993</v>
      </c>
      <c r="F101" s="11">
        <v>580.1</v>
      </c>
      <c r="G101" s="11">
        <v>669.1</v>
      </c>
      <c r="H101" s="11">
        <v>781.03016000000002</v>
      </c>
      <c r="I101" s="11">
        <v>881.1</v>
      </c>
      <c r="J101" s="11">
        <v>928.80000000000007</v>
      </c>
      <c r="K101" s="11">
        <v>1302.1000000000001</v>
      </c>
      <c r="L101" s="11">
        <v>1402.7</v>
      </c>
      <c r="M101" s="11">
        <v>1715.9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 t="s">
        <v>321</v>
      </c>
      <c r="B102" s="1" t="s">
        <v>44</v>
      </c>
      <c r="C102" s="11"/>
      <c r="D102" s="11">
        <v>9.5296524000000016</v>
      </c>
      <c r="E102" s="11">
        <v>5.8087075000000006</v>
      </c>
      <c r="F102" s="11">
        <v>1.1000000000000001</v>
      </c>
      <c r="G102" s="11">
        <v>35.6</v>
      </c>
      <c r="H102" s="11">
        <v>76.100000000000009</v>
      </c>
      <c r="I102" s="11">
        <v>455.20000000000005</v>
      </c>
      <c r="J102" s="11">
        <v>326.10000000000002</v>
      </c>
      <c r="K102" s="11">
        <v>274.5</v>
      </c>
      <c r="L102" s="11">
        <v>227.9</v>
      </c>
      <c r="M102" s="11">
        <v>201.70000000000002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 t="s">
        <v>322</v>
      </c>
      <c r="B103" s="1" t="s">
        <v>44</v>
      </c>
      <c r="C103" s="11">
        <v>23.133231427792989</v>
      </c>
      <c r="D103" s="11">
        <v>30.507533100000003</v>
      </c>
      <c r="E103" s="11">
        <v>33.334565500000004</v>
      </c>
      <c r="F103" s="11">
        <v>32.5</v>
      </c>
      <c r="G103" s="11">
        <v>21.400000000000002</v>
      </c>
      <c r="H103" s="11">
        <v>172.46984</v>
      </c>
      <c r="I103" s="11">
        <v>78.100000000000009</v>
      </c>
      <c r="J103" s="11">
        <v>24.900000000000002</v>
      </c>
      <c r="K103" s="11">
        <v>25.3</v>
      </c>
      <c r="L103" s="11">
        <v>4.6000000000000005</v>
      </c>
      <c r="M103" s="11">
        <v>3.3000000000000003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 t="s">
        <v>323</v>
      </c>
      <c r="B104" s="1" t="s">
        <v>44</v>
      </c>
      <c r="C104" s="11">
        <v>750.88135917700004</v>
      </c>
      <c r="D104" s="11">
        <v>1541.8749112999999</v>
      </c>
      <c r="E104" s="11">
        <v>1938.2128961999999</v>
      </c>
      <c r="F104" s="11">
        <v>1123.2</v>
      </c>
      <c r="G104" s="11">
        <v>2991</v>
      </c>
      <c r="H104" s="11">
        <v>2925.6000000000004</v>
      </c>
      <c r="I104" s="11">
        <v>3754.4</v>
      </c>
      <c r="J104" s="11">
        <v>3207.2000000000003</v>
      </c>
      <c r="K104" s="11">
        <v>2429.8000000000002</v>
      </c>
      <c r="L104" s="11">
        <v>2798.4</v>
      </c>
      <c r="M104" s="11">
        <v>3564.5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 t="s">
        <v>324</v>
      </c>
      <c r="B105" s="1" t="s">
        <v>44</v>
      </c>
      <c r="C105" s="11">
        <v>805.50420320652302</v>
      </c>
      <c r="D105" s="11">
        <v>834.17692030000001</v>
      </c>
      <c r="E105" s="11">
        <v>954.85590390000004</v>
      </c>
      <c r="F105" s="11">
        <v>1196.1000000000001</v>
      </c>
      <c r="G105" s="11">
        <v>2249.5</v>
      </c>
      <c r="H105" s="11">
        <v>1496</v>
      </c>
      <c r="I105" s="11">
        <v>1439.7360922</v>
      </c>
      <c r="J105" s="11">
        <v>1449.4</v>
      </c>
      <c r="K105" s="11">
        <v>1428.5</v>
      </c>
      <c r="L105" s="11">
        <v>471.40000000000003</v>
      </c>
      <c r="M105" s="11">
        <v>69.600000000000009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 t="s">
        <v>325</v>
      </c>
      <c r="B106" s="1" t="s">
        <v>44</v>
      </c>
      <c r="C106" s="11"/>
      <c r="D106" s="11"/>
      <c r="E106" s="11"/>
      <c r="F106" s="11"/>
      <c r="G106" s="11">
        <v>345.90000000000003</v>
      </c>
      <c r="H106" s="11">
        <v>400.3</v>
      </c>
      <c r="I106" s="11">
        <v>316.70000000000005</v>
      </c>
      <c r="J106" s="11">
        <v>371.70000000000005</v>
      </c>
      <c r="K106" s="11">
        <v>334.8</v>
      </c>
      <c r="L106" s="11">
        <v>406.6</v>
      </c>
      <c r="M106" s="11">
        <v>527.80000000000007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 t="s">
        <v>326</v>
      </c>
      <c r="B107" s="1" t="s">
        <v>44</v>
      </c>
      <c r="C107" s="11">
        <v>2275.6956756556992</v>
      </c>
      <c r="D107" s="11">
        <v>2311.6995124</v>
      </c>
      <c r="E107" s="11">
        <v>2036.8357435999999</v>
      </c>
      <c r="F107" s="11">
        <v>2489.3000000000002</v>
      </c>
      <c r="G107" s="11">
        <v>3256.6000000000004</v>
      </c>
      <c r="H107" s="11">
        <v>2785</v>
      </c>
      <c r="I107" s="11">
        <v>4094.7000000000003</v>
      </c>
      <c r="J107" s="11">
        <v>4384.6000000000004</v>
      </c>
      <c r="K107" s="11">
        <v>3785.3</v>
      </c>
      <c r="L107" s="11">
        <v>4410.8</v>
      </c>
      <c r="M107" s="11">
        <v>5040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 t="s">
        <v>327</v>
      </c>
      <c r="B108" s="1" t="s">
        <v>44</v>
      </c>
      <c r="C108" s="11"/>
      <c r="D108" s="11">
        <v>422.96500600000002</v>
      </c>
      <c r="E108" s="11">
        <v>1876.8923647000001</v>
      </c>
      <c r="F108" s="11">
        <v>3472.6000000000004</v>
      </c>
      <c r="G108" s="11">
        <v>1789.8000000000002</v>
      </c>
      <c r="H108" s="11">
        <v>2091</v>
      </c>
      <c r="I108" s="11">
        <v>3024.4</v>
      </c>
      <c r="J108" s="11">
        <v>2961.7000000000003</v>
      </c>
      <c r="K108" s="11">
        <v>2394.3000000000002</v>
      </c>
      <c r="L108" s="11">
        <v>2284.5</v>
      </c>
      <c r="M108" s="11">
        <v>2992.9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 t="s">
        <v>328</v>
      </c>
      <c r="B109" s="1" t="s">
        <v>44</v>
      </c>
      <c r="C109" s="11">
        <v>2409.2860596919923</v>
      </c>
      <c r="D109" s="11">
        <v>387.03692369999999</v>
      </c>
      <c r="E109" s="11">
        <v>403.04640600000005</v>
      </c>
      <c r="F109" s="11">
        <v>395.20000000000005</v>
      </c>
      <c r="G109" s="11">
        <v>436.40000010000006</v>
      </c>
      <c r="H109" s="11">
        <v>531.1</v>
      </c>
      <c r="I109" s="11">
        <v>671.6</v>
      </c>
      <c r="J109" s="11">
        <v>631.30000000000007</v>
      </c>
      <c r="K109" s="11">
        <v>1137.2</v>
      </c>
      <c r="L109" s="11">
        <v>1277</v>
      </c>
      <c r="M109" s="11">
        <v>1208.6000000000001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 t="s">
        <v>329</v>
      </c>
      <c r="B110" s="1" t="s">
        <v>44</v>
      </c>
      <c r="C110" s="11"/>
      <c r="D110" s="11">
        <v>824.55692710000005</v>
      </c>
      <c r="E110" s="11">
        <v>937.8787354000001</v>
      </c>
      <c r="F110" s="11">
        <v>1017.5</v>
      </c>
      <c r="G110" s="11">
        <v>1020.5</v>
      </c>
      <c r="H110" s="11">
        <v>1114.3</v>
      </c>
      <c r="I110" s="11">
        <v>1044.1000000000001</v>
      </c>
      <c r="J110" s="11">
        <v>1540.5</v>
      </c>
      <c r="K110" s="11">
        <v>1289.4000000000001</v>
      </c>
      <c r="L110" s="11">
        <v>1771</v>
      </c>
      <c r="M110" s="11">
        <v>2146.7000000000003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 t="s">
        <v>330</v>
      </c>
      <c r="B111" s="1" t="s">
        <v>44</v>
      </c>
      <c r="C111" s="11">
        <v>1465.6719012582494</v>
      </c>
      <c r="D111" s="11">
        <v>1612.4483568000001</v>
      </c>
      <c r="E111" s="11">
        <v>1707.1953520000004</v>
      </c>
      <c r="F111" s="11">
        <v>1760.5</v>
      </c>
      <c r="G111" s="11">
        <v>1827</v>
      </c>
      <c r="H111" s="11">
        <v>1859.8000000000002</v>
      </c>
      <c r="I111" s="11">
        <v>1913.6000000000001</v>
      </c>
      <c r="J111" s="11">
        <v>1981.8000000000002</v>
      </c>
      <c r="K111" s="11">
        <v>2247.1</v>
      </c>
      <c r="L111" s="11">
        <v>2052.7000000000003</v>
      </c>
      <c r="M111" s="11">
        <v>2511.9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 t="s">
        <v>331</v>
      </c>
      <c r="B112" s="1" t="s">
        <v>44</v>
      </c>
      <c r="C112" s="11">
        <v>6955.9998604124648</v>
      </c>
      <c r="D112" s="11">
        <v>6392.8836462999998</v>
      </c>
      <c r="E112" s="11">
        <v>7916.6635056000005</v>
      </c>
      <c r="F112" s="11">
        <v>10331.200000000001</v>
      </c>
      <c r="G112" s="11">
        <v>10925.700000100001</v>
      </c>
      <c r="H112" s="11">
        <v>10277.5</v>
      </c>
      <c r="I112" s="11">
        <v>12504.836092199999</v>
      </c>
      <c r="J112" s="11">
        <v>13321</v>
      </c>
      <c r="K112" s="11">
        <v>12616.6</v>
      </c>
      <c r="L112" s="11">
        <v>12674</v>
      </c>
      <c r="M112" s="11">
        <v>14497.5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 t="s">
        <v>332</v>
      </c>
      <c r="B113" s="1" t="s">
        <v>44</v>
      </c>
      <c r="C113" s="11">
        <v>1230.3999999994962</v>
      </c>
      <c r="D113" s="11">
        <v>1230.4000000000001</v>
      </c>
      <c r="E113" s="11">
        <v>1230.4000000000001</v>
      </c>
      <c r="F113" s="11">
        <v>1230.4000000000001</v>
      </c>
      <c r="G113" s="11">
        <v>1230.4000000000001</v>
      </c>
      <c r="H113" s="11">
        <v>1230.4000000000001</v>
      </c>
      <c r="I113" s="11">
        <v>1230.4000000000001</v>
      </c>
      <c r="J113" s="11">
        <v>1230.4000000000001</v>
      </c>
      <c r="K113" s="11">
        <v>1230.4000000000001</v>
      </c>
      <c r="L113" s="11">
        <v>1230.4000000000001</v>
      </c>
      <c r="M113" s="11">
        <v>1230.4000000000001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 t="s">
        <v>333</v>
      </c>
      <c r="B114" s="1" t="s">
        <v>44</v>
      </c>
      <c r="C114" s="11">
        <v>23506.954745938216</v>
      </c>
      <c r="D114" s="11">
        <v>26066.497456500001</v>
      </c>
      <c r="E114" s="11">
        <v>30437.227020300001</v>
      </c>
      <c r="F114" s="11">
        <v>33446.9345693</v>
      </c>
      <c r="G114" s="11">
        <v>37353.4738727</v>
      </c>
      <c r="H114" s="11">
        <v>39677.989586000003</v>
      </c>
      <c r="I114" s="11">
        <v>44870.742489300006</v>
      </c>
      <c r="J114" s="11">
        <v>46153.3</v>
      </c>
      <c r="K114" s="11">
        <v>43423.602000000006</v>
      </c>
      <c r="L114" s="11">
        <v>44494.5</v>
      </c>
      <c r="M114" s="11">
        <v>49369.4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8" customHeight="1">
      <c r="A118" s="73" t="s">
        <v>334</v>
      </c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9.95" customHeight="1">
      <c r="A119" s="6" t="s">
        <v>26</v>
      </c>
      <c r="B119" s="6" t="s">
        <v>27</v>
      </c>
      <c r="C119" s="6" t="s">
        <v>28</v>
      </c>
      <c r="D119" s="6" t="s">
        <v>29</v>
      </c>
      <c r="E119" s="6" t="s">
        <v>30</v>
      </c>
      <c r="F119" s="6" t="s">
        <v>31</v>
      </c>
      <c r="G119" s="6" t="s">
        <v>32</v>
      </c>
      <c r="H119" s="6" t="s">
        <v>33</v>
      </c>
      <c r="I119" s="6" t="s">
        <v>34</v>
      </c>
      <c r="J119" s="6" t="s">
        <v>35</v>
      </c>
      <c r="K119" s="6" t="s">
        <v>36</v>
      </c>
      <c r="L119" s="6" t="s">
        <v>37</v>
      </c>
      <c r="M119" s="6" t="s">
        <v>38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 t="s">
        <v>335</v>
      </c>
      <c r="B120" s="1" t="s">
        <v>44</v>
      </c>
      <c r="C120" s="11">
        <v>4016.9</v>
      </c>
      <c r="D120" s="11">
        <v>3853.0145673999978</v>
      </c>
      <c r="E120" s="11">
        <v>4878.8436680999894</v>
      </c>
      <c r="F120" s="11">
        <v>5543.2346337999979</v>
      </c>
      <c r="G120" s="11">
        <v>5057.7790000000005</v>
      </c>
      <c r="H120" s="11">
        <v>5952.91</v>
      </c>
      <c r="I120" s="11">
        <v>7452.076</v>
      </c>
      <c r="J120" s="11">
        <v>6445.4639999999999</v>
      </c>
      <c r="K120" s="11">
        <v>3224.3710000000001</v>
      </c>
      <c r="L120" s="11">
        <v>5653.2000000000007</v>
      </c>
      <c r="M120" s="11">
        <v>6573.1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 t="s">
        <v>219</v>
      </c>
      <c r="B121" s="1" t="s">
        <v>44</v>
      </c>
      <c r="C121" s="11">
        <v>762</v>
      </c>
      <c r="D121" s="11">
        <v>978.05519619999995</v>
      </c>
      <c r="E121" s="11">
        <v>1084.9780105</v>
      </c>
      <c r="F121" s="11">
        <v>1129.2</v>
      </c>
      <c r="G121" s="11">
        <v>1445.8000000000002</v>
      </c>
      <c r="H121" s="11">
        <v>1457.7</v>
      </c>
      <c r="I121" s="11">
        <v>1520.4</v>
      </c>
      <c r="J121" s="11">
        <v>1956.7</v>
      </c>
      <c r="K121" s="11">
        <v>1817.1000000000001</v>
      </c>
      <c r="L121" s="11">
        <v>1852.9</v>
      </c>
      <c r="M121" s="11">
        <v>1881.6000000000001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 t="s">
        <v>336</v>
      </c>
      <c r="B122" s="1" t="s">
        <v>44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 t="s">
        <v>337</v>
      </c>
      <c r="B123" s="1" t="s">
        <v>44</v>
      </c>
      <c r="C123" s="11">
        <v>149.70000000000002</v>
      </c>
      <c r="D123" s="11">
        <v>151.75129049999995</v>
      </c>
      <c r="E123" s="11">
        <v>161.79424180000001</v>
      </c>
      <c r="F123" s="11">
        <v>345.20000000000005</v>
      </c>
      <c r="G123" s="11">
        <v>148.4</v>
      </c>
      <c r="H123" s="11">
        <v>260.5</v>
      </c>
      <c r="I123" s="11">
        <v>38.800000000000004</v>
      </c>
      <c r="J123" s="11">
        <v>309.60000000000002</v>
      </c>
      <c r="K123" s="11">
        <v>483.6</v>
      </c>
      <c r="L123" s="11">
        <v>263.90000000000003</v>
      </c>
      <c r="M123" s="11">
        <v>111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 t="s">
        <v>338</v>
      </c>
      <c r="B124" s="1" t="s">
        <v>44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 t="s">
        <v>339</v>
      </c>
      <c r="B125" s="1" t="s">
        <v>44</v>
      </c>
      <c r="C125" s="11">
        <v>28.400000000000002</v>
      </c>
      <c r="D125" s="11">
        <v>44.287334700000002</v>
      </c>
      <c r="E125" s="11"/>
      <c r="F125" s="11">
        <v>0</v>
      </c>
      <c r="G125" s="11"/>
      <c r="H125" s="11"/>
      <c r="I125" s="11"/>
      <c r="J125" s="11"/>
      <c r="K125" s="11"/>
      <c r="L125" s="11"/>
      <c r="M125" s="1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 t="s">
        <v>340</v>
      </c>
      <c r="B126" s="1" t="s">
        <v>44</v>
      </c>
      <c r="C126" s="11"/>
      <c r="D126" s="11">
        <v>2.3315043000000002</v>
      </c>
      <c r="E126" s="11">
        <v>-7.999210000000001E-2</v>
      </c>
      <c r="F126" s="11">
        <v>65.5</v>
      </c>
      <c r="G126" s="11">
        <v>5.5</v>
      </c>
      <c r="H126" s="11">
        <v>-1.2000000000000002</v>
      </c>
      <c r="I126" s="11">
        <v>-2.8000000000000003</v>
      </c>
      <c r="J126" s="11">
        <v>29</v>
      </c>
      <c r="K126" s="11">
        <v>-10.5</v>
      </c>
      <c r="L126" s="11">
        <v>-8.6</v>
      </c>
      <c r="M126" s="11">
        <v>1.5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 t="s">
        <v>341</v>
      </c>
      <c r="B127" s="1" t="s">
        <v>44</v>
      </c>
      <c r="C127" s="11">
        <v>-10.9</v>
      </c>
      <c r="D127" s="11">
        <v>-3.6119970000000006</v>
      </c>
      <c r="E127" s="11">
        <v>-156.35753753200004</v>
      </c>
      <c r="F127" s="11">
        <v>-15.4</v>
      </c>
      <c r="G127" s="11">
        <v>-8</v>
      </c>
      <c r="H127" s="11">
        <v>-1.4000000000000001</v>
      </c>
      <c r="I127" s="11">
        <v>-6.3000000000000007</v>
      </c>
      <c r="J127" s="11">
        <v>-4.2</v>
      </c>
      <c r="K127" s="11">
        <v>-2.5</v>
      </c>
      <c r="L127" s="11">
        <v>-453.6</v>
      </c>
      <c r="M127" s="11">
        <v>-7.6000000000000005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 t="s">
        <v>342</v>
      </c>
      <c r="B128" s="1" t="s">
        <v>44</v>
      </c>
      <c r="C128" s="11">
        <v>96.100000000000009</v>
      </c>
      <c r="D128" s="11">
        <v>128.5924321</v>
      </c>
      <c r="E128" s="11">
        <v>162.38094780000003</v>
      </c>
      <c r="F128" s="11">
        <v>133.20000000000002</v>
      </c>
      <c r="G128" s="11">
        <v>191.9</v>
      </c>
      <c r="H128" s="11">
        <v>174</v>
      </c>
      <c r="I128" s="11">
        <v>162.60000000000002</v>
      </c>
      <c r="J128" s="11">
        <v>325.60000000000002</v>
      </c>
      <c r="K128" s="11">
        <v>392.20000000000005</v>
      </c>
      <c r="L128" s="11">
        <v>321.70000000000005</v>
      </c>
      <c r="M128" s="11">
        <v>337.40000000000003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 t="s">
        <v>343</v>
      </c>
      <c r="B129" s="1" t="s">
        <v>44</v>
      </c>
      <c r="C129" s="11"/>
      <c r="D129" s="11"/>
      <c r="E129" s="11"/>
      <c r="F129" s="11"/>
      <c r="G129" s="11"/>
      <c r="H129" s="11"/>
      <c r="I129" s="11"/>
      <c r="J129" s="11"/>
      <c r="K129" s="11">
        <v>670.30000000000007</v>
      </c>
      <c r="L129" s="11">
        <v>0</v>
      </c>
      <c r="M129" s="11">
        <v>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 t="s">
        <v>344</v>
      </c>
      <c r="B130" s="1" t="s">
        <v>44</v>
      </c>
      <c r="C130" s="11">
        <v>28.647734765915551</v>
      </c>
      <c r="D130" s="11">
        <v>-382.15414249769094</v>
      </c>
      <c r="E130" s="11">
        <v>-11.862612836083118</v>
      </c>
      <c r="F130" s="11">
        <v>276.2</v>
      </c>
      <c r="G130" s="11">
        <v>-77.600000000000009</v>
      </c>
      <c r="H130" s="11">
        <v>243.10000000000002</v>
      </c>
      <c r="I130" s="11">
        <v>-81.5</v>
      </c>
      <c r="J130" s="11">
        <v>326.60000000000002</v>
      </c>
      <c r="K130" s="11">
        <v>-12.9</v>
      </c>
      <c r="L130" s="11">
        <v>222</v>
      </c>
      <c r="M130" s="11">
        <v>617.1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 t="s">
        <v>345</v>
      </c>
      <c r="B131" s="1" t="s">
        <v>44</v>
      </c>
      <c r="C131" s="11">
        <v>160.80000000000001</v>
      </c>
      <c r="D131" s="11">
        <v>134.57977500000001</v>
      </c>
      <c r="E131" s="11">
        <v>88.700548799999993</v>
      </c>
      <c r="F131" s="11">
        <v>126.30000000000001</v>
      </c>
      <c r="G131" s="11">
        <v>138.5</v>
      </c>
      <c r="H131" s="11">
        <v>133</v>
      </c>
      <c r="I131" s="11">
        <v>90.5</v>
      </c>
      <c r="J131" s="11">
        <v>86.100000000000009</v>
      </c>
      <c r="K131" s="11">
        <v>79.2</v>
      </c>
      <c r="L131" s="11">
        <v>68.600000000000009</v>
      </c>
      <c r="M131" s="11">
        <v>96.300000000000011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 t="s">
        <v>346</v>
      </c>
      <c r="B132" s="1" t="s">
        <v>44</v>
      </c>
      <c r="C132" s="11">
        <v>-24.3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 t="s">
        <v>347</v>
      </c>
      <c r="B133" s="1" t="s">
        <v>44</v>
      </c>
      <c r="C133" s="11">
        <v>-31.900000000000002</v>
      </c>
      <c r="D133" s="11">
        <v>-94.954498504100002</v>
      </c>
      <c r="E133" s="11"/>
      <c r="F133" s="11">
        <v>0</v>
      </c>
      <c r="G133" s="11"/>
      <c r="H133" s="11"/>
      <c r="I133" s="11"/>
      <c r="J133" s="11"/>
      <c r="K133" s="11"/>
      <c r="L133" s="11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 t="s">
        <v>348</v>
      </c>
      <c r="B134" s="1" t="s">
        <v>44</v>
      </c>
      <c r="C134" s="11">
        <v>-94.4</v>
      </c>
      <c r="D134" s="11">
        <v>-124.84480490000001</v>
      </c>
      <c r="E134" s="11">
        <v>-145.5037945</v>
      </c>
      <c r="F134" s="11">
        <v>-207.70000000000002</v>
      </c>
      <c r="G134" s="11">
        <v>-243.4</v>
      </c>
      <c r="H134" s="11">
        <v>-188.5</v>
      </c>
      <c r="I134" s="11">
        <v>-90.4</v>
      </c>
      <c r="J134" s="11">
        <v>-105</v>
      </c>
      <c r="K134" s="11">
        <v>-154</v>
      </c>
      <c r="L134" s="11">
        <v>-196.60000000000002</v>
      </c>
      <c r="M134" s="11">
        <v>-98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 t="s">
        <v>349</v>
      </c>
      <c r="B135" s="1" t="s">
        <v>44</v>
      </c>
      <c r="C135" s="11">
        <v>-0.4</v>
      </c>
      <c r="D135" s="11">
        <v>-11.541686200000001</v>
      </c>
      <c r="E135" s="11">
        <v>-26.898407400000004</v>
      </c>
      <c r="F135" s="11">
        <v>-29.200000000000003</v>
      </c>
      <c r="G135" s="11">
        <v>-39.200000000000003</v>
      </c>
      <c r="H135" s="11">
        <v>-40.700000000000003</v>
      </c>
      <c r="I135" s="11">
        <v>-41.5</v>
      </c>
      <c r="J135" s="11">
        <v>-30.400000000000002</v>
      </c>
      <c r="K135" s="11">
        <v>-32.4</v>
      </c>
      <c r="L135" s="11">
        <v>-26.3</v>
      </c>
      <c r="M135" s="11">
        <v>-18.400000000000002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 t="s">
        <v>350</v>
      </c>
      <c r="B136" s="1" t="s">
        <v>44</v>
      </c>
      <c r="C136" s="11">
        <v>-84.800000000000011</v>
      </c>
      <c r="D136" s="11">
        <v>-60.329001500000004</v>
      </c>
      <c r="E136" s="11">
        <v>-58.348962400000005</v>
      </c>
      <c r="F136" s="11">
        <v>-24.3</v>
      </c>
      <c r="G136" s="11">
        <v>-34.1</v>
      </c>
      <c r="H136" s="11">
        <v>-0.2</v>
      </c>
      <c r="I136" s="11">
        <v>-9.1</v>
      </c>
      <c r="J136" s="11">
        <v>-2.8000000000000003</v>
      </c>
      <c r="K136" s="11">
        <v>-2.8000000000000003</v>
      </c>
      <c r="L136" s="11">
        <v>-1.3</v>
      </c>
      <c r="M136" s="11">
        <v>-0.30000000000000004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 t="s">
        <v>351</v>
      </c>
      <c r="B137" s="1" t="s">
        <v>44</v>
      </c>
      <c r="C137" s="11"/>
      <c r="D137" s="11">
        <v>-0.90706170000000008</v>
      </c>
      <c r="E137" s="11">
        <v>-49.879797100000005</v>
      </c>
      <c r="F137" s="11">
        <v>-87.100000000000009</v>
      </c>
      <c r="G137" s="11">
        <v>-206.3</v>
      </c>
      <c r="H137" s="11">
        <v>-159.30000000000001</v>
      </c>
      <c r="I137" s="11">
        <v>-258.3</v>
      </c>
      <c r="J137" s="11">
        <v>-105.2</v>
      </c>
      <c r="K137" s="11">
        <v>-149.20000000000002</v>
      </c>
      <c r="L137" s="11">
        <v>-130.4</v>
      </c>
      <c r="M137" s="11">
        <v>-153.9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 t="s">
        <v>352</v>
      </c>
      <c r="B138" s="1" t="s">
        <v>44</v>
      </c>
      <c r="C138" s="11"/>
      <c r="D138" s="11"/>
      <c r="E138" s="11"/>
      <c r="F138" s="11"/>
      <c r="G138" s="11"/>
      <c r="H138" s="11">
        <v>0</v>
      </c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 t="s">
        <v>353</v>
      </c>
      <c r="B139" s="1" t="s">
        <v>44</v>
      </c>
      <c r="C139" s="11"/>
      <c r="D139" s="11">
        <v>9.9213954000000015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 t="s">
        <v>354</v>
      </c>
      <c r="B140" s="1" t="s">
        <v>44</v>
      </c>
      <c r="C140" s="11"/>
      <c r="D140" s="11"/>
      <c r="E140" s="11"/>
      <c r="F140" s="11">
        <v>44.5</v>
      </c>
      <c r="G140" s="11">
        <v>-55</v>
      </c>
      <c r="H140" s="11">
        <v>137.30000000000001</v>
      </c>
      <c r="I140" s="11">
        <v>258.8</v>
      </c>
      <c r="J140" s="11">
        <v>-58.300000000000004</v>
      </c>
      <c r="K140" s="11">
        <v>-436.1</v>
      </c>
      <c r="L140" s="11">
        <v>-66.5</v>
      </c>
      <c r="M140" s="11">
        <v>-30.400000000000002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 t="s">
        <v>355</v>
      </c>
      <c r="B141" s="1" t="s">
        <v>44</v>
      </c>
      <c r="C141" s="11"/>
      <c r="D141" s="11"/>
      <c r="E141" s="11"/>
      <c r="F141" s="11"/>
      <c r="G141" s="11">
        <v>-148.80000000000001</v>
      </c>
      <c r="H141" s="11">
        <v>-73</v>
      </c>
      <c r="I141" s="11">
        <v>0</v>
      </c>
      <c r="J141" s="11">
        <v>0</v>
      </c>
      <c r="K141" s="11"/>
      <c r="L141" s="1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 t="s">
        <v>356</v>
      </c>
      <c r="B142" s="1" t="s">
        <v>44</v>
      </c>
      <c r="C142" s="11"/>
      <c r="D142" s="11"/>
      <c r="E142" s="11"/>
      <c r="F142" s="11">
        <v>-149</v>
      </c>
      <c r="G142" s="11"/>
      <c r="H142" s="11"/>
      <c r="I142" s="11"/>
      <c r="J142" s="11"/>
      <c r="K142" s="11"/>
      <c r="L142" s="1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 t="s">
        <v>357</v>
      </c>
      <c r="B143" s="1" t="s">
        <v>44</v>
      </c>
      <c r="C143" s="11"/>
      <c r="D143" s="11"/>
      <c r="E143" s="11"/>
      <c r="F143" s="11"/>
      <c r="G143" s="11">
        <v>217.5</v>
      </c>
      <c r="H143" s="11">
        <v>50.7</v>
      </c>
      <c r="I143" s="11"/>
      <c r="J143" s="11">
        <v>237</v>
      </c>
      <c r="K143" s="11">
        <v>458.20000000000005</v>
      </c>
      <c r="L143" s="11">
        <v>27.3</v>
      </c>
      <c r="M143" s="11">
        <v>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 t="s">
        <v>358</v>
      </c>
      <c r="B144" s="1" t="s">
        <v>44</v>
      </c>
      <c r="C144" s="11"/>
      <c r="D144" s="11">
        <v>-17.211494200000001</v>
      </c>
      <c r="E144" s="11">
        <v>-79.381355100000007</v>
      </c>
      <c r="F144" s="11">
        <v>0</v>
      </c>
      <c r="G144" s="11"/>
      <c r="H144" s="11"/>
      <c r="I144" s="11"/>
      <c r="J144" s="11"/>
      <c r="K144" s="11"/>
      <c r="L144" s="1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 t="s">
        <v>359</v>
      </c>
      <c r="B145" s="1" t="s">
        <v>44</v>
      </c>
      <c r="C145" s="11"/>
      <c r="D145" s="11"/>
      <c r="E145" s="11">
        <v>-8.7440217000000011</v>
      </c>
      <c r="F145" s="11"/>
      <c r="G145" s="11"/>
      <c r="H145" s="11"/>
      <c r="I145" s="11"/>
      <c r="J145" s="11"/>
      <c r="K145" s="11"/>
      <c r="L145" s="11"/>
      <c r="M145" s="1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 t="s">
        <v>360</v>
      </c>
      <c r="B146" s="1" t="s">
        <v>44</v>
      </c>
      <c r="C146" s="11"/>
      <c r="D146" s="11"/>
      <c r="E146" s="11">
        <v>23.5156408</v>
      </c>
      <c r="F146" s="11"/>
      <c r="G146" s="11"/>
      <c r="H146" s="11"/>
      <c r="I146" s="11"/>
      <c r="J146" s="11"/>
      <c r="K146" s="11"/>
      <c r="L146" s="11"/>
      <c r="M146" s="1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 t="s">
        <v>361</v>
      </c>
      <c r="B147" s="1" t="s">
        <v>44</v>
      </c>
      <c r="C147" s="11">
        <v>-857.7654458191015</v>
      </c>
      <c r="D147" s="11">
        <v>-84.082451568192127</v>
      </c>
      <c r="E147" s="11">
        <v>-1044.196309236067</v>
      </c>
      <c r="F147" s="11">
        <v>-1619</v>
      </c>
      <c r="G147" s="11">
        <v>-2334.9</v>
      </c>
      <c r="H147" s="11">
        <v>0</v>
      </c>
      <c r="I147" s="11"/>
      <c r="J147" s="11"/>
      <c r="K147" s="11"/>
      <c r="L147" s="11"/>
      <c r="M147" s="1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 t="s">
        <v>362</v>
      </c>
      <c r="B148" s="1" t="s">
        <v>44</v>
      </c>
      <c r="C148" s="11">
        <v>378.57209818988076</v>
      </c>
      <c r="D148" s="11">
        <v>627.86040211746092</v>
      </c>
      <c r="E148" s="11">
        <v>260.99400671941765</v>
      </c>
      <c r="F148" s="11">
        <v>561.62398496064111</v>
      </c>
      <c r="G148" s="11">
        <v>1813.0795620517072</v>
      </c>
      <c r="H148" s="11">
        <v>0</v>
      </c>
      <c r="I148" s="11"/>
      <c r="J148" s="11"/>
      <c r="K148" s="11"/>
      <c r="L148" s="11"/>
      <c r="M148" s="1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 t="s">
        <v>363</v>
      </c>
      <c r="B149" s="1" t="s">
        <v>44</v>
      </c>
      <c r="C149" s="11"/>
      <c r="D149" s="11"/>
      <c r="E149" s="11"/>
      <c r="F149" s="11"/>
      <c r="G149" s="11"/>
      <c r="H149" s="11">
        <v>852.30000000000007</v>
      </c>
      <c r="I149" s="11">
        <v>-2895.1000000000004</v>
      </c>
      <c r="J149" s="11">
        <v>-1783.6000000000001</v>
      </c>
      <c r="K149" s="11">
        <v>1220.7</v>
      </c>
      <c r="L149" s="11">
        <v>-389.90000000000003</v>
      </c>
      <c r="M149" s="11">
        <v>-1654.9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 t="s">
        <v>364</v>
      </c>
      <c r="B150" s="1" t="s">
        <v>44</v>
      </c>
      <c r="C150" s="11"/>
      <c r="D150" s="11"/>
      <c r="E150" s="11"/>
      <c r="F150" s="11"/>
      <c r="G150" s="11"/>
      <c r="H150" s="11">
        <v>697.2</v>
      </c>
      <c r="I150" s="11">
        <v>0</v>
      </c>
      <c r="J150" s="11"/>
      <c r="K150" s="11"/>
      <c r="L150" s="11"/>
      <c r="M150" s="1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 t="s">
        <v>365</v>
      </c>
      <c r="B151" s="1" t="s">
        <v>44</v>
      </c>
      <c r="C151" s="11"/>
      <c r="D151" s="11"/>
      <c r="E151" s="11"/>
      <c r="F151" s="11"/>
      <c r="G151" s="11"/>
      <c r="H151" s="11">
        <v>96.800000000000011</v>
      </c>
      <c r="I151" s="11">
        <v>-467.1</v>
      </c>
      <c r="J151" s="11">
        <v>-373.90000000000003</v>
      </c>
      <c r="K151" s="11">
        <v>374.90000000000003</v>
      </c>
      <c r="L151" s="11">
        <v>-539.30000000000007</v>
      </c>
      <c r="M151" s="11">
        <v>-1287.1000000000001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 t="s">
        <v>366</v>
      </c>
      <c r="B152" s="1" t="s">
        <v>44</v>
      </c>
      <c r="C152" s="11"/>
      <c r="D152" s="11"/>
      <c r="E152" s="11"/>
      <c r="F152" s="11"/>
      <c r="G152" s="11"/>
      <c r="H152" s="11">
        <v>-619.46400000000006</v>
      </c>
      <c r="I152" s="11">
        <v>978.49800000000005</v>
      </c>
      <c r="J152" s="11">
        <v>255.19899999999998</v>
      </c>
      <c r="K152" s="11">
        <v>-612.00100000000009</v>
      </c>
      <c r="L152" s="11">
        <v>629.85126260000004</v>
      </c>
      <c r="M152" s="11">
        <v>516.6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 t="s">
        <v>367</v>
      </c>
      <c r="B153" s="1" t="s">
        <v>44</v>
      </c>
      <c r="C153" s="11"/>
      <c r="D153" s="11"/>
      <c r="E153" s="11"/>
      <c r="F153" s="11"/>
      <c r="G153" s="11"/>
      <c r="H153" s="11">
        <v>125.9</v>
      </c>
      <c r="I153" s="11">
        <v>377.6</v>
      </c>
      <c r="J153" s="11">
        <v>21.5</v>
      </c>
      <c r="K153" s="11">
        <v>180.60000000000002</v>
      </c>
      <c r="L153" s="11">
        <v>-149.20000000000002</v>
      </c>
      <c r="M153" s="11">
        <v>391.1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 t="s">
        <v>368</v>
      </c>
      <c r="B154" s="1" t="s">
        <v>44</v>
      </c>
      <c r="C154" s="11"/>
      <c r="D154" s="11"/>
      <c r="E154" s="11"/>
      <c r="F154" s="11"/>
      <c r="G154" s="11"/>
      <c r="H154" s="11">
        <v>410.8</v>
      </c>
      <c r="I154" s="11">
        <v>571.80000000000007</v>
      </c>
      <c r="J154" s="11">
        <v>35.700000000000003</v>
      </c>
      <c r="K154" s="11">
        <v>134.5</v>
      </c>
      <c r="L154" s="11">
        <v>182.3</v>
      </c>
      <c r="M154" s="11">
        <v>547.1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 t="s">
        <v>369</v>
      </c>
      <c r="B155" s="1" t="s">
        <v>44</v>
      </c>
      <c r="C155" s="11">
        <v>4516.5813567832502</v>
      </c>
      <c r="D155" s="11">
        <v>5150.8647596474766</v>
      </c>
      <c r="E155" s="11">
        <v>5080</v>
      </c>
      <c r="F155" s="11">
        <v>6093.2486187606391</v>
      </c>
      <c r="G155" s="11">
        <v>5871.1580000000004</v>
      </c>
      <c r="H155" s="11">
        <v>9508.4449999999997</v>
      </c>
      <c r="I155" s="11">
        <v>7598.973</v>
      </c>
      <c r="J155" s="11">
        <v>7565.0600000000013</v>
      </c>
      <c r="K155" s="11">
        <v>7623.2690000000002</v>
      </c>
      <c r="L155" s="11">
        <v>7260.0512626</v>
      </c>
      <c r="M155" s="11">
        <v>7822.2000000000007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 t="s">
        <v>370</v>
      </c>
      <c r="B156" s="1" t="s">
        <v>44</v>
      </c>
      <c r="C156" s="11">
        <v>-1303.4000000000001</v>
      </c>
      <c r="D156" s="11">
        <v>-1079.5337878843</v>
      </c>
      <c r="E156" s="11">
        <v>-1526.3517979955432</v>
      </c>
      <c r="F156" s="11">
        <v>-1661.2</v>
      </c>
      <c r="G156" s="11">
        <v>-1513.1000000000001</v>
      </c>
      <c r="H156" s="11">
        <v>-1414.6000000000001</v>
      </c>
      <c r="I156" s="11">
        <v>-2313.7000000000003</v>
      </c>
      <c r="J156" s="11">
        <v>-1993.1000000000001</v>
      </c>
      <c r="K156" s="11">
        <v>-1246.9000000000001</v>
      </c>
      <c r="L156" s="11">
        <v>-1474.4</v>
      </c>
      <c r="M156" s="11">
        <v>-1650.2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 t="s">
        <v>371</v>
      </c>
      <c r="B157" s="1" t="s">
        <v>44</v>
      </c>
      <c r="C157" s="11">
        <v>3213.1962696370997</v>
      </c>
      <c r="D157" s="11">
        <v>4071.3559717631761</v>
      </c>
      <c r="E157" s="11">
        <v>3553.6000000000004</v>
      </c>
      <c r="F157" s="11">
        <v>4432.0486187606393</v>
      </c>
      <c r="G157" s="11">
        <v>4358.058</v>
      </c>
      <c r="H157" s="11">
        <v>8093.8410000000003</v>
      </c>
      <c r="I157" s="11">
        <v>5285.2743000000009</v>
      </c>
      <c r="J157" s="11">
        <v>5571.9639999999999</v>
      </c>
      <c r="K157" s="11">
        <v>6376.3690000000006</v>
      </c>
      <c r="L157" s="11">
        <v>5785.6512626000003</v>
      </c>
      <c r="M157" s="11">
        <v>6172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 t="s">
        <v>372</v>
      </c>
      <c r="B158" s="1" t="s">
        <v>44</v>
      </c>
      <c r="C158" s="11">
        <v>-926.5</v>
      </c>
      <c r="D158" s="11">
        <v>-768.19168539555949</v>
      </c>
      <c r="E158" s="11">
        <v>-1016.6287785306575</v>
      </c>
      <c r="F158" s="11">
        <v>-804.6</v>
      </c>
      <c r="G158" s="11">
        <v>-844.6</v>
      </c>
      <c r="H158" s="11">
        <v>-666</v>
      </c>
      <c r="I158" s="11">
        <v>-958.40000000000009</v>
      </c>
      <c r="J158" s="11">
        <v>-1015.1700000000001</v>
      </c>
      <c r="K158" s="11">
        <v>-791.1</v>
      </c>
      <c r="L158" s="11">
        <v>-593.5</v>
      </c>
      <c r="M158" s="11">
        <v>-695.7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 t="s">
        <v>373</v>
      </c>
      <c r="B159" s="1" t="s">
        <v>44</v>
      </c>
      <c r="C159" s="11">
        <v>47.6</v>
      </c>
      <c r="D159" s="11">
        <v>7.8601216999999899</v>
      </c>
      <c r="E159" s="11">
        <v>226.36018039565704</v>
      </c>
      <c r="F159" s="11">
        <v>25.3</v>
      </c>
      <c r="G159" s="11">
        <v>15.3</v>
      </c>
      <c r="H159" s="11">
        <v>93.5</v>
      </c>
      <c r="I159" s="11">
        <v>123.10000000000001</v>
      </c>
      <c r="J159" s="11">
        <v>46</v>
      </c>
      <c r="K159" s="11">
        <v>53.400000000000006</v>
      </c>
      <c r="L159" s="11">
        <v>110.60000000000001</v>
      </c>
      <c r="M159" s="11">
        <v>149.59999999999854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 t="s">
        <v>374</v>
      </c>
      <c r="B160" s="1" t="s">
        <v>44</v>
      </c>
      <c r="C160" s="11">
        <v>-10093.1</v>
      </c>
      <c r="D160" s="11">
        <v>-15216.482757940052</v>
      </c>
      <c r="E160" s="11">
        <v>-17856.304853496516</v>
      </c>
      <c r="F160" s="11">
        <v>-23427.200000000001</v>
      </c>
      <c r="G160" s="11">
        <v>-33242.700000000004</v>
      </c>
      <c r="H160" s="11">
        <v>-28538.800000000003</v>
      </c>
      <c r="I160" s="11">
        <v>-21963.800000000003</v>
      </c>
      <c r="J160" s="11">
        <v>-21477.600000000002</v>
      </c>
      <c r="K160" s="11">
        <v>-17886.100000000002</v>
      </c>
      <c r="L160" s="11">
        <v>-23628.400000000001</v>
      </c>
      <c r="M160" s="11">
        <v>-25575.600000000002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 t="s">
        <v>375</v>
      </c>
      <c r="B161" s="1" t="s">
        <v>44</v>
      </c>
      <c r="C161" s="11">
        <v>9815.6</v>
      </c>
      <c r="D161" s="11">
        <v>14304.694757109784</v>
      </c>
      <c r="E161" s="11">
        <v>15786.246639867692</v>
      </c>
      <c r="F161" s="11">
        <v>21105.600000000002</v>
      </c>
      <c r="G161" s="11">
        <v>35089.1</v>
      </c>
      <c r="H161" s="11">
        <v>24523.4</v>
      </c>
      <c r="I161" s="11">
        <v>27740.300000000003</v>
      </c>
      <c r="J161" s="11">
        <v>23074.800000000003</v>
      </c>
      <c r="K161" s="11">
        <v>18036.3</v>
      </c>
      <c r="L161" s="11">
        <v>23828.300000000003</v>
      </c>
      <c r="M161" s="11">
        <v>25490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 t="s">
        <v>376</v>
      </c>
      <c r="B162" s="1" t="s">
        <v>44</v>
      </c>
      <c r="C162" s="11">
        <v>-0.60960010000000009</v>
      </c>
      <c r="D162" s="11">
        <v>-1.9202319239999999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 t="s">
        <v>377</v>
      </c>
      <c r="B163" s="1" t="s">
        <v>44</v>
      </c>
      <c r="C163" s="11">
        <v>0.94960310000000003</v>
      </c>
      <c r="D163" s="11">
        <v>0.76412077800000011</v>
      </c>
      <c r="E163" s="11"/>
      <c r="F163" s="11">
        <v>0</v>
      </c>
      <c r="G163" s="11"/>
      <c r="H163" s="11"/>
      <c r="I163" s="11"/>
      <c r="J163" s="11"/>
      <c r="K163" s="11"/>
      <c r="L163" s="11"/>
      <c r="M163" s="1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 t="s">
        <v>378</v>
      </c>
      <c r="B164" s="1" t="s">
        <v>44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>
        <v>0.30000000000000004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 t="s">
        <v>379</v>
      </c>
      <c r="B165" s="1" t="s">
        <v>44</v>
      </c>
      <c r="C165" s="11"/>
      <c r="D165" s="11">
        <v>-150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 t="s">
        <v>380</v>
      </c>
      <c r="B166" s="1" t="s">
        <v>44</v>
      </c>
      <c r="C166" s="11">
        <v>-6.9570648552522698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 t="s">
        <v>381</v>
      </c>
      <c r="B167" s="1" t="s">
        <v>44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 t="s">
        <v>382</v>
      </c>
      <c r="B168" s="1" t="s">
        <v>44</v>
      </c>
      <c r="C168" s="11"/>
      <c r="D168" s="11"/>
      <c r="E168" s="11">
        <v>25.775959999999998</v>
      </c>
      <c r="F168" s="11"/>
      <c r="G168" s="11">
        <v>80.223300363000007</v>
      </c>
      <c r="H168" s="11">
        <v>0</v>
      </c>
      <c r="I168" s="11">
        <v>72.5</v>
      </c>
      <c r="J168" s="11">
        <v>0</v>
      </c>
      <c r="K168" s="11">
        <v>0</v>
      </c>
      <c r="L168" s="11">
        <v>0</v>
      </c>
      <c r="M168" s="11">
        <v>14.200000000000001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 t="s">
        <v>383</v>
      </c>
      <c r="B169" s="1" t="s">
        <v>44</v>
      </c>
      <c r="C169" s="11"/>
      <c r="D169" s="11"/>
      <c r="E169" s="11"/>
      <c r="F169" s="11"/>
      <c r="G169" s="11">
        <v>0</v>
      </c>
      <c r="H169" s="11"/>
      <c r="I169" s="11"/>
      <c r="J169" s="11"/>
      <c r="K169" s="11"/>
      <c r="L169" s="11"/>
      <c r="M169" s="1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 t="s">
        <v>384</v>
      </c>
      <c r="B170" s="1" t="s">
        <v>44</v>
      </c>
      <c r="C170" s="11">
        <v>-0.1</v>
      </c>
      <c r="D170" s="11"/>
      <c r="E170" s="11"/>
      <c r="F170" s="11"/>
      <c r="G170" s="11">
        <v>0</v>
      </c>
      <c r="H170" s="11"/>
      <c r="I170" s="11"/>
      <c r="J170" s="11"/>
      <c r="K170" s="11"/>
      <c r="L170" s="11"/>
      <c r="M170" s="1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 t="s">
        <v>385</v>
      </c>
      <c r="B171" s="1" t="s">
        <v>44</v>
      </c>
      <c r="C171" s="11"/>
      <c r="D171" s="11"/>
      <c r="E171" s="11"/>
      <c r="F171" s="11"/>
      <c r="G171" s="11">
        <v>0</v>
      </c>
      <c r="H171" s="11"/>
      <c r="I171" s="11"/>
      <c r="J171" s="11"/>
      <c r="K171" s="11"/>
      <c r="L171" s="11"/>
      <c r="M171" s="1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 t="s">
        <v>386</v>
      </c>
      <c r="B172" s="1" t="s">
        <v>44</v>
      </c>
      <c r="C172" s="11">
        <v>-17.900000000000002</v>
      </c>
      <c r="D172" s="11">
        <v>-1379.4512729426003</v>
      </c>
      <c r="E172" s="11">
        <v>-1132.0596005222351</v>
      </c>
      <c r="F172" s="11">
        <v>-135</v>
      </c>
      <c r="G172" s="11">
        <v>-548</v>
      </c>
      <c r="H172" s="11">
        <v>-1134</v>
      </c>
      <c r="I172" s="11">
        <v>-4661.3</v>
      </c>
      <c r="J172" s="11">
        <v>-1067.2</v>
      </c>
      <c r="K172" s="11">
        <v>-748.80000000000007</v>
      </c>
      <c r="L172" s="11">
        <v>-162</v>
      </c>
      <c r="M172" s="11">
        <v>-89.9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 t="s">
        <v>387</v>
      </c>
      <c r="B173" s="1" t="s">
        <v>44</v>
      </c>
      <c r="C173" s="11"/>
      <c r="D173" s="11">
        <v>8.7005730999999997</v>
      </c>
      <c r="E173" s="11">
        <v>19.603386500000006</v>
      </c>
      <c r="F173" s="11">
        <v>31.5</v>
      </c>
      <c r="G173" s="11">
        <v>31.1</v>
      </c>
      <c r="H173" s="11">
        <v>34.800000000000004</v>
      </c>
      <c r="I173" s="11">
        <v>72.900000000000006</v>
      </c>
      <c r="J173" s="11">
        <v>23.5</v>
      </c>
      <c r="K173" s="11">
        <v>48.7</v>
      </c>
      <c r="L173" s="11">
        <v>53.900000000000006</v>
      </c>
      <c r="M173" s="11">
        <v>24.900000000000002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 t="s">
        <v>388</v>
      </c>
      <c r="B174" s="1" t="s">
        <v>44</v>
      </c>
      <c r="C174" s="11"/>
      <c r="D174" s="11"/>
      <c r="E174" s="11"/>
      <c r="F174" s="11"/>
      <c r="G174" s="11">
        <v>0</v>
      </c>
      <c r="H174" s="11"/>
      <c r="I174" s="11"/>
      <c r="J174" s="11"/>
      <c r="K174" s="11"/>
      <c r="L174" s="11"/>
      <c r="M174" s="1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 t="s">
        <v>389</v>
      </c>
      <c r="B175" s="1" t="s">
        <v>44</v>
      </c>
      <c r="C175" s="11"/>
      <c r="D175" s="11">
        <v>-428.6</v>
      </c>
      <c r="E175" s="11">
        <v>-230</v>
      </c>
      <c r="F175" s="11">
        <v>0</v>
      </c>
      <c r="G175" s="11">
        <v>0</v>
      </c>
      <c r="H175" s="11"/>
      <c r="I175" s="11"/>
      <c r="J175" s="11"/>
      <c r="K175" s="11"/>
      <c r="L175" s="1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 t="s">
        <v>390</v>
      </c>
      <c r="B176" s="1" t="s">
        <v>44</v>
      </c>
      <c r="C176" s="11"/>
      <c r="D176" s="11"/>
      <c r="E176" s="11">
        <v>508.6</v>
      </c>
      <c r="F176" s="11">
        <v>0</v>
      </c>
      <c r="G176" s="11">
        <v>0</v>
      </c>
      <c r="H176" s="11"/>
      <c r="I176" s="11"/>
      <c r="J176" s="11"/>
      <c r="K176" s="11"/>
      <c r="L176" s="1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 t="s">
        <v>391</v>
      </c>
      <c r="B177" s="1" t="s">
        <v>44</v>
      </c>
      <c r="C177" s="11">
        <v>39.513235500000008</v>
      </c>
      <c r="D177" s="11">
        <v>20.543741089640001</v>
      </c>
      <c r="E177" s="11">
        <v>44.225466116000007</v>
      </c>
      <c r="F177" s="11"/>
      <c r="G177" s="11"/>
      <c r="H177" s="11"/>
      <c r="I177" s="11"/>
      <c r="J177" s="11"/>
      <c r="K177" s="11"/>
      <c r="L177" s="1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 t="s">
        <v>392</v>
      </c>
      <c r="B178" s="1" t="s">
        <v>44</v>
      </c>
      <c r="C178" s="11">
        <v>-9976.1091723999998</v>
      </c>
      <c r="D178" s="11">
        <v>-8004.4711714074801</v>
      </c>
      <c r="E178" s="11">
        <v>-8079.8767812000006</v>
      </c>
      <c r="F178" s="11">
        <v>-7616.6</v>
      </c>
      <c r="G178" s="11">
        <v>-123.5</v>
      </c>
      <c r="H178" s="11">
        <v>-1663.9</v>
      </c>
      <c r="I178" s="11">
        <v>-187.70000000000002</v>
      </c>
      <c r="J178" s="11">
        <v>-157.70000000000002</v>
      </c>
      <c r="K178" s="11">
        <v>-238.9</v>
      </c>
      <c r="L178" s="11">
        <v>-215.4</v>
      </c>
      <c r="M178" s="11">
        <v>-46.7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 t="s">
        <v>393</v>
      </c>
      <c r="B179" s="1" t="s">
        <v>44</v>
      </c>
      <c r="C179" s="11">
        <v>9555.7911752</v>
      </c>
      <c r="D179" s="11">
        <v>8438.5904133809217</v>
      </c>
      <c r="E179" s="11">
        <v>8219.9141619999991</v>
      </c>
      <c r="F179" s="11">
        <v>8556.4</v>
      </c>
      <c r="G179" s="11">
        <v>319.10000000000002</v>
      </c>
      <c r="H179" s="11">
        <v>1679.6000000000001</v>
      </c>
      <c r="I179" s="11">
        <v>135.5</v>
      </c>
      <c r="J179" s="11">
        <v>150.1</v>
      </c>
      <c r="K179" s="11">
        <v>59.7</v>
      </c>
      <c r="L179" s="11">
        <v>392.3</v>
      </c>
      <c r="M179" s="11">
        <v>194.60000000000002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 t="s">
        <v>394</v>
      </c>
      <c r="B180" s="1" t="s">
        <v>44</v>
      </c>
      <c r="C180" s="11">
        <v>95.147104281077503</v>
      </c>
      <c r="D180" s="11">
        <v>117.21266902075433</v>
      </c>
      <c r="E180" s="11">
        <v>124.52370639999999</v>
      </c>
      <c r="F180" s="11">
        <v>148.20000000000002</v>
      </c>
      <c r="G180" s="11">
        <v>252.60000000000002</v>
      </c>
      <c r="H180" s="11">
        <v>221.3</v>
      </c>
      <c r="I180" s="11">
        <v>108.4</v>
      </c>
      <c r="J180" s="11">
        <v>144.80000000000001</v>
      </c>
      <c r="K180" s="11">
        <v>153.1</v>
      </c>
      <c r="L180" s="11">
        <v>191</v>
      </c>
      <c r="M180" s="11">
        <v>125.10000000000001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 t="s">
        <v>395</v>
      </c>
      <c r="B181" s="1" t="s">
        <v>44</v>
      </c>
      <c r="C181" s="11">
        <v>-1466.7500604654497</v>
      </c>
      <c r="D181" s="11">
        <v>-3050.7507234305917</v>
      </c>
      <c r="E181" s="11">
        <v>-3359.6515124700618</v>
      </c>
      <c r="F181" s="11">
        <v>-2116.4</v>
      </c>
      <c r="G181" s="11">
        <v>1028.6200000000001</v>
      </c>
      <c r="H181" s="11">
        <v>-5450.1</v>
      </c>
      <c r="I181" s="11">
        <v>481.5</v>
      </c>
      <c r="J181" s="11">
        <v>-278.46999999999997</v>
      </c>
      <c r="K181" s="11">
        <v>-1313.7</v>
      </c>
      <c r="L181" s="11">
        <v>-23.200000000000003</v>
      </c>
      <c r="M181" s="11">
        <v>-409.20000000000005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 t="s">
        <v>396</v>
      </c>
      <c r="B182" s="1" t="s">
        <v>44</v>
      </c>
      <c r="C182" s="11">
        <v>36.242333147903487</v>
      </c>
      <c r="D182" s="11">
        <v>34.452153455344998</v>
      </c>
      <c r="E182" s="11">
        <v>25.099331011</v>
      </c>
      <c r="F182" s="11">
        <v>35.9</v>
      </c>
      <c r="G182" s="11">
        <v>46.800000000000004</v>
      </c>
      <c r="H182" s="11">
        <v>56.900000000000006</v>
      </c>
      <c r="I182" s="11">
        <v>86.800000000000011</v>
      </c>
      <c r="J182" s="11">
        <v>44.2</v>
      </c>
      <c r="K182" s="11">
        <v>23.8</v>
      </c>
      <c r="L182" s="11">
        <v>9</v>
      </c>
      <c r="M182" s="11">
        <v>0.9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 t="s">
        <v>397</v>
      </c>
      <c r="B183" s="1" t="s">
        <v>44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>
        <v>-4025.5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 t="s">
        <v>398</v>
      </c>
      <c r="B184" s="1" t="s">
        <v>44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>
        <v>-92.7</v>
      </c>
      <c r="M184" s="11">
        <v>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 t="s">
        <v>399</v>
      </c>
      <c r="B185" s="1" t="s">
        <v>44</v>
      </c>
      <c r="C185" s="11">
        <v>0.60000000000000009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 t="s">
        <v>400</v>
      </c>
      <c r="B186" s="1" t="s">
        <v>44</v>
      </c>
      <c r="C186" s="11">
        <v>-624.5</v>
      </c>
      <c r="D186" s="11">
        <v>-1239.1646708000001</v>
      </c>
      <c r="E186" s="11">
        <v>-943.78258033767997</v>
      </c>
      <c r="F186" s="11">
        <v>-1490.7</v>
      </c>
      <c r="G186" s="11">
        <v>-2491.7000000000003</v>
      </c>
      <c r="H186" s="11">
        <v>-1759.355</v>
      </c>
      <c r="I186" s="11">
        <v>-3980.8080000000004</v>
      </c>
      <c r="J186" s="11">
        <v>-4263.3029999999999</v>
      </c>
      <c r="K186" s="11">
        <v>-3917</v>
      </c>
      <c r="L186" s="11">
        <v>-3841.8</v>
      </c>
      <c r="M186" s="1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 t="s">
        <v>401</v>
      </c>
      <c r="B187" s="1" t="s">
        <v>44</v>
      </c>
      <c r="C187" s="11"/>
      <c r="D187" s="11"/>
      <c r="E187" s="11"/>
      <c r="F187" s="11">
        <v>-210.60000000000002</v>
      </c>
      <c r="G187" s="11">
        <v>0</v>
      </c>
      <c r="H187" s="11"/>
      <c r="I187" s="11"/>
      <c r="J187" s="11"/>
      <c r="K187" s="11"/>
      <c r="L187" s="11"/>
      <c r="M187" s="1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 t="s">
        <v>402</v>
      </c>
      <c r="B188" s="1" t="s">
        <v>44</v>
      </c>
      <c r="C188" s="11"/>
      <c r="D188" s="11"/>
      <c r="E188" s="11"/>
      <c r="F188" s="11"/>
      <c r="G188" s="11"/>
      <c r="H188" s="11">
        <v>68.8</v>
      </c>
      <c r="I188" s="11">
        <v>30.700000000000003</v>
      </c>
      <c r="J188" s="11">
        <v>0</v>
      </c>
      <c r="K188" s="11">
        <v>0</v>
      </c>
      <c r="L188" s="11">
        <v>0</v>
      </c>
      <c r="M188" s="11">
        <v>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 t="s">
        <v>403</v>
      </c>
      <c r="B189" s="1" t="s">
        <v>44</v>
      </c>
      <c r="C189" s="11"/>
      <c r="D189" s="11"/>
      <c r="E189" s="11"/>
      <c r="F189" s="11"/>
      <c r="G189" s="11">
        <v>-1787.8616470000002</v>
      </c>
      <c r="H189" s="11">
        <v>0</v>
      </c>
      <c r="I189" s="11"/>
      <c r="J189" s="11"/>
      <c r="K189" s="11"/>
      <c r="L189" s="11"/>
      <c r="M189" s="1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 t="s">
        <v>404</v>
      </c>
      <c r="B190" s="1" t="s">
        <v>44</v>
      </c>
      <c r="C190" s="11">
        <v>42.721330984001973</v>
      </c>
      <c r="D190" s="11">
        <v>7.0301316280027413</v>
      </c>
      <c r="E190" s="11">
        <v>954.49485470000002</v>
      </c>
      <c r="F190" s="11">
        <v>18</v>
      </c>
      <c r="G190" s="11">
        <v>379.40000000000003</v>
      </c>
      <c r="H190" s="11">
        <v>9.2000000000000011</v>
      </c>
      <c r="I190" s="11">
        <v>62.1</v>
      </c>
      <c r="J190" s="11">
        <v>65.8</v>
      </c>
      <c r="K190" s="11">
        <v>0</v>
      </c>
      <c r="L190" s="11">
        <v>8</v>
      </c>
      <c r="M190" s="11">
        <v>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 t="s">
        <v>405</v>
      </c>
      <c r="B191" s="1" t="s">
        <v>44</v>
      </c>
      <c r="C191" s="11">
        <v>-65.3500191572804</v>
      </c>
      <c r="D191" s="11">
        <v>-248.03658228803502</v>
      </c>
      <c r="E191" s="11">
        <v>-211.24911133695301</v>
      </c>
      <c r="F191" s="11">
        <v>-665.6</v>
      </c>
      <c r="G191" s="11">
        <v>-1335.4</v>
      </c>
      <c r="H191" s="11">
        <v>-37.6</v>
      </c>
      <c r="I191" s="11">
        <v>-21.6</v>
      </c>
      <c r="J191" s="11">
        <v>-32.1</v>
      </c>
      <c r="K191" s="11">
        <v>-26.3</v>
      </c>
      <c r="L191" s="11">
        <v>-32.5</v>
      </c>
      <c r="M191" s="11">
        <v>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 t="s">
        <v>406</v>
      </c>
      <c r="B192" s="1" t="s">
        <v>44</v>
      </c>
      <c r="C192" s="11">
        <v>252.58616508320503</v>
      </c>
      <c r="D192" s="11">
        <v>-14.142517465077402</v>
      </c>
      <c r="E192" s="11">
        <v>5.2512648278741807</v>
      </c>
      <c r="F192" s="11">
        <v>197.20000000000002</v>
      </c>
      <c r="G192" s="11">
        <v>1149.4000000000001</v>
      </c>
      <c r="H192" s="11">
        <v>-766.5</v>
      </c>
      <c r="I192" s="11">
        <v>-203.02568580000002</v>
      </c>
      <c r="J192" s="11">
        <v>-193.14000000000001</v>
      </c>
      <c r="K192" s="11">
        <v>-42.518000000000001</v>
      </c>
      <c r="L192" s="11">
        <v>-1050.6025102999999</v>
      </c>
      <c r="M192" s="11">
        <v>-433.8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 t="s">
        <v>407</v>
      </c>
      <c r="B193" s="1" t="s">
        <v>44</v>
      </c>
      <c r="C193" s="11"/>
      <c r="D193" s="11"/>
      <c r="E193" s="11"/>
      <c r="F193" s="11"/>
      <c r="G193" s="11">
        <v>0</v>
      </c>
      <c r="H193" s="11"/>
      <c r="I193" s="11"/>
      <c r="J193" s="11"/>
      <c r="K193" s="11"/>
      <c r="L193" s="1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 t="s">
        <v>408</v>
      </c>
      <c r="B194" s="1" t="s">
        <v>44</v>
      </c>
      <c r="C194" s="11">
        <v>-114.9839760643261</v>
      </c>
      <c r="D194" s="11"/>
      <c r="E194" s="11"/>
      <c r="F194" s="11"/>
      <c r="G194" s="11">
        <v>0</v>
      </c>
      <c r="H194" s="11"/>
      <c r="I194" s="11"/>
      <c r="J194" s="11"/>
      <c r="K194" s="11"/>
      <c r="L194" s="11"/>
      <c r="M194" s="1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 t="s">
        <v>409</v>
      </c>
      <c r="B195" s="1" t="s">
        <v>44</v>
      </c>
      <c r="C195" s="11">
        <v>-92.54665113759448</v>
      </c>
      <c r="D195" s="11">
        <v>-111.08752147617975</v>
      </c>
      <c r="E195" s="11">
        <v>-159.86322360000003</v>
      </c>
      <c r="F195" s="11">
        <v>-135.4</v>
      </c>
      <c r="G195" s="11">
        <v>-188.3</v>
      </c>
      <c r="H195" s="11">
        <v>-178.9</v>
      </c>
      <c r="I195" s="11">
        <v>-123.05000000000001</v>
      </c>
      <c r="J195" s="11">
        <v>-256.95</v>
      </c>
      <c r="K195" s="11">
        <v>-350.70000000000005</v>
      </c>
      <c r="L195" s="11">
        <v>-263.60000000000002</v>
      </c>
      <c r="M195" s="11">
        <v>-208.3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 t="s">
        <v>410</v>
      </c>
      <c r="B196" s="1" t="s">
        <v>44</v>
      </c>
      <c r="C196" s="11"/>
      <c r="D196" s="11"/>
      <c r="E196" s="11"/>
      <c r="F196" s="11"/>
      <c r="G196" s="11">
        <v>-237.78000000000003</v>
      </c>
      <c r="H196" s="11">
        <v>-379.40000000000003</v>
      </c>
      <c r="I196" s="11">
        <v>-517.721</v>
      </c>
      <c r="J196" s="11">
        <v>-442.63200000000001</v>
      </c>
      <c r="K196" s="11">
        <v>-454.48800000000006</v>
      </c>
      <c r="L196" s="11">
        <v>-535.02166785254497</v>
      </c>
      <c r="M196" s="11">
        <v>-463.8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 t="s">
        <v>411</v>
      </c>
      <c r="B197" s="1" t="s">
        <v>44</v>
      </c>
      <c r="C197" s="11"/>
      <c r="D197" s="11"/>
      <c r="E197" s="11">
        <v>60.6455635021224</v>
      </c>
      <c r="F197" s="11"/>
      <c r="G197" s="11"/>
      <c r="H197" s="11"/>
      <c r="I197" s="11"/>
      <c r="J197" s="11"/>
      <c r="K197" s="11"/>
      <c r="L197" s="11"/>
      <c r="M197" s="1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 t="s">
        <v>412</v>
      </c>
      <c r="B198" s="1" t="s">
        <v>44</v>
      </c>
      <c r="C198" s="11">
        <v>-565.30859305307456</v>
      </c>
      <c r="D198" s="11">
        <v>-1570.9490069459446</v>
      </c>
      <c r="E198" s="11">
        <v>-269.40000000000003</v>
      </c>
      <c r="F198" s="11">
        <v>-2251.2000000000003</v>
      </c>
      <c r="G198" s="11">
        <v>-4465.5480000000007</v>
      </c>
      <c r="H198" s="11">
        <v>-2986.855</v>
      </c>
      <c r="I198" s="11">
        <v>-4666.6046858</v>
      </c>
      <c r="J198" s="11">
        <v>-5078.1260000000002</v>
      </c>
      <c r="K198" s="11">
        <v>-4767.2060000000001</v>
      </c>
      <c r="L198" s="11">
        <v>-5799.2241781525454</v>
      </c>
      <c r="M198" s="11">
        <v>-5130.5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 t="s">
        <v>413</v>
      </c>
      <c r="B199" s="1" t="s">
        <v>44</v>
      </c>
      <c r="C199" s="11">
        <v>1181.1376161185756</v>
      </c>
      <c r="D199" s="11">
        <v>-550.34375861335991</v>
      </c>
      <c r="E199" s="11">
        <v>-75.55093708398401</v>
      </c>
      <c r="F199" s="11">
        <v>64.44861876063878</v>
      </c>
      <c r="G199" s="11">
        <v>921.23300000000006</v>
      </c>
      <c r="H199" s="11">
        <v>-343.20900000000006</v>
      </c>
      <c r="I199" s="11">
        <v>1100.1696142000001</v>
      </c>
      <c r="J199" s="11">
        <v>215.36700000000002</v>
      </c>
      <c r="K199" s="11">
        <v>295.46199999999999</v>
      </c>
      <c r="L199" s="11">
        <v>-36.672915552545604</v>
      </c>
      <c r="M199" s="11">
        <v>632.30000000000007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 t="s">
        <v>414</v>
      </c>
      <c r="B200" s="1" t="s">
        <v>44</v>
      </c>
      <c r="C200" s="11"/>
      <c r="D200" s="11"/>
      <c r="E200" s="11">
        <v>40.371050086098307</v>
      </c>
      <c r="F200" s="11">
        <v>12.200000000000001</v>
      </c>
      <c r="G200" s="11">
        <v>52.7946557</v>
      </c>
      <c r="H200" s="11">
        <v>16.900000000000002</v>
      </c>
      <c r="I200" s="11">
        <v>-1.7000000000000002</v>
      </c>
      <c r="J200" s="11">
        <v>52</v>
      </c>
      <c r="K200" s="11">
        <v>-4.7</v>
      </c>
      <c r="L200" s="11">
        <v>8</v>
      </c>
      <c r="M200" s="11">
        <v>95.300000000000011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 t="s">
        <v>415</v>
      </c>
      <c r="B201" s="1" t="s">
        <v>44</v>
      </c>
      <c r="C201" s="11">
        <v>1205.5522791040291</v>
      </c>
      <c r="D201" s="11">
        <v>2393.7532978425024</v>
      </c>
      <c r="E201" s="11">
        <v>2001.251160803994</v>
      </c>
      <c r="F201" s="11">
        <v>1966.0826939000003</v>
      </c>
      <c r="G201" s="11">
        <v>2042.7</v>
      </c>
      <c r="H201" s="11">
        <v>3016.7000000000003</v>
      </c>
      <c r="I201" s="11">
        <v>2690.4</v>
      </c>
      <c r="J201" s="11">
        <v>3788.9</v>
      </c>
      <c r="K201" s="11">
        <v>4056.3</v>
      </c>
      <c r="L201" s="11">
        <v>4347.1000000000004</v>
      </c>
      <c r="M201" s="11">
        <v>4318.5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 t="s">
        <v>416</v>
      </c>
      <c r="B202" s="1" t="s">
        <v>44</v>
      </c>
      <c r="C202" s="11">
        <v>6.5651549141090007</v>
      </c>
      <c r="D202" s="11">
        <v>161.32502810399674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 t="s">
        <v>417</v>
      </c>
      <c r="B203" s="1" t="s">
        <v>44</v>
      </c>
      <c r="C203" s="11"/>
      <c r="D203" s="11"/>
      <c r="E203" s="11"/>
      <c r="F203" s="11"/>
      <c r="G203" s="11">
        <v>0</v>
      </c>
      <c r="H203" s="11"/>
      <c r="I203" s="11"/>
      <c r="J203" s="11"/>
      <c r="K203" s="11"/>
      <c r="L203" s="11"/>
      <c r="M203" s="1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 t="s">
        <v>418</v>
      </c>
      <c r="B204" s="1" t="s">
        <v>44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 t="s">
        <v>419</v>
      </c>
      <c r="B205" s="1" t="s">
        <v>44</v>
      </c>
      <c r="C205" s="11">
        <v>2393.2550501367136</v>
      </c>
      <c r="D205" s="11">
        <v>2004.8045673331396</v>
      </c>
      <c r="E205" s="11">
        <v>1966.0712738061081</v>
      </c>
      <c r="F205" s="11">
        <v>2042.7313126606391</v>
      </c>
      <c r="G205" s="11">
        <v>3016.7280000000001</v>
      </c>
      <c r="H205" s="11">
        <v>2690.3900000000003</v>
      </c>
      <c r="I205" s="11">
        <v>3788.8680000000004</v>
      </c>
      <c r="J205" s="11">
        <v>4056.2669999999998</v>
      </c>
      <c r="K205" s="11">
        <v>4347.0620000000008</v>
      </c>
      <c r="L205" s="11">
        <v>4318.5270844474544</v>
      </c>
      <c r="M205" s="11">
        <v>5046.1000000000004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6">
    <mergeCell ref="A4:M4"/>
    <mergeCell ref="A61:M61"/>
    <mergeCell ref="A118:M118"/>
    <mergeCell ref="A1:AU1"/>
    <mergeCell ref="A2:AU2"/>
    <mergeCell ref="A32:AU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300"/>
  <sheetViews>
    <sheetView showGridLines="0" workbookViewId="0"/>
  </sheetViews>
  <sheetFormatPr defaultRowHeight="13.8"/>
  <cols>
    <col min="1" max="1" width="48" customWidth="1"/>
    <col min="2" max="17" width="11" customWidth="1"/>
  </cols>
  <sheetData>
    <row r="1" spans="1:46" ht="25.95" customHeight="1">
      <c r="A1" s="68" t="s">
        <v>420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421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14" t="s">
        <v>39</v>
      </c>
      <c r="O5" s="14" t="s">
        <v>40</v>
      </c>
      <c r="P5" s="14" t="s">
        <v>41</v>
      </c>
      <c r="Q5" s="14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47</v>
      </c>
      <c r="B6" s="1" t="s">
        <v>48</v>
      </c>
      <c r="C6" s="13">
        <v>4037.4553475371813</v>
      </c>
      <c r="D6" s="13">
        <v>4351.0924023774605</v>
      </c>
      <c r="E6" s="13">
        <v>4770.7658739261751</v>
      </c>
      <c r="F6" s="13">
        <v>4970.5229494135701</v>
      </c>
      <c r="G6" s="13">
        <v>5181.87</v>
      </c>
      <c r="H6" s="13">
        <v>5111.0600000000004</v>
      </c>
      <c r="I6" s="13">
        <v>5997.79</v>
      </c>
      <c r="J6" s="13">
        <v>6606.52</v>
      </c>
      <c r="K6" s="13">
        <v>6277.11</v>
      </c>
      <c r="L6" s="13">
        <v>6263.9884598536701</v>
      </c>
      <c r="M6" s="13">
        <v>6384.864312717852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63</v>
      </c>
      <c r="B7" s="1" t="s">
        <v>64</v>
      </c>
      <c r="C7" s="15">
        <v>105432</v>
      </c>
      <c r="D7" s="15">
        <v>117693</v>
      </c>
      <c r="E7" s="15">
        <v>112807</v>
      </c>
      <c r="F7" s="15">
        <v>121082</v>
      </c>
      <c r="G7" s="15">
        <v>125236</v>
      </c>
      <c r="H7" s="15">
        <v>121054</v>
      </c>
      <c r="I7" s="15">
        <v>151173</v>
      </c>
      <c r="J7" s="15">
        <v>152400</v>
      </c>
      <c r="K7" s="15">
        <v>145455</v>
      </c>
      <c r="L7" s="15">
        <v>148731</v>
      </c>
      <c r="M7" s="15">
        <v>147623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422</v>
      </c>
      <c r="B8" s="1" t="s">
        <v>64</v>
      </c>
      <c r="C8" s="15">
        <v>72125</v>
      </c>
      <c r="D8" s="15">
        <v>82403</v>
      </c>
      <c r="E8" s="15">
        <v>72437</v>
      </c>
      <c r="F8" s="15">
        <v>71477</v>
      </c>
      <c r="G8" s="15">
        <v>71515</v>
      </c>
      <c r="H8" s="15">
        <v>68427</v>
      </c>
      <c r="I8" s="15">
        <v>85830</v>
      </c>
      <c r="J8" s="15">
        <v>83789</v>
      </c>
      <c r="K8" s="15">
        <v>80925</v>
      </c>
      <c r="L8" s="15">
        <v>80609</v>
      </c>
      <c r="M8" s="15">
        <v>75377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423</v>
      </c>
      <c r="B9" s="1" t="s">
        <v>64</v>
      </c>
      <c r="C9" s="15">
        <v>27254</v>
      </c>
      <c r="D9" s="15">
        <v>28414</v>
      </c>
      <c r="E9" s="15">
        <v>34190</v>
      </c>
      <c r="F9" s="15">
        <v>43081</v>
      </c>
      <c r="G9" s="15">
        <v>46816</v>
      </c>
      <c r="H9" s="15">
        <v>46125</v>
      </c>
      <c r="I9" s="15">
        <v>57315</v>
      </c>
      <c r="J9" s="15">
        <v>60102</v>
      </c>
      <c r="K9" s="15">
        <v>55492</v>
      </c>
      <c r="L9" s="15">
        <v>59636</v>
      </c>
      <c r="M9" s="15">
        <v>64330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424</v>
      </c>
      <c r="B10" s="1" t="s">
        <v>64</v>
      </c>
      <c r="C10" s="15">
        <v>6053</v>
      </c>
      <c r="D10" s="15">
        <v>6876</v>
      </c>
      <c r="E10" s="15">
        <v>6180</v>
      </c>
      <c r="F10" s="15">
        <v>6524</v>
      </c>
      <c r="G10" s="15">
        <v>6905</v>
      </c>
      <c r="H10" s="15">
        <v>6502</v>
      </c>
      <c r="I10" s="15">
        <v>8028</v>
      </c>
      <c r="J10" s="15">
        <v>8509</v>
      </c>
      <c r="K10" s="15">
        <v>9038</v>
      </c>
      <c r="L10" s="15">
        <v>8486</v>
      </c>
      <c r="M10" s="15">
        <v>7916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66</v>
      </c>
      <c r="B11" s="1" t="s">
        <v>46</v>
      </c>
      <c r="C11" s="16">
        <v>0.2107329740553309</v>
      </c>
      <c r="D11" s="16">
        <v>0.16516347237880497</v>
      </c>
      <c r="E11" s="16">
        <v>0.18084725536992841</v>
      </c>
      <c r="F11" s="16">
        <v>0.20799999999999999</v>
      </c>
      <c r="G11" s="16">
        <v>0.191</v>
      </c>
      <c r="H11" s="16">
        <v>0.13300000000000001</v>
      </c>
      <c r="I11" s="16">
        <v>0.23499999999999999</v>
      </c>
      <c r="J11" s="16">
        <v>0.14799999999999999</v>
      </c>
      <c r="K11" s="16">
        <v>0.1</v>
      </c>
      <c r="L11" s="16">
        <v>0.11799999999999999</v>
      </c>
      <c r="M11" s="16">
        <v>0.121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425</v>
      </c>
      <c r="B12" s="1" t="s">
        <v>46</v>
      </c>
      <c r="C12" s="16">
        <v>0.77485958392828691</v>
      </c>
      <c r="D12" s="16">
        <v>0.76865319264703547</v>
      </c>
      <c r="E12" s="16">
        <v>0.83822415090740643</v>
      </c>
      <c r="F12" s="16">
        <v>0.81799999999999995</v>
      </c>
      <c r="G12" s="16">
        <v>0.83160803291672802</v>
      </c>
      <c r="H12" s="16">
        <v>0.874</v>
      </c>
      <c r="I12" s="16">
        <v>0.83099999999999996</v>
      </c>
      <c r="J12" s="16">
        <v>0.86481215674332446</v>
      </c>
      <c r="K12" s="16">
        <v>0.86419999999999997</v>
      </c>
      <c r="L12" s="16">
        <v>0.86350000000000005</v>
      </c>
      <c r="M12" s="16">
        <v>0.86119999999999997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426</v>
      </c>
      <c r="B13" s="1" t="s">
        <v>46</v>
      </c>
      <c r="C13" s="16">
        <v>0.80159828867921101</v>
      </c>
      <c r="D13" s="16">
        <v>0.80615885079971461</v>
      </c>
      <c r="E13" s="16">
        <v>0.8397314382537282</v>
      </c>
      <c r="F13" s="16">
        <v>0.81899999999999995</v>
      </c>
      <c r="G13" s="16">
        <v>0.83514896651811188</v>
      </c>
      <c r="H13" s="16">
        <v>0.874</v>
      </c>
      <c r="I13" s="16">
        <v>0.84199999999999997</v>
      </c>
      <c r="J13" s="16">
        <v>0.86481215674332446</v>
      </c>
      <c r="K13" s="16">
        <v>0.86409999999999998</v>
      </c>
      <c r="L13" s="16">
        <v>0.86270000000000002</v>
      </c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427</v>
      </c>
      <c r="B14" s="1" t="s">
        <v>64</v>
      </c>
      <c r="C14" s="15">
        <v>807</v>
      </c>
      <c r="D14" s="15">
        <v>843</v>
      </c>
      <c r="E14" s="15">
        <v>913</v>
      </c>
      <c r="F14" s="15">
        <v>938</v>
      </c>
      <c r="G14" s="15">
        <v>973</v>
      </c>
      <c r="H14" s="15">
        <v>1007</v>
      </c>
      <c r="I14" s="15">
        <v>1224</v>
      </c>
      <c r="J14" s="15">
        <v>1297</v>
      </c>
      <c r="K14" s="15">
        <v>1172</v>
      </c>
      <c r="L14" s="15">
        <v>1162</v>
      </c>
      <c r="M14" s="1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428</v>
      </c>
      <c r="B15" s="1" t="s">
        <v>46</v>
      </c>
      <c r="C15" s="16">
        <v>0.96274999874112011</v>
      </c>
      <c r="D15" s="16">
        <v>0.93545350724785925</v>
      </c>
      <c r="E15" s="16">
        <v>0.88397965764990372</v>
      </c>
      <c r="F15" s="16">
        <v>0.88740007002971866</v>
      </c>
      <c r="G15" s="16">
        <v>0.86129041679682017</v>
      </c>
      <c r="H15" s="16">
        <v>0.92220154140062793</v>
      </c>
      <c r="I15" s="16">
        <v>0.87396636260832383</v>
      </c>
      <c r="J15" s="16">
        <v>0.9175718377044888</v>
      </c>
      <c r="K15" s="16">
        <v>0.94037999999999999</v>
      </c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429</v>
      </c>
      <c r="B16" s="1" t="s">
        <v>64</v>
      </c>
      <c r="C16" s="15">
        <v>319</v>
      </c>
      <c r="D16" s="15">
        <v>354</v>
      </c>
      <c r="E16" s="15">
        <v>392</v>
      </c>
      <c r="F16" s="15">
        <v>425</v>
      </c>
      <c r="G16" s="15">
        <v>446</v>
      </c>
      <c r="H16" s="15">
        <v>451</v>
      </c>
      <c r="I16" s="15">
        <v>524</v>
      </c>
      <c r="J16" s="15">
        <v>582</v>
      </c>
      <c r="K16" s="15">
        <v>553</v>
      </c>
      <c r="L16" s="15">
        <v>540</v>
      </c>
      <c r="M16" s="15">
        <v>512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430</v>
      </c>
      <c r="B17" s="1" t="s">
        <v>64</v>
      </c>
      <c r="C17" s="15">
        <v>112</v>
      </c>
      <c r="D17" s="15">
        <v>134</v>
      </c>
      <c r="E17" s="15">
        <v>156</v>
      </c>
      <c r="F17" s="15">
        <v>156</v>
      </c>
      <c r="G17" s="15">
        <v>160</v>
      </c>
      <c r="H17" s="15">
        <v>169</v>
      </c>
      <c r="I17" s="15">
        <v>174</v>
      </c>
      <c r="J17" s="15">
        <v>186</v>
      </c>
      <c r="K17" s="15">
        <v>190</v>
      </c>
      <c r="L17" s="15">
        <v>195</v>
      </c>
      <c r="M17" s="15">
        <v>194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431</v>
      </c>
      <c r="B18" s="1" t="s">
        <v>64</v>
      </c>
      <c r="C18" s="15">
        <v>63</v>
      </c>
      <c r="D18" s="15">
        <v>71</v>
      </c>
      <c r="E18" s="15">
        <v>85</v>
      </c>
      <c r="F18" s="15">
        <v>83</v>
      </c>
      <c r="G18" s="15">
        <v>85</v>
      </c>
      <c r="H18" s="15">
        <v>85</v>
      </c>
      <c r="I18" s="15">
        <v>97</v>
      </c>
      <c r="J18" s="15">
        <v>112</v>
      </c>
      <c r="K18" s="15">
        <v>114</v>
      </c>
      <c r="L18" s="15">
        <v>106</v>
      </c>
      <c r="M18" s="15">
        <v>112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432</v>
      </c>
      <c r="B19" s="1" t="s">
        <v>64</v>
      </c>
      <c r="C19" s="15">
        <v>40</v>
      </c>
      <c r="D19" s="15">
        <v>36</v>
      </c>
      <c r="E19" s="15">
        <v>44</v>
      </c>
      <c r="F19" s="15">
        <v>50</v>
      </c>
      <c r="G19" s="15">
        <v>49</v>
      </c>
      <c r="H19" s="15">
        <v>50</v>
      </c>
      <c r="I19" s="15">
        <v>54</v>
      </c>
      <c r="J19" s="15">
        <v>65</v>
      </c>
      <c r="K19" s="15">
        <v>63</v>
      </c>
      <c r="L19" s="15">
        <v>59</v>
      </c>
      <c r="M19" s="15">
        <v>66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433</v>
      </c>
      <c r="B20" s="1" t="s">
        <v>64</v>
      </c>
      <c r="C20" s="15">
        <v>14</v>
      </c>
      <c r="D20" s="15">
        <v>14</v>
      </c>
      <c r="E20" s="15">
        <v>16</v>
      </c>
      <c r="F20" s="15">
        <v>20</v>
      </c>
      <c r="G20" s="15">
        <v>22</v>
      </c>
      <c r="H20" s="15">
        <v>21</v>
      </c>
      <c r="I20" s="15">
        <v>23</v>
      </c>
      <c r="J20" s="15">
        <v>24</v>
      </c>
      <c r="K20" s="15">
        <v>23</v>
      </c>
      <c r="L20" s="15">
        <v>25</v>
      </c>
      <c r="M20" s="15">
        <v>29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434</v>
      </c>
      <c r="B21" s="1" t="s">
        <v>46</v>
      </c>
      <c r="C21" s="16">
        <v>0.30164274550261772</v>
      </c>
      <c r="D21" s="16">
        <v>0.27900420074230914</v>
      </c>
      <c r="E21" s="16">
        <v>0.24243632555890543</v>
      </c>
      <c r="F21" s="16">
        <v>0.22658312574451947</v>
      </c>
      <c r="G21" s="16">
        <v>0.216888</v>
      </c>
      <c r="H21" s="16">
        <v>0.21829999999999999</v>
      </c>
      <c r="I21" s="16">
        <v>0.22320000000000001</v>
      </c>
      <c r="J21" s="16">
        <v>0.18459999999999999</v>
      </c>
      <c r="K21" s="16">
        <v>0.1648</v>
      </c>
      <c r="L21" s="16">
        <v>0.15229953450265821</v>
      </c>
      <c r="M21" s="16">
        <v>0.15314066100550863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435</v>
      </c>
      <c r="B22" s="1" t="s">
        <v>46</v>
      </c>
      <c r="C22" s="16">
        <v>0.41506312357583686</v>
      </c>
      <c r="D22" s="16">
        <v>0.38937827449020579</v>
      </c>
      <c r="E22" s="16">
        <v>0.34286238062488777</v>
      </c>
      <c r="F22" s="16">
        <v>0.32201795738259897</v>
      </c>
      <c r="G22" s="16">
        <v>0.31059999999999999</v>
      </c>
      <c r="H22" s="16">
        <v>0.30759999999999998</v>
      </c>
      <c r="I22" s="16">
        <v>0.313</v>
      </c>
      <c r="J22" s="16">
        <v>0.27889999999999998</v>
      </c>
      <c r="K22" s="16">
        <v>0.2661</v>
      </c>
      <c r="L22" s="16">
        <v>0.24663734666522427</v>
      </c>
      <c r="M22" s="16">
        <v>0.24531347489692845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436</v>
      </c>
      <c r="B23" s="1" t="s">
        <v>46</v>
      </c>
      <c r="C23" s="16">
        <v>0.5419530785291421</v>
      </c>
      <c r="D23" s="16">
        <v>0.50904879548907112</v>
      </c>
      <c r="E23" s="16">
        <v>0.4629579723602254</v>
      </c>
      <c r="F23" s="16">
        <v>0.45218498153835501</v>
      </c>
      <c r="G23" s="16">
        <v>0.432</v>
      </c>
      <c r="H23" s="16">
        <v>0.42980000000000002</v>
      </c>
      <c r="I23" s="16">
        <v>0.42699999999999999</v>
      </c>
      <c r="J23" s="16">
        <v>0.40250000000000002</v>
      </c>
      <c r="K23" s="16">
        <v>0.39056000000000002</v>
      </c>
      <c r="L23" s="16">
        <v>0.38302175898731905</v>
      </c>
      <c r="M23" s="16">
        <v>0.37931352902043125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67</v>
      </c>
      <c r="B24" s="1" t="s">
        <v>48</v>
      </c>
      <c r="C24" s="13"/>
      <c r="D24" s="13"/>
      <c r="E24" s="13"/>
      <c r="F24" s="13">
        <v>1666.8999999999999</v>
      </c>
      <c r="G24" s="13">
        <v>3712</v>
      </c>
      <c r="H24" s="13">
        <v>2209.69</v>
      </c>
      <c r="I24" s="13">
        <v>3280</v>
      </c>
      <c r="J24" s="13">
        <v>2905</v>
      </c>
      <c r="K24" s="13">
        <v>1880.1849999999999</v>
      </c>
      <c r="L24" s="13">
        <v>2680</v>
      </c>
      <c r="M24" s="13">
        <v>3793.62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437</v>
      </c>
      <c r="B25" s="1" t="s">
        <v>160</v>
      </c>
      <c r="C25" s="17"/>
      <c r="D25" s="17">
        <v>95</v>
      </c>
      <c r="E25" s="17">
        <v>102</v>
      </c>
      <c r="F25" s="17">
        <v>102</v>
      </c>
      <c r="G25" s="17">
        <v>112</v>
      </c>
      <c r="H25" s="17">
        <v>92</v>
      </c>
      <c r="I25" s="17">
        <v>97</v>
      </c>
      <c r="J25" s="17">
        <v>95.555615973288596</v>
      </c>
      <c r="K25" s="17">
        <v>92</v>
      </c>
      <c r="L25" s="17">
        <v>88.035780425803168</v>
      </c>
      <c r="M25" s="17">
        <v>88.606668833451621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438</v>
      </c>
      <c r="B26" s="1" t="s">
        <v>150</v>
      </c>
      <c r="C26" s="17">
        <v>65.62111520140526</v>
      </c>
      <c r="D26" s="17">
        <v>66.973621244580514</v>
      </c>
      <c r="E26" s="17">
        <v>64.503021040676202</v>
      </c>
      <c r="F26" s="17">
        <v>69.896330803379414</v>
      </c>
      <c r="G26" s="17">
        <v>71.147440981730526</v>
      </c>
      <c r="H26" s="17">
        <v>74.06502956333911</v>
      </c>
      <c r="I26" s="17">
        <v>74.437357760108313</v>
      </c>
      <c r="J26" s="17">
        <v>80.662992013949861</v>
      </c>
      <c r="K26" s="17">
        <v>82.83356672099103</v>
      </c>
      <c r="L26" s="17">
        <v>84.591950709334071</v>
      </c>
      <c r="M26" s="17">
        <v>88.984505883438402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439</v>
      </c>
      <c r="B27" s="1" t="s">
        <v>150</v>
      </c>
      <c r="C27" s="17">
        <v>66.260000000000005</v>
      </c>
      <c r="D27" s="17">
        <v>64.844999999999999</v>
      </c>
      <c r="E27" s="17">
        <v>65.17</v>
      </c>
      <c r="F27" s="17">
        <v>69.155000000000001</v>
      </c>
      <c r="G27" s="17">
        <v>75.62</v>
      </c>
      <c r="H27" s="17">
        <v>73.11</v>
      </c>
      <c r="I27" s="17">
        <v>75.792500000000004</v>
      </c>
      <c r="J27" s="17">
        <v>82.17</v>
      </c>
      <c r="K27" s="17">
        <v>83.41</v>
      </c>
      <c r="L27" s="17">
        <v>85.474999999999994</v>
      </c>
      <c r="M27" s="17">
        <v>94.835000000000008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440</v>
      </c>
      <c r="B28" s="1" t="s">
        <v>48</v>
      </c>
      <c r="C28" s="13">
        <v>329.32268834995966</v>
      </c>
      <c r="D28" s="13">
        <v>396.80794192585267</v>
      </c>
      <c r="E28" s="13">
        <v>428.06914195198846</v>
      </c>
      <c r="F28" s="13">
        <v>534.50916968014894</v>
      </c>
      <c r="G28" s="13">
        <v>522.6</v>
      </c>
      <c r="H28" s="13">
        <v>965.42</v>
      </c>
      <c r="I28" s="13">
        <v>594.72</v>
      </c>
      <c r="J28" s="13">
        <v>497.35</v>
      </c>
      <c r="K28" s="13">
        <v>676.34</v>
      </c>
      <c r="L28" s="13">
        <v>612.96003683188019</v>
      </c>
      <c r="M28" s="13">
        <v>616.24421215360883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441</v>
      </c>
      <c r="B29" s="1" t="s">
        <v>46</v>
      </c>
      <c r="C29" s="16">
        <v>0.72376517309634303</v>
      </c>
      <c r="D29" s="16">
        <v>0.94601013119952237</v>
      </c>
      <c r="E29" s="16">
        <v>0.72789200130271581</v>
      </c>
      <c r="F29" s="16">
        <v>0.86966234028735478</v>
      </c>
      <c r="G29" s="16">
        <v>0.92200000000000004</v>
      </c>
      <c r="H29" s="16">
        <v>1.6149500000000001</v>
      </c>
      <c r="I29" s="16">
        <v>0.79669999999999996</v>
      </c>
      <c r="J29" s="16">
        <v>0.83640000000000003</v>
      </c>
      <c r="K29" s="16">
        <v>2.3791000000000002</v>
      </c>
      <c r="L29" s="16">
        <v>1.2202719528088095</v>
      </c>
      <c r="M29" s="16">
        <v>1.1466333882891671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442</v>
      </c>
      <c r="B30" s="1" t="s">
        <v>46</v>
      </c>
      <c r="C30" s="16">
        <v>0.62148792931477481</v>
      </c>
      <c r="D30" s="16">
        <v>0.63763805001352114</v>
      </c>
      <c r="E30" s="16">
        <v>0.65070223366587532</v>
      </c>
      <c r="F30" s="16">
        <v>0.65443058612258964</v>
      </c>
      <c r="G30" s="16">
        <v>0.65269999999999995</v>
      </c>
      <c r="H30" s="16">
        <v>0.63160000000000005</v>
      </c>
      <c r="I30" s="16">
        <v>0.61629999999999996</v>
      </c>
      <c r="J30" s="16"/>
      <c r="K30" s="16"/>
      <c r="L30" s="16"/>
      <c r="M30" s="1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443</v>
      </c>
      <c r="B31" s="1" t="s">
        <v>46</v>
      </c>
      <c r="C31" s="16">
        <v>0.37851207068522513</v>
      </c>
      <c r="D31" s="16">
        <v>0.36236194998647875</v>
      </c>
      <c r="E31" s="16">
        <v>0.34929776633412463</v>
      </c>
      <c r="F31" s="16">
        <v>0.34556941387741041</v>
      </c>
      <c r="G31" s="16">
        <v>0.34699999999999998</v>
      </c>
      <c r="H31" s="16">
        <v>0.36830000000000002</v>
      </c>
      <c r="I31" s="16">
        <v>0.3836</v>
      </c>
      <c r="J31" s="16"/>
      <c r="K31" s="16"/>
      <c r="L31" s="16"/>
      <c r="M31" s="1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444</v>
      </c>
      <c r="B32" s="1" t="s">
        <v>46</v>
      </c>
      <c r="C32" s="16"/>
      <c r="D32" s="16"/>
      <c r="E32" s="16"/>
      <c r="F32" s="16"/>
      <c r="G32" s="16"/>
      <c r="H32" s="16"/>
      <c r="I32" s="16">
        <v>0.27594086693973791</v>
      </c>
      <c r="J32" s="16">
        <v>0.27296450161358754</v>
      </c>
      <c r="K32" s="16">
        <v>0.26190000000000002</v>
      </c>
      <c r="L32" s="16">
        <v>0.23275620778795403</v>
      </c>
      <c r="M32" s="16">
        <v>0.21875244315651621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445</v>
      </c>
      <c r="B33" s="1" t="s">
        <v>46</v>
      </c>
      <c r="C33" s="16"/>
      <c r="D33" s="16"/>
      <c r="E33" s="16"/>
      <c r="F33" s="16"/>
      <c r="G33" s="16"/>
      <c r="H33" s="16"/>
      <c r="I33" s="16">
        <v>0.72405913306026204</v>
      </c>
      <c r="J33" s="16">
        <v>0.72703549838641246</v>
      </c>
      <c r="K33" s="16">
        <v>0.73809999999999998</v>
      </c>
      <c r="L33" s="16">
        <v>0.76724379221204586</v>
      </c>
      <c r="M33" s="16">
        <v>0.78124755684348379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446</v>
      </c>
      <c r="B34" s="1" t="s">
        <v>46</v>
      </c>
      <c r="C34" s="16">
        <v>0.51051503320210789</v>
      </c>
      <c r="D34" s="16">
        <v>0.48348980828197713</v>
      </c>
      <c r="E34" s="16">
        <v>0.48115697436566029</v>
      </c>
      <c r="F34" s="16">
        <v>0.48217645964005829</v>
      </c>
      <c r="G34" s="16">
        <v>0.49764000000000003</v>
      </c>
      <c r="H34" s="16">
        <v>0.5121</v>
      </c>
      <c r="I34" s="16">
        <v>0.51390000000000002</v>
      </c>
      <c r="J34" s="16">
        <v>0.51629999999999998</v>
      </c>
      <c r="K34" s="16">
        <v>0.53249999999999997</v>
      </c>
      <c r="L34" s="16">
        <v>0.52345602278615966</v>
      </c>
      <c r="M34" s="16">
        <v>0.51447327454051139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447</v>
      </c>
      <c r="B35" s="1" t="s">
        <v>46</v>
      </c>
      <c r="C35" s="16">
        <v>0.1202213794812671</v>
      </c>
      <c r="D35" s="16">
        <v>0.11441513819140536</v>
      </c>
      <c r="E35" s="16">
        <v>0.11881194737931283</v>
      </c>
      <c r="F35" s="16">
        <v>0.11551672755891446</v>
      </c>
      <c r="G35" s="16">
        <v>0.115</v>
      </c>
      <c r="H35" s="16">
        <v>0.1125</v>
      </c>
      <c r="I35" s="16">
        <v>0.1085</v>
      </c>
      <c r="J35" s="16">
        <v>0.10100000000000001</v>
      </c>
      <c r="K35" s="16">
        <v>9.3799999999999994E-2</v>
      </c>
      <c r="L35" s="16">
        <v>9.4952508680467743E-2</v>
      </c>
      <c r="M35" s="16">
        <v>9.3809011789269259E-2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448</v>
      </c>
      <c r="B36" s="1" t="s">
        <v>46</v>
      </c>
      <c r="C36" s="16">
        <v>0.11525050025645193</v>
      </c>
      <c r="D36" s="16">
        <v>0.11689894856205812</v>
      </c>
      <c r="E36" s="16">
        <v>0.11433921673467315</v>
      </c>
      <c r="F36" s="16">
        <v>0.10990381784262479</v>
      </c>
      <c r="G36" s="16">
        <v>9.4100000000000003E-2</v>
      </c>
      <c r="H36" s="16">
        <v>9.1399999999999995E-2</v>
      </c>
      <c r="I36" s="16">
        <v>0.1051</v>
      </c>
      <c r="J36" s="16">
        <v>0.1134</v>
      </c>
      <c r="K36" s="16">
        <v>0.1124</v>
      </c>
      <c r="L36" s="16">
        <v>0.1177995353802645</v>
      </c>
      <c r="M36" s="16">
        <v>0.13582989718209065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449</v>
      </c>
      <c r="B37" s="1" t="s">
        <v>46</v>
      </c>
      <c r="C37" s="16">
        <v>4.6949801330024278E-2</v>
      </c>
      <c r="D37" s="16">
        <v>4.5848489688506612E-2</v>
      </c>
      <c r="E37" s="16">
        <v>4.8163993580381516E-2</v>
      </c>
      <c r="F37" s="16">
        <v>4.911111186790354E-2</v>
      </c>
      <c r="G37" s="16">
        <v>4.6300000000000001E-2</v>
      </c>
      <c r="H37" s="16">
        <v>4.5900000000000003E-2</v>
      </c>
      <c r="I37" s="16">
        <v>4.3200000000000002E-2</v>
      </c>
      <c r="J37" s="16">
        <v>3.8699999999999998E-2</v>
      </c>
      <c r="K37" s="16">
        <v>3.7499999999999999E-2</v>
      </c>
      <c r="L37" s="16">
        <v>4.7702174236319526E-2</v>
      </c>
      <c r="M37" s="16">
        <v>5.4493229827060716E-2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450</v>
      </c>
      <c r="B38" s="1" t="s">
        <v>46</v>
      </c>
      <c r="C38" s="16">
        <v>0.2070632857301489</v>
      </c>
      <c r="D38" s="16">
        <v>0.23934761527605281</v>
      </c>
      <c r="E38" s="16">
        <v>0.23757670401904232</v>
      </c>
      <c r="F38" s="16">
        <v>0.24810052789445175</v>
      </c>
      <c r="G38" s="16">
        <v>0.247</v>
      </c>
      <c r="H38" s="16">
        <v>0.23810000000000001</v>
      </c>
      <c r="I38" s="16">
        <v>0.22939999999999999</v>
      </c>
      <c r="J38" s="16">
        <v>0.2306</v>
      </c>
      <c r="K38" s="16">
        <v>0.2238</v>
      </c>
      <c r="L38" s="16">
        <v>0.21595326392908393</v>
      </c>
      <c r="M38" s="16">
        <v>0.20139458666106791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451</v>
      </c>
      <c r="B39" s="1" t="s">
        <v>46</v>
      </c>
      <c r="C39" s="16">
        <v>0.47788163470102435</v>
      </c>
      <c r="D39" s="16">
        <v>0.47210350112220884</v>
      </c>
      <c r="E39" s="16">
        <v>0.46580472753631197</v>
      </c>
      <c r="F39" s="16">
        <v>0.47247123118022677</v>
      </c>
      <c r="G39" s="16">
        <v>0.48049999999999998</v>
      </c>
      <c r="H39" s="16">
        <v>0.47399999999999998</v>
      </c>
      <c r="I39" s="16">
        <v>0.47910000000000003</v>
      </c>
      <c r="J39" s="16">
        <v>0.49930000000000002</v>
      </c>
      <c r="K39" s="16">
        <v>0.51829999999999998</v>
      </c>
      <c r="L39" s="16">
        <v>0.50699748293063152</v>
      </c>
      <c r="M39" s="16">
        <v>0.49811039258125572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452</v>
      </c>
      <c r="B40" s="1" t="s">
        <v>46</v>
      </c>
      <c r="C40" s="16">
        <v>0.29038553541744466</v>
      </c>
      <c r="D40" s="16">
        <v>0.29253597318790192</v>
      </c>
      <c r="E40" s="16">
        <v>0.29830438716850421</v>
      </c>
      <c r="F40" s="16">
        <v>0.29272929421005972</v>
      </c>
      <c r="G40" s="16">
        <v>0.26900000000000002</v>
      </c>
      <c r="H40" s="16">
        <v>0.25969999999999999</v>
      </c>
      <c r="I40" s="16">
        <v>0.26240000000000002</v>
      </c>
      <c r="J40" s="16">
        <v>0.2492</v>
      </c>
      <c r="K40" s="16">
        <v>0.24030000000000001</v>
      </c>
      <c r="L40" s="16">
        <v>0.24110791221005612</v>
      </c>
      <c r="M40" s="16">
        <v>0.25757022054724887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453</v>
      </c>
      <c r="B41" s="1" t="s">
        <v>46</v>
      </c>
      <c r="C41" s="16">
        <v>0.23173282988153096</v>
      </c>
      <c r="D41" s="16">
        <v>0.23536052568988933</v>
      </c>
      <c r="E41" s="16">
        <v>0.23589088529518387</v>
      </c>
      <c r="F41" s="16">
        <v>0.23479947460971343</v>
      </c>
      <c r="G41" s="16">
        <v>0.25009999999999999</v>
      </c>
      <c r="H41" s="16">
        <v>0.26569999999999999</v>
      </c>
      <c r="I41" s="16">
        <v>0.25800000000000001</v>
      </c>
      <c r="J41" s="16">
        <v>0.25140000000000001</v>
      </c>
      <c r="K41" s="16">
        <v>0.2414</v>
      </c>
      <c r="L41" s="16">
        <v>0.25199460485931224</v>
      </c>
      <c r="M41" s="16">
        <v>0.2443086154602761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454</v>
      </c>
      <c r="B42" s="1" t="s">
        <v>46</v>
      </c>
      <c r="C42" s="16">
        <v>0.51958341451449841</v>
      </c>
      <c r="D42" s="16">
        <v>0.47774845783199976</v>
      </c>
      <c r="E42" s="16">
        <v>0.43273304255066242</v>
      </c>
      <c r="F42" s="16">
        <v>0.41221490273488215</v>
      </c>
      <c r="G42" s="16">
        <v>0.41609800797875984</v>
      </c>
      <c r="H42" s="16">
        <v>0.39664372288009681</v>
      </c>
      <c r="I42" s="16"/>
      <c r="J42" s="16"/>
      <c r="K42" s="16"/>
      <c r="L42" s="16"/>
      <c r="M42" s="1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455</v>
      </c>
      <c r="B43" s="1" t="s">
        <v>46</v>
      </c>
      <c r="C43" s="16">
        <v>0.17004687412133063</v>
      </c>
      <c r="D43" s="16">
        <v>0.18730728761911886</v>
      </c>
      <c r="E43" s="16">
        <v>0.19192741069857172</v>
      </c>
      <c r="F43" s="16">
        <v>0.20231749686370654</v>
      </c>
      <c r="G43" s="16">
        <v>0.1809994440478892</v>
      </c>
      <c r="H43" s="16">
        <v>0.16379365579089528</v>
      </c>
      <c r="I43" s="16"/>
      <c r="J43" s="16"/>
      <c r="K43" s="16"/>
      <c r="L43" s="16"/>
      <c r="M43" s="1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456</v>
      </c>
      <c r="B44" s="1" t="s">
        <v>46</v>
      </c>
      <c r="C44" s="16">
        <v>7.4347678987783827E-2</v>
      </c>
      <c r="D44" s="16">
        <v>6.7214336586515433E-2</v>
      </c>
      <c r="E44" s="16">
        <v>6.4500667669940379E-2</v>
      </c>
      <c r="F44" s="16">
        <v>7.2454242007375866E-2</v>
      </c>
      <c r="G44" s="16">
        <v>7.6919334790813546E-2</v>
      </c>
      <c r="H44" s="16">
        <v>9.3544647910930562E-2</v>
      </c>
      <c r="I44" s="16"/>
      <c r="J44" s="16"/>
      <c r="K44" s="16"/>
      <c r="L44" s="16"/>
      <c r="M44" s="1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457</v>
      </c>
      <c r="B45" s="1" t="s">
        <v>46</v>
      </c>
      <c r="C45" s="16">
        <v>0.10134180115136049</v>
      </c>
      <c r="D45" s="16">
        <v>0.12643919559231584</v>
      </c>
      <c r="E45" s="16">
        <v>0.13675167660626972</v>
      </c>
      <c r="F45" s="16">
        <v>0.13356922290013332</v>
      </c>
      <c r="G45" s="16">
        <v>0.13558064086058902</v>
      </c>
      <c r="H45" s="16">
        <v>0.16153575949600987</v>
      </c>
      <c r="I45" s="16"/>
      <c r="J45" s="16"/>
      <c r="K45" s="16"/>
      <c r="L45" s="16"/>
      <c r="M45" s="1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458</v>
      </c>
      <c r="B46" s="1" t="s">
        <v>46</v>
      </c>
      <c r="C46" s="16">
        <v>6.3703760334117232E-2</v>
      </c>
      <c r="D46" s="16">
        <v>6.8851850813355944E-2</v>
      </c>
      <c r="E46" s="16">
        <v>6.8326502923676369E-2</v>
      </c>
      <c r="F46" s="16">
        <v>6.4358118139479739E-2</v>
      </c>
      <c r="G46" s="16">
        <v>6.9305782037257263E-2</v>
      </c>
      <c r="H46" s="16">
        <v>7.5729404188121671E-2</v>
      </c>
      <c r="I46" s="16"/>
      <c r="J46" s="16"/>
      <c r="K46" s="16"/>
      <c r="L46" s="16"/>
      <c r="M46" s="1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459</v>
      </c>
      <c r="B47" s="1" t="s">
        <v>46</v>
      </c>
      <c r="C47" s="16">
        <v>7.0976470890909429E-2</v>
      </c>
      <c r="D47" s="16">
        <v>7.2438871556694304E-2</v>
      </c>
      <c r="E47" s="16">
        <v>0.10576069955087954</v>
      </c>
      <c r="F47" s="16">
        <v>0.11508601735442277</v>
      </c>
      <c r="G47" s="16">
        <v>0.12104679028469154</v>
      </c>
      <c r="H47" s="16">
        <v>0.10875280973394487</v>
      </c>
      <c r="I47" s="16"/>
      <c r="J47" s="16"/>
      <c r="K47" s="16"/>
      <c r="L47" s="16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460</v>
      </c>
      <c r="B48" s="1" t="s">
        <v>46</v>
      </c>
      <c r="C48" s="16"/>
      <c r="D48" s="16"/>
      <c r="E48" s="16"/>
      <c r="F48" s="16"/>
      <c r="G48" s="16"/>
      <c r="H48" s="16">
        <v>0.40467177487059997</v>
      </c>
      <c r="I48" s="16">
        <v>0.40401735105545067</v>
      </c>
      <c r="J48" s="16">
        <v>0.39999784182806458</v>
      </c>
      <c r="K48" s="16">
        <v>0.36865309162677035</v>
      </c>
      <c r="L48" s="16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461</v>
      </c>
      <c r="B49" s="1" t="s">
        <v>46</v>
      </c>
      <c r="C49" s="16"/>
      <c r="D49" s="16"/>
      <c r="E49" s="16"/>
      <c r="F49" s="16"/>
      <c r="G49" s="16"/>
      <c r="H49" s="16">
        <v>0.16496365567959792</v>
      </c>
      <c r="I49" s="16">
        <v>0.15809025525154183</v>
      </c>
      <c r="J49" s="16">
        <v>0.15712794216068315</v>
      </c>
      <c r="K49" s="16">
        <v>0.1774055798589472</v>
      </c>
      <c r="L49" s="16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462</v>
      </c>
      <c r="B50" s="1" t="s">
        <v>46</v>
      </c>
      <c r="C50" s="16"/>
      <c r="D50" s="16"/>
      <c r="E50" s="16"/>
      <c r="F50" s="16"/>
      <c r="G50" s="16"/>
      <c r="H50" s="16">
        <v>8.5207267935652115E-2</v>
      </c>
      <c r="I50" s="16">
        <v>8.8660859141636197E-2</v>
      </c>
      <c r="J50" s="16">
        <v>0.10086619738020977</v>
      </c>
      <c r="K50" s="16">
        <v>0.10720558947584398</v>
      </c>
      <c r="L50" s="16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463</v>
      </c>
      <c r="B51" s="1" t="s">
        <v>46</v>
      </c>
      <c r="C51" s="16"/>
      <c r="D51" s="16"/>
      <c r="E51" s="16"/>
      <c r="F51" s="16"/>
      <c r="G51" s="16"/>
      <c r="H51" s="16">
        <v>0.16123686727613065</v>
      </c>
      <c r="I51" s="16">
        <v>0.16387117017744146</v>
      </c>
      <c r="J51" s="16">
        <v>0.16189809116758463</v>
      </c>
      <c r="K51" s="16">
        <v>0.16004969545645292</v>
      </c>
      <c r="L51" s="16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464</v>
      </c>
      <c r="B52" s="1" t="s">
        <v>46</v>
      </c>
      <c r="C52" s="16"/>
      <c r="D52" s="16"/>
      <c r="E52" s="16"/>
      <c r="F52" s="16"/>
      <c r="G52" s="16"/>
      <c r="H52" s="16">
        <v>7.7650754902588173E-2</v>
      </c>
      <c r="I52" s="16">
        <v>7.8880938761133626E-2</v>
      </c>
      <c r="J52" s="16">
        <v>8.015935465432493E-2</v>
      </c>
      <c r="K52" s="16">
        <v>8.140802709326922E-2</v>
      </c>
      <c r="L52" s="16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465</v>
      </c>
      <c r="B53" s="1" t="s">
        <v>46</v>
      </c>
      <c r="C53" s="16"/>
      <c r="D53" s="16"/>
      <c r="E53" s="16"/>
      <c r="F53" s="16"/>
      <c r="G53" s="16"/>
      <c r="H53" s="16">
        <v>0.10626967933543006</v>
      </c>
      <c r="I53" s="16">
        <v>0.10622942561279605</v>
      </c>
      <c r="J53" s="16">
        <v>9.9950572809132887E-2</v>
      </c>
      <c r="K53" s="16">
        <v>0.10527801648871625</v>
      </c>
      <c r="L53" s="16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466</v>
      </c>
      <c r="B54" s="1" t="s">
        <v>46</v>
      </c>
      <c r="C54" s="16"/>
      <c r="D54" s="16"/>
      <c r="E54" s="16"/>
      <c r="F54" s="16"/>
      <c r="G54" s="16"/>
      <c r="H54" s="16"/>
      <c r="I54" s="16"/>
      <c r="J54" s="16"/>
      <c r="K54" s="16">
        <v>0.34710000000000002</v>
      </c>
      <c r="L54" s="16">
        <v>0.33050560040496463</v>
      </c>
      <c r="M54" s="16">
        <v>0.33264815587378627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467</v>
      </c>
      <c r="B55" s="1" t="s">
        <v>46</v>
      </c>
      <c r="C55" s="16"/>
      <c r="D55" s="16"/>
      <c r="E55" s="16"/>
      <c r="F55" s="16"/>
      <c r="G55" s="16"/>
      <c r="H55" s="16"/>
      <c r="I55" s="16"/>
      <c r="J55" s="16"/>
      <c r="K55" s="16">
        <v>0.17560000000000001</v>
      </c>
      <c r="L55" s="16">
        <v>0.17318660678210368</v>
      </c>
      <c r="M55" s="16">
        <v>0.17999103384422549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468</v>
      </c>
      <c r="B56" s="1" t="s">
        <v>46</v>
      </c>
      <c r="C56" s="16"/>
      <c r="D56" s="16"/>
      <c r="E56" s="16"/>
      <c r="F56" s="16"/>
      <c r="G56" s="16"/>
      <c r="H56" s="16"/>
      <c r="I56" s="16"/>
      <c r="J56" s="16"/>
      <c r="K56" s="16">
        <v>0.13919999999999999</v>
      </c>
      <c r="L56" s="16">
        <v>0.13896125654139868</v>
      </c>
      <c r="M56" s="16">
        <v>0.13261109177283675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469</v>
      </c>
      <c r="B57" s="1" t="s">
        <v>46</v>
      </c>
      <c r="C57" s="16"/>
      <c r="D57" s="16"/>
      <c r="E57" s="16"/>
      <c r="F57" s="16"/>
      <c r="G57" s="16"/>
      <c r="H57" s="16"/>
      <c r="I57" s="16"/>
      <c r="J57" s="16"/>
      <c r="K57" s="16">
        <v>0.15359999999999999</v>
      </c>
      <c r="L57" s="16">
        <v>0.16053101925391189</v>
      </c>
      <c r="M57" s="16">
        <v>0.16329254196710868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470</v>
      </c>
      <c r="B58" s="1" t="s">
        <v>46</v>
      </c>
      <c r="C58" s="16"/>
      <c r="D58" s="16"/>
      <c r="E58" s="16"/>
      <c r="F58" s="16"/>
      <c r="G58" s="16"/>
      <c r="H58" s="16"/>
      <c r="I58" s="16"/>
      <c r="J58" s="16"/>
      <c r="K58" s="16">
        <v>7.5700000000000003E-2</v>
      </c>
      <c r="L58" s="16">
        <v>7.920553485425659E-2</v>
      </c>
      <c r="M58" s="16">
        <v>8.3342565331049806E-2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471</v>
      </c>
      <c r="B59" s="1" t="s">
        <v>46</v>
      </c>
      <c r="C59" s="16"/>
      <c r="D59" s="16"/>
      <c r="E59" s="16"/>
      <c r="F59" s="16"/>
      <c r="G59" s="16"/>
      <c r="H59" s="16"/>
      <c r="I59" s="16"/>
      <c r="J59" s="16"/>
      <c r="K59" s="16">
        <v>7.2300000000000003E-2</v>
      </c>
      <c r="L59" s="16">
        <v>7.5093681650669014E-2</v>
      </c>
      <c r="M59" s="16">
        <v>7.3250748362164678E-2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472</v>
      </c>
      <c r="B60" s="1" t="s">
        <v>46</v>
      </c>
      <c r="C60" s="16"/>
      <c r="D60" s="16"/>
      <c r="E60" s="16"/>
      <c r="F60" s="16"/>
      <c r="G60" s="16"/>
      <c r="H60" s="16"/>
      <c r="I60" s="16"/>
      <c r="J60" s="16"/>
      <c r="K60" s="16">
        <v>3.6600000000000001E-2</v>
      </c>
      <c r="L60" s="16">
        <v>4.2516300512695372E-2</v>
      </c>
      <c r="M60" s="16">
        <v>3.4852899399375525E-2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M1"/>
    <mergeCell ref="A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300"/>
  <sheetViews>
    <sheetView showGridLines="0" workbookViewId="0"/>
  </sheetViews>
  <sheetFormatPr defaultRowHeight="13.8"/>
  <cols>
    <col min="1" max="1" width="44" customWidth="1"/>
    <col min="2" max="2" width="11" customWidth="1"/>
    <col min="3" max="47" width="10" customWidth="1"/>
  </cols>
  <sheetData>
    <row r="1" spans="1:47" ht="25.95" customHeight="1">
      <c r="A1" s="68" t="s">
        <v>473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74"/>
    </row>
    <row r="2" spans="1:47" ht="18" customHeight="1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74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7" ht="19.95" customHeight="1">
      <c r="A5" s="6" t="s">
        <v>26</v>
      </c>
      <c r="B5" s="6" t="s">
        <v>27</v>
      </c>
      <c r="C5" s="6" t="s">
        <v>236</v>
      </c>
      <c r="D5" s="6" t="s">
        <v>237</v>
      </c>
      <c r="E5" s="6" t="s">
        <v>238</v>
      </c>
      <c r="F5" s="6" t="s">
        <v>239</v>
      </c>
      <c r="G5" s="6" t="s">
        <v>240</v>
      </c>
      <c r="H5" s="6" t="s">
        <v>241</v>
      </c>
      <c r="I5" s="6" t="s">
        <v>242</v>
      </c>
      <c r="J5" s="6" t="s">
        <v>243</v>
      </c>
      <c r="K5" s="6" t="s">
        <v>244</v>
      </c>
      <c r="L5" s="6" t="s">
        <v>245</v>
      </c>
      <c r="M5" s="6" t="s">
        <v>246</v>
      </c>
      <c r="N5" s="6" t="s">
        <v>247</v>
      </c>
      <c r="O5" s="6" t="s">
        <v>248</v>
      </c>
      <c r="P5" s="6" t="s">
        <v>249</v>
      </c>
      <c r="Q5" s="6" t="s">
        <v>250</v>
      </c>
      <c r="R5" s="6" t="s">
        <v>251</v>
      </c>
      <c r="S5" s="6" t="s">
        <v>252</v>
      </c>
      <c r="T5" s="6" t="s">
        <v>253</v>
      </c>
      <c r="U5" s="6" t="s">
        <v>254</v>
      </c>
      <c r="V5" s="6" t="s">
        <v>255</v>
      </c>
      <c r="W5" s="6" t="s">
        <v>256</v>
      </c>
      <c r="X5" s="6" t="s">
        <v>257</v>
      </c>
      <c r="Y5" s="6" t="s">
        <v>258</v>
      </c>
      <c r="Z5" s="6" t="s">
        <v>259</v>
      </c>
      <c r="AA5" s="6" t="s">
        <v>260</v>
      </c>
      <c r="AB5" s="6" t="s">
        <v>261</v>
      </c>
      <c r="AC5" s="6" t="s">
        <v>262</v>
      </c>
      <c r="AD5" s="6" t="s">
        <v>263</v>
      </c>
      <c r="AE5" s="6" t="s">
        <v>264</v>
      </c>
      <c r="AF5" s="6" t="s">
        <v>265</v>
      </c>
      <c r="AG5" s="6" t="s">
        <v>266</v>
      </c>
      <c r="AH5" s="6" t="s">
        <v>267</v>
      </c>
      <c r="AI5" s="6" t="s">
        <v>268</v>
      </c>
      <c r="AJ5" s="6" t="s">
        <v>269</v>
      </c>
      <c r="AK5" s="6" t="s">
        <v>270</v>
      </c>
      <c r="AL5" s="6" t="s">
        <v>271</v>
      </c>
      <c r="AM5" s="6" t="s">
        <v>272</v>
      </c>
      <c r="AN5" s="6" t="s">
        <v>273</v>
      </c>
      <c r="AO5" s="6" t="s">
        <v>274</v>
      </c>
      <c r="AP5" s="6" t="s">
        <v>275</v>
      </c>
      <c r="AQ5" s="6" t="s">
        <v>276</v>
      </c>
      <c r="AR5" s="6" t="s">
        <v>277</v>
      </c>
      <c r="AS5" s="6" t="s">
        <v>278</v>
      </c>
      <c r="AT5" s="6" t="s">
        <v>279</v>
      </c>
      <c r="AU5" s="47" t="s">
        <v>280</v>
      </c>
    </row>
    <row r="6" spans="1:47" ht="14.4">
      <c r="A6" s="1" t="s">
        <v>43</v>
      </c>
      <c r="B6" s="1" t="s">
        <v>44</v>
      </c>
      <c r="C6" s="18">
        <f>'Raw Financials'!C34</f>
        <v>6293.823657374428</v>
      </c>
      <c r="D6" s="18">
        <f>'Raw Financials'!D34</f>
        <v>6615.5349999999999</v>
      </c>
      <c r="E6" s="18">
        <f>'Raw Financials'!E34</f>
        <v>6701.1415758770254</v>
      </c>
      <c r="F6" s="18">
        <f>'Raw Financials'!F34</f>
        <v>6883.8319664497103</v>
      </c>
      <c r="G6" s="18">
        <f>'Raw Financials'!G34</f>
        <v>6920.934381600001</v>
      </c>
      <c r="H6" s="18">
        <f>'Raw Financials'!H34</f>
        <v>7167.410088399999</v>
      </c>
      <c r="I6" s="18">
        <f>'Raw Financials'!I34</f>
        <v>7557.5026543999993</v>
      </c>
      <c r="J6" s="18">
        <f>'Raw Financials'!J34</f>
        <v>7494.9943313000003</v>
      </c>
      <c r="K6" s="18">
        <f>'Raw Financials'!K34</f>
        <v>7336.1015275</v>
      </c>
      <c r="L6" s="18">
        <f>'Raw Financials'!L34</f>
        <v>7606.3316430000013</v>
      </c>
      <c r="M6" s="18">
        <f>'Raw Financials'!M34</f>
        <v>7775.9562282000034</v>
      </c>
      <c r="N6" s="18">
        <f>'Raw Financials'!N34</f>
        <v>8054.4917558999996</v>
      </c>
      <c r="O6" s="18">
        <f>'Raw Financials'!O34</f>
        <v>8276.2768119000011</v>
      </c>
      <c r="P6" s="18">
        <f>'Raw Financials'!P34</f>
        <v>8629.8487416000007</v>
      </c>
      <c r="Q6" s="18">
        <f>'Raw Financials'!Q34</f>
        <v>8943.713532400001</v>
      </c>
      <c r="R6" s="18">
        <f>'Raw Financials'!R34</f>
        <v>8892.2925478999969</v>
      </c>
      <c r="S6" s="18">
        <f>'Raw Financials'!S34</f>
        <v>8653.0289601000004</v>
      </c>
      <c r="T6" s="18">
        <f>'Raw Financials'!T34</f>
        <v>9069.8861089998991</v>
      </c>
      <c r="U6" s="18">
        <f>'Raw Financials'!U34</f>
        <v>9654.5971657000027</v>
      </c>
      <c r="V6" s="18">
        <f>'Raw Financials'!V34</f>
        <v>9490.1669169000834</v>
      </c>
      <c r="W6" s="18">
        <f>'Raw Financials'!W34</f>
        <v>9106.3485313000001</v>
      </c>
      <c r="X6" s="18">
        <f>'Raw Financials'!X34</f>
        <v>9371.7577118999998</v>
      </c>
      <c r="Y6" s="18">
        <f>'Raw Financials'!Y34</f>
        <v>9647.0623550000018</v>
      </c>
      <c r="Z6" s="18">
        <f>'Raw Financials'!Z34</f>
        <v>9729.9120335999996</v>
      </c>
      <c r="AA6" s="18">
        <f>'Raw Financials'!AA34</f>
        <v>10197.568810600002</v>
      </c>
      <c r="AB6" s="18">
        <f>'Raw Financials'!AB34</f>
        <v>10881.329360100002</v>
      </c>
      <c r="AC6" s="18">
        <f>'Raw Financials'!AC34</f>
        <v>11450.789552700002</v>
      </c>
      <c r="AD6" s="18">
        <f>'Raw Financials'!AD34</f>
        <v>12116.276117100002</v>
      </c>
      <c r="AE6" s="18">
        <f>'Raw Financials'!AE34</f>
        <v>12707.947733500001</v>
      </c>
      <c r="AF6" s="18">
        <f>'Raw Financials'!AF34</f>
        <v>13129.4682018</v>
      </c>
      <c r="AG6" s="18">
        <f>'Raw Financials'!AG34</f>
        <v>13734.560518658001</v>
      </c>
      <c r="AH6" s="18">
        <f>'Raw Financials'!AH34</f>
        <v>13718.190969000001</v>
      </c>
      <c r="AI6" s="18">
        <f>'Raw Financials'!AI34</f>
        <v>13158.976999999999</v>
      </c>
      <c r="AJ6" s="18">
        <f>'Raw Financials'!AJ34</f>
        <v>12863.917000000001</v>
      </c>
      <c r="AK6" s="18">
        <f>'Raw Financials'!AK34</f>
        <v>13101.337</v>
      </c>
      <c r="AL6" s="18">
        <f>'Raw Financials'!AL34</f>
        <v>12871.321000000002</v>
      </c>
      <c r="AM6" s="18">
        <f>'Raw Financials'!AM34</f>
        <v>13005.474000000002</v>
      </c>
      <c r="AN6" s="18">
        <f>'Raw Financials'!AN34</f>
        <v>13313.222000000002</v>
      </c>
      <c r="AO6" s="18">
        <f>'Raw Financials'!AO34</f>
        <v>13285.603000000001</v>
      </c>
      <c r="AP6" s="18">
        <f>'Raw Financials'!AP34</f>
        <v>13384.001303977915</v>
      </c>
      <c r="AQ6" s="18">
        <f>'Raw Financials'!AQ34</f>
        <v>13351.2</v>
      </c>
      <c r="AR6" s="18">
        <f>'Raw Financials'!AR34</f>
        <v>13994.89959999926</v>
      </c>
      <c r="AS6" s="18">
        <f>'Raw Financials'!AS34</f>
        <v>14393.200000000083</v>
      </c>
      <c r="AT6" s="18">
        <f>'Raw Financials'!AT34</f>
        <v>15076.100000000431</v>
      </c>
      <c r="AU6" s="21">
        <f>'Raw Financials'!AU34</f>
        <v>15711.9</v>
      </c>
    </row>
    <row r="7" spans="1:47" ht="14.4">
      <c r="A7" s="1" t="s">
        <v>475</v>
      </c>
      <c r="B7" s="1" t="s">
        <v>46</v>
      </c>
      <c r="C7" s="1"/>
      <c r="D7" s="19">
        <f t="shared" ref="D7:AU7" si="0">IFERROR(D6/C6-1,"")</f>
        <v>5.1115404583766066E-2</v>
      </c>
      <c r="E7" s="19">
        <f t="shared" si="0"/>
        <v>1.2940234747004675E-2</v>
      </c>
      <c r="F7" s="19">
        <f t="shared" si="0"/>
        <v>2.7262577354034701E-2</v>
      </c>
      <c r="G7" s="19">
        <f t="shared" si="0"/>
        <v>5.389790937826433E-3</v>
      </c>
      <c r="H7" s="19">
        <f t="shared" si="0"/>
        <v>3.5613068006435489E-2</v>
      </c>
      <c r="I7" s="19">
        <f t="shared" si="0"/>
        <v>5.4425875063482287E-2</v>
      </c>
      <c r="J7" s="19">
        <f t="shared" si="0"/>
        <v>-8.271028930913582E-3</v>
      </c>
      <c r="K7" s="19">
        <f t="shared" si="0"/>
        <v>-2.1199856434373165E-2</v>
      </c>
      <c r="L7" s="19">
        <f t="shared" si="0"/>
        <v>3.6835656443278575E-2</v>
      </c>
      <c r="M7" s="19">
        <f t="shared" si="0"/>
        <v>2.2300445623627985E-2</v>
      </c>
      <c r="N7" s="19">
        <f t="shared" si="0"/>
        <v>3.582009974411493E-2</v>
      </c>
      <c r="O7" s="19">
        <f t="shared" si="0"/>
        <v>2.7535574275998398E-2</v>
      </c>
      <c r="P7" s="19">
        <f t="shared" si="0"/>
        <v>4.2721133878897977E-2</v>
      </c>
      <c r="Q7" s="19">
        <f t="shared" si="0"/>
        <v>3.6369674625584381E-2</v>
      </c>
      <c r="R7" s="19">
        <f t="shared" si="0"/>
        <v>-5.7493997670792218E-3</v>
      </c>
      <c r="S7" s="19">
        <f t="shared" si="0"/>
        <v>-2.690685068121168E-2</v>
      </c>
      <c r="T7" s="19">
        <f t="shared" si="0"/>
        <v>4.8174708627703566E-2</v>
      </c>
      <c r="U7" s="19">
        <f t="shared" si="0"/>
        <v>6.4467298670917605E-2</v>
      </c>
      <c r="V7" s="19">
        <f t="shared" si="0"/>
        <v>-1.7031290480362338E-2</v>
      </c>
      <c r="W7" s="19">
        <f t="shared" si="0"/>
        <v>-4.0443797138760562E-2</v>
      </c>
      <c r="X7" s="19">
        <f t="shared" si="0"/>
        <v>2.9145510924356355E-2</v>
      </c>
      <c r="Y7" s="19">
        <f t="shared" si="0"/>
        <v>2.9375988108444995E-2</v>
      </c>
      <c r="Z7" s="19">
        <f t="shared" si="0"/>
        <v>8.5880732964327411E-3</v>
      </c>
      <c r="AA7" s="19">
        <f t="shared" si="0"/>
        <v>4.8063823741166134E-2</v>
      </c>
      <c r="AB7" s="19">
        <f t="shared" si="0"/>
        <v>6.7051329802183535E-2</v>
      </c>
      <c r="AC7" s="19">
        <f t="shared" si="0"/>
        <v>5.2333696899949933E-2</v>
      </c>
      <c r="AD7" s="19">
        <f t="shared" si="0"/>
        <v>5.8117089772476316E-2</v>
      </c>
      <c r="AE7" s="19">
        <f t="shared" si="0"/>
        <v>4.8832794059963547E-2</v>
      </c>
      <c r="AF7" s="19">
        <f t="shared" si="0"/>
        <v>3.3169830183422233E-2</v>
      </c>
      <c r="AG7" s="19">
        <f t="shared" si="0"/>
        <v>4.6086582301562373E-2</v>
      </c>
      <c r="AH7" s="19">
        <f t="shared" si="0"/>
        <v>-1.1918509977630887E-3</v>
      </c>
      <c r="AI7" s="19">
        <f t="shared" si="0"/>
        <v>-4.076441057452096E-2</v>
      </c>
      <c r="AJ7" s="19">
        <f t="shared" si="0"/>
        <v>-2.2422715686789108E-2</v>
      </c>
      <c r="AK7" s="19">
        <f t="shared" si="0"/>
        <v>1.845627579842124E-2</v>
      </c>
      <c r="AL7" s="19">
        <f t="shared" si="0"/>
        <v>-1.7556681428773091E-2</v>
      </c>
      <c r="AM7" s="19">
        <f t="shared" si="0"/>
        <v>1.0422628726297845E-2</v>
      </c>
      <c r="AN7" s="19">
        <f t="shared" si="0"/>
        <v>2.3662959150892782E-2</v>
      </c>
      <c r="AO7" s="19">
        <f t="shared" si="0"/>
        <v>-2.0745541537579015E-3</v>
      </c>
      <c r="AP7" s="19">
        <f t="shared" si="0"/>
        <v>7.4063859937643084E-3</v>
      </c>
      <c r="AQ7" s="19">
        <f t="shared" si="0"/>
        <v>-2.4507845772673287E-3</v>
      </c>
      <c r="AR7" s="19">
        <f t="shared" si="0"/>
        <v>4.8212864761164598E-2</v>
      </c>
      <c r="AS7" s="19">
        <f t="shared" si="0"/>
        <v>2.8460397100729784E-2</v>
      </c>
      <c r="AT7" s="19">
        <f t="shared" si="0"/>
        <v>4.744601617432842E-2</v>
      </c>
      <c r="AU7" s="19">
        <f t="shared" si="0"/>
        <v>4.2172710448958872E-2</v>
      </c>
    </row>
    <row r="8" spans="1:47" ht="14.4">
      <c r="A8" s="1" t="s">
        <v>476</v>
      </c>
      <c r="B8" s="1" t="s">
        <v>46</v>
      </c>
      <c r="C8" s="1"/>
      <c r="D8" s="1"/>
      <c r="E8" s="1"/>
      <c r="F8" s="1"/>
      <c r="G8" s="19">
        <f t="shared" ref="G8:AU8" si="1">IFERROR(G6/C6-1,"")</f>
        <v>9.9639068134804276E-2</v>
      </c>
      <c r="H8" s="19">
        <f t="shared" si="1"/>
        <v>8.3421082104470745E-2</v>
      </c>
      <c r="I8" s="19">
        <f t="shared" si="1"/>
        <v>0.12779331235229074</v>
      </c>
      <c r="J8" s="19">
        <f t="shared" si="1"/>
        <v>8.8782289839287376E-2</v>
      </c>
      <c r="K8" s="19">
        <f t="shared" si="1"/>
        <v>5.9987152457876558E-2</v>
      </c>
      <c r="L8" s="19">
        <f t="shared" si="1"/>
        <v>6.1238515612545896E-2</v>
      </c>
      <c r="M8" s="19">
        <f t="shared" si="1"/>
        <v>2.8905523926322285E-2</v>
      </c>
      <c r="N8" s="19">
        <f t="shared" si="1"/>
        <v>7.4649479354970349E-2</v>
      </c>
      <c r="O8" s="19">
        <f t="shared" si="1"/>
        <v>0.12815734363485487</v>
      </c>
      <c r="P8" s="19">
        <f t="shared" si="1"/>
        <v>0.13456119804372824</v>
      </c>
      <c r="Q8" s="19">
        <f t="shared" si="1"/>
        <v>0.150175395787987</v>
      </c>
      <c r="R8" s="19">
        <f t="shared" si="1"/>
        <v>0.10401659314956779</v>
      </c>
      <c r="S8" s="19">
        <f t="shared" si="1"/>
        <v>4.5521936586061074E-2</v>
      </c>
      <c r="T8" s="19">
        <f t="shared" si="1"/>
        <v>5.0990159917717603E-2</v>
      </c>
      <c r="U8" s="19">
        <f t="shared" si="1"/>
        <v>7.9484168486022577E-2</v>
      </c>
      <c r="V8" s="19">
        <f t="shared" si="1"/>
        <v>6.7235121401992171E-2</v>
      </c>
      <c r="W8" s="19">
        <f t="shared" si="1"/>
        <v>5.2388542011161832E-2</v>
      </c>
      <c r="X8" s="19">
        <f t="shared" si="1"/>
        <v>3.3282843827615372E-2</v>
      </c>
      <c r="Y8" s="19">
        <f t="shared" si="1"/>
        <v>-7.8043760611468116E-4</v>
      </c>
      <c r="Z8" s="19">
        <f t="shared" si="1"/>
        <v>2.5262476287216673E-2</v>
      </c>
      <c r="AA8" s="19">
        <f t="shared" si="1"/>
        <v>0.11983071760863306</v>
      </c>
      <c r="AB8" s="19">
        <f t="shared" si="1"/>
        <v>0.16107668322274171</v>
      </c>
      <c r="AC8" s="19">
        <f t="shared" si="1"/>
        <v>0.18697165326863896</v>
      </c>
      <c r="AD8" s="19">
        <f t="shared" si="1"/>
        <v>0.2452606020752548</v>
      </c>
      <c r="AE8" s="19">
        <f t="shared" si="1"/>
        <v>0.24617425677878746</v>
      </c>
      <c r="AF8" s="19">
        <f t="shared" si="1"/>
        <v>0.20660516443363464</v>
      </c>
      <c r="AG8" s="19">
        <f t="shared" si="1"/>
        <v>0.19944222670824518</v>
      </c>
      <c r="AH8" s="19">
        <f t="shared" si="1"/>
        <v>0.13221181462175302</v>
      </c>
      <c r="AI8" s="19">
        <f t="shared" si="1"/>
        <v>3.5491904433240462E-2</v>
      </c>
      <c r="AJ8" s="19">
        <f t="shared" si="1"/>
        <v>-2.022558703204691E-2</v>
      </c>
      <c r="AK8" s="19">
        <f t="shared" si="1"/>
        <v>-4.6104388837035271E-2</v>
      </c>
      <c r="AL8" s="19">
        <f t="shared" si="1"/>
        <v>-6.1733356162903208E-2</v>
      </c>
      <c r="AM8" s="19">
        <f t="shared" si="1"/>
        <v>-1.1665268508334381E-2</v>
      </c>
      <c r="AN8" s="19">
        <f t="shared" si="1"/>
        <v>3.4927541898785552E-2</v>
      </c>
      <c r="AO8" s="19">
        <f t="shared" si="1"/>
        <v>1.4064671414833585E-2</v>
      </c>
      <c r="AP8" s="19">
        <f t="shared" si="1"/>
        <v>3.9831211107073772E-2</v>
      </c>
      <c r="AQ8" s="19">
        <f t="shared" si="1"/>
        <v>2.6583114156392806E-2</v>
      </c>
      <c r="AR8" s="19">
        <f t="shared" si="1"/>
        <v>5.1203052123615089E-2</v>
      </c>
      <c r="AS8" s="19">
        <f t="shared" si="1"/>
        <v>8.33682144498884E-2</v>
      </c>
      <c r="AT8" s="19">
        <f t="shared" si="1"/>
        <v>0.1264269673613676</v>
      </c>
      <c r="AU8" s="19">
        <f t="shared" si="1"/>
        <v>0.17681556714003221</v>
      </c>
    </row>
    <row r="9" spans="1:47" ht="14.4">
      <c r="A9" s="1" t="s">
        <v>216</v>
      </c>
      <c r="B9" s="1" t="s">
        <v>44</v>
      </c>
      <c r="C9" s="18">
        <f>'Raw Financials'!C35</f>
        <v>4444.0767642177807</v>
      </c>
      <c r="D9" s="18">
        <f>'Raw Financials'!D35</f>
        <v>4499.8859389798718</v>
      </c>
      <c r="E9" s="18">
        <f>'Raw Financials'!E35</f>
        <v>4606.9072386220787</v>
      </c>
      <c r="F9" s="18">
        <f>'Raw Financials'!F35</f>
        <v>4778.1677165807132</v>
      </c>
      <c r="G9" s="18">
        <f>'Raw Financials'!G35</f>
        <v>4880.696456296856</v>
      </c>
      <c r="H9" s="18">
        <f>'Raw Financials'!H35</f>
        <v>4971.6660717629575</v>
      </c>
      <c r="I9" s="18">
        <f>'Raw Financials'!I35</f>
        <v>5235.2369371045779</v>
      </c>
      <c r="J9" s="18">
        <f>'Raw Financials'!J35</f>
        <v>5478.4598543522025</v>
      </c>
      <c r="K9" s="18">
        <f>'Raw Financials'!K35</f>
        <v>5281.8369229223317</v>
      </c>
      <c r="L9" s="18">
        <f>'Raw Financials'!L35</f>
        <v>5378.9077856786544</v>
      </c>
      <c r="M9" s="18">
        <f>'Raw Financials'!M35</f>
        <v>5380.7435518500733</v>
      </c>
      <c r="N9" s="18">
        <f>'Raw Financials'!N35</f>
        <v>5488.6133141042101</v>
      </c>
      <c r="O9" s="18">
        <f>'Raw Financials'!O35</f>
        <v>5733.9752494000004</v>
      </c>
      <c r="P9" s="18">
        <f>'Raw Financials'!P35</f>
        <v>5692.3054983029979</v>
      </c>
      <c r="Q9" s="18">
        <f>'Raw Financials'!Q35</f>
        <v>5984.5336639465713</v>
      </c>
      <c r="R9" s="18">
        <f>'Raw Financials'!R35</f>
        <v>5948.168026142328</v>
      </c>
      <c r="S9" s="18">
        <f>'Raw Financials'!S35</f>
        <v>6164.189609021164</v>
      </c>
      <c r="T9" s="18">
        <f>'Raw Financials'!T35</f>
        <v>6389.3099805456068</v>
      </c>
      <c r="U9" s="18">
        <f>'Raw Financials'!U35</f>
        <v>6731.1710818763677</v>
      </c>
      <c r="V9" s="18">
        <f>'Raw Financials'!V35</f>
        <v>6689.5660713407597</v>
      </c>
      <c r="W9" s="18">
        <f>'Raw Financials'!W35</f>
        <v>6510.4656610546008</v>
      </c>
      <c r="X9" s="18">
        <f>'Raw Financials'!X35</f>
        <v>6424.549295896586</v>
      </c>
      <c r="Y9" s="18">
        <f>'Raw Financials'!Y35</f>
        <v>6470.7935140517729</v>
      </c>
      <c r="Z9" s="18">
        <f>'Raw Financials'!Z35</f>
        <v>6449.6547652988947</v>
      </c>
      <c r="AA9" s="18">
        <f>'Raw Financials'!AA35</f>
        <v>6968.2266595536876</v>
      </c>
      <c r="AB9" s="18">
        <f>'Raw Financials'!AB35</f>
        <v>7434.6172844337198</v>
      </c>
      <c r="AC9" s="18">
        <f>'Raw Financials'!AC35</f>
        <v>8008.8287205139241</v>
      </c>
      <c r="AD9" s="18">
        <f>'Raw Financials'!AD35</f>
        <v>8560.3421092424778</v>
      </c>
      <c r="AE9" s="18">
        <f>'Raw Financials'!AE35</f>
        <v>9116.1913793775657</v>
      </c>
      <c r="AF9" s="18">
        <f>'Raw Financials'!AF35</f>
        <v>9461.3918584811818</v>
      </c>
      <c r="AG9" s="18">
        <f>'Raw Financials'!AG35</f>
        <v>9793.7419889514513</v>
      </c>
      <c r="AH9" s="18">
        <f>'Raw Financials'!AH35</f>
        <v>9748.3780824361602</v>
      </c>
      <c r="AI9" s="18">
        <f>'Raw Financials'!AI35</f>
        <v>9780.5280000000002</v>
      </c>
      <c r="AJ9" s="18">
        <f>'Raw Financials'!AJ35</f>
        <v>9975.1869999999999</v>
      </c>
      <c r="AK9" s="18">
        <f>'Raw Financials'!AK35</f>
        <v>9964.8310000000001</v>
      </c>
      <c r="AL9" s="18">
        <f>'Raw Financials'!AL35</f>
        <v>9394.1240000000016</v>
      </c>
      <c r="AM9" s="18">
        <f>'Raw Financials'!AM35</f>
        <v>9553.1750000000011</v>
      </c>
      <c r="AN9" s="18">
        <f>'Raw Financials'!AN35</f>
        <v>9595.6810000000005</v>
      </c>
      <c r="AO9" s="18">
        <f>'Raw Financials'!AO35</f>
        <v>9455.9130000000005</v>
      </c>
      <c r="AP9" s="18">
        <f>'Raw Financials'!AP35</f>
        <v>9480.0252601327265</v>
      </c>
      <c r="AQ9" s="18">
        <f>'Raw Financials'!AQ35</f>
        <v>9523.6221278591602</v>
      </c>
      <c r="AR9" s="18">
        <f>'Raw Financials'!AR35</f>
        <v>9915.8871318017009</v>
      </c>
      <c r="AS9" s="18">
        <f>'Raw Financials'!AS35</f>
        <v>10027.555607112192</v>
      </c>
      <c r="AT9" s="18">
        <f>'Raw Financials'!AT35</f>
        <v>10401.755520443112</v>
      </c>
      <c r="AU9" s="21">
        <f>'Raw Financials'!AU35</f>
        <v>10925.9</v>
      </c>
    </row>
    <row r="10" spans="1:47" ht="14.4">
      <c r="A10" s="24" t="s">
        <v>217</v>
      </c>
      <c r="B10" s="22" t="s">
        <v>44</v>
      </c>
      <c r="C10" s="23">
        <f t="shared" ref="C10:AU10" si="2">C6-C9</f>
        <v>1849.7468931566473</v>
      </c>
      <c r="D10" s="23">
        <f t="shared" si="2"/>
        <v>2115.6490610201281</v>
      </c>
      <c r="E10" s="23">
        <f t="shared" si="2"/>
        <v>2094.2343372549467</v>
      </c>
      <c r="F10" s="23">
        <f t="shared" si="2"/>
        <v>2105.6642498689971</v>
      </c>
      <c r="G10" s="23">
        <f t="shared" si="2"/>
        <v>2040.2379253031449</v>
      </c>
      <c r="H10" s="23">
        <f t="shared" si="2"/>
        <v>2195.7440166370416</v>
      </c>
      <c r="I10" s="23">
        <f t="shared" si="2"/>
        <v>2322.2657172954214</v>
      </c>
      <c r="J10" s="23">
        <f t="shared" si="2"/>
        <v>2016.5344769477979</v>
      </c>
      <c r="K10" s="23">
        <f t="shared" si="2"/>
        <v>2054.2646045776683</v>
      </c>
      <c r="L10" s="23">
        <f t="shared" si="2"/>
        <v>2227.423857321347</v>
      </c>
      <c r="M10" s="23">
        <f t="shared" si="2"/>
        <v>2395.21267634993</v>
      </c>
      <c r="N10" s="23">
        <f t="shared" si="2"/>
        <v>2565.8784417957895</v>
      </c>
      <c r="O10" s="23">
        <f t="shared" si="2"/>
        <v>2542.3015625000007</v>
      </c>
      <c r="P10" s="23">
        <f t="shared" si="2"/>
        <v>2937.5432432970028</v>
      </c>
      <c r="Q10" s="23">
        <f t="shared" si="2"/>
        <v>2959.1798684534297</v>
      </c>
      <c r="R10" s="23">
        <f t="shared" si="2"/>
        <v>2944.1245217576688</v>
      </c>
      <c r="S10" s="23">
        <f t="shared" si="2"/>
        <v>2488.8393510788364</v>
      </c>
      <c r="T10" s="23">
        <f t="shared" si="2"/>
        <v>2680.5761284542923</v>
      </c>
      <c r="U10" s="23">
        <f t="shared" si="2"/>
        <v>2923.4260838236351</v>
      </c>
      <c r="V10" s="23">
        <f t="shared" si="2"/>
        <v>2800.6008455593237</v>
      </c>
      <c r="W10" s="23">
        <f t="shared" si="2"/>
        <v>2595.8828702453993</v>
      </c>
      <c r="X10" s="23">
        <f t="shared" si="2"/>
        <v>2947.2084160034137</v>
      </c>
      <c r="Y10" s="23">
        <f t="shared" si="2"/>
        <v>3176.2688409482289</v>
      </c>
      <c r="Z10" s="23">
        <f t="shared" si="2"/>
        <v>3280.2572683011049</v>
      </c>
      <c r="AA10" s="23">
        <f t="shared" si="2"/>
        <v>3229.342151046314</v>
      </c>
      <c r="AB10" s="23">
        <f t="shared" si="2"/>
        <v>3446.7120756662825</v>
      </c>
      <c r="AC10" s="23">
        <f t="shared" si="2"/>
        <v>3441.9608321860778</v>
      </c>
      <c r="AD10" s="23">
        <f t="shared" si="2"/>
        <v>3555.9340078575242</v>
      </c>
      <c r="AE10" s="23">
        <f t="shared" si="2"/>
        <v>3591.7563541224354</v>
      </c>
      <c r="AF10" s="23">
        <f t="shared" si="2"/>
        <v>3668.0763433188185</v>
      </c>
      <c r="AG10" s="23">
        <f t="shared" si="2"/>
        <v>3940.8185297065502</v>
      </c>
      <c r="AH10" s="23">
        <f t="shared" si="2"/>
        <v>3969.8128865638409</v>
      </c>
      <c r="AI10" s="23">
        <f t="shared" si="2"/>
        <v>3378.4489999999987</v>
      </c>
      <c r="AJ10" s="23">
        <f t="shared" si="2"/>
        <v>2888.7300000000014</v>
      </c>
      <c r="AK10" s="23">
        <f t="shared" si="2"/>
        <v>3136.5059999999994</v>
      </c>
      <c r="AL10" s="23">
        <f t="shared" si="2"/>
        <v>3477.1970000000001</v>
      </c>
      <c r="AM10" s="23">
        <f t="shared" si="2"/>
        <v>3452.2990000000009</v>
      </c>
      <c r="AN10" s="23">
        <f t="shared" si="2"/>
        <v>3717.5410000000011</v>
      </c>
      <c r="AO10" s="23">
        <f t="shared" si="2"/>
        <v>3829.6900000000005</v>
      </c>
      <c r="AP10" s="23">
        <f t="shared" si="2"/>
        <v>3903.9760438451885</v>
      </c>
      <c r="AQ10" s="23">
        <f t="shared" si="2"/>
        <v>3827.5778721408406</v>
      </c>
      <c r="AR10" s="23">
        <f t="shared" si="2"/>
        <v>4079.0124681975594</v>
      </c>
      <c r="AS10" s="23">
        <f t="shared" si="2"/>
        <v>4365.6443928878907</v>
      </c>
      <c r="AT10" s="23">
        <f t="shared" si="2"/>
        <v>4674.3444795573196</v>
      </c>
      <c r="AU10" s="48">
        <f t="shared" si="2"/>
        <v>4786</v>
      </c>
    </row>
    <row r="11" spans="1:47" ht="14.4">
      <c r="A11" s="1" t="s">
        <v>151</v>
      </c>
      <c r="B11" s="1" t="s">
        <v>46</v>
      </c>
      <c r="C11" s="19">
        <f t="shared" ref="C11:AU11" si="3">IFERROR(C10/C6,"")</f>
        <v>0.2938987480193081</v>
      </c>
      <c r="D11" s="19">
        <f t="shared" si="3"/>
        <v>0.31980014632529769</v>
      </c>
      <c r="E11" s="19">
        <f t="shared" si="3"/>
        <v>0.31251904075476267</v>
      </c>
      <c r="F11" s="19">
        <f t="shared" si="3"/>
        <v>0.30588548066419163</v>
      </c>
      <c r="G11" s="19">
        <f t="shared" si="3"/>
        <v>0.29479226543851106</v>
      </c>
      <c r="H11" s="19">
        <f t="shared" si="3"/>
        <v>0.30635110724175174</v>
      </c>
      <c r="I11" s="19">
        <f t="shared" si="3"/>
        <v>0.30727951063879438</v>
      </c>
      <c r="J11" s="19">
        <f t="shared" si="3"/>
        <v>0.26905083417161596</v>
      </c>
      <c r="K11" s="19">
        <f t="shared" si="3"/>
        <v>0.28002128881083266</v>
      </c>
      <c r="L11" s="19">
        <f t="shared" si="3"/>
        <v>0.29283811985390007</v>
      </c>
      <c r="M11" s="19">
        <f t="shared" si="3"/>
        <v>0.30802805546455336</v>
      </c>
      <c r="N11" s="19">
        <f t="shared" si="3"/>
        <v>0.31856491005981313</v>
      </c>
      <c r="O11" s="19">
        <f t="shared" si="3"/>
        <v>0.30717937791115996</v>
      </c>
      <c r="P11" s="19">
        <f t="shared" si="3"/>
        <v>0.34039336392266512</v>
      </c>
      <c r="Q11" s="19">
        <f t="shared" si="3"/>
        <v>0.33086702271191243</v>
      </c>
      <c r="R11" s="19">
        <f t="shared" si="3"/>
        <v>0.33108723154333841</v>
      </c>
      <c r="S11" s="19">
        <f t="shared" si="3"/>
        <v>0.28762637482841313</v>
      </c>
      <c r="T11" s="19">
        <f t="shared" si="3"/>
        <v>0.29554683446293784</v>
      </c>
      <c r="U11" s="19">
        <f t="shared" si="3"/>
        <v>0.30280145651335139</v>
      </c>
      <c r="V11" s="19">
        <f t="shared" si="3"/>
        <v>0.29510554135481171</v>
      </c>
      <c r="W11" s="19">
        <f t="shared" si="3"/>
        <v>0.28506298230546834</v>
      </c>
      <c r="X11" s="19">
        <f t="shared" si="3"/>
        <v>0.31447765793828941</v>
      </c>
      <c r="Y11" s="19">
        <f t="shared" si="3"/>
        <v>0.32924725932780896</v>
      </c>
      <c r="Z11" s="19">
        <f t="shared" si="3"/>
        <v>0.33713123581934712</v>
      </c>
      <c r="AA11" s="19">
        <f t="shared" si="3"/>
        <v>0.31667765239196333</v>
      </c>
      <c r="AB11" s="19">
        <f t="shared" si="3"/>
        <v>0.31675468700587206</v>
      </c>
      <c r="AC11" s="19">
        <f t="shared" si="3"/>
        <v>0.30058720548003537</v>
      </c>
      <c r="AD11" s="19">
        <f t="shared" si="3"/>
        <v>0.29348406833011553</v>
      </c>
      <c r="AE11" s="19">
        <f t="shared" si="3"/>
        <v>0.28263858409285414</v>
      </c>
      <c r="AF11" s="19">
        <f t="shared" si="3"/>
        <v>0.27937737362553183</v>
      </c>
      <c r="AG11" s="19">
        <f t="shared" si="3"/>
        <v>0.28692716627904202</v>
      </c>
      <c r="AH11" s="19">
        <f t="shared" si="3"/>
        <v>0.28938311877526107</v>
      </c>
      <c r="AI11" s="19">
        <f t="shared" si="3"/>
        <v>0.25674100653873011</v>
      </c>
      <c r="AJ11" s="19">
        <f t="shared" si="3"/>
        <v>0.22456068396585591</v>
      </c>
      <c r="AK11" s="19">
        <f t="shared" si="3"/>
        <v>0.23940350515371062</v>
      </c>
      <c r="AL11" s="19">
        <f t="shared" si="3"/>
        <v>0.27015074831868457</v>
      </c>
      <c r="AM11" s="19">
        <f t="shared" si="3"/>
        <v>0.26544968680111164</v>
      </c>
      <c r="AN11" s="19">
        <f t="shared" si="3"/>
        <v>0.27923676176961526</v>
      </c>
      <c r="AO11" s="19">
        <f t="shared" si="3"/>
        <v>0.28825865111278731</v>
      </c>
      <c r="AP11" s="19">
        <f t="shared" si="3"/>
        <v>0.29168975369756361</v>
      </c>
      <c r="AQ11" s="19">
        <f t="shared" si="3"/>
        <v>0.28668418360453296</v>
      </c>
      <c r="AR11" s="19">
        <f t="shared" si="3"/>
        <v>0.29146421802109784</v>
      </c>
      <c r="AS11" s="19">
        <f t="shared" si="3"/>
        <v>0.3033129806358465</v>
      </c>
      <c r="AT11" s="19">
        <f t="shared" si="3"/>
        <v>0.31004997841332876</v>
      </c>
      <c r="AU11" s="19">
        <f t="shared" si="3"/>
        <v>0.30460988168203718</v>
      </c>
    </row>
    <row r="12" spans="1:47" ht="14.4">
      <c r="A12" s="1" t="s">
        <v>218</v>
      </c>
      <c r="B12" s="1" t="s">
        <v>44</v>
      </c>
      <c r="C12" s="18">
        <f>'Raw Financials'!C37</f>
        <v>944.75480796902161</v>
      </c>
      <c r="D12" s="18">
        <f>'Raw Financials'!D37</f>
        <v>1028.8608586385258</v>
      </c>
      <c r="E12" s="18">
        <f>'Raw Financials'!E37</f>
        <v>966.23089734268581</v>
      </c>
      <c r="F12" s="18">
        <f>'Raw Financials'!F37</f>
        <v>954.75776361881128</v>
      </c>
      <c r="G12" s="18">
        <f>'Raw Financials'!G37</f>
        <v>1011.1580695961464</v>
      </c>
      <c r="H12" s="18">
        <f>'Raw Financials'!H37</f>
        <v>1125.6222072570454</v>
      </c>
      <c r="I12" s="18">
        <f>'Raw Financials'!I37</f>
        <v>1135.7653728560265</v>
      </c>
      <c r="J12" s="18">
        <f>'Raw Financials'!J37</f>
        <v>1117.8016551814594</v>
      </c>
      <c r="K12" s="18">
        <f>'Raw Financials'!K37</f>
        <v>1119.6513276776702</v>
      </c>
      <c r="L12" s="18">
        <f>'Raw Financials'!L37</f>
        <v>1121.78212512135</v>
      </c>
      <c r="M12" s="18">
        <f>'Raw Financials'!M37</f>
        <v>1137.7603399479301</v>
      </c>
      <c r="N12" s="18">
        <f>'Raw Financials'!N37</f>
        <v>1153.9865725027901</v>
      </c>
      <c r="O12" s="18">
        <f>'Raw Financials'!O37</f>
        <v>1185.3941750000001</v>
      </c>
      <c r="P12" s="18">
        <f>'Raw Financials'!P37</f>
        <v>1318.80962757</v>
      </c>
      <c r="Q12" s="18">
        <f>'Raw Financials'!Q37</f>
        <v>1236.5510400554301</v>
      </c>
      <c r="R12" s="18">
        <f>'Raw Financials'!R37</f>
        <v>1305.3767192976738</v>
      </c>
      <c r="S12" s="18">
        <f>'Raw Financials'!S37</f>
        <v>1174.7103909788359</v>
      </c>
      <c r="T12" s="18">
        <f>'Raw Financials'!T37</f>
        <v>1179.7077316543937</v>
      </c>
      <c r="U12" s="18">
        <f>'Raw Financials'!U37</f>
        <v>1360.144060623632</v>
      </c>
      <c r="V12" s="18">
        <f>'Raw Financials'!V37</f>
        <v>1452.7410739592501</v>
      </c>
      <c r="W12" s="18">
        <f>'Raw Financials'!W37</f>
        <v>1295.3410450454005</v>
      </c>
      <c r="X12" s="18">
        <f>'Raw Financials'!X37</f>
        <v>1244.2748820034153</v>
      </c>
      <c r="Y12" s="18">
        <f>'Raw Financials'!Y37</f>
        <v>1280.944497648228</v>
      </c>
      <c r="Z12" s="18">
        <f>'Raw Financials'!Z37</f>
        <v>1332.0932129011067</v>
      </c>
      <c r="AA12" s="18">
        <f>'Raw Financials'!AA37</f>
        <v>1352.9733404463122</v>
      </c>
      <c r="AB12" s="18">
        <f>'Raw Financials'!AB37</f>
        <v>1451.4974880662817</v>
      </c>
      <c r="AC12" s="18">
        <f>'Raw Financials'!AC37</f>
        <v>1381.9414703860791</v>
      </c>
      <c r="AD12" s="18">
        <f>'Raw Financials'!AD37</f>
        <v>1467.553151157525</v>
      </c>
      <c r="AE12" s="18">
        <f>'Raw Financials'!AE37</f>
        <v>1711.6086206224352</v>
      </c>
      <c r="AF12" s="18">
        <f>'Raw Financials'!AF37</f>
        <v>1683.9572665188193</v>
      </c>
      <c r="AG12" s="18">
        <f>'Raw Financials'!AG37</f>
        <v>1796.8511447485475</v>
      </c>
      <c r="AH12" s="18">
        <f>'Raw Financials'!AH37</f>
        <v>1949.2738315638403</v>
      </c>
      <c r="AI12" s="18">
        <f>'Raw Financials'!AI37</f>
        <v>2040.4690000000001</v>
      </c>
      <c r="AJ12" s="18">
        <f>'Raw Financials'!AJ37</f>
        <v>1816.414</v>
      </c>
      <c r="AK12" s="18">
        <f>'Raw Financials'!AK37</f>
        <v>1990.0419999999999</v>
      </c>
      <c r="AL12" s="18">
        <f>'Raw Financials'!AL37</f>
        <v>2069.3970000000004</v>
      </c>
      <c r="AM12" s="18">
        <f>'Raw Financials'!AM37</f>
        <v>1887.825</v>
      </c>
      <c r="AN12" s="18">
        <f>'Raw Financials'!AN37</f>
        <v>1967.3040000000001</v>
      </c>
      <c r="AO12" s="18">
        <f>'Raw Financials'!AO37</f>
        <v>2020.71</v>
      </c>
      <c r="AP12" s="18">
        <f>'Raw Financials'!AP37</f>
        <v>2036.5803072672752</v>
      </c>
      <c r="AQ12" s="18">
        <f>'Raw Financials'!AQ37</f>
        <v>1892.3778721408389</v>
      </c>
      <c r="AR12" s="18">
        <f>'Raw Financials'!AR37</f>
        <v>1911.0129011897011</v>
      </c>
      <c r="AS12" s="18">
        <f>'Raw Financials'!AS37</f>
        <v>2000.0443927042379</v>
      </c>
      <c r="AT12" s="18">
        <f>'Raw Financials'!AT37</f>
        <v>2109.0445281603284</v>
      </c>
      <c r="AU12" s="21">
        <f>'Raw Financials'!AU37</f>
        <v>2043.5</v>
      </c>
    </row>
    <row r="13" spans="1:47" ht="14.4">
      <c r="A13" s="24" t="s">
        <v>50</v>
      </c>
      <c r="B13" s="22" t="s">
        <v>44</v>
      </c>
      <c r="C13" s="23">
        <f t="shared" ref="C13:AU13" si="4">C10-C12</f>
        <v>904.99208518762566</v>
      </c>
      <c r="D13" s="23">
        <f t="shared" si="4"/>
        <v>1086.7882023816023</v>
      </c>
      <c r="E13" s="23">
        <f t="shared" si="4"/>
        <v>1128.003439912261</v>
      </c>
      <c r="F13" s="23">
        <f t="shared" si="4"/>
        <v>1150.9064862501859</v>
      </c>
      <c r="G13" s="23">
        <f t="shared" si="4"/>
        <v>1029.0798557069984</v>
      </c>
      <c r="H13" s="23">
        <f t="shared" si="4"/>
        <v>1070.1218093799962</v>
      </c>
      <c r="I13" s="23">
        <f t="shared" si="4"/>
        <v>1186.5003444393949</v>
      </c>
      <c r="J13" s="23">
        <f t="shared" si="4"/>
        <v>898.73282176633847</v>
      </c>
      <c r="K13" s="23">
        <f t="shared" si="4"/>
        <v>934.61327689999803</v>
      </c>
      <c r="L13" s="23">
        <f t="shared" si="4"/>
        <v>1105.641732199997</v>
      </c>
      <c r="M13" s="23">
        <f t="shared" si="4"/>
        <v>1257.4523364019999</v>
      </c>
      <c r="N13" s="23">
        <f t="shared" si="4"/>
        <v>1411.8918692929994</v>
      </c>
      <c r="O13" s="23">
        <f t="shared" si="4"/>
        <v>1356.9073875000006</v>
      </c>
      <c r="P13" s="23">
        <f t="shared" si="4"/>
        <v>1618.7336157270029</v>
      </c>
      <c r="Q13" s="23">
        <f t="shared" si="4"/>
        <v>1722.6288283979995</v>
      </c>
      <c r="R13" s="23">
        <f t="shared" si="4"/>
        <v>1638.747802459995</v>
      </c>
      <c r="S13" s="23">
        <f t="shared" si="4"/>
        <v>1314.1289601000005</v>
      </c>
      <c r="T13" s="23">
        <f t="shared" si="4"/>
        <v>1500.8683967998986</v>
      </c>
      <c r="U13" s="23">
        <f t="shared" si="4"/>
        <v>1563.2820232000031</v>
      </c>
      <c r="V13" s="23">
        <f t="shared" si="4"/>
        <v>1347.8597716000736</v>
      </c>
      <c r="W13" s="23">
        <f t="shared" si="4"/>
        <v>1300.5418251999988</v>
      </c>
      <c r="X13" s="23">
        <f t="shared" si="4"/>
        <v>1702.9335339999984</v>
      </c>
      <c r="Y13" s="23">
        <f t="shared" si="4"/>
        <v>1895.3243433000009</v>
      </c>
      <c r="Z13" s="23">
        <f t="shared" si="4"/>
        <v>1948.1640553999982</v>
      </c>
      <c r="AA13" s="23">
        <f t="shared" si="4"/>
        <v>1876.3688106000018</v>
      </c>
      <c r="AB13" s="23">
        <f t="shared" si="4"/>
        <v>1995.2145876000009</v>
      </c>
      <c r="AC13" s="23">
        <f t="shared" si="4"/>
        <v>2060.0193617999985</v>
      </c>
      <c r="AD13" s="23">
        <f t="shared" si="4"/>
        <v>2088.3808566999992</v>
      </c>
      <c r="AE13" s="23">
        <f t="shared" si="4"/>
        <v>1880.1477335000002</v>
      </c>
      <c r="AF13" s="23">
        <f t="shared" si="4"/>
        <v>1984.1190767999992</v>
      </c>
      <c r="AG13" s="23">
        <f t="shared" si="4"/>
        <v>2143.9673849580026</v>
      </c>
      <c r="AH13" s="23">
        <f t="shared" si="4"/>
        <v>2020.5390550000006</v>
      </c>
      <c r="AI13" s="23">
        <f t="shared" si="4"/>
        <v>1337.9799999999987</v>
      </c>
      <c r="AJ13" s="23">
        <f t="shared" si="4"/>
        <v>1072.3160000000014</v>
      </c>
      <c r="AK13" s="23">
        <f t="shared" si="4"/>
        <v>1146.4639999999995</v>
      </c>
      <c r="AL13" s="23">
        <f t="shared" si="4"/>
        <v>1407.7999999999997</v>
      </c>
      <c r="AM13" s="23">
        <f t="shared" si="4"/>
        <v>1564.4740000000008</v>
      </c>
      <c r="AN13" s="23">
        <f t="shared" si="4"/>
        <v>1750.237000000001</v>
      </c>
      <c r="AO13" s="23">
        <f t="shared" si="4"/>
        <v>1808.9800000000005</v>
      </c>
      <c r="AP13" s="23">
        <f t="shared" si="4"/>
        <v>1867.3957365779133</v>
      </c>
      <c r="AQ13" s="23">
        <f t="shared" si="4"/>
        <v>1935.2000000000016</v>
      </c>
      <c r="AR13" s="23">
        <f t="shared" si="4"/>
        <v>2167.9995670078583</v>
      </c>
      <c r="AS13" s="23">
        <f t="shared" si="4"/>
        <v>2365.6000001836528</v>
      </c>
      <c r="AT13" s="23">
        <f t="shared" si="4"/>
        <v>2565.2999513969912</v>
      </c>
      <c r="AU13" s="48">
        <f t="shared" si="4"/>
        <v>2742.5</v>
      </c>
    </row>
    <row r="14" spans="1:47" ht="14.4">
      <c r="A14" s="1" t="s">
        <v>51</v>
      </c>
      <c r="B14" s="1" t="s">
        <v>46</v>
      </c>
      <c r="C14" s="19">
        <f t="shared" ref="C14:AU14" si="5">IFERROR(C13/C6,"")</f>
        <v>0.14379050549458164</v>
      </c>
      <c r="D14" s="19">
        <f t="shared" si="5"/>
        <v>0.16427820310550884</v>
      </c>
      <c r="E14" s="19">
        <f t="shared" si="5"/>
        <v>0.16833004155185771</v>
      </c>
      <c r="F14" s="19">
        <f t="shared" si="5"/>
        <v>0.1671897994982231</v>
      </c>
      <c r="G14" s="19">
        <f t="shared" si="5"/>
        <v>0.14869088463588248</v>
      </c>
      <c r="H14" s="19">
        <f t="shared" si="5"/>
        <v>0.14930383446482584</v>
      </c>
      <c r="I14" s="19">
        <f t="shared" si="5"/>
        <v>0.1569963516650055</v>
      </c>
      <c r="J14" s="19">
        <f t="shared" si="5"/>
        <v>0.1199110742503329</v>
      </c>
      <c r="K14" s="19">
        <f t="shared" si="5"/>
        <v>0.12739917426122319</v>
      </c>
      <c r="L14" s="19">
        <f t="shared" si="5"/>
        <v>0.14535807588898694</v>
      </c>
      <c r="M14" s="19">
        <f t="shared" si="5"/>
        <v>0.16171031568333274</v>
      </c>
      <c r="N14" s="19">
        <f t="shared" si="5"/>
        <v>0.1752924842537425</v>
      </c>
      <c r="O14" s="19">
        <f t="shared" si="5"/>
        <v>0.16395142626802653</v>
      </c>
      <c r="P14" s="19">
        <f t="shared" si="5"/>
        <v>0.18757381087387223</v>
      </c>
      <c r="Q14" s="19">
        <f t="shared" si="5"/>
        <v>0.19260778223245939</v>
      </c>
      <c r="R14" s="19">
        <f t="shared" si="5"/>
        <v>0.18428856154164672</v>
      </c>
      <c r="S14" s="19">
        <f t="shared" si="5"/>
        <v>0.15186924326262899</v>
      </c>
      <c r="T14" s="19">
        <f t="shared" si="5"/>
        <v>0.16547819661270186</v>
      </c>
      <c r="U14" s="19">
        <f t="shared" si="5"/>
        <v>0.16192099953728706</v>
      </c>
      <c r="V14" s="19">
        <f t="shared" si="5"/>
        <v>0.14202698260236138</v>
      </c>
      <c r="W14" s="19">
        <f t="shared" si="5"/>
        <v>0.14281704908721923</v>
      </c>
      <c r="X14" s="19">
        <f t="shared" si="5"/>
        <v>0.1817090866356543</v>
      </c>
      <c r="Y14" s="19">
        <f t="shared" si="5"/>
        <v>0.19646647586118982</v>
      </c>
      <c r="Z14" s="19">
        <f t="shared" si="5"/>
        <v>0.20022422080204472</v>
      </c>
      <c r="AA14" s="19">
        <f t="shared" si="5"/>
        <v>0.18400158365684033</v>
      </c>
      <c r="AB14" s="19">
        <f t="shared" si="5"/>
        <v>0.18336128992805933</v>
      </c>
      <c r="AC14" s="19">
        <f t="shared" si="5"/>
        <v>0.17990194932141276</v>
      </c>
      <c r="AD14" s="19">
        <f t="shared" si="5"/>
        <v>0.17236160983097895</v>
      </c>
      <c r="AE14" s="19">
        <f t="shared" si="5"/>
        <v>0.14795054031766727</v>
      </c>
      <c r="AF14" s="19">
        <f t="shared" si="5"/>
        <v>0.15111953098968503</v>
      </c>
      <c r="AG14" s="19">
        <f t="shared" si="5"/>
        <v>0.15610018114853294</v>
      </c>
      <c r="AH14" s="19">
        <f t="shared" si="5"/>
        <v>0.14728903100751115</v>
      </c>
      <c r="AI14" s="19">
        <f t="shared" si="5"/>
        <v>0.10167811677153921</v>
      </c>
      <c r="AJ14" s="19">
        <f t="shared" si="5"/>
        <v>8.3358435848116974E-2</v>
      </c>
      <c r="AK14" s="19">
        <f t="shared" si="5"/>
        <v>8.7507404778611492E-2</v>
      </c>
      <c r="AL14" s="19">
        <f t="shared" si="5"/>
        <v>0.10937494294486165</v>
      </c>
      <c r="AM14" s="19">
        <f t="shared" si="5"/>
        <v>0.1202935010288745</v>
      </c>
      <c r="AN14" s="19">
        <f t="shared" si="5"/>
        <v>0.1314660718494742</v>
      </c>
      <c r="AO14" s="19">
        <f t="shared" si="5"/>
        <v>0.13616092547699946</v>
      </c>
      <c r="AP14" s="19">
        <f t="shared" si="5"/>
        <v>0.13952447359840714</v>
      </c>
      <c r="AQ14" s="19">
        <f t="shared" si="5"/>
        <v>0.14494577266462952</v>
      </c>
      <c r="AR14" s="19">
        <f t="shared" si="5"/>
        <v>0.15491354914814628</v>
      </c>
      <c r="AS14" s="19">
        <f t="shared" si="5"/>
        <v>0.16435539005805791</v>
      </c>
      <c r="AT14" s="19">
        <f t="shared" si="5"/>
        <v>0.17015673492461034</v>
      </c>
      <c r="AU14" s="19">
        <f t="shared" si="5"/>
        <v>0.17454922701901107</v>
      </c>
    </row>
    <row r="15" spans="1:47" ht="14.4">
      <c r="A15" s="1" t="s">
        <v>219</v>
      </c>
      <c r="B15" s="1" t="s">
        <v>44</v>
      </c>
      <c r="C15" s="18">
        <f>'Raw Financials'!C39</f>
        <v>172.41590145840601</v>
      </c>
      <c r="D15" s="18">
        <f>'Raw Financials'!D39</f>
        <v>196.53225654159402</v>
      </c>
      <c r="E15" s="18">
        <f>'Raw Financials'!E39</f>
        <v>172.65134636530706</v>
      </c>
      <c r="F15" s="18">
        <f>'Raw Financials'!F39</f>
        <v>217.32349863290594</v>
      </c>
      <c r="G15" s="18">
        <f>'Raw Financials'!G39</f>
        <v>201.87767809999997</v>
      </c>
      <c r="H15" s="18">
        <f>'Raw Financials'!H39</f>
        <v>244.74799280000002</v>
      </c>
      <c r="I15" s="18">
        <f>'Raw Financials'!I39</f>
        <v>247.96490299999996</v>
      </c>
      <c r="J15" s="18">
        <f>'Raw Financials'!J39</f>
        <v>283.46462229999992</v>
      </c>
      <c r="K15" s="18">
        <f>'Raw Financials'!K39</f>
        <v>246.84448210000002</v>
      </c>
      <c r="L15" s="18">
        <f>'Raw Financials'!L39</f>
        <v>265.3583448</v>
      </c>
      <c r="M15" s="18">
        <f>'Raw Financials'!M39</f>
        <v>274.1944962469999</v>
      </c>
      <c r="N15" s="18">
        <f>'Raw Financials'!N39</f>
        <v>298.64068735300003</v>
      </c>
      <c r="O15" s="18">
        <f>'Raw Financials'!O39</f>
        <v>280.77247649999998</v>
      </c>
      <c r="P15" s="18">
        <f>'Raw Financials'!P39</f>
        <v>294.42932400000001</v>
      </c>
      <c r="Q15" s="18">
        <f>'Raw Financials'!Q39</f>
        <v>283.58468379999994</v>
      </c>
      <c r="R15" s="18">
        <f>'Raw Financials'!R39</f>
        <v>270.41351570000006</v>
      </c>
      <c r="S15" s="18">
        <f>'Raw Financials'!S39</f>
        <v>321.3</v>
      </c>
      <c r="T15" s="18">
        <f>'Raw Financials'!T39</f>
        <v>341.45864060000002</v>
      </c>
      <c r="U15" s="18">
        <f>'Raw Financials'!U39</f>
        <v>384.81180820000009</v>
      </c>
      <c r="V15" s="18">
        <f>'Raw Financials'!V39</f>
        <v>398.19855119999994</v>
      </c>
      <c r="W15" s="18">
        <f>'Raw Financials'!W39</f>
        <v>383.20000000000005</v>
      </c>
      <c r="X15" s="18">
        <f>'Raw Financials'!X39</f>
        <v>371.67777890000008</v>
      </c>
      <c r="Y15" s="18">
        <f>'Raw Financials'!Y39</f>
        <v>358.36198949999999</v>
      </c>
      <c r="Z15" s="18">
        <f>'Raw Financials'!Z39</f>
        <v>344.36982890000002</v>
      </c>
      <c r="AA15" s="18">
        <f>'Raw Financials'!AA39</f>
        <v>331.1</v>
      </c>
      <c r="AB15" s="18">
        <f>'Raw Financials'!AB39</f>
        <v>342.9500529</v>
      </c>
      <c r="AC15" s="18">
        <f>'Raw Financials'!AC39</f>
        <v>362.10010590000002</v>
      </c>
      <c r="AD15" s="18">
        <f>'Raw Financials'!AD39</f>
        <v>484.24203039999998</v>
      </c>
      <c r="AE15" s="18">
        <f>'Raw Financials'!AE39</f>
        <v>476.70000000000005</v>
      </c>
      <c r="AF15" s="18">
        <f>'Raw Financials'!AF39</f>
        <v>491.70000000000005</v>
      </c>
      <c r="AG15" s="18">
        <f>'Raw Financials'!AG39</f>
        <v>498.10013887600007</v>
      </c>
      <c r="AH15" s="18">
        <f>'Raw Financials'!AH39</f>
        <v>490.20000000000005</v>
      </c>
      <c r="AI15" s="18">
        <f>'Raw Financials'!AI39</f>
        <v>446.6</v>
      </c>
      <c r="AJ15" s="18">
        <f>'Raw Financials'!AJ39</f>
        <v>465.70000000000005</v>
      </c>
      <c r="AK15" s="18">
        <f>'Raw Financials'!AK39</f>
        <v>443.40000000000003</v>
      </c>
      <c r="AL15" s="18">
        <f>'Raw Financials'!AL39</f>
        <v>461.40000000000003</v>
      </c>
      <c r="AM15" s="18">
        <f>'Raw Financials'!AM39</f>
        <v>462.20000000000005</v>
      </c>
      <c r="AN15" s="18">
        <f>'Raw Financials'!AN39</f>
        <v>469.8</v>
      </c>
      <c r="AO15" s="18">
        <f>'Raw Financials'!AO39</f>
        <v>458.8</v>
      </c>
      <c r="AP15" s="18">
        <f>'Raw Financials'!AP39</f>
        <v>462.1</v>
      </c>
      <c r="AQ15" s="18">
        <f>'Raw Financials'!AQ39</f>
        <v>458.1</v>
      </c>
      <c r="AR15" s="18">
        <f>'Raw Financials'!AR39</f>
        <v>468.70000000000005</v>
      </c>
      <c r="AS15" s="18">
        <f>'Raw Financials'!AS39</f>
        <v>473.69999999997793</v>
      </c>
      <c r="AT15" s="18">
        <f>'Raw Financials'!AT39</f>
        <v>481.10000000041504</v>
      </c>
      <c r="AU15" s="21">
        <f>'Raw Financials'!AU39</f>
        <v>478.6</v>
      </c>
    </row>
    <row r="16" spans="1:47" ht="14.4">
      <c r="A16" s="24" t="s">
        <v>52</v>
      </c>
      <c r="B16" s="22" t="s">
        <v>44</v>
      </c>
      <c r="C16" s="23">
        <f t="shared" ref="C16:AU16" si="6">C13-C15</f>
        <v>732.57618372921968</v>
      </c>
      <c r="D16" s="23">
        <f t="shared" si="6"/>
        <v>890.25594584000828</v>
      </c>
      <c r="E16" s="23">
        <f t="shared" si="6"/>
        <v>955.35209354695394</v>
      </c>
      <c r="F16" s="23">
        <f t="shared" si="6"/>
        <v>933.58298761727997</v>
      </c>
      <c r="G16" s="23">
        <f t="shared" si="6"/>
        <v>827.20217760699848</v>
      </c>
      <c r="H16" s="23">
        <f t="shared" si="6"/>
        <v>825.37381657999617</v>
      </c>
      <c r="I16" s="23">
        <f t="shared" si="6"/>
        <v>938.53544143939496</v>
      </c>
      <c r="J16" s="23">
        <f t="shared" si="6"/>
        <v>615.2681994663385</v>
      </c>
      <c r="K16" s="23">
        <f t="shared" si="6"/>
        <v>687.76879479999798</v>
      </c>
      <c r="L16" s="23">
        <f t="shared" si="6"/>
        <v>840.28338739999708</v>
      </c>
      <c r="M16" s="23">
        <f t="shared" si="6"/>
        <v>983.25784015499994</v>
      </c>
      <c r="N16" s="23">
        <f t="shared" si="6"/>
        <v>1113.2511819399995</v>
      </c>
      <c r="O16" s="23">
        <f t="shared" si="6"/>
        <v>1076.1349110000006</v>
      </c>
      <c r="P16" s="23">
        <f t="shared" si="6"/>
        <v>1324.3042917270029</v>
      </c>
      <c r="Q16" s="23">
        <f t="shared" si="6"/>
        <v>1439.0441445979995</v>
      </c>
      <c r="R16" s="23">
        <f t="shared" si="6"/>
        <v>1368.3342867599949</v>
      </c>
      <c r="S16" s="23">
        <f t="shared" si="6"/>
        <v>992.82896010000059</v>
      </c>
      <c r="T16" s="23">
        <f t="shared" si="6"/>
        <v>1159.4097561998985</v>
      </c>
      <c r="U16" s="23">
        <f t="shared" si="6"/>
        <v>1178.470215000003</v>
      </c>
      <c r="V16" s="23">
        <f t="shared" si="6"/>
        <v>949.66122040007372</v>
      </c>
      <c r="W16" s="23">
        <f t="shared" si="6"/>
        <v>917.34182519999877</v>
      </c>
      <c r="X16" s="23">
        <f t="shared" si="6"/>
        <v>1331.2557550999984</v>
      </c>
      <c r="Y16" s="23">
        <f t="shared" si="6"/>
        <v>1536.962353800001</v>
      </c>
      <c r="Z16" s="23">
        <f t="shared" si="6"/>
        <v>1603.7942264999983</v>
      </c>
      <c r="AA16" s="23">
        <f t="shared" si="6"/>
        <v>1545.2688106000019</v>
      </c>
      <c r="AB16" s="23">
        <f t="shared" si="6"/>
        <v>1652.2645347000009</v>
      </c>
      <c r="AC16" s="23">
        <f t="shared" si="6"/>
        <v>1697.9192558999985</v>
      </c>
      <c r="AD16" s="23">
        <f t="shared" si="6"/>
        <v>1604.1388262999992</v>
      </c>
      <c r="AE16" s="23">
        <f t="shared" si="6"/>
        <v>1403.4477335000001</v>
      </c>
      <c r="AF16" s="23">
        <f t="shared" si="6"/>
        <v>1492.4190767999992</v>
      </c>
      <c r="AG16" s="23">
        <f t="shared" si="6"/>
        <v>1645.8672460820026</v>
      </c>
      <c r="AH16" s="23">
        <f t="shared" si="6"/>
        <v>1530.3390550000006</v>
      </c>
      <c r="AI16" s="23">
        <f t="shared" si="6"/>
        <v>891.37999999999863</v>
      </c>
      <c r="AJ16" s="23">
        <f t="shared" si="6"/>
        <v>606.61600000000135</v>
      </c>
      <c r="AK16" s="23">
        <f t="shared" si="6"/>
        <v>703.0639999999994</v>
      </c>
      <c r="AL16" s="23">
        <f t="shared" si="6"/>
        <v>946.39999999999964</v>
      </c>
      <c r="AM16" s="23">
        <f t="shared" si="6"/>
        <v>1102.2740000000008</v>
      </c>
      <c r="AN16" s="23">
        <f t="shared" si="6"/>
        <v>1280.437000000001</v>
      </c>
      <c r="AO16" s="23">
        <f t="shared" si="6"/>
        <v>1350.1800000000005</v>
      </c>
      <c r="AP16" s="23">
        <f t="shared" si="6"/>
        <v>1405.2957365779134</v>
      </c>
      <c r="AQ16" s="23">
        <f t="shared" si="6"/>
        <v>1477.1000000000017</v>
      </c>
      <c r="AR16" s="23">
        <f t="shared" si="6"/>
        <v>1699.2995670078583</v>
      </c>
      <c r="AS16" s="23">
        <f t="shared" si="6"/>
        <v>1891.9000001836748</v>
      </c>
      <c r="AT16" s="23">
        <f t="shared" si="6"/>
        <v>2084.1999513965761</v>
      </c>
      <c r="AU16" s="48">
        <f t="shared" si="6"/>
        <v>2263.9</v>
      </c>
    </row>
    <row r="17" spans="1:47" ht="14.4">
      <c r="A17" s="1" t="s">
        <v>53</v>
      </c>
      <c r="B17" s="1" t="s">
        <v>46</v>
      </c>
      <c r="C17" s="19">
        <f t="shared" ref="C17:AU17" si="7">IFERROR(C16/C6,"")</f>
        <v>0.11639604533102313</v>
      </c>
      <c r="D17" s="19">
        <f t="shared" si="7"/>
        <v>0.13457051407633824</v>
      </c>
      <c r="E17" s="19">
        <f t="shared" si="7"/>
        <v>0.1425655737503084</v>
      </c>
      <c r="F17" s="19">
        <f t="shared" si="7"/>
        <v>0.13561966535025244</v>
      </c>
      <c r="G17" s="19">
        <f t="shared" si="7"/>
        <v>0.11952174836481597</v>
      </c>
      <c r="H17" s="19">
        <f t="shared" si="7"/>
        <v>0.11515649396367199</v>
      </c>
      <c r="I17" s="19">
        <f t="shared" si="7"/>
        <v>0.12418592283166147</v>
      </c>
      <c r="J17" s="19">
        <f t="shared" si="7"/>
        <v>8.2090549007742986E-2</v>
      </c>
      <c r="K17" s="19">
        <f t="shared" si="7"/>
        <v>9.3751264513152965E-2</v>
      </c>
      <c r="L17" s="19">
        <f t="shared" si="7"/>
        <v>0.11047156853505039</v>
      </c>
      <c r="M17" s="19">
        <f t="shared" si="7"/>
        <v>0.12644847929945291</v>
      </c>
      <c r="N17" s="19">
        <f t="shared" si="7"/>
        <v>0.13821495082225782</v>
      </c>
      <c r="O17" s="19">
        <f t="shared" si="7"/>
        <v>0.13002645216659328</v>
      </c>
      <c r="P17" s="19">
        <f t="shared" si="7"/>
        <v>0.15345625762166867</v>
      </c>
      <c r="Q17" s="19">
        <f t="shared" si="7"/>
        <v>0.16090007124946892</v>
      </c>
      <c r="R17" s="19">
        <f t="shared" si="7"/>
        <v>0.15387868532093454</v>
      </c>
      <c r="S17" s="19">
        <f t="shared" si="7"/>
        <v>0.11473773688705265</v>
      </c>
      <c r="T17" s="19">
        <f t="shared" si="7"/>
        <v>0.12783068522210386</v>
      </c>
      <c r="U17" s="19">
        <f t="shared" si="7"/>
        <v>0.12206311612738929</v>
      </c>
      <c r="V17" s="19">
        <f t="shared" si="7"/>
        <v>0.10006791542400773</v>
      </c>
      <c r="W17" s="19">
        <f t="shared" si="7"/>
        <v>0.10073651607413726</v>
      </c>
      <c r="X17" s="19">
        <f t="shared" si="7"/>
        <v>0.14204974093702896</v>
      </c>
      <c r="Y17" s="19">
        <f t="shared" si="7"/>
        <v>0.15931921006019045</v>
      </c>
      <c r="Z17" s="19">
        <f t="shared" si="7"/>
        <v>0.16483131820325467</v>
      </c>
      <c r="AA17" s="19">
        <f t="shared" si="7"/>
        <v>0.15153306040884482</v>
      </c>
      <c r="AB17" s="19">
        <f t="shared" si="7"/>
        <v>0.15184399626378153</v>
      </c>
      <c r="AC17" s="19">
        <f t="shared" si="7"/>
        <v>0.14827966648811941</v>
      </c>
      <c r="AD17" s="19">
        <f t="shared" si="7"/>
        <v>0.13239536725611908</v>
      </c>
      <c r="AE17" s="19">
        <f t="shared" si="7"/>
        <v>0.11043858244713327</v>
      </c>
      <c r="AF17" s="19">
        <f t="shared" si="7"/>
        <v>0.11366942315267531</v>
      </c>
      <c r="AG17" s="19">
        <f t="shared" si="7"/>
        <v>0.11983399424001516</v>
      </c>
      <c r="AH17" s="19">
        <f t="shared" si="7"/>
        <v>0.11155545643432284</v>
      </c>
      <c r="AI17" s="19">
        <f t="shared" si="7"/>
        <v>6.7739308306413087E-2</v>
      </c>
      <c r="AJ17" s="19">
        <f t="shared" si="7"/>
        <v>4.715639878584426E-2</v>
      </c>
      <c r="AK17" s="19">
        <f t="shared" si="7"/>
        <v>5.3663530676296582E-2</v>
      </c>
      <c r="AL17" s="19">
        <f t="shared" si="7"/>
        <v>7.3527806508749141E-2</v>
      </c>
      <c r="AM17" s="19">
        <f t="shared" si="7"/>
        <v>8.4754619477921428E-2</v>
      </c>
      <c r="AN17" s="19">
        <f t="shared" si="7"/>
        <v>9.6177844852283007E-2</v>
      </c>
      <c r="AO17" s="19">
        <f t="shared" si="7"/>
        <v>0.1016273028781607</v>
      </c>
      <c r="AP17" s="19">
        <f t="shared" si="7"/>
        <v>0.10499817690246635</v>
      </c>
      <c r="AQ17" s="19">
        <f t="shared" si="7"/>
        <v>0.11063425010485961</v>
      </c>
      <c r="AR17" s="19">
        <f t="shared" si="7"/>
        <v>0.12142277655267696</v>
      </c>
      <c r="AS17" s="19">
        <f t="shared" si="7"/>
        <v>0.13144401524217436</v>
      </c>
      <c r="AT17" s="19">
        <f t="shared" si="7"/>
        <v>0.13824529894312962</v>
      </c>
      <c r="AU17" s="19">
        <f t="shared" si="7"/>
        <v>0.14408823885080735</v>
      </c>
    </row>
    <row r="18" spans="1:47" ht="14.4">
      <c r="A18" s="1" t="s">
        <v>220</v>
      </c>
      <c r="B18" s="1" t="s">
        <v>44</v>
      </c>
      <c r="C18" s="18">
        <f>'Raw Financials'!C41</f>
        <v>0</v>
      </c>
      <c r="D18" s="18">
        <f>'Raw Financials'!D41</f>
        <v>0</v>
      </c>
      <c r="E18" s="18">
        <f>'Raw Financials'!E41</f>
        <v>0</v>
      </c>
      <c r="F18" s="18">
        <f>'Raw Financials'!F41</f>
        <v>0</v>
      </c>
      <c r="G18" s="18">
        <f>'Raw Financials'!G41</f>
        <v>0</v>
      </c>
      <c r="H18" s="18">
        <f>'Raw Financials'!H41</f>
        <v>0</v>
      </c>
      <c r="I18" s="18">
        <f>'Raw Financials'!I41</f>
        <v>0</v>
      </c>
      <c r="J18" s="18">
        <f>'Raw Financials'!J41</f>
        <v>0</v>
      </c>
      <c r="K18" s="18">
        <f>'Raw Financials'!K41</f>
        <v>0</v>
      </c>
      <c r="L18" s="18">
        <f>'Raw Financials'!L41</f>
        <v>0</v>
      </c>
      <c r="M18" s="18">
        <f>'Raw Financials'!M41</f>
        <v>0</v>
      </c>
      <c r="N18" s="18">
        <f>'Raw Financials'!N41</f>
        <v>0</v>
      </c>
      <c r="O18" s="18">
        <f>'Raw Financials'!O41</f>
        <v>0</v>
      </c>
      <c r="P18" s="18">
        <f>'Raw Financials'!P41</f>
        <v>0</v>
      </c>
      <c r="Q18" s="18">
        <f>'Raw Financials'!Q41</f>
        <v>0</v>
      </c>
      <c r="R18" s="18">
        <f>'Raw Financials'!R41</f>
        <v>0</v>
      </c>
      <c r="S18" s="18">
        <f>'Raw Financials'!S41</f>
        <v>0</v>
      </c>
      <c r="T18" s="18">
        <f>'Raw Financials'!T41</f>
        <v>0</v>
      </c>
      <c r="U18" s="18">
        <f>'Raw Financials'!U41</f>
        <v>0</v>
      </c>
      <c r="V18" s="18">
        <f>'Raw Financials'!V41</f>
        <v>217.5</v>
      </c>
      <c r="W18" s="18">
        <f>'Raw Financials'!W41</f>
        <v>0</v>
      </c>
      <c r="X18" s="18">
        <f>'Raw Financials'!X41</f>
        <v>0</v>
      </c>
      <c r="Y18" s="18">
        <f>'Raw Financials'!Y41</f>
        <v>0</v>
      </c>
      <c r="Z18" s="18">
        <f>'Raw Financials'!Z41</f>
        <v>50.7</v>
      </c>
      <c r="AA18" s="18">
        <f>'Raw Financials'!AA41</f>
        <v>0</v>
      </c>
      <c r="AB18" s="18">
        <f>'Raw Financials'!AB41</f>
        <v>0</v>
      </c>
      <c r="AC18" s="18">
        <f>'Raw Financials'!AC41</f>
        <v>0</v>
      </c>
      <c r="AD18" s="18">
        <f>'Raw Financials'!AD41</f>
        <v>0</v>
      </c>
      <c r="AE18" s="18">
        <f>'Raw Financials'!AE41</f>
        <v>0</v>
      </c>
      <c r="AF18" s="18">
        <f>'Raw Financials'!AF41</f>
        <v>24.400000000000002</v>
      </c>
      <c r="AG18" s="18">
        <f>'Raw Financials'!AG41</f>
        <v>0</v>
      </c>
      <c r="AH18" s="18">
        <f>'Raw Financials'!AH41</f>
        <v>212.60000000000002</v>
      </c>
      <c r="AI18" s="18">
        <f>'Raw Financials'!AI41</f>
        <v>0</v>
      </c>
      <c r="AJ18" s="18">
        <f>'Raw Financials'!AJ41</f>
        <v>149.5</v>
      </c>
      <c r="AK18" s="18">
        <f>'Raw Financials'!AK41</f>
        <v>2.4352400000395848E-4</v>
      </c>
      <c r="AL18" s="18">
        <f>'Raw Financials'!AL41</f>
        <v>308.70000000000005</v>
      </c>
      <c r="AM18" s="18">
        <f>'Raw Financials'!AM41</f>
        <v>0</v>
      </c>
      <c r="AN18" s="18">
        <f>'Raw Financials'!AN41</f>
        <v>0</v>
      </c>
      <c r="AO18" s="18">
        <f>'Raw Financials'!AO41</f>
        <v>0</v>
      </c>
      <c r="AP18" s="18">
        <f>'Raw Financials'!AP41</f>
        <v>27.300366804000021</v>
      </c>
      <c r="AQ18" s="18">
        <f>'Raw Financials'!AQ41</f>
        <v>0</v>
      </c>
      <c r="AR18" s="18">
        <f>'Raw Financials'!AR41</f>
        <v>0</v>
      </c>
      <c r="AS18" s="18">
        <f>'Raw Financials'!AS41</f>
        <v>0</v>
      </c>
      <c r="AT18" s="18">
        <f>'Raw Financials'!AT41</f>
        <v>0</v>
      </c>
      <c r="AU18" s="21">
        <f>'Raw Financials'!AU41</f>
        <v>0</v>
      </c>
    </row>
    <row r="19" spans="1:47" ht="14.4">
      <c r="A19" s="1" t="s">
        <v>222</v>
      </c>
      <c r="B19" s="1" t="s">
        <v>44</v>
      </c>
      <c r="C19" s="18">
        <f>'Raw Financials'!C43</f>
        <v>79.854661856994412</v>
      </c>
      <c r="D19" s="18">
        <f>'Raw Financials'!D43</f>
        <v>-20.448292456994402</v>
      </c>
      <c r="E19" s="18">
        <f>'Raw Financials'!E43</f>
        <v>-13.136941101925121</v>
      </c>
      <c r="F19" s="18">
        <f>'Raw Financials'!F43</f>
        <v>52.342431854777082</v>
      </c>
      <c r="G19" s="18">
        <f>'Raw Financials'!G43</f>
        <v>47.890939300000007</v>
      </c>
      <c r="H19" s="18">
        <f>'Raw Financials'!H43</f>
        <v>87.622259400000004</v>
      </c>
      <c r="I19" s="18">
        <f>'Raw Financials'!I43</f>
        <v>90.41958330441831</v>
      </c>
      <c r="J19" s="18">
        <f>'Raw Financials'!J43</f>
        <v>161.65450035170375</v>
      </c>
      <c r="K19" s="18">
        <f>'Raw Financials'!K43</f>
        <v>272.64986170000003</v>
      </c>
      <c r="L19" s="18">
        <f>'Raw Financials'!L43</f>
        <v>226.95068040000001</v>
      </c>
      <c r="M19" s="18">
        <f>'Raw Financials'!M43</f>
        <v>101.149438686</v>
      </c>
      <c r="N19" s="18">
        <f>'Raw Financials'!N43</f>
        <v>174.250760786</v>
      </c>
      <c r="O19" s="18">
        <f>'Raw Financials'!O43</f>
        <v>14.655578200000001</v>
      </c>
      <c r="P19" s="18">
        <f>'Raw Financials'!P43</f>
        <v>50.051803400000004</v>
      </c>
      <c r="Q19" s="18">
        <f>'Raw Financials'!Q43</f>
        <v>-77.891056887953894</v>
      </c>
      <c r="R19" s="18">
        <f>'Raw Financials'!R43</f>
        <v>25.193672800000002</v>
      </c>
      <c r="S19" s="18">
        <f>'Raw Financials'!S43</f>
        <v>101.8</v>
      </c>
      <c r="T19" s="18">
        <f>'Raw Financials'!T43</f>
        <v>49.597158299999997</v>
      </c>
      <c r="U19" s="18">
        <f>'Raw Financials'!U43</f>
        <v>143.5</v>
      </c>
      <c r="V19" s="18">
        <f>'Raw Financials'!V43</f>
        <v>7.3028417000000481</v>
      </c>
      <c r="W19" s="18">
        <f>'Raw Financials'!W43</f>
        <v>85.7</v>
      </c>
      <c r="X19" s="18">
        <f>'Raw Financials'!X43</f>
        <v>-35.6</v>
      </c>
      <c r="Y19" s="18">
        <f>'Raw Financials'!Y43</f>
        <v>110.2</v>
      </c>
      <c r="Z19" s="18">
        <f>'Raw Financials'!Z43</f>
        <v>-62.800000000000004</v>
      </c>
      <c r="AA19" s="18">
        <f>'Raw Financials'!AA43</f>
        <v>107.7</v>
      </c>
      <c r="AB19" s="18">
        <f>'Raw Financials'!AB43</f>
        <v>121.30000000000001</v>
      </c>
      <c r="AC19" s="18">
        <f>'Raw Financials'!AC43</f>
        <v>124.41388625272819</v>
      </c>
      <c r="AD19" s="18">
        <f>'Raw Financials'!AD43</f>
        <v>210.8</v>
      </c>
      <c r="AE19" s="18">
        <f>'Raw Financials'!AE43</f>
        <v>53.6</v>
      </c>
      <c r="AF19" s="18">
        <f>'Raw Financials'!AF43</f>
        <v>126.7</v>
      </c>
      <c r="AG19" s="18">
        <f>'Raw Financials'!AG43</f>
        <v>125.10000000000001</v>
      </c>
      <c r="AH19" s="18">
        <f>'Raw Financials'!AH43</f>
        <v>-6.4</v>
      </c>
      <c r="AI19" s="18">
        <f>'Raw Financials'!AI43</f>
        <v>44.5</v>
      </c>
      <c r="AJ19" s="18">
        <f>'Raw Financials'!AJ43</f>
        <v>-3</v>
      </c>
      <c r="AK19" s="18">
        <f>'Raw Financials'!AK43</f>
        <v>-43.5</v>
      </c>
      <c r="AL19" s="18">
        <f>'Raw Financials'!AL43</f>
        <v>-40.1</v>
      </c>
      <c r="AM19" s="18">
        <f>'Raw Financials'!AM43</f>
        <v>-6.5</v>
      </c>
      <c r="AN19" s="18">
        <f>'Raw Financials'!AN43</f>
        <v>-101.30000000000001</v>
      </c>
      <c r="AO19" s="18">
        <f>'Raw Financials'!AO43</f>
        <v>-91.4</v>
      </c>
      <c r="AP19" s="18">
        <f>'Raw Financials'!AP43</f>
        <v>-38.400000000000013</v>
      </c>
      <c r="AQ19" s="18">
        <f>'Raw Financials'!AQ43</f>
        <v>29.700000000000003</v>
      </c>
      <c r="AR19" s="18">
        <f>'Raw Financials'!AR43</f>
        <v>-109.50000007599999</v>
      </c>
      <c r="AS19" s="18">
        <f>'Raw Financials'!AS43</f>
        <v>-115.799999999881</v>
      </c>
      <c r="AT19" s="18">
        <f>'Raw Financials'!AT43</f>
        <v>-284.30000000004503</v>
      </c>
      <c r="AU19" s="21">
        <f>'Raw Financials'!AU43</f>
        <v>-214</v>
      </c>
    </row>
    <row r="20" spans="1:47" ht="14.4">
      <c r="A20" s="1" t="s">
        <v>223</v>
      </c>
      <c r="B20" s="1" t="s">
        <v>44</v>
      </c>
      <c r="C20" s="18">
        <f>'Raw Financials'!C44</f>
        <v>44.591126803532603</v>
      </c>
      <c r="D20" s="18">
        <f>'Raw Financials'!D44</f>
        <v>118.20912003366243</v>
      </c>
      <c r="E20" s="18">
        <f>'Raw Financials'!E44</f>
        <v>74.994020076692081</v>
      </c>
      <c r="F20" s="18">
        <f>'Raw Financials'!F44</f>
        <v>102.97183223547596</v>
      </c>
      <c r="G20" s="18">
        <f>'Raw Financials'!G44</f>
        <v>197.90551550000001</v>
      </c>
      <c r="H20" s="18">
        <f>'Raw Financials'!H44</f>
        <v>51.097014300003934</v>
      </c>
      <c r="I20" s="18">
        <f>'Raw Financials'!I44</f>
        <v>64.776662951000006</v>
      </c>
      <c r="J20" s="18">
        <f>'Raw Financials'!J44</f>
        <v>76.192421639800031</v>
      </c>
      <c r="K20" s="18">
        <f>'Raw Financials'!K44</f>
        <v>138.25068289999999</v>
      </c>
      <c r="L20" s="18">
        <f>'Raw Financials'!L44</f>
        <v>95.205951800000008</v>
      </c>
      <c r="M20" s="18">
        <f>'Raw Financials'!M44</f>
        <v>131.00952427400003</v>
      </c>
      <c r="N20" s="18">
        <f>'Raw Financials'!N44</f>
        <v>276.97314067400004</v>
      </c>
      <c r="O20" s="18">
        <f>'Raw Financials'!O44</f>
        <v>96.741704400000003</v>
      </c>
      <c r="P20" s="18">
        <f>'Raw Financials'!P44</f>
        <v>124.95114830400001</v>
      </c>
      <c r="Q20" s="18">
        <f>'Raw Financials'!Q44</f>
        <v>158.45086677929001</v>
      </c>
      <c r="R20" s="18">
        <f>'Raw Financials'!R44</f>
        <v>141.94914493513042</v>
      </c>
      <c r="S20" s="18">
        <f>'Raw Financials'!S44</f>
        <v>239.5</v>
      </c>
      <c r="T20" s="18">
        <f>'Raw Financials'!T44</f>
        <v>166.74151720000003</v>
      </c>
      <c r="U20" s="18">
        <f>'Raw Financials'!U44</f>
        <v>206.09200000000001</v>
      </c>
      <c r="V20" s="18">
        <f>'Raw Financials'!V44</f>
        <v>277.85648279999998</v>
      </c>
      <c r="W20" s="18">
        <f>'Raw Financials'!W44</f>
        <v>330.40000000000003</v>
      </c>
      <c r="X20" s="18">
        <f>'Raw Financials'!X44</f>
        <v>153.1</v>
      </c>
      <c r="Y20" s="18">
        <f>'Raw Financials'!Y44</f>
        <v>110.71599999999999</v>
      </c>
      <c r="Z20" s="18">
        <f>'Raw Financials'!Z44</f>
        <v>95.4</v>
      </c>
      <c r="AA20" s="18">
        <f>'Raw Financials'!AA44</f>
        <v>179.60000000000002</v>
      </c>
      <c r="AB20" s="18">
        <f>'Raw Financials'!AB44</f>
        <v>160.81600000000003</v>
      </c>
      <c r="AC20" s="18">
        <f>'Raw Financials'!AC44</f>
        <v>98.686113747271804</v>
      </c>
      <c r="AD20" s="18">
        <f>'Raw Financials'!AD44</f>
        <v>108.99999999999999</v>
      </c>
      <c r="AE20" s="18">
        <f>'Raw Financials'!AE44</f>
        <v>68.5</v>
      </c>
      <c r="AF20" s="18">
        <f>'Raw Financials'!AF44</f>
        <v>163.50048761417202</v>
      </c>
      <c r="AG20" s="18">
        <f>'Raw Financials'!AG44</f>
        <v>122.10000000000001</v>
      </c>
      <c r="AH20" s="18">
        <f>'Raw Financials'!AH44</f>
        <v>311.90000000000003</v>
      </c>
      <c r="AI20" s="18">
        <f>'Raw Financials'!AI44</f>
        <v>147.20000000000002</v>
      </c>
      <c r="AJ20" s="18">
        <f>'Raw Financials'!AJ44</f>
        <v>267.2</v>
      </c>
      <c r="AK20" s="18">
        <f>'Raw Financials'!AK44</f>
        <v>131</v>
      </c>
      <c r="AL20" s="18">
        <f>'Raw Financials'!AL44</f>
        <v>413.6</v>
      </c>
      <c r="AM20" s="18">
        <f>'Raw Financials'!AM44</f>
        <v>151.20000000000002</v>
      </c>
      <c r="AN20" s="18">
        <f>'Raw Financials'!AN44</f>
        <v>622.80000000000007</v>
      </c>
      <c r="AO20" s="18">
        <f>'Raw Financials'!AO44</f>
        <v>107.9</v>
      </c>
      <c r="AP20" s="18">
        <f>'Raw Financials'!AP44</f>
        <v>211.10000000000002</v>
      </c>
      <c r="AQ20" s="18">
        <f>'Raw Financials'!AQ44</f>
        <v>188.60000000000002</v>
      </c>
      <c r="AR20" s="18">
        <f>'Raw Financials'!AR44</f>
        <v>149.50000000000003</v>
      </c>
      <c r="AS20" s="18">
        <f>'Raw Financials'!AS44</f>
        <v>94.099999999625993</v>
      </c>
      <c r="AT20" s="18">
        <f>'Raw Financials'!AT44</f>
        <v>79.600000000231006</v>
      </c>
      <c r="AU20" s="21">
        <f>'Raw Financials'!AU44</f>
        <v>107.6</v>
      </c>
    </row>
    <row r="21" spans="1:47" ht="14.4">
      <c r="A21" s="1" t="s">
        <v>224</v>
      </c>
      <c r="B21" s="1" t="s">
        <v>44</v>
      </c>
      <c r="C21" s="18">
        <f>'Raw Financials'!C45</f>
        <v>21.463855416724702</v>
      </c>
      <c r="D21" s="18">
        <f>'Raw Financials'!D45</f>
        <v>17.492207183275301</v>
      </c>
      <c r="E21" s="18">
        <f>'Raw Financials'!E45</f>
        <v>24.612004825875257</v>
      </c>
      <c r="F21" s="18">
        <f>'Raw Financials'!F45</f>
        <v>33.449490558977544</v>
      </c>
      <c r="G21" s="18">
        <f>'Raw Financials'!G45</f>
        <v>27.4051972</v>
      </c>
      <c r="H21" s="18">
        <f>'Raw Financials'!H45</f>
        <v>34.5101631</v>
      </c>
      <c r="I21" s="18">
        <f>'Raw Financials'!I45</f>
        <v>34.887159155799999</v>
      </c>
      <c r="J21" s="18">
        <f>'Raw Financials'!J45</f>
        <v>31.789908999999994</v>
      </c>
      <c r="K21" s="18">
        <f>'Raw Financials'!K45</f>
        <v>36.953496499999993</v>
      </c>
      <c r="L21" s="18">
        <f>'Raw Financials'!L45</f>
        <v>38.627934870000004</v>
      </c>
      <c r="M21" s="18">
        <f>'Raw Financials'!M45</f>
        <v>34.054200915999999</v>
      </c>
      <c r="N21" s="18">
        <f>'Raw Financials'!N45</f>
        <v>52.688012708999999</v>
      </c>
      <c r="O21" s="18">
        <f>'Raw Financials'!O45</f>
        <v>30.519883800000002</v>
      </c>
      <c r="P21" s="18">
        <f>'Raw Financials'!P45</f>
        <v>38.760564300000013</v>
      </c>
      <c r="Q21" s="18">
        <f>'Raw Financials'!Q45</f>
        <v>35.848417424000012</v>
      </c>
      <c r="R21" s="18">
        <f>'Raw Financials'!R45</f>
        <v>28.132134499999992</v>
      </c>
      <c r="S21" s="18">
        <f>'Raw Financials'!S45</f>
        <v>45.400000000000006</v>
      </c>
      <c r="T21" s="18">
        <f>'Raw Financials'!T45</f>
        <v>38.250848399999995</v>
      </c>
      <c r="U21" s="18">
        <f>'Raw Financials'!U45</f>
        <v>55</v>
      </c>
      <c r="V21" s="18">
        <f>'Raw Financials'!V45</f>
        <v>53.227151600000006</v>
      </c>
      <c r="W21" s="18">
        <f>'Raw Financials'!W45</f>
        <v>50.300000000000004</v>
      </c>
      <c r="X21" s="18">
        <f>'Raw Financials'!X45</f>
        <v>39.900000000000006</v>
      </c>
      <c r="Y21" s="18">
        <f>'Raw Financials'!Y45</f>
        <v>42.1</v>
      </c>
      <c r="Z21" s="18">
        <f>'Raw Financials'!Z45</f>
        <v>41.7</v>
      </c>
      <c r="AA21" s="18">
        <f>'Raw Financials'!AA45</f>
        <v>38.1</v>
      </c>
      <c r="AB21" s="18">
        <f>'Raw Financials'!AB45</f>
        <v>35.4</v>
      </c>
      <c r="AC21" s="18">
        <f>'Raw Financials'!AC45</f>
        <v>33.9</v>
      </c>
      <c r="AD21" s="18">
        <f>'Raw Financials'!AD45</f>
        <v>55.2</v>
      </c>
      <c r="AE21" s="18">
        <f>'Raw Financials'!AE45</f>
        <v>40.300000000000004</v>
      </c>
      <c r="AF21" s="18">
        <f>'Raw Financials'!AF45</f>
        <v>79</v>
      </c>
      <c r="AG21" s="18">
        <f>'Raw Financials'!AG45</f>
        <v>112.9000056464</v>
      </c>
      <c r="AH21" s="18">
        <f>'Raw Financials'!AH45</f>
        <v>93.4</v>
      </c>
      <c r="AI21" s="18">
        <f>'Raw Financials'!AI45</f>
        <v>119.69900000000001</v>
      </c>
      <c r="AJ21" s="18">
        <f>'Raw Financials'!AJ45</f>
        <v>97.5</v>
      </c>
      <c r="AK21" s="18">
        <f>'Raw Financials'!AK45</f>
        <v>116.5</v>
      </c>
      <c r="AL21" s="18">
        <f>'Raw Financials'!AL45</f>
        <v>58.5</v>
      </c>
      <c r="AM21" s="18">
        <f>'Raw Financials'!AM45</f>
        <v>71.5</v>
      </c>
      <c r="AN21" s="18">
        <f>'Raw Financials'!AN45</f>
        <v>89</v>
      </c>
      <c r="AO21" s="18">
        <f>'Raw Financials'!AO45</f>
        <v>75.900000000000006</v>
      </c>
      <c r="AP21" s="18">
        <f>'Raw Financials'!AP45</f>
        <v>85.300000000000011</v>
      </c>
      <c r="AQ21" s="18">
        <f>'Raw Financials'!AQ45</f>
        <v>77.800000000000011</v>
      </c>
      <c r="AR21" s="18">
        <f>'Raw Financials'!AR45</f>
        <v>77.2</v>
      </c>
      <c r="AS21" s="18">
        <f>'Raw Financials'!AS45</f>
        <v>93.599999999684997</v>
      </c>
      <c r="AT21" s="18">
        <f>'Raw Financials'!AT45</f>
        <v>88.800000000004005</v>
      </c>
      <c r="AU21" s="21">
        <f>'Raw Financials'!AU45</f>
        <v>111.3</v>
      </c>
    </row>
    <row r="22" spans="1:47" ht="14.4">
      <c r="A22" s="1" t="s">
        <v>225</v>
      </c>
      <c r="B22" s="1" t="s">
        <v>44</v>
      </c>
      <c r="C22" s="18">
        <f>'Raw Financials'!C46</f>
        <v>1.07346570605547</v>
      </c>
      <c r="D22" s="18">
        <f>'Raw Financials'!D46</f>
        <v>0.32416479394453013</v>
      </c>
      <c r="E22" s="18">
        <f>'Raw Financials'!E46</f>
        <v>-0.12559857652764014</v>
      </c>
      <c r="F22" s="18">
        <f>'Raw Financials'!F46</f>
        <v>1.2753029174194701</v>
      </c>
      <c r="G22" s="18">
        <f>'Raw Financials'!G46</f>
        <v>-2.2679132000000002</v>
      </c>
      <c r="H22" s="18">
        <f>'Raw Financials'!H46</f>
        <v>-0.21745869999999987</v>
      </c>
      <c r="I22" s="18">
        <f>'Raw Financials'!I46</f>
        <v>0.15204720000000052</v>
      </c>
      <c r="J22" s="18">
        <f>'Raw Financials'!J46</f>
        <v>1.8202999999998417E-3</v>
      </c>
      <c r="K22" s="18">
        <f>'Raw Financials'!K46</f>
        <v>2.2615300000000001E-2</v>
      </c>
      <c r="L22" s="18">
        <f>'Raw Financials'!L46</f>
        <v>1.2220599999999998E-2</v>
      </c>
      <c r="M22" s="18">
        <f>'Raw Financials'!M46</f>
        <v>1.3131900000000002E-2</v>
      </c>
      <c r="N22" s="18">
        <f>'Raw Financials'!N46</f>
        <v>2.2024299999999997E-2</v>
      </c>
      <c r="O22" s="18">
        <f>'Raw Financials'!O46</f>
        <v>-11.829282000000001</v>
      </c>
      <c r="P22" s="18">
        <f>'Raw Financials'!P46</f>
        <v>-13.250756099999998</v>
      </c>
      <c r="Q22" s="18">
        <f>'Raw Financials'!Q46</f>
        <v>-13.248949600000003</v>
      </c>
      <c r="R22" s="18">
        <f>'Raw Financials'!R46</f>
        <v>-27.240012300000004</v>
      </c>
      <c r="S22" s="18">
        <f>'Raw Financials'!S46</f>
        <v>-7.8000000000000007</v>
      </c>
      <c r="T22" s="18">
        <f>'Raw Financials'!T46</f>
        <v>0.29865380000000014</v>
      </c>
      <c r="U22" s="18">
        <f>'Raw Financials'!U46</f>
        <v>0.50000000000000011</v>
      </c>
      <c r="V22" s="18">
        <f>'Raw Financials'!V46</f>
        <v>1.4613461999999997</v>
      </c>
      <c r="W22" s="18">
        <f>'Raw Financials'!W46</f>
        <v>0.1</v>
      </c>
      <c r="X22" s="18">
        <f>'Raw Financials'!X46</f>
        <v>0.4</v>
      </c>
      <c r="Y22" s="18">
        <f>'Raw Financials'!Y46</f>
        <v>0.5</v>
      </c>
      <c r="Z22" s="18">
        <f>'Raw Financials'!Z46</f>
        <v>0.2</v>
      </c>
      <c r="AA22" s="18">
        <f>'Raw Financials'!AA46</f>
        <v>-0.2</v>
      </c>
      <c r="AB22" s="18">
        <f>'Raw Financials'!AB46</f>
        <v>-0.8</v>
      </c>
      <c r="AC22" s="18">
        <f>'Raw Financials'!AC46</f>
        <v>-0.70000000000000007</v>
      </c>
      <c r="AD22" s="18">
        <f>'Raw Financials'!AD46</f>
        <v>4.5</v>
      </c>
      <c r="AE22" s="18">
        <f>'Raw Financials'!AE46</f>
        <v>0.30000000000000004</v>
      </c>
      <c r="AF22" s="18">
        <f>'Raw Financials'!AF46</f>
        <v>-15.3</v>
      </c>
      <c r="AG22" s="18">
        <f>'Raw Financials'!AG46</f>
        <v>-9</v>
      </c>
      <c r="AH22" s="18">
        <f>'Raw Financials'!AH46</f>
        <v>-5</v>
      </c>
      <c r="AI22" s="18">
        <f>'Raw Financials'!AI46</f>
        <v>7.8000000000000007</v>
      </c>
      <c r="AJ22" s="18">
        <f>'Raw Financials'!AJ46</f>
        <v>-8.5</v>
      </c>
      <c r="AK22" s="18">
        <f>'Raw Financials'!AK46</f>
        <v>4.8000000000000007</v>
      </c>
      <c r="AL22" s="18">
        <f>'Raw Financials'!AL46</f>
        <v>6.4</v>
      </c>
      <c r="AM22" s="18">
        <f>'Raw Financials'!AM46</f>
        <v>2.6</v>
      </c>
      <c r="AN22" s="18">
        <f>'Raw Financials'!AN46</f>
        <v>0.60000000000000009</v>
      </c>
      <c r="AO22" s="18">
        <f>'Raw Financials'!AO46</f>
        <v>6.6000000000000005</v>
      </c>
      <c r="AP22" s="18">
        <f>'Raw Financials'!AP46</f>
        <v>-1.2000000000000002</v>
      </c>
      <c r="AQ22" s="18">
        <f>'Raw Financials'!AQ46</f>
        <v>0.5</v>
      </c>
      <c r="AR22" s="18">
        <f>'Raw Financials'!AR46</f>
        <v>-2.8000000000000003</v>
      </c>
      <c r="AS22" s="18">
        <f>'Raw Financials'!AS46</f>
        <v>0.9</v>
      </c>
      <c r="AT22" s="18">
        <f>'Raw Financials'!AT46</f>
        <v>-0.1</v>
      </c>
      <c r="AU22" s="21">
        <f>'Raw Financials'!AU46</f>
        <v>-4.3</v>
      </c>
    </row>
    <row r="23" spans="1:47" ht="14.4">
      <c r="A23" s="24" t="s">
        <v>226</v>
      </c>
      <c r="B23" s="22" t="s">
        <v>44</v>
      </c>
      <c r="C23" s="23">
        <f t="shared" ref="C23:AU23" si="8">SUM(C16,-C18,C19:C20,-C21,C22)</f>
        <v>836.63158267907738</v>
      </c>
      <c r="D23" s="23">
        <f t="shared" si="8"/>
        <v>970.84873102734548</v>
      </c>
      <c r="E23" s="23">
        <f t="shared" si="8"/>
        <v>992.47156911931802</v>
      </c>
      <c r="F23" s="23">
        <f t="shared" si="8"/>
        <v>1056.7230640659748</v>
      </c>
      <c r="G23" s="23">
        <f t="shared" si="8"/>
        <v>1043.3255220069984</v>
      </c>
      <c r="H23" s="23">
        <f t="shared" si="8"/>
        <v>929.36546848000012</v>
      </c>
      <c r="I23" s="23">
        <f t="shared" si="8"/>
        <v>1058.9965757390132</v>
      </c>
      <c r="J23" s="23">
        <f t="shared" si="8"/>
        <v>821.32703275784229</v>
      </c>
      <c r="K23" s="23">
        <f t="shared" si="8"/>
        <v>1061.7384581999979</v>
      </c>
      <c r="L23" s="23">
        <f t="shared" si="8"/>
        <v>1123.8243053299973</v>
      </c>
      <c r="M23" s="23">
        <f t="shared" si="8"/>
        <v>1181.3757340990001</v>
      </c>
      <c r="N23" s="23">
        <f t="shared" si="8"/>
        <v>1511.8090949909995</v>
      </c>
      <c r="O23" s="23">
        <f t="shared" si="8"/>
        <v>1145.1830278000004</v>
      </c>
      <c r="P23" s="23">
        <f t="shared" si="8"/>
        <v>1447.295923031003</v>
      </c>
      <c r="Q23" s="23">
        <f t="shared" si="8"/>
        <v>1470.5065874653355</v>
      </c>
      <c r="R23" s="23">
        <f t="shared" si="8"/>
        <v>1480.1049576951254</v>
      </c>
      <c r="S23" s="23">
        <f t="shared" si="8"/>
        <v>1280.9289601000005</v>
      </c>
      <c r="T23" s="23">
        <f t="shared" si="8"/>
        <v>1337.7962370998987</v>
      </c>
      <c r="U23" s="23">
        <f t="shared" si="8"/>
        <v>1473.5622150000031</v>
      </c>
      <c r="V23" s="23">
        <f t="shared" si="8"/>
        <v>965.55473950007377</v>
      </c>
      <c r="W23" s="23">
        <f t="shared" si="8"/>
        <v>1283.2418251999989</v>
      </c>
      <c r="X23" s="23">
        <f t="shared" si="8"/>
        <v>1409.2557550999984</v>
      </c>
      <c r="Y23" s="23">
        <f t="shared" si="8"/>
        <v>1716.278353800001</v>
      </c>
      <c r="Z23" s="23">
        <f t="shared" si="8"/>
        <v>1544.1942264999984</v>
      </c>
      <c r="AA23" s="23">
        <f t="shared" si="8"/>
        <v>1794.2688106000021</v>
      </c>
      <c r="AB23" s="23">
        <f t="shared" si="8"/>
        <v>1898.1805347000009</v>
      </c>
      <c r="AC23" s="23">
        <f t="shared" si="8"/>
        <v>1886.4192558999982</v>
      </c>
      <c r="AD23" s="23">
        <f t="shared" si="8"/>
        <v>1873.2388262999991</v>
      </c>
      <c r="AE23" s="23">
        <f t="shared" si="8"/>
        <v>1485.5477335</v>
      </c>
      <c r="AF23" s="23">
        <f t="shared" si="8"/>
        <v>1663.9195644141712</v>
      </c>
      <c r="AG23" s="23">
        <f t="shared" si="8"/>
        <v>1771.1672404356025</v>
      </c>
      <c r="AH23" s="23">
        <f t="shared" si="8"/>
        <v>1524.8390550000004</v>
      </c>
      <c r="AI23" s="23">
        <f t="shared" si="8"/>
        <v>971.18099999999845</v>
      </c>
      <c r="AJ23" s="23">
        <f t="shared" si="8"/>
        <v>615.3160000000014</v>
      </c>
      <c r="AK23" s="23">
        <f t="shared" si="8"/>
        <v>678.86375647599937</v>
      </c>
      <c r="AL23" s="23">
        <f t="shared" si="8"/>
        <v>959.09999999999957</v>
      </c>
      <c r="AM23" s="23">
        <f t="shared" si="8"/>
        <v>1178.0740000000008</v>
      </c>
      <c r="AN23" s="23">
        <f t="shared" si="8"/>
        <v>1713.5370000000012</v>
      </c>
      <c r="AO23" s="23">
        <f t="shared" si="8"/>
        <v>1297.3800000000003</v>
      </c>
      <c r="AP23" s="23">
        <f t="shared" si="8"/>
        <v>1464.1953697739132</v>
      </c>
      <c r="AQ23" s="23">
        <f t="shared" si="8"/>
        <v>1618.100000000002</v>
      </c>
      <c r="AR23" s="23">
        <f t="shared" si="8"/>
        <v>1659.2995669318584</v>
      </c>
      <c r="AS23" s="23">
        <f t="shared" si="8"/>
        <v>1777.500000183735</v>
      </c>
      <c r="AT23" s="23">
        <f t="shared" si="8"/>
        <v>1790.5999513967581</v>
      </c>
      <c r="AU23" s="48">
        <f t="shared" si="8"/>
        <v>2041.9</v>
      </c>
    </row>
    <row r="24" spans="1:47" ht="14.4">
      <c r="A24" s="1" t="s">
        <v>227</v>
      </c>
      <c r="B24" s="1" t="s">
        <v>44</v>
      </c>
      <c r="C24" s="18">
        <f>'Raw Financials'!C48</f>
        <v>0</v>
      </c>
      <c r="D24" s="18">
        <f>'Raw Financials'!D48</f>
        <v>0</v>
      </c>
      <c r="E24" s="18">
        <f>'Raw Financials'!E48</f>
        <v>0</v>
      </c>
      <c r="F24" s="18">
        <f>'Raw Financials'!F48</f>
        <v>0</v>
      </c>
      <c r="G24" s="18">
        <f>'Raw Financials'!G48</f>
        <v>0</v>
      </c>
      <c r="H24" s="18">
        <f>'Raw Financials'!H48</f>
        <v>0</v>
      </c>
      <c r="I24" s="18">
        <f>'Raw Financials'!I48</f>
        <v>0</v>
      </c>
      <c r="J24" s="18">
        <f>'Raw Financials'!J48</f>
        <v>0</v>
      </c>
      <c r="K24" s="18">
        <f>'Raw Financials'!K48</f>
        <v>0</v>
      </c>
      <c r="L24" s="18">
        <f>'Raw Financials'!L48</f>
        <v>0</v>
      </c>
      <c r="M24" s="18">
        <f>'Raw Financials'!M48</f>
        <v>0</v>
      </c>
      <c r="N24" s="18">
        <f>'Raw Financials'!N48</f>
        <v>0</v>
      </c>
      <c r="O24" s="18">
        <f>'Raw Financials'!O48</f>
        <v>0</v>
      </c>
      <c r="P24" s="18">
        <f>'Raw Financials'!P48</f>
        <v>0</v>
      </c>
      <c r="Q24" s="18">
        <f>'Raw Financials'!Q48</f>
        <v>0</v>
      </c>
      <c r="R24" s="18">
        <f>'Raw Financials'!R48</f>
        <v>0</v>
      </c>
      <c r="S24" s="18">
        <f>'Raw Financials'!S48</f>
        <v>0</v>
      </c>
      <c r="T24" s="18">
        <f>'Raw Financials'!T48</f>
        <v>0</v>
      </c>
      <c r="U24" s="18">
        <f>'Raw Financials'!U48</f>
        <v>0</v>
      </c>
      <c r="V24" s="18">
        <f>'Raw Financials'!V48</f>
        <v>0</v>
      </c>
      <c r="W24" s="18">
        <f>'Raw Financials'!W48</f>
        <v>0</v>
      </c>
      <c r="X24" s="18">
        <f>'Raw Financials'!X48</f>
        <v>0</v>
      </c>
      <c r="Y24" s="18">
        <f>'Raw Financials'!Y48</f>
        <v>0</v>
      </c>
      <c r="Z24" s="18">
        <f>'Raw Financials'!Z48</f>
        <v>0</v>
      </c>
      <c r="AA24" s="18">
        <f>'Raw Financials'!AA48</f>
        <v>0</v>
      </c>
      <c r="AB24" s="18">
        <f>'Raw Financials'!AB48</f>
        <v>0</v>
      </c>
      <c r="AC24" s="18">
        <f>'Raw Financials'!AC48</f>
        <v>0</v>
      </c>
      <c r="AD24" s="18">
        <f>'Raw Financials'!AD48</f>
        <v>0</v>
      </c>
      <c r="AE24" s="18">
        <f>'Raw Financials'!AE48</f>
        <v>0</v>
      </c>
      <c r="AF24" s="18">
        <f>'Raw Financials'!AF48</f>
        <v>0</v>
      </c>
      <c r="AG24" s="18">
        <f>'Raw Financials'!AG48</f>
        <v>0</v>
      </c>
      <c r="AH24" s="18">
        <f>'Raw Financials'!AH48</f>
        <v>0</v>
      </c>
      <c r="AI24" s="18">
        <f>'Raw Financials'!AI48</f>
        <v>0</v>
      </c>
      <c r="AJ24" s="18">
        <f>'Raw Financials'!AJ48</f>
        <v>0</v>
      </c>
      <c r="AK24" s="18">
        <f>'Raw Financials'!AK48</f>
        <v>0</v>
      </c>
      <c r="AL24" s="18">
        <f>'Raw Financials'!AL48</f>
        <v>0</v>
      </c>
      <c r="AM24" s="18">
        <f>'Raw Financials'!AM48</f>
        <v>0</v>
      </c>
      <c r="AN24" s="18">
        <f>'Raw Financials'!AN48</f>
        <v>0</v>
      </c>
      <c r="AO24" s="18">
        <f>'Raw Financials'!AO48</f>
        <v>0</v>
      </c>
      <c r="AP24" s="18">
        <f>'Raw Financials'!AP48</f>
        <v>0</v>
      </c>
      <c r="AQ24" s="18">
        <f>'Raw Financials'!AQ48</f>
        <v>0</v>
      </c>
      <c r="AR24" s="18">
        <f>'Raw Financials'!AR48</f>
        <v>0</v>
      </c>
      <c r="AS24" s="18">
        <f>'Raw Financials'!AS48</f>
        <v>272.40000000000003</v>
      </c>
      <c r="AT24" s="18">
        <f>'Raw Financials'!AT48</f>
        <v>0</v>
      </c>
      <c r="AU24" s="21">
        <f>'Raw Financials'!AU48</f>
        <v>0</v>
      </c>
    </row>
    <row r="25" spans="1:47" ht="14.4">
      <c r="A25" s="24" t="s">
        <v>228</v>
      </c>
      <c r="B25" s="22" t="s">
        <v>44</v>
      </c>
      <c r="C25" s="23">
        <f t="shared" ref="C25:AU25" si="9">C23-C24</f>
        <v>836.63158267907738</v>
      </c>
      <c r="D25" s="23">
        <f t="shared" si="9"/>
        <v>970.84873102734548</v>
      </c>
      <c r="E25" s="23">
        <f t="shared" si="9"/>
        <v>992.47156911931802</v>
      </c>
      <c r="F25" s="23">
        <f t="shared" si="9"/>
        <v>1056.7230640659748</v>
      </c>
      <c r="G25" s="23">
        <f t="shared" si="9"/>
        <v>1043.3255220069984</v>
      </c>
      <c r="H25" s="23">
        <f t="shared" si="9"/>
        <v>929.36546848000012</v>
      </c>
      <c r="I25" s="23">
        <f t="shared" si="9"/>
        <v>1058.9965757390132</v>
      </c>
      <c r="J25" s="23">
        <f t="shared" si="9"/>
        <v>821.32703275784229</v>
      </c>
      <c r="K25" s="23">
        <f t="shared" si="9"/>
        <v>1061.7384581999979</v>
      </c>
      <c r="L25" s="23">
        <f t="shared" si="9"/>
        <v>1123.8243053299973</v>
      </c>
      <c r="M25" s="23">
        <f t="shared" si="9"/>
        <v>1181.3757340990001</v>
      </c>
      <c r="N25" s="23">
        <f t="shared" si="9"/>
        <v>1511.8090949909995</v>
      </c>
      <c r="O25" s="23">
        <f t="shared" si="9"/>
        <v>1145.1830278000004</v>
      </c>
      <c r="P25" s="23">
        <f t="shared" si="9"/>
        <v>1447.295923031003</v>
      </c>
      <c r="Q25" s="23">
        <f t="shared" si="9"/>
        <v>1470.5065874653355</v>
      </c>
      <c r="R25" s="23">
        <f t="shared" si="9"/>
        <v>1480.1049576951254</v>
      </c>
      <c r="S25" s="23">
        <f t="shared" si="9"/>
        <v>1280.9289601000005</v>
      </c>
      <c r="T25" s="23">
        <f t="shared" si="9"/>
        <v>1337.7962370998987</v>
      </c>
      <c r="U25" s="23">
        <f t="shared" si="9"/>
        <v>1473.5622150000031</v>
      </c>
      <c r="V25" s="23">
        <f t="shared" si="9"/>
        <v>965.55473950007377</v>
      </c>
      <c r="W25" s="23">
        <f t="shared" si="9"/>
        <v>1283.2418251999989</v>
      </c>
      <c r="X25" s="23">
        <f t="shared" si="9"/>
        <v>1409.2557550999984</v>
      </c>
      <c r="Y25" s="23">
        <f t="shared" si="9"/>
        <v>1716.278353800001</v>
      </c>
      <c r="Z25" s="23">
        <f t="shared" si="9"/>
        <v>1544.1942264999984</v>
      </c>
      <c r="AA25" s="23">
        <f t="shared" si="9"/>
        <v>1794.2688106000021</v>
      </c>
      <c r="AB25" s="23">
        <f t="shared" si="9"/>
        <v>1898.1805347000009</v>
      </c>
      <c r="AC25" s="23">
        <f t="shared" si="9"/>
        <v>1886.4192558999982</v>
      </c>
      <c r="AD25" s="23">
        <f t="shared" si="9"/>
        <v>1873.2388262999991</v>
      </c>
      <c r="AE25" s="23">
        <f t="shared" si="9"/>
        <v>1485.5477335</v>
      </c>
      <c r="AF25" s="23">
        <f t="shared" si="9"/>
        <v>1663.9195644141712</v>
      </c>
      <c r="AG25" s="23">
        <f t="shared" si="9"/>
        <v>1771.1672404356025</v>
      </c>
      <c r="AH25" s="23">
        <f t="shared" si="9"/>
        <v>1524.8390550000004</v>
      </c>
      <c r="AI25" s="23">
        <f t="shared" si="9"/>
        <v>971.18099999999845</v>
      </c>
      <c r="AJ25" s="23">
        <f t="shared" si="9"/>
        <v>615.3160000000014</v>
      </c>
      <c r="AK25" s="23">
        <f t="shared" si="9"/>
        <v>678.86375647599937</v>
      </c>
      <c r="AL25" s="23">
        <f t="shared" si="9"/>
        <v>959.09999999999957</v>
      </c>
      <c r="AM25" s="23">
        <f t="shared" si="9"/>
        <v>1178.0740000000008</v>
      </c>
      <c r="AN25" s="23">
        <f t="shared" si="9"/>
        <v>1713.5370000000012</v>
      </c>
      <c r="AO25" s="23">
        <f t="shared" si="9"/>
        <v>1297.3800000000003</v>
      </c>
      <c r="AP25" s="23">
        <f t="shared" si="9"/>
        <v>1464.1953697739132</v>
      </c>
      <c r="AQ25" s="23">
        <f t="shared" si="9"/>
        <v>1618.100000000002</v>
      </c>
      <c r="AR25" s="23">
        <f t="shared" si="9"/>
        <v>1659.2995669318584</v>
      </c>
      <c r="AS25" s="23">
        <f t="shared" si="9"/>
        <v>1505.1000001837349</v>
      </c>
      <c r="AT25" s="23">
        <f t="shared" si="9"/>
        <v>1790.5999513967581</v>
      </c>
      <c r="AU25" s="48">
        <f t="shared" si="9"/>
        <v>2041.9</v>
      </c>
    </row>
    <row r="26" spans="1:47" ht="14.4">
      <c r="A26" s="1" t="s">
        <v>229</v>
      </c>
      <c r="B26" s="1" t="s">
        <v>44</v>
      </c>
      <c r="C26" s="18">
        <f>'Raw Financials'!C50</f>
        <v>214.19505958086731</v>
      </c>
      <c r="D26" s="18">
        <f>'Raw Financials'!D50</f>
        <v>202.31150631958064</v>
      </c>
      <c r="E26" s="18">
        <f>'Raw Financials'!E50</f>
        <v>233.00482623120433</v>
      </c>
      <c r="F26" s="18">
        <f>'Raw Financials'!F50</f>
        <v>180.62041578676482</v>
      </c>
      <c r="G26" s="18">
        <f>'Raw Financials'!G50</f>
        <v>246.79285979999997</v>
      </c>
      <c r="H26" s="18">
        <f>'Raw Financials'!H50</f>
        <v>309.5984024</v>
      </c>
      <c r="I26" s="18">
        <f>'Raw Financials'!I50</f>
        <v>214.09446340000005</v>
      </c>
      <c r="J26" s="18">
        <f>'Raw Financials'!J50</f>
        <v>231.63860610000003</v>
      </c>
      <c r="K26" s="18">
        <f>'Raw Financials'!K50</f>
        <v>269.85603150000003</v>
      </c>
      <c r="L26" s="18">
        <f>'Raw Financials'!L50</f>
        <v>284.71280763000004</v>
      </c>
      <c r="M26" s="18">
        <f>'Raw Financials'!M50</f>
        <v>257.03692903199999</v>
      </c>
      <c r="N26" s="18">
        <f>'Raw Financials'!N50</f>
        <v>280.95571710000007</v>
      </c>
      <c r="O26" s="18">
        <f>'Raw Financials'!O50</f>
        <v>245.74898859999996</v>
      </c>
      <c r="P26" s="18">
        <f>'Raw Financials'!P50</f>
        <v>391.37499360599986</v>
      </c>
      <c r="Q26" s="18">
        <f>'Raw Financials'!Q50</f>
        <v>263.77961010599995</v>
      </c>
      <c r="R26" s="18">
        <f>'Raw Financials'!R50</f>
        <v>353.49040771999989</v>
      </c>
      <c r="S26" s="18">
        <f>'Raw Financials'!S50</f>
        <v>331.8</v>
      </c>
      <c r="T26" s="18">
        <f>'Raw Financials'!T50</f>
        <v>226.50412110000002</v>
      </c>
      <c r="U26" s="18">
        <f>'Raw Financials'!U50</f>
        <v>362.89800000000002</v>
      </c>
      <c r="V26" s="18">
        <f>'Raw Financials'!V50</f>
        <v>239.19787890000018</v>
      </c>
      <c r="W26" s="18">
        <f>'Raw Financials'!W50</f>
        <v>327.60000000000002</v>
      </c>
      <c r="X26" s="18">
        <f>'Raw Financials'!X50</f>
        <v>346.19800000000009</v>
      </c>
      <c r="Y26" s="18">
        <f>'Raw Financials'!Y50</f>
        <v>426.298</v>
      </c>
      <c r="Z26" s="18">
        <f>'Raw Financials'!Z50</f>
        <v>499.798</v>
      </c>
      <c r="AA26" s="18">
        <f>'Raw Financials'!AA50</f>
        <v>428.6</v>
      </c>
      <c r="AB26" s="18">
        <f>'Raw Financials'!AB50</f>
        <v>557.19799999999987</v>
      </c>
      <c r="AC26" s="18">
        <f>'Raw Financials'!AC50</f>
        <v>508.19799999999998</v>
      </c>
      <c r="AD26" s="18">
        <f>'Raw Financials'!AD50</f>
        <v>327.99800000000005</v>
      </c>
      <c r="AE26" s="18">
        <f>'Raw Financials'!AE50</f>
        <v>338</v>
      </c>
      <c r="AF26" s="18">
        <f>'Raw Financials'!AF50</f>
        <v>364.70000000000005</v>
      </c>
      <c r="AG26" s="18">
        <f>'Raw Financials'!AG50</f>
        <v>485.90000000000003</v>
      </c>
      <c r="AH26" s="18">
        <f>'Raw Financials'!AH50</f>
        <v>399.90000000000003</v>
      </c>
      <c r="AI26" s="18">
        <f>'Raw Financials'!AI50</f>
        <v>267.60000000000002</v>
      </c>
      <c r="AJ26" s="18">
        <f>'Raw Financials'!AJ50</f>
        <v>110</v>
      </c>
      <c r="AK26" s="18">
        <f>'Raw Financials'!AK50</f>
        <v>155.10000000000002</v>
      </c>
      <c r="AL26" s="18">
        <f>'Raw Financials'!AL50</f>
        <v>294.90000000000003</v>
      </c>
      <c r="AM26" s="18">
        <f>'Raw Financials'!AM50</f>
        <v>313.3</v>
      </c>
      <c r="AN26" s="18">
        <f>'Raw Financials'!AN50</f>
        <v>456</v>
      </c>
      <c r="AO26" s="18">
        <f>'Raw Financials'!AO50</f>
        <v>308.59999999999991</v>
      </c>
      <c r="AP26" s="18">
        <f>'Raw Financials'!AP50</f>
        <v>322.3</v>
      </c>
      <c r="AQ26" s="18">
        <f>'Raw Financials'!AQ50</f>
        <v>489.29999999999995</v>
      </c>
      <c r="AR26" s="18">
        <f>'Raw Financials'!AR50</f>
        <v>457.59999999999991</v>
      </c>
      <c r="AS26" s="18">
        <f>'Raw Financials'!AS50</f>
        <v>386.50000000000006</v>
      </c>
      <c r="AT26" s="18">
        <f>'Raw Financials'!AT50</f>
        <v>434.199535372127</v>
      </c>
      <c r="AU26" s="21">
        <f>'Raw Financials'!AU50</f>
        <v>555.6</v>
      </c>
    </row>
    <row r="27" spans="1:47" ht="14.4">
      <c r="A27" s="1" t="s">
        <v>230</v>
      </c>
      <c r="B27" s="1" t="s">
        <v>44</v>
      </c>
      <c r="C27" s="18">
        <f t="shared" ref="C27:AU27" si="10">C25-C26</f>
        <v>622.43652309821005</v>
      </c>
      <c r="D27" s="18">
        <f t="shared" si="10"/>
        <v>768.53722470776484</v>
      </c>
      <c r="E27" s="18">
        <f t="shared" si="10"/>
        <v>759.46674288811369</v>
      </c>
      <c r="F27" s="18">
        <f t="shared" si="10"/>
        <v>876.10264827920992</v>
      </c>
      <c r="G27" s="18">
        <f t="shared" si="10"/>
        <v>796.53266220699845</v>
      </c>
      <c r="H27" s="18">
        <f t="shared" si="10"/>
        <v>619.76706608000018</v>
      </c>
      <c r="I27" s="18">
        <f t="shared" si="10"/>
        <v>844.90211233901323</v>
      </c>
      <c r="J27" s="18">
        <f t="shared" si="10"/>
        <v>589.68842665784223</v>
      </c>
      <c r="K27" s="18">
        <f t="shared" si="10"/>
        <v>791.88242669999795</v>
      </c>
      <c r="L27" s="18">
        <f t="shared" si="10"/>
        <v>839.11149769999724</v>
      </c>
      <c r="M27" s="18">
        <f t="shared" si="10"/>
        <v>924.33880506700007</v>
      </c>
      <c r="N27" s="18">
        <f t="shared" si="10"/>
        <v>1230.8533778909994</v>
      </c>
      <c r="O27" s="18">
        <f t="shared" si="10"/>
        <v>899.43403920000048</v>
      </c>
      <c r="P27" s="18">
        <f t="shared" si="10"/>
        <v>1055.9209294250031</v>
      </c>
      <c r="Q27" s="18">
        <f t="shared" si="10"/>
        <v>1206.7269773593357</v>
      </c>
      <c r="R27" s="18">
        <f t="shared" si="10"/>
        <v>1126.6145499751256</v>
      </c>
      <c r="S27" s="18">
        <f t="shared" si="10"/>
        <v>949.12896010000054</v>
      </c>
      <c r="T27" s="18">
        <f t="shared" si="10"/>
        <v>1111.2921159998987</v>
      </c>
      <c r="U27" s="18">
        <f t="shared" si="10"/>
        <v>1110.664215000003</v>
      </c>
      <c r="V27" s="18">
        <f t="shared" si="10"/>
        <v>726.35686060007356</v>
      </c>
      <c r="W27" s="18">
        <f t="shared" si="10"/>
        <v>955.64182519999883</v>
      </c>
      <c r="X27" s="18">
        <f t="shared" si="10"/>
        <v>1063.0577550999983</v>
      </c>
      <c r="Y27" s="18">
        <f t="shared" si="10"/>
        <v>1289.980353800001</v>
      </c>
      <c r="Z27" s="18">
        <f t="shared" si="10"/>
        <v>1044.3962264999984</v>
      </c>
      <c r="AA27" s="18">
        <f t="shared" si="10"/>
        <v>1365.668810600002</v>
      </c>
      <c r="AB27" s="18">
        <f t="shared" si="10"/>
        <v>1340.982534700001</v>
      </c>
      <c r="AC27" s="18">
        <f t="shared" si="10"/>
        <v>1378.2212558999981</v>
      </c>
      <c r="AD27" s="18">
        <f t="shared" si="10"/>
        <v>1545.2408262999991</v>
      </c>
      <c r="AE27" s="18">
        <f t="shared" si="10"/>
        <v>1147.5477335</v>
      </c>
      <c r="AF27" s="18">
        <f t="shared" si="10"/>
        <v>1299.2195644141711</v>
      </c>
      <c r="AG27" s="18">
        <f t="shared" si="10"/>
        <v>1285.2672404356024</v>
      </c>
      <c r="AH27" s="18">
        <f t="shared" si="10"/>
        <v>1124.9390550000003</v>
      </c>
      <c r="AI27" s="18">
        <f t="shared" si="10"/>
        <v>703.58099999999843</v>
      </c>
      <c r="AJ27" s="18">
        <f t="shared" si="10"/>
        <v>505.3160000000014</v>
      </c>
      <c r="AK27" s="18">
        <f t="shared" si="10"/>
        <v>523.76375647599934</v>
      </c>
      <c r="AL27" s="18">
        <f t="shared" si="10"/>
        <v>664.19999999999959</v>
      </c>
      <c r="AM27" s="18">
        <f t="shared" si="10"/>
        <v>864.7740000000008</v>
      </c>
      <c r="AN27" s="18">
        <f t="shared" si="10"/>
        <v>1257.5370000000012</v>
      </c>
      <c r="AO27" s="18">
        <f t="shared" si="10"/>
        <v>988.78000000000043</v>
      </c>
      <c r="AP27" s="18">
        <f t="shared" si="10"/>
        <v>1141.8953697739132</v>
      </c>
      <c r="AQ27" s="18">
        <f t="shared" si="10"/>
        <v>1128.800000000002</v>
      </c>
      <c r="AR27" s="18">
        <f t="shared" si="10"/>
        <v>1201.6995669318585</v>
      </c>
      <c r="AS27" s="18">
        <f t="shared" si="10"/>
        <v>1118.6000001837349</v>
      </c>
      <c r="AT27" s="18">
        <f t="shared" si="10"/>
        <v>1356.4004160246311</v>
      </c>
      <c r="AU27" s="21">
        <f t="shared" si="10"/>
        <v>1486.3000000000002</v>
      </c>
    </row>
    <row r="28" spans="1:47" ht="14.4">
      <c r="A28" s="1" t="s">
        <v>231</v>
      </c>
      <c r="B28" s="1" t="s">
        <v>44</v>
      </c>
      <c r="C28" s="18">
        <f>'Raw Financials'!C52</f>
        <v>6.1248338175775296E-2</v>
      </c>
      <c r="D28" s="18">
        <f>'Raw Financials'!D52</f>
        <v>-4.171860729388345</v>
      </c>
      <c r="E28" s="18">
        <f>'Raw Financials'!E52</f>
        <v>-8.2590115814043319</v>
      </c>
      <c r="F28" s="18">
        <f>'Raw Financials'!F52</f>
        <v>-21.348558111070105</v>
      </c>
      <c r="G28" s="18">
        <f>'Raw Financials'!G52</f>
        <v>-47.246113885500016</v>
      </c>
      <c r="H28" s="18">
        <f>'Raw Financials'!H52</f>
        <v>0.89062440500000406</v>
      </c>
      <c r="I28" s="18">
        <f>'Raw Financials'!I52</f>
        <v>10.1325106025</v>
      </c>
      <c r="J28" s="18">
        <f>'Raw Financials'!J52</f>
        <v>-1.7342101849523701</v>
      </c>
      <c r="K28" s="18">
        <f>'Raw Financials'!K52</f>
        <v>6.8196231000000003</v>
      </c>
      <c r="L28" s="18">
        <f>'Raw Financials'!L52</f>
        <v>-3.1311890780000002</v>
      </c>
      <c r="M28" s="18">
        <f>'Raw Financials'!M52</f>
        <v>18.721592800000003</v>
      </c>
      <c r="N28" s="18">
        <f>'Raw Financials'!N52</f>
        <v>-8.8301114999999992</v>
      </c>
      <c r="O28" s="18">
        <f>'Raw Financials'!O52</f>
        <v>-1.6309826999999999</v>
      </c>
      <c r="P28" s="18">
        <f>'Raw Financials'!P52</f>
        <v>8.4295393999999995</v>
      </c>
      <c r="Q28" s="18">
        <f>'Raw Financials'!Q52</f>
        <v>-3.9199562000000001</v>
      </c>
      <c r="R28" s="18">
        <f>'Raw Financials'!R52</f>
        <v>5.9213994999999988</v>
      </c>
      <c r="S28" s="18">
        <f>'Raw Financials'!S52</f>
        <v>10.200000000000001</v>
      </c>
      <c r="T28" s="18">
        <f>'Raw Financials'!T52</f>
        <v>12.736188</v>
      </c>
      <c r="U28" s="18">
        <f>'Raw Financials'!U52</f>
        <v>35.200000000000003</v>
      </c>
      <c r="V28" s="18">
        <f>'Raw Financials'!V52</f>
        <v>77.463812000000019</v>
      </c>
      <c r="W28" s="18">
        <f>'Raw Financials'!W52</f>
        <v>16.7</v>
      </c>
      <c r="X28" s="18">
        <f>'Raw Financials'!X52</f>
        <v>1.5</v>
      </c>
      <c r="Y28" s="18">
        <f>'Raw Financials'!Y52</f>
        <v>19.700000000000003</v>
      </c>
      <c r="Z28" s="18">
        <f>'Raw Financials'!Z52</f>
        <v>37.1</v>
      </c>
      <c r="AA28" s="18">
        <f>'Raw Financials'!AA52</f>
        <v>-12.5</v>
      </c>
      <c r="AB28" s="18">
        <f>'Raw Financials'!AB52</f>
        <v>-2.2000000000000006</v>
      </c>
      <c r="AC28" s="18">
        <f>'Raw Financials'!AC52</f>
        <v>-9.7000000000000011</v>
      </c>
      <c r="AD28" s="18">
        <f>'Raw Financials'!AD52</f>
        <v>-39.6</v>
      </c>
      <c r="AE28" s="18">
        <f>'Raw Financials'!AE52</f>
        <v>15.9</v>
      </c>
      <c r="AF28" s="18">
        <f>'Raw Financials'!AF52</f>
        <v>13.8</v>
      </c>
      <c r="AG28" s="18">
        <f>'Raw Financials'!AG52</f>
        <v>-11.299999999999997</v>
      </c>
      <c r="AH28" s="18">
        <f>'Raw Financials'!AH52</f>
        <v>7.3000000000000016</v>
      </c>
      <c r="AI28" s="18">
        <f>'Raw Financials'!AI52</f>
        <v>11.100000000000001</v>
      </c>
      <c r="AJ28" s="18">
        <f>'Raw Financials'!AJ52</f>
        <v>11.4</v>
      </c>
      <c r="AK28" s="18">
        <f>'Raw Financials'!AK52</f>
        <v>13.3</v>
      </c>
      <c r="AL28" s="18">
        <f>'Raw Financials'!AL52</f>
        <v>3.2</v>
      </c>
      <c r="AM28" s="18">
        <f>'Raw Financials'!AM52</f>
        <v>13.3</v>
      </c>
      <c r="AN28" s="18">
        <f>'Raw Financials'!AN52</f>
        <v>7.4</v>
      </c>
      <c r="AO28" s="18">
        <f>'Raw Financials'!AO52</f>
        <v>5.5999999999999988</v>
      </c>
      <c r="AP28" s="18">
        <f>'Raw Financials'!AP52</f>
        <v>-24.799999999999997</v>
      </c>
      <c r="AQ28" s="18">
        <f>'Raw Financials'!AQ52</f>
        <v>-11.8</v>
      </c>
      <c r="AR28" s="18">
        <f>'Raw Financials'!AR52</f>
        <v>7.2</v>
      </c>
      <c r="AS28" s="18">
        <f>'Raw Financials'!AS52</f>
        <v>-3.3996264762764357</v>
      </c>
      <c r="AT28" s="18">
        <f>'Raw Financials'!AT52</f>
        <v>2.6</v>
      </c>
      <c r="AU28" s="21">
        <f>'Raw Financials'!AU52</f>
        <v>21.2</v>
      </c>
    </row>
    <row r="29" spans="1:47" ht="14.4">
      <c r="A29" s="24" t="s">
        <v>232</v>
      </c>
      <c r="B29" s="22" t="s">
        <v>44</v>
      </c>
      <c r="C29" s="23">
        <f t="shared" ref="C29:AD29" si="11">C27+C28</f>
        <v>622.49777143638585</v>
      </c>
      <c r="D29" s="23">
        <f t="shared" si="11"/>
        <v>764.36536397837654</v>
      </c>
      <c r="E29" s="23">
        <f t="shared" si="11"/>
        <v>751.20773130670932</v>
      </c>
      <c r="F29" s="23">
        <f t="shared" si="11"/>
        <v>854.75409016813978</v>
      </c>
      <c r="G29" s="23">
        <f t="shared" si="11"/>
        <v>749.28654832149846</v>
      </c>
      <c r="H29" s="23">
        <f t="shared" si="11"/>
        <v>620.65769048500022</v>
      </c>
      <c r="I29" s="23">
        <f t="shared" si="11"/>
        <v>855.03462294151325</v>
      </c>
      <c r="J29" s="23">
        <f t="shared" si="11"/>
        <v>587.95421647288981</v>
      </c>
      <c r="K29" s="23">
        <f t="shared" si="11"/>
        <v>798.70204979999789</v>
      </c>
      <c r="L29" s="23">
        <f t="shared" si="11"/>
        <v>835.98030862199721</v>
      </c>
      <c r="M29" s="23">
        <f t="shared" si="11"/>
        <v>943.06039786700012</v>
      </c>
      <c r="N29" s="23">
        <f t="shared" si="11"/>
        <v>1222.0232663909994</v>
      </c>
      <c r="O29" s="23">
        <f t="shared" si="11"/>
        <v>897.80305650000048</v>
      </c>
      <c r="P29" s="23">
        <f t="shared" si="11"/>
        <v>1064.3504688250032</v>
      </c>
      <c r="Q29" s="23">
        <f t="shared" si="11"/>
        <v>1202.8070211593358</v>
      </c>
      <c r="R29" s="23">
        <f t="shared" si="11"/>
        <v>1132.5359494751256</v>
      </c>
      <c r="S29" s="23">
        <f t="shared" si="11"/>
        <v>959.32896010000059</v>
      </c>
      <c r="T29" s="23">
        <f t="shared" si="11"/>
        <v>1124.0283039998988</v>
      </c>
      <c r="U29" s="23">
        <f t="shared" si="11"/>
        <v>1145.864215000003</v>
      </c>
      <c r="V29" s="23">
        <f t="shared" si="11"/>
        <v>803.82067260007352</v>
      </c>
      <c r="W29" s="23">
        <f t="shared" si="11"/>
        <v>972.34182519999888</v>
      </c>
      <c r="X29" s="23">
        <f t="shared" si="11"/>
        <v>1064.5577550999983</v>
      </c>
      <c r="Y29" s="23">
        <f t="shared" si="11"/>
        <v>1309.6803538000011</v>
      </c>
      <c r="Z29" s="23">
        <f t="shared" si="11"/>
        <v>1081.4962264999983</v>
      </c>
      <c r="AA29" s="23">
        <f t="shared" si="11"/>
        <v>1353.168810600002</v>
      </c>
      <c r="AB29" s="23">
        <f t="shared" si="11"/>
        <v>1338.782534700001</v>
      </c>
      <c r="AC29" s="23">
        <f t="shared" si="11"/>
        <v>1368.5212558999981</v>
      </c>
      <c r="AD29" s="23">
        <f t="shared" si="11"/>
        <v>1505.6408262999992</v>
      </c>
      <c r="AE29" s="23">
        <f t="shared" ref="AE29:AU29" si="12">AE27-AE28</f>
        <v>1131.6477335</v>
      </c>
      <c r="AF29" s="23">
        <f t="shared" si="12"/>
        <v>1285.4195644141712</v>
      </c>
      <c r="AG29" s="23">
        <f t="shared" si="12"/>
        <v>1296.5672404356023</v>
      </c>
      <c r="AH29" s="23">
        <f t="shared" si="12"/>
        <v>1117.6390550000003</v>
      </c>
      <c r="AI29" s="23">
        <f t="shared" si="12"/>
        <v>692.4809999999984</v>
      </c>
      <c r="AJ29" s="23">
        <f t="shared" si="12"/>
        <v>493.91600000000142</v>
      </c>
      <c r="AK29" s="23">
        <f t="shared" si="12"/>
        <v>510.46375647599933</v>
      </c>
      <c r="AL29" s="23">
        <f t="shared" si="12"/>
        <v>660.99999999999955</v>
      </c>
      <c r="AM29" s="23">
        <f t="shared" si="12"/>
        <v>851.47400000000084</v>
      </c>
      <c r="AN29" s="23">
        <f t="shared" si="12"/>
        <v>1250.1370000000011</v>
      </c>
      <c r="AO29" s="23">
        <f t="shared" si="12"/>
        <v>983.1800000000004</v>
      </c>
      <c r="AP29" s="23">
        <f t="shared" si="12"/>
        <v>1166.6953697739132</v>
      </c>
      <c r="AQ29" s="23">
        <f t="shared" si="12"/>
        <v>1140.600000000002</v>
      </c>
      <c r="AR29" s="23">
        <f t="shared" si="12"/>
        <v>1194.4995669318585</v>
      </c>
      <c r="AS29" s="23">
        <f t="shared" si="12"/>
        <v>1121.9996266600112</v>
      </c>
      <c r="AT29" s="23">
        <f t="shared" si="12"/>
        <v>1353.8004160246312</v>
      </c>
      <c r="AU29" s="48">
        <f t="shared" si="12"/>
        <v>1465.1000000000001</v>
      </c>
    </row>
    <row r="30" spans="1:47" ht="14.4">
      <c r="A30" s="1" t="s">
        <v>55</v>
      </c>
      <c r="B30" s="1" t="s">
        <v>46</v>
      </c>
      <c r="C30" s="19">
        <f t="shared" ref="C30:AU30" si="13">IFERROR(C29/C6,"")</f>
        <v>9.8906134859213873E-2</v>
      </c>
      <c r="D30" s="19">
        <f t="shared" si="13"/>
        <v>0.1155409749896836</v>
      </c>
      <c r="E30" s="19">
        <f t="shared" si="13"/>
        <v>0.11210145656539028</v>
      </c>
      <c r="F30" s="19">
        <f t="shared" si="13"/>
        <v>0.12416835482533915</v>
      </c>
      <c r="G30" s="19">
        <f t="shared" si="13"/>
        <v>0.10826378448458521</v>
      </c>
      <c r="H30" s="19">
        <f t="shared" si="13"/>
        <v>8.659441595081821E-2</v>
      </c>
      <c r="I30" s="19">
        <f t="shared" si="13"/>
        <v>0.1131371912180156</v>
      </c>
      <c r="J30" s="19">
        <f t="shared" si="13"/>
        <v>7.844625232303673E-2</v>
      </c>
      <c r="K30" s="19">
        <f t="shared" si="13"/>
        <v>0.10887281845895881</v>
      </c>
      <c r="L30" s="19">
        <f t="shared" si="13"/>
        <v>0.10990584526922882</v>
      </c>
      <c r="M30" s="19">
        <f t="shared" si="13"/>
        <v>0.12127902603758638</v>
      </c>
      <c r="N30" s="19">
        <f t="shared" si="13"/>
        <v>0.15171947571935307</v>
      </c>
      <c r="O30" s="19">
        <f t="shared" si="13"/>
        <v>0.10847909958848877</v>
      </c>
      <c r="P30" s="19">
        <f t="shared" si="13"/>
        <v>0.12333361808467448</v>
      </c>
      <c r="Q30" s="19">
        <f t="shared" si="13"/>
        <v>0.13448630893666028</v>
      </c>
      <c r="R30" s="19">
        <f t="shared" si="13"/>
        <v>0.12736152610527701</v>
      </c>
      <c r="S30" s="19">
        <f t="shared" si="13"/>
        <v>0.11086626018745162</v>
      </c>
      <c r="T30" s="19">
        <f t="shared" si="13"/>
        <v>0.12392970435257659</v>
      </c>
      <c r="U30" s="19">
        <f t="shared" si="13"/>
        <v>0.11868586491323821</v>
      </c>
      <c r="V30" s="19">
        <f t="shared" si="13"/>
        <v>8.4700372463273554E-2</v>
      </c>
      <c r="W30" s="19">
        <f t="shared" si="13"/>
        <v>0.10677625854730927</v>
      </c>
      <c r="X30" s="19">
        <f t="shared" si="13"/>
        <v>0.11359211236844634</v>
      </c>
      <c r="Y30" s="19">
        <f t="shared" si="13"/>
        <v>0.13575949917242977</v>
      </c>
      <c r="Z30" s="19">
        <f t="shared" si="13"/>
        <v>0.11115169620910255</v>
      </c>
      <c r="AA30" s="19">
        <f t="shared" si="13"/>
        <v>0.1326952370444838</v>
      </c>
      <c r="AB30" s="19">
        <f t="shared" si="13"/>
        <v>0.12303483245430384</v>
      </c>
      <c r="AC30" s="19">
        <f t="shared" si="13"/>
        <v>0.11951326584089672</v>
      </c>
      <c r="AD30" s="19">
        <f t="shared" si="13"/>
        <v>0.12426597180094393</v>
      </c>
      <c r="AE30" s="19">
        <f t="shared" si="13"/>
        <v>8.905039249703646E-2</v>
      </c>
      <c r="AF30" s="19">
        <f t="shared" si="13"/>
        <v>9.7903399030125612E-2</v>
      </c>
      <c r="AG30" s="19">
        <f t="shared" si="13"/>
        <v>9.4401800383365264E-2</v>
      </c>
      <c r="AH30" s="19">
        <f t="shared" si="13"/>
        <v>8.1471314805692016E-2</v>
      </c>
      <c r="AI30" s="19">
        <f t="shared" si="13"/>
        <v>5.2624227552035274E-2</v>
      </c>
      <c r="AJ30" s="19">
        <f t="shared" si="13"/>
        <v>3.8395459174682282E-2</v>
      </c>
      <c r="AK30" s="19">
        <f t="shared" si="13"/>
        <v>3.8962722390546808E-2</v>
      </c>
      <c r="AL30" s="19">
        <f t="shared" si="13"/>
        <v>5.1354480243325409E-2</v>
      </c>
      <c r="AM30" s="19">
        <f t="shared" si="13"/>
        <v>6.5470431911978044E-2</v>
      </c>
      <c r="AN30" s="19">
        <f t="shared" si="13"/>
        <v>9.3901911948888181E-2</v>
      </c>
      <c r="AO30" s="19">
        <f t="shared" si="13"/>
        <v>7.4003415576997175E-2</v>
      </c>
      <c r="AP30" s="19">
        <f t="shared" si="13"/>
        <v>8.7170894807605467E-2</v>
      </c>
      <c r="AQ30" s="19">
        <f t="shared" si="13"/>
        <v>8.5430523099047417E-2</v>
      </c>
      <c r="AR30" s="19">
        <f t="shared" si="13"/>
        <v>8.5352492770431998E-2</v>
      </c>
      <c r="AS30" s="19">
        <f t="shared" si="13"/>
        <v>7.7953452092655195E-2</v>
      </c>
      <c r="AT30" s="19">
        <f t="shared" si="13"/>
        <v>8.9797786962449999E-2</v>
      </c>
      <c r="AU30" s="19">
        <f t="shared" si="13"/>
        <v>9.3247793074039437E-2</v>
      </c>
    </row>
    <row r="31" spans="1:47" ht="14.4">
      <c r="A31" s="1" t="s">
        <v>47</v>
      </c>
      <c r="B31" s="1" t="s">
        <v>48</v>
      </c>
      <c r="C31" s="20">
        <f>'Raw Financials'!C56</f>
        <v>989.12300917609753</v>
      </c>
      <c r="D31" s="20">
        <f>'Raw Financials'!D56</f>
        <v>1011.0333649308864</v>
      </c>
      <c r="E31" s="20">
        <f>'Raw Financials'!E56</f>
        <v>1014.7136715686274</v>
      </c>
      <c r="F31" s="20">
        <f>'Raw Financials'!F56</f>
        <v>1022.5853018615701</v>
      </c>
      <c r="G31" s="20">
        <f>'Raw Financials'!G56</f>
        <v>1031.4657621951317</v>
      </c>
      <c r="H31" s="20">
        <f>'Raw Financials'!H56</f>
        <v>1072.3791928158028</v>
      </c>
      <c r="I31" s="20">
        <f>'Raw Financials'!I56</f>
        <v>1116.0922908541224</v>
      </c>
      <c r="J31" s="20">
        <f>'Raw Financials'!J56</f>
        <v>1131.1551565124032</v>
      </c>
      <c r="K31" s="20">
        <f>'Raw Financials'!K56</f>
        <v>1138.1445671469253</v>
      </c>
      <c r="L31" s="20">
        <f>'Raw Financials'!L56</f>
        <v>1179.1638734742523</v>
      </c>
      <c r="M31" s="20">
        <f>'Raw Financials'!M56</f>
        <v>1209.1212912363617</v>
      </c>
      <c r="N31" s="20">
        <f>'Raw Financials'!N56</f>
        <v>1244.3361420686356</v>
      </c>
      <c r="O31" s="20">
        <f>'Raw Financials'!O56</f>
        <v>1224.0603908232779</v>
      </c>
      <c r="P31" s="20">
        <f>'Raw Financials'!P56</f>
        <v>1218.1912139581568</v>
      </c>
      <c r="Q31" s="20">
        <f>'Raw Financials'!Q56</f>
        <v>1260.7541901620375</v>
      </c>
      <c r="R31" s="20">
        <f>'Raw Financials'!R56</f>
        <v>1267.5171544700979</v>
      </c>
      <c r="S31" s="20">
        <f>'Raw Financials'!S56</f>
        <v>1247.1188350267985</v>
      </c>
      <c r="T31" s="20">
        <f>'Raw Financials'!T56</f>
        <v>1287.216672474093</v>
      </c>
      <c r="U31" s="20">
        <f>'Raw Financials'!U56</f>
        <v>1352.9835930486913</v>
      </c>
      <c r="V31" s="20">
        <f>'Raw Financials'!V56</f>
        <v>1294.5533120766547</v>
      </c>
      <c r="W31" s="20">
        <f>'Raw Financials'!W56</f>
        <v>1207.467722438525</v>
      </c>
      <c r="X31" s="20">
        <f>'Raw Financials'!X56</f>
        <v>1265.379389187327</v>
      </c>
      <c r="Y31" s="20">
        <f>'Raw Financials'!Y56</f>
        <v>1308.6504990959829</v>
      </c>
      <c r="Z31" s="20">
        <f>'Raw Financials'!Z56</f>
        <v>1329.5656321794033</v>
      </c>
      <c r="AA31" s="20">
        <f>'Raw Financials'!AA56</f>
        <v>1383.5987056761269</v>
      </c>
      <c r="AB31" s="20">
        <f>'Raw Financials'!AB56</f>
        <v>1472.5783850438424</v>
      </c>
      <c r="AC31" s="20">
        <f>'Raw Financials'!AC56</f>
        <v>1533.475130470591</v>
      </c>
      <c r="AD31" s="20">
        <f>'Raw Financials'!AD56</f>
        <v>1608.1356426134844</v>
      </c>
      <c r="AE31" s="20">
        <f>'Raw Financials'!AE56</f>
        <v>1632.4503571514904</v>
      </c>
      <c r="AF31" s="20">
        <f>'Raw Financials'!AF56</f>
        <v>1638.1379636216266</v>
      </c>
      <c r="AG31" s="20">
        <f>'Raw Financials'!AG56</f>
        <v>1668.2938579207307</v>
      </c>
      <c r="AH31" s="20">
        <f>'Raw Financials'!AH56</f>
        <v>1667.6352141189177</v>
      </c>
      <c r="AI31" s="20">
        <f>'Raw Financials'!AI56</f>
        <v>1600.74</v>
      </c>
      <c r="AJ31" s="20">
        <f>'Raw Financials'!AJ56</f>
        <v>1555.15</v>
      </c>
      <c r="AK31" s="20">
        <f>'Raw Financials'!AK56</f>
        <v>1573.02</v>
      </c>
      <c r="AL31" s="20">
        <f>'Raw Financials'!AL56</f>
        <v>1548.19</v>
      </c>
      <c r="AM31" s="20">
        <f>'Raw Financials'!AM56</f>
        <v>1558.92</v>
      </c>
      <c r="AN31" s="20">
        <f>'Raw Financials'!AN56</f>
        <v>1588.72</v>
      </c>
      <c r="AO31" s="20">
        <f>'Raw Financials'!AO56</f>
        <v>1567.47</v>
      </c>
      <c r="AP31" s="20">
        <f>'Raw Financials'!AP56</f>
        <v>1548.76</v>
      </c>
      <c r="AQ31" s="20">
        <f>'Raw Financials'!AQ56</f>
        <v>1564.4110198129597</v>
      </c>
      <c r="AR31" s="20">
        <f>'Raw Financials'!AR56</f>
        <v>1585.9178002005656</v>
      </c>
      <c r="AS31" s="20">
        <f>'Raw Financials'!AS56</f>
        <v>1609.8644794172631</v>
      </c>
      <c r="AT31" s="20">
        <f>'Raw Financials'!AT56</f>
        <v>1624.671013287063</v>
      </c>
      <c r="AU31" s="21">
        <f>'Raw Financials'!AU56</f>
        <v>1660.4</v>
      </c>
    </row>
    <row r="32" spans="1:47" ht="14.4">
      <c r="A32" s="1" t="s">
        <v>477</v>
      </c>
      <c r="B32" s="1" t="s">
        <v>46</v>
      </c>
      <c r="C32" s="1"/>
      <c r="D32" s="19">
        <f t="shared" ref="D32:AU32" si="14">IFERROR(D31/C31-1,"")</f>
        <v>2.2151295189300368E-2</v>
      </c>
      <c r="E32" s="19">
        <f t="shared" si="14"/>
        <v>3.6401436049469105E-3</v>
      </c>
      <c r="F32" s="19">
        <f t="shared" si="14"/>
        <v>7.757489145459262E-3</v>
      </c>
      <c r="G32" s="19">
        <f t="shared" si="14"/>
        <v>8.6843222931085595E-3</v>
      </c>
      <c r="H32" s="19">
        <f t="shared" si="14"/>
        <v>3.9665330755720429E-2</v>
      </c>
      <c r="I32" s="19">
        <f t="shared" si="14"/>
        <v>4.0762724912202009E-2</v>
      </c>
      <c r="J32" s="19">
        <f t="shared" si="14"/>
        <v>1.3496075353010006E-2</v>
      </c>
      <c r="K32" s="19">
        <f t="shared" si="14"/>
        <v>6.1790025835819495E-3</v>
      </c>
      <c r="L32" s="19">
        <f t="shared" si="14"/>
        <v>3.6040506198745215E-2</v>
      </c>
      <c r="M32" s="19">
        <f t="shared" si="14"/>
        <v>2.5405644148377649E-2</v>
      </c>
      <c r="N32" s="19">
        <f t="shared" si="14"/>
        <v>2.9124332759260074E-2</v>
      </c>
      <c r="O32" s="19">
        <f t="shared" si="14"/>
        <v>-1.629443247678275E-2</v>
      </c>
      <c r="P32" s="19">
        <f t="shared" si="14"/>
        <v>-4.7948425658750349E-3</v>
      </c>
      <c r="Q32" s="19">
        <f t="shared" si="14"/>
        <v>3.4939487098732736E-2</v>
      </c>
      <c r="R32" s="19">
        <f t="shared" si="14"/>
        <v>5.3642211628828207E-3</v>
      </c>
      <c r="S32" s="19">
        <f t="shared" si="14"/>
        <v>-1.6093130867193106E-2</v>
      </c>
      <c r="T32" s="19">
        <f t="shared" si="14"/>
        <v>3.2152379004389608E-2</v>
      </c>
      <c r="U32" s="19">
        <f t="shared" si="14"/>
        <v>5.1092346751686391E-2</v>
      </c>
      <c r="V32" s="19">
        <f t="shared" si="14"/>
        <v>-4.318624503078794E-2</v>
      </c>
      <c r="W32" s="19">
        <f t="shared" si="14"/>
        <v>-6.7270763456185212E-2</v>
      </c>
      <c r="X32" s="19">
        <f t="shared" si="14"/>
        <v>4.7961254510263229E-2</v>
      </c>
      <c r="Y32" s="19">
        <f t="shared" si="14"/>
        <v>3.4196155143989104E-2</v>
      </c>
      <c r="Z32" s="19">
        <f t="shared" si="14"/>
        <v>1.598221457743576E-2</v>
      </c>
      <c r="AA32" s="19">
        <f t="shared" si="14"/>
        <v>4.0639643646739998E-2</v>
      </c>
      <c r="AB32" s="19">
        <f t="shared" si="14"/>
        <v>6.4310322785560592E-2</v>
      </c>
      <c r="AC32" s="19">
        <f t="shared" si="14"/>
        <v>4.1353822686277963E-2</v>
      </c>
      <c r="AD32" s="19">
        <f t="shared" si="14"/>
        <v>4.8687135943301207E-2</v>
      </c>
      <c r="AE32" s="19">
        <f t="shared" si="14"/>
        <v>1.5119815700677108E-2</v>
      </c>
      <c r="AF32" s="19">
        <f t="shared" si="14"/>
        <v>3.4840915346796564E-3</v>
      </c>
      <c r="AG32" s="19">
        <f t="shared" si="14"/>
        <v>1.840864137745446E-2</v>
      </c>
      <c r="AH32" s="19">
        <f t="shared" si="14"/>
        <v>-3.9480083121201659E-4</v>
      </c>
      <c r="AI32" s="19">
        <f t="shared" si="14"/>
        <v>-4.0113817190086887E-2</v>
      </c>
      <c r="AJ32" s="19">
        <f t="shared" si="14"/>
        <v>-2.8480577732798551E-2</v>
      </c>
      <c r="AK32" s="19">
        <f t="shared" si="14"/>
        <v>1.149085297238206E-2</v>
      </c>
      <c r="AL32" s="19">
        <f t="shared" si="14"/>
        <v>-1.5784923268617024E-2</v>
      </c>
      <c r="AM32" s="19">
        <f t="shared" si="14"/>
        <v>6.9306738836965032E-3</v>
      </c>
      <c r="AN32" s="19">
        <f t="shared" si="14"/>
        <v>1.9115798116644767E-2</v>
      </c>
      <c r="AO32" s="19">
        <f t="shared" si="14"/>
        <v>-1.337554761065507E-2</v>
      </c>
      <c r="AP32" s="19">
        <f t="shared" si="14"/>
        <v>-1.1936432595201163E-2</v>
      </c>
      <c r="AQ32" s="19">
        <f t="shared" si="14"/>
        <v>1.0105516550633853E-2</v>
      </c>
      <c r="AR32" s="19">
        <f t="shared" si="14"/>
        <v>1.3747525500157343E-2</v>
      </c>
      <c r="AS32" s="19">
        <f t="shared" si="14"/>
        <v>1.509957149965091E-2</v>
      </c>
      <c r="AT32" s="19">
        <f t="shared" si="14"/>
        <v>9.1973790707895464E-3</v>
      </c>
      <c r="AU32" s="19">
        <f t="shared" si="14"/>
        <v>2.1991521003781322E-2</v>
      </c>
    </row>
    <row r="33" spans="1:47" ht="14.4">
      <c r="A33" s="1" t="s">
        <v>478</v>
      </c>
      <c r="B33" s="1" t="s">
        <v>150</v>
      </c>
      <c r="C33" s="21">
        <f t="shared" ref="C33:AU33" si="15">IFERROR(C6*10/C31,"")</f>
        <v>63.630343233213715</v>
      </c>
      <c r="D33" s="21">
        <f t="shared" si="15"/>
        <v>65.433399425470341</v>
      </c>
      <c r="E33" s="21">
        <f t="shared" si="15"/>
        <v>66.039728877584281</v>
      </c>
      <c r="F33" s="21">
        <f t="shared" si="15"/>
        <v>67.317924029594465</v>
      </c>
      <c r="G33" s="21">
        <f t="shared" si="15"/>
        <v>67.098052453734326</v>
      </c>
      <c r="H33" s="21">
        <f t="shared" si="15"/>
        <v>66.836527008512263</v>
      </c>
      <c r="I33" s="21">
        <f t="shared" si="15"/>
        <v>67.713958033133608</v>
      </c>
      <c r="J33" s="21">
        <f t="shared" si="15"/>
        <v>66.259648715289359</v>
      </c>
      <c r="K33" s="21">
        <f t="shared" si="15"/>
        <v>64.456675709395782</v>
      </c>
      <c r="L33" s="21">
        <f t="shared" si="15"/>
        <v>64.506145533351003</v>
      </c>
      <c r="M33" s="21">
        <f t="shared" si="15"/>
        <v>64.310803924797824</v>
      </c>
      <c r="N33" s="21">
        <f t="shared" si="15"/>
        <v>64.729227767264561</v>
      </c>
      <c r="O33" s="21">
        <f t="shared" si="15"/>
        <v>67.61330465348648</v>
      </c>
      <c r="P33" s="21">
        <f t="shared" si="15"/>
        <v>70.8414955116925</v>
      </c>
      <c r="Q33" s="21">
        <f t="shared" si="15"/>
        <v>70.939391692606762</v>
      </c>
      <c r="R33" s="21">
        <f t="shared" si="15"/>
        <v>70.155204736598108</v>
      </c>
      <c r="S33" s="21">
        <f t="shared" si="15"/>
        <v>69.38415744409842</v>
      </c>
      <c r="T33" s="21">
        <f t="shared" si="15"/>
        <v>70.461223063302441</v>
      </c>
      <c r="U33" s="21">
        <f t="shared" si="15"/>
        <v>71.357828840667636</v>
      </c>
      <c r="V33" s="21">
        <f t="shared" si="15"/>
        <v>73.308428694036962</v>
      </c>
      <c r="W33" s="21">
        <f t="shared" si="15"/>
        <v>75.416910631030348</v>
      </c>
      <c r="X33" s="21">
        <f t="shared" si="15"/>
        <v>74.062828839964638</v>
      </c>
      <c r="Y33" s="21">
        <f t="shared" si="15"/>
        <v>73.717637838859204</v>
      </c>
      <c r="Z33" s="21">
        <f t="shared" si="15"/>
        <v>73.181133733510237</v>
      </c>
      <c r="AA33" s="21">
        <f t="shared" si="15"/>
        <v>73.703226005959067</v>
      </c>
      <c r="AB33" s="21">
        <f t="shared" si="15"/>
        <v>73.893040062353194</v>
      </c>
      <c r="AC33" s="21">
        <f t="shared" si="15"/>
        <v>74.672156888426329</v>
      </c>
      <c r="AD33" s="21">
        <f t="shared" si="15"/>
        <v>75.34362025213909</v>
      </c>
      <c r="AE33" s="21">
        <f t="shared" si="15"/>
        <v>77.845844915458656</v>
      </c>
      <c r="AF33" s="21">
        <f t="shared" si="15"/>
        <v>80.148732850150921</v>
      </c>
      <c r="AG33" s="21">
        <f t="shared" si="15"/>
        <v>82.326986060932924</v>
      </c>
      <c r="AH33" s="21">
        <f t="shared" si="15"/>
        <v>82.26134140641723</v>
      </c>
      <c r="AI33" s="21">
        <f t="shared" si="15"/>
        <v>82.205586166398035</v>
      </c>
      <c r="AJ33" s="21">
        <f t="shared" si="15"/>
        <v>82.71817509564994</v>
      </c>
      <c r="AK33" s="21">
        <f t="shared" si="15"/>
        <v>83.287796722228578</v>
      </c>
      <c r="AL33" s="21">
        <f t="shared" si="15"/>
        <v>83.137864215632462</v>
      </c>
      <c r="AM33" s="21">
        <f t="shared" si="15"/>
        <v>83.426179662843509</v>
      </c>
      <c r="AN33" s="21">
        <f t="shared" si="15"/>
        <v>83.798416335162912</v>
      </c>
      <c r="AO33" s="21">
        <f t="shared" si="15"/>
        <v>84.758260126190606</v>
      </c>
      <c r="AP33" s="21">
        <f t="shared" si="15"/>
        <v>86.417529533161471</v>
      </c>
      <c r="AQ33" s="21">
        <f t="shared" si="15"/>
        <v>85.343300647398053</v>
      </c>
      <c r="AR33" s="21">
        <f t="shared" si="15"/>
        <v>88.244798048356429</v>
      </c>
      <c r="AS33" s="21">
        <f t="shared" si="15"/>
        <v>89.406283473066722</v>
      </c>
      <c r="AT33" s="21">
        <f t="shared" si="15"/>
        <v>92.79478661651136</v>
      </c>
      <c r="AU33" s="21">
        <f t="shared" si="15"/>
        <v>94.627198265478199</v>
      </c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AU1"/>
    <mergeCell ref="A2:A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300"/>
  <sheetViews>
    <sheetView showGridLines="0" topLeftCell="A24" workbookViewId="0">
      <selection sqref="A1:Q1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479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480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46" t="s">
        <v>39</v>
      </c>
      <c r="O5" s="46" t="s">
        <v>40</v>
      </c>
      <c r="P5" s="46" t="s">
        <v>41</v>
      </c>
      <c r="Q5" s="46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6"/>
      <c r="O6" s="36"/>
      <c r="P6" s="36"/>
      <c r="Q6" s="3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43</v>
      </c>
      <c r="B7" s="1" t="s">
        <v>44</v>
      </c>
      <c r="C7" s="18">
        <f>'Raw Financials'!C6</f>
        <v>26494.232248126711</v>
      </c>
      <c r="D7" s="18">
        <f>'Raw Financials'!D6</f>
        <v>29140.8414557</v>
      </c>
      <c r="E7" s="18">
        <f>'Raw Financials'!E6</f>
        <v>30772.881154600007</v>
      </c>
      <c r="F7" s="18">
        <f>'Raw Financials'!F6</f>
        <v>34742.131633800003</v>
      </c>
      <c r="G7" s="18">
        <f>'Raw Financials'!G6</f>
        <v>36867.678999999996</v>
      </c>
      <c r="H7" s="18">
        <f>'Raw Financials'!H6</f>
        <v>37855.080999999998</v>
      </c>
      <c r="I7" s="18">
        <f>'Raw Financials'!I6</f>
        <v>44645.964000000007</v>
      </c>
      <c r="J7" s="18">
        <f>'Raw Financials'!J6</f>
        <v>53290.167000000009</v>
      </c>
      <c r="K7" s="18">
        <f>'Raw Financials'!K6</f>
        <v>51995.540999999997</v>
      </c>
      <c r="L7" s="18">
        <f>'Raw Financials'!L6</f>
        <v>52988.300303977914</v>
      </c>
      <c r="M7" s="18">
        <f>'Raw Financials'!M6</f>
        <v>56815.399599999764</v>
      </c>
      <c r="N7" s="32">
        <f>'Revenue Drivers'!N30</f>
        <v>58225.878004588383</v>
      </c>
      <c r="O7" s="32">
        <f>'Revenue Drivers'!O30</f>
        <v>60460.105140546773</v>
      </c>
      <c r="P7" s="32">
        <f>'Revenue Drivers'!P30</f>
        <v>63337.981622471256</v>
      </c>
      <c r="Q7" s="32">
        <f>'Revenue Drivers'!Q30</f>
        <v>66753.180321994849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476</v>
      </c>
      <c r="B8" s="1" t="s">
        <v>46</v>
      </c>
      <c r="C8" s="1"/>
      <c r="D8" s="19">
        <f t="shared" ref="D8:Q8" si="0">IFERROR(D7/C7-1,"")</f>
        <v>9.9893787552965074E-2</v>
      </c>
      <c r="E8" s="19">
        <f t="shared" si="0"/>
        <v>5.6005235860503211E-2</v>
      </c>
      <c r="F8" s="19">
        <f t="shared" si="0"/>
        <v>0.12898533807279411</v>
      </c>
      <c r="G8" s="19">
        <f t="shared" si="0"/>
        <v>6.1180683689888715E-2</v>
      </c>
      <c r="H8" s="19">
        <f t="shared" si="0"/>
        <v>2.6782320633745416E-2</v>
      </c>
      <c r="I8" s="19">
        <f t="shared" si="0"/>
        <v>0.17939158550473078</v>
      </c>
      <c r="J8" s="19">
        <f t="shared" si="0"/>
        <v>0.1936166727187254</v>
      </c>
      <c r="K8" s="19">
        <f t="shared" si="0"/>
        <v>-2.429390022365685E-2</v>
      </c>
      <c r="L8" s="19">
        <f t="shared" si="0"/>
        <v>1.9093162315166889E-2</v>
      </c>
      <c r="M8" s="19">
        <f t="shared" si="0"/>
        <v>7.2225364355281041E-2</v>
      </c>
      <c r="N8" s="28">
        <f t="shared" si="0"/>
        <v>2.482563555864914E-2</v>
      </c>
      <c r="O8" s="28">
        <f t="shared" si="0"/>
        <v>3.8371720831454459E-2</v>
      </c>
      <c r="P8" s="28">
        <f t="shared" si="0"/>
        <v>4.7599594397570222E-2</v>
      </c>
      <c r="Q8" s="28">
        <f t="shared" si="0"/>
        <v>5.3920232568824611E-2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216</v>
      </c>
      <c r="B9" s="1" t="s">
        <v>44</v>
      </c>
      <c r="C9" s="18">
        <f>'Raw Financials'!C7</f>
        <v>18329.037658400452</v>
      </c>
      <c r="D9" s="18">
        <f>'Raw Financials'!D7</f>
        <v>20566.059319516593</v>
      </c>
      <c r="E9" s="18">
        <f>'Raw Financials'!E7</f>
        <v>21530.041574555267</v>
      </c>
      <c r="F9" s="18">
        <f>'Raw Financials'!F7</f>
        <v>23358.982437791899</v>
      </c>
      <c r="G9" s="18">
        <f>'Raw Financials'!G7</f>
        <v>25974.337</v>
      </c>
      <c r="H9" s="18">
        <f>'Raw Financials'!H7</f>
        <v>25855.48</v>
      </c>
      <c r="I9" s="18">
        <f>'Raw Financials'!I7</f>
        <v>30972.015000000003</v>
      </c>
      <c r="J9" s="18">
        <f>'Raw Financials'!J7</f>
        <v>38119.703000000001</v>
      </c>
      <c r="K9" s="18">
        <f>'Raw Financials'!K7</f>
        <v>39114.670000000006</v>
      </c>
      <c r="L9" s="18">
        <f>'Raw Financials'!L7</f>
        <v>38084.79426013273</v>
      </c>
      <c r="M9" s="18">
        <f>'Raw Financials'!M7</f>
        <v>39868.820387216168</v>
      </c>
      <c r="N9" s="32">
        <f>N7*(1-Assumptions!C19)</f>
        <v>40466.985213188927</v>
      </c>
      <c r="O9" s="32">
        <f>O7*(1-Assumptions!D19)</f>
        <v>41717.472546977267</v>
      </c>
      <c r="P9" s="32">
        <f>P7*(1-Assumptions!E19)</f>
        <v>43386.517411392815</v>
      </c>
      <c r="Q9" s="32">
        <f>Q7*(1-Assumptions!F19)</f>
        <v>45392.162618956492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24" t="s">
        <v>217</v>
      </c>
      <c r="B10" s="22" t="s">
        <v>44</v>
      </c>
      <c r="C10" s="23">
        <f t="shared" ref="C10:Q10" si="1">C7-C9</f>
        <v>8165.1945897262594</v>
      </c>
      <c r="D10" s="23">
        <f t="shared" si="1"/>
        <v>8574.7821361834067</v>
      </c>
      <c r="E10" s="23">
        <f t="shared" si="1"/>
        <v>9242.8395800447397</v>
      </c>
      <c r="F10" s="23">
        <f t="shared" si="1"/>
        <v>11383.149196008104</v>
      </c>
      <c r="G10" s="23">
        <f t="shared" si="1"/>
        <v>10893.341999999997</v>
      </c>
      <c r="H10" s="23">
        <f t="shared" si="1"/>
        <v>11999.600999999999</v>
      </c>
      <c r="I10" s="23">
        <f t="shared" si="1"/>
        <v>13673.949000000004</v>
      </c>
      <c r="J10" s="23">
        <f t="shared" si="1"/>
        <v>15170.464000000007</v>
      </c>
      <c r="K10" s="23">
        <f t="shared" si="1"/>
        <v>12880.870999999992</v>
      </c>
      <c r="L10" s="23">
        <f t="shared" si="1"/>
        <v>14903.506043845184</v>
      </c>
      <c r="M10" s="23">
        <f t="shared" si="1"/>
        <v>16946.579212783596</v>
      </c>
      <c r="N10" s="31">
        <f t="shared" si="1"/>
        <v>17758.892791399456</v>
      </c>
      <c r="O10" s="31">
        <f t="shared" si="1"/>
        <v>18742.632593569506</v>
      </c>
      <c r="P10" s="31">
        <f t="shared" si="1"/>
        <v>19951.464211078441</v>
      </c>
      <c r="Q10" s="31">
        <f t="shared" si="1"/>
        <v>21361.017703038357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151</v>
      </c>
      <c r="B11" s="1" t="s">
        <v>46</v>
      </c>
      <c r="C11" s="19">
        <f t="shared" ref="C11:M11" si="2">IFERROR(C10/C7,"")</f>
        <v>0.3081876279054504</v>
      </c>
      <c r="D11" s="19">
        <f t="shared" si="2"/>
        <v>0.294253072589507</v>
      </c>
      <c r="E11" s="19">
        <f t="shared" si="2"/>
        <v>0.30035665278170087</v>
      </c>
      <c r="F11" s="19">
        <f t="shared" si="2"/>
        <v>0.32764682708569443</v>
      </c>
      <c r="G11" s="19">
        <f t="shared" si="2"/>
        <v>0.29547132598176301</v>
      </c>
      <c r="H11" s="19">
        <f t="shared" si="2"/>
        <v>0.31698785692731707</v>
      </c>
      <c r="I11" s="19">
        <f t="shared" si="2"/>
        <v>0.30627514281022139</v>
      </c>
      <c r="J11" s="19">
        <f t="shared" si="2"/>
        <v>0.28467660835065511</v>
      </c>
      <c r="K11" s="19">
        <f t="shared" si="2"/>
        <v>0.24773030056558104</v>
      </c>
      <c r="L11" s="19">
        <f t="shared" si="2"/>
        <v>0.28126031517048594</v>
      </c>
      <c r="M11" s="19">
        <f t="shared" si="2"/>
        <v>0.29827439975945652</v>
      </c>
      <c r="N11" s="28">
        <f>N10/N7</f>
        <v>0.30499999999999999</v>
      </c>
      <c r="O11" s="28">
        <f>O10/O7</f>
        <v>0.31000000000000011</v>
      </c>
      <c r="P11" s="28">
        <f>P10/P7</f>
        <v>0.31499999999999995</v>
      </c>
      <c r="Q11" s="28">
        <f>Q10/Q7</f>
        <v>0.32000000000000006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481</v>
      </c>
      <c r="B12" s="1" t="s">
        <v>44</v>
      </c>
      <c r="C12" s="18">
        <f>'Raw Financials'!C8</f>
        <v>8165.1945897262603</v>
      </c>
      <c r="D12" s="18">
        <f>'Raw Financials'!D8</f>
        <v>8574.7821361834067</v>
      </c>
      <c r="E12" s="18">
        <f>'Raw Financials'!E8</f>
        <v>9242.890580044741</v>
      </c>
      <c r="F12" s="18">
        <f>'Raw Financials'!F8</f>
        <v>11383.149196008104</v>
      </c>
      <c r="G12" s="18">
        <f>'Raw Financials'!G8</f>
        <v>10893.442000000001</v>
      </c>
      <c r="H12" s="18">
        <f>'Raw Financials'!H8</f>
        <v>11999.6</v>
      </c>
      <c r="I12" s="18">
        <f>'Raw Financials'!I8</f>
        <v>13673.949000000001</v>
      </c>
      <c r="J12" s="18">
        <f>'Raw Financials'!J8</f>
        <v>15170.464000000002</v>
      </c>
      <c r="K12" s="18">
        <f>'Raw Financials'!K8</f>
        <v>12880.882000000001</v>
      </c>
      <c r="L12" s="18">
        <f>'Raw Financials'!L8</f>
        <v>14903.506043845189</v>
      </c>
      <c r="M12" s="18">
        <f>'Raw Financials'!M8</f>
        <v>16946.57921278361</v>
      </c>
      <c r="N12" s="32">
        <f>N10</f>
        <v>17758.892791399456</v>
      </c>
      <c r="O12" s="32">
        <f>O10</f>
        <v>18742.632593569506</v>
      </c>
      <c r="P12" s="32">
        <f>P10</f>
        <v>19951.464211078441</v>
      </c>
      <c r="Q12" s="32">
        <f>Q10</f>
        <v>21361.017703038357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482</v>
      </c>
      <c r="B13" s="1" t="s">
        <v>44</v>
      </c>
      <c r="C13" s="18">
        <f t="shared" ref="C13:M13" si="3">C10-C12</f>
        <v>0</v>
      </c>
      <c r="D13" s="18">
        <f t="shared" si="3"/>
        <v>0</v>
      </c>
      <c r="E13" s="18">
        <f t="shared" si="3"/>
        <v>-5.100000000129512E-2</v>
      </c>
      <c r="F13" s="18">
        <f t="shared" si="3"/>
        <v>0</v>
      </c>
      <c r="G13" s="18">
        <f t="shared" si="3"/>
        <v>-0.10000000000400178</v>
      </c>
      <c r="H13" s="18">
        <f t="shared" si="3"/>
        <v>9.9999999838473741E-4</v>
      </c>
      <c r="I13" s="18">
        <f t="shared" si="3"/>
        <v>0</v>
      </c>
      <c r="J13" s="18">
        <f t="shared" si="3"/>
        <v>0</v>
      </c>
      <c r="K13" s="18">
        <f t="shared" si="3"/>
        <v>-1.1000000009516953E-2</v>
      </c>
      <c r="L13" s="18">
        <f t="shared" si="3"/>
        <v>0</v>
      </c>
      <c r="M13" s="18">
        <f t="shared" si="3"/>
        <v>0</v>
      </c>
      <c r="N13" s="32">
        <f>0</f>
        <v>0</v>
      </c>
      <c r="O13" s="32">
        <f>0</f>
        <v>0</v>
      </c>
      <c r="P13" s="32">
        <f>0</f>
        <v>0</v>
      </c>
      <c r="Q13" s="32">
        <f>0</f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218</v>
      </c>
      <c r="B14" s="1" t="s">
        <v>44</v>
      </c>
      <c r="C14" s="18">
        <f>'Raw Financials'!C9</f>
        <v>3894.504327569045</v>
      </c>
      <c r="D14" s="18">
        <f>'Raw Financials'!D9</f>
        <v>4390.3473048906772</v>
      </c>
      <c r="E14" s="18">
        <f>'Raw Financials'!E9</f>
        <v>4533.2803652497405</v>
      </c>
      <c r="F14" s="18">
        <f>'Raw Financials'!F9</f>
        <v>5046.2315619231049</v>
      </c>
      <c r="G14" s="18">
        <f>'Raw Financials'!G9</f>
        <v>5167.3029999999999</v>
      </c>
      <c r="H14" s="18">
        <f>'Raw Financials'!H9</f>
        <v>5152.5540000000001</v>
      </c>
      <c r="I14" s="18">
        <f>'Raw Financials'!I9</f>
        <v>5653.9650000000001</v>
      </c>
      <c r="J14" s="18">
        <f>'Raw Financials'!J9</f>
        <v>7141.688000000001</v>
      </c>
      <c r="K14" s="18">
        <f>'Raw Financials'!K9</f>
        <v>7916.2720000000008</v>
      </c>
      <c r="L14" s="18">
        <f>'Raw Financials'!L9</f>
        <v>7912.4214107181178</v>
      </c>
      <c r="M14" s="18">
        <f>'Raw Financials'!M9</f>
        <v>7912.4796941951063</v>
      </c>
      <c r="N14" s="32">
        <f>N7*Assumptions!C20</f>
        <v>8035.1711646331978</v>
      </c>
      <c r="O14" s="32">
        <f>O7*Assumptions!D20</f>
        <v>8283.0344042549077</v>
      </c>
      <c r="P14" s="32">
        <f>P7*Assumptions!E20</f>
        <v>8550.62751903362</v>
      </c>
      <c r="Q14" s="32">
        <f>Q7*Assumptions!F20</f>
        <v>8944.9261631473109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24" t="s">
        <v>50</v>
      </c>
      <c r="B15" s="22" t="s">
        <v>44</v>
      </c>
      <c r="C15" s="23">
        <f t="shared" ref="C15:Q15" si="4">C10-C14</f>
        <v>4270.6902621572144</v>
      </c>
      <c r="D15" s="23">
        <f t="shared" si="4"/>
        <v>4184.4348312927295</v>
      </c>
      <c r="E15" s="23">
        <f t="shared" si="4"/>
        <v>4709.5592147949992</v>
      </c>
      <c r="F15" s="23">
        <f t="shared" si="4"/>
        <v>6336.917634084999</v>
      </c>
      <c r="G15" s="23">
        <f t="shared" si="4"/>
        <v>5726.038999999997</v>
      </c>
      <c r="H15" s="23">
        <f t="shared" si="4"/>
        <v>6847.0469999999987</v>
      </c>
      <c r="I15" s="23">
        <f t="shared" si="4"/>
        <v>8019.984000000004</v>
      </c>
      <c r="J15" s="23">
        <f t="shared" si="4"/>
        <v>8028.7760000000062</v>
      </c>
      <c r="K15" s="23">
        <f t="shared" si="4"/>
        <v>4964.5989999999911</v>
      </c>
      <c r="L15" s="23">
        <f t="shared" si="4"/>
        <v>6991.0846331270659</v>
      </c>
      <c r="M15" s="23">
        <f t="shared" si="4"/>
        <v>9034.0995185884894</v>
      </c>
      <c r="N15" s="31">
        <f t="shared" si="4"/>
        <v>9723.7216267662589</v>
      </c>
      <c r="O15" s="31">
        <f t="shared" si="4"/>
        <v>10459.598189314598</v>
      </c>
      <c r="P15" s="31">
        <f t="shared" si="4"/>
        <v>11400.836692044821</v>
      </c>
      <c r="Q15" s="31">
        <f t="shared" si="4"/>
        <v>12416.091539891046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51</v>
      </c>
      <c r="B16" s="1" t="s">
        <v>46</v>
      </c>
      <c r="C16" s="19">
        <f t="shared" ref="C16:M16" si="5">IFERROR(C15/C7,"")</f>
        <v>0.16119320696523207</v>
      </c>
      <c r="D16" s="19">
        <f t="shared" si="5"/>
        <v>0.14359347988128349</v>
      </c>
      <c r="E16" s="19">
        <f t="shared" si="5"/>
        <v>0.15304251789537107</v>
      </c>
      <c r="F16" s="19">
        <f t="shared" si="5"/>
        <v>0.18239864211210127</v>
      </c>
      <c r="G16" s="19">
        <f t="shared" si="5"/>
        <v>0.15531324876730096</v>
      </c>
      <c r="H16" s="19">
        <f t="shared" si="5"/>
        <v>0.1808752436694033</v>
      </c>
      <c r="I16" s="19">
        <f t="shared" si="5"/>
        <v>0.17963514014391094</v>
      </c>
      <c r="J16" s="19">
        <f t="shared" si="5"/>
        <v>0.15066149070240303</v>
      </c>
      <c r="K16" s="19">
        <f t="shared" si="5"/>
        <v>9.5481245209084201E-2</v>
      </c>
      <c r="L16" s="19">
        <f t="shared" si="5"/>
        <v>0.13193638205077951</v>
      </c>
      <c r="M16" s="19">
        <f t="shared" si="5"/>
        <v>0.15900793767520252</v>
      </c>
      <c r="N16" s="28">
        <f>N15/N7</f>
        <v>0.16699999999999998</v>
      </c>
      <c r="O16" s="28">
        <f>O15/O7</f>
        <v>0.1730000000000001</v>
      </c>
      <c r="P16" s="28">
        <f>P15/P7</f>
        <v>0.17999999999999991</v>
      </c>
      <c r="Q16" s="28">
        <f>Q15/Q7</f>
        <v>0.18600000000000005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483</v>
      </c>
      <c r="B17" s="1" t="s">
        <v>44</v>
      </c>
      <c r="C17" s="18">
        <f>'Raw Financials'!C10</f>
        <v>4270.6902621572153</v>
      </c>
      <c r="D17" s="18">
        <f>'Raw Financials'!D10</f>
        <v>4184.4348312927295</v>
      </c>
      <c r="E17" s="18">
        <f>'Raw Financials'!E10</f>
        <v>4709.6102147950005</v>
      </c>
      <c r="F17" s="18">
        <f>'Raw Financials'!F10</f>
        <v>6336.9176340849999</v>
      </c>
      <c r="G17" s="18">
        <f>'Raw Financials'!G10</f>
        <v>5726.1390000000001</v>
      </c>
      <c r="H17" s="18">
        <f>'Raw Financials'!H10</f>
        <v>6847.0470000000005</v>
      </c>
      <c r="I17" s="18">
        <f>'Raw Financials'!I10</f>
        <v>8019.9840000000004</v>
      </c>
      <c r="J17" s="18">
        <f>'Raw Financials'!J10</f>
        <v>8028.7759999999998</v>
      </c>
      <c r="K17" s="18">
        <f>'Raw Financials'!K10</f>
        <v>4964.5400000000009</v>
      </c>
      <c r="L17" s="18">
        <f>'Raw Financials'!L10</f>
        <v>6991.1424197589149</v>
      </c>
      <c r="M17" s="18">
        <f>'Raw Financials'!M10</f>
        <v>9034.0995185885022</v>
      </c>
      <c r="N17" s="32">
        <f>N15</f>
        <v>9723.7216267662589</v>
      </c>
      <c r="O17" s="32">
        <f>O15</f>
        <v>10459.598189314598</v>
      </c>
      <c r="P17" s="32">
        <f>P15</f>
        <v>11400.836692044821</v>
      </c>
      <c r="Q17" s="32">
        <f>Q15</f>
        <v>12416.091539891046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484</v>
      </c>
      <c r="B18" s="1" t="s">
        <v>44</v>
      </c>
      <c r="C18" s="18">
        <f t="shared" ref="C18:M18" si="6">C15-C17</f>
        <v>0</v>
      </c>
      <c r="D18" s="18">
        <f t="shared" si="6"/>
        <v>0</v>
      </c>
      <c r="E18" s="18">
        <f t="shared" si="6"/>
        <v>-5.100000000129512E-2</v>
      </c>
      <c r="F18" s="18">
        <f t="shared" si="6"/>
        <v>0</v>
      </c>
      <c r="G18" s="18">
        <f t="shared" si="6"/>
        <v>-0.10000000000309228</v>
      </c>
      <c r="H18" s="18">
        <f t="shared" si="6"/>
        <v>0</v>
      </c>
      <c r="I18" s="18">
        <f t="shared" si="6"/>
        <v>0</v>
      </c>
      <c r="J18" s="18">
        <f t="shared" si="6"/>
        <v>0</v>
      </c>
      <c r="K18" s="18">
        <f t="shared" si="6"/>
        <v>5.8999999990192009E-2</v>
      </c>
      <c r="L18" s="18">
        <f t="shared" si="6"/>
        <v>-5.7786631849012338E-2</v>
      </c>
      <c r="M18" s="18">
        <f t="shared" si="6"/>
        <v>0</v>
      </c>
      <c r="N18" s="32">
        <f>0</f>
        <v>0</v>
      </c>
      <c r="O18" s="32">
        <f>0</f>
        <v>0</v>
      </c>
      <c r="P18" s="32">
        <f>0</f>
        <v>0</v>
      </c>
      <c r="Q18" s="32">
        <f>0</f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219</v>
      </c>
      <c r="B19" s="1" t="s">
        <v>44</v>
      </c>
      <c r="C19" s="18">
        <f>'Raw Financials'!C11</f>
        <v>758.92300299821306</v>
      </c>
      <c r="D19" s="18">
        <f>'Raw Financials'!D11</f>
        <v>978.05519619999984</v>
      </c>
      <c r="E19" s="18">
        <f>'Raw Financials'!E11</f>
        <v>1085.0380105000002</v>
      </c>
      <c r="F19" s="18">
        <f>'Raw Financials'!F11</f>
        <v>1129.2</v>
      </c>
      <c r="G19" s="18">
        <f>'Raw Financials'!G11</f>
        <v>1445.7690000000002</v>
      </c>
      <c r="H19" s="18">
        <f>'Raw Financials'!H11</f>
        <v>1457.71</v>
      </c>
      <c r="I19" s="18">
        <f>'Raw Financials'!I11</f>
        <v>1520.3920000000001</v>
      </c>
      <c r="J19" s="18">
        <f>'Raw Financials'!J11</f>
        <v>1956.7</v>
      </c>
      <c r="K19" s="18">
        <f>'Raw Financials'!K11</f>
        <v>1817.098</v>
      </c>
      <c r="L19" s="18">
        <f>'Raw Financials'!L11</f>
        <v>1852.8995862898155</v>
      </c>
      <c r="M19" s="18">
        <f>'Raw Financials'!M11</f>
        <v>1881.600000000393</v>
      </c>
      <c r="N19" s="32">
        <f>N7*Assumptions!C21</f>
        <v>1921.4539741514168</v>
      </c>
      <c r="O19" s="32">
        <f>O7*Assumptions!D21</f>
        <v>1934.7233644974967</v>
      </c>
      <c r="P19" s="32">
        <f>P7*Assumptions!E21</f>
        <v>1963.4774302966089</v>
      </c>
      <c r="Q19" s="32">
        <f>Q7*Assumptions!F21</f>
        <v>2002.5954096598455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24" t="s">
        <v>52</v>
      </c>
      <c r="B20" s="22" t="s">
        <v>44</v>
      </c>
      <c r="C20" s="23">
        <f>'Raw Financials'!C12</f>
        <v>3511.7672591590026</v>
      </c>
      <c r="D20" s="23">
        <f>'Raw Financials'!D12</f>
        <v>3206.3796350927296</v>
      </c>
      <c r="E20" s="23">
        <f>'Raw Financials'!E12</f>
        <v>3624.5722042950001</v>
      </c>
      <c r="F20" s="23">
        <f>'Raw Financials'!F12</f>
        <v>5207.7176340850001</v>
      </c>
      <c r="G20" s="23">
        <f>'Raw Financials'!G12</f>
        <v>4280.2699999999995</v>
      </c>
      <c r="H20" s="23">
        <f>'Raw Financials'!H12</f>
        <v>5389.3370000000004</v>
      </c>
      <c r="I20" s="23">
        <f>'Raw Financials'!I12</f>
        <v>6499.5910000000003</v>
      </c>
      <c r="J20" s="23">
        <f>'Raw Financials'!J12</f>
        <v>6072.0760000000009</v>
      </c>
      <c r="K20" s="23">
        <f>'Raw Financials'!K12</f>
        <v>3147.5110000000004</v>
      </c>
      <c r="L20" s="23">
        <f>'Raw Financials'!L12</f>
        <v>5138.2428334690994</v>
      </c>
      <c r="M20" s="23">
        <f>'Raw Financials'!M12</f>
        <v>7152.4995185881071</v>
      </c>
      <c r="N20" s="31">
        <f>N15-N19</f>
        <v>7802.2676526148425</v>
      </c>
      <c r="O20" s="31">
        <f>O15-O19</f>
        <v>8524.8748248171014</v>
      </c>
      <c r="P20" s="31">
        <f>P15-P19</f>
        <v>9437.3592617482118</v>
      </c>
      <c r="Q20" s="31">
        <f>Q15-Q19</f>
        <v>10413.4961302312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53</v>
      </c>
      <c r="B21" s="1" t="s">
        <v>46</v>
      </c>
      <c r="C21" s="19">
        <f t="shared" ref="C21:M21" si="7">IFERROR(C20/C7,"")</f>
        <v>0.13254836850036686</v>
      </c>
      <c r="D21" s="19">
        <f t="shared" si="7"/>
        <v>0.11003044095233414</v>
      </c>
      <c r="E21" s="19">
        <f t="shared" si="7"/>
        <v>0.11778462296349493</v>
      </c>
      <c r="F21" s="19">
        <f t="shared" si="7"/>
        <v>0.14989631865358843</v>
      </c>
      <c r="G21" s="19">
        <f t="shared" si="7"/>
        <v>0.11609816826277564</v>
      </c>
      <c r="H21" s="19">
        <f t="shared" si="7"/>
        <v>0.14236759921343189</v>
      </c>
      <c r="I21" s="19">
        <f t="shared" si="7"/>
        <v>0.14558070691451525</v>
      </c>
      <c r="J21" s="19">
        <f t="shared" si="7"/>
        <v>0.11394364742748883</v>
      </c>
      <c r="K21" s="19">
        <f t="shared" si="7"/>
        <v>6.0534248504116935E-2</v>
      </c>
      <c r="L21" s="19">
        <f t="shared" si="7"/>
        <v>9.6969383882716531E-2</v>
      </c>
      <c r="M21" s="19">
        <f t="shared" si="7"/>
        <v>0.12589015599545544</v>
      </c>
      <c r="N21" s="28">
        <f>N20/N7</f>
        <v>0.13399999999999998</v>
      </c>
      <c r="O21" s="28">
        <f>O20/O7</f>
        <v>0.1410000000000001</v>
      </c>
      <c r="P21" s="28">
        <f>P20/P7</f>
        <v>0.14899999999999991</v>
      </c>
      <c r="Q21" s="28">
        <f>Q20/Q7</f>
        <v>0.15600000000000006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220</v>
      </c>
      <c r="B22" s="1" t="s">
        <v>44</v>
      </c>
      <c r="C22" s="18">
        <f>'Raw Financials'!C13</f>
        <v>0</v>
      </c>
      <c r="D22" s="18">
        <f>'Raw Financials'!D13</f>
        <v>0</v>
      </c>
      <c r="E22" s="18">
        <f>'Raw Financials'!E13</f>
        <v>0</v>
      </c>
      <c r="F22" s="18">
        <f>'Raw Financials'!F13</f>
        <v>0</v>
      </c>
      <c r="G22" s="18">
        <f>'Raw Financials'!G13</f>
        <v>217.5</v>
      </c>
      <c r="H22" s="18">
        <f>'Raw Financials'!H13</f>
        <v>50.7</v>
      </c>
      <c r="I22" s="18">
        <f>'Raw Financials'!I13</f>
        <v>0</v>
      </c>
      <c r="J22" s="18">
        <f>'Raw Financials'!J13</f>
        <v>237</v>
      </c>
      <c r="K22" s="18">
        <f>'Raw Financials'!K13</f>
        <v>458.22</v>
      </c>
      <c r="L22" s="18">
        <f>'Raw Financials'!L13</f>
        <v>27.300702455000021</v>
      </c>
      <c r="M22" s="18">
        <f>'Raw Financials'!M13</f>
        <v>5.3290705182007522E-16</v>
      </c>
      <c r="N22" s="32">
        <f>Assumptions!C22</f>
        <v>0</v>
      </c>
      <c r="O22" s="32">
        <f>Assumptions!D22</f>
        <v>0</v>
      </c>
      <c r="P22" s="32">
        <f>Assumptions!E22</f>
        <v>0</v>
      </c>
      <c r="Q22" s="32">
        <f>Assumptions!F22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222</v>
      </c>
      <c r="B23" s="1" t="s">
        <v>44</v>
      </c>
      <c r="C23" s="18">
        <f>'Raw Financials'!C15</f>
        <v>98.59186015285195</v>
      </c>
      <c r="D23" s="18">
        <f>'Raw Financials'!D15</f>
        <v>387.58728235612205</v>
      </c>
      <c r="E23" s="18">
        <f>'Raw Financials'!E15</f>
        <v>774.95874157200001</v>
      </c>
      <c r="F23" s="18">
        <f>'Raw Financials'!F15</f>
        <v>12.109997512046105</v>
      </c>
      <c r="G23" s="18">
        <f>'Raw Financials'!G15</f>
        <v>302.2</v>
      </c>
      <c r="H23" s="18">
        <f>'Raw Financials'!H15</f>
        <v>97.5</v>
      </c>
      <c r="I23" s="18">
        <f>'Raw Financials'!I15</f>
        <v>564.21400000000006</v>
      </c>
      <c r="J23" s="18">
        <f>'Raw Financials'!J15</f>
        <v>299</v>
      </c>
      <c r="K23" s="18">
        <f>'Raw Financials'!K15</f>
        <v>-42.099000000000004</v>
      </c>
      <c r="L23" s="18">
        <f>'Raw Financials'!L15</f>
        <v>-237.60037659300002</v>
      </c>
      <c r="M23" s="18">
        <f>'Raw Financials'!M15</f>
        <v>-479.90000007592602</v>
      </c>
      <c r="N23" s="32">
        <f>0</f>
        <v>0</v>
      </c>
      <c r="O23" s="32">
        <f>0</f>
        <v>0</v>
      </c>
      <c r="P23" s="32">
        <f>0</f>
        <v>0</v>
      </c>
      <c r="Q23" s="32">
        <f>0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223</v>
      </c>
      <c r="B24" s="1" t="s">
        <v>44</v>
      </c>
      <c r="C24" s="18">
        <f>'Raw Financials'!C16</f>
        <v>340.78609914936305</v>
      </c>
      <c r="D24" s="18">
        <f>'Raw Financials'!D16</f>
        <v>389.97161439080401</v>
      </c>
      <c r="E24" s="18">
        <f>'Raw Financials'!E16</f>
        <v>641.48929964800016</v>
      </c>
      <c r="F24" s="18">
        <f>'Raw Financials'!F16</f>
        <v>522.09286441842039</v>
      </c>
      <c r="G24" s="18">
        <f>'Raw Financials'!G16</f>
        <v>890.19</v>
      </c>
      <c r="H24" s="18">
        <f>'Raw Financials'!H16</f>
        <v>689.61599999999999</v>
      </c>
      <c r="I24" s="18">
        <f>'Raw Financials'!I16</f>
        <v>548.10200000000009</v>
      </c>
      <c r="J24" s="18">
        <f>'Raw Financials'!J16</f>
        <v>666</v>
      </c>
      <c r="K24" s="18">
        <f>'Raw Financials'!K16</f>
        <v>958.99800000000005</v>
      </c>
      <c r="L24" s="18">
        <f>'Raw Financials'!L16</f>
        <v>1093.0000000300001</v>
      </c>
      <c r="M24" s="18">
        <f>'Raw Financials'!M16</f>
        <v>511.79999999985705</v>
      </c>
      <c r="N24" s="32">
        <f>'Annual Balance Sheet'!M62*Assumptions!C23</f>
        <v>211.90249999999997</v>
      </c>
      <c r="O24" s="32">
        <f>'Annual Balance Sheet'!N62*Assumptions!D23</f>
        <v>250.40579034030225</v>
      </c>
      <c r="P24" s="32">
        <f>'Annual Balance Sheet'!O62*Assumptions!E23</f>
        <v>295.30029140255027</v>
      </c>
      <c r="Q24" s="32">
        <f>'Annual Balance Sheet'!P62*Assumptions!F23</f>
        <v>340.93446937115294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224</v>
      </c>
      <c r="B25" s="1" t="s">
        <v>44</v>
      </c>
      <c r="C25" s="18">
        <f>'Raw Financials'!C17</f>
        <v>97.03755798485281</v>
      </c>
      <c r="D25" s="18">
        <f>'Raw Financials'!D17</f>
        <v>128.59242845579999</v>
      </c>
      <c r="E25" s="18">
        <f>'Raw Financials'!E17</f>
        <v>162.353644995</v>
      </c>
      <c r="F25" s="18">
        <f>'Raw Financials'!F17</f>
        <v>133.161000024</v>
      </c>
      <c r="G25" s="18">
        <f>'Raw Financials'!G17</f>
        <v>191.87800000000001</v>
      </c>
      <c r="H25" s="18">
        <f>'Raw Financials'!H17</f>
        <v>174</v>
      </c>
      <c r="I25" s="18">
        <f>'Raw Financials'!I17</f>
        <v>162.60000000000002</v>
      </c>
      <c r="J25" s="18">
        <f>'Raw Financials'!J17</f>
        <v>325.60000000000002</v>
      </c>
      <c r="K25" s="18">
        <f>'Raw Financials'!K17</f>
        <v>392.19900000000001</v>
      </c>
      <c r="L25" s="18">
        <f>'Raw Financials'!L17</f>
        <v>321.70000003180007</v>
      </c>
      <c r="M25" s="18">
        <f>'Raw Financials'!M17</f>
        <v>337.39999999968904</v>
      </c>
      <c r="N25" s="32">
        <f>AVERAGE('Annual Balance Sheet'!M60,'Annual Balance Sheet'!N60)*Assumptions!C24</f>
        <v>4.1760000000000002</v>
      </c>
      <c r="O25" s="32">
        <f>AVERAGE('Annual Balance Sheet'!N60,'Annual Balance Sheet'!O60)*Assumptions!D24</f>
        <v>4.1760000000000002</v>
      </c>
      <c r="P25" s="32">
        <f>AVERAGE('Annual Balance Sheet'!O60,'Annual Balance Sheet'!P60)*Assumptions!E24</f>
        <v>4.1760000000000002</v>
      </c>
      <c r="Q25" s="32">
        <f>AVERAGE('Annual Balance Sheet'!P60,'Annual Balance Sheet'!Q60)*Assumptions!F24</f>
        <v>4.1760000000000002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225</v>
      </c>
      <c r="B26" s="1" t="s">
        <v>44</v>
      </c>
      <c r="C26" s="18">
        <f>'Raw Financials'!C18</f>
        <v>2.62933484089183</v>
      </c>
      <c r="D26" s="18">
        <f>'Raw Financials'!D18</f>
        <v>-2.3315043999999996</v>
      </c>
      <c r="E26" s="18">
        <f>'Raw Financials'!E18</f>
        <v>6.9992100000000002E-2</v>
      </c>
      <c r="F26" s="18">
        <f>'Raw Financials'!F18</f>
        <v>-65.549000000000007</v>
      </c>
      <c r="G26" s="18">
        <f>'Raw Financials'!G18</f>
        <v>-5.5400000000000009</v>
      </c>
      <c r="H26" s="18">
        <f>'Raw Financials'!H18</f>
        <v>1.2000000000000002</v>
      </c>
      <c r="I26" s="18">
        <f>'Raw Financials'!I18</f>
        <v>2.8000000000000003</v>
      </c>
      <c r="J26" s="18">
        <f>'Raw Financials'!J18</f>
        <v>-29</v>
      </c>
      <c r="K26" s="18">
        <f>'Raw Financials'!K18</f>
        <v>10.5</v>
      </c>
      <c r="L26" s="18">
        <f>'Raw Financials'!L18</f>
        <v>8.6</v>
      </c>
      <c r="M26" s="18">
        <f>'Raw Financials'!M18</f>
        <v>-1.5</v>
      </c>
      <c r="N26" s="32">
        <f>0</f>
        <v>0</v>
      </c>
      <c r="O26" s="32">
        <f>0</f>
        <v>0</v>
      </c>
      <c r="P26" s="32">
        <f>0</f>
        <v>0</v>
      </c>
      <c r="Q26" s="32">
        <f>0</f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24" t="s">
        <v>226</v>
      </c>
      <c r="B27" s="22" t="s">
        <v>44</v>
      </c>
      <c r="C27" s="23">
        <f t="shared" ref="C27:Q27" si="8">SUM(C20,-C22,C23:C24,-C25,C26)</f>
        <v>3856.7369953172565</v>
      </c>
      <c r="D27" s="23">
        <f t="shared" si="8"/>
        <v>3853.0145989838556</v>
      </c>
      <c r="E27" s="23">
        <f t="shared" si="8"/>
        <v>4878.73659262</v>
      </c>
      <c r="F27" s="23">
        <f t="shared" si="8"/>
        <v>5543.2104959914668</v>
      </c>
      <c r="G27" s="23">
        <f t="shared" si="8"/>
        <v>5057.7420000000002</v>
      </c>
      <c r="H27" s="23">
        <f t="shared" si="8"/>
        <v>5952.9530000000004</v>
      </c>
      <c r="I27" s="23">
        <f t="shared" si="8"/>
        <v>7452.107</v>
      </c>
      <c r="J27" s="23">
        <f t="shared" si="8"/>
        <v>6445.4760000000006</v>
      </c>
      <c r="K27" s="23">
        <f t="shared" si="8"/>
        <v>3224.491</v>
      </c>
      <c r="L27" s="23">
        <f t="shared" si="8"/>
        <v>5653.2417544192995</v>
      </c>
      <c r="M27" s="23">
        <f t="shared" si="8"/>
        <v>6845.4995185123498</v>
      </c>
      <c r="N27" s="31">
        <f t="shared" si="8"/>
        <v>8009.9941526148423</v>
      </c>
      <c r="O27" s="31">
        <f t="shared" si="8"/>
        <v>8771.1046151574046</v>
      </c>
      <c r="P27" s="31">
        <f t="shared" si="8"/>
        <v>9728.4835531507633</v>
      </c>
      <c r="Q27" s="31">
        <f t="shared" si="8"/>
        <v>10750.254599602355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227</v>
      </c>
      <c r="B28" s="1" t="s">
        <v>44</v>
      </c>
      <c r="C28" s="18">
        <f>'Raw Financials'!C20</f>
        <v>0</v>
      </c>
      <c r="D28" s="18">
        <f>'Raw Financials'!D20</f>
        <v>0</v>
      </c>
      <c r="E28" s="18">
        <f>'Raw Financials'!E20</f>
        <v>0</v>
      </c>
      <c r="F28" s="18">
        <f>'Raw Financials'!F20</f>
        <v>0</v>
      </c>
      <c r="G28" s="18">
        <f>'Raw Financials'!G20</f>
        <v>0</v>
      </c>
      <c r="H28" s="18">
        <f>'Raw Financials'!H20</f>
        <v>0</v>
      </c>
      <c r="I28" s="18">
        <f>'Raw Financials'!I20</f>
        <v>0</v>
      </c>
      <c r="J28" s="18">
        <f>'Raw Financials'!J20</f>
        <v>0</v>
      </c>
      <c r="K28" s="18">
        <f>'Raw Financials'!K20</f>
        <v>0</v>
      </c>
      <c r="L28" s="18">
        <f>'Raw Financials'!L20</f>
        <v>0</v>
      </c>
      <c r="M28" s="18">
        <f>'Raw Financials'!M20</f>
        <v>272.40000000000003</v>
      </c>
      <c r="N28" s="32">
        <f>0</f>
        <v>0</v>
      </c>
      <c r="O28" s="32">
        <f>0</f>
        <v>0</v>
      </c>
      <c r="P28" s="32">
        <f>0</f>
        <v>0</v>
      </c>
      <c r="Q28" s="32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24" t="s">
        <v>228</v>
      </c>
      <c r="B29" s="22" t="s">
        <v>44</v>
      </c>
      <c r="C29" s="23">
        <f t="shared" ref="C29:M29" si="9">C27-C28</f>
        <v>3856.7369953172565</v>
      </c>
      <c r="D29" s="23">
        <f t="shared" si="9"/>
        <v>3853.0145989838556</v>
      </c>
      <c r="E29" s="23">
        <f t="shared" si="9"/>
        <v>4878.73659262</v>
      </c>
      <c r="F29" s="23">
        <f t="shared" si="9"/>
        <v>5543.2104959914668</v>
      </c>
      <c r="G29" s="23">
        <f t="shared" si="9"/>
        <v>5057.7420000000002</v>
      </c>
      <c r="H29" s="23">
        <f t="shared" si="9"/>
        <v>5952.9530000000004</v>
      </c>
      <c r="I29" s="23">
        <f t="shared" si="9"/>
        <v>7452.107</v>
      </c>
      <c r="J29" s="23">
        <f t="shared" si="9"/>
        <v>6445.4760000000006</v>
      </c>
      <c r="K29" s="23">
        <f t="shared" si="9"/>
        <v>3224.491</v>
      </c>
      <c r="L29" s="23">
        <f t="shared" si="9"/>
        <v>5653.2417544192995</v>
      </c>
      <c r="M29" s="23">
        <f t="shared" si="9"/>
        <v>6573.0995185123502</v>
      </c>
      <c r="N29" s="31">
        <f>N27+N28</f>
        <v>8009.9941526148423</v>
      </c>
      <c r="O29" s="31">
        <f>O27+O28</f>
        <v>8771.1046151574046</v>
      </c>
      <c r="P29" s="31">
        <f>P27+P28</f>
        <v>9728.4835531507633</v>
      </c>
      <c r="Q29" s="31">
        <f>Q27+Q28</f>
        <v>10750.254599602355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485</v>
      </c>
      <c r="B30" s="1" t="s">
        <v>46</v>
      </c>
      <c r="C30" s="19">
        <f t="shared" ref="C30:M30" si="10">IFERROR(C29/C7,"")</f>
        <v>0.14556892833118232</v>
      </c>
      <c r="D30" s="19">
        <f t="shared" si="10"/>
        <v>0.13222043038260309</v>
      </c>
      <c r="E30" s="19">
        <f t="shared" si="10"/>
        <v>0.15854013045153928</v>
      </c>
      <c r="F30" s="19">
        <f t="shared" si="10"/>
        <v>0.15955297603554572</v>
      </c>
      <c r="G30" s="19">
        <f t="shared" si="10"/>
        <v>0.13718634145642855</v>
      </c>
      <c r="H30" s="19">
        <f t="shared" si="10"/>
        <v>0.15725637992955294</v>
      </c>
      <c r="I30" s="19">
        <f t="shared" si="10"/>
        <v>0.16691558054385383</v>
      </c>
      <c r="J30" s="19">
        <f t="shared" si="10"/>
        <v>0.12095056861052808</v>
      </c>
      <c r="K30" s="19">
        <f t="shared" si="10"/>
        <v>6.2014760073368605E-2</v>
      </c>
      <c r="L30" s="19">
        <f t="shared" si="10"/>
        <v>0.10668849013816926</v>
      </c>
      <c r="M30" s="19">
        <f t="shared" si="10"/>
        <v>0.11569221663121732</v>
      </c>
      <c r="N30" s="28">
        <f>N29/N7</f>
        <v>0.13756759755488152</v>
      </c>
      <c r="O30" s="28">
        <f>O29/O7</f>
        <v>0.14507259944004264</v>
      </c>
      <c r="P30" s="28">
        <f>P29/P7</f>
        <v>0.15359636199236351</v>
      </c>
      <c r="Q30" s="28">
        <f>Q29/Q7</f>
        <v>0.16104483033986919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229</v>
      </c>
      <c r="B31" s="1" t="s">
        <v>44</v>
      </c>
      <c r="C31" s="18">
        <f>'Raw Financials'!C22</f>
        <v>830.11880791841713</v>
      </c>
      <c r="D31" s="18">
        <f>'Raw Financials'!D22</f>
        <v>1002.1243317000001</v>
      </c>
      <c r="E31" s="18">
        <f>'Raw Financials'!E22</f>
        <v>1092.5614852620001</v>
      </c>
      <c r="F31" s="18">
        <f>'Raw Financials'!F22</f>
        <v>1254.3940000319999</v>
      </c>
      <c r="G31" s="18">
        <f>'Raw Financials'!G22</f>
        <v>1160.4000000000001</v>
      </c>
      <c r="H31" s="18">
        <f>'Raw Financials'!H22</f>
        <v>1599.894</v>
      </c>
      <c r="I31" s="18">
        <f>'Raw Financials'!I22</f>
        <v>1821.9939999999999</v>
      </c>
      <c r="J31" s="18">
        <f>'Raw Financials'!J22</f>
        <v>1588.5</v>
      </c>
      <c r="K31" s="18">
        <f>'Raw Financials'!K22</f>
        <v>827.596</v>
      </c>
      <c r="L31" s="18">
        <f>'Raw Financials'!L22</f>
        <v>1400.2</v>
      </c>
      <c r="M31" s="18">
        <f>'Raw Financials'!M22</f>
        <v>1767.5995353721269</v>
      </c>
      <c r="N31" s="32">
        <f>N29*Assumptions!C25</f>
        <v>2066.5784913746293</v>
      </c>
      <c r="O31" s="32">
        <f>O29*Assumptions!D25</f>
        <v>2236.6316768651382</v>
      </c>
      <c r="P31" s="32">
        <f>P29*Assumptions!E25</f>
        <v>2480.7633060534445</v>
      </c>
      <c r="Q31" s="32">
        <f>Q29*Assumptions!F25</f>
        <v>2741.3149228986003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157</v>
      </c>
      <c r="B32" s="1" t="s">
        <v>46</v>
      </c>
      <c r="C32" s="19">
        <f t="shared" ref="C32:M32" si="11">IFERROR(C31/C29,"")</f>
        <v>0.21523863538694094</v>
      </c>
      <c r="D32" s="19">
        <f t="shared" si="11"/>
        <v>0.26008838169579929</v>
      </c>
      <c r="E32" s="19">
        <f t="shared" si="11"/>
        <v>0.22394352810822035</v>
      </c>
      <c r="F32" s="19">
        <f t="shared" si="11"/>
        <v>0.2262937698178891</v>
      </c>
      <c r="G32" s="19">
        <f t="shared" si="11"/>
        <v>0.22943044544383642</v>
      </c>
      <c r="H32" s="19">
        <f t="shared" si="11"/>
        <v>0.26875636343844811</v>
      </c>
      <c r="I32" s="19">
        <f t="shared" si="11"/>
        <v>0.24449380557740247</v>
      </c>
      <c r="J32" s="19">
        <f t="shared" si="11"/>
        <v>0.24645193000485921</v>
      </c>
      <c r="K32" s="19">
        <f t="shared" si="11"/>
        <v>0.2566594231461648</v>
      </c>
      <c r="L32" s="19">
        <f t="shared" si="11"/>
        <v>0.24768089900019294</v>
      </c>
      <c r="M32" s="19">
        <f t="shared" si="11"/>
        <v>0.26891415996272289</v>
      </c>
      <c r="N32" s="28">
        <f>N31/N29</f>
        <v>0.25800000000000001</v>
      </c>
      <c r="O32" s="28">
        <f>O31/O29</f>
        <v>0.255</v>
      </c>
      <c r="P32" s="28">
        <f>P31/P29</f>
        <v>0.255</v>
      </c>
      <c r="Q32" s="28">
        <f>Q31/Q29</f>
        <v>0.255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24" t="s">
        <v>230</v>
      </c>
      <c r="B33" s="22" t="s">
        <v>44</v>
      </c>
      <c r="C33" s="23">
        <f t="shared" ref="C33:Q33" si="12">C29-C31</f>
        <v>3026.6181873988394</v>
      </c>
      <c r="D33" s="23">
        <f t="shared" si="12"/>
        <v>2850.8902672838558</v>
      </c>
      <c r="E33" s="23">
        <f t="shared" si="12"/>
        <v>3786.1751073579999</v>
      </c>
      <c r="F33" s="23">
        <f t="shared" si="12"/>
        <v>4288.8164959594669</v>
      </c>
      <c r="G33" s="23">
        <f t="shared" si="12"/>
        <v>3897.3420000000001</v>
      </c>
      <c r="H33" s="23">
        <f t="shared" si="12"/>
        <v>4353.0590000000002</v>
      </c>
      <c r="I33" s="23">
        <f t="shared" si="12"/>
        <v>5630.1130000000003</v>
      </c>
      <c r="J33" s="23">
        <f t="shared" si="12"/>
        <v>4856.9760000000006</v>
      </c>
      <c r="K33" s="23">
        <f t="shared" si="12"/>
        <v>2396.895</v>
      </c>
      <c r="L33" s="23">
        <f t="shared" si="12"/>
        <v>4253.0417544192997</v>
      </c>
      <c r="M33" s="23">
        <f t="shared" si="12"/>
        <v>4805.4999831402238</v>
      </c>
      <c r="N33" s="31">
        <f t="shared" si="12"/>
        <v>5943.415661240213</v>
      </c>
      <c r="O33" s="31">
        <f t="shared" si="12"/>
        <v>6534.4729382922669</v>
      </c>
      <c r="P33" s="31">
        <f t="shared" si="12"/>
        <v>7247.7202470973189</v>
      </c>
      <c r="Q33" s="31">
        <f t="shared" si="12"/>
        <v>8008.9396767037542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231</v>
      </c>
      <c r="B34" s="1" t="s">
        <v>44</v>
      </c>
      <c r="C34" s="18">
        <f>'Raw Financials'!C24</f>
        <v>-33.732182083687</v>
      </c>
      <c r="D34" s="18">
        <f>'Raw Financials'!D24</f>
        <v>-37.957189062952374</v>
      </c>
      <c r="E34" s="18">
        <f>'Raw Financials'!E24</f>
        <v>13.579915322000005</v>
      </c>
      <c r="F34" s="18">
        <f>'Raw Financials'!F24</f>
        <v>8.7999999999999972</v>
      </c>
      <c r="G34" s="18">
        <f>'Raw Financials'!G24</f>
        <v>135.6</v>
      </c>
      <c r="H34" s="18">
        <f>'Raw Financials'!H24</f>
        <v>75</v>
      </c>
      <c r="I34" s="18">
        <f>'Raw Financials'!I24</f>
        <v>-64</v>
      </c>
      <c r="J34" s="18">
        <f>'Raw Financials'!J24</f>
        <v>25.700000000000003</v>
      </c>
      <c r="K34" s="18">
        <f>'Raw Financials'!K24</f>
        <v>38.999000000000002</v>
      </c>
      <c r="L34" s="18">
        <f>'Raw Financials'!L24</f>
        <v>1.5000000000000058</v>
      </c>
      <c r="M34" s="18">
        <f>'Raw Financials'!M24</f>
        <v>-5.3996264762764357</v>
      </c>
      <c r="N34" s="32">
        <f>N33*Assumptions!C26</f>
        <v>0</v>
      </c>
      <c r="O34" s="32">
        <f>O33*Assumptions!D26</f>
        <v>0</v>
      </c>
      <c r="P34" s="32">
        <f>P33*Assumptions!E26</f>
        <v>0</v>
      </c>
      <c r="Q34" s="32">
        <f>Q33*Assumptions!F26</f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24" t="s">
        <v>232</v>
      </c>
      <c r="B35" s="22" t="s">
        <v>44</v>
      </c>
      <c r="C35" s="23">
        <f t="shared" ref="C35:I35" si="13">C33+C34</f>
        <v>2992.8860053151525</v>
      </c>
      <c r="D35" s="23">
        <f t="shared" si="13"/>
        <v>2812.9330782209036</v>
      </c>
      <c r="E35" s="23">
        <f t="shared" si="13"/>
        <v>3799.7550226799999</v>
      </c>
      <c r="F35" s="23">
        <f t="shared" si="13"/>
        <v>4297.6164959594671</v>
      </c>
      <c r="G35" s="23">
        <f t="shared" si="13"/>
        <v>4032.942</v>
      </c>
      <c r="H35" s="23">
        <f t="shared" si="13"/>
        <v>4428.0590000000002</v>
      </c>
      <c r="I35" s="23">
        <f t="shared" si="13"/>
        <v>5566.1130000000003</v>
      </c>
      <c r="J35" s="23">
        <f t="shared" ref="J35:Q35" si="14">J33-J34</f>
        <v>4831.2760000000007</v>
      </c>
      <c r="K35" s="23">
        <f t="shared" si="14"/>
        <v>2357.8960000000002</v>
      </c>
      <c r="L35" s="23">
        <f t="shared" si="14"/>
        <v>4251.5417544192997</v>
      </c>
      <c r="M35" s="23">
        <f t="shared" si="14"/>
        <v>4810.8996096165001</v>
      </c>
      <c r="N35" s="31">
        <f t="shared" si="14"/>
        <v>5943.415661240213</v>
      </c>
      <c r="O35" s="31">
        <f t="shared" si="14"/>
        <v>6534.4729382922669</v>
      </c>
      <c r="P35" s="31">
        <f t="shared" si="14"/>
        <v>7247.7202470973189</v>
      </c>
      <c r="Q35" s="31">
        <f t="shared" si="14"/>
        <v>8008.9396767037542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55</v>
      </c>
      <c r="B36" s="1" t="s">
        <v>46</v>
      </c>
      <c r="C36" s="19">
        <f t="shared" ref="C36:M36" si="15">IFERROR(C35/C7,"")</f>
        <v>0.11296368119996253</v>
      </c>
      <c r="D36" s="19">
        <f t="shared" si="15"/>
        <v>9.6528889960062869E-2</v>
      </c>
      <c r="E36" s="19">
        <f t="shared" si="15"/>
        <v>0.1234773891853153</v>
      </c>
      <c r="F36" s="19">
        <f t="shared" si="15"/>
        <v>0.12370042636584774</v>
      </c>
      <c r="G36" s="19">
        <f t="shared" si="15"/>
        <v>0.10938963638041875</v>
      </c>
      <c r="H36" s="19">
        <f t="shared" si="15"/>
        <v>0.11697396711421647</v>
      </c>
      <c r="I36" s="19">
        <f t="shared" si="15"/>
        <v>0.12467225480896771</v>
      </c>
      <c r="J36" s="19">
        <f t="shared" si="15"/>
        <v>9.0659802210790591E-2</v>
      </c>
      <c r="K36" s="19">
        <f t="shared" si="15"/>
        <v>4.534804244079315E-2</v>
      </c>
      <c r="L36" s="19">
        <f t="shared" si="15"/>
        <v>8.0235480851989699E-2</v>
      </c>
      <c r="M36" s="19">
        <f t="shared" si="15"/>
        <v>8.4675979461324075E-2</v>
      </c>
      <c r="N36" s="28">
        <f>N35/N7</f>
        <v>0.10207515738572208</v>
      </c>
      <c r="O36" s="28">
        <f>O35/O7</f>
        <v>0.10807908658283177</v>
      </c>
      <c r="P36" s="28">
        <f>P35/P7</f>
        <v>0.11442928968431083</v>
      </c>
      <c r="Q36" s="28">
        <f>Q35/Q7</f>
        <v>0.11997839860320254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486</v>
      </c>
      <c r="B37" s="1" t="s">
        <v>487</v>
      </c>
      <c r="C37" s="21">
        <f t="shared" ref="C37:M37" si="16">IFERROR(C35/C41,"")</f>
        <v>86.728960020040375</v>
      </c>
      <c r="D37" s="21">
        <f t="shared" si="16"/>
        <v>87.533028425675312</v>
      </c>
      <c r="E37" s="21">
        <f t="shared" si="16"/>
        <v>88.324592212230726</v>
      </c>
      <c r="F37" s="21">
        <f t="shared" si="16"/>
        <v>88.656475530500074</v>
      </c>
      <c r="G37" s="21">
        <f t="shared" si="16"/>
        <v>87.274226357931184</v>
      </c>
      <c r="H37" s="21">
        <f t="shared" si="16"/>
        <v>87.441923380726706</v>
      </c>
      <c r="I37" s="21">
        <f t="shared" si="16"/>
        <v>87.904500947567911</v>
      </c>
      <c r="J37" s="21">
        <f t="shared" si="16"/>
        <v>88.17806169008945</v>
      </c>
      <c r="K37" s="21">
        <f t="shared" si="16"/>
        <v>88.443210802700676</v>
      </c>
      <c r="L37" s="21">
        <f t="shared" si="16"/>
        <v>88.564937825995784</v>
      </c>
      <c r="M37" s="21">
        <f t="shared" si="16"/>
        <v>88.632364447045944</v>
      </c>
      <c r="N37" s="30">
        <f>M37</f>
        <v>88.632364447045944</v>
      </c>
      <c r="O37" s="30">
        <f>N37</f>
        <v>88.632364447045944</v>
      </c>
      <c r="P37" s="30">
        <f>O37</f>
        <v>88.632364447045944</v>
      </c>
      <c r="Q37" s="30">
        <f>P37</f>
        <v>88.632364447045944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488</v>
      </c>
      <c r="B38" s="1" t="s">
        <v>487</v>
      </c>
      <c r="C38" s="21">
        <f t="shared" ref="C38:M38" si="17">IFERROR(C35/C42,"")</f>
        <v>88.772400692946917</v>
      </c>
      <c r="D38" s="21">
        <f t="shared" si="17"/>
        <v>88.890953959715645</v>
      </c>
      <c r="E38" s="21">
        <f t="shared" si="17"/>
        <v>89.061094503672166</v>
      </c>
      <c r="F38" s="21">
        <f t="shared" si="17"/>
        <v>90.058074015135162</v>
      </c>
      <c r="G38" s="21">
        <f t="shared" si="17"/>
        <v>87.959476553980366</v>
      </c>
      <c r="H38" s="21">
        <f t="shared" si="17"/>
        <v>88.225921498306448</v>
      </c>
      <c r="I38" s="21">
        <f t="shared" si="17"/>
        <v>88.618261423340229</v>
      </c>
      <c r="J38" s="21">
        <f t="shared" si="17"/>
        <v>88.549780058651038</v>
      </c>
      <c r="K38" s="21">
        <f t="shared" si="17"/>
        <v>88.742792623259319</v>
      </c>
      <c r="L38" s="21">
        <f t="shared" si="17"/>
        <v>88.747346817495739</v>
      </c>
      <c r="M38" s="21">
        <f t="shared" si="17"/>
        <v>88.779840818771319</v>
      </c>
      <c r="N38" s="30">
        <f>M38*(1+Assumptions!C43)</f>
        <v>88.779840818771319</v>
      </c>
      <c r="O38" s="30">
        <f>N38*(1+Assumptions!D43)</f>
        <v>88.779840818771319</v>
      </c>
      <c r="P38" s="30">
        <f>O38*(1+Assumptions!E43)</f>
        <v>88.779840818771319</v>
      </c>
      <c r="Q38" s="30">
        <f>P38*(1+Assumptions!F43)</f>
        <v>88.779840818771319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489</v>
      </c>
      <c r="B39" s="1" t="s">
        <v>57</v>
      </c>
      <c r="C39" s="35">
        <f t="shared" ref="C39:M39" si="18">IFERROR(C35/C37,"")</f>
        <v>34.508496407930977</v>
      </c>
      <c r="D39" s="35">
        <f t="shared" si="18"/>
        <v>32.135676427662702</v>
      </c>
      <c r="E39" s="35">
        <f t="shared" si="18"/>
        <v>43.020351722086183</v>
      </c>
      <c r="F39" s="35">
        <f t="shared" si="18"/>
        <v>48.474930570423794</v>
      </c>
      <c r="G39" s="35">
        <f t="shared" si="18"/>
        <v>46.21</v>
      </c>
      <c r="H39" s="35">
        <f t="shared" si="18"/>
        <v>50.64</v>
      </c>
      <c r="I39" s="35">
        <f t="shared" si="18"/>
        <v>63.32</v>
      </c>
      <c r="J39" s="35">
        <f t="shared" si="18"/>
        <v>54.79</v>
      </c>
      <c r="K39" s="35">
        <f t="shared" si="18"/>
        <v>26.66</v>
      </c>
      <c r="L39" s="35">
        <f t="shared" si="18"/>
        <v>48.004795789190709</v>
      </c>
      <c r="M39" s="35">
        <f t="shared" si="18"/>
        <v>54.279265137858388</v>
      </c>
      <c r="N39" s="37">
        <f>N35/N37</f>
        <v>67.056945826951846</v>
      </c>
      <c r="O39" s="37">
        <f>O35/O37</f>
        <v>73.725585220016725</v>
      </c>
      <c r="P39" s="37">
        <f>P35/P37</f>
        <v>81.772841019349343</v>
      </c>
      <c r="Q39" s="37">
        <f>Q35/Q37</f>
        <v>90.361345166288032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56</v>
      </c>
      <c r="B40" s="1" t="s">
        <v>57</v>
      </c>
      <c r="C40" s="35">
        <f t="shared" ref="C40:M40" si="19">IFERROR(C35/C38,"")</f>
        <v>33.714149690140587</v>
      </c>
      <c r="D40" s="35">
        <f t="shared" si="19"/>
        <v>31.644761957394365</v>
      </c>
      <c r="E40" s="35">
        <f t="shared" si="19"/>
        <v>42.664589334496988</v>
      </c>
      <c r="F40" s="35">
        <f t="shared" si="19"/>
        <v>47.72050194230458</v>
      </c>
      <c r="G40" s="35">
        <f t="shared" si="19"/>
        <v>45.85</v>
      </c>
      <c r="H40" s="35">
        <f t="shared" si="19"/>
        <v>50.19</v>
      </c>
      <c r="I40" s="35">
        <f t="shared" si="19"/>
        <v>62.81</v>
      </c>
      <c r="J40" s="35">
        <f t="shared" si="19"/>
        <v>54.56</v>
      </c>
      <c r="K40" s="35">
        <f t="shared" si="19"/>
        <v>26.57</v>
      </c>
      <c r="L40" s="35">
        <f t="shared" si="19"/>
        <v>47.906127978815775</v>
      </c>
      <c r="M40" s="35">
        <f t="shared" si="19"/>
        <v>54.189099296056625</v>
      </c>
      <c r="N40" s="37">
        <f>N35/N38</f>
        <v>66.94555437841646</v>
      </c>
      <c r="O40" s="37">
        <f>O35/O38</f>
        <v>73.603116180747193</v>
      </c>
      <c r="P40" s="37">
        <f>P35/P38</f>
        <v>81.637004304752978</v>
      </c>
      <c r="Q40" s="37">
        <f>Q35/Q38</f>
        <v>90.211241683262514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490</v>
      </c>
      <c r="B41" s="1" t="s">
        <v>57</v>
      </c>
      <c r="C41" s="35">
        <f>'Raw Financials'!C26</f>
        <v>34.508496407930977</v>
      </c>
      <c r="D41" s="35">
        <f>'Raw Financials'!D26</f>
        <v>32.135676427662702</v>
      </c>
      <c r="E41" s="35">
        <f>'Raw Financials'!E26</f>
        <v>43.020351722086183</v>
      </c>
      <c r="F41" s="35">
        <f>'Raw Financials'!F26</f>
        <v>48.474930570423794</v>
      </c>
      <c r="G41" s="35">
        <f>'Raw Financials'!G26</f>
        <v>46.21</v>
      </c>
      <c r="H41" s="35">
        <f>'Raw Financials'!H26</f>
        <v>50.64</v>
      </c>
      <c r="I41" s="35">
        <f>'Raw Financials'!I26</f>
        <v>63.32</v>
      </c>
      <c r="J41" s="35">
        <f>'Raw Financials'!J26</f>
        <v>54.79</v>
      </c>
      <c r="K41" s="35">
        <f>'Raw Financials'!K26</f>
        <v>26.66</v>
      </c>
      <c r="L41" s="35">
        <f>'Raw Financials'!L26</f>
        <v>48.004795789190716</v>
      </c>
      <c r="M41" s="35">
        <f>'Raw Financials'!M26</f>
        <v>54.279265137858388</v>
      </c>
      <c r="N41" s="37">
        <f t="shared" ref="N41:Q42" si="20">N39</f>
        <v>67.056945826951846</v>
      </c>
      <c r="O41" s="37">
        <f t="shared" si="20"/>
        <v>73.725585220016725</v>
      </c>
      <c r="P41" s="37">
        <f t="shared" si="20"/>
        <v>81.772841019349343</v>
      </c>
      <c r="Q41" s="37">
        <f t="shared" si="20"/>
        <v>90.361345166288032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491</v>
      </c>
      <c r="B42" s="1" t="s">
        <v>57</v>
      </c>
      <c r="C42" s="35">
        <f>'Raw Financials'!C27</f>
        <v>33.714149690140587</v>
      </c>
      <c r="D42" s="35">
        <f>'Raw Financials'!D27</f>
        <v>31.644761957394365</v>
      </c>
      <c r="E42" s="35">
        <f>'Raw Financials'!E27</f>
        <v>42.664589334496988</v>
      </c>
      <c r="F42" s="35">
        <f>'Raw Financials'!F27</f>
        <v>47.72050194230458</v>
      </c>
      <c r="G42" s="35">
        <f>'Raw Financials'!G27</f>
        <v>45.85</v>
      </c>
      <c r="H42" s="35">
        <f>'Raw Financials'!H27</f>
        <v>50.19</v>
      </c>
      <c r="I42" s="35">
        <f>'Raw Financials'!I27</f>
        <v>62.81</v>
      </c>
      <c r="J42" s="35">
        <f>'Raw Financials'!J27</f>
        <v>54.56</v>
      </c>
      <c r="K42" s="35">
        <f>'Raw Financials'!K27</f>
        <v>26.57</v>
      </c>
      <c r="L42" s="35">
        <f>'Raw Financials'!L27</f>
        <v>47.906127978815775</v>
      </c>
      <c r="M42" s="35">
        <f>'Raw Financials'!M27</f>
        <v>54.189099296056625</v>
      </c>
      <c r="N42" s="37">
        <f t="shared" si="20"/>
        <v>66.94555437841646</v>
      </c>
      <c r="O42" s="37">
        <f t="shared" si="20"/>
        <v>73.603116180747193</v>
      </c>
      <c r="P42" s="37">
        <f t="shared" si="20"/>
        <v>81.637004304752978</v>
      </c>
      <c r="Q42" s="37">
        <f t="shared" si="20"/>
        <v>90.211241683262514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492</v>
      </c>
      <c r="B43" s="1" t="s">
        <v>57</v>
      </c>
      <c r="C43" s="35">
        <f t="shared" ref="C43:M43" si="21">C40-C42</f>
        <v>0</v>
      </c>
      <c r="D43" s="35">
        <f t="shared" si="21"/>
        <v>0</v>
      </c>
      <c r="E43" s="35">
        <f t="shared" si="21"/>
        <v>0</v>
      </c>
      <c r="F43" s="35">
        <f t="shared" si="21"/>
        <v>0</v>
      </c>
      <c r="G43" s="35">
        <f t="shared" si="21"/>
        <v>0</v>
      </c>
      <c r="H43" s="35">
        <f t="shared" si="21"/>
        <v>0</v>
      </c>
      <c r="I43" s="35">
        <f t="shared" si="21"/>
        <v>0</v>
      </c>
      <c r="J43" s="35">
        <f t="shared" si="21"/>
        <v>0</v>
      </c>
      <c r="K43" s="35">
        <f t="shared" si="21"/>
        <v>0</v>
      </c>
      <c r="L43" s="35">
        <f t="shared" si="21"/>
        <v>0</v>
      </c>
      <c r="M43" s="35">
        <f t="shared" si="21"/>
        <v>0</v>
      </c>
      <c r="N43" s="37">
        <f>0</f>
        <v>0</v>
      </c>
      <c r="O43" s="37">
        <f>0</f>
        <v>0</v>
      </c>
      <c r="P43" s="37">
        <f>0</f>
        <v>0</v>
      </c>
      <c r="Q43" s="37">
        <f>0</f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493</v>
      </c>
      <c r="B44" s="1" t="s">
        <v>57</v>
      </c>
      <c r="C44" s="35">
        <f>IFERROR(-'Annual Cash Flow'!C65/C38,"")</f>
        <v>7.0348441083628073</v>
      </c>
      <c r="D44" s="35">
        <f>IFERROR(-'Annual Cash Flow'!D65/D38,"")</f>
        <v>13.940278685293165</v>
      </c>
      <c r="E44" s="35">
        <f>IFERROR(-'Annual Cash Flow'!E65/E38,"")</f>
        <v>10.597024274148865</v>
      </c>
      <c r="F44" s="35">
        <f>IFERROR(-'Annual Cash Flow'!F65/F38,"")</f>
        <v>16.552652455675133</v>
      </c>
      <c r="G44" s="35">
        <f>IFERROR(-'Annual Cash Flow'!G65/G38,"")</f>
        <v>28.327817508905415</v>
      </c>
      <c r="H44" s="35">
        <f>IFERROR(-'Annual Cash Flow'!H65/H38,"")</f>
        <v>19.941474910338815</v>
      </c>
      <c r="I44" s="35">
        <f>IFERROR(-'Annual Cash Flow'!I65/I38,"")</f>
        <v>44.920854190347924</v>
      </c>
      <c r="J44" s="35">
        <f>IFERROR(-'Annual Cash Flow'!J65/J38,"")</f>
        <v>48.145833870803479</v>
      </c>
      <c r="K44" s="35">
        <f>IFERROR(-'Annual Cash Flow'!K65/K38,"")</f>
        <v>44.138795773859407</v>
      </c>
      <c r="L44" s="35">
        <f>IFERROR(-'Annual Cash Flow'!L65/L38,"")</f>
        <v>43.289181454635035</v>
      </c>
      <c r="M44" s="35">
        <f>IFERROR(-'Annual Cash Flow'!M65/M38,"")</f>
        <v>45.342500762277346</v>
      </c>
      <c r="N44" s="37">
        <f>IFERROR(-'Annual Cash Flow'!N65/N38,"")</f>
        <v>53.556443502733174</v>
      </c>
      <c r="O44" s="37">
        <f>IFERROR(-'Annual Cash Flow'!O65/O38,"")</f>
        <v>58.882492944597757</v>
      </c>
      <c r="P44" s="37">
        <f>IFERROR(-'Annual Cash Flow'!P65/P38,"")</f>
        <v>65.309603443802388</v>
      </c>
      <c r="Q44" s="37">
        <f>IFERROR(-'Annual Cash Flow'!Q65/Q38,"")</f>
        <v>72.168993346610009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494</v>
      </c>
      <c r="B45" s="1" t="s">
        <v>46</v>
      </c>
      <c r="C45" s="19">
        <f>IFERROR(-'Annual Cash Flow'!C65/C35,"")</f>
        <v>0.20866147220139106</v>
      </c>
      <c r="D45" s="19">
        <f>IFERROR(-'Annual Cash Flow'!D65/D35,"")</f>
        <v>0.44052404957452268</v>
      </c>
      <c r="E45" s="19">
        <f>IFERROR(-'Annual Cash Flow'!E65/E35,"")</f>
        <v>0.24837984941250818</v>
      </c>
      <c r="F45" s="19">
        <f>IFERROR(-'Annual Cash Flow'!F65/F35,"")</f>
        <v>0.34686668794238068</v>
      </c>
      <c r="G45" s="19">
        <f>IFERROR(-'Annual Cash Flow'!G65/G35,"")</f>
        <v>0.6178368049924845</v>
      </c>
      <c r="H45" s="19">
        <f>IFERROR(-'Annual Cash Flow'!H65/H35,"")</f>
        <v>0.39731968340981905</v>
      </c>
      <c r="I45" s="19">
        <f>IFERROR(-'Annual Cash Flow'!I65/I35,"")</f>
        <v>0.71518634278535131</v>
      </c>
      <c r="J45" s="19">
        <f>IFERROR(-'Annual Cash Flow'!J65/J35,"")</f>
        <v>0.88243830408364154</v>
      </c>
      <c r="K45" s="19">
        <f>IFERROR(-'Annual Cash Flow'!K65/K35,"")</f>
        <v>1.6612267886285059</v>
      </c>
      <c r="L45" s="19">
        <f>IFERROR(-'Annual Cash Flow'!L65/L35,"")</f>
        <v>0.90362513692982316</v>
      </c>
      <c r="M45" s="19">
        <f>IFERROR(-'Annual Cash Flow'!M65/M35,"")</f>
        <v>0.83674579115170766</v>
      </c>
      <c r="N45" s="28">
        <f>IFERROR(-'Annual Cash Flow'!N65/N35,"")</f>
        <v>0.8</v>
      </c>
      <c r="O45" s="28">
        <f>IFERROR(-'Annual Cash Flow'!O65/O35,"")</f>
        <v>0.8</v>
      </c>
      <c r="P45" s="28">
        <f>IFERROR(-'Annual Cash Flow'!P65/P35,"")</f>
        <v>0.8</v>
      </c>
      <c r="Q45" s="28">
        <f>IFERROR(-'Annual Cash Flow'!Q65/Q35,"")</f>
        <v>0.8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6"/>
      <c r="O46" s="36"/>
      <c r="P46" s="36"/>
      <c r="Q46" s="3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6"/>
      <c r="O47" s="36"/>
      <c r="P47" s="36"/>
      <c r="Q47" s="3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6"/>
      <c r="O48" s="36"/>
      <c r="P48" s="36"/>
      <c r="Q48" s="3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6"/>
      <c r="O49" s="36"/>
      <c r="P49" s="36"/>
      <c r="Q49" s="3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6"/>
      <c r="O50" s="36"/>
      <c r="P50" s="36"/>
      <c r="Q50" s="3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6"/>
      <c r="O51" s="36"/>
      <c r="P51" s="36"/>
      <c r="Q51" s="3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6"/>
      <c r="O52" s="36"/>
      <c r="P52" s="36"/>
      <c r="Q52" s="3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6"/>
      <c r="O53" s="36"/>
      <c r="P53" s="36"/>
      <c r="Q53" s="3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6"/>
      <c r="O54" s="36"/>
      <c r="P54" s="36"/>
      <c r="Q54" s="3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6"/>
      <c r="O55" s="36"/>
      <c r="P55" s="36"/>
      <c r="Q55" s="3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6"/>
      <c r="O56" s="36"/>
      <c r="P56" s="36"/>
      <c r="Q56" s="3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6"/>
      <c r="O57" s="36"/>
      <c r="P57" s="36"/>
      <c r="Q57" s="3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6"/>
      <c r="O58" s="36"/>
      <c r="P58" s="36"/>
      <c r="Q58" s="3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6"/>
      <c r="O59" s="36"/>
      <c r="P59" s="36"/>
      <c r="Q59" s="3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6"/>
      <c r="O60" s="36"/>
      <c r="P60" s="36"/>
      <c r="Q60" s="3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6"/>
      <c r="O61" s="36"/>
      <c r="P61" s="36"/>
      <c r="Q61" s="3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6"/>
      <c r="O62" s="36"/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6"/>
      <c r="O63" s="36"/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6"/>
      <c r="O64" s="36"/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6"/>
      <c r="O65" s="36"/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6"/>
      <c r="O66" s="36"/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6"/>
      <c r="O67" s="36"/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6"/>
      <c r="O68" s="36"/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6"/>
      <c r="O69" s="36"/>
      <c r="P69" s="36"/>
      <c r="Q69" s="3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6"/>
      <c r="O70" s="36"/>
      <c r="P70" s="36"/>
      <c r="Q70" s="3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6"/>
      <c r="O71" s="36"/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6"/>
      <c r="O72" s="36"/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6"/>
      <c r="O73" s="36"/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6"/>
      <c r="O74" s="36"/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6"/>
      <c r="O75" s="36"/>
      <c r="P75" s="36"/>
      <c r="Q75" s="3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6"/>
      <c r="O76" s="36"/>
      <c r="P76" s="36"/>
      <c r="Q76" s="3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6"/>
      <c r="O77" s="36"/>
      <c r="P77" s="36"/>
      <c r="Q77" s="3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6"/>
      <c r="O78" s="36"/>
      <c r="P78" s="36"/>
      <c r="Q78" s="3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6"/>
      <c r="O79" s="36"/>
      <c r="P79" s="36"/>
      <c r="Q79" s="3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6"/>
      <c r="O80" s="36"/>
      <c r="P80" s="36"/>
      <c r="Q80" s="3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6"/>
      <c r="O81" s="36"/>
      <c r="P81" s="36"/>
      <c r="Q81" s="3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6"/>
      <c r="O82" s="36"/>
      <c r="P82" s="36"/>
      <c r="Q82" s="3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6"/>
      <c r="O83" s="36"/>
      <c r="P83" s="36"/>
      <c r="Q83" s="3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6"/>
      <c r="O84" s="36"/>
      <c r="P84" s="36"/>
      <c r="Q84" s="3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6"/>
      <c r="O85" s="36"/>
      <c r="P85" s="36"/>
      <c r="Q85" s="3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6"/>
      <c r="O86" s="36"/>
      <c r="P86" s="36"/>
      <c r="Q86" s="3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6"/>
      <c r="O87" s="36"/>
      <c r="P87" s="36"/>
      <c r="Q87" s="3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6"/>
      <c r="O88" s="36"/>
      <c r="P88" s="36"/>
      <c r="Q88" s="3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6"/>
      <c r="O89" s="36"/>
      <c r="P89" s="36"/>
      <c r="Q89" s="3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6"/>
      <c r="O90" s="36"/>
      <c r="P90" s="36"/>
      <c r="Q90" s="3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6"/>
      <c r="O91" s="36"/>
      <c r="P91" s="36"/>
      <c r="Q91" s="3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6"/>
      <c r="O92" s="36"/>
      <c r="P92" s="36"/>
      <c r="Q92" s="3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6"/>
      <c r="O93" s="36"/>
      <c r="P93" s="36"/>
      <c r="Q93" s="3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6"/>
      <c r="O94" s="36"/>
      <c r="P94" s="36"/>
      <c r="Q94" s="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6"/>
      <c r="O95" s="36"/>
      <c r="P95" s="36"/>
      <c r="Q95" s="3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6"/>
      <c r="O96" s="36"/>
      <c r="P96" s="36"/>
      <c r="Q96" s="3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6"/>
      <c r="O97" s="36"/>
      <c r="P97" s="36"/>
      <c r="Q97" s="3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6"/>
      <c r="O98" s="36"/>
      <c r="P98" s="36"/>
      <c r="Q98" s="3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6"/>
      <c r="O99" s="36"/>
      <c r="P99" s="36"/>
      <c r="Q99" s="3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6"/>
      <c r="O100" s="36"/>
      <c r="P100" s="36"/>
      <c r="Q100" s="3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6"/>
      <c r="O101" s="36"/>
      <c r="P101" s="36"/>
      <c r="Q101" s="3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6"/>
      <c r="O102" s="36"/>
      <c r="P102" s="36"/>
      <c r="Q102" s="3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6"/>
      <c r="O103" s="36"/>
      <c r="P103" s="36"/>
      <c r="Q103" s="3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6"/>
      <c r="O104" s="36"/>
      <c r="P104" s="36"/>
      <c r="Q104" s="3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6"/>
      <c r="O105" s="36"/>
      <c r="P105" s="36"/>
      <c r="Q105" s="3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6"/>
      <c r="O106" s="36"/>
      <c r="P106" s="36"/>
      <c r="Q106" s="3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6"/>
      <c r="O107" s="36"/>
      <c r="P107" s="36"/>
      <c r="Q107" s="3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6"/>
      <c r="O108" s="36"/>
      <c r="P108" s="36"/>
      <c r="Q108" s="3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6"/>
      <c r="O109" s="36"/>
      <c r="P109" s="36"/>
      <c r="Q109" s="3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6"/>
      <c r="O110" s="36"/>
      <c r="P110" s="36"/>
      <c r="Q110" s="3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6"/>
      <c r="O111" s="36"/>
      <c r="P111" s="36"/>
      <c r="Q111" s="3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6"/>
      <c r="O112" s="36"/>
      <c r="P112" s="36"/>
      <c r="Q112" s="3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6"/>
      <c r="O113" s="36"/>
      <c r="P113" s="36"/>
      <c r="Q113" s="3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6"/>
      <c r="O114" s="36"/>
      <c r="P114" s="36"/>
      <c r="Q114" s="3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6"/>
      <c r="O115" s="36"/>
      <c r="P115" s="36"/>
      <c r="Q115" s="3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6"/>
      <c r="O116" s="36"/>
      <c r="P116" s="36"/>
      <c r="Q116" s="3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6"/>
      <c r="O117" s="36"/>
      <c r="P117" s="36"/>
      <c r="Q117" s="3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6"/>
      <c r="O118" s="36"/>
      <c r="P118" s="36"/>
      <c r="Q118" s="3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6"/>
      <c r="O119" s="36"/>
      <c r="P119" s="36"/>
      <c r="Q119" s="3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6"/>
      <c r="O120" s="36"/>
      <c r="P120" s="36"/>
      <c r="Q120" s="3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6"/>
      <c r="O121" s="36"/>
      <c r="P121" s="36"/>
      <c r="Q121" s="3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6"/>
      <c r="O122" s="36"/>
      <c r="P122" s="36"/>
      <c r="Q122" s="3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6"/>
      <c r="O123" s="36"/>
      <c r="P123" s="36"/>
      <c r="Q123" s="3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6"/>
      <c r="O124" s="36"/>
      <c r="P124" s="36"/>
      <c r="Q124" s="3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6"/>
      <c r="O125" s="36"/>
      <c r="P125" s="36"/>
      <c r="Q125" s="3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6"/>
      <c r="O126" s="36"/>
      <c r="P126" s="36"/>
      <c r="Q126" s="3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6"/>
      <c r="O127" s="36"/>
      <c r="P127" s="36"/>
      <c r="Q127" s="3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6"/>
      <c r="O128" s="36"/>
      <c r="P128" s="36"/>
      <c r="Q128" s="3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6"/>
      <c r="O129" s="36"/>
      <c r="P129" s="36"/>
      <c r="Q129" s="3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6"/>
      <c r="O130" s="36"/>
      <c r="P130" s="36"/>
      <c r="Q130" s="3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6"/>
      <c r="O131" s="36"/>
      <c r="P131" s="36"/>
      <c r="Q131" s="3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6"/>
      <c r="O132" s="36"/>
      <c r="P132" s="36"/>
      <c r="Q132" s="3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6"/>
      <c r="O133" s="36"/>
      <c r="P133" s="36"/>
      <c r="Q133" s="3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6"/>
      <c r="O134" s="36"/>
      <c r="P134" s="36"/>
      <c r="Q134" s="3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6"/>
      <c r="O135" s="36"/>
      <c r="P135" s="36"/>
      <c r="Q135" s="3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6"/>
      <c r="O136" s="36"/>
      <c r="P136" s="36"/>
      <c r="Q136" s="3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6"/>
      <c r="O137" s="36"/>
      <c r="P137" s="36"/>
      <c r="Q137" s="3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6"/>
      <c r="O138" s="36"/>
      <c r="P138" s="36"/>
      <c r="Q138" s="3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6"/>
      <c r="O139" s="36"/>
      <c r="P139" s="36"/>
      <c r="Q139" s="3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6"/>
      <c r="O140" s="36"/>
      <c r="P140" s="36"/>
      <c r="Q140" s="3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6"/>
      <c r="O141" s="36"/>
      <c r="P141" s="36"/>
      <c r="Q141" s="3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6"/>
      <c r="O142" s="36"/>
      <c r="P142" s="36"/>
      <c r="Q142" s="3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6"/>
      <c r="O143" s="36"/>
      <c r="P143" s="36"/>
      <c r="Q143" s="3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6"/>
      <c r="O144" s="36"/>
      <c r="P144" s="36"/>
      <c r="Q144" s="3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6"/>
      <c r="O145" s="36"/>
      <c r="P145" s="36"/>
      <c r="Q145" s="3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6"/>
      <c r="O146" s="36"/>
      <c r="P146" s="36"/>
      <c r="Q146" s="3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6"/>
      <c r="O147" s="36"/>
      <c r="P147" s="36"/>
      <c r="Q147" s="3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6"/>
      <c r="O148" s="36"/>
      <c r="P148" s="36"/>
      <c r="Q148" s="3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6"/>
      <c r="O149" s="36"/>
      <c r="P149" s="36"/>
      <c r="Q149" s="3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6"/>
      <c r="O150" s="36"/>
      <c r="P150" s="36"/>
      <c r="Q150" s="3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6"/>
      <c r="O151" s="36"/>
      <c r="P151" s="36"/>
      <c r="Q151" s="3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6"/>
      <c r="O152" s="36"/>
      <c r="P152" s="36"/>
      <c r="Q152" s="3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6"/>
      <c r="O153" s="36"/>
      <c r="P153" s="36"/>
      <c r="Q153" s="3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6"/>
      <c r="O154" s="36"/>
      <c r="P154" s="36"/>
      <c r="Q154" s="3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6"/>
      <c r="O155" s="36"/>
      <c r="P155" s="36"/>
      <c r="Q155" s="3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6"/>
      <c r="O156" s="36"/>
      <c r="P156" s="36"/>
      <c r="Q156" s="3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6"/>
      <c r="O157" s="36"/>
      <c r="P157" s="36"/>
      <c r="Q157" s="3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6"/>
      <c r="O158" s="36"/>
      <c r="P158" s="36"/>
      <c r="Q158" s="3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6"/>
      <c r="O159" s="36"/>
      <c r="P159" s="36"/>
      <c r="Q159" s="3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6"/>
      <c r="O160" s="36"/>
      <c r="P160" s="36"/>
      <c r="Q160" s="3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6"/>
      <c r="O161" s="36"/>
      <c r="P161" s="36"/>
      <c r="Q161" s="3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6"/>
      <c r="O162" s="36"/>
      <c r="P162" s="36"/>
      <c r="Q162" s="3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6"/>
      <c r="O163" s="36"/>
      <c r="P163" s="36"/>
      <c r="Q163" s="3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6"/>
      <c r="O164" s="36"/>
      <c r="P164" s="36"/>
      <c r="Q164" s="3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6"/>
      <c r="O165" s="36"/>
      <c r="P165" s="36"/>
      <c r="Q165" s="3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6"/>
      <c r="O166" s="36"/>
      <c r="P166" s="36"/>
      <c r="Q166" s="3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6"/>
      <c r="O167" s="36"/>
      <c r="P167" s="36"/>
      <c r="Q167" s="3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6"/>
      <c r="O168" s="36"/>
      <c r="P168" s="36"/>
      <c r="Q168" s="3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6"/>
      <c r="O169" s="36"/>
      <c r="P169" s="36"/>
      <c r="Q169" s="3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6"/>
      <c r="O170" s="36"/>
      <c r="P170" s="36"/>
      <c r="Q170" s="3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6"/>
      <c r="O171" s="36"/>
      <c r="P171" s="36"/>
      <c r="Q171" s="3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6"/>
      <c r="O172" s="36"/>
      <c r="P172" s="36"/>
      <c r="Q172" s="3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6"/>
      <c r="O173" s="36"/>
      <c r="P173" s="36"/>
      <c r="Q173" s="3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6"/>
      <c r="O174" s="36"/>
      <c r="P174" s="36"/>
      <c r="Q174" s="3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6"/>
      <c r="O175" s="36"/>
      <c r="P175" s="36"/>
      <c r="Q175" s="3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6"/>
      <c r="O176" s="36"/>
      <c r="P176" s="36"/>
      <c r="Q176" s="3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6"/>
      <c r="O177" s="36"/>
      <c r="P177" s="36"/>
      <c r="Q177" s="3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6"/>
      <c r="O178" s="36"/>
      <c r="P178" s="36"/>
      <c r="Q178" s="3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6"/>
      <c r="O179" s="36"/>
      <c r="P179" s="36"/>
      <c r="Q179" s="3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6"/>
      <c r="O180" s="36"/>
      <c r="P180" s="36"/>
      <c r="Q180" s="3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6"/>
      <c r="O181" s="36"/>
      <c r="P181" s="36"/>
      <c r="Q181" s="3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6"/>
      <c r="O182" s="36"/>
      <c r="P182" s="36"/>
      <c r="Q182" s="3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6"/>
      <c r="O183" s="36"/>
      <c r="P183" s="36"/>
      <c r="Q183" s="3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6"/>
      <c r="O184" s="36"/>
      <c r="P184" s="36"/>
      <c r="Q184" s="3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6"/>
      <c r="O185" s="36"/>
      <c r="P185" s="36"/>
      <c r="Q185" s="3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6"/>
      <c r="O186" s="36"/>
      <c r="P186" s="36"/>
      <c r="Q186" s="3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6"/>
      <c r="O187" s="36"/>
      <c r="P187" s="36"/>
      <c r="Q187" s="3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6"/>
      <c r="O188" s="36"/>
      <c r="P188" s="36"/>
      <c r="Q188" s="3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6"/>
      <c r="O189" s="36"/>
      <c r="P189" s="36"/>
      <c r="Q189" s="3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6"/>
      <c r="O190" s="36"/>
      <c r="P190" s="36"/>
      <c r="Q190" s="3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6"/>
      <c r="O191" s="36"/>
      <c r="P191" s="36"/>
      <c r="Q191" s="3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6"/>
      <c r="O192" s="36"/>
      <c r="P192" s="36"/>
      <c r="Q192" s="3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6"/>
      <c r="O193" s="36"/>
      <c r="P193" s="36"/>
      <c r="Q193" s="3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6"/>
      <c r="O194" s="36"/>
      <c r="P194" s="36"/>
      <c r="Q194" s="3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6"/>
      <c r="O195" s="36"/>
      <c r="P195" s="36"/>
      <c r="Q195" s="3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6"/>
      <c r="O196" s="36"/>
      <c r="P196" s="36"/>
      <c r="Q196" s="3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6"/>
      <c r="O197" s="36"/>
      <c r="P197" s="36"/>
      <c r="Q197" s="3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6"/>
      <c r="O198" s="36"/>
      <c r="P198" s="36"/>
      <c r="Q198" s="3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6"/>
      <c r="O199" s="36"/>
      <c r="P199" s="36"/>
      <c r="Q199" s="3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6"/>
      <c r="O200" s="36"/>
      <c r="P200" s="36"/>
      <c r="Q200" s="3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300"/>
  <sheetViews>
    <sheetView showGridLines="0" tabSelected="1" topLeftCell="B15" workbookViewId="0">
      <selection activeCell="J24" sqref="J24"/>
    </sheetView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495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496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65" t="s">
        <v>39</v>
      </c>
      <c r="O5" s="65" t="s">
        <v>40</v>
      </c>
      <c r="P5" s="65" t="s">
        <v>41</v>
      </c>
      <c r="Q5" s="6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6"/>
      <c r="O6" s="66"/>
      <c r="P6" s="66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282</v>
      </c>
      <c r="B7" s="1" t="s">
        <v>44</v>
      </c>
      <c r="C7" s="18">
        <f>'Raw Financials'!C63</f>
        <v>2517.815128496421</v>
      </c>
      <c r="D7" s="18">
        <f>'Raw Financials'!D63</f>
        <v>3071.7414755000004</v>
      </c>
      <c r="E7" s="18">
        <f>'Raw Financials'!E63</f>
        <v>2980.9579109522615</v>
      </c>
      <c r="F7" s="18">
        <f>'Raw Financials'!F63</f>
        <v>2622.8669109522616</v>
      </c>
      <c r="G7" s="18">
        <f>'Raw Financials'!G63</f>
        <v>2660.9</v>
      </c>
      <c r="H7" s="18">
        <f>'Raw Financials'!H63</f>
        <v>2463.2000000000003</v>
      </c>
      <c r="I7" s="18">
        <f>'Raw Financials'!I63</f>
        <v>2682.3</v>
      </c>
      <c r="J7" s="18">
        <f>'Raw Financials'!J63</f>
        <v>2862.2000000000003</v>
      </c>
      <c r="K7" s="18">
        <f>'Raw Financials'!K63</f>
        <v>2557.7000000000003</v>
      </c>
      <c r="L7" s="18">
        <f>'Raw Financials'!L63</f>
        <v>2380.5</v>
      </c>
      <c r="M7" s="18">
        <f>'Raw Financials'!M63</f>
        <v>2425.6000000000017</v>
      </c>
      <c r="N7" s="61">
        <f>'BS Forecast Schedules'!D19</f>
        <v>2338.8595378910545</v>
      </c>
      <c r="O7" s="61">
        <f>'BS Forecast Schedules'!E19</f>
        <v>2265.4137208680154</v>
      </c>
      <c r="P7" s="61">
        <f>'BS Forecast Schedules'!F19</f>
        <v>2210.4252858961449</v>
      </c>
      <c r="Q7" s="61">
        <f>'BS Forecast Schedules'!G19</f>
        <v>2175.682616255338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283</v>
      </c>
      <c r="B8" s="1" t="s">
        <v>44</v>
      </c>
      <c r="C8" s="18">
        <f>'Raw Financials'!C64</f>
        <v>629.40472108088659</v>
      </c>
      <c r="D8" s="18">
        <f>'Raw Financials'!D64</f>
        <v>372.86312340000001</v>
      </c>
      <c r="E8" s="18">
        <f>'Raw Financials'!E64</f>
        <v>239.91685670000004</v>
      </c>
      <c r="F8" s="18">
        <f>'Raw Financials'!F64</f>
        <v>276.3</v>
      </c>
      <c r="G8" s="18">
        <f>'Raw Financials'!G64</f>
        <v>50.1</v>
      </c>
      <c r="H8" s="18">
        <f>'Raw Financials'!H64</f>
        <v>118.30000000000001</v>
      </c>
      <c r="I8" s="18">
        <f>'Raw Financials'!I64</f>
        <v>165.10000000000002</v>
      </c>
      <c r="J8" s="18">
        <f>'Raw Financials'!J64</f>
        <v>83.600000000000009</v>
      </c>
      <c r="K8" s="18">
        <f>'Raw Financials'!K64</f>
        <v>101.10000000000001</v>
      </c>
      <c r="L8" s="18">
        <f>'Raw Financials'!L64</f>
        <v>20.6</v>
      </c>
      <c r="M8" s="18">
        <f>'Raw Financials'!M64</f>
        <v>26.8</v>
      </c>
      <c r="N8" s="61">
        <f>'BS Forecast Schedules'!D17</f>
        <v>23.290351201835357</v>
      </c>
      <c r="O8" s="61">
        <f>'BS Forecast Schedules'!E17</f>
        <v>24.184042056218704</v>
      </c>
      <c r="P8" s="61">
        <f>'BS Forecast Schedules'!F17</f>
        <v>25.3351926489885</v>
      </c>
      <c r="Q8" s="61">
        <f>'BS Forecast Schedules'!G17</f>
        <v>26.701272128797939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284</v>
      </c>
      <c r="B9" s="1" t="s">
        <v>44</v>
      </c>
      <c r="C9" s="18">
        <f>'Raw Financials'!C65</f>
        <v>0</v>
      </c>
      <c r="D9" s="18">
        <f>'Raw Financials'!D65</f>
        <v>0</v>
      </c>
      <c r="E9" s="18">
        <f>'Raw Financials'!E65</f>
        <v>0</v>
      </c>
      <c r="F9" s="18">
        <f>'Raw Financials'!F65</f>
        <v>0</v>
      </c>
      <c r="G9" s="18">
        <f>'Raw Financials'!G65</f>
        <v>1173.0000000000002</v>
      </c>
      <c r="H9" s="18">
        <f>'Raw Financials'!H65</f>
        <v>1007.2</v>
      </c>
      <c r="I9" s="18">
        <f>'Raw Financials'!I65</f>
        <v>937.18565469999999</v>
      </c>
      <c r="J9" s="18">
        <f>'Raw Financials'!J65</f>
        <v>1097.1856547</v>
      </c>
      <c r="K9" s="18">
        <f>'Raw Financials'!K65</f>
        <v>960.5</v>
      </c>
      <c r="L9" s="18">
        <f>'Raw Financials'!L65</f>
        <v>1518.6000000000001</v>
      </c>
      <c r="M9" s="18">
        <f>'Raw Financials'!M65</f>
        <v>1980.2</v>
      </c>
      <c r="N9" s="61">
        <f>'BS Forecast Schedules'!D26</f>
        <v>2006.4016451020648</v>
      </c>
      <c r="O9" s="61">
        <f>'BS Forecast Schedules'!E26</f>
        <v>2054.7697292145026</v>
      </c>
      <c r="P9" s="61">
        <f>'BS Forecast Schedules'!F26</f>
        <v>2127.6084080803448</v>
      </c>
      <c r="Q9" s="61">
        <f>'BS Forecast Schedules'!G26</f>
        <v>2227.738178563337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285</v>
      </c>
      <c r="B10" s="1" t="s">
        <v>44</v>
      </c>
      <c r="C10" s="18">
        <f>'Raw Financials'!C66</f>
        <v>0</v>
      </c>
      <c r="D10" s="18">
        <f>'Raw Financials'!D66</f>
        <v>101.06761470000001</v>
      </c>
      <c r="E10" s="18">
        <f>'Raw Financials'!E66</f>
        <v>190.55727790000003</v>
      </c>
      <c r="F10" s="18">
        <f>'Raw Financials'!F66</f>
        <v>170.78449520000001</v>
      </c>
      <c r="G10" s="18">
        <f>'Raw Financials'!G66</f>
        <v>144.42723299999997</v>
      </c>
      <c r="H10" s="18">
        <f>'Raw Financials'!H66</f>
        <v>89.061788400000012</v>
      </c>
      <c r="I10" s="18">
        <f>'Raw Financials'!I66</f>
        <v>79.7</v>
      </c>
      <c r="J10" s="18">
        <f>'Raw Financials'!J66</f>
        <v>74.8</v>
      </c>
      <c r="K10" s="18">
        <f>'Raw Financials'!K66</f>
        <v>71.3</v>
      </c>
      <c r="L10" s="18">
        <f>'Raw Financials'!L66</f>
        <v>34</v>
      </c>
      <c r="M10" s="18">
        <f>'Raw Financials'!M66</f>
        <v>32.300000000000004</v>
      </c>
      <c r="N10" s="61">
        <f>M10</f>
        <v>32.300000000000004</v>
      </c>
      <c r="O10" s="61">
        <f>N10</f>
        <v>32.300000000000004</v>
      </c>
      <c r="P10" s="61">
        <f>O10</f>
        <v>32.300000000000004</v>
      </c>
      <c r="Q10" s="61">
        <f>P10</f>
        <v>32.300000000000004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286</v>
      </c>
      <c r="B11" s="1" t="s">
        <v>44</v>
      </c>
      <c r="C11" s="18">
        <f>'Raw Financials'!C67</f>
        <v>1735.74600817701</v>
      </c>
      <c r="D11" s="18">
        <f>'Raw Financials'!D67</f>
        <v>2627.9102181000048</v>
      </c>
      <c r="E11" s="18">
        <f>'Raw Financials'!E67</f>
        <v>2772.709979747</v>
      </c>
      <c r="F11" s="18">
        <f>'Raw Financials'!F67</f>
        <v>2816.3079593000002</v>
      </c>
      <c r="G11" s="18">
        <f>'Raw Financials'!G67</f>
        <v>3387.7433615000004</v>
      </c>
      <c r="H11" s="18">
        <f>'Raw Financials'!H67</f>
        <v>4008.2094178000002</v>
      </c>
      <c r="I11" s="18">
        <f>'Raw Financials'!I67</f>
        <v>7425.8262074521299</v>
      </c>
      <c r="J11" s="18">
        <f>'Raw Financials'!J67</f>
        <v>7665.6965319000001</v>
      </c>
      <c r="K11" s="18">
        <f>'Raw Financials'!K67</f>
        <v>7510.5619999999999</v>
      </c>
      <c r="L11" s="18">
        <f>'Raw Financials'!L67</f>
        <v>7699.3</v>
      </c>
      <c r="M11" s="18">
        <f>'Raw Financials'!M67</f>
        <v>8456</v>
      </c>
      <c r="N11" s="61">
        <f>MAX(0,M11-'Annual P&amp;L'!N22+Assumptions!C38)</f>
        <v>8456</v>
      </c>
      <c r="O11" s="61">
        <f>MAX(0,N11-'Annual P&amp;L'!O22+Assumptions!D38)</f>
        <v>8456</v>
      </c>
      <c r="P11" s="61">
        <f>MAX(0,O11-'Annual P&amp;L'!P22+Assumptions!E38)</f>
        <v>8456</v>
      </c>
      <c r="Q11" s="61">
        <f>MAX(0,P11-'Annual P&amp;L'!Q22+Assumptions!F38)</f>
        <v>8456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287</v>
      </c>
      <c r="B12" s="1" t="s">
        <v>44</v>
      </c>
      <c r="C12" s="18">
        <f>'Raw Financials'!C68</f>
        <v>91.078287500000116</v>
      </c>
      <c r="D12" s="18">
        <f>'Raw Financials'!D68</f>
        <v>659.41413980000016</v>
      </c>
      <c r="E12" s="18">
        <f>'Raw Financials'!E68</f>
        <v>1678.1244916000005</v>
      </c>
      <c r="F12" s="18">
        <f>'Raw Financials'!F68</f>
        <v>1451.2244916000002</v>
      </c>
      <c r="G12" s="18">
        <f>'Raw Financials'!G68</f>
        <v>1506</v>
      </c>
      <c r="H12" s="18">
        <f>'Raw Financials'!H68</f>
        <v>1450.8000000000002</v>
      </c>
      <c r="I12" s="18">
        <f>'Raw Financials'!I68</f>
        <v>3658.6000000000004</v>
      </c>
      <c r="J12" s="18">
        <f>'Raw Financials'!J68</f>
        <v>3231.6401427999999</v>
      </c>
      <c r="K12" s="18">
        <f>'Raw Financials'!K68</f>
        <v>2802.9</v>
      </c>
      <c r="L12" s="18">
        <f>'Raw Financials'!L68</f>
        <v>2349.0750711999995</v>
      </c>
      <c r="M12" s="18">
        <f>'Raw Financials'!M68</f>
        <v>1969.9</v>
      </c>
      <c r="N12" s="61">
        <f>'BS Forecast Schedules'!D20</f>
        <v>1568.1414417683404</v>
      </c>
      <c r="O12" s="61">
        <f>'BS Forecast Schedules'!E20</f>
        <v>1169.1047478407318</v>
      </c>
      <c r="P12" s="61">
        <f>'BS Forecast Schedules'!F20</f>
        <v>770.07546361916286</v>
      </c>
      <c r="Q12" s="61">
        <f>'BS Forecast Schedules'!G20</f>
        <v>369.55638168719383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497</v>
      </c>
      <c r="B13" s="1" t="s">
        <v>44</v>
      </c>
      <c r="C13" s="18">
        <f>'Raw Financials'!C69</f>
        <v>0</v>
      </c>
      <c r="D13" s="18">
        <f>'Raw Financials'!D69</f>
        <v>0</v>
      </c>
      <c r="E13" s="18">
        <f>'Raw Financials'!E69</f>
        <v>0</v>
      </c>
      <c r="F13" s="18">
        <f>'Raw Financials'!F69</f>
        <v>0</v>
      </c>
      <c r="G13" s="18">
        <f>'Raw Financials'!G69</f>
        <v>0</v>
      </c>
      <c r="H13" s="18">
        <f>'Raw Financials'!H69</f>
        <v>0</v>
      </c>
      <c r="I13" s="18">
        <f>'Raw Financials'!I69</f>
        <v>0</v>
      </c>
      <c r="J13" s="18">
        <f>'Raw Financials'!J69</f>
        <v>36.1</v>
      </c>
      <c r="K13" s="18">
        <f>'Raw Financials'!K69</f>
        <v>32.1</v>
      </c>
      <c r="L13" s="18">
        <f>'Raw Financials'!L69</f>
        <v>0</v>
      </c>
      <c r="M13" s="18">
        <f>'Raw Financials'!M69</f>
        <v>0</v>
      </c>
      <c r="N13" s="61">
        <f t="shared" ref="N13:Q15" si="0">M13</f>
        <v>0</v>
      </c>
      <c r="O13" s="61">
        <f t="shared" si="0"/>
        <v>0</v>
      </c>
      <c r="P13" s="61">
        <f t="shared" si="0"/>
        <v>0</v>
      </c>
      <c r="Q13" s="61">
        <f t="shared" si="0"/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289</v>
      </c>
      <c r="B14" s="1" t="s">
        <v>44</v>
      </c>
      <c r="C14" s="18">
        <f>'Raw Financials'!C70</f>
        <v>0</v>
      </c>
      <c r="D14" s="18">
        <f>'Raw Financials'!D70</f>
        <v>0</v>
      </c>
      <c r="E14" s="18">
        <f>'Raw Financials'!E70</f>
        <v>0</v>
      </c>
      <c r="F14" s="18">
        <f>'Raw Financials'!F70</f>
        <v>36.1</v>
      </c>
      <c r="G14" s="18">
        <f>'Raw Financials'!G70</f>
        <v>19.656530620000002</v>
      </c>
      <c r="H14" s="18">
        <f>'Raw Financials'!H70</f>
        <v>27.938734280000002</v>
      </c>
      <c r="I14" s="18">
        <f>'Raw Financials'!I70</f>
        <v>196.87938126</v>
      </c>
      <c r="J14" s="18">
        <f>'Raw Financials'!J70</f>
        <v>172.92984510000002</v>
      </c>
      <c r="K14" s="18">
        <f>'Raw Financials'!K70</f>
        <v>46.108000000000004</v>
      </c>
      <c r="L14" s="18">
        <f>'Raw Financials'!L70</f>
        <v>53.900000000000006</v>
      </c>
      <c r="M14" s="18">
        <f>'Raw Financials'!M70</f>
        <v>55</v>
      </c>
      <c r="N14" s="61">
        <f t="shared" si="0"/>
        <v>55</v>
      </c>
      <c r="O14" s="61">
        <f t="shared" si="0"/>
        <v>55</v>
      </c>
      <c r="P14" s="61">
        <f t="shared" si="0"/>
        <v>55</v>
      </c>
      <c r="Q14" s="61">
        <f t="shared" si="0"/>
        <v>55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290</v>
      </c>
      <c r="B15" s="1" t="s">
        <v>44</v>
      </c>
      <c r="C15" s="18">
        <f>'Raw Financials'!C71</f>
        <v>1324.3564031125632</v>
      </c>
      <c r="D15" s="18">
        <f>'Raw Financials'!D71</f>
        <v>230.82181548516064</v>
      </c>
      <c r="E15" s="18">
        <f>'Raw Financials'!E71</f>
        <v>1245.8266724856003</v>
      </c>
      <c r="F15" s="18">
        <f>'Raw Financials'!F71</f>
        <v>715.89130617180001</v>
      </c>
      <c r="G15" s="18">
        <f>'Raw Financials'!G71</f>
        <v>216.28727948800002</v>
      </c>
      <c r="H15" s="18">
        <f>'Raw Financials'!H71</f>
        <v>547.80128725290001</v>
      </c>
      <c r="I15" s="18">
        <f>'Raw Financials'!I71</f>
        <v>250.97357231100005</v>
      </c>
      <c r="J15" s="18">
        <f>'Raw Financials'!J71</f>
        <v>432.01202742900006</v>
      </c>
      <c r="K15" s="18">
        <f>'Raw Financials'!K71</f>
        <v>412.22600000000006</v>
      </c>
      <c r="L15" s="18">
        <f>'Raw Financials'!L71</f>
        <v>235.4</v>
      </c>
      <c r="M15" s="18">
        <f>'Raw Financials'!M71</f>
        <v>35.200000000000003</v>
      </c>
      <c r="N15" s="61">
        <f t="shared" si="0"/>
        <v>35.200000000000003</v>
      </c>
      <c r="O15" s="61">
        <f t="shared" si="0"/>
        <v>35.200000000000003</v>
      </c>
      <c r="P15" s="61">
        <f t="shared" si="0"/>
        <v>35.200000000000003</v>
      </c>
      <c r="Q15" s="61">
        <f t="shared" si="0"/>
        <v>35.200000000000003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291</v>
      </c>
      <c r="B16" s="1" t="s">
        <v>44</v>
      </c>
      <c r="C16" s="18">
        <f>'Raw Financials'!C72</f>
        <v>0</v>
      </c>
      <c r="D16" s="18">
        <f>'Raw Financials'!D72</f>
        <v>0</v>
      </c>
      <c r="E16" s="18">
        <f>'Raw Financials'!E72</f>
        <v>0</v>
      </c>
      <c r="F16" s="18">
        <f>'Raw Financials'!F72</f>
        <v>0</v>
      </c>
      <c r="G16" s="18">
        <f>'Raw Financials'!G72</f>
        <v>0</v>
      </c>
      <c r="H16" s="18">
        <f>'Raw Financials'!H72</f>
        <v>0</v>
      </c>
      <c r="I16" s="18">
        <f>'Raw Financials'!I72</f>
        <v>0.9</v>
      </c>
      <c r="J16" s="18">
        <f>'Raw Financials'!J72</f>
        <v>1.1000000000000001</v>
      </c>
      <c r="K16" s="18">
        <f>'Raw Financials'!K72</f>
        <v>0.60000000000000009</v>
      </c>
      <c r="L16" s="18">
        <f>'Raw Financials'!L72</f>
        <v>0</v>
      </c>
      <c r="M16" s="18">
        <f>'Raw Financials'!M72</f>
        <v>0</v>
      </c>
      <c r="N16" s="61">
        <f>0</f>
        <v>0</v>
      </c>
      <c r="O16" s="61">
        <f>0</f>
        <v>0</v>
      </c>
      <c r="P16" s="61">
        <f>0</f>
        <v>0</v>
      </c>
      <c r="Q16" s="61">
        <f>0</f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292</v>
      </c>
      <c r="B17" s="1" t="s">
        <v>44</v>
      </c>
      <c r="C17" s="18">
        <f>'Raw Financials'!C73</f>
        <v>0</v>
      </c>
      <c r="D17" s="18">
        <f>'Raw Financials'!D73</f>
        <v>0</v>
      </c>
      <c r="E17" s="18">
        <f>'Raw Financials'!E73</f>
        <v>0</v>
      </c>
      <c r="F17" s="18">
        <f>'Raw Financials'!F73</f>
        <v>0</v>
      </c>
      <c r="G17" s="18">
        <f>'Raw Financials'!G73</f>
        <v>0</v>
      </c>
      <c r="H17" s="18">
        <f>'Raw Financials'!H73</f>
        <v>0</v>
      </c>
      <c r="I17" s="18">
        <f>'Raw Financials'!I73</f>
        <v>0</v>
      </c>
      <c r="J17" s="18">
        <f>'Raw Financials'!J73</f>
        <v>0</v>
      </c>
      <c r="K17" s="18">
        <f>'Raw Financials'!K73</f>
        <v>0</v>
      </c>
      <c r="L17" s="18">
        <f>'Raw Financials'!L73</f>
        <v>0</v>
      </c>
      <c r="M17" s="18">
        <f>'Raw Financials'!M73</f>
        <v>0</v>
      </c>
      <c r="N17" s="61">
        <f>0</f>
        <v>0</v>
      </c>
      <c r="O17" s="61">
        <f>0</f>
        <v>0</v>
      </c>
      <c r="P17" s="61">
        <f>0</f>
        <v>0</v>
      </c>
      <c r="Q17" s="61">
        <f>0</f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293</v>
      </c>
      <c r="B18" s="1" t="s">
        <v>44</v>
      </c>
      <c r="C18" s="18">
        <f>'Raw Financials'!C74</f>
        <v>0</v>
      </c>
      <c r="D18" s="18">
        <f>'Raw Financials'!D74</f>
        <v>0.90722210000000014</v>
      </c>
      <c r="E18" s="18">
        <f>'Raw Financials'!E74</f>
        <v>5.239278800000001</v>
      </c>
      <c r="F18" s="18">
        <f>'Raw Financials'!F74</f>
        <v>4.3</v>
      </c>
      <c r="G18" s="18">
        <f>'Raw Financials'!G74</f>
        <v>4.5</v>
      </c>
      <c r="H18" s="18">
        <f>'Raw Financials'!H74</f>
        <v>4.7</v>
      </c>
      <c r="I18" s="18">
        <f>'Raw Financials'!I74</f>
        <v>13.600000000000001</v>
      </c>
      <c r="J18" s="18">
        <f>'Raw Financials'!J74</f>
        <v>4.9000000000000004</v>
      </c>
      <c r="K18" s="18">
        <f>'Raw Financials'!K74</f>
        <v>10.5</v>
      </c>
      <c r="L18" s="18">
        <f>'Raw Financials'!L74</f>
        <v>10.8</v>
      </c>
      <c r="M18" s="18">
        <f>'Raw Financials'!M74</f>
        <v>6.9</v>
      </c>
      <c r="N18" s="61">
        <f>M18</f>
        <v>6.9</v>
      </c>
      <c r="O18" s="61">
        <f>N18</f>
        <v>6.9</v>
      </c>
      <c r="P18" s="61">
        <f>O18</f>
        <v>6.9</v>
      </c>
      <c r="Q18" s="61">
        <f>P18</f>
        <v>6.9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294</v>
      </c>
      <c r="B19" s="1" t="s">
        <v>44</v>
      </c>
      <c r="C19" s="18">
        <f>'Raw Financials'!C75</f>
        <v>0</v>
      </c>
      <c r="D19" s="18">
        <f>'Raw Financials'!D75</f>
        <v>432.90512059999992</v>
      </c>
      <c r="E19" s="18">
        <f>'Raw Financials'!E75</f>
        <v>246.79474780000001</v>
      </c>
      <c r="F19" s="18">
        <f>'Raw Financials'!F75</f>
        <v>478.5004457</v>
      </c>
      <c r="G19" s="18">
        <f>'Raw Financials'!G75</f>
        <v>428.12804689999996</v>
      </c>
      <c r="H19" s="18">
        <f>'Raw Financials'!H75</f>
        <v>474.3859721</v>
      </c>
      <c r="I19" s="18">
        <f>'Raw Financials'!I75</f>
        <v>473.20044430000002</v>
      </c>
      <c r="J19" s="18">
        <f>'Raw Financials'!J75</f>
        <v>331.80044150000003</v>
      </c>
      <c r="K19" s="18">
        <f>'Raw Financials'!K75</f>
        <v>285.90000000000003</v>
      </c>
      <c r="L19" s="18">
        <f>'Raw Financials'!L75</f>
        <v>537.4</v>
      </c>
      <c r="M19" s="18">
        <f>'Raw Financials'!M75</f>
        <v>356.3</v>
      </c>
      <c r="N19" s="61">
        <f>'Annual P&amp;L'!N7*Assumptions!C65</f>
        <v>349.35526802753031</v>
      </c>
      <c r="O19" s="61">
        <f>'Annual P&amp;L'!O7*Assumptions!D65</f>
        <v>362.76063084328064</v>
      </c>
      <c r="P19" s="61">
        <f>'Annual P&amp;L'!P7*Assumptions!E65</f>
        <v>380.02788973482757</v>
      </c>
      <c r="Q19" s="61">
        <f>'Annual P&amp;L'!Q7*Assumptions!F65</f>
        <v>400.51908193196908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295</v>
      </c>
      <c r="B20" s="1" t="s">
        <v>44</v>
      </c>
      <c r="C20" s="18">
        <f>'Raw Financials'!C76</f>
        <v>0</v>
      </c>
      <c r="D20" s="18">
        <f>'Raw Financials'!D76</f>
        <v>1313.5218345000001</v>
      </c>
      <c r="E20" s="18">
        <f>'Raw Financials'!E76</f>
        <v>1777.4956621000001</v>
      </c>
      <c r="F20" s="18">
        <f>'Raw Financials'!F76</f>
        <v>2139.7000000000003</v>
      </c>
      <c r="G20" s="18">
        <f>'Raw Financials'!G76</f>
        <v>2415.2000000000003</v>
      </c>
      <c r="H20" s="18">
        <f>'Raw Financials'!H76</f>
        <v>2028.8000000000002</v>
      </c>
      <c r="I20" s="18">
        <f>'Raw Financials'!I76</f>
        <v>2513.7000000000003</v>
      </c>
      <c r="J20" s="18">
        <f>'Raw Financials'!J76</f>
        <v>3053.7000000000003</v>
      </c>
      <c r="K20" s="18">
        <f>'Raw Financials'!K76</f>
        <v>2999.2000000000003</v>
      </c>
      <c r="L20" s="18">
        <f>'Raw Financials'!L76</f>
        <v>3055.7000000000003</v>
      </c>
      <c r="M20" s="18">
        <f>'Raw Financials'!M76</f>
        <v>3042.2000000000003</v>
      </c>
      <c r="N20" s="61">
        <f>'Annual P&amp;L'!N7*Assumptions!C63</f>
        <v>3085.9715342431841</v>
      </c>
      <c r="O20" s="61">
        <f>'Annual P&amp;L'!O7*Assumptions!D63</f>
        <v>3143.925467308432</v>
      </c>
      <c r="P20" s="61">
        <f>'Annual P&amp;L'!P7*Assumptions!E63</f>
        <v>3230.2370627460336</v>
      </c>
      <c r="Q20" s="61">
        <f>'Annual P&amp;L'!Q7*Assumptions!F63</f>
        <v>3337.6590160997425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296</v>
      </c>
      <c r="B21" s="1" t="s">
        <v>44</v>
      </c>
      <c r="C21" s="18">
        <f>'Raw Financials'!C77</f>
        <v>557.48676692540096</v>
      </c>
      <c r="D21" s="18">
        <f>'Raw Financials'!D77</f>
        <v>267.4387428</v>
      </c>
      <c r="E21" s="18">
        <f>'Raw Financials'!E77</f>
        <v>576.55021800000009</v>
      </c>
      <c r="F21" s="18">
        <f>'Raw Financials'!F77</f>
        <v>609.1</v>
      </c>
      <c r="G21" s="18">
        <f>'Raw Financials'!G77</f>
        <v>844.30000000000007</v>
      </c>
      <c r="H21" s="18">
        <f>'Raw Financials'!H77</f>
        <v>913.30000000000007</v>
      </c>
      <c r="I21" s="18">
        <f>'Raw Financials'!I77</f>
        <v>819.1</v>
      </c>
      <c r="J21" s="18">
        <f>'Raw Financials'!J77</f>
        <v>1296.5</v>
      </c>
      <c r="K21" s="18">
        <f>'Raw Financials'!K77</f>
        <v>1439.6000000000001</v>
      </c>
      <c r="L21" s="18">
        <f>'Raw Financials'!L77</f>
        <v>1857.3000000000002</v>
      </c>
      <c r="M21" s="18">
        <f>'Raw Financials'!M77</f>
        <v>2186.4</v>
      </c>
      <c r="N21" s="61">
        <f>'Annual P&amp;L'!N7*Assumptions!C64</f>
        <v>2212.5833641743584</v>
      </c>
      <c r="O21" s="61">
        <f>'Annual P&amp;L'!O7*Assumptions!D64</f>
        <v>2237.0238902002307</v>
      </c>
      <c r="P21" s="61">
        <f>'Annual P&amp;L'!P7*Assumptions!E64</f>
        <v>2280.167338408965</v>
      </c>
      <c r="Q21" s="61">
        <f>'Annual P&amp;L'!Q7*Assumptions!F64</f>
        <v>2336.3613112698199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297</v>
      </c>
      <c r="B22" s="1" t="s">
        <v>44</v>
      </c>
      <c r="C22" s="18">
        <f>'Raw Financials'!C78</f>
        <v>29.395767722426626</v>
      </c>
      <c r="D22" s="18">
        <f>'Raw Financials'!D78</f>
        <v>645.85062829999993</v>
      </c>
      <c r="E22" s="18">
        <f>'Raw Financials'!E78</f>
        <v>602.23102139999992</v>
      </c>
      <c r="F22" s="18">
        <f>'Raw Financials'!F78</f>
        <v>553.70000000000005</v>
      </c>
      <c r="G22" s="18">
        <f>'Raw Financials'!G78</f>
        <v>1327.3000000000002</v>
      </c>
      <c r="H22" s="18">
        <f>'Raw Financials'!H78</f>
        <v>1286.5</v>
      </c>
      <c r="I22" s="18">
        <f>'Raw Financials'!I78</f>
        <v>1197.9000000000001</v>
      </c>
      <c r="J22" s="18">
        <f>'Raw Financials'!J78</f>
        <v>1376.5</v>
      </c>
      <c r="K22" s="18">
        <f>'Raw Financials'!K78</f>
        <v>768</v>
      </c>
      <c r="L22" s="18">
        <f>'Raw Financials'!L78</f>
        <v>1062.7</v>
      </c>
      <c r="M22" s="18">
        <f>'Raw Financials'!M78</f>
        <v>1221.9000000000001</v>
      </c>
      <c r="N22" s="61">
        <f>'Annual P&amp;L'!N7*Assumptions!C32</f>
        <v>1164.5175600917678</v>
      </c>
      <c r="O22" s="61">
        <f>'Annual P&amp;L'!O7*Assumptions!D32</f>
        <v>1148.7419976703886</v>
      </c>
      <c r="P22" s="61">
        <f>'Annual P&amp;L'!P7*Assumptions!E32</f>
        <v>1140.0836692044825</v>
      </c>
      <c r="Q22" s="61">
        <f>'Annual P&amp;L'!Q7*Assumptions!F32</f>
        <v>1134.8040654739125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64" t="s">
        <v>298</v>
      </c>
      <c r="B23" s="22" t="s">
        <v>44</v>
      </c>
      <c r="C23" s="23">
        <f>'Raw Financials'!C79</f>
        <v>8561.8586681175711</v>
      </c>
      <c r="D23" s="23">
        <f>'Raw Financials'!D79</f>
        <v>9739.9970408851641</v>
      </c>
      <c r="E23" s="23">
        <f>'Raw Financials'!E79</f>
        <v>12330.248721458398</v>
      </c>
      <c r="F23" s="23">
        <f>'Raw Financials'!F79</f>
        <v>11881.075608924062</v>
      </c>
      <c r="G23" s="23">
        <f>'Raw Financials'!G79</f>
        <v>14181.242451508</v>
      </c>
      <c r="H23" s="23">
        <f>'Raw Financials'!H79</f>
        <v>14422.697199832899</v>
      </c>
      <c r="I23" s="23">
        <f>'Raw Financials'!I79</f>
        <v>20414.965260023131</v>
      </c>
      <c r="J23" s="23">
        <f>'Raw Financials'!J79</f>
        <v>21720.564643429003</v>
      </c>
      <c r="K23" s="23">
        <f>'Raw Financials'!K79</f>
        <v>19998.298000000003</v>
      </c>
      <c r="L23" s="23">
        <f>'Raw Financials'!L79</f>
        <v>20815.275071200002</v>
      </c>
      <c r="M23" s="23">
        <f>'Raw Financials'!M79</f>
        <v>21794.7</v>
      </c>
      <c r="N23" s="63">
        <f>SUM(N7:N22)</f>
        <v>21334.520702500136</v>
      </c>
      <c r="O23" s="63">
        <f>SUM(O7:O22)</f>
        <v>20991.324226001801</v>
      </c>
      <c r="P23" s="63">
        <f>SUM(P7:P22)</f>
        <v>20749.360310338951</v>
      </c>
      <c r="Q23" s="63">
        <f>SUM(Q7:Q22)</f>
        <v>20594.421923410111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299</v>
      </c>
      <c r="B24" s="1" t="s">
        <v>44</v>
      </c>
      <c r="C24" s="18">
        <f>'Raw Financials'!C80</f>
        <v>41.439602568618817</v>
      </c>
      <c r="D24" s="18">
        <f>'Raw Financials'!D80</f>
        <v>61.058109100000003</v>
      </c>
      <c r="E24" s="18">
        <f>'Raw Financials'!E80</f>
        <v>65.9183649</v>
      </c>
      <c r="F24" s="18">
        <f>'Raw Financials'!F80</f>
        <v>75.2</v>
      </c>
      <c r="G24" s="18">
        <f>'Raw Financials'!G80</f>
        <v>35.800000000000004</v>
      </c>
      <c r="H24" s="18">
        <f>'Raw Financials'!H80</f>
        <v>24.200000000000003</v>
      </c>
      <c r="I24" s="18">
        <f>'Raw Financials'!I80</f>
        <v>40.5</v>
      </c>
      <c r="J24" s="18">
        <f>'Raw Financials'!J80</f>
        <v>23.6</v>
      </c>
      <c r="K24" s="18">
        <f>'Raw Financials'!K80</f>
        <v>37.5</v>
      </c>
      <c r="L24" s="18">
        <f>'Raw Financials'!L80</f>
        <v>39.400000000000006</v>
      </c>
      <c r="M24" s="18">
        <f>'Raw Financials'!M80</f>
        <v>104.2</v>
      </c>
      <c r="N24" s="61">
        <f>'Annual P&amp;L'!N7*Assumptions!C60</f>
        <v>104.80658040825908</v>
      </c>
      <c r="O24" s="61">
        <f>'Annual P&amp;L'!O7*Assumptions!D60</f>
        <v>108.82818925298419</v>
      </c>
      <c r="P24" s="61">
        <f>'Annual P&amp;L'!P7*Assumptions!E60</f>
        <v>114.00836692044825</v>
      </c>
      <c r="Q24" s="61">
        <f>'Annual P&amp;L'!Q7*Assumptions!F60</f>
        <v>120.15572457959072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300</v>
      </c>
      <c r="B25" s="1" t="s">
        <v>44</v>
      </c>
      <c r="C25" s="18">
        <f>'Raw Financials'!C81</f>
        <v>1168.9611965588269</v>
      </c>
      <c r="D25" s="18">
        <f>'Raw Financials'!D81</f>
        <v>2164.6960006000004</v>
      </c>
      <c r="E25" s="18">
        <f>'Raw Financials'!E81</f>
        <v>3444.9412767144004</v>
      </c>
      <c r="F25" s="18">
        <f>'Raw Financials'!F81</f>
        <v>6589.9000000000005</v>
      </c>
      <c r="G25" s="18">
        <f>'Raw Financials'!G81</f>
        <v>5612.3</v>
      </c>
      <c r="H25" s="18">
        <f>'Raw Financials'!H81</f>
        <v>9661.9</v>
      </c>
      <c r="I25" s="18">
        <f>'Raw Financials'!I81</f>
        <v>4435.9000000000005</v>
      </c>
      <c r="J25" s="18">
        <f>'Raw Financials'!J81</f>
        <v>2783.2000000000003</v>
      </c>
      <c r="K25" s="18">
        <f>'Raw Financials'!K81</f>
        <v>2779.4</v>
      </c>
      <c r="L25" s="18">
        <f>'Raw Financials'!L81</f>
        <v>2892.8</v>
      </c>
      <c r="M25" s="18">
        <f>'Raw Financials'!M81</f>
        <v>3335.5</v>
      </c>
      <c r="N25" s="61">
        <f>'Annual P&amp;L'!N7*Assumptions!C61</f>
        <v>3493.5526802753029</v>
      </c>
      <c r="O25" s="61">
        <f>'Annual P&amp;L'!O7*Assumptions!D61</f>
        <v>3627.6063084328061</v>
      </c>
      <c r="P25" s="61">
        <f>'Annual P&amp;L'!P7*Assumptions!E61</f>
        <v>3800.2788973482752</v>
      </c>
      <c r="Q25" s="61">
        <f>'Annual P&amp;L'!Q7*Assumptions!F61</f>
        <v>4005.1908193196909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301</v>
      </c>
      <c r="B26" s="1" t="s">
        <v>44</v>
      </c>
      <c r="C26" s="18">
        <f>'Raw Financials'!C82</f>
        <v>0</v>
      </c>
      <c r="D26" s="18">
        <f>'Raw Financials'!D82</f>
        <v>0</v>
      </c>
      <c r="E26" s="18">
        <f>'Raw Financials'!E82</f>
        <v>0</v>
      </c>
      <c r="F26" s="18">
        <f>'Raw Financials'!F82</f>
        <v>0</v>
      </c>
      <c r="G26" s="18">
        <f>'Raw Financials'!G82</f>
        <v>0</v>
      </c>
      <c r="H26" s="18">
        <f>'Raw Financials'!H82</f>
        <v>0</v>
      </c>
      <c r="I26" s="18">
        <f>'Raw Financials'!I82</f>
        <v>7467.5551504000005</v>
      </c>
      <c r="J26" s="18">
        <f>'Raw Financials'!J82</f>
        <v>8142.4020898000008</v>
      </c>
      <c r="K26" s="18">
        <f>'Raw Financials'!K82</f>
        <v>7125.5850000000009</v>
      </c>
      <c r="L26" s="18">
        <f>'Raw Financials'!L82</f>
        <v>6548.6</v>
      </c>
      <c r="M26" s="18">
        <f>'Raw Financials'!M82</f>
        <v>7536.9000000000005</v>
      </c>
      <c r="N26" s="61">
        <f>'Annual P&amp;L'!N7/365*Assumptions!C27</f>
        <v>7816.6247184241938</v>
      </c>
      <c r="O26" s="61">
        <f>'Annual P&amp;L'!O7/365*Assumptions!D27</f>
        <v>7950.9179362910836</v>
      </c>
      <c r="P26" s="61">
        <f>'Annual P&amp;L'!P7/365*Assumptions!E27</f>
        <v>8155.8496883730113</v>
      </c>
      <c r="Q26" s="61">
        <f>'Annual P&amp;L'!Q7/365*Assumptions!F27</f>
        <v>8412.7295748267479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302</v>
      </c>
      <c r="B27" s="1" t="s">
        <v>44</v>
      </c>
      <c r="C27" s="18">
        <f>'Raw Financials'!C83</f>
        <v>0</v>
      </c>
      <c r="D27" s="18">
        <f>'Raw Financials'!D83</f>
        <v>0</v>
      </c>
      <c r="E27" s="18">
        <f>'Raw Financials'!E83</f>
        <v>0</v>
      </c>
      <c r="F27" s="18">
        <f>'Raw Financials'!F83</f>
        <v>0</v>
      </c>
      <c r="G27" s="18">
        <f>'Raw Financials'!G83</f>
        <v>0</v>
      </c>
      <c r="H27" s="18">
        <f>'Raw Financials'!H83</f>
        <v>0</v>
      </c>
      <c r="I27" s="18">
        <f>'Raw Financials'!I83</f>
        <v>4465.8</v>
      </c>
      <c r="J27" s="18">
        <f>'Raw Financials'!J83</f>
        <v>4739.2</v>
      </c>
      <c r="K27" s="18">
        <f>'Raw Financials'!K83</f>
        <v>4275.5</v>
      </c>
      <c r="L27" s="18">
        <f>'Raw Financials'!L83</f>
        <v>4998.4000000000005</v>
      </c>
      <c r="M27" s="18">
        <f>'Raw Financials'!M83</f>
        <v>5820.8</v>
      </c>
      <c r="N27" s="61">
        <f>'Annual P&amp;L'!N7/365*Assumptions!C28</f>
        <v>5902.3492771774518</v>
      </c>
      <c r="O27" s="61">
        <f>'Annual P&amp;L'!O7/365*Assumptions!D28</f>
        <v>5963.1884522183127</v>
      </c>
      <c r="P27" s="61">
        <f>'Annual P&amp;L'!P7/365*Assumptions!E28</f>
        <v>6073.5050870862851</v>
      </c>
      <c r="Q27" s="61">
        <f>'Annual P&amp;L'!Q7/365*Assumptions!F28</f>
        <v>6218.104468350205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303</v>
      </c>
      <c r="B28" s="1" t="s">
        <v>44</v>
      </c>
      <c r="C28" s="18">
        <f>'Raw Financials'!C84</f>
        <v>4013.8061358907798</v>
      </c>
      <c r="D28" s="18">
        <f>'Raw Financials'!D84</f>
        <v>2001.2741679999999</v>
      </c>
      <c r="E28" s="18">
        <f>'Raw Financials'!E84</f>
        <v>1966.0826939000003</v>
      </c>
      <c r="F28" s="18">
        <f>'Raw Financials'!F84</f>
        <v>2042.7</v>
      </c>
      <c r="G28" s="18">
        <f>'Raw Financials'!G84</f>
        <v>3016.7000000000003</v>
      </c>
      <c r="H28" s="18">
        <f>'Raw Financials'!H84</f>
        <v>2690.4</v>
      </c>
      <c r="I28" s="18">
        <f>'Raw Financials'!I84</f>
        <v>3788.9</v>
      </c>
      <c r="J28" s="18">
        <f>'Raw Financials'!J84</f>
        <v>4056.3</v>
      </c>
      <c r="K28" s="18">
        <f>'Raw Financials'!K84</f>
        <v>4347.1000000000004</v>
      </c>
      <c r="L28" s="18">
        <f>'Raw Financials'!L84</f>
        <v>4318.5</v>
      </c>
      <c r="M28" s="18">
        <f>'Raw Financials'!M84</f>
        <v>5046.1000000000004</v>
      </c>
      <c r="N28" s="61">
        <f>'Annual Cash Flow'!N85</f>
        <v>6429.2530553321994</v>
      </c>
      <c r="O28" s="61">
        <f>'Annual Cash Flow'!O85</f>
        <v>8088.7452425286583</v>
      </c>
      <c r="P28" s="61">
        <f>'Annual Cash Flow'!P85</f>
        <v>9738.5618958753694</v>
      </c>
      <c r="Q28" s="61">
        <f>'Annual Cash Flow'!Q85</f>
        <v>11488.195648913717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304</v>
      </c>
      <c r="B29" s="1" t="s">
        <v>44</v>
      </c>
      <c r="C29" s="18">
        <f>'Raw Financials'!C85</f>
        <v>0</v>
      </c>
      <c r="D29" s="18">
        <f>'Raw Financials'!D85</f>
        <v>1217.348853</v>
      </c>
      <c r="E29" s="18">
        <f>'Raw Financials'!E85</f>
        <v>1078.2242845999999</v>
      </c>
      <c r="F29" s="18">
        <f>'Raw Financials'!F85</f>
        <v>316</v>
      </c>
      <c r="G29" s="18">
        <f>'Raw Financials'!G85</f>
        <v>131.6</v>
      </c>
      <c r="H29" s="18">
        <f>'Raw Financials'!H85</f>
        <v>144.80000000000001</v>
      </c>
      <c r="I29" s="18">
        <f>'Raw Financials'!I85</f>
        <v>185.60000000000002</v>
      </c>
      <c r="J29" s="18">
        <f>'Raw Financials'!J85</f>
        <v>198.4</v>
      </c>
      <c r="K29" s="18">
        <f>'Raw Financials'!K85</f>
        <v>388.40000000000003</v>
      </c>
      <c r="L29" s="18">
        <f>'Raw Financials'!L85</f>
        <v>223.70000000000002</v>
      </c>
      <c r="M29" s="18">
        <f>'Raw Financials'!M85</f>
        <v>59.300000000000004</v>
      </c>
      <c r="N29" s="61">
        <f>'Annual P&amp;L'!N7*Assumptions!C62</f>
        <v>58.225878004588381</v>
      </c>
      <c r="O29" s="61">
        <f>'Annual P&amp;L'!O7*Assumptions!D62</f>
        <v>60.460105140546773</v>
      </c>
      <c r="P29" s="61">
        <f>'Annual P&amp;L'!P7*Assumptions!E62</f>
        <v>63.337981622471254</v>
      </c>
      <c r="Q29" s="61">
        <f>'Annual P&amp;L'!Q7*Assumptions!F62</f>
        <v>66.753180321994847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305</v>
      </c>
      <c r="B30" s="1" t="s">
        <v>44</v>
      </c>
      <c r="C30" s="18">
        <f>'Raw Financials'!C86</f>
        <v>0</v>
      </c>
      <c r="D30" s="18">
        <f>'Raw Financials'!D86</f>
        <v>428.6</v>
      </c>
      <c r="E30" s="18">
        <f>'Raw Financials'!E86</f>
        <v>150</v>
      </c>
      <c r="F30" s="18">
        <f>'Raw Financials'!F86</f>
        <v>0</v>
      </c>
      <c r="G30" s="18">
        <f>'Raw Financials'!G86</f>
        <v>0</v>
      </c>
      <c r="H30" s="18">
        <f>'Raw Financials'!H86</f>
        <v>0</v>
      </c>
      <c r="I30" s="18">
        <f>'Raw Financials'!I86</f>
        <v>0</v>
      </c>
      <c r="J30" s="18">
        <f>'Raw Financials'!J86</f>
        <v>0</v>
      </c>
      <c r="K30" s="18">
        <f>'Raw Financials'!K86</f>
        <v>0</v>
      </c>
      <c r="L30" s="18">
        <f>'Raw Financials'!L86</f>
        <v>0</v>
      </c>
      <c r="M30" s="18">
        <f>'Raw Financials'!M86</f>
        <v>0</v>
      </c>
      <c r="N30" s="61">
        <f>'Annual P&amp;L'!N7*Assumptions!C68</f>
        <v>0</v>
      </c>
      <c r="O30" s="61">
        <f>'Annual P&amp;L'!O7*Assumptions!D68</f>
        <v>0</v>
      </c>
      <c r="P30" s="61">
        <f>'Annual P&amp;L'!P7*Assumptions!E68</f>
        <v>0</v>
      </c>
      <c r="Q30" s="61">
        <f>'Annual P&amp;L'!Q7*Assumptions!F68</f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306</v>
      </c>
      <c r="B31" s="1" t="s">
        <v>44</v>
      </c>
      <c r="C31" s="18">
        <f>'Raw Financials'!C87</f>
        <v>0</v>
      </c>
      <c r="D31" s="18">
        <f>'Raw Financials'!D87</f>
        <v>2932.1900966000003</v>
      </c>
      <c r="E31" s="18">
        <f>'Raw Financials'!E87</f>
        <v>2941.6707540000002</v>
      </c>
      <c r="F31" s="18">
        <f>'Raw Financials'!F87</f>
        <v>2906.3910000000001</v>
      </c>
      <c r="G31" s="18">
        <f>'Raw Financials'!G87</f>
        <v>3735.5</v>
      </c>
      <c r="H31" s="18">
        <f>'Raw Financials'!H87</f>
        <v>3328.1000000000004</v>
      </c>
      <c r="I31" s="18">
        <f>'Raw Financials'!I87</f>
        <v>675</v>
      </c>
      <c r="J31" s="18">
        <f>'Raw Financials'!J87</f>
        <v>499.90000000000003</v>
      </c>
      <c r="K31" s="18">
        <f>'Raw Financials'!K87</f>
        <v>431.90000000000003</v>
      </c>
      <c r="L31" s="18">
        <f>'Raw Financials'!L87</f>
        <v>412.3</v>
      </c>
      <c r="M31" s="18">
        <f>'Raw Financials'!M87</f>
        <v>447.6</v>
      </c>
      <c r="N31" s="61">
        <f>'Annual P&amp;L'!N7*Assumptions!C29</f>
        <v>465.80702403670705</v>
      </c>
      <c r="O31" s="61">
        <f>'Annual P&amp;L'!O7*Assumptions!D29</f>
        <v>483.68084112437418</v>
      </c>
      <c r="P31" s="61">
        <f>'Annual P&amp;L'!P7*Assumptions!E29</f>
        <v>506.70385297977003</v>
      </c>
      <c r="Q31" s="61">
        <f>'Annual P&amp;L'!Q7*Assumptions!F29</f>
        <v>534.02544257595878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307</v>
      </c>
      <c r="B32" s="1" t="s">
        <v>44</v>
      </c>
      <c r="C32" s="18">
        <f>'Raw Financials'!C88</f>
        <v>2241.993687655005</v>
      </c>
      <c r="D32" s="18">
        <f>'Raw Financials'!D88</f>
        <v>2157.1143895</v>
      </c>
      <c r="E32" s="18">
        <f>'Raw Financials'!E88</f>
        <v>1962.2995814999999</v>
      </c>
      <c r="F32" s="18">
        <f>'Raw Financials'!F88</f>
        <v>2677</v>
      </c>
      <c r="G32" s="18">
        <f>'Raw Financials'!G88</f>
        <v>3063.2000000000003</v>
      </c>
      <c r="H32" s="18">
        <f>'Raw Financials'!H88</f>
        <v>2933.1000000000004</v>
      </c>
      <c r="I32" s="18">
        <f>'Raw Financials'!I88</f>
        <v>3396.4</v>
      </c>
      <c r="J32" s="18">
        <f>'Raw Financials'!J88</f>
        <v>3989.7000000000003</v>
      </c>
      <c r="K32" s="18">
        <f>'Raw Financials'!K88</f>
        <v>4039.9</v>
      </c>
      <c r="L32" s="18">
        <f>'Raw Financials'!L88</f>
        <v>4245.5</v>
      </c>
      <c r="M32" s="18">
        <f>'Raw Financials'!M88</f>
        <v>5224.3</v>
      </c>
      <c r="N32" s="61">
        <f>'Annual P&amp;L'!N7*Assumptions!C30</f>
        <v>5356.7807764221316</v>
      </c>
      <c r="O32" s="61">
        <f>'Annual P&amp;L'!O7*Assumptions!D30</f>
        <v>5441.4094626492097</v>
      </c>
      <c r="P32" s="61">
        <f>'Annual P&amp;L'!P7*Assumptions!E30</f>
        <v>5573.7423827774701</v>
      </c>
      <c r="Q32" s="61">
        <f>'Annual P&amp;L'!Q7*Assumptions!F30</f>
        <v>5740.7735076915569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308</v>
      </c>
      <c r="B33" s="1" t="s">
        <v>44</v>
      </c>
      <c r="C33" s="18">
        <f>'Raw Financials'!C89</f>
        <v>0</v>
      </c>
      <c r="D33" s="18">
        <f>'Raw Financials'!D89</f>
        <v>26.5</v>
      </c>
      <c r="E33" s="18">
        <f>'Raw Financials'!E89</f>
        <v>0</v>
      </c>
      <c r="F33" s="18">
        <f>'Raw Financials'!F89</f>
        <v>0</v>
      </c>
      <c r="G33" s="18">
        <f>'Raw Financials'!G89</f>
        <v>0</v>
      </c>
      <c r="H33" s="18">
        <f>'Raw Financials'!H89</f>
        <v>0</v>
      </c>
      <c r="I33" s="18">
        <f>'Raw Financials'!I89</f>
        <v>0</v>
      </c>
      <c r="J33" s="18">
        <f>'Raw Financials'!J89</f>
        <v>0</v>
      </c>
      <c r="K33" s="18">
        <f>'Raw Financials'!K89</f>
        <v>0</v>
      </c>
      <c r="L33" s="18">
        <f>'Raw Financials'!L89</f>
        <v>0</v>
      </c>
      <c r="M33" s="18">
        <f>'Raw Financials'!M89</f>
        <v>0</v>
      </c>
      <c r="N33" s="61">
        <f>0</f>
        <v>0</v>
      </c>
      <c r="O33" s="61">
        <f>0</f>
        <v>0</v>
      </c>
      <c r="P33" s="61">
        <f>0</f>
        <v>0</v>
      </c>
      <c r="Q33" s="61">
        <f>0</f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64" t="s">
        <v>309</v>
      </c>
      <c r="B34" s="22" t="s">
        <v>44</v>
      </c>
      <c r="C34" s="23">
        <f>'Raw Financials'!C90</f>
        <v>14945.134129738395</v>
      </c>
      <c r="D34" s="23">
        <f>'Raw Financials'!D90</f>
        <v>16326.500319899998</v>
      </c>
      <c r="E34" s="23">
        <f>'Raw Financials'!E90</f>
        <v>18106.995814014404</v>
      </c>
      <c r="F34" s="23">
        <f>'Raw Financials'!F90</f>
        <v>21565.7656436</v>
      </c>
      <c r="G34" s="23">
        <f>'Raw Financials'!G90</f>
        <v>23172.267709600001</v>
      </c>
      <c r="H34" s="23">
        <f>'Raw Financials'!H90</f>
        <v>25255.316990400002</v>
      </c>
      <c r="I34" s="23">
        <f>'Raw Financials'!I90</f>
        <v>24455.655150400002</v>
      </c>
      <c r="J34" s="23">
        <f>'Raw Financials'!J90</f>
        <v>24432.702089800001</v>
      </c>
      <c r="K34" s="23">
        <f>'Raw Financials'!K90</f>
        <v>23425.285000000003</v>
      </c>
      <c r="L34" s="23">
        <f>'Raw Financials'!L90</f>
        <v>23679.200000000001</v>
      </c>
      <c r="M34" s="23">
        <f>'Raw Financials'!M90</f>
        <v>27574.7</v>
      </c>
      <c r="N34" s="63">
        <f>SUM(N24:N33)</f>
        <v>29627.399990080838</v>
      </c>
      <c r="O34" s="63">
        <f>SUM(O24:O33)</f>
        <v>31724.836537637973</v>
      </c>
      <c r="P34" s="63">
        <f>SUM(P24:P33)</f>
        <v>34025.988152983096</v>
      </c>
      <c r="Q34" s="63">
        <f>SUM(Q24:Q33)</f>
        <v>36585.928366579457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64" t="s">
        <v>310</v>
      </c>
      <c r="B35" s="22" t="s">
        <v>44</v>
      </c>
      <c r="C35" s="23">
        <f>'Raw Financials'!C91</f>
        <v>23507.012797857806</v>
      </c>
      <c r="D35" s="23">
        <f>'Raw Financials'!D91</f>
        <v>26066.5</v>
      </c>
      <c r="E35" s="23">
        <f>'Raw Financials'!E91</f>
        <v>30437.18221915227</v>
      </c>
      <c r="F35" s="23">
        <f>'Raw Financials'!F91</f>
        <v>33446.851252524059</v>
      </c>
      <c r="G35" s="23">
        <f>'Raw Financials'!G91</f>
        <v>37353.510161108003</v>
      </c>
      <c r="H35" s="23">
        <f>'Raw Financials'!H91</f>
        <v>39678.014190232905</v>
      </c>
      <c r="I35" s="23">
        <f>'Raw Financials'!I91</f>
        <v>44870.720410423135</v>
      </c>
      <c r="J35" s="23">
        <f>'Raw Financials'!J91</f>
        <v>46153.266733229</v>
      </c>
      <c r="K35" s="23">
        <f>'Raw Financials'!K91</f>
        <v>43423.583000000006</v>
      </c>
      <c r="L35" s="23">
        <f>'Raw Financials'!L91</f>
        <v>44494.475071200002</v>
      </c>
      <c r="M35" s="23">
        <f>'Raw Financials'!M91</f>
        <v>49369.4</v>
      </c>
      <c r="N35" s="63">
        <f>SUM(N23,N34)</f>
        <v>50961.92069258097</v>
      </c>
      <c r="O35" s="63">
        <f>SUM(O23,O34)</f>
        <v>52716.160763639775</v>
      </c>
      <c r="P35" s="63">
        <f>SUM(P23,P34)</f>
        <v>54775.348463322051</v>
      </c>
      <c r="Q35" s="63">
        <f>SUM(Q23,Q34)</f>
        <v>57180.350289989568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311</v>
      </c>
      <c r="B36" s="1" t="s">
        <v>44</v>
      </c>
      <c r="C36" s="18">
        <f>'Raw Financials'!C92</f>
        <v>483.90502432921204</v>
      </c>
      <c r="D36" s="18">
        <f>'Raw Financials'!D92</f>
        <v>438.79965000000004</v>
      </c>
      <c r="E36" s="18">
        <f>'Raw Financials'!E92</f>
        <v>441.68731400000001</v>
      </c>
      <c r="F36" s="18">
        <f>'Raw Financials'!F92</f>
        <v>443.73456930000003</v>
      </c>
      <c r="G36" s="18">
        <f>'Raw Financials'!G92</f>
        <v>435.87387259999997</v>
      </c>
      <c r="H36" s="18">
        <f>'Raw Financials'!H92</f>
        <v>436.98958599999997</v>
      </c>
      <c r="I36" s="18">
        <f>'Raw Financials'!I92</f>
        <v>438.80639709999997</v>
      </c>
      <c r="J36" s="18">
        <f>'Raw Financials'!J92</f>
        <v>440</v>
      </c>
      <c r="K36" s="18">
        <f>'Raw Financials'!K92</f>
        <v>441.30200000000008</v>
      </c>
      <c r="L36" s="18">
        <f>'Raw Financials'!L92</f>
        <v>442.40000000000003</v>
      </c>
      <c r="M36" s="18">
        <f>'Raw Financials'!M92</f>
        <v>442.8</v>
      </c>
      <c r="N36" s="61">
        <f>M36</f>
        <v>442.8</v>
      </c>
      <c r="O36" s="61">
        <f>N36</f>
        <v>442.8</v>
      </c>
      <c r="P36" s="61">
        <f>O36</f>
        <v>442.8</v>
      </c>
      <c r="Q36" s="61">
        <f>P36</f>
        <v>442.8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312</v>
      </c>
      <c r="B37" s="1" t="s">
        <v>44</v>
      </c>
      <c r="C37" s="18">
        <f>'Raw Financials'!C93</f>
        <v>13882.449228131894</v>
      </c>
      <c r="D37" s="18">
        <f>'Raw Financials'!D93</f>
        <v>15998.418793699999</v>
      </c>
      <c r="E37" s="18">
        <f>'Raw Financials'!E93</f>
        <v>18401.131304499999</v>
      </c>
      <c r="F37" s="18">
        <f>'Raw Financials'!F93</f>
        <v>19840.7</v>
      </c>
      <c r="G37" s="18">
        <f>'Raw Financials'!G93</f>
        <v>21377.200000000001</v>
      </c>
      <c r="H37" s="18">
        <f>'Raw Financials'!H93</f>
        <v>24428</v>
      </c>
      <c r="I37" s="18">
        <f>'Raw Financials'!I93</f>
        <v>26446.9</v>
      </c>
      <c r="J37" s="18">
        <f>'Raw Financials'!J93</f>
        <v>27484.5</v>
      </c>
      <c r="K37" s="18">
        <f>'Raw Financials'!K93</f>
        <v>26228.100000000002</v>
      </c>
      <c r="L37" s="18">
        <f>'Raw Financials'!L93</f>
        <v>26919.100000000002</v>
      </c>
      <c r="M37" s="18">
        <f>'Raw Financials'!M93</f>
        <v>29172.600000000002</v>
      </c>
      <c r="N37" s="61">
        <f>'BS Forecast Schedules'!D46</f>
        <v>30477.734888257219</v>
      </c>
      <c r="O37" s="61">
        <f>'BS Forecast Schedules'!E46</f>
        <v>31905.549686196766</v>
      </c>
      <c r="P37" s="61">
        <f>'BS Forecast Schedules'!F46</f>
        <v>33481.769698861164</v>
      </c>
      <c r="Q37" s="61">
        <f>'BS Forecast Schedules'!G46</f>
        <v>35217.063994845899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313</v>
      </c>
      <c r="B38" s="1" t="s">
        <v>44</v>
      </c>
      <c r="C38" s="18">
        <f>'Raw Financials'!C94</f>
        <v>14366.349252461107</v>
      </c>
      <c r="D38" s="18">
        <f>'Raw Financials'!D94</f>
        <v>16437.2184437</v>
      </c>
      <c r="E38" s="18">
        <f>'Raw Financials'!E94</f>
        <v>18842.818618500001</v>
      </c>
      <c r="F38" s="18">
        <f>'Raw Financials'!F94</f>
        <v>20284.434569300003</v>
      </c>
      <c r="G38" s="18">
        <f>'Raw Financials'!G94</f>
        <v>21813.073872600002</v>
      </c>
      <c r="H38" s="18">
        <f>'Raw Financials'!H94</f>
        <v>24864.989586</v>
      </c>
      <c r="I38" s="18">
        <f>'Raw Financials'!I94</f>
        <v>26885.706397100003</v>
      </c>
      <c r="J38" s="18">
        <f>'Raw Financials'!J94</f>
        <v>27924.5</v>
      </c>
      <c r="K38" s="18">
        <f>'Raw Financials'!K94</f>
        <v>26669.402270999999</v>
      </c>
      <c r="L38" s="18">
        <f>'Raw Financials'!L94</f>
        <v>27361.5</v>
      </c>
      <c r="M38" s="18">
        <f>'Raw Financials'!M94</f>
        <v>29615.4</v>
      </c>
      <c r="N38" s="61">
        <f>SUM(N36:N37)</f>
        <v>30920.534888257218</v>
      </c>
      <c r="O38" s="61">
        <f>SUM(O36:O37)</f>
        <v>32348.349686196765</v>
      </c>
      <c r="P38" s="61">
        <f>SUM(P36:P37)</f>
        <v>33924.569698861167</v>
      </c>
      <c r="Q38" s="61">
        <f>SUM(Q36:Q37)</f>
        <v>35659.863994845902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314</v>
      </c>
      <c r="B39" s="1" t="s">
        <v>44</v>
      </c>
      <c r="C39" s="18">
        <f>'Raw Financials'!C95</f>
        <v>201.952693039493</v>
      </c>
      <c r="D39" s="18">
        <f>'Raw Financials'!D95</f>
        <v>464.12045519999992</v>
      </c>
      <c r="E39" s="18">
        <f>'Raw Financials'!E95</f>
        <v>509.1</v>
      </c>
      <c r="F39" s="18">
        <f>'Raw Financials'!F95</f>
        <v>477.70000000000005</v>
      </c>
      <c r="G39" s="18">
        <f>'Raw Financials'!G95</f>
        <v>393.3</v>
      </c>
      <c r="H39" s="18">
        <f>'Raw Financials'!H95</f>
        <v>379.5</v>
      </c>
      <c r="I39" s="18">
        <f>'Raw Financials'!I95</f>
        <v>495.40000000000003</v>
      </c>
      <c r="J39" s="18">
        <f>'Raw Financials'!J95</f>
        <v>470.20000000000005</v>
      </c>
      <c r="K39" s="18">
        <f>'Raw Financials'!K95</f>
        <v>477.40000000000003</v>
      </c>
      <c r="L39" s="18">
        <f>'Raw Financials'!L95</f>
        <v>430.20000000000005</v>
      </c>
      <c r="M39" s="18">
        <f>'Raw Financials'!M95</f>
        <v>461.6</v>
      </c>
      <c r="N39" s="61">
        <f>M39</f>
        <v>461.6</v>
      </c>
      <c r="O39" s="61">
        <f>N39</f>
        <v>461.6</v>
      </c>
      <c r="P39" s="61">
        <f>O39</f>
        <v>461.6</v>
      </c>
      <c r="Q39" s="61">
        <f>P39</f>
        <v>461.6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64" t="s">
        <v>315</v>
      </c>
      <c r="B40" s="22" t="s">
        <v>44</v>
      </c>
      <c r="C40" s="23">
        <f>'Raw Financials'!C96</f>
        <v>14569.658526349254</v>
      </c>
      <c r="D40" s="23">
        <f>'Raw Financials'!D96</f>
        <v>16901.338898900001</v>
      </c>
      <c r="E40" s="23">
        <f>'Raw Financials'!E96</f>
        <v>19351.9186185</v>
      </c>
      <c r="F40" s="23">
        <f>'Raw Financials'!F96</f>
        <v>20762.134569300004</v>
      </c>
      <c r="G40" s="23">
        <f>'Raw Financials'!G96</f>
        <v>22206.373872600001</v>
      </c>
      <c r="H40" s="23">
        <f>'Raw Financials'!H96</f>
        <v>25244.489586</v>
      </c>
      <c r="I40" s="23">
        <f>'Raw Financials'!I96</f>
        <v>27381.106397100004</v>
      </c>
      <c r="J40" s="23">
        <f>'Raw Financials'!J96</f>
        <v>28394.7</v>
      </c>
      <c r="K40" s="23">
        <f>'Raw Financials'!K96</f>
        <v>27146.802000000003</v>
      </c>
      <c r="L40" s="23">
        <f>'Raw Financials'!L96</f>
        <v>27791.7</v>
      </c>
      <c r="M40" s="23">
        <f>'Raw Financials'!M96</f>
        <v>30077</v>
      </c>
      <c r="N40" s="63">
        <f>SUM(N38:N39)</f>
        <v>31382.134888257217</v>
      </c>
      <c r="O40" s="63">
        <f>SUM(O38:O39)</f>
        <v>32809.949686196764</v>
      </c>
      <c r="P40" s="63">
        <f>SUM(P38:P39)</f>
        <v>34386.169698861166</v>
      </c>
      <c r="Q40" s="63">
        <f>SUM(Q38:Q39)</f>
        <v>36121.463994845901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316</v>
      </c>
      <c r="B41" s="1" t="s">
        <v>44</v>
      </c>
      <c r="C41" s="18">
        <f>'Raw Financials'!C97</f>
        <v>196.69737942974146</v>
      </c>
      <c r="D41" s="18">
        <f>'Raw Financials'!D97</f>
        <v>385.25874910000005</v>
      </c>
      <c r="E41" s="18">
        <f>'Raw Financials'!E97</f>
        <v>771.09717560000001</v>
      </c>
      <c r="F41" s="18">
        <f>'Raw Financials'!F97</f>
        <v>208.60000000000002</v>
      </c>
      <c r="G41" s="18">
        <f>'Raw Financials'!G97</f>
        <v>178.70000000000002</v>
      </c>
      <c r="H41" s="18">
        <f>'Raw Financials'!H97</f>
        <v>165.8</v>
      </c>
      <c r="I41" s="18">
        <f>'Raw Financials'!I97</f>
        <v>142</v>
      </c>
      <c r="J41" s="18">
        <f>'Raw Financials'!J97</f>
        <v>128.80000000000001</v>
      </c>
      <c r="K41" s="18">
        <f>'Raw Financials'!K97</f>
        <v>102.5</v>
      </c>
      <c r="L41" s="18">
        <f>'Raw Financials'!L97</f>
        <v>0</v>
      </c>
      <c r="M41" s="18">
        <f>'Raw Financials'!M97</f>
        <v>0</v>
      </c>
      <c r="N41" s="61">
        <f>'BS Forecast Schedules'!D38</f>
        <v>59.160000000000011</v>
      </c>
      <c r="O41" s="61">
        <f>'BS Forecast Schedules'!E38</f>
        <v>59.160000000000011</v>
      </c>
      <c r="P41" s="61">
        <f>'BS Forecast Schedules'!F38</f>
        <v>59.160000000000011</v>
      </c>
      <c r="Q41" s="61">
        <f>'BS Forecast Schedules'!G38</f>
        <v>59.160000000000011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317</v>
      </c>
      <c r="B42" s="1" t="s">
        <v>44</v>
      </c>
      <c r="C42" s="18">
        <f>'Raw Financials'!C98</f>
        <v>0</v>
      </c>
      <c r="D42" s="18">
        <f>'Raw Financials'!D98</f>
        <v>0</v>
      </c>
      <c r="E42" s="18">
        <f>'Raw Financials'!E98</f>
        <v>0</v>
      </c>
      <c r="F42" s="18">
        <f>'Raw Financials'!F98</f>
        <v>0</v>
      </c>
      <c r="G42" s="18">
        <f>'Raw Financials'!G98</f>
        <v>853.90000000000009</v>
      </c>
      <c r="H42" s="18">
        <f>'Raw Financials'!H98</f>
        <v>807.7</v>
      </c>
      <c r="I42" s="18">
        <f>'Raw Financials'!I98</f>
        <v>720</v>
      </c>
      <c r="J42" s="18">
        <f>'Raw Financials'!J98</f>
        <v>790.30000000000007</v>
      </c>
      <c r="K42" s="18">
        <f>'Raw Financials'!K98</f>
        <v>670.90000000000009</v>
      </c>
      <c r="L42" s="18">
        <f>'Raw Financials'!L98</f>
        <v>1147.2</v>
      </c>
      <c r="M42" s="18">
        <f>'Raw Financials'!M98</f>
        <v>1588.8000000000002</v>
      </c>
      <c r="N42" s="61">
        <f>'BS Forecast Schedules'!D31</f>
        <v>1635.2479020412957</v>
      </c>
      <c r="O42" s="61">
        <f>'BS Forecast Schedules'!E31</f>
        <v>1688.8144776938279</v>
      </c>
      <c r="P42" s="61">
        <f>'BS Forecast Schedules'!F31</f>
        <v>1752.211968987921</v>
      </c>
      <c r="Q42" s="61">
        <f>'BS Forecast Schedules'!G31</f>
        <v>1827.3270011894983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318</v>
      </c>
      <c r="B43" s="1" t="s">
        <v>44</v>
      </c>
      <c r="C43" s="18">
        <f>'Raw Financials'!C99</f>
        <v>0</v>
      </c>
      <c r="D43" s="18">
        <f>'Raw Financials'!D99</f>
        <v>0</v>
      </c>
      <c r="E43" s="18">
        <f>'Raw Financials'!E99</f>
        <v>0</v>
      </c>
      <c r="F43" s="18">
        <f>'Raw Financials'!F99</f>
        <v>0</v>
      </c>
      <c r="G43" s="18">
        <f>'Raw Financials'!G99</f>
        <v>0</v>
      </c>
      <c r="H43" s="18">
        <f>'Raw Financials'!H99</f>
        <v>0</v>
      </c>
      <c r="I43" s="18">
        <f>'Raw Financials'!I99</f>
        <v>0</v>
      </c>
      <c r="J43" s="18">
        <f>'Raw Financials'!J99</f>
        <v>0</v>
      </c>
      <c r="K43" s="18">
        <f>'Raw Financials'!K99</f>
        <v>0</v>
      </c>
      <c r="L43" s="18">
        <f>'Raw Financials'!L99</f>
        <v>0</v>
      </c>
      <c r="M43" s="18">
        <f>'Raw Financials'!M99</f>
        <v>0</v>
      </c>
      <c r="N43" s="61">
        <f>M43</f>
        <v>0</v>
      </c>
      <c r="O43" s="61">
        <f>N43</f>
        <v>0</v>
      </c>
      <c r="P43" s="61">
        <f>O43</f>
        <v>0</v>
      </c>
      <c r="Q43" s="61">
        <f>P43</f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319</v>
      </c>
      <c r="B44" s="1" t="s">
        <v>44</v>
      </c>
      <c r="C44" s="18">
        <f>'Raw Financials'!C100</f>
        <v>0</v>
      </c>
      <c r="D44" s="18">
        <f>'Raw Financials'!D100</f>
        <v>496.4981368</v>
      </c>
      <c r="E44" s="18">
        <f>'Raw Financials'!E100</f>
        <v>572.91769150000016</v>
      </c>
      <c r="F44" s="18">
        <f>'Raw Financials'!F100</f>
        <v>300.90000000000003</v>
      </c>
      <c r="G44" s="18">
        <f>'Raw Financials'!G100</f>
        <v>1232.3000000000002</v>
      </c>
      <c r="H44" s="18">
        <f>'Raw Financials'!H100</f>
        <v>922.5</v>
      </c>
      <c r="I44" s="18">
        <f>'Raw Financials'!I100</f>
        <v>1478</v>
      </c>
      <c r="J44" s="18">
        <f>'Raw Financials'!J100</f>
        <v>1008.3000000000001</v>
      </c>
      <c r="K44" s="18">
        <f>'Raw Financials'!K100</f>
        <v>54.5</v>
      </c>
      <c r="L44" s="18">
        <f>'Raw Financials'!L100</f>
        <v>16</v>
      </c>
      <c r="M44" s="18">
        <f>'Raw Financials'!M100</f>
        <v>54.800000000000004</v>
      </c>
      <c r="N44" s="61">
        <f>'Annual P&amp;L'!N7*Assumptions!C69</f>
        <v>58.225878004588381</v>
      </c>
      <c r="O44" s="61">
        <f>'Annual P&amp;L'!O7*Assumptions!D69</f>
        <v>60.460105140546773</v>
      </c>
      <c r="P44" s="61">
        <f>'Annual P&amp;L'!P7*Assumptions!E69</f>
        <v>63.337981622471254</v>
      </c>
      <c r="Q44" s="61">
        <f>'Annual P&amp;L'!Q7*Assumptions!F69</f>
        <v>66.753180321994847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320</v>
      </c>
      <c r="B45" s="1" t="s">
        <v>44</v>
      </c>
      <c r="C45" s="18">
        <f>'Raw Financials'!C101</f>
        <v>531.05074831946558</v>
      </c>
      <c r="D45" s="18">
        <f>'Raw Financials'!D101</f>
        <v>620.0808399</v>
      </c>
      <c r="E45" s="18">
        <f>'Raw Financials'!E101</f>
        <v>555.13775609999993</v>
      </c>
      <c r="F45" s="18">
        <f>'Raw Financials'!F101</f>
        <v>580.1</v>
      </c>
      <c r="G45" s="18">
        <f>'Raw Financials'!G101</f>
        <v>669.1</v>
      </c>
      <c r="H45" s="18">
        <f>'Raw Financials'!H101</f>
        <v>781.03016000000002</v>
      </c>
      <c r="I45" s="18">
        <f>'Raw Financials'!I101</f>
        <v>881.1</v>
      </c>
      <c r="J45" s="18">
        <f>'Raw Financials'!J101</f>
        <v>928.80000000000007</v>
      </c>
      <c r="K45" s="18">
        <f>'Raw Financials'!K101</f>
        <v>1302.1000000000001</v>
      </c>
      <c r="L45" s="18">
        <f>'Raw Financials'!L101</f>
        <v>1402.7</v>
      </c>
      <c r="M45" s="18">
        <f>'Raw Financials'!M101</f>
        <v>1715.9</v>
      </c>
      <c r="N45" s="61">
        <f>'Annual P&amp;L'!N7*Assumptions!C66</f>
        <v>1746.7763401376515</v>
      </c>
      <c r="O45" s="61">
        <f>'Annual P&amp;L'!O7*Assumptions!D66</f>
        <v>1753.3430490758565</v>
      </c>
      <c r="P45" s="61">
        <f>'Annual P&amp;L'!P7*Assumptions!E66</f>
        <v>1773.4634854291951</v>
      </c>
      <c r="Q45" s="61">
        <f>'Annual P&amp;L'!Q7*Assumptions!F66</f>
        <v>1802.3358686938609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321</v>
      </c>
      <c r="B46" s="1" t="s">
        <v>44</v>
      </c>
      <c r="C46" s="18">
        <f>'Raw Financials'!C102</f>
        <v>0</v>
      </c>
      <c r="D46" s="18">
        <f>'Raw Financials'!D102</f>
        <v>9.5296524000000016</v>
      </c>
      <c r="E46" s="18">
        <f>'Raw Financials'!E102</f>
        <v>5.8087075000000006</v>
      </c>
      <c r="F46" s="18">
        <f>'Raw Financials'!F102</f>
        <v>1.1000000000000001</v>
      </c>
      <c r="G46" s="18">
        <f>'Raw Financials'!G102</f>
        <v>35.6</v>
      </c>
      <c r="H46" s="18">
        <f>'Raw Financials'!H102</f>
        <v>76.100000000000009</v>
      </c>
      <c r="I46" s="18">
        <f>'Raw Financials'!I102</f>
        <v>455.20000000000005</v>
      </c>
      <c r="J46" s="18">
        <f>'Raw Financials'!J102</f>
        <v>326.10000000000002</v>
      </c>
      <c r="K46" s="18">
        <f>'Raw Financials'!K102</f>
        <v>274.5</v>
      </c>
      <c r="L46" s="18">
        <f>'Raw Financials'!L102</f>
        <v>227.9</v>
      </c>
      <c r="M46" s="18">
        <f>'Raw Financials'!M102</f>
        <v>201.70000000000002</v>
      </c>
      <c r="N46" s="61">
        <f>'Annual P&amp;L'!N7*Assumptions!C67</f>
        <v>203.79057301605934</v>
      </c>
      <c r="O46" s="61">
        <f>'Annual P&amp;L'!O7*Assumptions!D67</f>
        <v>211.61036799191371</v>
      </c>
      <c r="P46" s="61">
        <f>'Annual P&amp;L'!P7*Assumptions!E67</f>
        <v>221.68293567864939</v>
      </c>
      <c r="Q46" s="61">
        <f>'Annual P&amp;L'!Q7*Assumptions!F67</f>
        <v>233.63613112698198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322</v>
      </c>
      <c r="B47" s="1" t="s">
        <v>44</v>
      </c>
      <c r="C47" s="18">
        <f>'Raw Financials'!C103</f>
        <v>23.133231427792989</v>
      </c>
      <c r="D47" s="18">
        <f>'Raw Financials'!D103</f>
        <v>30.507533100000003</v>
      </c>
      <c r="E47" s="18">
        <f>'Raw Financials'!E103</f>
        <v>33.334565500000004</v>
      </c>
      <c r="F47" s="18">
        <f>'Raw Financials'!F103</f>
        <v>32.5</v>
      </c>
      <c r="G47" s="18">
        <f>'Raw Financials'!G103</f>
        <v>21.400000000000002</v>
      </c>
      <c r="H47" s="18">
        <f>'Raw Financials'!H103</f>
        <v>172.46984</v>
      </c>
      <c r="I47" s="18">
        <f>'Raw Financials'!I103</f>
        <v>78.100000000000009</v>
      </c>
      <c r="J47" s="18">
        <f>'Raw Financials'!J103</f>
        <v>24.900000000000002</v>
      </c>
      <c r="K47" s="18">
        <f>'Raw Financials'!K103</f>
        <v>25.3</v>
      </c>
      <c r="L47" s="18">
        <f>'Raw Financials'!L103</f>
        <v>4.6000000000000005</v>
      </c>
      <c r="M47" s="18">
        <f>'Raw Financials'!M103</f>
        <v>3.3000000000000003</v>
      </c>
      <c r="N47" s="61">
        <f>'Annual P&amp;L'!N7*Assumptions!C34</f>
        <v>58.225878004588381</v>
      </c>
      <c r="O47" s="61">
        <f>'Annual P&amp;L'!O7*Assumptions!D34</f>
        <v>60.460105140546773</v>
      </c>
      <c r="P47" s="61">
        <f>'Annual P&amp;L'!P7*Assumptions!E34</f>
        <v>63.337981622471254</v>
      </c>
      <c r="Q47" s="61">
        <f>'Annual P&amp;L'!Q7*Assumptions!F34</f>
        <v>66.753180321994847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64" t="s">
        <v>323</v>
      </c>
      <c r="B48" s="22" t="s">
        <v>44</v>
      </c>
      <c r="C48" s="23">
        <f>'Raw Financials'!C104</f>
        <v>750.88135917700004</v>
      </c>
      <c r="D48" s="23">
        <f>'Raw Financials'!D104</f>
        <v>1541.8749112999999</v>
      </c>
      <c r="E48" s="23">
        <f>'Raw Financials'!E104</f>
        <v>1938.2128961999999</v>
      </c>
      <c r="F48" s="23">
        <f>'Raw Financials'!F104</f>
        <v>1123.2</v>
      </c>
      <c r="G48" s="23">
        <f>'Raw Financials'!G104</f>
        <v>2991</v>
      </c>
      <c r="H48" s="23">
        <f>'Raw Financials'!H104</f>
        <v>2925.6000000000004</v>
      </c>
      <c r="I48" s="23">
        <f>'Raw Financials'!I104</f>
        <v>3754.4</v>
      </c>
      <c r="J48" s="23">
        <f>'Raw Financials'!J104</f>
        <v>3207.2000000000003</v>
      </c>
      <c r="K48" s="23">
        <f>'Raw Financials'!K104</f>
        <v>2429.8000000000002</v>
      </c>
      <c r="L48" s="23">
        <f>'Raw Financials'!L104</f>
        <v>2798.4</v>
      </c>
      <c r="M48" s="23">
        <f>'Raw Financials'!M104</f>
        <v>3564.5</v>
      </c>
      <c r="N48" s="63">
        <f>SUM(N41:N47)</f>
        <v>3761.4265712041833</v>
      </c>
      <c r="O48" s="63">
        <f>SUM(O41:O47)</f>
        <v>3833.8481050426917</v>
      </c>
      <c r="P48" s="63">
        <f>SUM(P41:P47)</f>
        <v>3933.1943533407079</v>
      </c>
      <c r="Q48" s="63">
        <f>SUM(Q41:Q47)</f>
        <v>4055.9653616543314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324</v>
      </c>
      <c r="B49" s="1" t="s">
        <v>44</v>
      </c>
      <c r="C49" s="18">
        <f>'Raw Financials'!C105</f>
        <v>805.50420320652302</v>
      </c>
      <c r="D49" s="18">
        <f>'Raw Financials'!D105</f>
        <v>834.17692030000001</v>
      </c>
      <c r="E49" s="18">
        <f>'Raw Financials'!E105</f>
        <v>954.85590390000004</v>
      </c>
      <c r="F49" s="18">
        <f>'Raw Financials'!F105</f>
        <v>1196.1000000000001</v>
      </c>
      <c r="G49" s="18">
        <f>'Raw Financials'!G105</f>
        <v>2249.5</v>
      </c>
      <c r="H49" s="18">
        <f>'Raw Financials'!H105</f>
        <v>1496</v>
      </c>
      <c r="I49" s="18">
        <f>'Raw Financials'!I105</f>
        <v>1439.7360922</v>
      </c>
      <c r="J49" s="18">
        <f>'Raw Financials'!J105</f>
        <v>1449.4</v>
      </c>
      <c r="K49" s="18">
        <f>'Raw Financials'!K105</f>
        <v>1428.5</v>
      </c>
      <c r="L49" s="18">
        <f>'Raw Financials'!L105</f>
        <v>471.40000000000003</v>
      </c>
      <c r="M49" s="18">
        <f>'Raw Financials'!M105</f>
        <v>69.600000000000009</v>
      </c>
      <c r="N49" s="61">
        <f>'BS Forecast Schedules'!D37</f>
        <v>10.440000000000001</v>
      </c>
      <c r="O49" s="61">
        <f>'BS Forecast Schedules'!E37</f>
        <v>10.440000000000001</v>
      </c>
      <c r="P49" s="61">
        <f>'BS Forecast Schedules'!F37</f>
        <v>10.440000000000001</v>
      </c>
      <c r="Q49" s="61">
        <f>'BS Forecast Schedules'!G37</f>
        <v>10.440000000000001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325</v>
      </c>
      <c r="B50" s="1" t="s">
        <v>44</v>
      </c>
      <c r="C50" s="18">
        <f>'Raw Financials'!C106</f>
        <v>0</v>
      </c>
      <c r="D50" s="18">
        <f>'Raw Financials'!D106</f>
        <v>0</v>
      </c>
      <c r="E50" s="18">
        <f>'Raw Financials'!E106</f>
        <v>0</v>
      </c>
      <c r="F50" s="18">
        <f>'Raw Financials'!F106</f>
        <v>0</v>
      </c>
      <c r="G50" s="18">
        <f>'Raw Financials'!G106</f>
        <v>345.90000000000003</v>
      </c>
      <c r="H50" s="18">
        <f>'Raw Financials'!H106</f>
        <v>400.3</v>
      </c>
      <c r="I50" s="18">
        <f>'Raw Financials'!I106</f>
        <v>316.70000000000005</v>
      </c>
      <c r="J50" s="18">
        <f>'Raw Financials'!J106</f>
        <v>371.70000000000005</v>
      </c>
      <c r="K50" s="18">
        <f>'Raw Financials'!K106</f>
        <v>334.8</v>
      </c>
      <c r="L50" s="18">
        <f>'Raw Financials'!L106</f>
        <v>406.6</v>
      </c>
      <c r="M50" s="18">
        <f>'Raw Financials'!M106</f>
        <v>527.80000000000007</v>
      </c>
      <c r="N50" s="61">
        <f>'BS Forecast Schedules'!D30</f>
        <v>545.08263401376519</v>
      </c>
      <c r="O50" s="61">
        <f>'BS Forecast Schedules'!E30</f>
        <v>562.93815923127602</v>
      </c>
      <c r="P50" s="61">
        <f>'BS Forecast Schedules'!F30</f>
        <v>584.07065632930698</v>
      </c>
      <c r="Q50" s="61">
        <f>'BS Forecast Schedules'!G30</f>
        <v>609.10900039649948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326</v>
      </c>
      <c r="B51" s="1" t="s">
        <v>44</v>
      </c>
      <c r="C51" s="18">
        <f>'Raw Financials'!C107</f>
        <v>2275.6956756556992</v>
      </c>
      <c r="D51" s="18">
        <f>'Raw Financials'!D107</f>
        <v>2311.6995124</v>
      </c>
      <c r="E51" s="18">
        <f>'Raw Financials'!E107</f>
        <v>2036.8357435999999</v>
      </c>
      <c r="F51" s="18">
        <f>'Raw Financials'!F107</f>
        <v>2489.3000000000002</v>
      </c>
      <c r="G51" s="18">
        <f>'Raw Financials'!G107</f>
        <v>3256.6000000000004</v>
      </c>
      <c r="H51" s="18">
        <f>'Raw Financials'!H107</f>
        <v>2785</v>
      </c>
      <c r="I51" s="18">
        <f>'Raw Financials'!I107</f>
        <v>4094.7000000000003</v>
      </c>
      <c r="J51" s="18">
        <f>'Raw Financials'!J107</f>
        <v>4384.6000000000004</v>
      </c>
      <c r="K51" s="18">
        <f>'Raw Financials'!K107</f>
        <v>3785.3</v>
      </c>
      <c r="L51" s="18">
        <f>'Raw Financials'!L107</f>
        <v>4410.8</v>
      </c>
      <c r="M51" s="18">
        <f>'Raw Financials'!M107</f>
        <v>5040</v>
      </c>
      <c r="N51" s="61">
        <f>'Annual P&amp;L'!N7*Assumptions!C48</f>
        <v>5123.8772644037772</v>
      </c>
      <c r="O51" s="61">
        <f>'Annual P&amp;L'!O7*Assumptions!D48</f>
        <v>5260.0291472275685</v>
      </c>
      <c r="P51" s="61">
        <f>'Annual P&amp;L'!P7*Assumptions!E48</f>
        <v>5447.066419532528</v>
      </c>
      <c r="Q51" s="61">
        <f>'Annual P&amp;L'!Q7*Assumptions!F48</f>
        <v>5674.0203273695624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327</v>
      </c>
      <c r="B52" s="1" t="s">
        <v>44</v>
      </c>
      <c r="C52" s="18">
        <f>'Raw Financials'!C108</f>
        <v>0</v>
      </c>
      <c r="D52" s="18">
        <f>'Raw Financials'!D108</f>
        <v>422.96500600000002</v>
      </c>
      <c r="E52" s="18">
        <f>'Raw Financials'!E108</f>
        <v>1876.8923647000001</v>
      </c>
      <c r="F52" s="18">
        <f>'Raw Financials'!F108</f>
        <v>3472.6000000000004</v>
      </c>
      <c r="G52" s="18">
        <f>'Raw Financials'!G108</f>
        <v>1789.8000000000002</v>
      </c>
      <c r="H52" s="18">
        <f>'Raw Financials'!H108</f>
        <v>2091</v>
      </c>
      <c r="I52" s="18">
        <f>'Raw Financials'!I108</f>
        <v>3024.4</v>
      </c>
      <c r="J52" s="18">
        <f>'Raw Financials'!J108</f>
        <v>2961.7000000000003</v>
      </c>
      <c r="K52" s="18">
        <f>'Raw Financials'!K108</f>
        <v>2394.3000000000002</v>
      </c>
      <c r="L52" s="18">
        <f>'Raw Financials'!L108</f>
        <v>2284.5</v>
      </c>
      <c r="M52" s="18">
        <f>'Raw Financials'!M108</f>
        <v>2992.9</v>
      </c>
      <c r="N52" s="61">
        <f>'Annual P&amp;L'!N7*Assumptions!C51</f>
        <v>3027.745656238596</v>
      </c>
      <c r="O52" s="61">
        <f>'Annual P&amp;L'!O7*Assumptions!D51</f>
        <v>3083.4653621678854</v>
      </c>
      <c r="P52" s="61">
        <f>'Annual P&amp;L'!P7*Assumptions!E51</f>
        <v>3166.8990811235631</v>
      </c>
      <c r="Q52" s="61">
        <f>'Annual P&amp;L'!Q7*Assumptions!F51</f>
        <v>3270.9058357777476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328</v>
      </c>
      <c r="B53" s="1" t="s">
        <v>44</v>
      </c>
      <c r="C53" s="18">
        <f>'Raw Financials'!C109</f>
        <v>2409.2860596919923</v>
      </c>
      <c r="D53" s="18">
        <f>'Raw Financials'!D109</f>
        <v>387.03692369999999</v>
      </c>
      <c r="E53" s="18">
        <f>'Raw Financials'!E109</f>
        <v>403.04640600000005</v>
      </c>
      <c r="F53" s="18">
        <f>'Raw Financials'!F109</f>
        <v>395.20000000000005</v>
      </c>
      <c r="G53" s="18">
        <f>'Raw Financials'!G109</f>
        <v>436.40000010000006</v>
      </c>
      <c r="H53" s="18">
        <f>'Raw Financials'!H109</f>
        <v>531.1</v>
      </c>
      <c r="I53" s="18">
        <f>'Raw Financials'!I109</f>
        <v>671.6</v>
      </c>
      <c r="J53" s="18">
        <f>'Raw Financials'!J109</f>
        <v>631.30000000000007</v>
      </c>
      <c r="K53" s="18">
        <f>'Raw Financials'!K109</f>
        <v>1137.2</v>
      </c>
      <c r="L53" s="18">
        <f>'Raw Financials'!L109</f>
        <v>1277</v>
      </c>
      <c r="M53" s="18">
        <f>'Raw Financials'!M109</f>
        <v>1208.6000000000001</v>
      </c>
      <c r="N53" s="61">
        <f>'Annual P&amp;L'!N7*Assumptions!C49</f>
        <v>1280.9693161009443</v>
      </c>
      <c r="O53" s="61">
        <f>'Annual P&amp;L'!O7*Assumptions!D49</f>
        <v>1269.6622079514823</v>
      </c>
      <c r="P53" s="61">
        <f>'Annual P&amp;L'!P7*Assumptions!E49</f>
        <v>1266.7596324494252</v>
      </c>
      <c r="Q53" s="61">
        <f>'Annual P&amp;L'!Q7*Assumptions!F49</f>
        <v>1335.0636064398971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329</v>
      </c>
      <c r="B54" s="1" t="s">
        <v>44</v>
      </c>
      <c r="C54" s="18">
        <f>'Raw Financials'!C110</f>
        <v>0</v>
      </c>
      <c r="D54" s="18">
        <f>'Raw Financials'!D110</f>
        <v>824.55692710000005</v>
      </c>
      <c r="E54" s="18">
        <f>'Raw Financials'!E110</f>
        <v>937.8787354000001</v>
      </c>
      <c r="F54" s="18">
        <f>'Raw Financials'!F110</f>
        <v>1017.5</v>
      </c>
      <c r="G54" s="18">
        <f>'Raw Financials'!G110</f>
        <v>1020.5</v>
      </c>
      <c r="H54" s="18">
        <f>'Raw Financials'!H110</f>
        <v>1114.3</v>
      </c>
      <c r="I54" s="18">
        <f>'Raw Financials'!I110</f>
        <v>1044.1000000000001</v>
      </c>
      <c r="J54" s="18">
        <f>'Raw Financials'!J110</f>
        <v>1540.5</v>
      </c>
      <c r="K54" s="18">
        <f>'Raw Financials'!K110</f>
        <v>1289.4000000000001</v>
      </c>
      <c r="L54" s="18">
        <f>'Raw Financials'!L110</f>
        <v>1771</v>
      </c>
      <c r="M54" s="18">
        <f>'Raw Financials'!M110</f>
        <v>2146.7000000000003</v>
      </c>
      <c r="N54" s="61">
        <f>'Annual P&amp;L'!N7*Assumptions!C47</f>
        <v>2037.9057301605935</v>
      </c>
      <c r="O54" s="61">
        <f>'Annual P&amp;L'!O7*Assumptions!D47</f>
        <v>2055.6435747785904</v>
      </c>
      <c r="P54" s="61">
        <f>'Annual P&amp;L'!P7*Assumptions!E47</f>
        <v>2090.1533935415514</v>
      </c>
      <c r="Q54" s="61">
        <f>'Annual P&amp;L'!Q7*Assumptions!F47</f>
        <v>2136.1017703038351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330</v>
      </c>
      <c r="B55" s="1" t="s">
        <v>44</v>
      </c>
      <c r="C55" s="18">
        <f>'Raw Financials'!C111</f>
        <v>1465.6719012582494</v>
      </c>
      <c r="D55" s="18">
        <f>'Raw Financials'!D111</f>
        <v>1612.4483568000001</v>
      </c>
      <c r="E55" s="18">
        <f>'Raw Financials'!E111</f>
        <v>1707.1953520000004</v>
      </c>
      <c r="F55" s="18">
        <f>'Raw Financials'!F111</f>
        <v>1760.5</v>
      </c>
      <c r="G55" s="18">
        <f>'Raw Financials'!G111</f>
        <v>1827</v>
      </c>
      <c r="H55" s="18">
        <f>'Raw Financials'!H111</f>
        <v>1859.8000000000002</v>
      </c>
      <c r="I55" s="18">
        <f>'Raw Financials'!I111</f>
        <v>1913.6000000000001</v>
      </c>
      <c r="J55" s="18">
        <f>'Raw Financials'!J111</f>
        <v>1981.8000000000002</v>
      </c>
      <c r="K55" s="18">
        <f>'Raw Financials'!K111</f>
        <v>2247.1</v>
      </c>
      <c r="L55" s="18">
        <f>'Raw Financials'!L111</f>
        <v>2052.7000000000003</v>
      </c>
      <c r="M55" s="18">
        <f>'Raw Financials'!M111</f>
        <v>2511.9</v>
      </c>
      <c r="N55" s="61">
        <f>'Annual P&amp;L'!N7*Assumptions!C50</f>
        <v>2561.9386322018886</v>
      </c>
      <c r="O55" s="61">
        <f>'Annual P&amp;L'!O7*Assumptions!D50</f>
        <v>2599.7845210435112</v>
      </c>
      <c r="P55" s="61">
        <f>'Annual P&amp;L'!P7*Assumptions!E50</f>
        <v>2660.195228143793</v>
      </c>
      <c r="Q55" s="61">
        <f>'Annual P&amp;L'!Q7*Assumptions!F50</f>
        <v>2736.880393201789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64" t="s">
        <v>331</v>
      </c>
      <c r="B56" s="22" t="s">
        <v>44</v>
      </c>
      <c r="C56" s="23">
        <f>'Raw Financials'!C112</f>
        <v>6955.9998604124648</v>
      </c>
      <c r="D56" s="23">
        <f>'Raw Financials'!D112</f>
        <v>6392.8836462999998</v>
      </c>
      <c r="E56" s="23">
        <f>'Raw Financials'!E112</f>
        <v>7916.6635056000005</v>
      </c>
      <c r="F56" s="23">
        <f>'Raw Financials'!F112</f>
        <v>10331.200000000001</v>
      </c>
      <c r="G56" s="23">
        <f>'Raw Financials'!G112</f>
        <v>10925.700000100001</v>
      </c>
      <c r="H56" s="23">
        <f>'Raw Financials'!H112</f>
        <v>10277.5</v>
      </c>
      <c r="I56" s="23">
        <f>'Raw Financials'!I112</f>
        <v>12504.836092199999</v>
      </c>
      <c r="J56" s="23">
        <f>'Raw Financials'!J112</f>
        <v>13321</v>
      </c>
      <c r="K56" s="23">
        <f>'Raw Financials'!K112</f>
        <v>12616.6</v>
      </c>
      <c r="L56" s="23">
        <f>'Raw Financials'!L112</f>
        <v>12674</v>
      </c>
      <c r="M56" s="23">
        <f>'Raw Financials'!M112</f>
        <v>14497.5</v>
      </c>
      <c r="N56" s="63">
        <f>SUM(N49:N55)</f>
        <v>14587.959233119564</v>
      </c>
      <c r="O56" s="63">
        <f>SUM(O49:O55)</f>
        <v>14841.962972400313</v>
      </c>
      <c r="P56" s="63">
        <f>SUM(P49:P55)</f>
        <v>15225.58441112017</v>
      </c>
      <c r="Q56" s="63">
        <f>SUM(Q49:Q55)</f>
        <v>15772.520933489332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332</v>
      </c>
      <c r="B57" s="1" t="s">
        <v>44</v>
      </c>
      <c r="C57" s="18">
        <f>'Raw Financials'!C113</f>
        <v>1230.3999999994962</v>
      </c>
      <c r="D57" s="18">
        <f>'Raw Financials'!D113</f>
        <v>1230.4000000000001</v>
      </c>
      <c r="E57" s="18">
        <f>'Raw Financials'!E113</f>
        <v>1230.4000000000001</v>
      </c>
      <c r="F57" s="18">
        <f>'Raw Financials'!F113</f>
        <v>1230.4000000000001</v>
      </c>
      <c r="G57" s="18">
        <f>'Raw Financials'!G113</f>
        <v>1230.4000000000001</v>
      </c>
      <c r="H57" s="18">
        <f>'Raw Financials'!H113</f>
        <v>1230.4000000000001</v>
      </c>
      <c r="I57" s="18">
        <f>'Raw Financials'!I113</f>
        <v>1230.4000000000001</v>
      </c>
      <c r="J57" s="18">
        <f>'Raw Financials'!J113</f>
        <v>1230.4000000000001</v>
      </c>
      <c r="K57" s="18">
        <f>'Raw Financials'!K113</f>
        <v>1230.4000000000001</v>
      </c>
      <c r="L57" s="18">
        <f>'Raw Financials'!L113</f>
        <v>1230.4000000000001</v>
      </c>
      <c r="M57" s="18">
        <f>'Raw Financials'!M113</f>
        <v>1230.4000000000001</v>
      </c>
      <c r="N57" s="61">
        <f>M57</f>
        <v>1230.4000000000001</v>
      </c>
      <c r="O57" s="61">
        <f>N57</f>
        <v>1230.4000000000001</v>
      </c>
      <c r="P57" s="61">
        <f>O57</f>
        <v>1230.4000000000001</v>
      </c>
      <c r="Q57" s="61">
        <f>P57</f>
        <v>1230.4000000000001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64" t="s">
        <v>333</v>
      </c>
      <c r="B58" s="22" t="s">
        <v>44</v>
      </c>
      <c r="C58" s="23">
        <f>'Raw Financials'!C114</f>
        <v>23506.954745938216</v>
      </c>
      <c r="D58" s="23">
        <f>'Raw Financials'!D114</f>
        <v>26066.497456500001</v>
      </c>
      <c r="E58" s="23">
        <f>'Raw Financials'!E114</f>
        <v>30437.227020300001</v>
      </c>
      <c r="F58" s="23">
        <f>'Raw Financials'!F114</f>
        <v>33446.9345693</v>
      </c>
      <c r="G58" s="23">
        <f>'Raw Financials'!G114</f>
        <v>37353.4738727</v>
      </c>
      <c r="H58" s="23">
        <f>'Raw Financials'!H114</f>
        <v>39677.989586000003</v>
      </c>
      <c r="I58" s="23">
        <f>'Raw Financials'!I114</f>
        <v>44870.742489300006</v>
      </c>
      <c r="J58" s="23">
        <f>'Raw Financials'!J114</f>
        <v>46153.3</v>
      </c>
      <c r="K58" s="23">
        <f>'Raw Financials'!K114</f>
        <v>43423.602000000006</v>
      </c>
      <c r="L58" s="23">
        <f>'Raw Financials'!L114</f>
        <v>44494.5</v>
      </c>
      <c r="M58" s="23">
        <f>'Raw Financials'!M114</f>
        <v>49369.4</v>
      </c>
      <c r="N58" s="63">
        <f>SUM(N40,N48,N56,N57)</f>
        <v>50961.920692580963</v>
      </c>
      <c r="O58" s="63">
        <f>SUM(O40,O48,O56,O57)</f>
        <v>52716.160763639775</v>
      </c>
      <c r="P58" s="63">
        <f>SUM(P40,P48,P56,P57)</f>
        <v>54775.348463322043</v>
      </c>
      <c r="Q58" s="63">
        <f>SUM(Q40,Q48,Q56,Q57)</f>
        <v>57180.350289989561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498</v>
      </c>
      <c r="B59" s="1" t="s">
        <v>44</v>
      </c>
      <c r="C59" s="18">
        <f t="shared" ref="C59:Q59" si="1">ROUND(C35-C58,1)</f>
        <v>0.1</v>
      </c>
      <c r="D59" s="18">
        <f t="shared" si="1"/>
        <v>0</v>
      </c>
      <c r="E59" s="18">
        <f t="shared" si="1"/>
        <v>0</v>
      </c>
      <c r="F59" s="18">
        <f t="shared" si="1"/>
        <v>-0.1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61">
        <f t="shared" si="1"/>
        <v>0</v>
      </c>
      <c r="O59" s="61">
        <f t="shared" si="1"/>
        <v>0</v>
      </c>
      <c r="P59" s="61">
        <f t="shared" si="1"/>
        <v>0</v>
      </c>
      <c r="Q59" s="61">
        <f t="shared" si="1"/>
        <v>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64" t="s">
        <v>499</v>
      </c>
      <c r="B60" s="22" t="s">
        <v>44</v>
      </c>
      <c r="C60" s="23">
        <f t="shared" ref="C60:Q60" si="2">SUM(C41,C49)</f>
        <v>1002.2015826362644</v>
      </c>
      <c r="D60" s="23">
        <f t="shared" si="2"/>
        <v>1219.4356694000001</v>
      </c>
      <c r="E60" s="23">
        <f t="shared" si="2"/>
        <v>1725.9530795000001</v>
      </c>
      <c r="F60" s="23">
        <f t="shared" si="2"/>
        <v>1404.7000000000003</v>
      </c>
      <c r="G60" s="23">
        <f t="shared" si="2"/>
        <v>2428.1999999999998</v>
      </c>
      <c r="H60" s="23">
        <f t="shared" si="2"/>
        <v>1661.8</v>
      </c>
      <c r="I60" s="23">
        <f t="shared" si="2"/>
        <v>1581.7360922</v>
      </c>
      <c r="J60" s="23">
        <f t="shared" si="2"/>
        <v>1578.2</v>
      </c>
      <c r="K60" s="23">
        <f t="shared" si="2"/>
        <v>1531</v>
      </c>
      <c r="L60" s="23">
        <f t="shared" si="2"/>
        <v>471.40000000000003</v>
      </c>
      <c r="M60" s="23">
        <f t="shared" si="2"/>
        <v>69.600000000000009</v>
      </c>
      <c r="N60" s="63">
        <f t="shared" si="2"/>
        <v>69.600000000000009</v>
      </c>
      <c r="O60" s="63">
        <f t="shared" si="2"/>
        <v>69.600000000000009</v>
      </c>
      <c r="P60" s="63">
        <f t="shared" si="2"/>
        <v>69.600000000000009</v>
      </c>
      <c r="Q60" s="63">
        <f t="shared" si="2"/>
        <v>69.600000000000009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64" t="s">
        <v>500</v>
      </c>
      <c r="B61" s="22" t="s">
        <v>44</v>
      </c>
      <c r="C61" s="23">
        <f t="shared" ref="C61:Q61" si="3">SUM(C42,C50)</f>
        <v>0</v>
      </c>
      <c r="D61" s="23">
        <f t="shared" si="3"/>
        <v>0</v>
      </c>
      <c r="E61" s="23">
        <f t="shared" si="3"/>
        <v>0</v>
      </c>
      <c r="F61" s="23">
        <f t="shared" si="3"/>
        <v>0</v>
      </c>
      <c r="G61" s="23">
        <f t="shared" si="3"/>
        <v>1199.8000000000002</v>
      </c>
      <c r="H61" s="23">
        <f t="shared" si="3"/>
        <v>1208</v>
      </c>
      <c r="I61" s="23">
        <f t="shared" si="3"/>
        <v>1036.7</v>
      </c>
      <c r="J61" s="23">
        <f t="shared" si="3"/>
        <v>1162</v>
      </c>
      <c r="K61" s="23">
        <f t="shared" si="3"/>
        <v>1005.7</v>
      </c>
      <c r="L61" s="23">
        <f t="shared" si="3"/>
        <v>1553.8000000000002</v>
      </c>
      <c r="M61" s="23">
        <f t="shared" si="3"/>
        <v>2116.6000000000004</v>
      </c>
      <c r="N61" s="63">
        <f t="shared" si="3"/>
        <v>2180.3305360550607</v>
      </c>
      <c r="O61" s="63">
        <f t="shared" si="3"/>
        <v>2251.7526369251041</v>
      </c>
      <c r="P61" s="63">
        <f t="shared" si="3"/>
        <v>2336.2826253172279</v>
      </c>
      <c r="Q61" s="63">
        <f t="shared" si="3"/>
        <v>2436.4360015859979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64" t="s">
        <v>61</v>
      </c>
      <c r="B62" s="22" t="s">
        <v>44</v>
      </c>
      <c r="C62" s="23">
        <f t="shared" ref="C62:Q62" si="4">SUM(C15,C25,C28:C29)</f>
        <v>6507.1237355621697</v>
      </c>
      <c r="D62" s="23">
        <f t="shared" si="4"/>
        <v>5614.1408370851605</v>
      </c>
      <c r="E62" s="23">
        <f t="shared" si="4"/>
        <v>7735.0749277000004</v>
      </c>
      <c r="F62" s="23">
        <f t="shared" si="4"/>
        <v>9664.4913061718016</v>
      </c>
      <c r="G62" s="23">
        <f t="shared" si="4"/>
        <v>8976.8872794880008</v>
      </c>
      <c r="H62" s="23">
        <f t="shared" si="4"/>
        <v>13044.901287252898</v>
      </c>
      <c r="I62" s="23">
        <f t="shared" si="4"/>
        <v>8661.3735723110003</v>
      </c>
      <c r="J62" s="23">
        <f t="shared" si="4"/>
        <v>7469.9120274289999</v>
      </c>
      <c r="K62" s="23">
        <f t="shared" si="4"/>
        <v>7927.1260000000002</v>
      </c>
      <c r="L62" s="23">
        <f t="shared" si="4"/>
        <v>7670.4000000000005</v>
      </c>
      <c r="M62" s="23">
        <f t="shared" si="4"/>
        <v>8476.0999999999985</v>
      </c>
      <c r="N62" s="63">
        <f t="shared" si="4"/>
        <v>10016.23161361209</v>
      </c>
      <c r="O62" s="63">
        <f t="shared" si="4"/>
        <v>11812.01165610201</v>
      </c>
      <c r="P62" s="63">
        <f t="shared" si="4"/>
        <v>13637.378774846116</v>
      </c>
      <c r="Q62" s="63">
        <f t="shared" si="4"/>
        <v>15595.339648555404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64" t="s">
        <v>62</v>
      </c>
      <c r="B63" s="22" t="s">
        <v>44</v>
      </c>
      <c r="C63" s="23">
        <f t="shared" ref="C63:Q63" si="5">C62-C60-C61</f>
        <v>5504.9221529259048</v>
      </c>
      <c r="D63" s="23">
        <f t="shared" si="5"/>
        <v>4394.7051676851606</v>
      </c>
      <c r="E63" s="23">
        <f t="shared" si="5"/>
        <v>6009.1218482000004</v>
      </c>
      <c r="F63" s="23">
        <f t="shared" si="5"/>
        <v>8259.7913061718009</v>
      </c>
      <c r="G63" s="23">
        <f t="shared" si="5"/>
        <v>5348.8872794880008</v>
      </c>
      <c r="H63" s="23">
        <f t="shared" si="5"/>
        <v>10175.101287252899</v>
      </c>
      <c r="I63" s="23">
        <f t="shared" si="5"/>
        <v>6042.9374801110007</v>
      </c>
      <c r="J63" s="23">
        <f t="shared" si="5"/>
        <v>4729.712027429</v>
      </c>
      <c r="K63" s="23">
        <f t="shared" si="5"/>
        <v>5390.4260000000004</v>
      </c>
      <c r="L63" s="23">
        <f t="shared" si="5"/>
        <v>5645.2000000000007</v>
      </c>
      <c r="M63" s="23">
        <f t="shared" si="5"/>
        <v>6289.8999999999978</v>
      </c>
      <c r="N63" s="63">
        <f t="shared" si="5"/>
        <v>7766.3010775570292</v>
      </c>
      <c r="O63" s="63">
        <f t="shared" si="5"/>
        <v>9490.6590191769046</v>
      </c>
      <c r="P63" s="63">
        <f t="shared" si="5"/>
        <v>11231.496149528888</v>
      </c>
      <c r="Q63" s="63">
        <f t="shared" si="5"/>
        <v>13089.303646969405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66"/>
      <c r="O64" s="66"/>
      <c r="P64" s="66"/>
      <c r="Q64" s="6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66"/>
      <c r="O65" s="66"/>
      <c r="P65" s="66"/>
      <c r="Q65" s="6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66"/>
      <c r="O66" s="66"/>
      <c r="P66" s="66"/>
      <c r="Q66" s="6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66"/>
      <c r="O67" s="66"/>
      <c r="P67" s="66"/>
      <c r="Q67" s="6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66"/>
      <c r="O68" s="66"/>
      <c r="P68" s="66"/>
      <c r="Q68" s="6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66"/>
      <c r="O69" s="66"/>
      <c r="P69" s="66"/>
      <c r="Q69" s="6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66"/>
      <c r="O70" s="66"/>
      <c r="P70" s="66"/>
      <c r="Q70" s="6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66"/>
      <c r="O71" s="66"/>
      <c r="P71" s="66"/>
      <c r="Q71" s="6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66"/>
      <c r="O72" s="66"/>
      <c r="P72" s="66"/>
      <c r="Q72" s="6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66"/>
      <c r="O73" s="66"/>
      <c r="P73" s="66"/>
      <c r="Q73" s="6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66"/>
      <c r="O74" s="66"/>
      <c r="P74" s="66"/>
      <c r="Q74" s="6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66"/>
      <c r="O75" s="66"/>
      <c r="P75" s="66"/>
      <c r="Q75" s="6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6"/>
      <c r="O76" s="66"/>
      <c r="P76" s="66"/>
      <c r="Q76" s="6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66"/>
      <c r="O77" s="66"/>
      <c r="P77" s="66"/>
      <c r="Q77" s="6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66"/>
      <c r="O78" s="66"/>
      <c r="P78" s="66"/>
      <c r="Q78" s="6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66"/>
      <c r="O79" s="66"/>
      <c r="P79" s="66"/>
      <c r="Q79" s="6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66"/>
      <c r="O80" s="66"/>
      <c r="P80" s="66"/>
      <c r="Q80" s="6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66"/>
      <c r="O81" s="66"/>
      <c r="P81" s="66"/>
      <c r="Q81" s="6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66"/>
      <c r="O82" s="66"/>
      <c r="P82" s="66"/>
      <c r="Q82" s="6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66"/>
      <c r="O83" s="66"/>
      <c r="P83" s="66"/>
      <c r="Q83" s="6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66"/>
      <c r="O84" s="66"/>
      <c r="P84" s="66"/>
      <c r="Q84" s="6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66"/>
      <c r="O85" s="66"/>
      <c r="P85" s="66"/>
      <c r="Q85" s="6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6"/>
      <c r="O86" s="66"/>
      <c r="P86" s="66"/>
      <c r="Q86" s="6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66"/>
      <c r="O87" s="66"/>
      <c r="P87" s="66"/>
      <c r="Q87" s="6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66"/>
      <c r="O88" s="66"/>
      <c r="P88" s="66"/>
      <c r="Q88" s="6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66"/>
      <c r="O89" s="66"/>
      <c r="P89" s="66"/>
      <c r="Q89" s="6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6"/>
      <c r="O90" s="66"/>
      <c r="P90" s="66"/>
      <c r="Q90" s="6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6"/>
      <c r="O91" s="66"/>
      <c r="P91" s="66"/>
      <c r="Q91" s="6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6"/>
      <c r="O92" s="66"/>
      <c r="P92" s="66"/>
      <c r="Q92" s="6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6"/>
      <c r="O93" s="66"/>
      <c r="P93" s="66"/>
      <c r="Q93" s="6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6"/>
      <c r="O94" s="66"/>
      <c r="P94" s="66"/>
      <c r="Q94" s="6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6"/>
      <c r="O95" s="66"/>
      <c r="P95" s="66"/>
      <c r="Q95" s="6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6"/>
      <c r="O96" s="66"/>
      <c r="P96" s="66"/>
      <c r="Q96" s="6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6"/>
      <c r="O97" s="66"/>
      <c r="P97" s="66"/>
      <c r="Q97" s="6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6"/>
      <c r="O98" s="66"/>
      <c r="P98" s="66"/>
      <c r="Q98" s="6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6"/>
      <c r="O99" s="66"/>
      <c r="P99" s="66"/>
      <c r="Q99" s="6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6"/>
      <c r="O100" s="66"/>
      <c r="P100" s="66"/>
      <c r="Q100" s="6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6"/>
      <c r="O101" s="66"/>
      <c r="P101" s="66"/>
      <c r="Q101" s="6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6"/>
      <c r="O102" s="66"/>
      <c r="P102" s="66"/>
      <c r="Q102" s="6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6"/>
      <c r="O103" s="66"/>
      <c r="P103" s="66"/>
      <c r="Q103" s="6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6"/>
      <c r="O104" s="66"/>
      <c r="P104" s="66"/>
      <c r="Q104" s="6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6"/>
      <c r="O105" s="66"/>
      <c r="P105" s="66"/>
      <c r="Q105" s="6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6"/>
      <c r="O106" s="66"/>
      <c r="P106" s="66"/>
      <c r="Q106" s="6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6"/>
      <c r="O107" s="66"/>
      <c r="P107" s="66"/>
      <c r="Q107" s="6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6"/>
      <c r="O108" s="66"/>
      <c r="P108" s="66"/>
      <c r="Q108" s="6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6"/>
      <c r="O109" s="66"/>
      <c r="P109" s="66"/>
      <c r="Q109" s="6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6"/>
      <c r="O110" s="66"/>
      <c r="P110" s="66"/>
      <c r="Q110" s="6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6"/>
      <c r="O111" s="66"/>
      <c r="P111" s="66"/>
      <c r="Q111" s="6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6"/>
      <c r="O112" s="66"/>
      <c r="P112" s="66"/>
      <c r="Q112" s="6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6"/>
      <c r="O113" s="66"/>
      <c r="P113" s="66"/>
      <c r="Q113" s="6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6"/>
      <c r="O114" s="66"/>
      <c r="P114" s="66"/>
      <c r="Q114" s="6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6"/>
      <c r="O115" s="66"/>
      <c r="P115" s="66"/>
      <c r="Q115" s="6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6"/>
      <c r="O116" s="66"/>
      <c r="P116" s="66"/>
      <c r="Q116" s="6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6"/>
      <c r="O117" s="66"/>
      <c r="P117" s="66"/>
      <c r="Q117" s="6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6"/>
      <c r="O118" s="66"/>
      <c r="P118" s="66"/>
      <c r="Q118" s="6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6"/>
      <c r="O119" s="66"/>
      <c r="P119" s="66"/>
      <c r="Q119" s="6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6"/>
      <c r="O120" s="66"/>
      <c r="P120" s="66"/>
      <c r="Q120" s="6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6"/>
      <c r="O121" s="66"/>
      <c r="P121" s="66"/>
      <c r="Q121" s="6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6"/>
      <c r="O122" s="66"/>
      <c r="P122" s="66"/>
      <c r="Q122" s="6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6"/>
      <c r="O123" s="66"/>
      <c r="P123" s="66"/>
      <c r="Q123" s="6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6"/>
      <c r="O124" s="66"/>
      <c r="P124" s="66"/>
      <c r="Q124" s="6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6"/>
      <c r="O125" s="66"/>
      <c r="P125" s="66"/>
      <c r="Q125" s="6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6"/>
      <c r="O126" s="66"/>
      <c r="P126" s="66"/>
      <c r="Q126" s="6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6"/>
      <c r="O127" s="66"/>
      <c r="P127" s="66"/>
      <c r="Q127" s="6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6"/>
      <c r="O128" s="66"/>
      <c r="P128" s="66"/>
      <c r="Q128" s="6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6"/>
      <c r="O129" s="66"/>
      <c r="P129" s="66"/>
      <c r="Q129" s="6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6"/>
      <c r="O130" s="66"/>
      <c r="P130" s="66"/>
      <c r="Q130" s="6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6"/>
      <c r="O131" s="66"/>
      <c r="P131" s="66"/>
      <c r="Q131" s="6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6"/>
      <c r="O132" s="66"/>
      <c r="P132" s="66"/>
      <c r="Q132" s="6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6"/>
      <c r="O133" s="66"/>
      <c r="P133" s="66"/>
      <c r="Q133" s="6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6"/>
      <c r="O134" s="66"/>
      <c r="P134" s="66"/>
      <c r="Q134" s="6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6"/>
      <c r="O135" s="66"/>
      <c r="P135" s="66"/>
      <c r="Q135" s="6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6"/>
      <c r="O136" s="66"/>
      <c r="P136" s="66"/>
      <c r="Q136" s="6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6"/>
      <c r="O137" s="66"/>
      <c r="P137" s="66"/>
      <c r="Q137" s="6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6"/>
      <c r="O138" s="66"/>
      <c r="P138" s="66"/>
      <c r="Q138" s="6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6"/>
      <c r="O139" s="66"/>
      <c r="P139" s="66"/>
      <c r="Q139" s="6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6"/>
      <c r="O140" s="66"/>
      <c r="P140" s="66"/>
      <c r="Q140" s="6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6"/>
      <c r="O141" s="66"/>
      <c r="P141" s="66"/>
      <c r="Q141" s="6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6"/>
      <c r="O142" s="66"/>
      <c r="P142" s="66"/>
      <c r="Q142" s="6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6"/>
      <c r="O143" s="66"/>
      <c r="P143" s="66"/>
      <c r="Q143" s="6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6"/>
      <c r="O144" s="66"/>
      <c r="P144" s="66"/>
      <c r="Q144" s="6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6"/>
      <c r="O145" s="66"/>
      <c r="P145" s="66"/>
      <c r="Q145" s="6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6"/>
      <c r="O146" s="66"/>
      <c r="P146" s="66"/>
      <c r="Q146" s="6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6"/>
      <c r="O147" s="66"/>
      <c r="P147" s="66"/>
      <c r="Q147" s="6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6"/>
      <c r="O148" s="66"/>
      <c r="P148" s="66"/>
      <c r="Q148" s="6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6"/>
      <c r="O149" s="66"/>
      <c r="P149" s="66"/>
      <c r="Q149" s="6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6"/>
      <c r="O150" s="66"/>
      <c r="P150" s="66"/>
      <c r="Q150" s="6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6"/>
      <c r="O151" s="66"/>
      <c r="P151" s="66"/>
      <c r="Q151" s="6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6"/>
      <c r="O152" s="66"/>
      <c r="P152" s="66"/>
      <c r="Q152" s="6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6"/>
      <c r="O153" s="66"/>
      <c r="P153" s="66"/>
      <c r="Q153" s="6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6"/>
      <c r="O154" s="66"/>
      <c r="P154" s="66"/>
      <c r="Q154" s="6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6"/>
      <c r="O155" s="66"/>
      <c r="P155" s="66"/>
      <c r="Q155" s="6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6"/>
      <c r="O156" s="66"/>
      <c r="P156" s="66"/>
      <c r="Q156" s="6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6"/>
      <c r="O157" s="66"/>
      <c r="P157" s="66"/>
      <c r="Q157" s="6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6"/>
      <c r="O158" s="66"/>
      <c r="P158" s="66"/>
      <c r="Q158" s="6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6"/>
      <c r="O159" s="66"/>
      <c r="P159" s="66"/>
      <c r="Q159" s="6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6"/>
      <c r="O160" s="66"/>
      <c r="P160" s="66"/>
      <c r="Q160" s="6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6"/>
      <c r="O161" s="66"/>
      <c r="P161" s="66"/>
      <c r="Q161" s="6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6"/>
      <c r="O162" s="66"/>
      <c r="P162" s="66"/>
      <c r="Q162" s="6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6"/>
      <c r="O163" s="66"/>
      <c r="P163" s="66"/>
      <c r="Q163" s="6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6"/>
      <c r="O164" s="66"/>
      <c r="P164" s="66"/>
      <c r="Q164" s="6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6"/>
      <c r="O165" s="66"/>
      <c r="P165" s="66"/>
      <c r="Q165" s="6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6"/>
      <c r="O166" s="66"/>
      <c r="P166" s="66"/>
      <c r="Q166" s="6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6"/>
      <c r="O167" s="66"/>
      <c r="P167" s="66"/>
      <c r="Q167" s="6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6"/>
      <c r="O168" s="66"/>
      <c r="P168" s="66"/>
      <c r="Q168" s="6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6"/>
      <c r="O169" s="66"/>
      <c r="P169" s="66"/>
      <c r="Q169" s="6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6"/>
      <c r="O170" s="66"/>
      <c r="P170" s="66"/>
      <c r="Q170" s="6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6"/>
      <c r="O171" s="66"/>
      <c r="P171" s="66"/>
      <c r="Q171" s="6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6"/>
      <c r="O172" s="66"/>
      <c r="P172" s="66"/>
      <c r="Q172" s="6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6"/>
      <c r="O173" s="66"/>
      <c r="P173" s="66"/>
      <c r="Q173" s="6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6"/>
      <c r="O174" s="66"/>
      <c r="P174" s="66"/>
      <c r="Q174" s="6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6"/>
      <c r="O175" s="66"/>
      <c r="P175" s="66"/>
      <c r="Q175" s="6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6"/>
      <c r="O176" s="66"/>
      <c r="P176" s="66"/>
      <c r="Q176" s="6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6"/>
      <c r="O177" s="66"/>
      <c r="P177" s="66"/>
      <c r="Q177" s="6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6"/>
      <c r="O178" s="66"/>
      <c r="P178" s="66"/>
      <c r="Q178" s="6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6"/>
      <c r="O179" s="66"/>
      <c r="P179" s="66"/>
      <c r="Q179" s="6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6"/>
      <c r="O180" s="66"/>
      <c r="P180" s="66"/>
      <c r="Q180" s="6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6"/>
      <c r="O181" s="66"/>
      <c r="P181" s="66"/>
      <c r="Q181" s="6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6"/>
      <c r="O182" s="66"/>
      <c r="P182" s="66"/>
      <c r="Q182" s="6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6"/>
      <c r="O183" s="66"/>
      <c r="P183" s="66"/>
      <c r="Q183" s="6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6"/>
      <c r="O184" s="66"/>
      <c r="P184" s="66"/>
      <c r="Q184" s="6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6"/>
      <c r="O185" s="66"/>
      <c r="P185" s="66"/>
      <c r="Q185" s="6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6"/>
      <c r="O186" s="66"/>
      <c r="P186" s="66"/>
      <c r="Q186" s="6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6"/>
      <c r="O187" s="66"/>
      <c r="P187" s="66"/>
      <c r="Q187" s="6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6"/>
      <c r="O188" s="66"/>
      <c r="P188" s="66"/>
      <c r="Q188" s="6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6"/>
      <c r="O189" s="66"/>
      <c r="P189" s="66"/>
      <c r="Q189" s="6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6"/>
      <c r="O190" s="66"/>
      <c r="P190" s="66"/>
      <c r="Q190" s="6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6"/>
      <c r="O191" s="66"/>
      <c r="P191" s="66"/>
      <c r="Q191" s="6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6"/>
      <c r="O192" s="66"/>
      <c r="P192" s="66"/>
      <c r="Q192" s="6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6"/>
      <c r="O193" s="66"/>
      <c r="P193" s="66"/>
      <c r="Q193" s="6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6"/>
      <c r="O194" s="66"/>
      <c r="P194" s="66"/>
      <c r="Q194" s="6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6"/>
      <c r="O195" s="66"/>
      <c r="P195" s="66"/>
      <c r="Q195" s="6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6"/>
      <c r="O196" s="66"/>
      <c r="P196" s="66"/>
      <c r="Q196" s="6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6"/>
      <c r="O197" s="66"/>
      <c r="P197" s="66"/>
      <c r="Q197" s="6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6"/>
      <c r="O198" s="66"/>
      <c r="P198" s="66"/>
      <c r="Q198" s="6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6"/>
      <c r="O199" s="66"/>
      <c r="P199" s="66"/>
      <c r="Q199" s="6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6"/>
      <c r="O200" s="66"/>
      <c r="P200" s="66"/>
      <c r="Q200" s="6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6"/>
      <c r="O201" s="66"/>
      <c r="P201" s="66"/>
      <c r="Q201" s="6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6"/>
      <c r="O202" s="66"/>
      <c r="P202" s="66"/>
      <c r="Q202" s="6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6"/>
      <c r="O203" s="66"/>
      <c r="P203" s="66"/>
      <c r="Q203" s="6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6"/>
      <c r="O204" s="66"/>
      <c r="P204" s="66"/>
      <c r="Q204" s="6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6"/>
      <c r="O205" s="66"/>
      <c r="P205" s="66"/>
      <c r="Q205" s="6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6"/>
      <c r="O206" s="66"/>
      <c r="P206" s="66"/>
      <c r="Q206" s="6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6"/>
      <c r="O207" s="66"/>
      <c r="P207" s="66"/>
      <c r="Q207" s="6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6"/>
      <c r="O208" s="66"/>
      <c r="P208" s="66"/>
      <c r="Q208" s="6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6"/>
      <c r="O209" s="66"/>
      <c r="P209" s="66"/>
      <c r="Q209" s="6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6"/>
      <c r="O210" s="66"/>
      <c r="P210" s="66"/>
      <c r="Q210" s="6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6"/>
      <c r="O211" s="66"/>
      <c r="P211" s="66"/>
      <c r="Q211" s="6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6"/>
      <c r="O212" s="66"/>
      <c r="P212" s="66"/>
      <c r="Q212" s="6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6"/>
      <c r="O213" s="66"/>
      <c r="P213" s="66"/>
      <c r="Q213" s="6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6"/>
      <c r="O214" s="66"/>
      <c r="P214" s="66"/>
      <c r="Q214" s="6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6"/>
      <c r="O215" s="66"/>
      <c r="P215" s="66"/>
      <c r="Q215" s="6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6"/>
      <c r="O216" s="66"/>
      <c r="P216" s="66"/>
      <c r="Q216" s="6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6"/>
      <c r="O217" s="66"/>
      <c r="P217" s="66"/>
      <c r="Q217" s="6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6"/>
      <c r="O218" s="66"/>
      <c r="P218" s="66"/>
      <c r="Q218" s="6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6"/>
      <c r="O219" s="66"/>
      <c r="P219" s="66"/>
      <c r="Q219" s="6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6"/>
      <c r="O220" s="66"/>
      <c r="P220" s="66"/>
      <c r="Q220" s="6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6"/>
      <c r="O221" s="66"/>
      <c r="P221" s="66"/>
      <c r="Q221" s="66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6"/>
      <c r="O222" s="66"/>
      <c r="P222" s="66"/>
      <c r="Q222" s="66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6"/>
      <c r="O223" s="66"/>
      <c r="P223" s="66"/>
      <c r="Q223" s="66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6"/>
      <c r="O224" s="66"/>
      <c r="P224" s="66"/>
      <c r="Q224" s="66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6"/>
      <c r="O225" s="66"/>
      <c r="P225" s="66"/>
      <c r="Q225" s="66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6"/>
      <c r="O226" s="66"/>
      <c r="P226" s="66"/>
      <c r="Q226" s="66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6"/>
      <c r="O227" s="66"/>
      <c r="P227" s="66"/>
      <c r="Q227" s="66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6"/>
      <c r="O228" s="66"/>
      <c r="P228" s="66"/>
      <c r="Q228" s="66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6"/>
      <c r="O229" s="66"/>
      <c r="P229" s="66"/>
      <c r="Q229" s="66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6"/>
      <c r="O230" s="66"/>
      <c r="P230" s="66"/>
      <c r="Q230" s="66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6"/>
      <c r="O231" s="66"/>
      <c r="P231" s="66"/>
      <c r="Q231" s="66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6"/>
      <c r="O232" s="66"/>
      <c r="P232" s="66"/>
      <c r="Q232" s="66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6"/>
      <c r="O233" s="66"/>
      <c r="P233" s="66"/>
      <c r="Q233" s="66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6"/>
      <c r="O234" s="66"/>
      <c r="P234" s="66"/>
      <c r="Q234" s="66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6"/>
      <c r="O235" s="66"/>
      <c r="P235" s="66"/>
      <c r="Q235" s="66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6"/>
      <c r="O236" s="66"/>
      <c r="P236" s="66"/>
      <c r="Q236" s="66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6"/>
      <c r="O237" s="66"/>
      <c r="P237" s="66"/>
      <c r="Q237" s="66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6"/>
      <c r="O238" s="66"/>
      <c r="P238" s="66"/>
      <c r="Q238" s="66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6"/>
      <c r="O239" s="66"/>
      <c r="P239" s="66"/>
      <c r="Q239" s="66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6"/>
      <c r="O240" s="66"/>
      <c r="P240" s="66"/>
      <c r="Q240" s="66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  <ignoredErrors>
    <ignoredError sqref="N39:Q3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300"/>
  <sheetViews>
    <sheetView showGridLines="0" workbookViewId="0"/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501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502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65" t="s">
        <v>39</v>
      </c>
      <c r="O5" s="65" t="s">
        <v>40</v>
      </c>
      <c r="P5" s="65" t="s">
        <v>41</v>
      </c>
      <c r="Q5" s="65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6"/>
      <c r="O6" s="66"/>
      <c r="P6" s="66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335</v>
      </c>
      <c r="B7" s="1" t="s">
        <v>44</v>
      </c>
      <c r="C7" s="18">
        <f>'Raw Financials'!C120</f>
        <v>4016.9</v>
      </c>
      <c r="D7" s="18">
        <f>'Raw Financials'!D120</f>
        <v>3853.0145673999978</v>
      </c>
      <c r="E7" s="18">
        <f>'Raw Financials'!E120</f>
        <v>4878.8436680999894</v>
      </c>
      <c r="F7" s="18">
        <f>'Raw Financials'!F120</f>
        <v>5543.2346337999979</v>
      </c>
      <c r="G7" s="18">
        <f>'Raw Financials'!G120</f>
        <v>5057.7790000000005</v>
      </c>
      <c r="H7" s="18">
        <f>'Raw Financials'!H120</f>
        <v>5952.91</v>
      </c>
      <c r="I7" s="18">
        <f>'Raw Financials'!I120</f>
        <v>7452.076</v>
      </c>
      <c r="J7" s="18">
        <f>'Raw Financials'!J120</f>
        <v>6445.4639999999999</v>
      </c>
      <c r="K7" s="18">
        <f>'Raw Financials'!K120</f>
        <v>3224.3710000000001</v>
      </c>
      <c r="L7" s="18">
        <f>'Raw Financials'!L120</f>
        <v>5653.2000000000007</v>
      </c>
      <c r="M7" s="18">
        <f>'Raw Financials'!M120</f>
        <v>6573.1</v>
      </c>
      <c r="N7" s="61">
        <f>'Annual P&amp;L'!N29</f>
        <v>8009.9941526148423</v>
      </c>
      <c r="O7" s="61">
        <f>'Annual P&amp;L'!O29</f>
        <v>8771.1046151574046</v>
      </c>
      <c r="P7" s="61">
        <f>'Annual P&amp;L'!P29</f>
        <v>9728.4835531507633</v>
      </c>
      <c r="Q7" s="61">
        <f>'Annual P&amp;L'!Q29</f>
        <v>10750.254599602355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219</v>
      </c>
      <c r="B8" s="1" t="s">
        <v>44</v>
      </c>
      <c r="C8" s="18">
        <f>'Raw Financials'!C121</f>
        <v>762</v>
      </c>
      <c r="D8" s="18">
        <f>'Raw Financials'!D121</f>
        <v>978.05519619999995</v>
      </c>
      <c r="E8" s="18">
        <f>'Raw Financials'!E121</f>
        <v>1084.9780105</v>
      </c>
      <c r="F8" s="18">
        <f>'Raw Financials'!F121</f>
        <v>1129.2</v>
      </c>
      <c r="G8" s="18">
        <f>'Raw Financials'!G121</f>
        <v>1445.8000000000002</v>
      </c>
      <c r="H8" s="18">
        <f>'Raw Financials'!H121</f>
        <v>1457.7</v>
      </c>
      <c r="I8" s="18">
        <f>'Raw Financials'!I121</f>
        <v>1520.4</v>
      </c>
      <c r="J8" s="18">
        <f>'Raw Financials'!J121</f>
        <v>1956.7</v>
      </c>
      <c r="K8" s="18">
        <f>'Raw Financials'!K121</f>
        <v>1817.1000000000001</v>
      </c>
      <c r="L8" s="18">
        <f>'Raw Financials'!L121</f>
        <v>1852.9</v>
      </c>
      <c r="M8" s="18">
        <f>'Raw Financials'!M121</f>
        <v>1881.6000000000001</v>
      </c>
      <c r="N8" s="61">
        <f>'Annual P&amp;L'!N19</f>
        <v>1921.4539741514168</v>
      </c>
      <c r="O8" s="61">
        <f>'Annual P&amp;L'!O19</f>
        <v>1934.7233644974967</v>
      </c>
      <c r="P8" s="61">
        <f>'Annual P&amp;L'!P19</f>
        <v>1963.4774302966089</v>
      </c>
      <c r="Q8" s="61">
        <f>'Annual P&amp;L'!Q19</f>
        <v>2002.5954096598455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336</v>
      </c>
      <c r="B9" s="1" t="s">
        <v>44</v>
      </c>
      <c r="C9" s="18">
        <f>'Raw Financials'!C122</f>
        <v>0</v>
      </c>
      <c r="D9" s="18">
        <f>'Raw Financials'!D122</f>
        <v>0</v>
      </c>
      <c r="E9" s="18">
        <f>'Raw Financials'!E122</f>
        <v>0</v>
      </c>
      <c r="F9" s="18">
        <f>'Raw Financials'!F122</f>
        <v>0</v>
      </c>
      <c r="G9" s="18">
        <f>'Raw Financials'!G122</f>
        <v>0</v>
      </c>
      <c r="H9" s="18">
        <f>'Raw Financials'!H122</f>
        <v>0</v>
      </c>
      <c r="I9" s="18">
        <f>'Raw Financials'!I122</f>
        <v>0</v>
      </c>
      <c r="J9" s="18">
        <f>'Raw Financials'!J122</f>
        <v>0</v>
      </c>
      <c r="K9" s="18">
        <f>'Raw Financials'!K122</f>
        <v>0</v>
      </c>
      <c r="L9" s="18">
        <f>'Raw Financials'!L122</f>
        <v>0</v>
      </c>
      <c r="M9" s="18">
        <f>'Raw Financials'!M122</f>
        <v>0</v>
      </c>
      <c r="N9" s="61">
        <f>0</f>
        <v>0</v>
      </c>
      <c r="O9" s="61">
        <f>0</f>
        <v>0</v>
      </c>
      <c r="P9" s="61">
        <f>0</f>
        <v>0</v>
      </c>
      <c r="Q9" s="61">
        <f>0</f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337</v>
      </c>
      <c r="B10" s="1" t="s">
        <v>44</v>
      </c>
      <c r="C10" s="18">
        <f>'Raw Financials'!C123</f>
        <v>149.70000000000002</v>
      </c>
      <c r="D10" s="18">
        <f>'Raw Financials'!D123</f>
        <v>151.75129049999995</v>
      </c>
      <c r="E10" s="18">
        <f>'Raw Financials'!E123</f>
        <v>161.79424180000001</v>
      </c>
      <c r="F10" s="18">
        <f>'Raw Financials'!F123</f>
        <v>345.20000000000005</v>
      </c>
      <c r="G10" s="18">
        <f>'Raw Financials'!G123</f>
        <v>148.4</v>
      </c>
      <c r="H10" s="18">
        <f>'Raw Financials'!H123</f>
        <v>260.5</v>
      </c>
      <c r="I10" s="18">
        <f>'Raw Financials'!I123</f>
        <v>38.800000000000004</v>
      </c>
      <c r="J10" s="18">
        <f>'Raw Financials'!J123</f>
        <v>309.60000000000002</v>
      </c>
      <c r="K10" s="18">
        <f>'Raw Financials'!K123</f>
        <v>483.6</v>
      </c>
      <c r="L10" s="18">
        <f>'Raw Financials'!L123</f>
        <v>263.90000000000003</v>
      </c>
      <c r="M10" s="18">
        <f>'Raw Financials'!M123</f>
        <v>111</v>
      </c>
      <c r="N10" s="61">
        <f>0</f>
        <v>0</v>
      </c>
      <c r="O10" s="61">
        <f>0</f>
        <v>0</v>
      </c>
      <c r="P10" s="61">
        <f>0</f>
        <v>0</v>
      </c>
      <c r="Q10" s="61">
        <f>0</f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339</v>
      </c>
      <c r="B11" s="1" t="s">
        <v>44</v>
      </c>
      <c r="C11" s="18">
        <f>'Raw Financials'!C125</f>
        <v>28.400000000000002</v>
      </c>
      <c r="D11" s="18">
        <f>'Raw Financials'!D125</f>
        <v>44.287334700000002</v>
      </c>
      <c r="E11" s="18">
        <f>'Raw Financials'!E125</f>
        <v>0</v>
      </c>
      <c r="F11" s="18">
        <f>'Raw Financials'!F125</f>
        <v>0</v>
      </c>
      <c r="G11" s="18">
        <f>'Raw Financials'!G125</f>
        <v>0</v>
      </c>
      <c r="H11" s="18">
        <f>'Raw Financials'!H125</f>
        <v>0</v>
      </c>
      <c r="I11" s="18">
        <f>'Raw Financials'!I125</f>
        <v>0</v>
      </c>
      <c r="J11" s="18">
        <f>'Raw Financials'!J125</f>
        <v>0</v>
      </c>
      <c r="K11" s="18">
        <f>'Raw Financials'!K125</f>
        <v>0</v>
      </c>
      <c r="L11" s="18">
        <f>'Raw Financials'!L125</f>
        <v>0</v>
      </c>
      <c r="M11" s="18">
        <f>'Raw Financials'!M125</f>
        <v>0</v>
      </c>
      <c r="N11" s="61">
        <f>0</f>
        <v>0</v>
      </c>
      <c r="O11" s="61">
        <f>0</f>
        <v>0</v>
      </c>
      <c r="P11" s="61">
        <f>0</f>
        <v>0</v>
      </c>
      <c r="Q11" s="61">
        <f>0</f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340</v>
      </c>
      <c r="B12" s="1" t="s">
        <v>44</v>
      </c>
      <c r="C12" s="18">
        <f>'Raw Financials'!C126</f>
        <v>0</v>
      </c>
      <c r="D12" s="18">
        <f>'Raw Financials'!D126</f>
        <v>2.3315043000000002</v>
      </c>
      <c r="E12" s="18">
        <f>'Raw Financials'!E126</f>
        <v>-7.999210000000001E-2</v>
      </c>
      <c r="F12" s="18">
        <f>'Raw Financials'!F126</f>
        <v>65.5</v>
      </c>
      <c r="G12" s="18">
        <f>'Raw Financials'!G126</f>
        <v>5.5</v>
      </c>
      <c r="H12" s="18">
        <f>'Raw Financials'!H126</f>
        <v>-1.2000000000000002</v>
      </c>
      <c r="I12" s="18">
        <f>'Raw Financials'!I126</f>
        <v>-2.8000000000000003</v>
      </c>
      <c r="J12" s="18">
        <f>'Raw Financials'!J126</f>
        <v>29</v>
      </c>
      <c r="K12" s="18">
        <f>'Raw Financials'!K126</f>
        <v>-10.5</v>
      </c>
      <c r="L12" s="18">
        <f>'Raw Financials'!L126</f>
        <v>-8.6</v>
      </c>
      <c r="M12" s="18">
        <f>'Raw Financials'!M126</f>
        <v>1.5</v>
      </c>
      <c r="N12" s="61">
        <f>0</f>
        <v>0</v>
      </c>
      <c r="O12" s="61">
        <f>0</f>
        <v>0</v>
      </c>
      <c r="P12" s="61">
        <f>0</f>
        <v>0</v>
      </c>
      <c r="Q12" s="61">
        <f>0</f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341</v>
      </c>
      <c r="B13" s="1" t="s">
        <v>44</v>
      </c>
      <c r="C13" s="18">
        <f>'Raw Financials'!C127</f>
        <v>-10.9</v>
      </c>
      <c r="D13" s="18">
        <f>'Raw Financials'!D127</f>
        <v>-3.6119970000000006</v>
      </c>
      <c r="E13" s="18">
        <f>'Raw Financials'!E127</f>
        <v>-156.35753753200004</v>
      </c>
      <c r="F13" s="18">
        <f>'Raw Financials'!F127</f>
        <v>-15.4</v>
      </c>
      <c r="G13" s="18">
        <f>'Raw Financials'!G127</f>
        <v>-8</v>
      </c>
      <c r="H13" s="18">
        <f>'Raw Financials'!H127</f>
        <v>-1.4000000000000001</v>
      </c>
      <c r="I13" s="18">
        <f>'Raw Financials'!I127</f>
        <v>-6.3000000000000007</v>
      </c>
      <c r="J13" s="18">
        <f>'Raw Financials'!J127</f>
        <v>-4.2</v>
      </c>
      <c r="K13" s="18">
        <f>'Raw Financials'!K127</f>
        <v>-2.5</v>
      </c>
      <c r="L13" s="18">
        <f>'Raw Financials'!L127</f>
        <v>-453.6</v>
      </c>
      <c r="M13" s="18">
        <f>'Raw Financials'!M127</f>
        <v>-7.6000000000000005</v>
      </c>
      <c r="N13" s="61">
        <f>0</f>
        <v>0</v>
      </c>
      <c r="O13" s="61">
        <f>0</f>
        <v>0</v>
      </c>
      <c r="P13" s="61">
        <f>0</f>
        <v>0</v>
      </c>
      <c r="Q13" s="61">
        <f>0</f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342</v>
      </c>
      <c r="B14" s="1" t="s">
        <v>44</v>
      </c>
      <c r="C14" s="18">
        <f>'Raw Financials'!C128</f>
        <v>96.100000000000009</v>
      </c>
      <c r="D14" s="18">
        <f>'Raw Financials'!D128</f>
        <v>128.5924321</v>
      </c>
      <c r="E14" s="18">
        <f>'Raw Financials'!E128</f>
        <v>162.38094780000003</v>
      </c>
      <c r="F14" s="18">
        <f>'Raw Financials'!F128</f>
        <v>133.20000000000002</v>
      </c>
      <c r="G14" s="18">
        <f>'Raw Financials'!G128</f>
        <v>191.9</v>
      </c>
      <c r="H14" s="18">
        <f>'Raw Financials'!H128</f>
        <v>174</v>
      </c>
      <c r="I14" s="18">
        <f>'Raw Financials'!I128</f>
        <v>162.60000000000002</v>
      </c>
      <c r="J14" s="18">
        <f>'Raw Financials'!J128</f>
        <v>325.60000000000002</v>
      </c>
      <c r="K14" s="18">
        <f>'Raw Financials'!K128</f>
        <v>392.20000000000005</v>
      </c>
      <c r="L14" s="18">
        <f>'Raw Financials'!L128</f>
        <v>321.70000000000005</v>
      </c>
      <c r="M14" s="18">
        <f>'Raw Financials'!M128</f>
        <v>337.40000000000003</v>
      </c>
      <c r="N14" s="61">
        <f>'Annual P&amp;L'!N25</f>
        <v>4.1760000000000002</v>
      </c>
      <c r="O14" s="61">
        <f>'Annual P&amp;L'!O25</f>
        <v>4.1760000000000002</v>
      </c>
      <c r="P14" s="61">
        <f>'Annual P&amp;L'!P25</f>
        <v>4.1760000000000002</v>
      </c>
      <c r="Q14" s="61">
        <f>'Annual P&amp;L'!Q25</f>
        <v>4.1760000000000002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343</v>
      </c>
      <c r="B15" s="1" t="s">
        <v>44</v>
      </c>
      <c r="C15" s="18">
        <f>'Raw Financials'!C129</f>
        <v>0</v>
      </c>
      <c r="D15" s="18">
        <f>'Raw Financials'!D129</f>
        <v>0</v>
      </c>
      <c r="E15" s="18">
        <f>'Raw Financials'!E129</f>
        <v>0</v>
      </c>
      <c r="F15" s="18">
        <f>'Raw Financials'!F129</f>
        <v>0</v>
      </c>
      <c r="G15" s="18">
        <f>'Raw Financials'!G129</f>
        <v>0</v>
      </c>
      <c r="H15" s="18">
        <f>'Raw Financials'!H129</f>
        <v>0</v>
      </c>
      <c r="I15" s="18">
        <f>'Raw Financials'!I129</f>
        <v>0</v>
      </c>
      <c r="J15" s="18">
        <f>'Raw Financials'!J129</f>
        <v>0</v>
      </c>
      <c r="K15" s="18">
        <f>'Raw Financials'!K129</f>
        <v>670.30000000000007</v>
      </c>
      <c r="L15" s="18">
        <f>'Raw Financials'!L129</f>
        <v>0</v>
      </c>
      <c r="M15" s="18">
        <f>'Raw Financials'!M129</f>
        <v>0</v>
      </c>
      <c r="N15" s="61">
        <f>0</f>
        <v>0</v>
      </c>
      <c r="O15" s="61">
        <f>0</f>
        <v>0</v>
      </c>
      <c r="P15" s="61">
        <f>0</f>
        <v>0</v>
      </c>
      <c r="Q15" s="61">
        <f>0</f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344</v>
      </c>
      <c r="B16" s="1" t="s">
        <v>44</v>
      </c>
      <c r="C16" s="18">
        <f>'Raw Financials'!C130</f>
        <v>28.647734765915551</v>
      </c>
      <c r="D16" s="18">
        <f>'Raw Financials'!D130</f>
        <v>-382.15414249769094</v>
      </c>
      <c r="E16" s="18">
        <f>'Raw Financials'!E130</f>
        <v>-11.862612836083118</v>
      </c>
      <c r="F16" s="18">
        <f>'Raw Financials'!F130</f>
        <v>276.2</v>
      </c>
      <c r="G16" s="18">
        <f>'Raw Financials'!G130</f>
        <v>-77.600000000000009</v>
      </c>
      <c r="H16" s="18">
        <f>'Raw Financials'!H130</f>
        <v>243.10000000000002</v>
      </c>
      <c r="I16" s="18">
        <f>'Raw Financials'!I130</f>
        <v>-81.5</v>
      </c>
      <c r="J16" s="18">
        <f>'Raw Financials'!J130</f>
        <v>326.60000000000002</v>
      </c>
      <c r="K16" s="18">
        <f>'Raw Financials'!K130</f>
        <v>-12.9</v>
      </c>
      <c r="L16" s="18">
        <f>'Raw Financials'!L130</f>
        <v>222</v>
      </c>
      <c r="M16" s="18">
        <f>'Raw Financials'!M130</f>
        <v>617.1</v>
      </c>
      <c r="N16" s="61">
        <f>0</f>
        <v>0</v>
      </c>
      <c r="O16" s="61">
        <f>0</f>
        <v>0</v>
      </c>
      <c r="P16" s="61">
        <f>0</f>
        <v>0</v>
      </c>
      <c r="Q16" s="61">
        <f>0</f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345</v>
      </c>
      <c r="B17" s="1" t="s">
        <v>44</v>
      </c>
      <c r="C17" s="18">
        <f>'Raw Financials'!C131</f>
        <v>160.80000000000001</v>
      </c>
      <c r="D17" s="18">
        <f>'Raw Financials'!D131</f>
        <v>134.57977500000001</v>
      </c>
      <c r="E17" s="18">
        <f>'Raw Financials'!E131</f>
        <v>88.700548799999993</v>
      </c>
      <c r="F17" s="18">
        <f>'Raw Financials'!F131</f>
        <v>126.30000000000001</v>
      </c>
      <c r="G17" s="18">
        <f>'Raw Financials'!G131</f>
        <v>138.5</v>
      </c>
      <c r="H17" s="18">
        <f>'Raw Financials'!H131</f>
        <v>133</v>
      </c>
      <c r="I17" s="18">
        <f>'Raw Financials'!I131</f>
        <v>90.5</v>
      </c>
      <c r="J17" s="18">
        <f>'Raw Financials'!J131</f>
        <v>86.100000000000009</v>
      </c>
      <c r="K17" s="18">
        <f>'Raw Financials'!K131</f>
        <v>79.2</v>
      </c>
      <c r="L17" s="18">
        <f>'Raw Financials'!L131</f>
        <v>68.600000000000009</v>
      </c>
      <c r="M17" s="18">
        <f>'Raw Financials'!M131</f>
        <v>96.300000000000011</v>
      </c>
      <c r="N17" s="61">
        <f>'Annual P&amp;L'!N7*Assumptions!C52</f>
        <v>116.45175600917676</v>
      </c>
      <c r="O17" s="61">
        <f>'Annual P&amp;L'!O7*Assumptions!D52</f>
        <v>120.92021028109355</v>
      </c>
      <c r="P17" s="61">
        <f>'Annual P&amp;L'!P7*Assumptions!E52</f>
        <v>126.67596324494251</v>
      </c>
      <c r="Q17" s="61">
        <f>'Annual P&amp;L'!Q7*Assumptions!F52</f>
        <v>133.50636064398969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503</v>
      </c>
      <c r="B18" s="1" t="s">
        <v>44</v>
      </c>
      <c r="C18" s="18">
        <f>SUM('Raw Financials'!C132,'Raw Financials'!C133)</f>
        <v>-56.2</v>
      </c>
      <c r="D18" s="18">
        <f>SUM('Raw Financials'!D132,'Raw Financials'!D133)</f>
        <v>-94.954498504100002</v>
      </c>
      <c r="E18" s="18">
        <f>SUM('Raw Financials'!E132,'Raw Financials'!E133)</f>
        <v>0</v>
      </c>
      <c r="F18" s="18">
        <f>SUM('Raw Financials'!F132,'Raw Financials'!F133)</f>
        <v>0</v>
      </c>
      <c r="G18" s="18">
        <f>SUM('Raw Financials'!G132,'Raw Financials'!G133)</f>
        <v>0</v>
      </c>
      <c r="H18" s="18">
        <f>SUM('Raw Financials'!H132,'Raw Financials'!H133)</f>
        <v>0</v>
      </c>
      <c r="I18" s="18">
        <f>SUM('Raw Financials'!I132,'Raw Financials'!I133)</f>
        <v>0</v>
      </c>
      <c r="J18" s="18">
        <f>SUM('Raw Financials'!J132,'Raw Financials'!J133)</f>
        <v>0</v>
      </c>
      <c r="K18" s="18">
        <f>SUM('Raw Financials'!K132,'Raw Financials'!K133)</f>
        <v>0</v>
      </c>
      <c r="L18" s="18">
        <f>SUM('Raw Financials'!L132,'Raw Financials'!L133)</f>
        <v>0</v>
      </c>
      <c r="M18" s="18">
        <f>SUM('Raw Financials'!M132,'Raw Financials'!M133)</f>
        <v>0</v>
      </c>
      <c r="N18" s="61">
        <f>0</f>
        <v>0</v>
      </c>
      <c r="O18" s="61">
        <f>0</f>
        <v>0</v>
      </c>
      <c r="P18" s="61">
        <f>0</f>
        <v>0</v>
      </c>
      <c r="Q18" s="61">
        <f>0</f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348</v>
      </c>
      <c r="B19" s="1" t="s">
        <v>44</v>
      </c>
      <c r="C19" s="18">
        <f>'Raw Financials'!C134</f>
        <v>-94.4</v>
      </c>
      <c r="D19" s="18">
        <f>'Raw Financials'!D134</f>
        <v>-124.84480490000001</v>
      </c>
      <c r="E19" s="18">
        <f>'Raw Financials'!E134</f>
        <v>-145.5037945</v>
      </c>
      <c r="F19" s="18">
        <f>'Raw Financials'!F134</f>
        <v>-207.70000000000002</v>
      </c>
      <c r="G19" s="18">
        <f>'Raw Financials'!G134</f>
        <v>-243.4</v>
      </c>
      <c r="H19" s="18">
        <f>'Raw Financials'!H134</f>
        <v>-188.5</v>
      </c>
      <c r="I19" s="18">
        <f>'Raw Financials'!I134</f>
        <v>-90.4</v>
      </c>
      <c r="J19" s="18">
        <f>'Raw Financials'!J134</f>
        <v>-105</v>
      </c>
      <c r="K19" s="18">
        <f>'Raw Financials'!K134</f>
        <v>-154</v>
      </c>
      <c r="L19" s="18">
        <f>'Raw Financials'!L134</f>
        <v>-196.60000000000002</v>
      </c>
      <c r="M19" s="18">
        <f>'Raw Financials'!M134</f>
        <v>-98</v>
      </c>
      <c r="N19" s="61">
        <f>-'Annual P&amp;L'!N24</f>
        <v>-211.90249999999997</v>
      </c>
      <c r="O19" s="61">
        <f>-'Annual P&amp;L'!O24</f>
        <v>-250.40579034030225</v>
      </c>
      <c r="P19" s="61">
        <f>-'Annual P&amp;L'!P24</f>
        <v>-295.30029140255027</v>
      </c>
      <c r="Q19" s="61">
        <f>-'Annual P&amp;L'!Q24</f>
        <v>-340.93446937115294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349</v>
      </c>
      <c r="B20" s="1" t="s">
        <v>44</v>
      </c>
      <c r="C20" s="18">
        <f>'Raw Financials'!C135</f>
        <v>-0.4</v>
      </c>
      <c r="D20" s="18">
        <f>'Raw Financials'!D135</f>
        <v>-11.541686200000001</v>
      </c>
      <c r="E20" s="18">
        <f>'Raw Financials'!E135</f>
        <v>-26.898407400000004</v>
      </c>
      <c r="F20" s="18">
        <f>'Raw Financials'!F135</f>
        <v>-29.200000000000003</v>
      </c>
      <c r="G20" s="18">
        <f>'Raw Financials'!G135</f>
        <v>-39.200000000000003</v>
      </c>
      <c r="H20" s="18">
        <f>'Raw Financials'!H135</f>
        <v>-40.700000000000003</v>
      </c>
      <c r="I20" s="18">
        <f>'Raw Financials'!I135</f>
        <v>-41.5</v>
      </c>
      <c r="J20" s="18">
        <f>'Raw Financials'!J135</f>
        <v>-30.400000000000002</v>
      </c>
      <c r="K20" s="18">
        <f>'Raw Financials'!K135</f>
        <v>-32.4</v>
      </c>
      <c r="L20" s="18">
        <f>'Raw Financials'!L135</f>
        <v>-26.3</v>
      </c>
      <c r="M20" s="18">
        <f>'Raw Financials'!M135</f>
        <v>-18.400000000000002</v>
      </c>
      <c r="N20" s="61">
        <f>0</f>
        <v>0</v>
      </c>
      <c r="O20" s="61">
        <f>0</f>
        <v>0</v>
      </c>
      <c r="P20" s="61">
        <f>0</f>
        <v>0</v>
      </c>
      <c r="Q20" s="61">
        <f>0</f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350</v>
      </c>
      <c r="B21" s="1" t="s">
        <v>44</v>
      </c>
      <c r="C21" s="18">
        <f>'Raw Financials'!C136</f>
        <v>-84.800000000000011</v>
      </c>
      <c r="D21" s="18">
        <f>'Raw Financials'!D136</f>
        <v>-60.329001500000004</v>
      </c>
      <c r="E21" s="18">
        <f>'Raw Financials'!E136</f>
        <v>-58.348962400000005</v>
      </c>
      <c r="F21" s="18">
        <f>'Raw Financials'!F136</f>
        <v>-24.3</v>
      </c>
      <c r="G21" s="18">
        <f>'Raw Financials'!G136</f>
        <v>-34.1</v>
      </c>
      <c r="H21" s="18">
        <f>'Raw Financials'!H136</f>
        <v>-0.2</v>
      </c>
      <c r="I21" s="18">
        <f>'Raw Financials'!I136</f>
        <v>-9.1</v>
      </c>
      <c r="J21" s="18">
        <f>'Raw Financials'!J136</f>
        <v>-2.8000000000000003</v>
      </c>
      <c r="K21" s="18">
        <f>'Raw Financials'!K136</f>
        <v>-2.8000000000000003</v>
      </c>
      <c r="L21" s="18">
        <f>'Raw Financials'!L136</f>
        <v>-1.3</v>
      </c>
      <c r="M21" s="18">
        <f>'Raw Financials'!M136</f>
        <v>-0.30000000000000004</v>
      </c>
      <c r="N21" s="61">
        <f>0</f>
        <v>0</v>
      </c>
      <c r="O21" s="61">
        <f>0</f>
        <v>0</v>
      </c>
      <c r="P21" s="61">
        <f>0</f>
        <v>0</v>
      </c>
      <c r="Q21" s="61">
        <f>0</f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504</v>
      </c>
      <c r="B22" s="1" t="s">
        <v>44</v>
      </c>
      <c r="C22" s="18">
        <f>SUM('Raw Financials'!C137,'Raw Financials'!C138)</f>
        <v>0</v>
      </c>
      <c r="D22" s="18">
        <f>SUM('Raw Financials'!D137,'Raw Financials'!D138)</f>
        <v>-0.90706170000000008</v>
      </c>
      <c r="E22" s="18">
        <f>SUM('Raw Financials'!E137,'Raw Financials'!E138)</f>
        <v>-49.879797100000005</v>
      </c>
      <c r="F22" s="18">
        <f>SUM('Raw Financials'!F137,'Raw Financials'!F138)</f>
        <v>-87.100000000000009</v>
      </c>
      <c r="G22" s="18">
        <f>SUM('Raw Financials'!G137,'Raw Financials'!G138)</f>
        <v>-206.3</v>
      </c>
      <c r="H22" s="18">
        <f>SUM('Raw Financials'!H137,'Raw Financials'!H138)</f>
        <v>-159.30000000000001</v>
      </c>
      <c r="I22" s="18">
        <f>SUM('Raw Financials'!I137,'Raw Financials'!I138)</f>
        <v>-258.3</v>
      </c>
      <c r="J22" s="18">
        <f>SUM('Raw Financials'!J137,'Raw Financials'!J138)</f>
        <v>-105.2</v>
      </c>
      <c r="K22" s="18">
        <f>SUM('Raw Financials'!K137,'Raw Financials'!K138)</f>
        <v>-149.20000000000002</v>
      </c>
      <c r="L22" s="18">
        <f>SUM('Raw Financials'!L137,'Raw Financials'!L138)</f>
        <v>-130.4</v>
      </c>
      <c r="M22" s="18">
        <f>SUM('Raw Financials'!M137,'Raw Financials'!M138)</f>
        <v>-153.9</v>
      </c>
      <c r="N22" s="61">
        <f>0</f>
        <v>0</v>
      </c>
      <c r="O22" s="61">
        <f>0</f>
        <v>0</v>
      </c>
      <c r="P22" s="61">
        <f>0</f>
        <v>0</v>
      </c>
      <c r="Q22" s="61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154</v>
      </c>
      <c r="B23" s="1" t="s">
        <v>44</v>
      </c>
      <c r="C23" s="18">
        <f>SUM('Raw Financials'!C139,'Raw Financials'!C143)</f>
        <v>0</v>
      </c>
      <c r="D23" s="18">
        <f>SUM('Raw Financials'!D139,'Raw Financials'!D143)</f>
        <v>9.9213954000000015</v>
      </c>
      <c r="E23" s="18">
        <f>SUM('Raw Financials'!E139,'Raw Financials'!E143)</f>
        <v>0</v>
      </c>
      <c r="F23" s="18">
        <f>SUM('Raw Financials'!F139,'Raw Financials'!F143)</f>
        <v>0</v>
      </c>
      <c r="G23" s="18">
        <f>SUM('Raw Financials'!G139,'Raw Financials'!G143)</f>
        <v>217.5</v>
      </c>
      <c r="H23" s="18">
        <f>SUM('Raw Financials'!H139,'Raw Financials'!H143)</f>
        <v>50.7</v>
      </c>
      <c r="I23" s="18">
        <f>SUM('Raw Financials'!I139,'Raw Financials'!I143)</f>
        <v>0</v>
      </c>
      <c r="J23" s="18">
        <f>SUM('Raw Financials'!J139,'Raw Financials'!J143)</f>
        <v>237</v>
      </c>
      <c r="K23" s="18">
        <f>SUM('Raw Financials'!K139,'Raw Financials'!K143)</f>
        <v>458.20000000000005</v>
      </c>
      <c r="L23" s="18">
        <f>SUM('Raw Financials'!L139,'Raw Financials'!L143)</f>
        <v>27.3</v>
      </c>
      <c r="M23" s="18">
        <f>SUM('Raw Financials'!M139,'Raw Financials'!M143)</f>
        <v>0</v>
      </c>
      <c r="N23" s="61">
        <f>'Annual P&amp;L'!N22</f>
        <v>0</v>
      </c>
      <c r="O23" s="61">
        <f>'Annual P&amp;L'!O22</f>
        <v>0</v>
      </c>
      <c r="P23" s="61">
        <f>'Annual P&amp;L'!P22</f>
        <v>0</v>
      </c>
      <c r="Q23" s="61">
        <f>'Annual P&amp;L'!Q22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354</v>
      </c>
      <c r="B24" s="1" t="s">
        <v>44</v>
      </c>
      <c r="C24" s="18">
        <f>'Raw Financials'!C140</f>
        <v>0</v>
      </c>
      <c r="D24" s="18">
        <f>'Raw Financials'!D140</f>
        <v>0</v>
      </c>
      <c r="E24" s="18">
        <f>'Raw Financials'!E140</f>
        <v>0</v>
      </c>
      <c r="F24" s="18">
        <f>'Raw Financials'!F140</f>
        <v>44.5</v>
      </c>
      <c r="G24" s="18">
        <f>'Raw Financials'!G140</f>
        <v>-55</v>
      </c>
      <c r="H24" s="18">
        <f>'Raw Financials'!H140</f>
        <v>137.30000000000001</v>
      </c>
      <c r="I24" s="18">
        <f>'Raw Financials'!I140</f>
        <v>258.8</v>
      </c>
      <c r="J24" s="18">
        <f>'Raw Financials'!J140</f>
        <v>-58.300000000000004</v>
      </c>
      <c r="K24" s="18">
        <f>'Raw Financials'!K140</f>
        <v>-436.1</v>
      </c>
      <c r="L24" s="18">
        <f>'Raw Financials'!L140</f>
        <v>-66.5</v>
      </c>
      <c r="M24" s="18">
        <f>'Raw Financials'!M140</f>
        <v>-30.400000000000002</v>
      </c>
      <c r="N24" s="61">
        <f>0</f>
        <v>0</v>
      </c>
      <c r="O24" s="61">
        <f>0</f>
        <v>0</v>
      </c>
      <c r="P24" s="61">
        <f>0</f>
        <v>0</v>
      </c>
      <c r="Q24" s="61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355</v>
      </c>
      <c r="B25" s="1" t="s">
        <v>44</v>
      </c>
      <c r="C25" s="18">
        <f>'Raw Financials'!C141</f>
        <v>0</v>
      </c>
      <c r="D25" s="18">
        <f>'Raw Financials'!D141</f>
        <v>0</v>
      </c>
      <c r="E25" s="18">
        <f>'Raw Financials'!E141</f>
        <v>0</v>
      </c>
      <c r="F25" s="18">
        <f>'Raw Financials'!F141</f>
        <v>0</v>
      </c>
      <c r="G25" s="18">
        <f>'Raw Financials'!G141</f>
        <v>-148.80000000000001</v>
      </c>
      <c r="H25" s="18">
        <f>'Raw Financials'!H141</f>
        <v>-73</v>
      </c>
      <c r="I25" s="18">
        <f>'Raw Financials'!I141</f>
        <v>0</v>
      </c>
      <c r="J25" s="18">
        <f>'Raw Financials'!J141</f>
        <v>0</v>
      </c>
      <c r="K25" s="18">
        <f>'Raw Financials'!K141</f>
        <v>0</v>
      </c>
      <c r="L25" s="18">
        <f>'Raw Financials'!L141</f>
        <v>0</v>
      </c>
      <c r="M25" s="18">
        <f>'Raw Financials'!M141</f>
        <v>0</v>
      </c>
      <c r="N25" s="61">
        <f>0</f>
        <v>0</v>
      </c>
      <c r="O25" s="61">
        <f>0</f>
        <v>0</v>
      </c>
      <c r="P25" s="61">
        <f>0</f>
        <v>0</v>
      </c>
      <c r="Q25" s="61">
        <f>0</f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356</v>
      </c>
      <c r="B26" s="1" t="s">
        <v>44</v>
      </c>
      <c r="C26" s="18">
        <f>'Raw Financials'!C142</f>
        <v>0</v>
      </c>
      <c r="D26" s="18">
        <f>'Raw Financials'!D142</f>
        <v>0</v>
      </c>
      <c r="E26" s="18">
        <f>'Raw Financials'!E142</f>
        <v>0</v>
      </c>
      <c r="F26" s="18">
        <f>'Raw Financials'!F142</f>
        <v>-149</v>
      </c>
      <c r="G26" s="18">
        <f>'Raw Financials'!G142</f>
        <v>0</v>
      </c>
      <c r="H26" s="18">
        <f>'Raw Financials'!H142</f>
        <v>0</v>
      </c>
      <c r="I26" s="18">
        <f>'Raw Financials'!I142</f>
        <v>0</v>
      </c>
      <c r="J26" s="18">
        <f>'Raw Financials'!J142</f>
        <v>0</v>
      </c>
      <c r="K26" s="18">
        <f>'Raw Financials'!K142</f>
        <v>0</v>
      </c>
      <c r="L26" s="18">
        <f>'Raw Financials'!L142</f>
        <v>0</v>
      </c>
      <c r="M26" s="18">
        <f>'Raw Financials'!M142</f>
        <v>0</v>
      </c>
      <c r="N26" s="61">
        <f>0</f>
        <v>0</v>
      </c>
      <c r="O26" s="61">
        <f>0</f>
        <v>0</v>
      </c>
      <c r="P26" s="61">
        <f>0</f>
        <v>0</v>
      </c>
      <c r="Q26" s="61">
        <f>0</f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505</v>
      </c>
      <c r="B27" s="1" t="s">
        <v>44</v>
      </c>
      <c r="C27" s="18">
        <f t="shared" ref="C27:M27" si="0">C36-SUM(C7:C26,C28:C35)</f>
        <v>-7.3030353445574292E-2</v>
      </c>
      <c r="D27" s="18">
        <f t="shared" si="0"/>
        <v>-17.10349419999875</v>
      </c>
      <c r="E27" s="18">
        <f t="shared" si="0"/>
        <v>-64.564010615257757</v>
      </c>
      <c r="F27" s="18">
        <f t="shared" si="0"/>
        <v>-9.999999999308784E-3</v>
      </c>
      <c r="G27" s="18">
        <f t="shared" si="0"/>
        <v>-5.6205170585599262E-4</v>
      </c>
      <c r="H27" s="18">
        <f t="shared" si="0"/>
        <v>-1.0000000002037268E-3</v>
      </c>
      <c r="I27" s="18">
        <f t="shared" si="0"/>
        <v>-1.0000000011132215E-3</v>
      </c>
      <c r="J27" s="18">
        <f t="shared" si="0"/>
        <v>-3.0000000006111804E-3</v>
      </c>
      <c r="K27" s="18">
        <f t="shared" si="0"/>
        <v>-1.0000000002037268E-3</v>
      </c>
      <c r="L27" s="18">
        <f t="shared" si="0"/>
        <v>0</v>
      </c>
      <c r="M27" s="18">
        <f t="shared" si="0"/>
        <v>0</v>
      </c>
      <c r="N27" s="61">
        <f>-SUM('Annual Balance Sheet'!N24-'Annual Balance Sheet'!M24,'Annual Balance Sheet'!N16-'Annual Balance Sheet'!M16,'Annual Balance Sheet'!N17-'Annual Balance Sheet'!M17,'Annual Balance Sheet'!N18-'Annual Balance Sheet'!M18,'Annual Balance Sheet'!N19-'Annual Balance Sheet'!M19,'Annual Balance Sheet'!N20-'Annual Balance Sheet'!M20,'Annual Balance Sheet'!N21-'Annual Balance Sheet'!M21,'Annual Balance Sheet'!N22-'Annual Balance Sheet'!M22)+SUM('Annual Balance Sheet'!N43-'Annual Balance Sheet'!M43,'Annual Balance Sheet'!N44-'Annual Balance Sheet'!M44,'Annual Balance Sheet'!N45-'Annual Balance Sheet'!M45,'Annual Balance Sheet'!N46-'Annual Balance Sheet'!M46,'Annual Balance Sheet'!N47-'Annual Balance Sheet'!M47)</f>
        <v>85.084362217788225</v>
      </c>
      <c r="O27" s="61">
        <f>-SUM('Annual Balance Sheet'!O24-'Annual Balance Sheet'!N24,'Annual Balance Sheet'!O16-'Annual Balance Sheet'!N16,'Annual Balance Sheet'!O17-'Annual Balance Sheet'!N17,'Annual Balance Sheet'!O18-'Annual Balance Sheet'!N18,'Annual Balance Sheet'!O19-'Annual Balance Sheet'!N19,'Annual Balance Sheet'!O20-'Annual Balance Sheet'!N20,'Annual Balance Sheet'!O21-'Annual Balance Sheet'!N21,'Annual Balance Sheet'!O22-'Annual Balance Sheet'!N22)+SUM('Annual Balance Sheet'!O43-'Annual Balance Sheet'!N43,'Annual Balance Sheet'!O44-'Annual Balance Sheet'!N44,'Annual Balance Sheet'!O45-'Annual Balance Sheet'!N45,'Annual Balance Sheet'!O46-'Annual Balance Sheet'!N46,'Annual Balance Sheet'!O47-'Annual Balance Sheet'!N47)</f>
        <v>-65.190910144240206</v>
      </c>
      <c r="P27" s="61">
        <f>-SUM('Annual Balance Sheet'!P24-'Annual Balance Sheet'!O24,'Annual Balance Sheet'!P16-'Annual Balance Sheet'!O16,'Annual Balance Sheet'!P17-'Annual Balance Sheet'!O17,'Annual Balance Sheet'!P18-'Annual Balance Sheet'!O18,'Annual Balance Sheet'!P19-'Annual Balance Sheet'!O19,'Annual Balance Sheet'!P20-'Annual Balance Sheet'!O20,'Annual Balance Sheet'!P21-'Annual Balance Sheet'!O21,'Annual Balance Sheet'!P22-'Annual Balance Sheet'!O22)+SUM('Annual Balance Sheet'!P43-'Annual Balance Sheet'!O43,'Annual Balance Sheet'!P44-'Annual Balance Sheet'!O44,'Annual Balance Sheet'!P45-'Annual Balance Sheet'!O45,'Annual Balance Sheet'!P46-'Annual Balance Sheet'!O46,'Annual Balance Sheet'!P47-'Annual Balance Sheet'!O47)</f>
        <v>-107.29539473551758</v>
      </c>
      <c r="Q27" s="61">
        <f>-SUM('Annual Balance Sheet'!Q24-'Annual Balance Sheet'!P24,'Annual Balance Sheet'!Q16-'Annual Balance Sheet'!P16,'Annual Balance Sheet'!Q17-'Annual Balance Sheet'!P17,'Annual Balance Sheet'!Q18-'Annual Balance Sheet'!P18,'Annual Balance Sheet'!Q19-'Annual Balance Sheet'!P19,'Annual Balance Sheet'!Q20-'Annual Balance Sheet'!P20,'Annual Balance Sheet'!Q21-'Annual Balance Sheet'!P21,'Annual Balance Sheet'!Q22-'Annual Balance Sheet'!P22)+SUM('Annual Balance Sheet'!Q43-'Annual Balance Sheet'!P43,'Annual Balance Sheet'!Q44-'Annual Balance Sheet'!P44,'Annual Balance Sheet'!Q45-'Annual Balance Sheet'!P45,'Annual Balance Sheet'!Q46-'Annual Balance Sheet'!P46,'Annual Balance Sheet'!Q47-'Annual Balance Sheet'!P47)</f>
        <v>-137.31889622823223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361</v>
      </c>
      <c r="B28" s="1" t="s">
        <v>44</v>
      </c>
      <c r="C28" s="18">
        <f>'Raw Financials'!C147</f>
        <v>-857.7654458191015</v>
      </c>
      <c r="D28" s="18">
        <f>'Raw Financials'!D147</f>
        <v>-84.082451568192127</v>
      </c>
      <c r="E28" s="18">
        <f>'Raw Financials'!E147</f>
        <v>-1044.196309236067</v>
      </c>
      <c r="F28" s="18">
        <f>'Raw Financials'!F147</f>
        <v>-1619</v>
      </c>
      <c r="G28" s="18">
        <f>'Raw Financials'!G147</f>
        <v>-2334.9</v>
      </c>
      <c r="H28" s="18">
        <f>'Raw Financials'!H147</f>
        <v>0</v>
      </c>
      <c r="I28" s="18">
        <f>'Raw Financials'!I147</f>
        <v>0</v>
      </c>
      <c r="J28" s="18">
        <f>'Raw Financials'!J147</f>
        <v>0</v>
      </c>
      <c r="K28" s="18">
        <f>'Raw Financials'!K147</f>
        <v>0</v>
      </c>
      <c r="L28" s="18">
        <f>'Raw Financials'!L147</f>
        <v>0</v>
      </c>
      <c r="M28" s="18">
        <f>'Raw Financials'!M147</f>
        <v>0</v>
      </c>
      <c r="N28" s="61">
        <f>0</f>
        <v>0</v>
      </c>
      <c r="O28" s="61">
        <f>0</f>
        <v>0</v>
      </c>
      <c r="P28" s="61">
        <f>0</f>
        <v>0</v>
      </c>
      <c r="Q28" s="61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362</v>
      </c>
      <c r="B29" s="1" t="s">
        <v>44</v>
      </c>
      <c r="C29" s="18">
        <f>'Raw Financials'!C148</f>
        <v>378.57209818988076</v>
      </c>
      <c r="D29" s="18">
        <f>'Raw Financials'!D148</f>
        <v>627.86040211746092</v>
      </c>
      <c r="E29" s="18">
        <f>'Raw Financials'!E148</f>
        <v>260.99400671941765</v>
      </c>
      <c r="F29" s="18">
        <f>'Raw Financials'!F148</f>
        <v>561.62398496064111</v>
      </c>
      <c r="G29" s="18">
        <f>'Raw Financials'!G148</f>
        <v>1813.0795620517072</v>
      </c>
      <c r="H29" s="18">
        <f>'Raw Financials'!H148</f>
        <v>0</v>
      </c>
      <c r="I29" s="18">
        <f>'Raw Financials'!I148</f>
        <v>0</v>
      </c>
      <c r="J29" s="18">
        <f>'Raw Financials'!J148</f>
        <v>0</v>
      </c>
      <c r="K29" s="18">
        <f>'Raw Financials'!K148</f>
        <v>0</v>
      </c>
      <c r="L29" s="18">
        <f>'Raw Financials'!L148</f>
        <v>0</v>
      </c>
      <c r="M29" s="18">
        <f>'Raw Financials'!M148</f>
        <v>0</v>
      </c>
      <c r="N29" s="61">
        <f>0</f>
        <v>0</v>
      </c>
      <c r="O29" s="61">
        <f>0</f>
        <v>0</v>
      </c>
      <c r="P29" s="61">
        <f>0</f>
        <v>0</v>
      </c>
      <c r="Q29" s="61">
        <f>0</f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363</v>
      </c>
      <c r="B30" s="1" t="s">
        <v>44</v>
      </c>
      <c r="C30" s="18">
        <f>'Raw Financials'!C149</f>
        <v>0</v>
      </c>
      <c r="D30" s="18">
        <f>'Raw Financials'!D149</f>
        <v>0</v>
      </c>
      <c r="E30" s="18">
        <f>'Raw Financials'!E149</f>
        <v>0</v>
      </c>
      <c r="F30" s="18">
        <f>'Raw Financials'!F149</f>
        <v>0</v>
      </c>
      <c r="G30" s="18">
        <f>'Raw Financials'!G149</f>
        <v>0</v>
      </c>
      <c r="H30" s="18">
        <f>'Raw Financials'!H149</f>
        <v>852.30000000000007</v>
      </c>
      <c r="I30" s="18">
        <f>'Raw Financials'!I149</f>
        <v>-2895.1000000000004</v>
      </c>
      <c r="J30" s="18">
        <f>'Raw Financials'!J149</f>
        <v>-1783.6000000000001</v>
      </c>
      <c r="K30" s="18">
        <f>'Raw Financials'!K149</f>
        <v>1220.7</v>
      </c>
      <c r="L30" s="18">
        <f>'Raw Financials'!L149</f>
        <v>-389.90000000000003</v>
      </c>
      <c r="M30" s="18">
        <f>'Raw Financials'!M149</f>
        <v>-1654.9</v>
      </c>
      <c r="N30" s="61">
        <f>-('Annual Balance Sheet'!N26-'Annual Balance Sheet'!M26)</f>
        <v>-279.72471842419327</v>
      </c>
      <c r="O30" s="61">
        <f>-('Annual Balance Sheet'!O26-'Annual Balance Sheet'!N26)</f>
        <v>-134.29321786688979</v>
      </c>
      <c r="P30" s="61">
        <f>-('Annual Balance Sheet'!P26-'Annual Balance Sheet'!O26)</f>
        <v>-204.9317520819277</v>
      </c>
      <c r="Q30" s="61">
        <f>-('Annual Balance Sheet'!Q26-'Annual Balance Sheet'!P26)</f>
        <v>-256.87988645373662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364</v>
      </c>
      <c r="B31" s="1" t="s">
        <v>44</v>
      </c>
      <c r="C31" s="18">
        <f>'Raw Financials'!C150</f>
        <v>0</v>
      </c>
      <c r="D31" s="18">
        <f>'Raw Financials'!D150</f>
        <v>0</v>
      </c>
      <c r="E31" s="18">
        <f>'Raw Financials'!E150</f>
        <v>0</v>
      </c>
      <c r="F31" s="18">
        <f>'Raw Financials'!F150</f>
        <v>0</v>
      </c>
      <c r="G31" s="18">
        <f>'Raw Financials'!G150</f>
        <v>0</v>
      </c>
      <c r="H31" s="18">
        <f>'Raw Financials'!H150</f>
        <v>697.2</v>
      </c>
      <c r="I31" s="18">
        <f>'Raw Financials'!I150</f>
        <v>0</v>
      </c>
      <c r="J31" s="18">
        <f>'Raw Financials'!J150</f>
        <v>0</v>
      </c>
      <c r="K31" s="18">
        <f>'Raw Financials'!K150</f>
        <v>0</v>
      </c>
      <c r="L31" s="18">
        <f>'Raw Financials'!L150</f>
        <v>0</v>
      </c>
      <c r="M31" s="18">
        <f>'Raw Financials'!M150</f>
        <v>0</v>
      </c>
      <c r="N31" s="61">
        <f>-('Annual Balance Sheet'!N27-'Annual Balance Sheet'!M27)</f>
        <v>-81.549277177451586</v>
      </c>
      <c r="O31" s="61">
        <f>-('Annual Balance Sheet'!O27-'Annual Balance Sheet'!N27)</f>
        <v>-60.839175040860937</v>
      </c>
      <c r="P31" s="61">
        <f>-('Annual Balance Sheet'!P27-'Annual Balance Sheet'!O27)</f>
        <v>-110.31663486797243</v>
      </c>
      <c r="Q31" s="61">
        <f>-('Annual Balance Sheet'!Q27-'Annual Balance Sheet'!P27)</f>
        <v>-144.59938126391989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365</v>
      </c>
      <c r="B32" s="1" t="s">
        <v>44</v>
      </c>
      <c r="C32" s="18">
        <f>'Raw Financials'!C151</f>
        <v>0</v>
      </c>
      <c r="D32" s="18">
        <f>'Raw Financials'!D151</f>
        <v>0</v>
      </c>
      <c r="E32" s="18">
        <f>'Raw Financials'!E151</f>
        <v>0</v>
      </c>
      <c r="F32" s="18">
        <f>'Raw Financials'!F151</f>
        <v>0</v>
      </c>
      <c r="G32" s="18">
        <f>'Raw Financials'!G151</f>
        <v>0</v>
      </c>
      <c r="H32" s="18">
        <f>'Raw Financials'!H151</f>
        <v>96.800000000000011</v>
      </c>
      <c r="I32" s="18">
        <f>'Raw Financials'!I151</f>
        <v>-467.1</v>
      </c>
      <c r="J32" s="18">
        <f>'Raw Financials'!J151</f>
        <v>-373.90000000000003</v>
      </c>
      <c r="K32" s="18">
        <f>'Raw Financials'!K151</f>
        <v>374.90000000000003</v>
      </c>
      <c r="L32" s="18">
        <f>'Raw Financials'!L151</f>
        <v>-539.30000000000007</v>
      </c>
      <c r="M32" s="18">
        <f>'Raw Financials'!M151</f>
        <v>-1287.1000000000001</v>
      </c>
      <c r="N32" s="61">
        <f>-SUM('Annual Balance Sheet'!N30-'Annual Balance Sheet'!M30,'Annual Balance Sheet'!N31-'Annual Balance Sheet'!M31,'Annual Balance Sheet'!N32-'Annual Balance Sheet'!M32,'Annual Balance Sheet'!N33-'Annual Balance Sheet'!M33)</f>
        <v>-150.68780045883841</v>
      </c>
      <c r="O32" s="61">
        <f>-SUM('Annual Balance Sheet'!O30-'Annual Balance Sheet'!N30,'Annual Balance Sheet'!O31-'Annual Balance Sheet'!N31,'Annual Balance Sheet'!O32-'Annual Balance Sheet'!N32,'Annual Balance Sheet'!O33-'Annual Balance Sheet'!N33)</f>
        <v>-102.50250331474524</v>
      </c>
      <c r="P32" s="61">
        <f>-SUM('Annual Balance Sheet'!P30-'Annual Balance Sheet'!O30,'Annual Balance Sheet'!P31-'Annual Balance Sheet'!O31,'Annual Balance Sheet'!P32-'Annual Balance Sheet'!O32,'Annual Balance Sheet'!P33-'Annual Balance Sheet'!O33)</f>
        <v>-155.35593198365626</v>
      </c>
      <c r="Q32" s="61">
        <f>-SUM('Annual Balance Sheet'!Q30-'Annual Balance Sheet'!P30,'Annual Balance Sheet'!Q31-'Annual Balance Sheet'!P31,'Annual Balance Sheet'!Q32-'Annual Balance Sheet'!P32,'Annual Balance Sheet'!Q33-'Annual Balance Sheet'!P33)</f>
        <v>-194.35271451027558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366</v>
      </c>
      <c r="B33" s="1" t="s">
        <v>44</v>
      </c>
      <c r="C33" s="18">
        <f>'Raw Financials'!C152</f>
        <v>0</v>
      </c>
      <c r="D33" s="18">
        <f>'Raw Financials'!D152</f>
        <v>0</v>
      </c>
      <c r="E33" s="18">
        <f>'Raw Financials'!E152</f>
        <v>0</v>
      </c>
      <c r="F33" s="18">
        <f>'Raw Financials'!F152</f>
        <v>0</v>
      </c>
      <c r="G33" s="18">
        <f>'Raw Financials'!G152</f>
        <v>0</v>
      </c>
      <c r="H33" s="18">
        <f>'Raw Financials'!H152</f>
        <v>-619.46400000000006</v>
      </c>
      <c r="I33" s="18">
        <f>'Raw Financials'!I152</f>
        <v>978.49800000000005</v>
      </c>
      <c r="J33" s="18">
        <f>'Raw Financials'!J152</f>
        <v>255.19899999999998</v>
      </c>
      <c r="K33" s="18">
        <f>'Raw Financials'!K152</f>
        <v>-612.00100000000009</v>
      </c>
      <c r="L33" s="18">
        <f>'Raw Financials'!L152</f>
        <v>629.85126260000004</v>
      </c>
      <c r="M33" s="18">
        <f>'Raw Financials'!M152</f>
        <v>516.6</v>
      </c>
      <c r="N33" s="61">
        <f>'Annual Balance Sheet'!N51-'Annual Balance Sheet'!M51</f>
        <v>83.87726440377719</v>
      </c>
      <c r="O33" s="61">
        <f>'Annual Balance Sheet'!O51-'Annual Balance Sheet'!N51</f>
        <v>136.15188282379131</v>
      </c>
      <c r="P33" s="61">
        <f>'Annual Balance Sheet'!P51-'Annual Balance Sheet'!O51</f>
        <v>187.03727230495952</v>
      </c>
      <c r="Q33" s="61">
        <f>'Annual Balance Sheet'!Q51-'Annual Balance Sheet'!P51</f>
        <v>226.95390783703442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367</v>
      </c>
      <c r="B34" s="1" t="s">
        <v>44</v>
      </c>
      <c r="C34" s="18">
        <f>'Raw Financials'!C153</f>
        <v>0</v>
      </c>
      <c r="D34" s="18">
        <f>'Raw Financials'!D153</f>
        <v>0</v>
      </c>
      <c r="E34" s="18">
        <f>'Raw Financials'!E153</f>
        <v>0</v>
      </c>
      <c r="F34" s="18">
        <f>'Raw Financials'!F153</f>
        <v>0</v>
      </c>
      <c r="G34" s="18">
        <f>'Raw Financials'!G153</f>
        <v>0</v>
      </c>
      <c r="H34" s="18">
        <f>'Raw Financials'!H153</f>
        <v>125.9</v>
      </c>
      <c r="I34" s="18">
        <f>'Raw Financials'!I153</f>
        <v>377.6</v>
      </c>
      <c r="J34" s="18">
        <f>'Raw Financials'!J153</f>
        <v>21.5</v>
      </c>
      <c r="K34" s="18">
        <f>'Raw Financials'!K153</f>
        <v>180.60000000000002</v>
      </c>
      <c r="L34" s="18">
        <f>'Raw Financials'!L153</f>
        <v>-149.20000000000002</v>
      </c>
      <c r="M34" s="18">
        <f>'Raw Financials'!M153</f>
        <v>391.1</v>
      </c>
      <c r="N34" s="61">
        <f>0</f>
        <v>0</v>
      </c>
      <c r="O34" s="61">
        <f>0</f>
        <v>0</v>
      </c>
      <c r="P34" s="61">
        <f>0</f>
        <v>0</v>
      </c>
      <c r="Q34" s="61">
        <f>0</f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368</v>
      </c>
      <c r="B35" s="1" t="s">
        <v>44</v>
      </c>
      <c r="C35" s="18">
        <f>'Raw Financials'!C154</f>
        <v>0</v>
      </c>
      <c r="D35" s="18">
        <f>'Raw Financials'!D154</f>
        <v>0</v>
      </c>
      <c r="E35" s="18">
        <f>'Raw Financials'!E154</f>
        <v>0</v>
      </c>
      <c r="F35" s="18">
        <f>'Raw Financials'!F154</f>
        <v>0</v>
      </c>
      <c r="G35" s="18">
        <f>'Raw Financials'!G154</f>
        <v>0</v>
      </c>
      <c r="H35" s="18">
        <f>'Raw Financials'!H154</f>
        <v>410.8</v>
      </c>
      <c r="I35" s="18">
        <f>'Raw Financials'!I154</f>
        <v>571.80000000000007</v>
      </c>
      <c r="J35" s="18">
        <f>'Raw Financials'!J154</f>
        <v>35.700000000000003</v>
      </c>
      <c r="K35" s="18">
        <f>'Raw Financials'!K154</f>
        <v>134.5</v>
      </c>
      <c r="L35" s="18">
        <f>'Raw Financials'!L154</f>
        <v>182.3</v>
      </c>
      <c r="M35" s="18">
        <f>'Raw Financials'!M154</f>
        <v>547.1</v>
      </c>
      <c r="N35" s="61">
        <f>SUM('Annual Balance Sheet'!N52:N55)-SUM('Annual Balance Sheet'!M52:M55)</f>
        <v>48.459334702021806</v>
      </c>
      <c r="O35" s="61">
        <f>SUM('Annual Balance Sheet'!O52:O55)-SUM('Annual Balance Sheet'!N52:N55)</f>
        <v>99.996331239448409</v>
      </c>
      <c r="P35" s="61">
        <f>SUM('Annual Balance Sheet'!P52:P55)-SUM('Annual Balance Sheet'!O52:O55)</f>
        <v>175.45166931686254</v>
      </c>
      <c r="Q35" s="61">
        <f>SUM('Annual Balance Sheet'!Q52:Q55)-SUM('Annual Balance Sheet'!P52:P55)</f>
        <v>294.94427046493547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64" t="s">
        <v>369</v>
      </c>
      <c r="B36" s="22" t="s">
        <v>44</v>
      </c>
      <c r="C36" s="23">
        <f>'Raw Financials'!C155</f>
        <v>4516.5813567832502</v>
      </c>
      <c r="D36" s="23">
        <f>'Raw Financials'!D155</f>
        <v>5150.8647596474766</v>
      </c>
      <c r="E36" s="23">
        <f>'Raw Financials'!E155</f>
        <v>5080</v>
      </c>
      <c r="F36" s="23">
        <f>'Raw Financials'!F155</f>
        <v>6093.2486187606391</v>
      </c>
      <c r="G36" s="23">
        <f>'Raw Financials'!G155</f>
        <v>5871.1580000000004</v>
      </c>
      <c r="H36" s="23">
        <f>'Raw Financials'!H155</f>
        <v>9508.4449999999997</v>
      </c>
      <c r="I36" s="23">
        <f>'Raw Financials'!I155</f>
        <v>7598.973</v>
      </c>
      <c r="J36" s="23">
        <f>'Raw Financials'!J155</f>
        <v>7565.0600000000013</v>
      </c>
      <c r="K36" s="23">
        <f>'Raw Financials'!K155</f>
        <v>7623.2690000000002</v>
      </c>
      <c r="L36" s="23">
        <f>'Raw Financials'!L155</f>
        <v>7260.0512626</v>
      </c>
      <c r="M36" s="23">
        <f>'Raw Financials'!M155</f>
        <v>7822.2000000000007</v>
      </c>
      <c r="N36" s="63">
        <f>SUM(N7:N35)</f>
        <v>9545.6325480385403</v>
      </c>
      <c r="O36" s="63">
        <f>SUM(O7:O35)</f>
        <v>10453.840807292196</v>
      </c>
      <c r="P36" s="63">
        <f>SUM(P7:P35)</f>
        <v>11312.101883242511</v>
      </c>
      <c r="Q36" s="63">
        <f>SUM(Q7:Q35)</f>
        <v>12338.34520038084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370</v>
      </c>
      <c r="B37" s="1" t="s">
        <v>44</v>
      </c>
      <c r="C37" s="18">
        <f>'Raw Financials'!C156</f>
        <v>-1303.4000000000001</v>
      </c>
      <c r="D37" s="18">
        <f>'Raw Financials'!D156</f>
        <v>-1079.5337878843</v>
      </c>
      <c r="E37" s="18">
        <f>'Raw Financials'!E156</f>
        <v>-1526.3517979955432</v>
      </c>
      <c r="F37" s="18">
        <f>'Raw Financials'!F156</f>
        <v>-1661.2</v>
      </c>
      <c r="G37" s="18">
        <f>'Raw Financials'!G156</f>
        <v>-1513.1000000000001</v>
      </c>
      <c r="H37" s="18">
        <f>'Raw Financials'!H156</f>
        <v>-1414.6000000000001</v>
      </c>
      <c r="I37" s="18">
        <f>'Raw Financials'!I156</f>
        <v>-2313.7000000000003</v>
      </c>
      <c r="J37" s="18">
        <f>'Raw Financials'!J156</f>
        <v>-1993.1000000000001</v>
      </c>
      <c r="K37" s="18">
        <f>'Raw Financials'!K156</f>
        <v>-1246.9000000000001</v>
      </c>
      <c r="L37" s="18">
        <f>'Raw Financials'!L156</f>
        <v>-1474.4</v>
      </c>
      <c r="M37" s="18">
        <f>'Raw Financials'!M156</f>
        <v>-1650.2</v>
      </c>
      <c r="N37" s="61">
        <f>-'Annual P&amp;L'!N31</f>
        <v>-2066.5784913746293</v>
      </c>
      <c r="O37" s="61">
        <f>-'Annual P&amp;L'!O31</f>
        <v>-2236.6316768651382</v>
      </c>
      <c r="P37" s="61">
        <f>-'Annual P&amp;L'!P31</f>
        <v>-2480.7633060534445</v>
      </c>
      <c r="Q37" s="61">
        <f>-'Annual P&amp;L'!Q31</f>
        <v>-2741.3149228986003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64" t="s">
        <v>371</v>
      </c>
      <c r="B38" s="22" t="s">
        <v>44</v>
      </c>
      <c r="C38" s="23">
        <f>'Raw Financials'!C157</f>
        <v>3213.1962696370997</v>
      </c>
      <c r="D38" s="23">
        <f>'Raw Financials'!D157</f>
        <v>4071.3559717631761</v>
      </c>
      <c r="E38" s="23">
        <f>'Raw Financials'!E157</f>
        <v>3553.6000000000004</v>
      </c>
      <c r="F38" s="23">
        <f>'Raw Financials'!F157</f>
        <v>4432.0486187606393</v>
      </c>
      <c r="G38" s="23">
        <f>'Raw Financials'!G157</f>
        <v>4358.058</v>
      </c>
      <c r="H38" s="23">
        <f>'Raw Financials'!H157</f>
        <v>8093.8410000000003</v>
      </c>
      <c r="I38" s="23">
        <f>'Raw Financials'!I157</f>
        <v>5285.2743000000009</v>
      </c>
      <c r="J38" s="23">
        <f>'Raw Financials'!J157</f>
        <v>5571.9639999999999</v>
      </c>
      <c r="K38" s="23">
        <f>'Raw Financials'!K157</f>
        <v>6376.3690000000006</v>
      </c>
      <c r="L38" s="23">
        <f>'Raw Financials'!L157</f>
        <v>5785.6512626000003</v>
      </c>
      <c r="M38" s="23">
        <f>'Raw Financials'!M157</f>
        <v>6172</v>
      </c>
      <c r="N38" s="63">
        <f>SUM(N36:N37)</f>
        <v>7479.0540566639111</v>
      </c>
      <c r="O38" s="63">
        <f>SUM(O36:O37)</f>
        <v>8217.209130427058</v>
      </c>
      <c r="P38" s="63">
        <f>SUM(P36:P37)</f>
        <v>8831.3385771890662</v>
      </c>
      <c r="Q38" s="63">
        <f>SUM(Q36:Q37)</f>
        <v>9597.0302774822394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506</v>
      </c>
      <c r="B39" s="1" t="s">
        <v>73</v>
      </c>
      <c r="C39" s="21">
        <f>IFERROR(C38/'Annual P&amp;L'!C35,"")</f>
        <v>1.0736113116004726</v>
      </c>
      <c r="D39" s="21">
        <f>IFERROR(D38/'Annual P&amp;L'!D35,"")</f>
        <v>1.4473703634422002</v>
      </c>
      <c r="E39" s="21">
        <f>IFERROR(E38/'Annual P&amp;L'!E35,"")</f>
        <v>0.93521818611706597</v>
      </c>
      <c r="F39" s="21">
        <f>IFERROR(F38/'Annual P&amp;L'!F35,"")</f>
        <v>1.0312806233240128</v>
      </c>
      <c r="G39" s="21">
        <f>IFERROR(G38/'Annual P&amp;L'!G35,"")</f>
        <v>1.08061509439015</v>
      </c>
      <c r="H39" s="21">
        <f>IFERROR(H38/'Annual P&amp;L'!H35,"")</f>
        <v>1.8278530164119313</v>
      </c>
      <c r="I39" s="21">
        <f>IFERROR(I38/'Annual P&amp;L'!I35,"")</f>
        <v>0.94954491581468081</v>
      </c>
      <c r="J39" s="21">
        <f>IFERROR(J38/'Annual P&amp;L'!J35,"")</f>
        <v>1.153311050745186</v>
      </c>
      <c r="K39" s="21">
        <f>IFERROR(K38/'Annual P&amp;L'!K35,"")</f>
        <v>2.70426218968097</v>
      </c>
      <c r="L39" s="21">
        <f>IFERROR(L38/'Annual P&amp;L'!L35,"")</f>
        <v>1.3608360441447054</v>
      </c>
      <c r="M39" s="21">
        <f>IFERROR(M38/'Annual P&amp;L'!M35,"")</f>
        <v>1.2829201398555061</v>
      </c>
      <c r="N39" s="61">
        <f>IFERROR(N38/'Annual P&amp;L'!N35,"")</f>
        <v>1.2583764089458378</v>
      </c>
      <c r="O39" s="61">
        <f>IFERROR(O38/'Annual P&amp;L'!O35,"")</f>
        <v>1.2575167435882841</v>
      </c>
      <c r="P39" s="61">
        <f>IFERROR(P38/'Annual P&amp;L'!P35,"")</f>
        <v>1.2184988211604855</v>
      </c>
      <c r="Q39" s="61">
        <f>IFERROR(Q38/'Annual P&amp;L'!Q35,"")</f>
        <v>1.1982897443213227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372</v>
      </c>
      <c r="B40" s="1" t="s">
        <v>44</v>
      </c>
      <c r="C40" s="18">
        <f>'Raw Financials'!C158</f>
        <v>-926.5</v>
      </c>
      <c r="D40" s="18">
        <f>'Raw Financials'!D158</f>
        <v>-768.19168539555949</v>
      </c>
      <c r="E40" s="18">
        <f>'Raw Financials'!E158</f>
        <v>-1016.6287785306575</v>
      </c>
      <c r="F40" s="18">
        <f>'Raw Financials'!F158</f>
        <v>-804.6</v>
      </c>
      <c r="G40" s="18">
        <f>'Raw Financials'!G158</f>
        <v>-844.6</v>
      </c>
      <c r="H40" s="18">
        <f>'Raw Financials'!H158</f>
        <v>-666</v>
      </c>
      <c r="I40" s="18">
        <f>'Raw Financials'!I158</f>
        <v>-958.40000000000009</v>
      </c>
      <c r="J40" s="18">
        <f>'Raw Financials'!J158</f>
        <v>-1015.1700000000001</v>
      </c>
      <c r="K40" s="18">
        <f>'Raw Financials'!K158</f>
        <v>-791.1</v>
      </c>
      <c r="L40" s="18">
        <f>'Raw Financials'!L158</f>
        <v>-593.5</v>
      </c>
      <c r="M40" s="18">
        <f>'Raw Financials'!M158</f>
        <v>-695.7</v>
      </c>
      <c r="N40" s="61">
        <f>-'BS Forecast Schedules'!D14</f>
        <v>-756.936414059649</v>
      </c>
      <c r="O40" s="61">
        <f>-'BS Forecast Schedules'!E14</f>
        <v>-785.98136682710799</v>
      </c>
      <c r="P40" s="61">
        <f>-'BS Forecast Schedules'!F14</f>
        <v>-823.39376109212628</v>
      </c>
      <c r="Q40" s="61">
        <f>-'BS Forecast Schedules'!G14</f>
        <v>-867.79134418593299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373</v>
      </c>
      <c r="B41" s="1" t="s">
        <v>44</v>
      </c>
      <c r="C41" s="18">
        <f>'Raw Financials'!C159</f>
        <v>47.6</v>
      </c>
      <c r="D41" s="18">
        <f>'Raw Financials'!D159</f>
        <v>7.8601216999999899</v>
      </c>
      <c r="E41" s="18">
        <f>'Raw Financials'!E159</f>
        <v>226.36018039565704</v>
      </c>
      <c r="F41" s="18">
        <f>'Raw Financials'!F159</f>
        <v>25.3</v>
      </c>
      <c r="G41" s="18">
        <f>'Raw Financials'!G159</f>
        <v>15.3</v>
      </c>
      <c r="H41" s="18">
        <f>'Raw Financials'!H159</f>
        <v>93.5</v>
      </c>
      <c r="I41" s="18">
        <f>'Raw Financials'!I159</f>
        <v>123.10000000000001</v>
      </c>
      <c r="J41" s="18">
        <f>'Raw Financials'!J159</f>
        <v>46</v>
      </c>
      <c r="K41" s="18">
        <f>'Raw Financials'!K159</f>
        <v>53.400000000000006</v>
      </c>
      <c r="L41" s="18">
        <f>'Raw Financials'!L159</f>
        <v>110.60000000000001</v>
      </c>
      <c r="M41" s="18">
        <f>'Raw Financials'!M159</f>
        <v>149.59999999999854</v>
      </c>
      <c r="N41" s="61">
        <f>0</f>
        <v>0</v>
      </c>
      <c r="O41" s="61">
        <f>0</f>
        <v>0</v>
      </c>
      <c r="P41" s="61">
        <f>0</f>
        <v>0</v>
      </c>
      <c r="Q41" s="61">
        <f>0</f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374</v>
      </c>
      <c r="B42" s="1" t="s">
        <v>44</v>
      </c>
      <c r="C42" s="18">
        <f>'Raw Financials'!C160</f>
        <v>-10093.1</v>
      </c>
      <c r="D42" s="18">
        <f>'Raw Financials'!D160</f>
        <v>-15216.482757940052</v>
      </c>
      <c r="E42" s="18">
        <f>'Raw Financials'!E160</f>
        <v>-17856.304853496516</v>
      </c>
      <c r="F42" s="18">
        <f>'Raw Financials'!F160</f>
        <v>-23427.200000000001</v>
      </c>
      <c r="G42" s="18">
        <f>'Raw Financials'!G160</f>
        <v>-33242.700000000004</v>
      </c>
      <c r="H42" s="18">
        <f>'Raw Financials'!H160</f>
        <v>-28538.800000000003</v>
      </c>
      <c r="I42" s="18">
        <f>'Raw Financials'!I160</f>
        <v>-21963.800000000003</v>
      </c>
      <c r="J42" s="18">
        <f>'Raw Financials'!J160</f>
        <v>-21477.600000000002</v>
      </c>
      <c r="K42" s="18">
        <f>'Raw Financials'!K160</f>
        <v>-17886.100000000002</v>
      </c>
      <c r="L42" s="18">
        <f>'Raw Financials'!L160</f>
        <v>-23628.400000000001</v>
      </c>
      <c r="M42" s="18">
        <f>'Raw Financials'!M160</f>
        <v>-25575.600000000002</v>
      </c>
      <c r="N42" s="61">
        <f>MIN(0,-SUM('Annual Balance Sheet'!N15-'Annual Balance Sheet'!M15,'Annual Balance Sheet'!N25-'Annual Balance Sheet'!M25))</f>
        <v>-158.05268027530292</v>
      </c>
      <c r="O42" s="61">
        <f>MIN(0,-SUM('Annual Balance Sheet'!O15-'Annual Balance Sheet'!N15,'Annual Balance Sheet'!O25-'Annual Balance Sheet'!N25))</f>
        <v>-134.05362815750323</v>
      </c>
      <c r="P42" s="61">
        <f>MIN(0,-SUM('Annual Balance Sheet'!P15-'Annual Balance Sheet'!O15,'Annual Balance Sheet'!P25-'Annual Balance Sheet'!O25))</f>
        <v>-172.67258891546908</v>
      </c>
      <c r="Q42" s="61">
        <f>MIN(0,-SUM('Annual Balance Sheet'!Q15-'Annual Balance Sheet'!P15,'Annual Balance Sheet'!Q25-'Annual Balance Sheet'!P25))</f>
        <v>-204.91192197141572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375</v>
      </c>
      <c r="B43" s="1" t="s">
        <v>44</v>
      </c>
      <c r="C43" s="18">
        <f>'Raw Financials'!C161</f>
        <v>9815.6</v>
      </c>
      <c r="D43" s="18">
        <f>'Raw Financials'!D161</f>
        <v>14304.694757109784</v>
      </c>
      <c r="E43" s="18">
        <f>'Raw Financials'!E161</f>
        <v>15786.246639867692</v>
      </c>
      <c r="F43" s="18">
        <f>'Raw Financials'!F161</f>
        <v>21105.600000000002</v>
      </c>
      <c r="G43" s="18">
        <f>'Raw Financials'!G161</f>
        <v>35089.1</v>
      </c>
      <c r="H43" s="18">
        <f>'Raw Financials'!H161</f>
        <v>24523.4</v>
      </c>
      <c r="I43" s="18">
        <f>'Raw Financials'!I161</f>
        <v>27740.300000000003</v>
      </c>
      <c r="J43" s="18">
        <f>'Raw Financials'!J161</f>
        <v>23074.800000000003</v>
      </c>
      <c r="K43" s="18">
        <f>'Raw Financials'!K161</f>
        <v>18036.3</v>
      </c>
      <c r="L43" s="18">
        <f>'Raw Financials'!L161</f>
        <v>23828.300000000003</v>
      </c>
      <c r="M43" s="18">
        <f>'Raw Financials'!M161</f>
        <v>25490</v>
      </c>
      <c r="N43" s="61">
        <f>MAX(0,-SUM('Annual Balance Sheet'!N15-'Annual Balance Sheet'!M15,'Annual Balance Sheet'!N25-'Annual Balance Sheet'!M25))</f>
        <v>0</v>
      </c>
      <c r="O43" s="61">
        <f>MAX(0,-SUM('Annual Balance Sheet'!O15-'Annual Balance Sheet'!N15,'Annual Balance Sheet'!O25-'Annual Balance Sheet'!N25))</f>
        <v>0</v>
      </c>
      <c r="P43" s="61">
        <f>MAX(0,-SUM('Annual Balance Sheet'!P15-'Annual Balance Sheet'!O15,'Annual Balance Sheet'!P25-'Annual Balance Sheet'!O25))</f>
        <v>0</v>
      </c>
      <c r="Q43" s="61">
        <f>MAX(0,-SUM('Annual Balance Sheet'!Q15-'Annual Balance Sheet'!P15,'Annual Balance Sheet'!Q25-'Annual Balance Sheet'!P25))</f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507</v>
      </c>
      <c r="B44" s="1" t="s">
        <v>44</v>
      </c>
      <c r="C44" s="18">
        <f>SUM('Raw Financials'!C162,'Raw Financials'!C165)</f>
        <v>-0.60960010000000009</v>
      </c>
      <c r="D44" s="18">
        <f>SUM('Raw Financials'!D162,'Raw Financials'!D165)</f>
        <v>-151.92023192400001</v>
      </c>
      <c r="E44" s="18">
        <f>SUM('Raw Financials'!E162,'Raw Financials'!E165)</f>
        <v>0</v>
      </c>
      <c r="F44" s="18">
        <f>SUM('Raw Financials'!F162,'Raw Financials'!F165)</f>
        <v>0</v>
      </c>
      <c r="G44" s="18">
        <f>SUM('Raw Financials'!G162,'Raw Financials'!G165)</f>
        <v>0</v>
      </c>
      <c r="H44" s="18">
        <f>SUM('Raw Financials'!H162,'Raw Financials'!H165)</f>
        <v>0</v>
      </c>
      <c r="I44" s="18">
        <f>SUM('Raw Financials'!I162,'Raw Financials'!I165)</f>
        <v>0</v>
      </c>
      <c r="J44" s="18">
        <f>SUM('Raw Financials'!J162,'Raw Financials'!J165)</f>
        <v>0</v>
      </c>
      <c r="K44" s="18">
        <f>SUM('Raw Financials'!K162,'Raw Financials'!K165)</f>
        <v>0</v>
      </c>
      <c r="L44" s="18">
        <f>SUM('Raw Financials'!L162,'Raw Financials'!L165)</f>
        <v>0</v>
      </c>
      <c r="M44" s="18">
        <f>SUM('Raw Financials'!M162,'Raw Financials'!M165)</f>
        <v>0</v>
      </c>
      <c r="N44" s="61">
        <f>0</f>
        <v>0</v>
      </c>
      <c r="O44" s="61">
        <f>0</f>
        <v>0</v>
      </c>
      <c r="P44" s="61">
        <f>0</f>
        <v>0</v>
      </c>
      <c r="Q44" s="61">
        <f>0</f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508</v>
      </c>
      <c r="B45" s="1" t="s">
        <v>44</v>
      </c>
      <c r="C45" s="18">
        <f>SUM('Raw Financials'!C163,'Raw Financials'!C167)</f>
        <v>0.94960310000000003</v>
      </c>
      <c r="D45" s="18">
        <f>SUM('Raw Financials'!D163,'Raw Financials'!D167)</f>
        <v>0.76412077800000011</v>
      </c>
      <c r="E45" s="18">
        <f>SUM('Raw Financials'!E163,'Raw Financials'!E167)</f>
        <v>0</v>
      </c>
      <c r="F45" s="18">
        <f>SUM('Raw Financials'!F163,'Raw Financials'!F167)</f>
        <v>0</v>
      </c>
      <c r="G45" s="18">
        <f>SUM('Raw Financials'!G163,'Raw Financials'!G167)</f>
        <v>0</v>
      </c>
      <c r="H45" s="18">
        <f>SUM('Raw Financials'!H163,'Raw Financials'!H167)</f>
        <v>0</v>
      </c>
      <c r="I45" s="18">
        <f>SUM('Raw Financials'!I163,'Raw Financials'!I167)</f>
        <v>0</v>
      </c>
      <c r="J45" s="18">
        <f>SUM('Raw Financials'!J163,'Raw Financials'!J167)</f>
        <v>0</v>
      </c>
      <c r="K45" s="18">
        <f>SUM('Raw Financials'!K163,'Raw Financials'!K167)</f>
        <v>0</v>
      </c>
      <c r="L45" s="18">
        <f>SUM('Raw Financials'!L163,'Raw Financials'!L167)</f>
        <v>0</v>
      </c>
      <c r="M45" s="18">
        <f>SUM('Raw Financials'!M163,'Raw Financials'!M167)</f>
        <v>0</v>
      </c>
      <c r="N45" s="61">
        <f>0</f>
        <v>0</v>
      </c>
      <c r="O45" s="61">
        <f>0</f>
        <v>0</v>
      </c>
      <c r="P45" s="61">
        <f>0</f>
        <v>0</v>
      </c>
      <c r="Q45" s="61">
        <f>0</f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378</v>
      </c>
      <c r="B46" s="1" t="s">
        <v>44</v>
      </c>
      <c r="C46" s="18">
        <f>'Raw Financials'!C164</f>
        <v>0</v>
      </c>
      <c r="D46" s="18">
        <f>'Raw Financials'!D164</f>
        <v>0</v>
      </c>
      <c r="E46" s="18">
        <f>'Raw Financials'!E164</f>
        <v>0</v>
      </c>
      <c r="F46" s="18">
        <f>'Raw Financials'!F164</f>
        <v>0</v>
      </c>
      <c r="G46" s="18">
        <f>'Raw Financials'!G164</f>
        <v>0</v>
      </c>
      <c r="H46" s="18">
        <f>'Raw Financials'!H164</f>
        <v>0</v>
      </c>
      <c r="I46" s="18">
        <f>'Raw Financials'!I164</f>
        <v>0</v>
      </c>
      <c r="J46" s="18">
        <f>'Raw Financials'!J164</f>
        <v>0</v>
      </c>
      <c r="K46" s="18">
        <f>'Raw Financials'!K164</f>
        <v>0</v>
      </c>
      <c r="L46" s="18">
        <f>'Raw Financials'!L164</f>
        <v>0</v>
      </c>
      <c r="M46" s="18">
        <f>'Raw Financials'!M164</f>
        <v>0.30000000000000004</v>
      </c>
      <c r="N46" s="61">
        <f>0</f>
        <v>0</v>
      </c>
      <c r="O46" s="61">
        <f>0</f>
        <v>0</v>
      </c>
      <c r="P46" s="61">
        <f>0</f>
        <v>0</v>
      </c>
      <c r="Q46" s="61">
        <f>0</f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380</v>
      </c>
      <c r="B47" s="1" t="s">
        <v>44</v>
      </c>
      <c r="C47" s="18">
        <f>'Raw Financials'!C166</f>
        <v>-6.9570648552522698</v>
      </c>
      <c r="D47" s="18">
        <f>'Raw Financials'!D166</f>
        <v>0</v>
      </c>
      <c r="E47" s="18">
        <f>'Raw Financials'!E166</f>
        <v>0</v>
      </c>
      <c r="F47" s="18">
        <f>'Raw Financials'!F166</f>
        <v>0</v>
      </c>
      <c r="G47" s="18">
        <f>'Raw Financials'!G166</f>
        <v>0</v>
      </c>
      <c r="H47" s="18">
        <f>'Raw Financials'!H166</f>
        <v>0</v>
      </c>
      <c r="I47" s="18">
        <f>'Raw Financials'!I166</f>
        <v>0</v>
      </c>
      <c r="J47" s="18">
        <f>'Raw Financials'!J166</f>
        <v>0</v>
      </c>
      <c r="K47" s="18">
        <f>'Raw Financials'!K166</f>
        <v>0</v>
      </c>
      <c r="L47" s="18">
        <f>'Raw Financials'!L166</f>
        <v>0</v>
      </c>
      <c r="M47" s="18">
        <f>'Raw Financials'!M166</f>
        <v>0</v>
      </c>
      <c r="N47" s="61">
        <f>0</f>
        <v>0</v>
      </c>
      <c r="O47" s="61">
        <f>0</f>
        <v>0</v>
      </c>
      <c r="P47" s="61">
        <f>0</f>
        <v>0</v>
      </c>
      <c r="Q47" s="61">
        <f>0</f>
        <v>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382</v>
      </c>
      <c r="B48" s="1" t="s">
        <v>44</v>
      </c>
      <c r="C48" s="18">
        <f>'Raw Financials'!C168</f>
        <v>0</v>
      </c>
      <c r="D48" s="18">
        <f>'Raw Financials'!D168</f>
        <v>0</v>
      </c>
      <c r="E48" s="18">
        <f>'Raw Financials'!E168</f>
        <v>25.775959999999998</v>
      </c>
      <c r="F48" s="18">
        <f>'Raw Financials'!F168</f>
        <v>0</v>
      </c>
      <c r="G48" s="18">
        <f>'Raw Financials'!G168</f>
        <v>80.223300363000007</v>
      </c>
      <c r="H48" s="18">
        <f>'Raw Financials'!H168</f>
        <v>0</v>
      </c>
      <c r="I48" s="18">
        <f>'Raw Financials'!I168</f>
        <v>72.5</v>
      </c>
      <c r="J48" s="18">
        <f>'Raw Financials'!J168</f>
        <v>0</v>
      </c>
      <c r="K48" s="18">
        <f>'Raw Financials'!K168</f>
        <v>0</v>
      </c>
      <c r="L48" s="18">
        <f>'Raw Financials'!L168</f>
        <v>0</v>
      </c>
      <c r="M48" s="18">
        <f>'Raw Financials'!M168</f>
        <v>14.200000000000001</v>
      </c>
      <c r="N48" s="61">
        <f>0</f>
        <v>0</v>
      </c>
      <c r="O48" s="61">
        <f>0</f>
        <v>0</v>
      </c>
      <c r="P48" s="61">
        <f>0</f>
        <v>0</v>
      </c>
      <c r="Q48" s="61">
        <f>0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383</v>
      </c>
      <c r="B49" s="1" t="s">
        <v>44</v>
      </c>
      <c r="C49" s="18">
        <f>'Raw Financials'!C169</f>
        <v>0</v>
      </c>
      <c r="D49" s="18">
        <f>'Raw Financials'!D169</f>
        <v>0</v>
      </c>
      <c r="E49" s="18">
        <f>'Raw Financials'!E169</f>
        <v>0</v>
      </c>
      <c r="F49" s="18">
        <f>'Raw Financials'!F169</f>
        <v>0</v>
      </c>
      <c r="G49" s="18">
        <f>'Raw Financials'!G169</f>
        <v>0</v>
      </c>
      <c r="H49" s="18">
        <f>'Raw Financials'!H169</f>
        <v>0</v>
      </c>
      <c r="I49" s="18">
        <f>'Raw Financials'!I169</f>
        <v>0</v>
      </c>
      <c r="J49" s="18">
        <f>'Raw Financials'!J169</f>
        <v>0</v>
      </c>
      <c r="K49" s="18">
        <f>'Raw Financials'!K169</f>
        <v>0</v>
      </c>
      <c r="L49" s="18">
        <f>'Raw Financials'!L169</f>
        <v>0</v>
      </c>
      <c r="M49" s="18">
        <f>'Raw Financials'!M169</f>
        <v>0</v>
      </c>
      <c r="N49" s="61">
        <f>0</f>
        <v>0</v>
      </c>
      <c r="O49" s="61">
        <f>0</f>
        <v>0</v>
      </c>
      <c r="P49" s="61">
        <f>0</f>
        <v>0</v>
      </c>
      <c r="Q49" s="61">
        <f>0</f>
        <v>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384</v>
      </c>
      <c r="B50" s="1" t="s">
        <v>44</v>
      </c>
      <c r="C50" s="18">
        <f>'Raw Financials'!C170</f>
        <v>-0.1</v>
      </c>
      <c r="D50" s="18">
        <f>'Raw Financials'!D170</f>
        <v>0</v>
      </c>
      <c r="E50" s="18">
        <f>'Raw Financials'!E170</f>
        <v>0</v>
      </c>
      <c r="F50" s="18">
        <f>'Raw Financials'!F170</f>
        <v>0</v>
      </c>
      <c r="G50" s="18">
        <f>'Raw Financials'!G170</f>
        <v>0</v>
      </c>
      <c r="H50" s="18">
        <f>'Raw Financials'!H170</f>
        <v>0</v>
      </c>
      <c r="I50" s="18">
        <f>'Raw Financials'!I170</f>
        <v>0</v>
      </c>
      <c r="J50" s="18">
        <f>'Raw Financials'!J170</f>
        <v>0</v>
      </c>
      <c r="K50" s="18">
        <f>'Raw Financials'!K170</f>
        <v>0</v>
      </c>
      <c r="L50" s="18">
        <f>'Raw Financials'!L170</f>
        <v>0</v>
      </c>
      <c r="M50" s="18">
        <f>'Raw Financials'!M170</f>
        <v>0</v>
      </c>
      <c r="N50" s="61">
        <f>MIN(0,-('Annual Balance Sheet'!N14-'Annual Balance Sheet'!M14))</f>
        <v>0</v>
      </c>
      <c r="O50" s="61">
        <f>MIN(0,-('Annual Balance Sheet'!O14-'Annual Balance Sheet'!N14))</f>
        <v>0</v>
      </c>
      <c r="P50" s="61">
        <f>MIN(0,-('Annual Balance Sheet'!P14-'Annual Balance Sheet'!O14))</f>
        <v>0</v>
      </c>
      <c r="Q50" s="61">
        <f>MIN(0,-('Annual Balance Sheet'!Q14-'Annual Balance Sheet'!P14))</f>
        <v>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509</v>
      </c>
      <c r="B51" s="1" t="s">
        <v>44</v>
      </c>
      <c r="C51" s="18">
        <f>'Raw Financials'!C171</f>
        <v>0</v>
      </c>
      <c r="D51" s="18">
        <f>'Raw Financials'!D171</f>
        <v>0</v>
      </c>
      <c r="E51" s="18">
        <f>'Raw Financials'!E171</f>
        <v>0</v>
      </c>
      <c r="F51" s="18">
        <f>'Raw Financials'!F171</f>
        <v>0</v>
      </c>
      <c r="G51" s="18">
        <f>'Raw Financials'!G171</f>
        <v>0</v>
      </c>
      <c r="H51" s="18">
        <f>'Raw Financials'!H171</f>
        <v>0</v>
      </c>
      <c r="I51" s="18">
        <f>'Raw Financials'!I171</f>
        <v>0</v>
      </c>
      <c r="J51" s="18">
        <f>'Raw Financials'!J171</f>
        <v>0</v>
      </c>
      <c r="K51" s="18">
        <f>'Raw Financials'!K171</f>
        <v>0</v>
      </c>
      <c r="L51" s="18">
        <f>'Raw Financials'!L171</f>
        <v>0</v>
      </c>
      <c r="M51" s="18">
        <f>'Raw Financials'!M171</f>
        <v>0</v>
      </c>
      <c r="N51" s="61">
        <f>0</f>
        <v>0</v>
      </c>
      <c r="O51" s="61">
        <f>0</f>
        <v>0</v>
      </c>
      <c r="P51" s="61">
        <f>0</f>
        <v>0</v>
      </c>
      <c r="Q51" s="61">
        <f>0</f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386</v>
      </c>
      <c r="B52" s="1" t="s">
        <v>44</v>
      </c>
      <c r="C52" s="18">
        <f>'Raw Financials'!C172</f>
        <v>-17.900000000000002</v>
      </c>
      <c r="D52" s="18">
        <f>'Raw Financials'!D172</f>
        <v>-1379.4512729426003</v>
      </c>
      <c r="E52" s="18">
        <f>'Raw Financials'!E172</f>
        <v>-1132.0596005222351</v>
      </c>
      <c r="F52" s="18">
        <f>'Raw Financials'!F172</f>
        <v>-135</v>
      </c>
      <c r="G52" s="18">
        <f>'Raw Financials'!G172</f>
        <v>-548</v>
      </c>
      <c r="H52" s="18">
        <f>'Raw Financials'!H172</f>
        <v>-1134</v>
      </c>
      <c r="I52" s="18">
        <f>'Raw Financials'!I172</f>
        <v>-4661.3</v>
      </c>
      <c r="J52" s="18">
        <f>'Raw Financials'!J172</f>
        <v>-1067.2</v>
      </c>
      <c r="K52" s="18">
        <f>'Raw Financials'!K172</f>
        <v>-748.80000000000007</v>
      </c>
      <c r="L52" s="18">
        <f>'Raw Financials'!L172</f>
        <v>-162</v>
      </c>
      <c r="M52" s="18">
        <f>'Raw Financials'!M172</f>
        <v>-89.9</v>
      </c>
      <c r="N52" s="61">
        <f>-Assumptions!C38</f>
        <v>0</v>
      </c>
      <c r="O52" s="61">
        <f>-Assumptions!D38</f>
        <v>0</v>
      </c>
      <c r="P52" s="61">
        <f>-Assumptions!E38</f>
        <v>0</v>
      </c>
      <c r="Q52" s="61">
        <f>-Assumptions!F38</f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387</v>
      </c>
      <c r="B53" s="1" t="s">
        <v>44</v>
      </c>
      <c r="C53" s="18">
        <f>'Raw Financials'!C173</f>
        <v>0</v>
      </c>
      <c r="D53" s="18">
        <f>'Raw Financials'!D173</f>
        <v>8.7005730999999997</v>
      </c>
      <c r="E53" s="18">
        <f>'Raw Financials'!E173</f>
        <v>19.603386500000006</v>
      </c>
      <c r="F53" s="18">
        <f>'Raw Financials'!F173</f>
        <v>31.5</v>
      </c>
      <c r="G53" s="18">
        <f>'Raw Financials'!G173</f>
        <v>31.1</v>
      </c>
      <c r="H53" s="18">
        <f>'Raw Financials'!H173</f>
        <v>34.800000000000004</v>
      </c>
      <c r="I53" s="18">
        <f>'Raw Financials'!I173</f>
        <v>72.900000000000006</v>
      </c>
      <c r="J53" s="18">
        <f>'Raw Financials'!J173</f>
        <v>23.5</v>
      </c>
      <c r="K53" s="18">
        <f>'Raw Financials'!K173</f>
        <v>48.7</v>
      </c>
      <c r="L53" s="18">
        <f>'Raw Financials'!L173</f>
        <v>53.900000000000006</v>
      </c>
      <c r="M53" s="18">
        <f>'Raw Financials'!M173</f>
        <v>24.900000000000002</v>
      </c>
      <c r="N53" s="61">
        <f>0</f>
        <v>0</v>
      </c>
      <c r="O53" s="61">
        <f>0</f>
        <v>0</v>
      </c>
      <c r="P53" s="61">
        <f>0</f>
        <v>0</v>
      </c>
      <c r="Q53" s="61">
        <f>0</f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510</v>
      </c>
      <c r="B54" s="1" t="s">
        <v>44</v>
      </c>
      <c r="C54" s="18">
        <f>SUM('Raw Financials'!C175,'Raw Financials'!C176)</f>
        <v>0</v>
      </c>
      <c r="D54" s="18">
        <f>SUM('Raw Financials'!D175,'Raw Financials'!D176)</f>
        <v>-428.6</v>
      </c>
      <c r="E54" s="18">
        <f>SUM('Raw Financials'!E175,'Raw Financials'!E176)</f>
        <v>278.60000000000002</v>
      </c>
      <c r="F54" s="18">
        <f>SUM('Raw Financials'!F175,'Raw Financials'!F176)</f>
        <v>0</v>
      </c>
      <c r="G54" s="18">
        <f>SUM('Raw Financials'!G175,'Raw Financials'!G176)</f>
        <v>0</v>
      </c>
      <c r="H54" s="18">
        <f>SUM('Raw Financials'!H175,'Raw Financials'!H176)</f>
        <v>0</v>
      </c>
      <c r="I54" s="18">
        <f>SUM('Raw Financials'!I175,'Raw Financials'!I176)</f>
        <v>0</v>
      </c>
      <c r="J54" s="18">
        <f>SUM('Raw Financials'!J175,'Raw Financials'!J176)</f>
        <v>0</v>
      </c>
      <c r="K54" s="18">
        <f>SUM('Raw Financials'!K175,'Raw Financials'!K176)</f>
        <v>0</v>
      </c>
      <c r="L54" s="18">
        <f>SUM('Raw Financials'!L175,'Raw Financials'!L176)</f>
        <v>0</v>
      </c>
      <c r="M54" s="18">
        <f>SUM('Raw Financials'!M175,'Raw Financials'!M176)</f>
        <v>0</v>
      </c>
      <c r="N54" s="61">
        <f>0</f>
        <v>0</v>
      </c>
      <c r="O54" s="61">
        <f>0</f>
        <v>0</v>
      </c>
      <c r="P54" s="61">
        <f>0</f>
        <v>0</v>
      </c>
      <c r="Q54" s="61">
        <f>0</f>
        <v>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391</v>
      </c>
      <c r="B55" s="1" t="s">
        <v>44</v>
      </c>
      <c r="C55" s="18">
        <f>'Raw Financials'!C177</f>
        <v>39.513235500000008</v>
      </c>
      <c r="D55" s="18">
        <f>'Raw Financials'!D177</f>
        <v>20.543741089640001</v>
      </c>
      <c r="E55" s="18">
        <f>'Raw Financials'!E177</f>
        <v>44.225466116000007</v>
      </c>
      <c r="F55" s="18">
        <f>'Raw Financials'!F177</f>
        <v>0</v>
      </c>
      <c r="G55" s="18">
        <f>'Raw Financials'!G177</f>
        <v>0</v>
      </c>
      <c r="H55" s="18">
        <f>'Raw Financials'!H177</f>
        <v>0</v>
      </c>
      <c r="I55" s="18">
        <f>'Raw Financials'!I177</f>
        <v>0</v>
      </c>
      <c r="J55" s="18">
        <f>'Raw Financials'!J177</f>
        <v>0</v>
      </c>
      <c r="K55" s="18">
        <f>'Raw Financials'!K177</f>
        <v>0</v>
      </c>
      <c r="L55" s="18">
        <f>'Raw Financials'!L177</f>
        <v>0</v>
      </c>
      <c r="M55" s="18">
        <f>'Raw Financials'!M177</f>
        <v>0</v>
      </c>
      <c r="N55" s="61">
        <f>0</f>
        <v>0</v>
      </c>
      <c r="O55" s="61">
        <f>0</f>
        <v>0</v>
      </c>
      <c r="P55" s="61">
        <f>0</f>
        <v>0</v>
      </c>
      <c r="Q55" s="61">
        <f>0</f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511</v>
      </c>
      <c r="B56" s="1" t="s">
        <v>44</v>
      </c>
      <c r="C56" s="18">
        <f>SUM('Raw Financials'!C178,'Raw Financials'!C179)</f>
        <v>-420.31799719999981</v>
      </c>
      <c r="D56" s="18">
        <f>SUM('Raw Financials'!D178,'Raw Financials'!D179)</f>
        <v>434.1192419734416</v>
      </c>
      <c r="E56" s="18">
        <f>SUM('Raw Financials'!E178,'Raw Financials'!E179)</f>
        <v>140.03738079999857</v>
      </c>
      <c r="F56" s="18">
        <f>SUM('Raw Financials'!F178,'Raw Financials'!F179)</f>
        <v>939.79999999999927</v>
      </c>
      <c r="G56" s="18">
        <f>SUM('Raw Financials'!G178,'Raw Financials'!G179)</f>
        <v>195.60000000000002</v>
      </c>
      <c r="H56" s="18">
        <f>SUM('Raw Financials'!H178,'Raw Financials'!H179)</f>
        <v>15.700000000000045</v>
      </c>
      <c r="I56" s="18">
        <f>SUM('Raw Financials'!I178,'Raw Financials'!I179)</f>
        <v>-52.200000000000017</v>
      </c>
      <c r="J56" s="18">
        <f>SUM('Raw Financials'!J178,'Raw Financials'!J179)</f>
        <v>-7.6000000000000227</v>
      </c>
      <c r="K56" s="18">
        <f>SUM('Raw Financials'!K178,'Raw Financials'!K179)</f>
        <v>-179.2</v>
      </c>
      <c r="L56" s="18">
        <f>SUM('Raw Financials'!L178,'Raw Financials'!L179)</f>
        <v>176.9</v>
      </c>
      <c r="M56" s="18">
        <f>SUM('Raw Financials'!M178,'Raw Financials'!M179)</f>
        <v>147.90000000000003</v>
      </c>
      <c r="N56" s="61">
        <f>-('Annual Balance Sheet'!N29-'Annual Balance Sheet'!M29)</f>
        <v>1.0741219954116232</v>
      </c>
      <c r="O56" s="61">
        <f>-('Annual Balance Sheet'!O29-'Annual Balance Sheet'!N29)</f>
        <v>-2.2342271359583918</v>
      </c>
      <c r="P56" s="61">
        <f>-('Annual Balance Sheet'!P29-'Annual Balance Sheet'!O29)</f>
        <v>-2.8778764819244813</v>
      </c>
      <c r="Q56" s="61">
        <f>-('Annual Balance Sheet'!Q29-'Annual Balance Sheet'!P29)</f>
        <v>-3.415198699523593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394</v>
      </c>
      <c r="B57" s="1" t="s">
        <v>44</v>
      </c>
      <c r="C57" s="18">
        <f>'Raw Financials'!C180</f>
        <v>95.147104281077503</v>
      </c>
      <c r="D57" s="18">
        <f>'Raw Financials'!D180</f>
        <v>117.21266902075433</v>
      </c>
      <c r="E57" s="18">
        <f>'Raw Financials'!E180</f>
        <v>124.52370639999999</v>
      </c>
      <c r="F57" s="18">
        <f>'Raw Financials'!F180</f>
        <v>148.20000000000002</v>
      </c>
      <c r="G57" s="18">
        <f>'Raw Financials'!G180</f>
        <v>252.60000000000002</v>
      </c>
      <c r="H57" s="18">
        <f>'Raw Financials'!H180</f>
        <v>221.3</v>
      </c>
      <c r="I57" s="18">
        <f>'Raw Financials'!I180</f>
        <v>108.4</v>
      </c>
      <c r="J57" s="18">
        <f>'Raw Financials'!J180</f>
        <v>144.80000000000001</v>
      </c>
      <c r="K57" s="18">
        <f>'Raw Financials'!K180</f>
        <v>153.1</v>
      </c>
      <c r="L57" s="18">
        <f>'Raw Financials'!L180</f>
        <v>191</v>
      </c>
      <c r="M57" s="18">
        <f>'Raw Financials'!M180</f>
        <v>125.10000000000001</v>
      </c>
      <c r="N57" s="61">
        <f>'Annual P&amp;L'!N24</f>
        <v>211.90249999999997</v>
      </c>
      <c r="O57" s="61">
        <f>'Annual P&amp;L'!O24</f>
        <v>250.40579034030225</v>
      </c>
      <c r="P57" s="61">
        <f>'Annual P&amp;L'!P24</f>
        <v>295.30029140255027</v>
      </c>
      <c r="Q57" s="61">
        <f>'Annual P&amp;L'!Q24</f>
        <v>340.93446937115294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512</v>
      </c>
      <c r="B58" s="1" t="s">
        <v>44</v>
      </c>
      <c r="C58" s="18">
        <f t="shared" ref="C58:M58" si="1">C59-SUM(C40:C57)</f>
        <v>-7.5341191275356323E-2</v>
      </c>
      <c r="D58" s="18">
        <f t="shared" si="1"/>
        <v>0</v>
      </c>
      <c r="E58" s="18">
        <f t="shared" si="1"/>
        <v>-3.0999999999494321E-2</v>
      </c>
      <c r="F58" s="18">
        <f t="shared" si="1"/>
        <v>0</v>
      </c>
      <c r="G58" s="18">
        <f t="shared" si="1"/>
        <v>-3.3003629912400356E-3</v>
      </c>
      <c r="H58" s="18">
        <f t="shared" si="1"/>
        <v>0</v>
      </c>
      <c r="I58" s="18">
        <f t="shared" si="1"/>
        <v>-4.5474735088646412E-13</v>
      </c>
      <c r="J58" s="18">
        <f t="shared" si="1"/>
        <v>1.2505552149377763E-12</v>
      </c>
      <c r="K58" s="18">
        <f t="shared" si="1"/>
        <v>3.865352482534945E-12</v>
      </c>
      <c r="L58" s="18">
        <f t="shared" si="1"/>
        <v>0</v>
      </c>
      <c r="M58" s="18">
        <f t="shared" si="1"/>
        <v>4.2064129956997931E-12</v>
      </c>
      <c r="N58" s="61">
        <f>-('Annual Balance Sheet'!N10-'Annual Balance Sheet'!M10)</f>
        <v>0</v>
      </c>
      <c r="O58" s="61">
        <f>-('Annual Balance Sheet'!O10-'Annual Balance Sheet'!N10)</f>
        <v>0</v>
      </c>
      <c r="P58" s="61">
        <f>-('Annual Balance Sheet'!P10-'Annual Balance Sheet'!O10)</f>
        <v>0</v>
      </c>
      <c r="Q58" s="61">
        <f>-('Annual Balance Sheet'!Q10-'Annual Balance Sheet'!P10)</f>
        <v>0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64" t="s">
        <v>395</v>
      </c>
      <c r="B59" s="22" t="s">
        <v>44</v>
      </c>
      <c r="C59" s="23">
        <f>'Raw Financials'!C181</f>
        <v>-1466.7500604654497</v>
      </c>
      <c r="D59" s="23">
        <f>'Raw Financials'!D181</f>
        <v>-3050.7507234305917</v>
      </c>
      <c r="E59" s="23">
        <f>'Raw Financials'!E181</f>
        <v>-3359.6515124700618</v>
      </c>
      <c r="F59" s="23">
        <f>'Raw Financials'!F181</f>
        <v>-2116.4</v>
      </c>
      <c r="G59" s="23">
        <f>'Raw Financials'!G181</f>
        <v>1028.6200000000001</v>
      </c>
      <c r="H59" s="23">
        <f>'Raw Financials'!H181</f>
        <v>-5450.1</v>
      </c>
      <c r="I59" s="23">
        <f>'Raw Financials'!I181</f>
        <v>481.5</v>
      </c>
      <c r="J59" s="23">
        <f>'Raw Financials'!J181</f>
        <v>-278.46999999999997</v>
      </c>
      <c r="K59" s="23">
        <f>'Raw Financials'!K181</f>
        <v>-1313.7</v>
      </c>
      <c r="L59" s="23">
        <f>'Raw Financials'!L181</f>
        <v>-23.200000000000003</v>
      </c>
      <c r="M59" s="23">
        <f>'Raw Financials'!M181</f>
        <v>-409.20000000000005</v>
      </c>
      <c r="N59" s="63">
        <f>SUM(N40:N58)</f>
        <v>-702.01247233954041</v>
      </c>
      <c r="O59" s="63">
        <f>SUM(O40:O58)</f>
        <v>-671.86343178026732</v>
      </c>
      <c r="P59" s="63">
        <f>SUM(P40:P58)</f>
        <v>-703.64393508696958</v>
      </c>
      <c r="Q59" s="63">
        <f>SUM(Q40:Q58)</f>
        <v>-735.18399548571938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396</v>
      </c>
      <c r="B60" s="1" t="s">
        <v>44</v>
      </c>
      <c r="C60" s="18">
        <f>'Raw Financials'!C182</f>
        <v>36.242333147903487</v>
      </c>
      <c r="D60" s="18">
        <f>'Raw Financials'!D182</f>
        <v>34.452153455344998</v>
      </c>
      <c r="E60" s="18">
        <f>'Raw Financials'!E182</f>
        <v>25.099331011</v>
      </c>
      <c r="F60" s="18">
        <f>'Raw Financials'!F182</f>
        <v>35.9</v>
      </c>
      <c r="G60" s="18">
        <f>'Raw Financials'!G182</f>
        <v>46.800000000000004</v>
      </c>
      <c r="H60" s="18">
        <f>'Raw Financials'!H182</f>
        <v>56.900000000000006</v>
      </c>
      <c r="I60" s="18">
        <f>'Raw Financials'!I182</f>
        <v>86.800000000000011</v>
      </c>
      <c r="J60" s="18">
        <f>'Raw Financials'!J182</f>
        <v>44.2</v>
      </c>
      <c r="K60" s="18">
        <f>'Raw Financials'!K182</f>
        <v>23.8</v>
      </c>
      <c r="L60" s="18">
        <f>'Raw Financials'!L182</f>
        <v>9</v>
      </c>
      <c r="M60" s="18">
        <f>'Raw Financials'!M182</f>
        <v>0.9</v>
      </c>
      <c r="N60" s="61">
        <f>'Annual Balance Sheet'!N36-'Annual Balance Sheet'!M36</f>
        <v>0</v>
      </c>
      <c r="O60" s="61">
        <f>'Annual Balance Sheet'!O36-'Annual Balance Sheet'!N36</f>
        <v>0</v>
      </c>
      <c r="P60" s="61">
        <f>'Annual Balance Sheet'!P36-'Annual Balance Sheet'!O36</f>
        <v>0</v>
      </c>
      <c r="Q60" s="61">
        <f>'Annual Balance Sheet'!Q36-'Annual Balance Sheet'!P36</f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398</v>
      </c>
      <c r="B61" s="1" t="s">
        <v>44</v>
      </c>
      <c r="C61" s="18">
        <f>'Raw Financials'!C184</f>
        <v>0</v>
      </c>
      <c r="D61" s="18">
        <f>'Raw Financials'!D184</f>
        <v>0</v>
      </c>
      <c r="E61" s="18">
        <f>'Raw Financials'!E184</f>
        <v>0</v>
      </c>
      <c r="F61" s="18">
        <f>'Raw Financials'!F184</f>
        <v>0</v>
      </c>
      <c r="G61" s="18">
        <f>'Raw Financials'!G184</f>
        <v>0</v>
      </c>
      <c r="H61" s="18">
        <f>'Raw Financials'!H184</f>
        <v>0</v>
      </c>
      <c r="I61" s="18">
        <f>'Raw Financials'!I184</f>
        <v>0</v>
      </c>
      <c r="J61" s="18">
        <f>'Raw Financials'!J184</f>
        <v>0</v>
      </c>
      <c r="K61" s="18">
        <f>'Raw Financials'!K184</f>
        <v>0</v>
      </c>
      <c r="L61" s="18">
        <f>'Raw Financials'!L184</f>
        <v>-92.7</v>
      </c>
      <c r="M61" s="18">
        <f>'Raw Financials'!M184</f>
        <v>0</v>
      </c>
      <c r="N61" s="61">
        <f>0</f>
        <v>0</v>
      </c>
      <c r="O61" s="61">
        <f>0</f>
        <v>0</v>
      </c>
      <c r="P61" s="61">
        <f>0</f>
        <v>0</v>
      </c>
      <c r="Q61" s="61">
        <f>0</f>
        <v>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 t="s">
        <v>399</v>
      </c>
      <c r="B62" s="1" t="s">
        <v>44</v>
      </c>
      <c r="C62" s="18">
        <f>'Raw Financials'!C185</f>
        <v>0.60000000000000009</v>
      </c>
      <c r="D62" s="18">
        <f>'Raw Financials'!D185</f>
        <v>0</v>
      </c>
      <c r="E62" s="18">
        <f>'Raw Financials'!E185</f>
        <v>0</v>
      </c>
      <c r="F62" s="18">
        <f>'Raw Financials'!F185</f>
        <v>0</v>
      </c>
      <c r="G62" s="18">
        <f>'Raw Financials'!G185</f>
        <v>0</v>
      </c>
      <c r="H62" s="18">
        <f>'Raw Financials'!H185</f>
        <v>0</v>
      </c>
      <c r="I62" s="18">
        <f>'Raw Financials'!I185</f>
        <v>0</v>
      </c>
      <c r="J62" s="18">
        <f>'Raw Financials'!J185</f>
        <v>0</v>
      </c>
      <c r="K62" s="18">
        <f>'Raw Financials'!K185</f>
        <v>0</v>
      </c>
      <c r="L62" s="18">
        <f>'Raw Financials'!L185</f>
        <v>0</v>
      </c>
      <c r="M62" s="18">
        <f>'Raw Financials'!M185</f>
        <v>0</v>
      </c>
      <c r="N62" s="61">
        <f>0</f>
        <v>0</v>
      </c>
      <c r="O62" s="61">
        <f>0</f>
        <v>0</v>
      </c>
      <c r="P62" s="61">
        <f>0</f>
        <v>0</v>
      </c>
      <c r="Q62" s="61">
        <f>0</f>
        <v>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 t="s">
        <v>513</v>
      </c>
      <c r="B63" s="1" t="s">
        <v>44</v>
      </c>
      <c r="C63" s="18">
        <f>'Raw Financials'!C183</f>
        <v>0</v>
      </c>
      <c r="D63" s="18">
        <f>'Raw Financials'!D183</f>
        <v>0</v>
      </c>
      <c r="E63" s="18">
        <f>'Raw Financials'!E183</f>
        <v>0</v>
      </c>
      <c r="F63" s="18">
        <f>'Raw Financials'!F183</f>
        <v>0</v>
      </c>
      <c r="G63" s="18">
        <f>'Raw Financials'!G183</f>
        <v>0</v>
      </c>
      <c r="H63" s="18">
        <f>'Raw Financials'!H183</f>
        <v>0</v>
      </c>
      <c r="I63" s="18">
        <f>'Raw Financials'!I183</f>
        <v>0</v>
      </c>
      <c r="J63" s="18">
        <f>'Raw Financials'!J183</f>
        <v>0</v>
      </c>
      <c r="K63" s="18">
        <f>'Raw Financials'!K183</f>
        <v>0</v>
      </c>
      <c r="L63" s="18">
        <f>'Raw Financials'!L183</f>
        <v>0</v>
      </c>
      <c r="M63" s="18">
        <f>'Raw Financials'!M183</f>
        <v>-4025.5</v>
      </c>
      <c r="N63" s="61">
        <f>'BS Forecast Schedules'!D43</f>
        <v>-4754.732528992171</v>
      </c>
      <c r="O63" s="61">
        <f>'BS Forecast Schedules'!E43</f>
        <v>-5227.5783506338139</v>
      </c>
      <c r="P63" s="61">
        <f>'BS Forecast Schedules'!F43</f>
        <v>-5798.1761976778553</v>
      </c>
      <c r="Q63" s="61">
        <f>'BS Forecast Schedules'!G43</f>
        <v>-6407.1517413630036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514</v>
      </c>
      <c r="B64" s="1" t="s">
        <v>44</v>
      </c>
      <c r="C64" s="18">
        <f>'Raw Financials'!C186</f>
        <v>-624.5</v>
      </c>
      <c r="D64" s="18">
        <f>'Raw Financials'!D186</f>
        <v>-1239.1646708000001</v>
      </c>
      <c r="E64" s="18">
        <f>'Raw Financials'!E186</f>
        <v>-943.78258033767997</v>
      </c>
      <c r="F64" s="18">
        <f>'Raw Financials'!F186</f>
        <v>-1490.7</v>
      </c>
      <c r="G64" s="18">
        <f>'Raw Financials'!G186</f>
        <v>-2491.7000000000003</v>
      </c>
      <c r="H64" s="18">
        <f>'Raw Financials'!H186</f>
        <v>-1759.355</v>
      </c>
      <c r="I64" s="18">
        <f>'Raw Financials'!I186</f>
        <v>-3980.8080000000004</v>
      </c>
      <c r="J64" s="18">
        <f>'Raw Financials'!J186</f>
        <v>-4263.3029999999999</v>
      </c>
      <c r="K64" s="18">
        <f>'Raw Financials'!K186</f>
        <v>-3917</v>
      </c>
      <c r="L64" s="18">
        <f>'Raw Financials'!L186</f>
        <v>-3841.8</v>
      </c>
      <c r="M64" s="18">
        <f>'Raw Financials'!M186</f>
        <v>0</v>
      </c>
      <c r="N64" s="61">
        <f>0</f>
        <v>0</v>
      </c>
      <c r="O64" s="61">
        <f>0</f>
        <v>0</v>
      </c>
      <c r="P64" s="61">
        <f>0</f>
        <v>0</v>
      </c>
      <c r="Q64" s="61">
        <f>0</f>
        <v>0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64" t="s">
        <v>515</v>
      </c>
      <c r="B65" s="22" t="s">
        <v>44</v>
      </c>
      <c r="C65" s="23">
        <f t="shared" ref="C65:Q65" si="2">SUM(C63:C64)</f>
        <v>-624.5</v>
      </c>
      <c r="D65" s="23">
        <f t="shared" si="2"/>
        <v>-1239.1646708000001</v>
      </c>
      <c r="E65" s="23">
        <f t="shared" si="2"/>
        <v>-943.78258033767997</v>
      </c>
      <c r="F65" s="23">
        <f t="shared" si="2"/>
        <v>-1490.7</v>
      </c>
      <c r="G65" s="23">
        <f t="shared" si="2"/>
        <v>-2491.7000000000003</v>
      </c>
      <c r="H65" s="23">
        <f t="shared" si="2"/>
        <v>-1759.355</v>
      </c>
      <c r="I65" s="23">
        <f t="shared" si="2"/>
        <v>-3980.8080000000004</v>
      </c>
      <c r="J65" s="23">
        <f t="shared" si="2"/>
        <v>-4263.3029999999999</v>
      </c>
      <c r="K65" s="23">
        <f t="shared" si="2"/>
        <v>-3917</v>
      </c>
      <c r="L65" s="23">
        <f t="shared" si="2"/>
        <v>-3841.8</v>
      </c>
      <c r="M65" s="23">
        <f t="shared" si="2"/>
        <v>-4025.5</v>
      </c>
      <c r="N65" s="63">
        <f t="shared" si="2"/>
        <v>-4754.732528992171</v>
      </c>
      <c r="O65" s="63">
        <f t="shared" si="2"/>
        <v>-5227.5783506338139</v>
      </c>
      <c r="P65" s="63">
        <f t="shared" si="2"/>
        <v>-5798.1761976778553</v>
      </c>
      <c r="Q65" s="63">
        <f t="shared" si="2"/>
        <v>-6407.1517413630036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401</v>
      </c>
      <c r="B66" s="1" t="s">
        <v>44</v>
      </c>
      <c r="C66" s="18">
        <f>'Raw Financials'!C187</f>
        <v>0</v>
      </c>
      <c r="D66" s="18">
        <f>'Raw Financials'!D187</f>
        <v>0</v>
      </c>
      <c r="E66" s="18">
        <f>'Raw Financials'!E187</f>
        <v>0</v>
      </c>
      <c r="F66" s="18">
        <f>'Raw Financials'!F187</f>
        <v>-210.60000000000002</v>
      </c>
      <c r="G66" s="18">
        <f>'Raw Financials'!G187</f>
        <v>0</v>
      </c>
      <c r="H66" s="18">
        <f>'Raw Financials'!H187</f>
        <v>0</v>
      </c>
      <c r="I66" s="18">
        <f>'Raw Financials'!I187</f>
        <v>0</v>
      </c>
      <c r="J66" s="18">
        <f>'Raw Financials'!J187</f>
        <v>0</v>
      </c>
      <c r="K66" s="18">
        <f>'Raw Financials'!K187</f>
        <v>0</v>
      </c>
      <c r="L66" s="18">
        <f>'Raw Financials'!L187</f>
        <v>0</v>
      </c>
      <c r="M66" s="18">
        <f>'Raw Financials'!M187</f>
        <v>0</v>
      </c>
      <c r="N66" s="61">
        <f>0</f>
        <v>0</v>
      </c>
      <c r="O66" s="61">
        <f>0</f>
        <v>0</v>
      </c>
      <c r="P66" s="61">
        <f>0</f>
        <v>0</v>
      </c>
      <c r="Q66" s="61">
        <f>0</f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402</v>
      </c>
      <c r="B67" s="1" t="s">
        <v>44</v>
      </c>
      <c r="C67" s="18">
        <f>'Raw Financials'!C188</f>
        <v>0</v>
      </c>
      <c r="D67" s="18">
        <f>'Raw Financials'!D188</f>
        <v>0</v>
      </c>
      <c r="E67" s="18">
        <f>'Raw Financials'!E188</f>
        <v>0</v>
      </c>
      <c r="F67" s="18">
        <f>'Raw Financials'!F188</f>
        <v>0</v>
      </c>
      <c r="G67" s="18">
        <f>'Raw Financials'!G188</f>
        <v>0</v>
      </c>
      <c r="H67" s="18">
        <f>'Raw Financials'!H188</f>
        <v>68.8</v>
      </c>
      <c r="I67" s="18">
        <f>'Raw Financials'!I188</f>
        <v>30.700000000000003</v>
      </c>
      <c r="J67" s="18">
        <f>'Raw Financials'!J188</f>
        <v>0</v>
      </c>
      <c r="K67" s="18">
        <f>'Raw Financials'!K188</f>
        <v>0</v>
      </c>
      <c r="L67" s="18">
        <f>'Raw Financials'!L188</f>
        <v>0</v>
      </c>
      <c r="M67" s="18">
        <f>'Raw Financials'!M188</f>
        <v>0</v>
      </c>
      <c r="N67" s="61">
        <f>0</f>
        <v>0</v>
      </c>
      <c r="O67" s="61">
        <f>0</f>
        <v>0</v>
      </c>
      <c r="P67" s="61">
        <f>0</f>
        <v>0</v>
      </c>
      <c r="Q67" s="61">
        <f>0</f>
        <v>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403</v>
      </c>
      <c r="B68" s="1" t="s">
        <v>44</v>
      </c>
      <c r="C68" s="18">
        <f>'Raw Financials'!C189</f>
        <v>0</v>
      </c>
      <c r="D68" s="18">
        <f>'Raw Financials'!D189</f>
        <v>0</v>
      </c>
      <c r="E68" s="18">
        <f>'Raw Financials'!E189</f>
        <v>0</v>
      </c>
      <c r="F68" s="18">
        <f>'Raw Financials'!F189</f>
        <v>0</v>
      </c>
      <c r="G68" s="18">
        <f>'Raw Financials'!G189</f>
        <v>-1787.8616470000002</v>
      </c>
      <c r="H68" s="18">
        <f>'Raw Financials'!H189</f>
        <v>0</v>
      </c>
      <c r="I68" s="18">
        <f>'Raw Financials'!I189</f>
        <v>0</v>
      </c>
      <c r="J68" s="18">
        <f>'Raw Financials'!J189</f>
        <v>0</v>
      </c>
      <c r="K68" s="18">
        <f>'Raw Financials'!K189</f>
        <v>0</v>
      </c>
      <c r="L68" s="18">
        <f>'Raw Financials'!L189</f>
        <v>0</v>
      </c>
      <c r="M68" s="18">
        <f>'Raw Financials'!M189</f>
        <v>0</v>
      </c>
      <c r="N68" s="61">
        <f>0</f>
        <v>0</v>
      </c>
      <c r="O68" s="61">
        <f>0</f>
        <v>0</v>
      </c>
      <c r="P68" s="61">
        <f>0</f>
        <v>0</v>
      </c>
      <c r="Q68" s="61">
        <f>0</f>
        <v>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404</v>
      </c>
      <c r="B69" s="1" t="s">
        <v>44</v>
      </c>
      <c r="C69" s="18">
        <f>'Raw Financials'!C190</f>
        <v>42.721330984001973</v>
      </c>
      <c r="D69" s="18">
        <f>'Raw Financials'!D190</f>
        <v>7.0301316280027413</v>
      </c>
      <c r="E69" s="18">
        <f>'Raw Financials'!E190</f>
        <v>954.49485470000002</v>
      </c>
      <c r="F69" s="18">
        <f>'Raw Financials'!F190</f>
        <v>18</v>
      </c>
      <c r="G69" s="18">
        <f>'Raw Financials'!G190</f>
        <v>379.40000000000003</v>
      </c>
      <c r="H69" s="18">
        <f>'Raw Financials'!H190</f>
        <v>9.2000000000000011</v>
      </c>
      <c r="I69" s="18">
        <f>'Raw Financials'!I190</f>
        <v>62.1</v>
      </c>
      <c r="J69" s="18">
        <f>'Raw Financials'!J190</f>
        <v>65.8</v>
      </c>
      <c r="K69" s="18">
        <f>'Raw Financials'!K190</f>
        <v>0</v>
      </c>
      <c r="L69" s="18">
        <f>'Raw Financials'!L190</f>
        <v>8</v>
      </c>
      <c r="M69" s="18">
        <f>'Raw Financials'!M190</f>
        <v>0</v>
      </c>
      <c r="N69" s="61">
        <f>MAX(0,'BS Forecast Schedules'!D38-'BS Forecast Schedules'!C38)</f>
        <v>59.160000000000011</v>
      </c>
      <c r="O69" s="61">
        <f>MAX(0,'BS Forecast Schedules'!E38-'BS Forecast Schedules'!D38)</f>
        <v>0</v>
      </c>
      <c r="P69" s="61">
        <f>MAX(0,'BS Forecast Schedules'!F38-'BS Forecast Schedules'!E38)</f>
        <v>0</v>
      </c>
      <c r="Q69" s="61">
        <f>MAX(0,'BS Forecast Schedules'!G38-'BS Forecast Schedules'!F38)</f>
        <v>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405</v>
      </c>
      <c r="B70" s="1" t="s">
        <v>44</v>
      </c>
      <c r="C70" s="18">
        <f>'Raw Financials'!C191</f>
        <v>-65.3500191572804</v>
      </c>
      <c r="D70" s="18">
        <f>'Raw Financials'!D191</f>
        <v>-248.03658228803502</v>
      </c>
      <c r="E70" s="18">
        <f>'Raw Financials'!E191</f>
        <v>-211.24911133695301</v>
      </c>
      <c r="F70" s="18">
        <f>'Raw Financials'!F191</f>
        <v>-665.6</v>
      </c>
      <c r="G70" s="18">
        <f>'Raw Financials'!G191</f>
        <v>-1335.4</v>
      </c>
      <c r="H70" s="18">
        <f>'Raw Financials'!H191</f>
        <v>-37.6</v>
      </c>
      <c r="I70" s="18">
        <f>'Raw Financials'!I191</f>
        <v>-21.6</v>
      </c>
      <c r="J70" s="18">
        <f>'Raw Financials'!J191</f>
        <v>-32.1</v>
      </c>
      <c r="K70" s="18">
        <f>'Raw Financials'!K191</f>
        <v>-26.3</v>
      </c>
      <c r="L70" s="18">
        <f>'Raw Financials'!L191</f>
        <v>-32.5</v>
      </c>
      <c r="M70" s="18">
        <f>'Raw Financials'!M191</f>
        <v>0</v>
      </c>
      <c r="N70" s="61">
        <f>MIN(0,'BS Forecast Schedules'!D38-'BS Forecast Schedules'!C38)</f>
        <v>0</v>
      </c>
      <c r="O70" s="61">
        <f>MIN(0,'BS Forecast Schedules'!E38-'BS Forecast Schedules'!D38)</f>
        <v>0</v>
      </c>
      <c r="P70" s="61">
        <f>MIN(0,'BS Forecast Schedules'!F38-'BS Forecast Schedules'!E38)</f>
        <v>0</v>
      </c>
      <c r="Q70" s="61">
        <f>MIN(0,'BS Forecast Schedules'!G38-'BS Forecast Schedules'!F38)</f>
        <v>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406</v>
      </c>
      <c r="B71" s="1" t="s">
        <v>44</v>
      </c>
      <c r="C71" s="18">
        <f>'Raw Financials'!C192</f>
        <v>252.58616508320503</v>
      </c>
      <c r="D71" s="18">
        <f>'Raw Financials'!D192</f>
        <v>-14.142517465077402</v>
      </c>
      <c r="E71" s="18">
        <f>'Raw Financials'!E192</f>
        <v>5.2512648278741807</v>
      </c>
      <c r="F71" s="18">
        <f>'Raw Financials'!F192</f>
        <v>197.20000000000002</v>
      </c>
      <c r="G71" s="18">
        <f>'Raw Financials'!G192</f>
        <v>1149.4000000000001</v>
      </c>
      <c r="H71" s="18">
        <f>'Raw Financials'!H192</f>
        <v>-766.5</v>
      </c>
      <c r="I71" s="18">
        <f>'Raw Financials'!I192</f>
        <v>-203.02568580000002</v>
      </c>
      <c r="J71" s="18">
        <f>'Raw Financials'!J192</f>
        <v>-193.14000000000001</v>
      </c>
      <c r="K71" s="18">
        <f>'Raw Financials'!K192</f>
        <v>-42.518000000000001</v>
      </c>
      <c r="L71" s="18">
        <f>'Raw Financials'!L192</f>
        <v>-1050.6025102999999</v>
      </c>
      <c r="M71" s="18">
        <f>'Raw Financials'!M192</f>
        <v>-433.8</v>
      </c>
      <c r="N71" s="61">
        <f>'BS Forecast Schedules'!D37-'BS Forecast Schedules'!C37</f>
        <v>-59.160000000000011</v>
      </c>
      <c r="O71" s="61">
        <f>'BS Forecast Schedules'!E37-'BS Forecast Schedules'!D37</f>
        <v>0</v>
      </c>
      <c r="P71" s="61">
        <f>'BS Forecast Schedules'!F37-'BS Forecast Schedules'!E37</f>
        <v>0</v>
      </c>
      <c r="Q71" s="61">
        <f>'BS Forecast Schedules'!G37-'BS Forecast Schedules'!F37</f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408</v>
      </c>
      <c r="B72" s="1" t="s">
        <v>44</v>
      </c>
      <c r="C72" s="18">
        <f>'Raw Financials'!C194</f>
        <v>-114.9839760643261</v>
      </c>
      <c r="D72" s="18">
        <f>'Raw Financials'!D194</f>
        <v>0</v>
      </c>
      <c r="E72" s="18">
        <f>'Raw Financials'!E194</f>
        <v>0</v>
      </c>
      <c r="F72" s="18">
        <f>'Raw Financials'!F194</f>
        <v>0</v>
      </c>
      <c r="G72" s="18">
        <f>'Raw Financials'!G194</f>
        <v>0</v>
      </c>
      <c r="H72" s="18">
        <f>'Raw Financials'!H194</f>
        <v>0</v>
      </c>
      <c r="I72" s="18">
        <f>'Raw Financials'!I194</f>
        <v>0</v>
      </c>
      <c r="J72" s="18">
        <f>'Raw Financials'!J194</f>
        <v>0</v>
      </c>
      <c r="K72" s="18">
        <f>'Raw Financials'!K194</f>
        <v>0</v>
      </c>
      <c r="L72" s="18">
        <f>'Raw Financials'!L194</f>
        <v>0</v>
      </c>
      <c r="M72" s="18">
        <f>'Raw Financials'!M194</f>
        <v>0</v>
      </c>
      <c r="N72" s="61">
        <f>0</f>
        <v>0</v>
      </c>
      <c r="O72" s="61">
        <f>0</f>
        <v>0</v>
      </c>
      <c r="P72" s="61">
        <f>0</f>
        <v>0</v>
      </c>
      <c r="Q72" s="61">
        <f>0</f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409</v>
      </c>
      <c r="B73" s="1" t="s">
        <v>44</v>
      </c>
      <c r="C73" s="18">
        <f>'Raw Financials'!C195</f>
        <v>-92.54665113759448</v>
      </c>
      <c r="D73" s="18">
        <f>'Raw Financials'!D195</f>
        <v>-111.08752147617975</v>
      </c>
      <c r="E73" s="18">
        <f>'Raw Financials'!E195</f>
        <v>-159.86322360000003</v>
      </c>
      <c r="F73" s="18">
        <f>'Raw Financials'!F195</f>
        <v>-135.4</v>
      </c>
      <c r="G73" s="18">
        <f>'Raw Financials'!G195</f>
        <v>-188.3</v>
      </c>
      <c r="H73" s="18">
        <f>'Raw Financials'!H195</f>
        <v>-178.9</v>
      </c>
      <c r="I73" s="18">
        <f>'Raw Financials'!I195</f>
        <v>-123.05000000000001</v>
      </c>
      <c r="J73" s="18">
        <f>'Raw Financials'!J195</f>
        <v>-256.95</v>
      </c>
      <c r="K73" s="18">
        <f>'Raw Financials'!K195</f>
        <v>-350.70000000000005</v>
      </c>
      <c r="L73" s="18">
        <f>'Raw Financials'!L195</f>
        <v>-263.60000000000002</v>
      </c>
      <c r="M73" s="18">
        <f>'Raw Financials'!M195</f>
        <v>-208.3</v>
      </c>
      <c r="N73" s="61">
        <f>-'Annual P&amp;L'!N25</f>
        <v>-4.1760000000000002</v>
      </c>
      <c r="O73" s="61">
        <f>-'Annual P&amp;L'!O25</f>
        <v>-4.1760000000000002</v>
      </c>
      <c r="P73" s="61">
        <f>-'Annual P&amp;L'!P25</f>
        <v>-4.1760000000000002</v>
      </c>
      <c r="Q73" s="61">
        <f>-'Annual P&amp;L'!Q25</f>
        <v>-4.1760000000000002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410</v>
      </c>
      <c r="B74" s="1" t="s">
        <v>44</v>
      </c>
      <c r="C74" s="18">
        <f>'Raw Financials'!C196</f>
        <v>0</v>
      </c>
      <c r="D74" s="18">
        <f>'Raw Financials'!D196</f>
        <v>0</v>
      </c>
      <c r="E74" s="18">
        <f>'Raw Financials'!E196</f>
        <v>0</v>
      </c>
      <c r="F74" s="18">
        <f>'Raw Financials'!F196</f>
        <v>0</v>
      </c>
      <c r="G74" s="18">
        <f>'Raw Financials'!G196</f>
        <v>-237.78000000000003</v>
      </c>
      <c r="H74" s="18">
        <f>'Raw Financials'!H196</f>
        <v>-379.40000000000003</v>
      </c>
      <c r="I74" s="18">
        <f>'Raw Financials'!I196</f>
        <v>-517.721</v>
      </c>
      <c r="J74" s="18">
        <f>'Raw Financials'!J196</f>
        <v>-442.63200000000001</v>
      </c>
      <c r="K74" s="18">
        <f>'Raw Financials'!K196</f>
        <v>-454.48800000000006</v>
      </c>
      <c r="L74" s="18">
        <f>'Raw Financials'!L196</f>
        <v>-535.02166785254497</v>
      </c>
      <c r="M74" s="18">
        <f>'Raw Financials'!M196</f>
        <v>-463.8</v>
      </c>
      <c r="N74" s="61">
        <f>'BS Forecast Schedules'!D28</f>
        <v>-634.98000000000013</v>
      </c>
      <c r="O74" s="61">
        <f>'BS Forecast Schedules'!E28</f>
        <v>-654.09916081651818</v>
      </c>
      <c r="P74" s="61">
        <f>'BS Forecast Schedules'!F28</f>
        <v>-675.52579107753115</v>
      </c>
      <c r="Q74" s="61">
        <f>'BS Forecast Schedules'!G28</f>
        <v>-700.8847875951684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 t="s">
        <v>411</v>
      </c>
      <c r="B75" s="1" t="s">
        <v>44</v>
      </c>
      <c r="C75" s="18">
        <f>'Raw Financials'!C197</f>
        <v>0</v>
      </c>
      <c r="D75" s="18">
        <f>'Raw Financials'!D197</f>
        <v>0</v>
      </c>
      <c r="E75" s="18">
        <f>'Raw Financials'!E197</f>
        <v>60.6455635021224</v>
      </c>
      <c r="F75" s="18">
        <f>'Raw Financials'!F197</f>
        <v>0</v>
      </c>
      <c r="G75" s="18">
        <f>'Raw Financials'!G197</f>
        <v>0</v>
      </c>
      <c r="H75" s="18">
        <f>'Raw Financials'!H197</f>
        <v>0</v>
      </c>
      <c r="I75" s="18">
        <f>'Raw Financials'!I197</f>
        <v>0</v>
      </c>
      <c r="J75" s="18">
        <f>'Raw Financials'!J197</f>
        <v>0</v>
      </c>
      <c r="K75" s="18">
        <f>'Raw Financials'!K197</f>
        <v>0</v>
      </c>
      <c r="L75" s="18">
        <f>'Raw Financials'!L197</f>
        <v>0</v>
      </c>
      <c r="M75" s="18">
        <f>'Raw Financials'!M197</f>
        <v>0</v>
      </c>
      <c r="N75" s="61">
        <f>0</f>
        <v>0</v>
      </c>
      <c r="O75" s="61">
        <f>0</f>
        <v>0</v>
      </c>
      <c r="P75" s="61">
        <f>0</f>
        <v>0</v>
      </c>
      <c r="Q75" s="61">
        <f>0</f>
        <v>0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 t="s">
        <v>516</v>
      </c>
      <c r="B76" s="1" t="s">
        <v>44</v>
      </c>
      <c r="C76" s="18">
        <f t="shared" ref="C76:M76" si="3">C77-SUM(C60:C75)</f>
        <v>624.42222409101589</v>
      </c>
      <c r="D76" s="18">
        <f t="shared" si="3"/>
        <v>1239.1646707999996</v>
      </c>
      <c r="E76" s="18">
        <f t="shared" si="3"/>
        <v>943.78648157131647</v>
      </c>
      <c r="F76" s="18">
        <f t="shared" si="3"/>
        <v>1490.6999999999998</v>
      </c>
      <c r="G76" s="18">
        <f t="shared" si="3"/>
        <v>2491.5936469999997</v>
      </c>
      <c r="H76" s="18">
        <f t="shared" si="3"/>
        <v>1759.3549999999991</v>
      </c>
      <c r="I76" s="18">
        <f t="shared" si="3"/>
        <v>3980.8080000000018</v>
      </c>
      <c r="J76" s="18">
        <f t="shared" si="3"/>
        <v>4263.3019999999997</v>
      </c>
      <c r="K76" s="18">
        <f t="shared" si="3"/>
        <v>3917</v>
      </c>
      <c r="L76" s="18">
        <f t="shared" si="3"/>
        <v>3841.8</v>
      </c>
      <c r="M76" s="18">
        <f t="shared" si="3"/>
        <v>4025.4999999999982</v>
      </c>
      <c r="N76" s="61">
        <f>0</f>
        <v>0</v>
      </c>
      <c r="O76" s="61">
        <f>0</f>
        <v>0</v>
      </c>
      <c r="P76" s="61">
        <f>0</f>
        <v>0</v>
      </c>
      <c r="Q76" s="61">
        <f>0</f>
        <v>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64" t="s">
        <v>412</v>
      </c>
      <c r="B77" s="22" t="s">
        <v>44</v>
      </c>
      <c r="C77" s="23">
        <f>'Raw Financials'!C198</f>
        <v>-565.30859305307456</v>
      </c>
      <c r="D77" s="23">
        <f>'Raw Financials'!D198</f>
        <v>-1570.9490069459446</v>
      </c>
      <c r="E77" s="23">
        <f>'Raw Financials'!E198</f>
        <v>-269.40000000000003</v>
      </c>
      <c r="F77" s="23">
        <f>'Raw Financials'!F198</f>
        <v>-2251.2000000000003</v>
      </c>
      <c r="G77" s="23">
        <f>'Raw Financials'!G198</f>
        <v>-4465.5480000000007</v>
      </c>
      <c r="H77" s="23">
        <f>'Raw Financials'!H198</f>
        <v>-2986.855</v>
      </c>
      <c r="I77" s="23">
        <f>'Raw Financials'!I198</f>
        <v>-4666.6046858</v>
      </c>
      <c r="J77" s="23">
        <f>'Raw Financials'!J198</f>
        <v>-5078.1260000000002</v>
      </c>
      <c r="K77" s="23">
        <f>'Raw Financials'!K198</f>
        <v>-4767.2060000000001</v>
      </c>
      <c r="L77" s="23">
        <f>'Raw Financials'!L198</f>
        <v>-5799.2241781525454</v>
      </c>
      <c r="M77" s="23">
        <f>'Raw Financials'!M198</f>
        <v>-5130.5</v>
      </c>
      <c r="N77" s="63">
        <f>SUM(N60:N64,N66:N76)</f>
        <v>-5393.8885289921718</v>
      </c>
      <c r="O77" s="63">
        <f>SUM(O60:O64,O66:O76)</f>
        <v>-5885.853511450332</v>
      </c>
      <c r="P77" s="63">
        <f>SUM(P60:P64,P66:P76)</f>
        <v>-6477.8779887553865</v>
      </c>
      <c r="Q77" s="63">
        <f>SUM(Q60:Q64,Q66:Q76)</f>
        <v>-7112.2125289581727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64" t="s">
        <v>413</v>
      </c>
      <c r="B78" s="22" t="s">
        <v>44</v>
      </c>
      <c r="C78" s="23">
        <f>'Raw Financials'!C199</f>
        <v>1181.1376161185756</v>
      </c>
      <c r="D78" s="23">
        <f>'Raw Financials'!D199</f>
        <v>-550.34375861335991</v>
      </c>
      <c r="E78" s="23">
        <f>'Raw Financials'!E199</f>
        <v>-75.55093708398401</v>
      </c>
      <c r="F78" s="23">
        <f>'Raw Financials'!F199</f>
        <v>64.44861876063878</v>
      </c>
      <c r="G78" s="23">
        <f>'Raw Financials'!G199</f>
        <v>921.23300000000006</v>
      </c>
      <c r="H78" s="23">
        <f>'Raw Financials'!H199</f>
        <v>-343.20900000000006</v>
      </c>
      <c r="I78" s="23">
        <f>'Raw Financials'!I199</f>
        <v>1100.1696142000001</v>
      </c>
      <c r="J78" s="23">
        <f>'Raw Financials'!J199</f>
        <v>215.36700000000002</v>
      </c>
      <c r="K78" s="23">
        <f>'Raw Financials'!K199</f>
        <v>295.46199999999999</v>
      </c>
      <c r="L78" s="23">
        <f>'Raw Financials'!L199</f>
        <v>-36.672915552545604</v>
      </c>
      <c r="M78" s="23">
        <f>'Raw Financials'!M199</f>
        <v>632.30000000000007</v>
      </c>
      <c r="N78" s="63">
        <f>SUM(N38,N59,N77)</f>
        <v>1383.1530553321991</v>
      </c>
      <c r="O78" s="63">
        <f>SUM(O38,O59,O77)</f>
        <v>1659.4921871964589</v>
      </c>
      <c r="P78" s="63">
        <f>SUM(P38,P59,P77)</f>
        <v>1649.8166533467102</v>
      </c>
      <c r="Q78" s="63">
        <f>SUM(Q38,Q59,Q77)</f>
        <v>1749.633753038348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414</v>
      </c>
      <c r="B79" s="1" t="s">
        <v>44</v>
      </c>
      <c r="C79" s="18">
        <f>'Raw Financials'!C200</f>
        <v>0</v>
      </c>
      <c r="D79" s="18">
        <f>'Raw Financials'!D200</f>
        <v>0</v>
      </c>
      <c r="E79" s="18">
        <f>'Raw Financials'!E200</f>
        <v>40.371050086098307</v>
      </c>
      <c r="F79" s="18">
        <f>'Raw Financials'!F200</f>
        <v>12.200000000000001</v>
      </c>
      <c r="G79" s="18">
        <f>'Raw Financials'!G200</f>
        <v>52.7946557</v>
      </c>
      <c r="H79" s="18">
        <f>'Raw Financials'!H200</f>
        <v>16.900000000000002</v>
      </c>
      <c r="I79" s="18">
        <f>'Raw Financials'!I200</f>
        <v>-1.7000000000000002</v>
      </c>
      <c r="J79" s="18">
        <f>'Raw Financials'!J200</f>
        <v>52</v>
      </c>
      <c r="K79" s="18">
        <f>'Raw Financials'!K200</f>
        <v>-4.7</v>
      </c>
      <c r="L79" s="18">
        <f>'Raw Financials'!L200</f>
        <v>8</v>
      </c>
      <c r="M79" s="18">
        <f>'Raw Financials'!M200</f>
        <v>95.300000000000011</v>
      </c>
      <c r="N79" s="61">
        <f>0</f>
        <v>0</v>
      </c>
      <c r="O79" s="61">
        <f>0</f>
        <v>0</v>
      </c>
      <c r="P79" s="61">
        <f>0</f>
        <v>0</v>
      </c>
      <c r="Q79" s="61">
        <f>0</f>
        <v>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415</v>
      </c>
      <c r="B80" s="1" t="s">
        <v>44</v>
      </c>
      <c r="C80" s="18">
        <f>'Raw Financials'!C201</f>
        <v>1205.5522791040291</v>
      </c>
      <c r="D80" s="18">
        <f>'Raw Financials'!D201</f>
        <v>2393.7532978425024</v>
      </c>
      <c r="E80" s="18">
        <f>'Raw Financials'!E201</f>
        <v>2001.251160803994</v>
      </c>
      <c r="F80" s="18">
        <f>'Raw Financials'!F201</f>
        <v>1966.0826939000003</v>
      </c>
      <c r="G80" s="18">
        <f>'Raw Financials'!G201</f>
        <v>2042.7</v>
      </c>
      <c r="H80" s="18">
        <f>'Raw Financials'!H201</f>
        <v>3016.7000000000003</v>
      </c>
      <c r="I80" s="18">
        <f>'Raw Financials'!I201</f>
        <v>2690.4</v>
      </c>
      <c r="J80" s="18">
        <f>'Raw Financials'!J201</f>
        <v>3788.9</v>
      </c>
      <c r="K80" s="18">
        <f>'Raw Financials'!K201</f>
        <v>4056.3</v>
      </c>
      <c r="L80" s="18">
        <f>'Raw Financials'!L201</f>
        <v>4347.1000000000004</v>
      </c>
      <c r="M80" s="18">
        <f>'Raw Financials'!M201</f>
        <v>4318.5</v>
      </c>
      <c r="N80" s="61">
        <f>'Annual Balance Sheet'!M28</f>
        <v>5046.1000000000004</v>
      </c>
      <c r="O80" s="61">
        <f>'Annual Balance Sheet'!N28</f>
        <v>6429.2530553321994</v>
      </c>
      <c r="P80" s="61">
        <f>'Annual Balance Sheet'!O28</f>
        <v>8088.7452425286583</v>
      </c>
      <c r="Q80" s="61">
        <f>'Annual Balance Sheet'!P28</f>
        <v>9738.5618958753694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416</v>
      </c>
      <c r="B81" s="1" t="s">
        <v>44</v>
      </c>
      <c r="C81" s="18">
        <f>'Raw Financials'!C202</f>
        <v>6.5651549141090007</v>
      </c>
      <c r="D81" s="18">
        <f>'Raw Financials'!D202</f>
        <v>161.32502810399674</v>
      </c>
      <c r="E81" s="18">
        <f>'Raw Financials'!E202</f>
        <v>0</v>
      </c>
      <c r="F81" s="18">
        <f>'Raw Financials'!F202</f>
        <v>0</v>
      </c>
      <c r="G81" s="18">
        <f>'Raw Financials'!G202</f>
        <v>0</v>
      </c>
      <c r="H81" s="18">
        <f>'Raw Financials'!H202</f>
        <v>0</v>
      </c>
      <c r="I81" s="18">
        <f>'Raw Financials'!I202</f>
        <v>0</v>
      </c>
      <c r="J81" s="18">
        <f>'Raw Financials'!J202</f>
        <v>0</v>
      </c>
      <c r="K81" s="18">
        <f>'Raw Financials'!K202</f>
        <v>0</v>
      </c>
      <c r="L81" s="18">
        <f>'Raw Financials'!L202</f>
        <v>0</v>
      </c>
      <c r="M81" s="18">
        <f>'Raw Financials'!M202</f>
        <v>0</v>
      </c>
      <c r="N81" s="61">
        <f>0</f>
        <v>0</v>
      </c>
      <c r="O81" s="61">
        <f>0</f>
        <v>0</v>
      </c>
      <c r="P81" s="61">
        <f>0</f>
        <v>0</v>
      </c>
      <c r="Q81" s="61">
        <f>0</f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417</v>
      </c>
      <c r="B82" s="1" t="s">
        <v>44</v>
      </c>
      <c r="C82" s="18">
        <f>'Raw Financials'!C203</f>
        <v>0</v>
      </c>
      <c r="D82" s="18">
        <f>'Raw Financials'!D203</f>
        <v>0</v>
      </c>
      <c r="E82" s="18">
        <f>'Raw Financials'!E203</f>
        <v>0</v>
      </c>
      <c r="F82" s="18">
        <f>'Raw Financials'!F203</f>
        <v>0</v>
      </c>
      <c r="G82" s="18">
        <f>'Raw Financials'!G203</f>
        <v>0</v>
      </c>
      <c r="H82" s="18">
        <f>'Raw Financials'!H203</f>
        <v>0</v>
      </c>
      <c r="I82" s="18">
        <f>'Raw Financials'!I203</f>
        <v>0</v>
      </c>
      <c r="J82" s="18">
        <f>'Raw Financials'!J203</f>
        <v>0</v>
      </c>
      <c r="K82" s="18">
        <f>'Raw Financials'!K203</f>
        <v>0</v>
      </c>
      <c r="L82" s="18">
        <f>'Raw Financials'!L203</f>
        <v>0</v>
      </c>
      <c r="M82" s="18">
        <f>'Raw Financials'!M203</f>
        <v>0</v>
      </c>
      <c r="N82" s="61">
        <f>0</f>
        <v>0</v>
      </c>
      <c r="O82" s="61">
        <f>0</f>
        <v>0</v>
      </c>
      <c r="P82" s="61">
        <f>0</f>
        <v>0</v>
      </c>
      <c r="Q82" s="61">
        <f>0</f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418</v>
      </c>
      <c r="B83" s="1" t="s">
        <v>44</v>
      </c>
      <c r="C83" s="18">
        <f>'Raw Financials'!C204</f>
        <v>0</v>
      </c>
      <c r="D83" s="18">
        <f>'Raw Financials'!D204</f>
        <v>0</v>
      </c>
      <c r="E83" s="18">
        <f>'Raw Financials'!E204</f>
        <v>0</v>
      </c>
      <c r="F83" s="18">
        <f>'Raw Financials'!F204</f>
        <v>0</v>
      </c>
      <c r="G83" s="18">
        <f>'Raw Financials'!G204</f>
        <v>0</v>
      </c>
      <c r="H83" s="18">
        <f>'Raw Financials'!H204</f>
        <v>0</v>
      </c>
      <c r="I83" s="18">
        <f>'Raw Financials'!I204</f>
        <v>0</v>
      </c>
      <c r="J83" s="18">
        <f>'Raw Financials'!J204</f>
        <v>0</v>
      </c>
      <c r="K83" s="18">
        <f>'Raw Financials'!K204</f>
        <v>0</v>
      </c>
      <c r="L83" s="18">
        <f>'Raw Financials'!L204</f>
        <v>0</v>
      </c>
      <c r="M83" s="18">
        <f>'Raw Financials'!M204</f>
        <v>0</v>
      </c>
      <c r="N83" s="61">
        <f>0</f>
        <v>0</v>
      </c>
      <c r="O83" s="61">
        <f>0</f>
        <v>0</v>
      </c>
      <c r="P83" s="61">
        <f>0</f>
        <v>0</v>
      </c>
      <c r="Q83" s="61">
        <f>0</f>
        <v>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64" t="s">
        <v>517</v>
      </c>
      <c r="B84" s="22" t="s">
        <v>44</v>
      </c>
      <c r="C84" s="23">
        <f t="shared" ref="C84:M84" si="4">C85-C80</f>
        <v>1187.7027710326845</v>
      </c>
      <c r="D84" s="23">
        <f t="shared" si="4"/>
        <v>-388.9487305093628</v>
      </c>
      <c r="E84" s="23">
        <f t="shared" si="4"/>
        <v>-35.179886997885887</v>
      </c>
      <c r="F84" s="23">
        <f t="shared" si="4"/>
        <v>76.648618760638783</v>
      </c>
      <c r="G84" s="23">
        <f t="shared" si="4"/>
        <v>974.02800000000002</v>
      </c>
      <c r="H84" s="23">
        <f t="shared" si="4"/>
        <v>-326.30999999999995</v>
      </c>
      <c r="I84" s="23">
        <f t="shared" si="4"/>
        <v>1098.4680000000003</v>
      </c>
      <c r="J84" s="23">
        <f t="shared" si="4"/>
        <v>267.36699999999973</v>
      </c>
      <c r="K84" s="23">
        <f t="shared" si="4"/>
        <v>290.76200000000063</v>
      </c>
      <c r="L84" s="23">
        <f t="shared" si="4"/>
        <v>-28.572915552545965</v>
      </c>
      <c r="M84" s="23">
        <f t="shared" si="4"/>
        <v>727.60000000000036</v>
      </c>
      <c r="N84" s="63">
        <f>SUM(N78:N79,N81:N83)</f>
        <v>1383.1530553321991</v>
      </c>
      <c r="O84" s="63">
        <f>SUM(O78:O79,O81:O83)</f>
        <v>1659.4921871964589</v>
      </c>
      <c r="P84" s="63">
        <f>SUM(P78:P79,P81:P83)</f>
        <v>1649.8166533467102</v>
      </c>
      <c r="Q84" s="63">
        <f>SUM(Q78:Q79,Q81:Q83)</f>
        <v>1749.633753038348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64" t="s">
        <v>518</v>
      </c>
      <c r="B85" s="22" t="s">
        <v>44</v>
      </c>
      <c r="C85" s="23">
        <f>'Raw Financials'!C205</f>
        <v>2393.2550501367136</v>
      </c>
      <c r="D85" s="23">
        <f>'Raw Financials'!D205</f>
        <v>2004.8045673331396</v>
      </c>
      <c r="E85" s="23">
        <f>'Raw Financials'!E205</f>
        <v>1966.0712738061081</v>
      </c>
      <c r="F85" s="23">
        <f>'Raw Financials'!F205</f>
        <v>2042.7313126606391</v>
      </c>
      <c r="G85" s="23">
        <f>'Raw Financials'!G205</f>
        <v>3016.7280000000001</v>
      </c>
      <c r="H85" s="23">
        <f>'Raw Financials'!H205</f>
        <v>2690.3900000000003</v>
      </c>
      <c r="I85" s="23">
        <f>'Raw Financials'!I205</f>
        <v>3788.8680000000004</v>
      </c>
      <c r="J85" s="23">
        <f>'Raw Financials'!J205</f>
        <v>4056.2669999999998</v>
      </c>
      <c r="K85" s="23">
        <f>'Raw Financials'!K205</f>
        <v>4347.0620000000008</v>
      </c>
      <c r="L85" s="23">
        <f>'Raw Financials'!L205</f>
        <v>4318.5270844474544</v>
      </c>
      <c r="M85" s="23">
        <f>'Raw Financials'!M205</f>
        <v>5046.1000000000004</v>
      </c>
      <c r="N85" s="63">
        <f>N80+N84</f>
        <v>6429.2530553321994</v>
      </c>
      <c r="O85" s="63">
        <f>O80+O84</f>
        <v>8088.7452425286583</v>
      </c>
      <c r="P85" s="63">
        <f>P80+P84</f>
        <v>9738.5618958753694</v>
      </c>
      <c r="Q85" s="63">
        <f>Q80+Q84</f>
        <v>11488.195648913717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 t="s">
        <v>519</v>
      </c>
      <c r="B86" s="1" t="s">
        <v>44</v>
      </c>
      <c r="C86" s="18">
        <f>'Annual Balance Sheet'!C28</f>
        <v>4013.8061358907798</v>
      </c>
      <c r="D86" s="18">
        <f>'Annual Balance Sheet'!D28</f>
        <v>2001.2741679999999</v>
      </c>
      <c r="E86" s="18">
        <f>'Annual Balance Sheet'!E28</f>
        <v>1966.0826939000003</v>
      </c>
      <c r="F86" s="18">
        <f>'Annual Balance Sheet'!F28</f>
        <v>2042.7</v>
      </c>
      <c r="G86" s="18">
        <f>'Annual Balance Sheet'!G28</f>
        <v>3016.7000000000003</v>
      </c>
      <c r="H86" s="18">
        <f>'Annual Balance Sheet'!H28</f>
        <v>2690.4</v>
      </c>
      <c r="I86" s="18">
        <f>'Annual Balance Sheet'!I28</f>
        <v>3788.9</v>
      </c>
      <c r="J86" s="18">
        <f>'Annual Balance Sheet'!J28</f>
        <v>4056.3</v>
      </c>
      <c r="K86" s="18">
        <f>'Annual Balance Sheet'!K28</f>
        <v>4347.1000000000004</v>
      </c>
      <c r="L86" s="18">
        <f>'Annual Balance Sheet'!L28</f>
        <v>4318.5</v>
      </c>
      <c r="M86" s="18">
        <f>'Annual Balance Sheet'!M28</f>
        <v>5046.1000000000004</v>
      </c>
      <c r="N86" s="61">
        <f>'Annual Balance Sheet'!N28</f>
        <v>6429.2530553321994</v>
      </c>
      <c r="O86" s="61">
        <f>'Annual Balance Sheet'!O28</f>
        <v>8088.7452425286583</v>
      </c>
      <c r="P86" s="61">
        <f>'Annual Balance Sheet'!P28</f>
        <v>9738.5618958753694</v>
      </c>
      <c r="Q86" s="61">
        <f>'Annual Balance Sheet'!Q28</f>
        <v>11488.195648913717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 t="s">
        <v>520</v>
      </c>
      <c r="B87" s="1" t="s">
        <v>44</v>
      </c>
      <c r="C87" s="18">
        <f t="shared" ref="C87:Q87" si="5">C86-C85</f>
        <v>1620.5510857540662</v>
      </c>
      <c r="D87" s="18">
        <f t="shared" si="5"/>
        <v>-3.5303993331397123</v>
      </c>
      <c r="E87" s="18">
        <f t="shared" si="5"/>
        <v>1.1420093892184013E-2</v>
      </c>
      <c r="F87" s="18">
        <f t="shared" si="5"/>
        <v>-3.1312660639059686E-2</v>
      </c>
      <c r="G87" s="18">
        <f t="shared" si="5"/>
        <v>-2.7999999999792635E-2</v>
      </c>
      <c r="H87" s="18">
        <f t="shared" si="5"/>
        <v>9.9999999997635314E-3</v>
      </c>
      <c r="I87" s="18">
        <f t="shared" si="5"/>
        <v>3.1999999999698048E-2</v>
      </c>
      <c r="J87" s="18">
        <f t="shared" si="5"/>
        <v>3.3000000000356522E-2</v>
      </c>
      <c r="K87" s="18">
        <f t="shared" si="5"/>
        <v>3.7999999999556167E-2</v>
      </c>
      <c r="L87" s="18">
        <f t="shared" si="5"/>
        <v>-2.7084447454399196E-2</v>
      </c>
      <c r="M87" s="18">
        <f t="shared" si="5"/>
        <v>0</v>
      </c>
      <c r="N87" s="61">
        <f t="shared" si="5"/>
        <v>0</v>
      </c>
      <c r="O87" s="61">
        <f t="shared" si="5"/>
        <v>0</v>
      </c>
      <c r="P87" s="61">
        <f t="shared" si="5"/>
        <v>0</v>
      </c>
      <c r="Q87" s="61">
        <f t="shared" si="5"/>
        <v>0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64" t="s">
        <v>440</v>
      </c>
      <c r="B88" s="22" t="s">
        <v>44</v>
      </c>
      <c r="C88" s="23">
        <f t="shared" ref="C88:Q88" si="6">C38+C40</f>
        <v>2286.6962696370997</v>
      </c>
      <c r="D88" s="23">
        <f t="shared" si="6"/>
        <v>3303.1642863676166</v>
      </c>
      <c r="E88" s="23">
        <f t="shared" si="6"/>
        <v>2536.9712214693427</v>
      </c>
      <c r="F88" s="23">
        <f t="shared" si="6"/>
        <v>3627.4486187606394</v>
      </c>
      <c r="G88" s="23">
        <f t="shared" si="6"/>
        <v>3513.4580000000001</v>
      </c>
      <c r="H88" s="23">
        <f t="shared" si="6"/>
        <v>7427.8410000000003</v>
      </c>
      <c r="I88" s="23">
        <f t="shared" si="6"/>
        <v>4326.8743000000013</v>
      </c>
      <c r="J88" s="23">
        <f t="shared" si="6"/>
        <v>4556.7939999999999</v>
      </c>
      <c r="K88" s="23">
        <f t="shared" si="6"/>
        <v>5585.2690000000002</v>
      </c>
      <c r="L88" s="23">
        <f t="shared" si="6"/>
        <v>5192.1512626000003</v>
      </c>
      <c r="M88" s="23">
        <f t="shared" si="6"/>
        <v>5476.3</v>
      </c>
      <c r="N88" s="63">
        <f t="shared" si="6"/>
        <v>6722.1176426042621</v>
      </c>
      <c r="O88" s="63">
        <f t="shared" si="6"/>
        <v>7431.2277635999499</v>
      </c>
      <c r="P88" s="63">
        <f t="shared" si="6"/>
        <v>8007.9448160969396</v>
      </c>
      <c r="Q88" s="63">
        <f t="shared" si="6"/>
        <v>8729.2389332963066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 t="s">
        <v>60</v>
      </c>
      <c r="B89" s="1" t="s">
        <v>46</v>
      </c>
      <c r="C89" s="19">
        <f>IFERROR(C88/'Annual P&amp;L'!C35,"")</f>
        <v>0.76404389127286831</v>
      </c>
      <c r="D89" s="19">
        <f>IFERROR(D88/'Annual P&amp;L'!D35,"")</f>
        <v>1.1742775937125278</v>
      </c>
      <c r="E89" s="19">
        <f>IFERROR(E88/'Annual P&amp;L'!E35,"")</f>
        <v>0.66766704861935944</v>
      </c>
      <c r="F89" s="19">
        <f>IFERROR(F88/'Annual P&amp;L'!F35,"")</f>
        <v>0.84406056756602033</v>
      </c>
      <c r="G89" s="19">
        <f>IFERROR(G88/'Annual P&amp;L'!G35,"")</f>
        <v>0.87118981626812386</v>
      </c>
      <c r="H89" s="19">
        <f>IFERROR(H88/'Annual P&amp;L'!H35,"")</f>
        <v>1.6774485163815569</v>
      </c>
      <c r="I89" s="19">
        <f>IFERROR(I88/'Annual P&amp;L'!I35,"")</f>
        <v>0.77736012545918509</v>
      </c>
      <c r="J89" s="19">
        <f>IFERROR(J88/'Annual P&amp;L'!J35,"")</f>
        <v>0.94318643770300004</v>
      </c>
      <c r="K89" s="19">
        <f>IFERROR(K88/'Annual P&amp;L'!K35,"")</f>
        <v>2.3687512087047096</v>
      </c>
      <c r="L89" s="19">
        <f>IFERROR(L88/'Annual P&amp;L'!L35,"")</f>
        <v>1.2212396261198604</v>
      </c>
      <c r="M89" s="19">
        <f>IFERROR(M88/'Annual P&amp;L'!M35,"")</f>
        <v>1.1383110113238348</v>
      </c>
      <c r="N89" s="67">
        <f>IFERROR(N88/'Annual P&amp;L'!N35,"")</f>
        <v>1.1310192700204915</v>
      </c>
      <c r="O89" s="67">
        <f>IFERROR(O88/'Annual P&amp;L'!O35,"")</f>
        <v>1.137234453914816</v>
      </c>
      <c r="P89" s="67">
        <f>IFERROR(P88/'Annual P&amp;L'!P35,"")</f>
        <v>1.1048915442485638</v>
      </c>
      <c r="Q89" s="67">
        <f>IFERROR(Q88/'Annual P&amp;L'!Q35,"")</f>
        <v>1.0899369062159059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6"/>
      <c r="O90" s="66"/>
      <c r="P90" s="66"/>
      <c r="Q90" s="6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6"/>
      <c r="O91" s="66"/>
      <c r="P91" s="66"/>
      <c r="Q91" s="6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6"/>
      <c r="O92" s="66"/>
      <c r="P92" s="66"/>
      <c r="Q92" s="6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6"/>
      <c r="O93" s="66"/>
      <c r="P93" s="66"/>
      <c r="Q93" s="6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6"/>
      <c r="O94" s="66"/>
      <c r="P94" s="66"/>
      <c r="Q94" s="6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6"/>
      <c r="O95" s="66"/>
      <c r="P95" s="66"/>
      <c r="Q95" s="6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6"/>
      <c r="O96" s="66"/>
      <c r="P96" s="66"/>
      <c r="Q96" s="6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6"/>
      <c r="O97" s="66"/>
      <c r="P97" s="66"/>
      <c r="Q97" s="6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6"/>
      <c r="O98" s="66"/>
      <c r="P98" s="66"/>
      <c r="Q98" s="6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6"/>
      <c r="O99" s="66"/>
      <c r="P99" s="66"/>
      <c r="Q99" s="6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6"/>
      <c r="O100" s="66"/>
      <c r="P100" s="66"/>
      <c r="Q100" s="6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6"/>
      <c r="O101" s="66"/>
      <c r="P101" s="66"/>
      <c r="Q101" s="6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6"/>
      <c r="O102" s="66"/>
      <c r="P102" s="66"/>
      <c r="Q102" s="6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6"/>
      <c r="O103" s="66"/>
      <c r="P103" s="66"/>
      <c r="Q103" s="6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6"/>
      <c r="O104" s="66"/>
      <c r="P104" s="66"/>
      <c r="Q104" s="6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6"/>
      <c r="O105" s="66"/>
      <c r="P105" s="66"/>
      <c r="Q105" s="6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6"/>
      <c r="O106" s="66"/>
      <c r="P106" s="66"/>
      <c r="Q106" s="6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6"/>
      <c r="O107" s="66"/>
      <c r="P107" s="66"/>
      <c r="Q107" s="6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6"/>
      <c r="O108" s="66"/>
      <c r="P108" s="66"/>
      <c r="Q108" s="6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6"/>
      <c r="O109" s="66"/>
      <c r="P109" s="66"/>
      <c r="Q109" s="6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6"/>
      <c r="O110" s="66"/>
      <c r="P110" s="66"/>
      <c r="Q110" s="6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6"/>
      <c r="O111" s="66"/>
      <c r="P111" s="66"/>
      <c r="Q111" s="6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6"/>
      <c r="O112" s="66"/>
      <c r="P112" s="66"/>
      <c r="Q112" s="6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6"/>
      <c r="O113" s="66"/>
      <c r="P113" s="66"/>
      <c r="Q113" s="6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6"/>
      <c r="O114" s="66"/>
      <c r="P114" s="66"/>
      <c r="Q114" s="6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6"/>
      <c r="O115" s="66"/>
      <c r="P115" s="66"/>
      <c r="Q115" s="6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6"/>
      <c r="O116" s="66"/>
      <c r="P116" s="66"/>
      <c r="Q116" s="6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6"/>
      <c r="O117" s="66"/>
      <c r="P117" s="66"/>
      <c r="Q117" s="6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6"/>
      <c r="O118" s="66"/>
      <c r="P118" s="66"/>
      <c r="Q118" s="6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6"/>
      <c r="O119" s="66"/>
      <c r="P119" s="66"/>
      <c r="Q119" s="6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6"/>
      <c r="O120" s="66"/>
      <c r="P120" s="66"/>
      <c r="Q120" s="6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6"/>
      <c r="O121" s="66"/>
      <c r="P121" s="66"/>
      <c r="Q121" s="6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6"/>
      <c r="O122" s="66"/>
      <c r="P122" s="66"/>
      <c r="Q122" s="6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6"/>
      <c r="O123" s="66"/>
      <c r="P123" s="66"/>
      <c r="Q123" s="6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6"/>
      <c r="O124" s="66"/>
      <c r="P124" s="66"/>
      <c r="Q124" s="6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6"/>
      <c r="O125" s="66"/>
      <c r="P125" s="66"/>
      <c r="Q125" s="6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6"/>
      <c r="O126" s="66"/>
      <c r="P126" s="66"/>
      <c r="Q126" s="6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6"/>
      <c r="O127" s="66"/>
      <c r="P127" s="66"/>
      <c r="Q127" s="6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6"/>
      <c r="O128" s="66"/>
      <c r="P128" s="66"/>
      <c r="Q128" s="6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6"/>
      <c r="O129" s="66"/>
      <c r="P129" s="66"/>
      <c r="Q129" s="6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6"/>
      <c r="O130" s="66"/>
      <c r="P130" s="66"/>
      <c r="Q130" s="6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6"/>
      <c r="O131" s="66"/>
      <c r="P131" s="66"/>
      <c r="Q131" s="6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6"/>
      <c r="O132" s="66"/>
      <c r="P132" s="66"/>
      <c r="Q132" s="6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6"/>
      <c r="O133" s="66"/>
      <c r="P133" s="66"/>
      <c r="Q133" s="6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6"/>
      <c r="O134" s="66"/>
      <c r="P134" s="66"/>
      <c r="Q134" s="6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6"/>
      <c r="O135" s="66"/>
      <c r="P135" s="66"/>
      <c r="Q135" s="6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6"/>
      <c r="O136" s="66"/>
      <c r="P136" s="66"/>
      <c r="Q136" s="6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6"/>
      <c r="O137" s="66"/>
      <c r="P137" s="66"/>
      <c r="Q137" s="6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6"/>
      <c r="O138" s="66"/>
      <c r="P138" s="66"/>
      <c r="Q138" s="6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6"/>
      <c r="O139" s="66"/>
      <c r="P139" s="66"/>
      <c r="Q139" s="6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6"/>
      <c r="O140" s="66"/>
      <c r="P140" s="66"/>
      <c r="Q140" s="6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6"/>
      <c r="O141" s="66"/>
      <c r="P141" s="66"/>
      <c r="Q141" s="6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6"/>
      <c r="O142" s="66"/>
      <c r="P142" s="66"/>
      <c r="Q142" s="6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6"/>
      <c r="O143" s="66"/>
      <c r="P143" s="66"/>
      <c r="Q143" s="6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6"/>
      <c r="O144" s="66"/>
      <c r="P144" s="66"/>
      <c r="Q144" s="6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6"/>
      <c r="O145" s="66"/>
      <c r="P145" s="66"/>
      <c r="Q145" s="6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6"/>
      <c r="O146" s="66"/>
      <c r="P146" s="66"/>
      <c r="Q146" s="6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6"/>
      <c r="O147" s="66"/>
      <c r="P147" s="66"/>
      <c r="Q147" s="6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6"/>
      <c r="O148" s="66"/>
      <c r="P148" s="66"/>
      <c r="Q148" s="6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6"/>
      <c r="O149" s="66"/>
      <c r="P149" s="66"/>
      <c r="Q149" s="6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6"/>
      <c r="O150" s="66"/>
      <c r="P150" s="66"/>
      <c r="Q150" s="6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6"/>
      <c r="O151" s="66"/>
      <c r="P151" s="66"/>
      <c r="Q151" s="6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6"/>
      <c r="O152" s="66"/>
      <c r="P152" s="66"/>
      <c r="Q152" s="6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6"/>
      <c r="O153" s="66"/>
      <c r="P153" s="66"/>
      <c r="Q153" s="6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6"/>
      <c r="O154" s="66"/>
      <c r="P154" s="66"/>
      <c r="Q154" s="6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6"/>
      <c r="O155" s="66"/>
      <c r="P155" s="66"/>
      <c r="Q155" s="6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6"/>
      <c r="O156" s="66"/>
      <c r="P156" s="66"/>
      <c r="Q156" s="6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6"/>
      <c r="O157" s="66"/>
      <c r="P157" s="66"/>
      <c r="Q157" s="6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6"/>
      <c r="O158" s="66"/>
      <c r="P158" s="66"/>
      <c r="Q158" s="6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6"/>
      <c r="O159" s="66"/>
      <c r="P159" s="66"/>
      <c r="Q159" s="6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6"/>
      <c r="O160" s="66"/>
      <c r="P160" s="66"/>
      <c r="Q160" s="6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6"/>
      <c r="O161" s="66"/>
      <c r="P161" s="66"/>
      <c r="Q161" s="6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6"/>
      <c r="O162" s="66"/>
      <c r="P162" s="66"/>
      <c r="Q162" s="6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6"/>
      <c r="O163" s="66"/>
      <c r="P163" s="66"/>
      <c r="Q163" s="6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6"/>
      <c r="O164" s="66"/>
      <c r="P164" s="66"/>
      <c r="Q164" s="6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6"/>
      <c r="O165" s="66"/>
      <c r="P165" s="66"/>
      <c r="Q165" s="6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6"/>
      <c r="O166" s="66"/>
      <c r="P166" s="66"/>
      <c r="Q166" s="6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6"/>
      <c r="O167" s="66"/>
      <c r="P167" s="66"/>
      <c r="Q167" s="6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6"/>
      <c r="O168" s="66"/>
      <c r="P168" s="66"/>
      <c r="Q168" s="6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6"/>
      <c r="O169" s="66"/>
      <c r="P169" s="66"/>
      <c r="Q169" s="6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6"/>
      <c r="O170" s="66"/>
      <c r="P170" s="66"/>
      <c r="Q170" s="6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6"/>
      <c r="O171" s="66"/>
      <c r="P171" s="66"/>
      <c r="Q171" s="6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6"/>
      <c r="O172" s="66"/>
      <c r="P172" s="66"/>
      <c r="Q172" s="6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6"/>
      <c r="O173" s="66"/>
      <c r="P173" s="66"/>
      <c r="Q173" s="6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6"/>
      <c r="O174" s="66"/>
      <c r="P174" s="66"/>
      <c r="Q174" s="6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6"/>
      <c r="O175" s="66"/>
      <c r="P175" s="66"/>
      <c r="Q175" s="6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6"/>
      <c r="O176" s="66"/>
      <c r="P176" s="66"/>
      <c r="Q176" s="6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6"/>
      <c r="O177" s="66"/>
      <c r="P177" s="66"/>
      <c r="Q177" s="6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6"/>
      <c r="O178" s="66"/>
      <c r="P178" s="66"/>
      <c r="Q178" s="6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6"/>
      <c r="O179" s="66"/>
      <c r="P179" s="66"/>
      <c r="Q179" s="6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6"/>
      <c r="O180" s="66"/>
      <c r="P180" s="66"/>
      <c r="Q180" s="6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6"/>
      <c r="O181" s="66"/>
      <c r="P181" s="66"/>
      <c r="Q181" s="6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6"/>
      <c r="O182" s="66"/>
      <c r="P182" s="66"/>
      <c r="Q182" s="6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6"/>
      <c r="O183" s="66"/>
      <c r="P183" s="66"/>
      <c r="Q183" s="6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6"/>
      <c r="O184" s="66"/>
      <c r="P184" s="66"/>
      <c r="Q184" s="6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6"/>
      <c r="O185" s="66"/>
      <c r="P185" s="66"/>
      <c r="Q185" s="6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6"/>
      <c r="O186" s="66"/>
      <c r="P186" s="66"/>
      <c r="Q186" s="6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6"/>
      <c r="O187" s="66"/>
      <c r="P187" s="66"/>
      <c r="Q187" s="6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6"/>
      <c r="O188" s="66"/>
      <c r="P188" s="66"/>
      <c r="Q188" s="6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6"/>
      <c r="O189" s="66"/>
      <c r="P189" s="66"/>
      <c r="Q189" s="6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6"/>
      <c r="O190" s="66"/>
      <c r="P190" s="66"/>
      <c r="Q190" s="6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6"/>
      <c r="O191" s="66"/>
      <c r="P191" s="66"/>
      <c r="Q191" s="6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6"/>
      <c r="O192" s="66"/>
      <c r="P192" s="66"/>
      <c r="Q192" s="6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6"/>
      <c r="O193" s="66"/>
      <c r="P193" s="66"/>
      <c r="Q193" s="6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6"/>
      <c r="O194" s="66"/>
      <c r="P194" s="66"/>
      <c r="Q194" s="6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6"/>
      <c r="O195" s="66"/>
      <c r="P195" s="66"/>
      <c r="Q195" s="6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6"/>
      <c r="O196" s="66"/>
      <c r="P196" s="66"/>
      <c r="Q196" s="6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6"/>
      <c r="O197" s="66"/>
      <c r="P197" s="66"/>
      <c r="Q197" s="6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6"/>
      <c r="O198" s="66"/>
      <c r="P198" s="66"/>
      <c r="Q198" s="6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6"/>
      <c r="O199" s="66"/>
      <c r="P199" s="66"/>
      <c r="Q199" s="6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6"/>
      <c r="O200" s="66"/>
      <c r="P200" s="66"/>
      <c r="Q200" s="6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6"/>
      <c r="O201" s="66"/>
      <c r="P201" s="66"/>
      <c r="Q201" s="6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6"/>
      <c r="O202" s="66"/>
      <c r="P202" s="66"/>
      <c r="Q202" s="6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6"/>
      <c r="O203" s="66"/>
      <c r="P203" s="66"/>
      <c r="Q203" s="6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6"/>
      <c r="O204" s="66"/>
      <c r="P204" s="66"/>
      <c r="Q204" s="6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6"/>
      <c r="O205" s="66"/>
      <c r="P205" s="66"/>
      <c r="Q205" s="6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6"/>
      <c r="O206" s="66"/>
      <c r="P206" s="66"/>
      <c r="Q206" s="6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6"/>
      <c r="O207" s="66"/>
      <c r="P207" s="66"/>
      <c r="Q207" s="6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6"/>
      <c r="O208" s="66"/>
      <c r="P208" s="66"/>
      <c r="Q208" s="6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6"/>
      <c r="O209" s="66"/>
      <c r="P209" s="66"/>
      <c r="Q209" s="6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6"/>
      <c r="O210" s="66"/>
      <c r="P210" s="66"/>
      <c r="Q210" s="6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6"/>
      <c r="O211" s="66"/>
      <c r="P211" s="66"/>
      <c r="Q211" s="6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6"/>
      <c r="O212" s="66"/>
      <c r="P212" s="66"/>
      <c r="Q212" s="6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6"/>
      <c r="O213" s="66"/>
      <c r="P213" s="66"/>
      <c r="Q213" s="6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6"/>
      <c r="O214" s="66"/>
      <c r="P214" s="66"/>
      <c r="Q214" s="6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6"/>
      <c r="O215" s="66"/>
      <c r="P215" s="66"/>
      <c r="Q215" s="6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6"/>
      <c r="O216" s="66"/>
      <c r="P216" s="66"/>
      <c r="Q216" s="6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6"/>
      <c r="O217" s="66"/>
      <c r="P217" s="66"/>
      <c r="Q217" s="6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6"/>
      <c r="O218" s="66"/>
      <c r="P218" s="66"/>
      <c r="Q218" s="6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6"/>
      <c r="O219" s="66"/>
      <c r="P219" s="66"/>
      <c r="Q219" s="6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6"/>
      <c r="O220" s="66"/>
      <c r="P220" s="66"/>
      <c r="Q220" s="6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6"/>
      <c r="O221" s="66"/>
      <c r="P221" s="66"/>
      <c r="Q221" s="66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6"/>
      <c r="O222" s="66"/>
      <c r="P222" s="66"/>
      <c r="Q222" s="66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6"/>
      <c r="O223" s="66"/>
      <c r="P223" s="66"/>
      <c r="Q223" s="66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6"/>
      <c r="O224" s="66"/>
      <c r="P224" s="66"/>
      <c r="Q224" s="66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6"/>
      <c r="O225" s="66"/>
      <c r="P225" s="66"/>
      <c r="Q225" s="66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6"/>
      <c r="O226" s="66"/>
      <c r="P226" s="66"/>
      <c r="Q226" s="66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6"/>
      <c r="O227" s="66"/>
      <c r="P227" s="66"/>
      <c r="Q227" s="66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6"/>
      <c r="O228" s="66"/>
      <c r="P228" s="66"/>
      <c r="Q228" s="66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6"/>
      <c r="O229" s="66"/>
      <c r="P229" s="66"/>
      <c r="Q229" s="66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6"/>
      <c r="O230" s="66"/>
      <c r="P230" s="66"/>
      <c r="Q230" s="66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6"/>
      <c r="O231" s="66"/>
      <c r="P231" s="66"/>
      <c r="Q231" s="66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6"/>
      <c r="O232" s="66"/>
      <c r="P232" s="66"/>
      <c r="Q232" s="66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6"/>
      <c r="O233" s="66"/>
      <c r="P233" s="66"/>
      <c r="Q233" s="66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6"/>
      <c r="O234" s="66"/>
      <c r="P234" s="66"/>
      <c r="Q234" s="66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6"/>
      <c r="O235" s="66"/>
      <c r="P235" s="66"/>
      <c r="Q235" s="66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6"/>
      <c r="O236" s="66"/>
      <c r="P236" s="66"/>
      <c r="Q236" s="66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6"/>
      <c r="O237" s="66"/>
      <c r="P237" s="66"/>
      <c r="Q237" s="66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6"/>
      <c r="O238" s="66"/>
      <c r="P238" s="66"/>
      <c r="Q238" s="66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6"/>
      <c r="O239" s="66"/>
      <c r="P239" s="66"/>
      <c r="Q239" s="66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6"/>
      <c r="O240" s="66"/>
      <c r="P240" s="66"/>
      <c r="Q240" s="66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300"/>
  <sheetViews>
    <sheetView showGridLines="0" workbookViewId="0"/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521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522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46" t="s">
        <v>39</v>
      </c>
      <c r="O5" s="46" t="s">
        <v>40</v>
      </c>
      <c r="P5" s="46" t="s">
        <v>41</v>
      </c>
      <c r="Q5" s="46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6"/>
      <c r="O6" s="36"/>
      <c r="P6" s="36"/>
      <c r="Q6" s="3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8" customHeight="1">
      <c r="A7" s="73" t="s">
        <v>523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5"/>
      <c r="O7" s="75"/>
      <c r="P7" s="75"/>
      <c r="Q7" s="7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524</v>
      </c>
      <c r="B8" s="1" t="s">
        <v>46</v>
      </c>
      <c r="C8" s="19">
        <f>'Raw Operating'!C42</f>
        <v>0.51958341451449841</v>
      </c>
      <c r="D8" s="19">
        <f>'Raw Operating'!D42</f>
        <v>0.47774845783199976</v>
      </c>
      <c r="E8" s="19">
        <f>'Raw Operating'!E42</f>
        <v>0.43273304255066242</v>
      </c>
      <c r="F8" s="19">
        <f>'Raw Operating'!F42</f>
        <v>0.41221490273488215</v>
      </c>
      <c r="G8" s="19">
        <f>'Raw Operating'!G42</f>
        <v>0.41609800797875984</v>
      </c>
      <c r="H8" s="19">
        <f>'Raw Operating'!H42</f>
        <v>0.39664372288009681</v>
      </c>
      <c r="I8" s="19">
        <f>'Raw Operating'!I42</f>
        <v>0</v>
      </c>
      <c r="J8" s="19">
        <f>'Raw Operating'!J42</f>
        <v>0</v>
      </c>
      <c r="K8" s="19">
        <f>'Raw Operating'!K42</f>
        <v>0</v>
      </c>
      <c r="L8" s="19">
        <f>'Raw Operating'!L42</f>
        <v>0</v>
      </c>
      <c r="M8" s="19">
        <f>'Raw Operating'!M42</f>
        <v>0</v>
      </c>
      <c r="N8" s="36"/>
      <c r="O8" s="36"/>
      <c r="P8" s="36"/>
      <c r="Q8" s="3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525</v>
      </c>
      <c r="B9" s="1" t="s">
        <v>44</v>
      </c>
      <c r="C9" s="18">
        <f>IF(C8="","",C8*'Annual P&amp;L'!C7)</f>
        <v>13765.963656421813</v>
      </c>
      <c r="D9" s="18">
        <f>IF(D8="","",D8*'Annual P&amp;L'!D7)</f>
        <v>13921.992065387481</v>
      </c>
      <c r="E9" s="18">
        <f>IF(E8="","",E8*'Annual P&amp;L'!E7)</f>
        <v>13316.442490080002</v>
      </c>
      <c r="F9" s="18">
        <f>IF(F8="","",F8*'Annual P&amp;L'!F7)</f>
        <v>14321.224412229341</v>
      </c>
      <c r="G9" s="18">
        <f>IF(G8="","",G8*'Annual P&amp;L'!G7)</f>
        <v>15340.567790700356</v>
      </c>
      <c r="H9" s="18">
        <f>IF(H8="","",H8*'Annual P&amp;L'!H7)</f>
        <v>15014.980257767616</v>
      </c>
      <c r="I9" s="18">
        <f>IF(I8="","",I8*'Annual P&amp;L'!I7)</f>
        <v>0</v>
      </c>
      <c r="J9" s="18">
        <f>IF(J8="","",J8*'Annual P&amp;L'!J7)</f>
        <v>0</v>
      </c>
      <c r="K9" s="18">
        <f>IF(K8="","",K8*'Annual P&amp;L'!K7)</f>
        <v>0</v>
      </c>
      <c r="L9" s="18">
        <f>IF(L8="","",L8*'Annual P&amp;L'!L7)</f>
        <v>0</v>
      </c>
      <c r="M9" s="18">
        <f>IF(M8="","",M8*'Annual P&amp;L'!M7)</f>
        <v>0</v>
      </c>
      <c r="N9" s="32" t="str">
        <f>IF(N8="","",N8*'Annual P&amp;L'!N7)</f>
        <v/>
      </c>
      <c r="O9" s="32" t="str">
        <f>IF(O8="","",O8*'Annual P&amp;L'!O7)</f>
        <v/>
      </c>
      <c r="P9" s="32" t="str">
        <f>IF(P8="","",P8*'Annual P&amp;L'!P7)</f>
        <v/>
      </c>
      <c r="Q9" s="32" t="str">
        <f>IF(Q8="","",Q8*'Annual P&amp;L'!Q7)</f>
        <v/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526</v>
      </c>
      <c r="B10" s="1" t="s">
        <v>46</v>
      </c>
      <c r="C10" s="19">
        <f>'Raw Operating'!C43</f>
        <v>0.17004687412133063</v>
      </c>
      <c r="D10" s="19">
        <f>'Raw Operating'!D43</f>
        <v>0.18730728761911886</v>
      </c>
      <c r="E10" s="19">
        <f>'Raw Operating'!E43</f>
        <v>0.19192741069857172</v>
      </c>
      <c r="F10" s="19">
        <f>'Raw Operating'!F43</f>
        <v>0.20231749686370654</v>
      </c>
      <c r="G10" s="19">
        <f>'Raw Operating'!G43</f>
        <v>0.1809994440478892</v>
      </c>
      <c r="H10" s="19">
        <f>'Raw Operating'!H43</f>
        <v>0.16379365579089528</v>
      </c>
      <c r="I10" s="19">
        <f>'Raw Operating'!I43</f>
        <v>0</v>
      </c>
      <c r="J10" s="19">
        <f>'Raw Operating'!J43</f>
        <v>0</v>
      </c>
      <c r="K10" s="19">
        <f>'Raw Operating'!K43</f>
        <v>0</v>
      </c>
      <c r="L10" s="19">
        <f>'Raw Operating'!L43</f>
        <v>0</v>
      </c>
      <c r="M10" s="19">
        <f>'Raw Operating'!M43</f>
        <v>0</v>
      </c>
      <c r="N10" s="36"/>
      <c r="O10" s="36"/>
      <c r="P10" s="36"/>
      <c r="Q10" s="36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527</v>
      </c>
      <c r="B11" s="1" t="s">
        <v>44</v>
      </c>
      <c r="C11" s="18">
        <f>IF(C10="","",C10*'Annual P&amp;L'!C7)</f>
        <v>4505.2613760385011</v>
      </c>
      <c r="D11" s="18">
        <f>IF(D10="","",D10*'Annual P&amp;L'!D7)</f>
        <v>5458.2919720059417</v>
      </c>
      <c r="E11" s="18">
        <f>IF(E10="","",E10*'Annual P&amp;L'!E7)</f>
        <v>5906.1593997372538</v>
      </c>
      <c r="F11" s="18">
        <f>IF(F10="","",F10*'Annual P&amp;L'!F7)</f>
        <v>7028.9411078598114</v>
      </c>
      <c r="G11" s="18">
        <f>IF(G10="","",G10*'Annual P&amp;L'!G7)</f>
        <v>6673.0294023360393</v>
      </c>
      <c r="H11" s="18">
        <f>IF(H10="","",H10*'Annual P&amp;L'!H7)</f>
        <v>6200.4221072504597</v>
      </c>
      <c r="I11" s="18">
        <f>IF(I10="","",I10*'Annual P&amp;L'!I7)</f>
        <v>0</v>
      </c>
      <c r="J11" s="18">
        <f>IF(J10="","",J10*'Annual P&amp;L'!J7)</f>
        <v>0</v>
      </c>
      <c r="K11" s="18">
        <f>IF(K10="","",K10*'Annual P&amp;L'!K7)</f>
        <v>0</v>
      </c>
      <c r="L11" s="18">
        <f>IF(L10="","",L10*'Annual P&amp;L'!L7)</f>
        <v>0</v>
      </c>
      <c r="M11" s="18">
        <f>IF(M10="","",M10*'Annual P&amp;L'!M7)</f>
        <v>0</v>
      </c>
      <c r="N11" s="32" t="str">
        <f>IF(N10="","",N10*'Annual P&amp;L'!N7)</f>
        <v/>
      </c>
      <c r="O11" s="32" t="str">
        <f>IF(O10="","",O10*'Annual P&amp;L'!O7)</f>
        <v/>
      </c>
      <c r="P11" s="32" t="str">
        <f>IF(P10="","",P10*'Annual P&amp;L'!P7)</f>
        <v/>
      </c>
      <c r="Q11" s="32" t="str">
        <f>IF(Q10="","",Q10*'Annual P&amp;L'!Q7)</f>
        <v/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528</v>
      </c>
      <c r="B12" s="1" t="s">
        <v>46</v>
      </c>
      <c r="C12" s="19">
        <f>'Raw Operating'!C44</f>
        <v>7.4347678987783827E-2</v>
      </c>
      <c r="D12" s="19">
        <f>'Raw Operating'!D44</f>
        <v>6.7214336586515433E-2</v>
      </c>
      <c r="E12" s="19">
        <f>'Raw Operating'!E44</f>
        <v>6.4500667669940379E-2</v>
      </c>
      <c r="F12" s="19">
        <f>'Raw Operating'!F44</f>
        <v>7.2454242007375866E-2</v>
      </c>
      <c r="G12" s="19">
        <f>'Raw Operating'!G44</f>
        <v>7.6919334790813546E-2</v>
      </c>
      <c r="H12" s="19">
        <f>'Raw Operating'!H44</f>
        <v>9.3544647910930562E-2</v>
      </c>
      <c r="I12" s="19">
        <f>'Raw Operating'!I44</f>
        <v>0</v>
      </c>
      <c r="J12" s="19">
        <f>'Raw Operating'!J44</f>
        <v>0</v>
      </c>
      <c r="K12" s="19">
        <f>'Raw Operating'!K44</f>
        <v>0</v>
      </c>
      <c r="L12" s="19">
        <f>'Raw Operating'!L44</f>
        <v>0</v>
      </c>
      <c r="M12" s="19">
        <f>'Raw Operating'!M44</f>
        <v>0</v>
      </c>
      <c r="N12" s="36"/>
      <c r="O12" s="36"/>
      <c r="P12" s="36"/>
      <c r="Q12" s="36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529</v>
      </c>
      <c r="B13" s="1" t="s">
        <v>44</v>
      </c>
      <c r="C13" s="18">
        <f>IF(C12="","",C12*'Annual P&amp;L'!C7)</f>
        <v>1969.784674211515</v>
      </c>
      <c r="D13" s="18">
        <f>IF(D12="","",D12*'Annual P&amp;L'!D7)</f>
        <v>1958.6823260177021</v>
      </c>
      <c r="E13" s="18">
        <f>IF(E12="","",E12*'Annual P&amp;L'!E7)</f>
        <v>1984.8713805994262</v>
      </c>
      <c r="F13" s="18">
        <f>IF(F12="","",F12*'Annual P&amp;L'!F7)</f>
        <v>2517.214813247454</v>
      </c>
      <c r="G13" s="18">
        <f>IF(G12="","",G12*'Annual P&amp;L'!G7)</f>
        <v>2835.8373439612456</v>
      </c>
      <c r="H13" s="18">
        <f>IF(H12="","",H12*'Annual P&amp;L'!H7)</f>
        <v>3541.1402237847569</v>
      </c>
      <c r="I13" s="18">
        <f>IF(I12="","",I12*'Annual P&amp;L'!I7)</f>
        <v>0</v>
      </c>
      <c r="J13" s="18">
        <f>IF(J12="","",J12*'Annual P&amp;L'!J7)</f>
        <v>0</v>
      </c>
      <c r="K13" s="18">
        <f>IF(K12="","",K12*'Annual P&amp;L'!K7)</f>
        <v>0</v>
      </c>
      <c r="L13" s="18">
        <f>IF(L12="","",L12*'Annual P&amp;L'!L7)</f>
        <v>0</v>
      </c>
      <c r="M13" s="18">
        <f>IF(M12="","",M12*'Annual P&amp;L'!M7)</f>
        <v>0</v>
      </c>
      <c r="N13" s="32" t="str">
        <f>IF(N12="","",N12*'Annual P&amp;L'!N7)</f>
        <v/>
      </c>
      <c r="O13" s="32" t="str">
        <f>IF(O12="","",O12*'Annual P&amp;L'!O7)</f>
        <v/>
      </c>
      <c r="P13" s="32" t="str">
        <f>IF(P12="","",P12*'Annual P&amp;L'!P7)</f>
        <v/>
      </c>
      <c r="Q13" s="32" t="str">
        <f>IF(Q12="","",Q12*'Annual P&amp;L'!Q7)</f>
        <v/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530</v>
      </c>
      <c r="B14" s="1" t="s">
        <v>46</v>
      </c>
      <c r="C14" s="19">
        <f>'Raw Operating'!C45</f>
        <v>0.10134180115136049</v>
      </c>
      <c r="D14" s="19">
        <f>'Raw Operating'!D45</f>
        <v>0.12643919559231584</v>
      </c>
      <c r="E14" s="19">
        <f>'Raw Operating'!E45</f>
        <v>0.13675167660626972</v>
      </c>
      <c r="F14" s="19">
        <f>'Raw Operating'!F45</f>
        <v>0.13356922290013332</v>
      </c>
      <c r="G14" s="19">
        <f>'Raw Operating'!G45</f>
        <v>0.13558064086058902</v>
      </c>
      <c r="H14" s="19">
        <f>'Raw Operating'!H45</f>
        <v>0.16153575949600987</v>
      </c>
      <c r="I14" s="19">
        <f>'Raw Operating'!I45</f>
        <v>0</v>
      </c>
      <c r="J14" s="19">
        <f>'Raw Operating'!J45</f>
        <v>0</v>
      </c>
      <c r="K14" s="19">
        <f>'Raw Operating'!K45</f>
        <v>0</v>
      </c>
      <c r="L14" s="19">
        <f>'Raw Operating'!L45</f>
        <v>0</v>
      </c>
      <c r="M14" s="19">
        <f>'Raw Operating'!M45</f>
        <v>0</v>
      </c>
      <c r="N14" s="36"/>
      <c r="O14" s="36"/>
      <c r="P14" s="36"/>
      <c r="Q14" s="36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531</v>
      </c>
      <c r="B15" s="1" t="s">
        <v>44</v>
      </c>
      <c r="C15" s="18">
        <f>IF(C14="","",C14*'Annual P&amp;L'!C7)</f>
        <v>2684.9732161476195</v>
      </c>
      <c r="D15" s="18">
        <f>IF(D14="","",D14*'Annual P&amp;L'!D7)</f>
        <v>3684.5445525419182</v>
      </c>
      <c r="E15" s="18">
        <f>IF(E14="","",E14*'Annual P&amp;L'!E7)</f>
        <v>4208.2430918970322</v>
      </c>
      <c r="F15" s="18">
        <f>IF(F14="","",F14*'Annual P&amp;L'!F7)</f>
        <v>4640.4795242208056</v>
      </c>
      <c r="G15" s="18">
        <f>IF(G14="","",G14*'Annual P&amp;L'!G7)</f>
        <v>4998.5435458624788</v>
      </c>
      <c r="H15" s="18">
        <f>IF(H14="","",H14*'Annual P&amp;L'!H7)</f>
        <v>6114.9492601179727</v>
      </c>
      <c r="I15" s="18">
        <f>IF(I14="","",I14*'Annual P&amp;L'!I7)</f>
        <v>0</v>
      </c>
      <c r="J15" s="18">
        <f>IF(J14="","",J14*'Annual P&amp;L'!J7)</f>
        <v>0</v>
      </c>
      <c r="K15" s="18">
        <f>IF(K14="","",K14*'Annual P&amp;L'!K7)</f>
        <v>0</v>
      </c>
      <c r="L15" s="18">
        <f>IF(L14="","",L14*'Annual P&amp;L'!L7)</f>
        <v>0</v>
      </c>
      <c r="M15" s="18">
        <f>IF(M14="","",M14*'Annual P&amp;L'!M7)</f>
        <v>0</v>
      </c>
      <c r="N15" s="32" t="str">
        <f>IF(N14="","",N14*'Annual P&amp;L'!N7)</f>
        <v/>
      </c>
      <c r="O15" s="32" t="str">
        <f>IF(O14="","",O14*'Annual P&amp;L'!O7)</f>
        <v/>
      </c>
      <c r="P15" s="32" t="str">
        <f>IF(P14="","",P14*'Annual P&amp;L'!P7)</f>
        <v/>
      </c>
      <c r="Q15" s="32" t="str">
        <f>IF(Q14="","",Q14*'Annual P&amp;L'!Q7)</f>
        <v/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532</v>
      </c>
      <c r="B16" s="1" t="s">
        <v>46</v>
      </c>
      <c r="C16" s="19">
        <f>'Raw Operating'!C46</f>
        <v>6.3703760334117232E-2</v>
      </c>
      <c r="D16" s="19">
        <f>'Raw Operating'!D46</f>
        <v>6.8851850813355944E-2</v>
      </c>
      <c r="E16" s="19">
        <f>'Raw Operating'!E46</f>
        <v>6.8326502923676369E-2</v>
      </c>
      <c r="F16" s="19">
        <f>'Raw Operating'!F46</f>
        <v>6.4358118139479739E-2</v>
      </c>
      <c r="G16" s="19">
        <f>'Raw Operating'!G46</f>
        <v>6.9305782037257263E-2</v>
      </c>
      <c r="H16" s="19">
        <f>'Raw Operating'!H46</f>
        <v>7.5729404188121671E-2</v>
      </c>
      <c r="I16" s="19">
        <f>'Raw Operating'!I46</f>
        <v>0</v>
      </c>
      <c r="J16" s="19">
        <f>'Raw Operating'!J46</f>
        <v>0</v>
      </c>
      <c r="K16" s="19">
        <f>'Raw Operating'!K46</f>
        <v>0</v>
      </c>
      <c r="L16" s="19">
        <f>'Raw Operating'!L46</f>
        <v>0</v>
      </c>
      <c r="M16" s="19">
        <f>'Raw Operating'!M46</f>
        <v>0</v>
      </c>
      <c r="N16" s="36"/>
      <c r="O16" s="36"/>
      <c r="P16" s="36"/>
      <c r="Q16" s="36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533</v>
      </c>
      <c r="B17" s="1" t="s">
        <v>44</v>
      </c>
      <c r="C17" s="18">
        <f>IF(C16="","",C16*'Annual P&amp;L'!C7)</f>
        <v>1687.782221371104</v>
      </c>
      <c r="D17" s="18">
        <f>IF(D16="","",D16*'Annual P&amp;L'!D7)</f>
        <v>2006.4008684835146</v>
      </c>
      <c r="E17" s="18">
        <f>IF(E16="","",E16*'Annual P&amp;L'!E7)</f>
        <v>2102.6033541797228</v>
      </c>
      <c r="F17" s="18">
        <f>IF(F16="","",F16*'Annual P&amp;L'!F7)</f>
        <v>2235.9382121054568</v>
      </c>
      <c r="G17" s="18">
        <f>IF(G16="","",G16*'Annual P&amp;L'!G7)</f>
        <v>2555.1433249935667</v>
      </c>
      <c r="H17" s="18">
        <f>IF(H16="","",H16*'Annual P&amp;L'!H7)</f>
        <v>2866.7427296230849</v>
      </c>
      <c r="I17" s="18">
        <f>IF(I16="","",I16*'Annual P&amp;L'!I7)</f>
        <v>0</v>
      </c>
      <c r="J17" s="18">
        <f>IF(J16="","",J16*'Annual P&amp;L'!J7)</f>
        <v>0</v>
      </c>
      <c r="K17" s="18">
        <f>IF(K16="","",K16*'Annual P&amp;L'!K7)</f>
        <v>0</v>
      </c>
      <c r="L17" s="18">
        <f>IF(L16="","",L16*'Annual P&amp;L'!L7)</f>
        <v>0</v>
      </c>
      <c r="M17" s="18">
        <f>IF(M16="","",M16*'Annual P&amp;L'!M7)</f>
        <v>0</v>
      </c>
      <c r="N17" s="32" t="str">
        <f>IF(N16="","",N16*'Annual P&amp;L'!N7)</f>
        <v/>
      </c>
      <c r="O17" s="32" t="str">
        <f>IF(O16="","",O16*'Annual P&amp;L'!O7)</f>
        <v/>
      </c>
      <c r="P17" s="32" t="str">
        <f>IF(P16="","",P16*'Annual P&amp;L'!P7)</f>
        <v/>
      </c>
      <c r="Q17" s="32" t="str">
        <f>IF(Q16="","",Q16*'Annual P&amp;L'!Q7)</f>
        <v/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534</v>
      </c>
      <c r="B18" s="1" t="s">
        <v>46</v>
      </c>
      <c r="C18" s="19">
        <f>'Raw Operating'!C47</f>
        <v>7.0976470890909429E-2</v>
      </c>
      <c r="D18" s="19">
        <f>'Raw Operating'!D47</f>
        <v>7.2438871556694304E-2</v>
      </c>
      <c r="E18" s="19">
        <f>'Raw Operating'!E47</f>
        <v>0.10576069955087954</v>
      </c>
      <c r="F18" s="19">
        <f>'Raw Operating'!F47</f>
        <v>0.11508601735442277</v>
      </c>
      <c r="G18" s="19">
        <f>'Raw Operating'!G47</f>
        <v>0.12104679028469154</v>
      </c>
      <c r="H18" s="19">
        <f>'Raw Operating'!H47</f>
        <v>0.10875280973394487</v>
      </c>
      <c r="I18" s="19">
        <f>'Raw Operating'!I47</f>
        <v>0</v>
      </c>
      <c r="J18" s="19">
        <f>'Raw Operating'!J47</f>
        <v>0</v>
      </c>
      <c r="K18" s="19">
        <f>'Raw Operating'!K47</f>
        <v>0</v>
      </c>
      <c r="L18" s="19">
        <f>'Raw Operating'!L47</f>
        <v>0</v>
      </c>
      <c r="M18" s="19">
        <f>'Raw Operating'!M47</f>
        <v>0</v>
      </c>
      <c r="N18" s="36"/>
      <c r="O18" s="36"/>
      <c r="P18" s="36"/>
      <c r="Q18" s="3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535</v>
      </c>
      <c r="B19" s="1" t="s">
        <v>44</v>
      </c>
      <c r="C19" s="18">
        <f>IF(C18="","",C18*'Annual P&amp;L'!C7)</f>
        <v>1880.4671039361594</v>
      </c>
      <c r="D19" s="18">
        <f>IF(D18="","",D18*'Annual P&amp;L'!D7)</f>
        <v>2110.929671263445</v>
      </c>
      <c r="E19" s="18">
        <f>IF(E18="","",E18*'Annual P&amp;L'!E7)</f>
        <v>3254.5614381065743</v>
      </c>
      <c r="F19" s="18">
        <f>IF(F18="","",F18*'Annual P&amp;L'!F7)</f>
        <v>3998.3335641371473</v>
      </c>
      <c r="G19" s="18">
        <f>IF(G18="","",G18*'Annual P&amp;L'!G7)</f>
        <v>4462.7142081963257</v>
      </c>
      <c r="H19" s="18">
        <f>IF(H18="","",H18*'Annual P&amp;L'!H7)</f>
        <v>4116.8464214560709</v>
      </c>
      <c r="I19" s="18">
        <f>IF(I18="","",I18*'Annual P&amp;L'!I7)</f>
        <v>0</v>
      </c>
      <c r="J19" s="18">
        <f>IF(J18="","",J18*'Annual P&amp;L'!J7)</f>
        <v>0</v>
      </c>
      <c r="K19" s="18">
        <f>IF(K18="","",K18*'Annual P&amp;L'!K7)</f>
        <v>0</v>
      </c>
      <c r="L19" s="18">
        <f>IF(L18="","",L18*'Annual P&amp;L'!L7)</f>
        <v>0</v>
      </c>
      <c r="M19" s="18">
        <f>IF(M18="","",M18*'Annual P&amp;L'!M7)</f>
        <v>0</v>
      </c>
      <c r="N19" s="32" t="str">
        <f>IF(N18="","",N18*'Annual P&amp;L'!N7)</f>
        <v/>
      </c>
      <c r="O19" s="32" t="str">
        <f>IF(O18="","",O18*'Annual P&amp;L'!O7)</f>
        <v/>
      </c>
      <c r="P19" s="32" t="str">
        <f>IF(P18="","",P18*'Annual P&amp;L'!P7)</f>
        <v/>
      </c>
      <c r="Q19" s="32" t="str">
        <f>IF(Q18="","",Q18*'Annual P&amp;L'!Q7)</f>
        <v/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536</v>
      </c>
      <c r="B20" s="1" t="s">
        <v>46</v>
      </c>
      <c r="C20" s="19">
        <f t="shared" ref="C20:Q20" si="0">IF(COUNT(C8,C10,C12,C14,C16,C18)=0,"",SUM(C8,C10,C12,C14,C16,C18))</f>
        <v>0.99999999999999989</v>
      </c>
      <c r="D20" s="19">
        <f t="shared" si="0"/>
        <v>1.0000000000000002</v>
      </c>
      <c r="E20" s="19">
        <f t="shared" si="0"/>
        <v>1.0000000000000002</v>
      </c>
      <c r="F20" s="19">
        <f t="shared" si="0"/>
        <v>1.0000000000000004</v>
      </c>
      <c r="G20" s="19">
        <f t="shared" si="0"/>
        <v>0.99995000000000034</v>
      </c>
      <c r="H20" s="19">
        <f t="shared" si="0"/>
        <v>0.999999999999999</v>
      </c>
      <c r="I20" s="19">
        <f t="shared" si="0"/>
        <v>0</v>
      </c>
      <c r="J20" s="19">
        <f t="shared" si="0"/>
        <v>0</v>
      </c>
      <c r="K20" s="19">
        <f t="shared" si="0"/>
        <v>0</v>
      </c>
      <c r="L20" s="19">
        <f t="shared" si="0"/>
        <v>0</v>
      </c>
      <c r="M20" s="19">
        <f t="shared" si="0"/>
        <v>0</v>
      </c>
      <c r="N20" s="28" t="str">
        <f t="shared" si="0"/>
        <v/>
      </c>
      <c r="O20" s="28" t="str">
        <f t="shared" si="0"/>
        <v/>
      </c>
      <c r="P20" s="28" t="str">
        <f t="shared" si="0"/>
        <v/>
      </c>
      <c r="Q20" s="28" t="str">
        <f t="shared" si="0"/>
        <v/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537</v>
      </c>
      <c r="B21" s="1" t="s">
        <v>44</v>
      </c>
      <c r="C21" s="18">
        <f t="shared" ref="C21:Q21" si="1">SUM(C9,C11,C13,C15,C17,C19)</f>
        <v>26494.232248126715</v>
      </c>
      <c r="D21" s="18">
        <f t="shared" si="1"/>
        <v>29140.8414557</v>
      </c>
      <c r="E21" s="18">
        <f t="shared" si="1"/>
        <v>30772.881154600011</v>
      </c>
      <c r="F21" s="18">
        <f t="shared" si="1"/>
        <v>34742.131633800018</v>
      </c>
      <c r="G21" s="18">
        <f t="shared" si="1"/>
        <v>36865.835616050012</v>
      </c>
      <c r="H21" s="18">
        <f t="shared" si="1"/>
        <v>37855.080999999962</v>
      </c>
      <c r="I21" s="18">
        <f t="shared" si="1"/>
        <v>0</v>
      </c>
      <c r="J21" s="18">
        <f t="shared" si="1"/>
        <v>0</v>
      </c>
      <c r="K21" s="18">
        <f t="shared" si="1"/>
        <v>0</v>
      </c>
      <c r="L21" s="18">
        <f t="shared" si="1"/>
        <v>0</v>
      </c>
      <c r="M21" s="18">
        <f t="shared" si="1"/>
        <v>0</v>
      </c>
      <c r="N21" s="32">
        <f t="shared" si="1"/>
        <v>0</v>
      </c>
      <c r="O21" s="32">
        <f t="shared" si="1"/>
        <v>0</v>
      </c>
      <c r="P21" s="32">
        <f t="shared" si="1"/>
        <v>0</v>
      </c>
      <c r="Q21" s="32">
        <f t="shared" si="1"/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538</v>
      </c>
      <c r="B22" s="1" t="s">
        <v>44</v>
      </c>
      <c r="C22" s="18">
        <f>'Annual P&amp;L'!C7</f>
        <v>26494.232248126711</v>
      </c>
      <c r="D22" s="18">
        <f>'Annual P&amp;L'!D7</f>
        <v>29140.8414557</v>
      </c>
      <c r="E22" s="18">
        <f>'Annual P&amp;L'!E7</f>
        <v>30772.881154600007</v>
      </c>
      <c r="F22" s="18">
        <f>'Annual P&amp;L'!F7</f>
        <v>34742.131633800003</v>
      </c>
      <c r="G22" s="18">
        <f>'Annual P&amp;L'!G7</f>
        <v>36867.678999999996</v>
      </c>
      <c r="H22" s="18">
        <f>'Annual P&amp;L'!H7</f>
        <v>37855.080999999998</v>
      </c>
      <c r="I22" s="18">
        <f>'Annual P&amp;L'!I7</f>
        <v>44645.964000000007</v>
      </c>
      <c r="J22" s="18">
        <f>'Annual P&amp;L'!J7</f>
        <v>53290.167000000009</v>
      </c>
      <c r="K22" s="18">
        <f>'Annual P&amp;L'!K7</f>
        <v>51995.540999999997</v>
      </c>
      <c r="L22" s="18">
        <f>'Annual P&amp;L'!L7</f>
        <v>52988.300303977914</v>
      </c>
      <c r="M22" s="18">
        <f>'Annual P&amp;L'!M7</f>
        <v>56815.399599999764</v>
      </c>
      <c r="N22" s="32">
        <f>'Annual P&amp;L'!N7</f>
        <v>58225.878004588383</v>
      </c>
      <c r="O22" s="32">
        <f>'Annual P&amp;L'!O7</f>
        <v>60460.105140546773</v>
      </c>
      <c r="P22" s="32">
        <f>'Annual P&amp;L'!P7</f>
        <v>63337.981622471256</v>
      </c>
      <c r="Q22" s="32">
        <f>'Annual P&amp;L'!Q7</f>
        <v>66753.180321994849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539</v>
      </c>
      <c r="B23" s="1" t="s">
        <v>44</v>
      </c>
      <c r="C23" s="18">
        <f t="shared" ref="C23:Q23" si="2">IF(C20="","",C21-C22)</f>
        <v>3.637978807091713E-12</v>
      </c>
      <c r="D23" s="18">
        <f t="shared" si="2"/>
        <v>0</v>
      </c>
      <c r="E23" s="18">
        <f t="shared" si="2"/>
        <v>3.637978807091713E-12</v>
      </c>
      <c r="F23" s="18">
        <f t="shared" si="2"/>
        <v>1.4551915228366852E-11</v>
      </c>
      <c r="G23" s="18">
        <f t="shared" si="2"/>
        <v>-1.8433839499848546</v>
      </c>
      <c r="H23" s="18">
        <f t="shared" si="2"/>
        <v>-3.637978807091713E-11</v>
      </c>
      <c r="I23" s="18">
        <f t="shared" si="2"/>
        <v>-44645.964000000007</v>
      </c>
      <c r="J23" s="18">
        <f t="shared" si="2"/>
        <v>-53290.167000000009</v>
      </c>
      <c r="K23" s="18">
        <f t="shared" si="2"/>
        <v>-51995.540999999997</v>
      </c>
      <c r="L23" s="18">
        <f t="shared" si="2"/>
        <v>-52988.300303977914</v>
      </c>
      <c r="M23" s="18">
        <f t="shared" si="2"/>
        <v>-56815.399599999764</v>
      </c>
      <c r="N23" s="32" t="str">
        <f t="shared" si="2"/>
        <v/>
      </c>
      <c r="O23" s="32" t="str">
        <f t="shared" si="2"/>
        <v/>
      </c>
      <c r="P23" s="32" t="str">
        <f t="shared" si="2"/>
        <v/>
      </c>
      <c r="Q23" s="32" t="str">
        <f t="shared" si="2"/>
        <v/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6"/>
      <c r="O24" s="36"/>
      <c r="P24" s="36"/>
      <c r="Q24" s="3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8" customHeight="1">
      <c r="A25" s="73" t="s">
        <v>540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5"/>
      <c r="O25" s="75"/>
      <c r="P25" s="75"/>
      <c r="Q25" s="7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541</v>
      </c>
      <c r="B26" s="1" t="s">
        <v>46</v>
      </c>
      <c r="C26" s="19">
        <f>'Raw Operating'!C48</f>
        <v>0</v>
      </c>
      <c r="D26" s="19">
        <f>'Raw Operating'!D48</f>
        <v>0</v>
      </c>
      <c r="E26" s="19">
        <f>'Raw Operating'!E48</f>
        <v>0</v>
      </c>
      <c r="F26" s="19">
        <f>'Raw Operating'!F48</f>
        <v>0</v>
      </c>
      <c r="G26" s="19">
        <f>'Raw Operating'!G48</f>
        <v>0</v>
      </c>
      <c r="H26" s="19">
        <f>'Raw Operating'!H48</f>
        <v>0.40467177487059997</v>
      </c>
      <c r="I26" s="19">
        <f>'Raw Operating'!I48</f>
        <v>0.40401735105545067</v>
      </c>
      <c r="J26" s="19">
        <f>'Raw Operating'!J48</f>
        <v>0.39999784182806458</v>
      </c>
      <c r="K26" s="19">
        <f>'Raw Operating'!K48</f>
        <v>0.36865309162677035</v>
      </c>
      <c r="L26" s="19">
        <f>'Raw Operating'!L48</f>
        <v>0</v>
      </c>
      <c r="M26" s="19">
        <f>'Raw Operating'!M48</f>
        <v>0</v>
      </c>
      <c r="N26" s="36"/>
      <c r="O26" s="36"/>
      <c r="P26" s="36"/>
      <c r="Q26" s="3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542</v>
      </c>
      <c r="B27" s="1" t="s">
        <v>44</v>
      </c>
      <c r="C27" s="18">
        <f>IF(C26="","",C26*'Annual P&amp;L'!C7)</f>
        <v>0</v>
      </c>
      <c r="D27" s="18">
        <f>IF(D26="","",D26*'Annual P&amp;L'!D7)</f>
        <v>0</v>
      </c>
      <c r="E27" s="18">
        <f>IF(E26="","",E26*'Annual P&amp;L'!E7)</f>
        <v>0</v>
      </c>
      <c r="F27" s="18">
        <f>IF(F26="","",F26*'Annual P&amp;L'!F7)</f>
        <v>0</v>
      </c>
      <c r="G27" s="18">
        <f>IF(G26="","",G26*'Annual P&amp;L'!G7)</f>
        <v>0</v>
      </c>
      <c r="H27" s="18">
        <f>IF(H26="","",H26*'Annual P&amp;L'!H7)</f>
        <v>15318.882816140325</v>
      </c>
      <c r="I27" s="18">
        <f>IF(I26="","",I26*'Annual P&amp;L'!I7)</f>
        <v>18037.744110597014</v>
      </c>
      <c r="J27" s="18">
        <f>IF(J26="","",J26*'Annual P&amp;L'!J7)</f>
        <v>21315.951790657149</v>
      </c>
      <c r="K27" s="18">
        <f>IF(K26="","",K26*'Annual P&amp;L'!K7)</f>
        <v>19168.316940456494</v>
      </c>
      <c r="L27" s="18">
        <f>IF(L26="","",L26*'Annual P&amp;L'!L7)</f>
        <v>0</v>
      </c>
      <c r="M27" s="18">
        <f>IF(M26="","",M26*'Annual P&amp;L'!M7)</f>
        <v>0</v>
      </c>
      <c r="N27" s="32" t="str">
        <f>IF(N26="","",N26*'Annual P&amp;L'!N7)</f>
        <v/>
      </c>
      <c r="O27" s="32" t="str">
        <f>IF(O26="","",O26*'Annual P&amp;L'!O7)</f>
        <v/>
      </c>
      <c r="P27" s="32" t="str">
        <f>IF(P26="","",P26*'Annual P&amp;L'!P7)</f>
        <v/>
      </c>
      <c r="Q27" s="32" t="str">
        <f>IF(Q26="","",Q26*'Annual P&amp;L'!Q7)</f>
        <v/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526</v>
      </c>
      <c r="B28" s="1" t="s">
        <v>46</v>
      </c>
      <c r="C28" s="19">
        <f>'Raw Operating'!C49</f>
        <v>0</v>
      </c>
      <c r="D28" s="19">
        <f>'Raw Operating'!D49</f>
        <v>0</v>
      </c>
      <c r="E28" s="19">
        <f>'Raw Operating'!E49</f>
        <v>0</v>
      </c>
      <c r="F28" s="19">
        <f>'Raw Operating'!F49</f>
        <v>0</v>
      </c>
      <c r="G28" s="19">
        <f>'Raw Operating'!G49</f>
        <v>0</v>
      </c>
      <c r="H28" s="19">
        <f>'Raw Operating'!H49</f>
        <v>0.16496365567959792</v>
      </c>
      <c r="I28" s="19">
        <f>'Raw Operating'!I49</f>
        <v>0.15809025525154183</v>
      </c>
      <c r="J28" s="19">
        <f>'Raw Operating'!J49</f>
        <v>0.15712794216068315</v>
      </c>
      <c r="K28" s="19">
        <f>'Raw Operating'!K49</f>
        <v>0.1774055798589472</v>
      </c>
      <c r="L28" s="19">
        <f>'Raw Operating'!L49</f>
        <v>0</v>
      </c>
      <c r="M28" s="19">
        <f>'Raw Operating'!M49</f>
        <v>0</v>
      </c>
      <c r="N28" s="36"/>
      <c r="O28" s="36"/>
      <c r="P28" s="36"/>
      <c r="Q28" s="3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527</v>
      </c>
      <c r="B29" s="1" t="s">
        <v>44</v>
      </c>
      <c r="C29" s="18">
        <f>IF(C28="","",C28*'Annual P&amp;L'!C7)</f>
        <v>0</v>
      </c>
      <c r="D29" s="18">
        <f>IF(D28="","",D28*'Annual P&amp;L'!D7)</f>
        <v>0</v>
      </c>
      <c r="E29" s="18">
        <f>IF(E28="","",E28*'Annual P&amp;L'!E7)</f>
        <v>0</v>
      </c>
      <c r="F29" s="18">
        <f>IF(F28="","",F28*'Annual P&amp;L'!F7)</f>
        <v>0</v>
      </c>
      <c r="G29" s="18">
        <f>IF(G28="","",G28*'Annual P&amp;L'!G7)</f>
        <v>0</v>
      </c>
      <c r="H29" s="18">
        <f>IF(H28="","",H28*'Annual P&amp;L'!H7)</f>
        <v>6244.7125478072894</v>
      </c>
      <c r="I29" s="18">
        <f>IF(I28="","",I28*'Annual P&amp;L'!I7)</f>
        <v>7058.091844711149</v>
      </c>
      <c r="J29" s="18">
        <f>IF(J28="","",J28*'Annual P&amp;L'!J7)</f>
        <v>8373.3742781091478</v>
      </c>
      <c r="K29" s="18">
        <f>IF(K28="","",K28*'Annual P&amp;L'!K7)</f>
        <v>9224.2991011846625</v>
      </c>
      <c r="L29" s="18">
        <f>IF(L28="","",L28*'Annual P&amp;L'!L7)</f>
        <v>0</v>
      </c>
      <c r="M29" s="18">
        <f>IF(M28="","",M28*'Annual P&amp;L'!M7)</f>
        <v>0</v>
      </c>
      <c r="N29" s="32" t="str">
        <f>IF(N28="","",N28*'Annual P&amp;L'!N7)</f>
        <v/>
      </c>
      <c r="O29" s="32" t="str">
        <f>IF(O28="","",O28*'Annual P&amp;L'!O7)</f>
        <v/>
      </c>
      <c r="P29" s="32" t="str">
        <f>IF(P28="","",P28*'Annual P&amp;L'!P7)</f>
        <v/>
      </c>
      <c r="Q29" s="32" t="str">
        <f>IF(Q28="","",Q28*'Annual P&amp;L'!Q7)</f>
        <v/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543</v>
      </c>
      <c r="B30" s="1" t="s">
        <v>46</v>
      </c>
      <c r="C30" s="19">
        <f>'Raw Operating'!C50</f>
        <v>0</v>
      </c>
      <c r="D30" s="19">
        <f>'Raw Operating'!D50</f>
        <v>0</v>
      </c>
      <c r="E30" s="19">
        <f>'Raw Operating'!E50</f>
        <v>0</v>
      </c>
      <c r="F30" s="19">
        <f>'Raw Operating'!F50</f>
        <v>0</v>
      </c>
      <c r="G30" s="19">
        <f>'Raw Operating'!G50</f>
        <v>0</v>
      </c>
      <c r="H30" s="19">
        <f>'Raw Operating'!H50</f>
        <v>8.5207267935652115E-2</v>
      </c>
      <c r="I30" s="19">
        <f>'Raw Operating'!I50</f>
        <v>8.8660859141636197E-2</v>
      </c>
      <c r="J30" s="19">
        <f>'Raw Operating'!J50</f>
        <v>0.10086619738020977</v>
      </c>
      <c r="K30" s="19">
        <f>'Raw Operating'!K50</f>
        <v>0.10720558947584398</v>
      </c>
      <c r="L30" s="19">
        <f>'Raw Operating'!L50</f>
        <v>0</v>
      </c>
      <c r="M30" s="19">
        <f>'Raw Operating'!M50</f>
        <v>0</v>
      </c>
      <c r="N30" s="36"/>
      <c r="O30" s="36"/>
      <c r="P30" s="36"/>
      <c r="Q30" s="3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544</v>
      </c>
      <c r="B31" s="1" t="s">
        <v>44</v>
      </c>
      <c r="C31" s="18">
        <f>IF(C30="","",C30*'Annual P&amp;L'!C7)</f>
        <v>0</v>
      </c>
      <c r="D31" s="18">
        <f>IF(D30="","",D30*'Annual P&amp;L'!D7)</f>
        <v>0</v>
      </c>
      <c r="E31" s="18">
        <f>IF(E30="","",E30*'Annual P&amp;L'!E7)</f>
        <v>0</v>
      </c>
      <c r="F31" s="18">
        <f>IF(F30="","",F30*'Annual P&amp;L'!F7)</f>
        <v>0</v>
      </c>
      <c r="G31" s="18">
        <f>IF(G30="","",G30*'Annual P&amp;L'!G7)</f>
        <v>0</v>
      </c>
      <c r="H31" s="18">
        <f>IF(H30="","",H30*'Annual P&amp;L'!H7)</f>
        <v>3225.5280294928134</v>
      </c>
      <c r="I31" s="18">
        <f>IF(I30="","",I30*'Annual P&amp;L'!I7)</f>
        <v>3958.3495254465611</v>
      </c>
      <c r="J31" s="18">
        <f>IF(J30="","",J30*'Annual P&amp;L'!J7)</f>
        <v>5375.1765030463421</v>
      </c>
      <c r="K31" s="18">
        <f>IF(K30="","",K30*'Annual P&amp;L'!K7)</f>
        <v>5574.212623020414</v>
      </c>
      <c r="L31" s="18">
        <f>IF(L30="","",L30*'Annual P&amp;L'!L7)</f>
        <v>0</v>
      </c>
      <c r="M31" s="18">
        <f>IF(M30="","",M30*'Annual P&amp;L'!M7)</f>
        <v>0</v>
      </c>
      <c r="N31" s="32" t="str">
        <f>IF(N30="","",N30*'Annual P&amp;L'!N7)</f>
        <v/>
      </c>
      <c r="O31" s="32" t="str">
        <f>IF(O30="","",O30*'Annual P&amp;L'!O7)</f>
        <v/>
      </c>
      <c r="P31" s="32" t="str">
        <f>IF(P30="","",P30*'Annual P&amp;L'!P7)</f>
        <v/>
      </c>
      <c r="Q31" s="32" t="str">
        <f>IF(Q30="","",Q30*'Annual P&amp;L'!Q7)</f>
        <v/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530</v>
      </c>
      <c r="B32" s="1" t="s">
        <v>46</v>
      </c>
      <c r="C32" s="19">
        <f>'Raw Operating'!C51</f>
        <v>0</v>
      </c>
      <c r="D32" s="19">
        <f>'Raw Operating'!D51</f>
        <v>0</v>
      </c>
      <c r="E32" s="19">
        <f>'Raw Operating'!E51</f>
        <v>0</v>
      </c>
      <c r="F32" s="19">
        <f>'Raw Operating'!F51</f>
        <v>0</v>
      </c>
      <c r="G32" s="19">
        <f>'Raw Operating'!G51</f>
        <v>0</v>
      </c>
      <c r="H32" s="19">
        <f>'Raw Operating'!H51</f>
        <v>0.16123686727613065</v>
      </c>
      <c r="I32" s="19">
        <f>'Raw Operating'!I51</f>
        <v>0.16387117017744146</v>
      </c>
      <c r="J32" s="19">
        <f>'Raw Operating'!J51</f>
        <v>0.16189809116758463</v>
      </c>
      <c r="K32" s="19">
        <f>'Raw Operating'!K51</f>
        <v>0.16004969545645292</v>
      </c>
      <c r="L32" s="19">
        <f>'Raw Operating'!L51</f>
        <v>0</v>
      </c>
      <c r="M32" s="19">
        <f>'Raw Operating'!M51</f>
        <v>0</v>
      </c>
      <c r="N32" s="36"/>
      <c r="O32" s="36"/>
      <c r="P32" s="36"/>
      <c r="Q32" s="36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531</v>
      </c>
      <c r="B33" s="1" t="s">
        <v>44</v>
      </c>
      <c r="C33" s="18">
        <f>IF(C32="","",C32*'Annual P&amp;L'!C7)</f>
        <v>0</v>
      </c>
      <c r="D33" s="18">
        <f>IF(D32="","",D32*'Annual P&amp;L'!D7)</f>
        <v>0</v>
      </c>
      <c r="E33" s="18">
        <f>IF(E32="","",E32*'Annual P&amp;L'!E7)</f>
        <v>0</v>
      </c>
      <c r="F33" s="18">
        <f>IF(F32="","",F32*'Annual P&amp;L'!F7)</f>
        <v>0</v>
      </c>
      <c r="G33" s="18">
        <f>IF(G32="","",G32*'Annual P&amp;L'!G7)</f>
        <v>0</v>
      </c>
      <c r="H33" s="18">
        <f>IF(H32="","",H32*'Annual P&amp;L'!H7)</f>
        <v>6103.6346709241752</v>
      </c>
      <c r="I33" s="18">
        <f>IF(I32="","",I32*'Annual P&amp;L'!I7)</f>
        <v>7316.1863643799261</v>
      </c>
      <c r="J33" s="18">
        <f>IF(J32="","",J32*'Annual P&amp;L'!J7)</f>
        <v>8627.5763153018124</v>
      </c>
      <c r="K33" s="18">
        <f>IF(K32="","",K32*'Annual P&amp;L'!K7)</f>
        <v>8321.8705021435107</v>
      </c>
      <c r="L33" s="18">
        <f>IF(L32="","",L32*'Annual P&amp;L'!L7)</f>
        <v>0</v>
      </c>
      <c r="M33" s="18">
        <f>IF(M32="","",M32*'Annual P&amp;L'!M7)</f>
        <v>0</v>
      </c>
      <c r="N33" s="32" t="str">
        <f>IF(N32="","",N32*'Annual P&amp;L'!N7)</f>
        <v/>
      </c>
      <c r="O33" s="32" t="str">
        <f>IF(O32="","",O32*'Annual P&amp;L'!O7)</f>
        <v/>
      </c>
      <c r="P33" s="32" t="str">
        <f>IF(P32="","",P32*'Annual P&amp;L'!P7)</f>
        <v/>
      </c>
      <c r="Q33" s="32" t="str">
        <f>IF(Q32="","",Q32*'Annual P&amp;L'!Q7)</f>
        <v/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532</v>
      </c>
      <c r="B34" s="1" t="s">
        <v>46</v>
      </c>
      <c r="C34" s="19">
        <f>'Raw Operating'!C52</f>
        <v>0</v>
      </c>
      <c r="D34" s="19">
        <f>'Raw Operating'!D52</f>
        <v>0</v>
      </c>
      <c r="E34" s="19">
        <f>'Raw Operating'!E52</f>
        <v>0</v>
      </c>
      <c r="F34" s="19">
        <f>'Raw Operating'!F52</f>
        <v>0</v>
      </c>
      <c r="G34" s="19">
        <f>'Raw Operating'!G52</f>
        <v>0</v>
      </c>
      <c r="H34" s="19">
        <f>'Raw Operating'!H52</f>
        <v>7.7650754902588173E-2</v>
      </c>
      <c r="I34" s="19">
        <f>'Raw Operating'!I52</f>
        <v>7.8880938761133626E-2</v>
      </c>
      <c r="J34" s="19">
        <f>'Raw Operating'!J52</f>
        <v>8.015935465432493E-2</v>
      </c>
      <c r="K34" s="19">
        <f>'Raw Operating'!K52</f>
        <v>8.140802709326922E-2</v>
      </c>
      <c r="L34" s="19">
        <f>'Raw Operating'!L52</f>
        <v>0</v>
      </c>
      <c r="M34" s="19">
        <f>'Raw Operating'!M52</f>
        <v>0</v>
      </c>
      <c r="N34" s="36"/>
      <c r="O34" s="36"/>
      <c r="P34" s="36"/>
      <c r="Q34" s="3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533</v>
      </c>
      <c r="B35" s="1" t="s">
        <v>44</v>
      </c>
      <c r="C35" s="18">
        <f>IF(C34="","",C34*'Annual P&amp;L'!C7)</f>
        <v>0</v>
      </c>
      <c r="D35" s="18">
        <f>IF(D34="","",D34*'Annual P&amp;L'!D7)</f>
        <v>0</v>
      </c>
      <c r="E35" s="18">
        <f>IF(E34="","",E34*'Annual P&amp;L'!E7)</f>
        <v>0</v>
      </c>
      <c r="F35" s="18">
        <f>IF(F34="","",F34*'Annual P&amp;L'!F7)</f>
        <v>0</v>
      </c>
      <c r="G35" s="18">
        <f>IF(G34="","",G34*'Annual P&amp;L'!G7)</f>
        <v>0</v>
      </c>
      <c r="H35" s="18">
        <f>IF(H34="","",H34*'Annual P&amp;L'!H7)</f>
        <v>2939.4756165486224</v>
      </c>
      <c r="I35" s="18">
        <f>IF(I34="","",I34*'Annual P&amp;L'!I7)</f>
        <v>3521.7155522157768</v>
      </c>
      <c r="J35" s="18">
        <f>IF(J34="","",J34*'Annual P&amp;L'!J7)</f>
        <v>4271.7053961412039</v>
      </c>
      <c r="K35" s="18">
        <f>IF(K34="","",K34*'Annual P&amp;L'!K7)</f>
        <v>4232.8544104571902</v>
      </c>
      <c r="L35" s="18">
        <f>IF(L34="","",L34*'Annual P&amp;L'!L7)</f>
        <v>0</v>
      </c>
      <c r="M35" s="18">
        <f>IF(M34="","",M34*'Annual P&amp;L'!M7)</f>
        <v>0</v>
      </c>
      <c r="N35" s="32" t="str">
        <f>IF(N34="","",N34*'Annual P&amp;L'!N7)</f>
        <v/>
      </c>
      <c r="O35" s="32" t="str">
        <f>IF(O34="","",O34*'Annual P&amp;L'!O7)</f>
        <v/>
      </c>
      <c r="P35" s="32" t="str">
        <f>IF(P34="","",P34*'Annual P&amp;L'!P7)</f>
        <v/>
      </c>
      <c r="Q35" s="32" t="str">
        <f>IF(Q34="","",Q34*'Annual P&amp;L'!Q7)</f>
        <v/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534</v>
      </c>
      <c r="B36" s="1" t="s">
        <v>46</v>
      </c>
      <c r="C36" s="19">
        <f>'Raw Operating'!C53</f>
        <v>0</v>
      </c>
      <c r="D36" s="19">
        <f>'Raw Operating'!D53</f>
        <v>0</v>
      </c>
      <c r="E36" s="19">
        <f>'Raw Operating'!E53</f>
        <v>0</v>
      </c>
      <c r="F36" s="19">
        <f>'Raw Operating'!F53</f>
        <v>0</v>
      </c>
      <c r="G36" s="19">
        <f>'Raw Operating'!G53</f>
        <v>0</v>
      </c>
      <c r="H36" s="19">
        <f>'Raw Operating'!H53</f>
        <v>0.10626967933543006</v>
      </c>
      <c r="I36" s="19">
        <f>'Raw Operating'!I53</f>
        <v>0.10622942561279605</v>
      </c>
      <c r="J36" s="19">
        <f>'Raw Operating'!J53</f>
        <v>9.9950572809132887E-2</v>
      </c>
      <c r="K36" s="19">
        <f>'Raw Operating'!K53</f>
        <v>0.10527801648871625</v>
      </c>
      <c r="L36" s="19">
        <f>'Raw Operating'!L53</f>
        <v>0</v>
      </c>
      <c r="M36" s="19">
        <f>'Raw Operating'!M53</f>
        <v>0</v>
      </c>
      <c r="N36" s="36"/>
      <c r="O36" s="36"/>
      <c r="P36" s="36"/>
      <c r="Q36" s="3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535</v>
      </c>
      <c r="B37" s="1" t="s">
        <v>44</v>
      </c>
      <c r="C37" s="18">
        <f>IF(C36="","",C36*'Annual P&amp;L'!C7)</f>
        <v>0</v>
      </c>
      <c r="D37" s="18">
        <f>IF(D36="","",D36*'Annual P&amp;L'!D7)</f>
        <v>0</v>
      </c>
      <c r="E37" s="18">
        <f>IF(E36="","",E36*'Annual P&amp;L'!E7)</f>
        <v>0</v>
      </c>
      <c r="F37" s="18">
        <f>IF(F36="","",F36*'Annual P&amp;L'!F7)</f>
        <v>0</v>
      </c>
      <c r="G37" s="18">
        <f>IF(G36="","",G36*'Annual P&amp;L'!G7)</f>
        <v>0</v>
      </c>
      <c r="H37" s="18">
        <f>IF(H36="","",H36*'Annual P&amp;L'!H7)</f>
        <v>4022.8473190867312</v>
      </c>
      <c r="I37" s="18">
        <f>IF(I36="","",I36*'Annual P&amp;L'!I7)</f>
        <v>4742.7151116495716</v>
      </c>
      <c r="J37" s="18">
        <f>IF(J36="","",J36*'Annual P&amp;L'!J7)</f>
        <v>5326.3827167443515</v>
      </c>
      <c r="K37" s="18">
        <f>IF(K36="","",K36*'Annual P&amp;L'!K7)</f>
        <v>5473.9874227377213</v>
      </c>
      <c r="L37" s="18">
        <f>IF(L36="","",L36*'Annual P&amp;L'!L7)</f>
        <v>0</v>
      </c>
      <c r="M37" s="18">
        <f>IF(M36="","",M36*'Annual P&amp;L'!M7)</f>
        <v>0</v>
      </c>
      <c r="N37" s="32" t="str">
        <f>IF(N36="","",N36*'Annual P&amp;L'!N7)</f>
        <v/>
      </c>
      <c r="O37" s="32" t="str">
        <f>IF(O36="","",O36*'Annual P&amp;L'!O7)</f>
        <v/>
      </c>
      <c r="P37" s="32" t="str">
        <f>IF(P36="","",P36*'Annual P&amp;L'!P7)</f>
        <v/>
      </c>
      <c r="Q37" s="32" t="str">
        <f>IF(Q36="","",Q36*'Annual P&amp;L'!Q7)</f>
        <v/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536</v>
      </c>
      <c r="B38" s="1" t="s">
        <v>46</v>
      </c>
      <c r="C38" s="19">
        <f t="shared" ref="C38:Q38" si="3">IF(COUNT(C26,C28,C30,C32,C34,C36)=0,"",SUM(C26,C28,C30,C32,C34,C36))</f>
        <v>0</v>
      </c>
      <c r="D38" s="19">
        <f t="shared" si="3"/>
        <v>0</v>
      </c>
      <c r="E38" s="19">
        <f t="shared" si="3"/>
        <v>0</v>
      </c>
      <c r="F38" s="19">
        <f t="shared" si="3"/>
        <v>0</v>
      </c>
      <c r="G38" s="19">
        <f t="shared" si="3"/>
        <v>0</v>
      </c>
      <c r="H38" s="19">
        <f t="shared" si="3"/>
        <v>0.99999999999999889</v>
      </c>
      <c r="I38" s="19">
        <f t="shared" si="3"/>
        <v>0.99974999999999992</v>
      </c>
      <c r="J38" s="19">
        <f t="shared" si="3"/>
        <v>0.99999999999999989</v>
      </c>
      <c r="K38" s="19">
        <f t="shared" si="3"/>
        <v>1</v>
      </c>
      <c r="L38" s="19">
        <f t="shared" si="3"/>
        <v>0</v>
      </c>
      <c r="M38" s="19">
        <f t="shared" si="3"/>
        <v>0</v>
      </c>
      <c r="N38" s="28" t="str">
        <f t="shared" si="3"/>
        <v/>
      </c>
      <c r="O38" s="28" t="str">
        <f t="shared" si="3"/>
        <v/>
      </c>
      <c r="P38" s="28" t="str">
        <f t="shared" si="3"/>
        <v/>
      </c>
      <c r="Q38" s="28" t="str">
        <f t="shared" si="3"/>
        <v/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537</v>
      </c>
      <c r="B39" s="1" t="s">
        <v>44</v>
      </c>
      <c r="C39" s="18">
        <f t="shared" ref="C39:Q39" si="4">SUM(C27,C29,C31,C33,C35,C37)</f>
        <v>0</v>
      </c>
      <c r="D39" s="18">
        <f t="shared" si="4"/>
        <v>0</v>
      </c>
      <c r="E39" s="18">
        <f t="shared" si="4"/>
        <v>0</v>
      </c>
      <c r="F39" s="18">
        <f t="shared" si="4"/>
        <v>0</v>
      </c>
      <c r="G39" s="18">
        <f t="shared" si="4"/>
        <v>0</v>
      </c>
      <c r="H39" s="18">
        <f t="shared" si="4"/>
        <v>37855.080999999955</v>
      </c>
      <c r="I39" s="18">
        <f t="shared" si="4"/>
        <v>44634.802509000001</v>
      </c>
      <c r="J39" s="18">
        <f t="shared" si="4"/>
        <v>53290.167000000009</v>
      </c>
      <c r="K39" s="18">
        <f t="shared" si="4"/>
        <v>51995.540999999997</v>
      </c>
      <c r="L39" s="18">
        <f t="shared" si="4"/>
        <v>0</v>
      </c>
      <c r="M39" s="18">
        <f t="shared" si="4"/>
        <v>0</v>
      </c>
      <c r="N39" s="32">
        <f t="shared" si="4"/>
        <v>0</v>
      </c>
      <c r="O39" s="32">
        <f t="shared" si="4"/>
        <v>0</v>
      </c>
      <c r="P39" s="32">
        <f t="shared" si="4"/>
        <v>0</v>
      </c>
      <c r="Q39" s="32">
        <f t="shared" si="4"/>
        <v>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538</v>
      </c>
      <c r="B40" s="1" t="s">
        <v>44</v>
      </c>
      <c r="C40" s="18">
        <f>'Annual P&amp;L'!C7</f>
        <v>26494.232248126711</v>
      </c>
      <c r="D40" s="18">
        <f>'Annual P&amp;L'!D7</f>
        <v>29140.8414557</v>
      </c>
      <c r="E40" s="18">
        <f>'Annual P&amp;L'!E7</f>
        <v>30772.881154600007</v>
      </c>
      <c r="F40" s="18">
        <f>'Annual P&amp;L'!F7</f>
        <v>34742.131633800003</v>
      </c>
      <c r="G40" s="18">
        <f>'Annual P&amp;L'!G7</f>
        <v>36867.678999999996</v>
      </c>
      <c r="H40" s="18">
        <f>'Annual P&amp;L'!H7</f>
        <v>37855.080999999998</v>
      </c>
      <c r="I40" s="18">
        <f>'Annual P&amp;L'!I7</f>
        <v>44645.964000000007</v>
      </c>
      <c r="J40" s="18">
        <f>'Annual P&amp;L'!J7</f>
        <v>53290.167000000009</v>
      </c>
      <c r="K40" s="18">
        <f>'Annual P&amp;L'!K7</f>
        <v>51995.540999999997</v>
      </c>
      <c r="L40" s="18">
        <f>'Annual P&amp;L'!L7</f>
        <v>52988.300303977914</v>
      </c>
      <c r="M40" s="18">
        <f>'Annual P&amp;L'!M7</f>
        <v>56815.399599999764</v>
      </c>
      <c r="N40" s="32">
        <f>'Annual P&amp;L'!N7</f>
        <v>58225.878004588383</v>
      </c>
      <c r="O40" s="32">
        <f>'Annual P&amp;L'!O7</f>
        <v>60460.105140546773</v>
      </c>
      <c r="P40" s="32">
        <f>'Annual P&amp;L'!P7</f>
        <v>63337.981622471256</v>
      </c>
      <c r="Q40" s="32">
        <f>'Annual P&amp;L'!Q7</f>
        <v>66753.180321994849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539</v>
      </c>
      <c r="B41" s="1" t="s">
        <v>44</v>
      </c>
      <c r="C41" s="18">
        <f t="shared" ref="C41:Q41" si="5">IF(C38="","",C39-C40)</f>
        <v>-26494.232248126711</v>
      </c>
      <c r="D41" s="18">
        <f t="shared" si="5"/>
        <v>-29140.8414557</v>
      </c>
      <c r="E41" s="18">
        <f t="shared" si="5"/>
        <v>-30772.881154600007</v>
      </c>
      <c r="F41" s="18">
        <f t="shared" si="5"/>
        <v>-34742.131633800003</v>
      </c>
      <c r="G41" s="18">
        <f t="shared" si="5"/>
        <v>-36867.678999999996</v>
      </c>
      <c r="H41" s="18">
        <f t="shared" si="5"/>
        <v>-4.3655745685100555E-11</v>
      </c>
      <c r="I41" s="18">
        <f t="shared" si="5"/>
        <v>-11.161491000006208</v>
      </c>
      <c r="J41" s="18">
        <f t="shared" si="5"/>
        <v>0</v>
      </c>
      <c r="K41" s="18">
        <f t="shared" si="5"/>
        <v>0</v>
      </c>
      <c r="L41" s="18">
        <f t="shared" si="5"/>
        <v>-52988.300303977914</v>
      </c>
      <c r="M41" s="18">
        <f t="shared" si="5"/>
        <v>-56815.399599999764</v>
      </c>
      <c r="N41" s="32" t="str">
        <f t="shared" si="5"/>
        <v/>
      </c>
      <c r="O41" s="32" t="str">
        <f t="shared" si="5"/>
        <v/>
      </c>
      <c r="P41" s="32" t="str">
        <f t="shared" si="5"/>
        <v/>
      </c>
      <c r="Q41" s="32" t="str">
        <f t="shared" si="5"/>
        <v/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6"/>
      <c r="O42" s="36"/>
      <c r="P42" s="36"/>
      <c r="Q42" s="3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8" customHeight="1">
      <c r="A43" s="73" t="s">
        <v>545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5"/>
      <c r="O43" s="75"/>
      <c r="P43" s="75"/>
      <c r="Q43" s="7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524</v>
      </c>
      <c r="B44" s="1" t="s">
        <v>46</v>
      </c>
      <c r="C44" s="19">
        <f>'Raw Operating'!C54</f>
        <v>0</v>
      </c>
      <c r="D44" s="19">
        <f>'Raw Operating'!D54</f>
        <v>0</v>
      </c>
      <c r="E44" s="19">
        <f>'Raw Operating'!E54</f>
        <v>0</v>
      </c>
      <c r="F44" s="19">
        <f>'Raw Operating'!F54</f>
        <v>0</v>
      </c>
      <c r="G44" s="19">
        <f>'Raw Operating'!G54</f>
        <v>0</v>
      </c>
      <c r="H44" s="19">
        <f>'Raw Operating'!H54</f>
        <v>0</v>
      </c>
      <c r="I44" s="19">
        <f>'Raw Operating'!I54</f>
        <v>0</v>
      </c>
      <c r="J44" s="19">
        <f>'Raw Operating'!J54</f>
        <v>0</v>
      </c>
      <c r="K44" s="19">
        <f>'Raw Operating'!K54</f>
        <v>0.34710000000000002</v>
      </c>
      <c r="L44" s="19">
        <f>'Raw Operating'!L54</f>
        <v>0.33050560040496463</v>
      </c>
      <c r="M44" s="19">
        <f>'Raw Operating'!M54</f>
        <v>0.33264815587378627</v>
      </c>
      <c r="N44" s="28">
        <f>M44</f>
        <v>0.33264815587378627</v>
      </c>
      <c r="O44" s="28">
        <f>N44</f>
        <v>0.33264815587378627</v>
      </c>
      <c r="P44" s="28">
        <f>O44</f>
        <v>0.33264815587378627</v>
      </c>
      <c r="Q44" s="28">
        <f>P44</f>
        <v>0.33264815587378627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525</v>
      </c>
      <c r="B45" s="1" t="s">
        <v>44</v>
      </c>
      <c r="C45" s="18">
        <f>IF(C44="","",C44*'Annual P&amp;L'!C7)</f>
        <v>0</v>
      </c>
      <c r="D45" s="18">
        <f>IF(D44="","",D44*'Annual P&amp;L'!D7)</f>
        <v>0</v>
      </c>
      <c r="E45" s="18">
        <f>IF(E44="","",E44*'Annual P&amp;L'!E7)</f>
        <v>0</v>
      </c>
      <c r="F45" s="18">
        <f>IF(F44="","",F44*'Annual P&amp;L'!F7)</f>
        <v>0</v>
      </c>
      <c r="G45" s="18">
        <f>IF(G44="","",G44*'Annual P&amp;L'!G7)</f>
        <v>0</v>
      </c>
      <c r="H45" s="18">
        <f>IF(H44="","",H44*'Annual P&amp;L'!H7)</f>
        <v>0</v>
      </c>
      <c r="I45" s="18">
        <f>IF(I44="","",I44*'Annual P&amp;L'!I7)</f>
        <v>0</v>
      </c>
      <c r="J45" s="18">
        <f>IF(J44="","",J44*'Annual P&amp;L'!J7)</f>
        <v>0</v>
      </c>
      <c r="K45" s="18">
        <f>IF(K44="","",K44*'Annual P&amp;L'!K7)</f>
        <v>18047.6522811</v>
      </c>
      <c r="L45" s="18">
        <f>IF(L44="","",L44*'Annual P&amp;L'!L7)</f>
        <v>17512.930006404789</v>
      </c>
      <c r="M45" s="18">
        <f>IF(M44="","",M44*'Annual P&amp;L'!M7)</f>
        <v>18899.537902172175</v>
      </c>
      <c r="N45" s="32">
        <f>IF(N44="","",N44*'Annual P&amp;L'!N7)</f>
        <v>19368.730942358379</v>
      </c>
      <c r="O45" s="32">
        <f>IF(O44="","",O44*'Annual P&amp;L'!O7)</f>
        <v>20111.942478938108</v>
      </c>
      <c r="P45" s="32">
        <f>IF(P44="","",P44*'Annual P&amp;L'!P7)</f>
        <v>21069.262783482827</v>
      </c>
      <c r="Q45" s="32">
        <f>IF(Q44="","",Q44*'Annual P&amp;L'!Q7)</f>
        <v>22205.322332821903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526</v>
      </c>
      <c r="B46" s="1" t="s">
        <v>46</v>
      </c>
      <c r="C46" s="19">
        <f>'Raw Operating'!C55</f>
        <v>0</v>
      </c>
      <c r="D46" s="19">
        <f>'Raw Operating'!D55</f>
        <v>0</v>
      </c>
      <c r="E46" s="19">
        <f>'Raw Operating'!E55</f>
        <v>0</v>
      </c>
      <c r="F46" s="19">
        <f>'Raw Operating'!F55</f>
        <v>0</v>
      </c>
      <c r="G46" s="19">
        <f>'Raw Operating'!G55</f>
        <v>0</v>
      </c>
      <c r="H46" s="19">
        <f>'Raw Operating'!H55</f>
        <v>0</v>
      </c>
      <c r="I46" s="19">
        <f>'Raw Operating'!I55</f>
        <v>0</v>
      </c>
      <c r="J46" s="19">
        <f>'Raw Operating'!J55</f>
        <v>0</v>
      </c>
      <c r="K46" s="19">
        <f>'Raw Operating'!K55</f>
        <v>0.17560000000000001</v>
      </c>
      <c r="L46" s="19">
        <f>'Raw Operating'!L55</f>
        <v>0.17318660678210368</v>
      </c>
      <c r="M46" s="19">
        <f>'Raw Operating'!M55</f>
        <v>0.17999103384422549</v>
      </c>
      <c r="N46" s="28">
        <f>M46</f>
        <v>0.17999103384422549</v>
      </c>
      <c r="O46" s="28">
        <f>N46</f>
        <v>0.17999103384422549</v>
      </c>
      <c r="P46" s="28">
        <f>O46</f>
        <v>0.17999103384422549</v>
      </c>
      <c r="Q46" s="28">
        <f>P46</f>
        <v>0.17999103384422549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527</v>
      </c>
      <c r="B47" s="1" t="s">
        <v>44</v>
      </c>
      <c r="C47" s="18">
        <f>IF(C46="","",C46*'Annual P&amp;L'!C7)</f>
        <v>0</v>
      </c>
      <c r="D47" s="18">
        <f>IF(D46="","",D46*'Annual P&amp;L'!D7)</f>
        <v>0</v>
      </c>
      <c r="E47" s="18">
        <f>IF(E46="","",E46*'Annual P&amp;L'!E7)</f>
        <v>0</v>
      </c>
      <c r="F47" s="18">
        <f>IF(F46="","",F46*'Annual P&amp;L'!F7)</f>
        <v>0</v>
      </c>
      <c r="G47" s="18">
        <f>IF(G46="","",G46*'Annual P&amp;L'!G7)</f>
        <v>0</v>
      </c>
      <c r="H47" s="18">
        <f>IF(H46="","",H46*'Annual P&amp;L'!H7)</f>
        <v>0</v>
      </c>
      <c r="I47" s="18">
        <f>IF(I46="","",I46*'Annual P&amp;L'!I7)</f>
        <v>0</v>
      </c>
      <c r="J47" s="18">
        <f>IF(J46="","",J46*'Annual P&amp;L'!J7)</f>
        <v>0</v>
      </c>
      <c r="K47" s="18">
        <f>IF(K46="","",K46*'Annual P&amp;L'!K7)</f>
        <v>9130.4169996000001</v>
      </c>
      <c r="L47" s="18">
        <f>IF(L46="","",L46*'Annual P&amp;L'!L7)</f>
        <v>9176.8639287970473</v>
      </c>
      <c r="M47" s="18">
        <f>IF(M46="","",M46*'Annual P&amp;L'!M7)</f>
        <v>10226.262512276753</v>
      </c>
      <c r="N47" s="32">
        <f>IF(N46="","",N46*'Annual P&amp;L'!N7)</f>
        <v>10480.135978533612</v>
      </c>
      <c r="O47" s="32">
        <f>IF(O46="","",O46*'Annual P&amp;L'!O7)</f>
        <v>10882.276830577586</v>
      </c>
      <c r="P47" s="32">
        <f>IF(P46="","",P46*'Annual P&amp;L'!P7)</f>
        <v>11400.268793835156</v>
      </c>
      <c r="Q47" s="32">
        <f>IF(Q46="","",Q46*'Annual P&amp;L'!Q7)</f>
        <v>12014.973938545862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546</v>
      </c>
      <c r="B48" s="1" t="s">
        <v>46</v>
      </c>
      <c r="C48" s="19">
        <f>'Raw Operating'!C56</f>
        <v>0</v>
      </c>
      <c r="D48" s="19">
        <f>'Raw Operating'!D56</f>
        <v>0</v>
      </c>
      <c r="E48" s="19">
        <f>'Raw Operating'!E56</f>
        <v>0</v>
      </c>
      <c r="F48" s="19">
        <f>'Raw Operating'!F56</f>
        <v>0</v>
      </c>
      <c r="G48" s="19">
        <f>'Raw Operating'!G56</f>
        <v>0</v>
      </c>
      <c r="H48" s="19">
        <f>'Raw Operating'!H56</f>
        <v>0</v>
      </c>
      <c r="I48" s="19">
        <f>'Raw Operating'!I56</f>
        <v>0</v>
      </c>
      <c r="J48" s="19">
        <f>'Raw Operating'!J56</f>
        <v>0</v>
      </c>
      <c r="K48" s="19">
        <f>'Raw Operating'!K56</f>
        <v>0.13919999999999999</v>
      </c>
      <c r="L48" s="19">
        <f>'Raw Operating'!L56</f>
        <v>0.13896125654139868</v>
      </c>
      <c r="M48" s="19">
        <f>'Raw Operating'!M56</f>
        <v>0.13261109177283675</v>
      </c>
      <c r="N48" s="28">
        <f>M48</f>
        <v>0.13261109177283675</v>
      </c>
      <c r="O48" s="28">
        <f>N48</f>
        <v>0.13261109177283675</v>
      </c>
      <c r="P48" s="28">
        <f>O48</f>
        <v>0.13261109177283675</v>
      </c>
      <c r="Q48" s="28">
        <f>P48</f>
        <v>0.13261109177283675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547</v>
      </c>
      <c r="B49" s="1" t="s">
        <v>44</v>
      </c>
      <c r="C49" s="18">
        <f>IF(C48="","",C48*'Annual P&amp;L'!C7)</f>
        <v>0</v>
      </c>
      <c r="D49" s="18">
        <f>IF(D48="","",D48*'Annual P&amp;L'!D7)</f>
        <v>0</v>
      </c>
      <c r="E49" s="18">
        <f>IF(E48="","",E48*'Annual P&amp;L'!E7)</f>
        <v>0</v>
      </c>
      <c r="F49" s="18">
        <f>IF(F48="","",F48*'Annual P&amp;L'!F7)</f>
        <v>0</v>
      </c>
      <c r="G49" s="18">
        <f>IF(G48="","",G48*'Annual P&amp;L'!G7)</f>
        <v>0</v>
      </c>
      <c r="H49" s="18">
        <f>IF(H48="","",H48*'Annual P&amp;L'!H7)</f>
        <v>0</v>
      </c>
      <c r="I49" s="18">
        <f>IF(I48="","",I48*'Annual P&amp;L'!I7)</f>
        <v>0</v>
      </c>
      <c r="J49" s="18">
        <f>IF(J48="","",J48*'Annual P&amp;L'!J7)</f>
        <v>0</v>
      </c>
      <c r="K49" s="18">
        <f>IF(K48="","",K48*'Annual P&amp;L'!K7)</f>
        <v>7237.7793071999995</v>
      </c>
      <c r="L49" s="18">
        <f>IF(L48="","",L48*'Annual P&amp;L'!L7)</f>
        <v>7363.3207922337488</v>
      </c>
      <c r="M49" s="18">
        <f>IF(M48="","",M48*'Annual P&amp;L'!M7)</f>
        <v>7534.3521704659615</v>
      </c>
      <c r="N49" s="32">
        <f>IF(N48="","",N48*'Annual P&amp;L'!N7)</f>
        <v>7721.3972516204667</v>
      </c>
      <c r="O49" s="32">
        <f>IF(O48="","",O48*'Annual P&amp;L'!O7)</f>
        <v>8017.6805513884074</v>
      </c>
      <c r="P49" s="32">
        <f>IF(P48="","",P48*'Annual P&amp;L'!P7)</f>
        <v>8399.3188936437837</v>
      </c>
      <c r="Q49" s="32">
        <f>IF(Q48="","",Q48*'Annual P&amp;L'!Q7)</f>
        <v>8852.2121218087796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530</v>
      </c>
      <c r="B50" s="1" t="s">
        <v>46</v>
      </c>
      <c r="C50" s="19">
        <f>'Raw Operating'!C57</f>
        <v>0</v>
      </c>
      <c r="D50" s="19">
        <f>'Raw Operating'!D57</f>
        <v>0</v>
      </c>
      <c r="E50" s="19">
        <f>'Raw Operating'!E57</f>
        <v>0</v>
      </c>
      <c r="F50" s="19">
        <f>'Raw Operating'!F57</f>
        <v>0</v>
      </c>
      <c r="G50" s="19">
        <f>'Raw Operating'!G57</f>
        <v>0</v>
      </c>
      <c r="H50" s="19">
        <f>'Raw Operating'!H57</f>
        <v>0</v>
      </c>
      <c r="I50" s="19">
        <f>'Raw Operating'!I57</f>
        <v>0</v>
      </c>
      <c r="J50" s="19">
        <f>'Raw Operating'!J57</f>
        <v>0</v>
      </c>
      <c r="K50" s="19">
        <f>'Raw Operating'!K57</f>
        <v>0.15359999999999999</v>
      </c>
      <c r="L50" s="19">
        <f>'Raw Operating'!L57</f>
        <v>0.16053101925391189</v>
      </c>
      <c r="M50" s="19">
        <f>'Raw Operating'!M57</f>
        <v>0.16329254196710868</v>
      </c>
      <c r="N50" s="28">
        <f>M50</f>
        <v>0.16329254196710868</v>
      </c>
      <c r="O50" s="28">
        <f>N50</f>
        <v>0.16329254196710868</v>
      </c>
      <c r="P50" s="28">
        <f>O50</f>
        <v>0.16329254196710868</v>
      </c>
      <c r="Q50" s="28">
        <f>P50</f>
        <v>0.16329254196710868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531</v>
      </c>
      <c r="B51" s="1" t="s">
        <v>44</v>
      </c>
      <c r="C51" s="18">
        <f>IF(C50="","",C50*'Annual P&amp;L'!C7)</f>
        <v>0</v>
      </c>
      <c r="D51" s="18">
        <f>IF(D50="","",D50*'Annual P&amp;L'!D7)</f>
        <v>0</v>
      </c>
      <c r="E51" s="18">
        <f>IF(E50="","",E50*'Annual P&amp;L'!E7)</f>
        <v>0</v>
      </c>
      <c r="F51" s="18">
        <f>IF(F50="","",F50*'Annual P&amp;L'!F7)</f>
        <v>0</v>
      </c>
      <c r="G51" s="18">
        <f>IF(G50="","",G50*'Annual P&amp;L'!G7)</f>
        <v>0</v>
      </c>
      <c r="H51" s="18">
        <f>IF(H50="","",H50*'Annual P&amp;L'!H7)</f>
        <v>0</v>
      </c>
      <c r="I51" s="18">
        <f>IF(I50="","",I50*'Annual P&amp;L'!I7)</f>
        <v>0</v>
      </c>
      <c r="J51" s="18">
        <f>IF(J50="","",J50*'Annual P&amp;L'!J7)</f>
        <v>0</v>
      </c>
      <c r="K51" s="18">
        <f>IF(K50="","",K50*'Annual P&amp;L'!K7)</f>
        <v>7986.5150975999986</v>
      </c>
      <c r="L51" s="18">
        <f>IF(L50="","",L50*'Annual P&amp;L'!L7)</f>
        <v>8506.2658563299428</v>
      </c>
      <c r="M51" s="18">
        <f>IF(M50="","",M50*'Annual P&amp;L'!M7)</f>
        <v>9277.5310235610123</v>
      </c>
      <c r="N51" s="32">
        <f>IF(N50="","",N50*'Annual P&amp;L'!N7)</f>
        <v>9507.8516276359987</v>
      </c>
      <c r="O51" s="32">
        <f>IF(O50="","",O50*'Annual P&amp;L'!O7)</f>
        <v>9872.684255998538</v>
      </c>
      <c r="P51" s="32">
        <f>IF(P50="","",P50*'Annual P&amp;L'!P7)</f>
        <v>10342.620022199346</v>
      </c>
      <c r="Q51" s="32">
        <f>IF(Q50="","",Q50*'Annual P&amp;L'!Q7)</f>
        <v>10900.296499167318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532</v>
      </c>
      <c r="B52" s="1" t="s">
        <v>46</v>
      </c>
      <c r="C52" s="19">
        <f>'Raw Operating'!C58</f>
        <v>0</v>
      </c>
      <c r="D52" s="19">
        <f>'Raw Operating'!D58</f>
        <v>0</v>
      </c>
      <c r="E52" s="19">
        <f>'Raw Operating'!E58</f>
        <v>0</v>
      </c>
      <c r="F52" s="19">
        <f>'Raw Operating'!F58</f>
        <v>0</v>
      </c>
      <c r="G52" s="19">
        <f>'Raw Operating'!G58</f>
        <v>0</v>
      </c>
      <c r="H52" s="19">
        <f>'Raw Operating'!H58</f>
        <v>0</v>
      </c>
      <c r="I52" s="19">
        <f>'Raw Operating'!I58</f>
        <v>0</v>
      </c>
      <c r="J52" s="19">
        <f>'Raw Operating'!J58</f>
        <v>0</v>
      </c>
      <c r="K52" s="19">
        <f>'Raw Operating'!K58</f>
        <v>7.5700000000000003E-2</v>
      </c>
      <c r="L52" s="19">
        <f>'Raw Operating'!L58</f>
        <v>7.920553485425659E-2</v>
      </c>
      <c r="M52" s="19">
        <f>'Raw Operating'!M58</f>
        <v>8.3342565331049806E-2</v>
      </c>
      <c r="N52" s="28">
        <f>M52</f>
        <v>8.3342565331049806E-2</v>
      </c>
      <c r="O52" s="28">
        <f>N52</f>
        <v>8.3342565331049806E-2</v>
      </c>
      <c r="P52" s="28">
        <f>O52</f>
        <v>8.3342565331049806E-2</v>
      </c>
      <c r="Q52" s="28">
        <f>P52</f>
        <v>8.3342565331049806E-2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533</v>
      </c>
      <c r="B53" s="1" t="s">
        <v>44</v>
      </c>
      <c r="C53" s="18">
        <f>IF(C52="","",C52*'Annual P&amp;L'!C7)</f>
        <v>0</v>
      </c>
      <c r="D53" s="18">
        <f>IF(D52="","",D52*'Annual P&amp;L'!D7)</f>
        <v>0</v>
      </c>
      <c r="E53" s="18">
        <f>IF(E52="","",E52*'Annual P&amp;L'!E7)</f>
        <v>0</v>
      </c>
      <c r="F53" s="18">
        <f>IF(F52="","",F52*'Annual P&amp;L'!F7)</f>
        <v>0</v>
      </c>
      <c r="G53" s="18">
        <f>IF(G52="","",G52*'Annual P&amp;L'!G7)</f>
        <v>0</v>
      </c>
      <c r="H53" s="18">
        <f>IF(H52="","",H52*'Annual P&amp;L'!H7)</f>
        <v>0</v>
      </c>
      <c r="I53" s="18">
        <f>IF(I52="","",I52*'Annual P&amp;L'!I7)</f>
        <v>0</v>
      </c>
      <c r="J53" s="18">
        <f>IF(J52="","",J52*'Annual P&amp;L'!J7)</f>
        <v>0</v>
      </c>
      <c r="K53" s="18">
        <f>IF(K52="","",K52*'Annual P&amp;L'!K7)</f>
        <v>3936.0624536999999</v>
      </c>
      <c r="L53" s="18">
        <f>IF(L52="","",L52*'Annual P&amp;L'!L7)</f>
        <v>4196.9666665945379</v>
      </c>
      <c r="M53" s="18">
        <f>IF(M52="","",M52*'Annual P&amp;L'!M7)</f>
        <v>4735.1411529726811</v>
      </c>
      <c r="N53" s="32">
        <f>IF(N52="","",N52*'Annual P&amp;L'!N7)</f>
        <v>4852.6940415551435</v>
      </c>
      <c r="O53" s="32">
        <f>IF(O52="","",O52*'Annual P&amp;L'!O7)</f>
        <v>5038.9002625981593</v>
      </c>
      <c r="P53" s="32">
        <f>IF(P52="","",P52*'Annual P&amp;L'!P7)</f>
        <v>5278.7498713076429</v>
      </c>
      <c r="Q53" s="32">
        <f>IF(Q52="","",Q52*'Annual P&amp;L'!Q7)</f>
        <v>5563.3812920412038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548</v>
      </c>
      <c r="B54" s="1" t="s">
        <v>46</v>
      </c>
      <c r="C54" s="19">
        <f>'Raw Operating'!C59</f>
        <v>0</v>
      </c>
      <c r="D54" s="19">
        <f>'Raw Operating'!D59</f>
        <v>0</v>
      </c>
      <c r="E54" s="19">
        <f>'Raw Operating'!E59</f>
        <v>0</v>
      </c>
      <c r="F54" s="19">
        <f>'Raw Operating'!F59</f>
        <v>0</v>
      </c>
      <c r="G54" s="19">
        <f>'Raw Operating'!G59</f>
        <v>0</v>
      </c>
      <c r="H54" s="19">
        <f>'Raw Operating'!H59</f>
        <v>0</v>
      </c>
      <c r="I54" s="19">
        <f>'Raw Operating'!I59</f>
        <v>0</v>
      </c>
      <c r="J54" s="19">
        <f>'Raw Operating'!J59</f>
        <v>0</v>
      </c>
      <c r="K54" s="19">
        <f>'Raw Operating'!K59</f>
        <v>7.2300000000000003E-2</v>
      </c>
      <c r="L54" s="19">
        <f>'Raw Operating'!L59</f>
        <v>7.5093681650669014E-2</v>
      </c>
      <c r="M54" s="19">
        <f>'Raw Operating'!M59</f>
        <v>7.3250748362164678E-2</v>
      </c>
      <c r="N54" s="28">
        <f>M54</f>
        <v>7.3250748362164678E-2</v>
      </c>
      <c r="O54" s="28">
        <f>N54</f>
        <v>7.3250748362164678E-2</v>
      </c>
      <c r="P54" s="28">
        <f>O54</f>
        <v>7.3250748362164678E-2</v>
      </c>
      <c r="Q54" s="28">
        <f>P54</f>
        <v>7.3250748362164678E-2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549</v>
      </c>
      <c r="B55" s="1" t="s">
        <v>44</v>
      </c>
      <c r="C55" s="18">
        <f>IF(C54="","",C54*'Annual P&amp;L'!C7)</f>
        <v>0</v>
      </c>
      <c r="D55" s="18">
        <f>IF(D54="","",D54*'Annual P&amp;L'!D7)</f>
        <v>0</v>
      </c>
      <c r="E55" s="18">
        <f>IF(E54="","",E54*'Annual P&amp;L'!E7)</f>
        <v>0</v>
      </c>
      <c r="F55" s="18">
        <f>IF(F54="","",F54*'Annual P&amp;L'!F7)</f>
        <v>0</v>
      </c>
      <c r="G55" s="18">
        <f>IF(G54="","",G54*'Annual P&amp;L'!G7)</f>
        <v>0</v>
      </c>
      <c r="H55" s="18">
        <f>IF(H54="","",H54*'Annual P&amp;L'!H7)</f>
        <v>0</v>
      </c>
      <c r="I55" s="18">
        <f>IF(I54="","",I54*'Annual P&amp;L'!I7)</f>
        <v>0</v>
      </c>
      <c r="J55" s="18">
        <f>IF(J54="","",J54*'Annual P&amp;L'!J7)</f>
        <v>0</v>
      </c>
      <c r="K55" s="18">
        <f>IF(K54="","",K54*'Annual P&amp;L'!K7)</f>
        <v>3759.2776143000001</v>
      </c>
      <c r="L55" s="18">
        <f>IF(L54="","",L54*'Annual P&amp;L'!L7)</f>
        <v>3979.0865542369656</v>
      </c>
      <c r="M55" s="18">
        <f>IF(M54="","",M54*'Annual P&amp;L'!M7)</f>
        <v>4161.7705391954141</v>
      </c>
      <c r="N55" s="32">
        <f>IF(N54="","",N54*'Annual P&amp;L'!N7)</f>
        <v>4265.0891378802025</v>
      </c>
      <c r="O55" s="32">
        <f>IF(O54="","",O54*'Annual P&amp;L'!O7)</f>
        <v>4428.7479476002109</v>
      </c>
      <c r="P55" s="32">
        <f>IF(P54="","",P54*'Annual P&amp;L'!P7)</f>
        <v>4639.5545535950532</v>
      </c>
      <c r="Q55" s="32">
        <f>IF(Q54="","",Q54*'Annual P&amp;L'!Q7)</f>
        <v>4889.7204141406473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534</v>
      </c>
      <c r="B56" s="1" t="s">
        <v>46</v>
      </c>
      <c r="C56" s="19">
        <f>'Raw Operating'!C60</f>
        <v>0</v>
      </c>
      <c r="D56" s="19">
        <f>'Raw Operating'!D60</f>
        <v>0</v>
      </c>
      <c r="E56" s="19">
        <f>'Raw Operating'!E60</f>
        <v>0</v>
      </c>
      <c r="F56" s="19">
        <f>'Raw Operating'!F60</f>
        <v>0</v>
      </c>
      <c r="G56" s="19">
        <f>'Raw Operating'!G60</f>
        <v>0</v>
      </c>
      <c r="H56" s="19">
        <f>'Raw Operating'!H60</f>
        <v>0</v>
      </c>
      <c r="I56" s="19">
        <f>'Raw Operating'!I60</f>
        <v>0</v>
      </c>
      <c r="J56" s="19">
        <f>'Raw Operating'!J60</f>
        <v>0</v>
      </c>
      <c r="K56" s="19">
        <f>'Raw Operating'!K60</f>
        <v>3.6600000000000001E-2</v>
      </c>
      <c r="L56" s="19">
        <f>'Raw Operating'!L60</f>
        <v>4.2516300512695372E-2</v>
      </c>
      <c r="M56" s="19">
        <f>'Raw Operating'!M60</f>
        <v>3.4852899399375525E-2</v>
      </c>
      <c r="N56" s="28">
        <f>1-SUM(N44,N46,N48,N50,N52,N54)</f>
        <v>3.4863862848828253E-2</v>
      </c>
      <c r="O56" s="28">
        <f>1-SUM(O44,O46,O48,O50,O52,O54)</f>
        <v>3.4863862848828253E-2</v>
      </c>
      <c r="P56" s="28">
        <f>1-SUM(P44,P46,P48,P50,P52,P54)</f>
        <v>3.4863862848828253E-2</v>
      </c>
      <c r="Q56" s="28">
        <f>1-SUM(Q44,Q46,Q48,Q50,Q52,Q54)</f>
        <v>3.4863862848828253E-2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535</v>
      </c>
      <c r="B57" s="1" t="s">
        <v>44</v>
      </c>
      <c r="C57" s="18">
        <f>IF(C56="","",C56*'Annual P&amp;L'!C7)</f>
        <v>0</v>
      </c>
      <c r="D57" s="18">
        <f>IF(D56="","",D56*'Annual P&amp;L'!D7)</f>
        <v>0</v>
      </c>
      <c r="E57" s="18">
        <f>IF(E56="","",E56*'Annual P&amp;L'!E7)</f>
        <v>0</v>
      </c>
      <c r="F57" s="18">
        <f>IF(F56="","",F56*'Annual P&amp;L'!F7)</f>
        <v>0</v>
      </c>
      <c r="G57" s="18">
        <f>IF(G56="","",G56*'Annual P&amp;L'!G7)</f>
        <v>0</v>
      </c>
      <c r="H57" s="18">
        <f>IF(H56="","",H56*'Annual P&amp;L'!H7)</f>
        <v>0</v>
      </c>
      <c r="I57" s="18">
        <f>IF(I56="","",I56*'Annual P&amp;L'!I7)</f>
        <v>0</v>
      </c>
      <c r="J57" s="18">
        <f>IF(J56="","",J56*'Annual P&amp;L'!J7)</f>
        <v>0</v>
      </c>
      <c r="K57" s="18">
        <f>IF(K56="","",K56*'Annual P&amp;L'!K7)</f>
        <v>1903.0368005999999</v>
      </c>
      <c r="L57" s="18">
        <f>IF(L56="","",L56*'Annual P&amp;L'!L7)</f>
        <v>2252.8664993808725</v>
      </c>
      <c r="M57" s="18">
        <f>IF(M56="","",M56*'Annual P&amp;L'!M7)</f>
        <v>1980.1814065941123</v>
      </c>
      <c r="N57" s="32">
        <f>IF(N56="","",N56*'Annual P&amp;L'!N7)</f>
        <v>2029.9790250045751</v>
      </c>
      <c r="O57" s="32">
        <f>IF(O56="","",O56*'Annual P&amp;L'!O7)</f>
        <v>2107.8728134457588</v>
      </c>
      <c r="P57" s="32">
        <f>IF(P56="","",P56*'Annual P&amp;L'!P7)</f>
        <v>2208.2067044074424</v>
      </c>
      <c r="Q57" s="32">
        <f>IF(Q56="","",Q56*'Annual P&amp;L'!Q7)</f>
        <v>2327.2737234691294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536</v>
      </c>
      <c r="B58" s="1" t="s">
        <v>46</v>
      </c>
      <c r="C58" s="19">
        <f t="shared" ref="C58:Q58" si="6">IF(COUNT(C44,C46,C48,C50,C52,C54,C56)=0,"",SUM(C44,C46,C48,C50,C52,C54,C56))</f>
        <v>0</v>
      </c>
      <c r="D58" s="19">
        <f t="shared" si="6"/>
        <v>0</v>
      </c>
      <c r="E58" s="19">
        <f t="shared" si="6"/>
        <v>0</v>
      </c>
      <c r="F58" s="19">
        <f t="shared" si="6"/>
        <v>0</v>
      </c>
      <c r="G58" s="19">
        <f t="shared" si="6"/>
        <v>0</v>
      </c>
      <c r="H58" s="19">
        <f t="shared" si="6"/>
        <v>0</v>
      </c>
      <c r="I58" s="19">
        <f t="shared" si="6"/>
        <v>0</v>
      </c>
      <c r="J58" s="19">
        <f t="shared" si="6"/>
        <v>0</v>
      </c>
      <c r="K58" s="19">
        <f t="shared" si="6"/>
        <v>1.0001</v>
      </c>
      <c r="L58" s="19">
        <f t="shared" si="6"/>
        <v>0.99999999999999989</v>
      </c>
      <c r="M58" s="19">
        <f t="shared" si="6"/>
        <v>0.99998903655054727</v>
      </c>
      <c r="N58" s="28">
        <f t="shared" si="6"/>
        <v>1</v>
      </c>
      <c r="O58" s="28">
        <f t="shared" si="6"/>
        <v>1</v>
      </c>
      <c r="P58" s="28">
        <f t="shared" si="6"/>
        <v>1</v>
      </c>
      <c r="Q58" s="28">
        <f t="shared" si="6"/>
        <v>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537</v>
      </c>
      <c r="B59" s="1" t="s">
        <v>44</v>
      </c>
      <c r="C59" s="18">
        <f t="shared" ref="C59:Q59" si="7">SUM(C45,C47,C49,C51,C53,C55,C57)</f>
        <v>0</v>
      </c>
      <c r="D59" s="18">
        <f t="shared" si="7"/>
        <v>0</v>
      </c>
      <c r="E59" s="18">
        <f t="shared" si="7"/>
        <v>0</v>
      </c>
      <c r="F59" s="18">
        <f t="shared" si="7"/>
        <v>0</v>
      </c>
      <c r="G59" s="18">
        <f t="shared" si="7"/>
        <v>0</v>
      </c>
      <c r="H59" s="18">
        <f t="shared" si="7"/>
        <v>0</v>
      </c>
      <c r="I59" s="18">
        <f t="shared" si="7"/>
        <v>0</v>
      </c>
      <c r="J59" s="18">
        <f t="shared" si="7"/>
        <v>0</v>
      </c>
      <c r="K59" s="18">
        <f t="shared" si="7"/>
        <v>52000.740554099997</v>
      </c>
      <c r="L59" s="18">
        <f t="shared" si="7"/>
        <v>52988.3003039779</v>
      </c>
      <c r="M59" s="18">
        <f t="shared" si="7"/>
        <v>56814.77670723811</v>
      </c>
      <c r="N59" s="32">
        <f t="shared" si="7"/>
        <v>58225.878004588383</v>
      </c>
      <c r="O59" s="32">
        <f t="shared" si="7"/>
        <v>60460.105140546766</v>
      </c>
      <c r="P59" s="32">
        <f t="shared" si="7"/>
        <v>63337.981622471256</v>
      </c>
      <c r="Q59" s="32">
        <f t="shared" si="7"/>
        <v>66753.180321994834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538</v>
      </c>
      <c r="B60" s="1" t="s">
        <v>44</v>
      </c>
      <c r="C60" s="18">
        <f>'Annual P&amp;L'!C7</f>
        <v>26494.232248126711</v>
      </c>
      <c r="D60" s="18">
        <f>'Annual P&amp;L'!D7</f>
        <v>29140.8414557</v>
      </c>
      <c r="E60" s="18">
        <f>'Annual P&amp;L'!E7</f>
        <v>30772.881154600007</v>
      </c>
      <c r="F60" s="18">
        <f>'Annual P&amp;L'!F7</f>
        <v>34742.131633800003</v>
      </c>
      <c r="G60" s="18">
        <f>'Annual P&amp;L'!G7</f>
        <v>36867.678999999996</v>
      </c>
      <c r="H60" s="18">
        <f>'Annual P&amp;L'!H7</f>
        <v>37855.080999999998</v>
      </c>
      <c r="I60" s="18">
        <f>'Annual P&amp;L'!I7</f>
        <v>44645.964000000007</v>
      </c>
      <c r="J60" s="18">
        <f>'Annual P&amp;L'!J7</f>
        <v>53290.167000000009</v>
      </c>
      <c r="K60" s="18">
        <f>'Annual P&amp;L'!K7</f>
        <v>51995.540999999997</v>
      </c>
      <c r="L60" s="18">
        <f>'Annual P&amp;L'!L7</f>
        <v>52988.300303977914</v>
      </c>
      <c r="M60" s="18">
        <f>'Annual P&amp;L'!M7</f>
        <v>56815.399599999764</v>
      </c>
      <c r="N60" s="32">
        <f>'Annual P&amp;L'!N7</f>
        <v>58225.878004588383</v>
      </c>
      <c r="O60" s="32">
        <f>'Annual P&amp;L'!O7</f>
        <v>60460.105140546773</v>
      </c>
      <c r="P60" s="32">
        <f>'Annual P&amp;L'!P7</f>
        <v>63337.981622471256</v>
      </c>
      <c r="Q60" s="32">
        <f>'Annual P&amp;L'!Q7</f>
        <v>66753.180321994849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539</v>
      </c>
      <c r="B61" s="1" t="s">
        <v>44</v>
      </c>
      <c r="C61" s="18">
        <f t="shared" ref="C61:Q61" si="8">IF(C58="","",C59-C60)</f>
        <v>-26494.232248126711</v>
      </c>
      <c r="D61" s="18">
        <f t="shared" si="8"/>
        <v>-29140.8414557</v>
      </c>
      <c r="E61" s="18">
        <f t="shared" si="8"/>
        <v>-30772.881154600007</v>
      </c>
      <c r="F61" s="18">
        <f t="shared" si="8"/>
        <v>-34742.131633800003</v>
      </c>
      <c r="G61" s="18">
        <f t="shared" si="8"/>
        <v>-36867.678999999996</v>
      </c>
      <c r="H61" s="18">
        <f t="shared" si="8"/>
        <v>-37855.080999999998</v>
      </c>
      <c r="I61" s="18">
        <f t="shared" si="8"/>
        <v>-44645.964000000007</v>
      </c>
      <c r="J61" s="18">
        <f t="shared" si="8"/>
        <v>-53290.167000000009</v>
      </c>
      <c r="K61" s="18">
        <f t="shared" si="8"/>
        <v>5.1995540999996592</v>
      </c>
      <c r="L61" s="18">
        <f t="shared" si="8"/>
        <v>-1.4551915228366852E-11</v>
      </c>
      <c r="M61" s="18">
        <f t="shared" si="8"/>
        <v>-0.62289276165392948</v>
      </c>
      <c r="N61" s="32">
        <f t="shared" si="8"/>
        <v>0</v>
      </c>
      <c r="O61" s="32">
        <f t="shared" si="8"/>
        <v>-7.2759576141834259E-12</v>
      </c>
      <c r="P61" s="32">
        <f t="shared" si="8"/>
        <v>0</v>
      </c>
      <c r="Q61" s="32">
        <f t="shared" si="8"/>
        <v>-1.4551915228366852E-11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6"/>
      <c r="O62" s="36"/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6"/>
      <c r="O63" s="36"/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6"/>
      <c r="O64" s="36"/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6"/>
      <c r="O65" s="36"/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6"/>
      <c r="O66" s="36"/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6"/>
      <c r="O67" s="36"/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6"/>
      <c r="O68" s="36"/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6"/>
      <c r="O69" s="36"/>
      <c r="P69" s="36"/>
      <c r="Q69" s="3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6"/>
      <c r="O70" s="36"/>
      <c r="P70" s="36"/>
      <c r="Q70" s="3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6"/>
      <c r="O71" s="36"/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6"/>
      <c r="O72" s="36"/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6"/>
      <c r="O73" s="36"/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6"/>
      <c r="O74" s="36"/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6"/>
      <c r="O75" s="36"/>
      <c r="P75" s="36"/>
      <c r="Q75" s="3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6"/>
      <c r="O76" s="36"/>
      <c r="P76" s="36"/>
      <c r="Q76" s="3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6"/>
      <c r="O77" s="36"/>
      <c r="P77" s="36"/>
      <c r="Q77" s="3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6"/>
      <c r="O78" s="36"/>
      <c r="P78" s="36"/>
      <c r="Q78" s="3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6"/>
      <c r="O79" s="36"/>
      <c r="P79" s="36"/>
      <c r="Q79" s="3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6"/>
      <c r="O80" s="36"/>
      <c r="P80" s="36"/>
      <c r="Q80" s="3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6"/>
      <c r="O81" s="36"/>
      <c r="P81" s="36"/>
      <c r="Q81" s="3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6"/>
      <c r="O82" s="36"/>
      <c r="P82" s="36"/>
      <c r="Q82" s="3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6"/>
      <c r="O83" s="36"/>
      <c r="P83" s="36"/>
      <c r="Q83" s="3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6"/>
      <c r="O84" s="36"/>
      <c r="P84" s="36"/>
      <c r="Q84" s="3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6"/>
      <c r="O85" s="36"/>
      <c r="P85" s="36"/>
      <c r="Q85" s="3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6"/>
      <c r="O86" s="36"/>
      <c r="P86" s="36"/>
      <c r="Q86" s="3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6"/>
      <c r="O87" s="36"/>
      <c r="P87" s="36"/>
      <c r="Q87" s="3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6"/>
      <c r="O88" s="36"/>
      <c r="P88" s="36"/>
      <c r="Q88" s="3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6"/>
      <c r="O89" s="36"/>
      <c r="P89" s="36"/>
      <c r="Q89" s="3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6"/>
      <c r="O90" s="36"/>
      <c r="P90" s="36"/>
      <c r="Q90" s="3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6"/>
      <c r="O91" s="36"/>
      <c r="P91" s="36"/>
      <c r="Q91" s="3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6"/>
      <c r="O92" s="36"/>
      <c r="P92" s="36"/>
      <c r="Q92" s="3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6"/>
      <c r="O93" s="36"/>
      <c r="P93" s="36"/>
      <c r="Q93" s="3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6"/>
      <c r="O94" s="36"/>
      <c r="P94" s="36"/>
      <c r="Q94" s="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6"/>
      <c r="O95" s="36"/>
      <c r="P95" s="36"/>
      <c r="Q95" s="3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6"/>
      <c r="O96" s="36"/>
      <c r="P96" s="36"/>
      <c r="Q96" s="3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6"/>
      <c r="O97" s="36"/>
      <c r="P97" s="36"/>
      <c r="Q97" s="3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6"/>
      <c r="O98" s="36"/>
      <c r="P98" s="36"/>
      <c r="Q98" s="3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6"/>
      <c r="O99" s="36"/>
      <c r="P99" s="36"/>
      <c r="Q99" s="3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6"/>
      <c r="O100" s="36"/>
      <c r="P100" s="36"/>
      <c r="Q100" s="3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6"/>
      <c r="O101" s="36"/>
      <c r="P101" s="36"/>
      <c r="Q101" s="3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6"/>
      <c r="O102" s="36"/>
      <c r="P102" s="36"/>
      <c r="Q102" s="3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6"/>
      <c r="O103" s="36"/>
      <c r="P103" s="36"/>
      <c r="Q103" s="3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6"/>
      <c r="O104" s="36"/>
      <c r="P104" s="36"/>
      <c r="Q104" s="3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6"/>
      <c r="O105" s="36"/>
      <c r="P105" s="36"/>
      <c r="Q105" s="3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6"/>
      <c r="O106" s="36"/>
      <c r="P106" s="36"/>
      <c r="Q106" s="3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6"/>
      <c r="O107" s="36"/>
      <c r="P107" s="36"/>
      <c r="Q107" s="3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6"/>
      <c r="O108" s="36"/>
      <c r="P108" s="36"/>
      <c r="Q108" s="3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6"/>
      <c r="O109" s="36"/>
      <c r="P109" s="36"/>
      <c r="Q109" s="3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6"/>
      <c r="O110" s="36"/>
      <c r="P110" s="36"/>
      <c r="Q110" s="3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6"/>
      <c r="O111" s="36"/>
      <c r="P111" s="36"/>
      <c r="Q111" s="3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6"/>
      <c r="O112" s="36"/>
      <c r="P112" s="36"/>
      <c r="Q112" s="3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6"/>
      <c r="O113" s="36"/>
      <c r="P113" s="36"/>
      <c r="Q113" s="3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6"/>
      <c r="O114" s="36"/>
      <c r="P114" s="36"/>
      <c r="Q114" s="3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6"/>
      <c r="O115" s="36"/>
      <c r="P115" s="36"/>
      <c r="Q115" s="3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6"/>
      <c r="O116" s="36"/>
      <c r="P116" s="36"/>
      <c r="Q116" s="3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6"/>
      <c r="O117" s="36"/>
      <c r="P117" s="36"/>
      <c r="Q117" s="3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6"/>
      <c r="O118" s="36"/>
      <c r="P118" s="36"/>
      <c r="Q118" s="3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6"/>
      <c r="O119" s="36"/>
      <c r="P119" s="36"/>
      <c r="Q119" s="3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6"/>
      <c r="O120" s="36"/>
      <c r="P120" s="36"/>
      <c r="Q120" s="3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6"/>
      <c r="O121" s="36"/>
      <c r="P121" s="36"/>
      <c r="Q121" s="3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6"/>
      <c r="O122" s="36"/>
      <c r="P122" s="36"/>
      <c r="Q122" s="3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6"/>
      <c r="O123" s="36"/>
      <c r="P123" s="36"/>
      <c r="Q123" s="3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6"/>
      <c r="O124" s="36"/>
      <c r="P124" s="36"/>
      <c r="Q124" s="3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6"/>
      <c r="O125" s="36"/>
      <c r="P125" s="36"/>
      <c r="Q125" s="3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6"/>
      <c r="O126" s="36"/>
      <c r="P126" s="36"/>
      <c r="Q126" s="3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6"/>
      <c r="O127" s="36"/>
      <c r="P127" s="36"/>
      <c r="Q127" s="3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6"/>
      <c r="O128" s="36"/>
      <c r="P128" s="36"/>
      <c r="Q128" s="3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6"/>
      <c r="O129" s="36"/>
      <c r="P129" s="36"/>
      <c r="Q129" s="3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6"/>
      <c r="O130" s="36"/>
      <c r="P130" s="36"/>
      <c r="Q130" s="3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6"/>
      <c r="O131" s="36"/>
      <c r="P131" s="36"/>
      <c r="Q131" s="3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6"/>
      <c r="O132" s="36"/>
      <c r="P132" s="36"/>
      <c r="Q132" s="3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6"/>
      <c r="O133" s="36"/>
      <c r="P133" s="36"/>
      <c r="Q133" s="3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6"/>
      <c r="O134" s="36"/>
      <c r="P134" s="36"/>
      <c r="Q134" s="3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6"/>
      <c r="O135" s="36"/>
      <c r="P135" s="36"/>
      <c r="Q135" s="3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6"/>
      <c r="O136" s="36"/>
      <c r="P136" s="36"/>
      <c r="Q136" s="3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6"/>
      <c r="O137" s="36"/>
      <c r="P137" s="36"/>
      <c r="Q137" s="3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6"/>
      <c r="O138" s="36"/>
      <c r="P138" s="36"/>
      <c r="Q138" s="3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6"/>
      <c r="O139" s="36"/>
      <c r="P139" s="36"/>
      <c r="Q139" s="3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6"/>
      <c r="O140" s="36"/>
      <c r="P140" s="36"/>
      <c r="Q140" s="3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6"/>
      <c r="O141" s="36"/>
      <c r="P141" s="36"/>
      <c r="Q141" s="3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6"/>
      <c r="O142" s="36"/>
      <c r="P142" s="36"/>
      <c r="Q142" s="3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6"/>
      <c r="O143" s="36"/>
      <c r="P143" s="36"/>
      <c r="Q143" s="3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6"/>
      <c r="O144" s="36"/>
      <c r="P144" s="36"/>
      <c r="Q144" s="3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6"/>
      <c r="O145" s="36"/>
      <c r="P145" s="36"/>
      <c r="Q145" s="3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6"/>
      <c r="O146" s="36"/>
      <c r="P146" s="36"/>
      <c r="Q146" s="3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6"/>
      <c r="O147" s="36"/>
      <c r="P147" s="36"/>
      <c r="Q147" s="3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6"/>
      <c r="O148" s="36"/>
      <c r="P148" s="36"/>
      <c r="Q148" s="3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6"/>
      <c r="O149" s="36"/>
      <c r="P149" s="36"/>
      <c r="Q149" s="3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6"/>
      <c r="O150" s="36"/>
      <c r="P150" s="36"/>
      <c r="Q150" s="3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6"/>
      <c r="O151" s="36"/>
      <c r="P151" s="36"/>
      <c r="Q151" s="3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6"/>
      <c r="O152" s="36"/>
      <c r="P152" s="36"/>
      <c r="Q152" s="3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6"/>
      <c r="O153" s="36"/>
      <c r="P153" s="36"/>
      <c r="Q153" s="3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6"/>
      <c r="O154" s="36"/>
      <c r="P154" s="36"/>
      <c r="Q154" s="3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6"/>
      <c r="O155" s="36"/>
      <c r="P155" s="36"/>
      <c r="Q155" s="3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6"/>
      <c r="O156" s="36"/>
      <c r="P156" s="36"/>
      <c r="Q156" s="3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6"/>
      <c r="O157" s="36"/>
      <c r="P157" s="36"/>
      <c r="Q157" s="3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6"/>
      <c r="O158" s="36"/>
      <c r="P158" s="36"/>
      <c r="Q158" s="3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6"/>
      <c r="O159" s="36"/>
      <c r="P159" s="36"/>
      <c r="Q159" s="3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6"/>
      <c r="O160" s="36"/>
      <c r="P160" s="36"/>
      <c r="Q160" s="3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6"/>
      <c r="O161" s="36"/>
      <c r="P161" s="36"/>
      <c r="Q161" s="3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6"/>
      <c r="O162" s="36"/>
      <c r="P162" s="36"/>
      <c r="Q162" s="3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6"/>
      <c r="O163" s="36"/>
      <c r="P163" s="36"/>
      <c r="Q163" s="3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6"/>
      <c r="O164" s="36"/>
      <c r="P164" s="36"/>
      <c r="Q164" s="3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6"/>
      <c r="O165" s="36"/>
      <c r="P165" s="36"/>
      <c r="Q165" s="3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6"/>
      <c r="O166" s="36"/>
      <c r="P166" s="36"/>
      <c r="Q166" s="3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6"/>
      <c r="O167" s="36"/>
      <c r="P167" s="36"/>
      <c r="Q167" s="3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6"/>
      <c r="O168" s="36"/>
      <c r="P168" s="36"/>
      <c r="Q168" s="3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6"/>
      <c r="O169" s="36"/>
      <c r="P169" s="36"/>
      <c r="Q169" s="3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6"/>
      <c r="O170" s="36"/>
      <c r="P170" s="36"/>
      <c r="Q170" s="3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6"/>
      <c r="O171" s="36"/>
      <c r="P171" s="36"/>
      <c r="Q171" s="3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6"/>
      <c r="O172" s="36"/>
      <c r="P172" s="36"/>
      <c r="Q172" s="3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6"/>
      <c r="O173" s="36"/>
      <c r="P173" s="36"/>
      <c r="Q173" s="3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6"/>
      <c r="O174" s="36"/>
      <c r="P174" s="36"/>
      <c r="Q174" s="3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6"/>
      <c r="O175" s="36"/>
      <c r="P175" s="36"/>
      <c r="Q175" s="3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6"/>
      <c r="O176" s="36"/>
      <c r="P176" s="36"/>
      <c r="Q176" s="3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6"/>
      <c r="O177" s="36"/>
      <c r="P177" s="36"/>
      <c r="Q177" s="3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6"/>
      <c r="O178" s="36"/>
      <c r="P178" s="36"/>
      <c r="Q178" s="3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6"/>
      <c r="O179" s="36"/>
      <c r="P179" s="36"/>
      <c r="Q179" s="3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6"/>
      <c r="O180" s="36"/>
      <c r="P180" s="36"/>
      <c r="Q180" s="3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6"/>
      <c r="O181" s="36"/>
      <c r="P181" s="36"/>
      <c r="Q181" s="3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6"/>
      <c r="O182" s="36"/>
      <c r="P182" s="36"/>
      <c r="Q182" s="3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6"/>
      <c r="O183" s="36"/>
      <c r="P183" s="36"/>
      <c r="Q183" s="3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6"/>
      <c r="O184" s="36"/>
      <c r="P184" s="36"/>
      <c r="Q184" s="3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6"/>
      <c r="O185" s="36"/>
      <c r="P185" s="36"/>
      <c r="Q185" s="3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6"/>
      <c r="O186" s="36"/>
      <c r="P186" s="36"/>
      <c r="Q186" s="3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6"/>
      <c r="O187" s="36"/>
      <c r="P187" s="36"/>
      <c r="Q187" s="3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6"/>
      <c r="O188" s="36"/>
      <c r="P188" s="36"/>
      <c r="Q188" s="3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6"/>
      <c r="O189" s="36"/>
      <c r="P189" s="36"/>
      <c r="Q189" s="3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6"/>
      <c r="O190" s="36"/>
      <c r="P190" s="36"/>
      <c r="Q190" s="3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6"/>
      <c r="O191" s="36"/>
      <c r="P191" s="36"/>
      <c r="Q191" s="3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6"/>
      <c r="O192" s="36"/>
      <c r="P192" s="36"/>
      <c r="Q192" s="3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6"/>
      <c r="O193" s="36"/>
      <c r="P193" s="36"/>
      <c r="Q193" s="3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6"/>
      <c r="O194" s="36"/>
      <c r="P194" s="36"/>
      <c r="Q194" s="3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6"/>
      <c r="O195" s="36"/>
      <c r="P195" s="36"/>
      <c r="Q195" s="3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6"/>
      <c r="O196" s="36"/>
      <c r="P196" s="36"/>
      <c r="Q196" s="3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6"/>
      <c r="O197" s="36"/>
      <c r="P197" s="36"/>
      <c r="Q197" s="3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6"/>
      <c r="O198" s="36"/>
      <c r="P198" s="36"/>
      <c r="Q198" s="3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6"/>
      <c r="O199" s="36"/>
      <c r="P199" s="36"/>
      <c r="Q199" s="3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6"/>
      <c r="O200" s="36"/>
      <c r="P200" s="36"/>
      <c r="Q200" s="3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5">
    <mergeCell ref="A1:Q1"/>
    <mergeCell ref="A2:Q2"/>
    <mergeCell ref="A7:Q7"/>
    <mergeCell ref="A25:Q25"/>
    <mergeCell ref="A43:Q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300"/>
  <sheetViews>
    <sheetView showGridLines="0" workbookViewId="0"/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550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551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46" t="s">
        <v>39</v>
      </c>
      <c r="O5" s="46" t="s">
        <v>40</v>
      </c>
      <c r="P5" s="46" t="s">
        <v>41</v>
      </c>
      <c r="Q5" s="46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6"/>
      <c r="O6" s="36"/>
      <c r="P6" s="36"/>
      <c r="Q6" s="3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8" customHeight="1">
      <c r="A7" s="73" t="s">
        <v>552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5"/>
      <c r="O7" s="75"/>
      <c r="P7" s="75"/>
      <c r="Q7" s="7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451</v>
      </c>
      <c r="B8" s="1" t="s">
        <v>46</v>
      </c>
      <c r="C8" s="19">
        <f>'Raw Operating'!C39</f>
        <v>0.47788163470102435</v>
      </c>
      <c r="D8" s="19">
        <f>'Raw Operating'!D39</f>
        <v>0.47210350112220884</v>
      </c>
      <c r="E8" s="19">
        <f>'Raw Operating'!E39</f>
        <v>0.46580472753631197</v>
      </c>
      <c r="F8" s="19">
        <f>'Raw Operating'!F39</f>
        <v>0.47247123118022677</v>
      </c>
      <c r="G8" s="19">
        <f>'Raw Operating'!G39</f>
        <v>0.48049999999999998</v>
      </c>
      <c r="H8" s="19">
        <f>'Raw Operating'!H39</f>
        <v>0.47399999999999998</v>
      </c>
      <c r="I8" s="19">
        <f>'Raw Operating'!I39</f>
        <v>0.47910000000000003</v>
      </c>
      <c r="J8" s="19">
        <f>'Raw Operating'!J39</f>
        <v>0.49930000000000002</v>
      </c>
      <c r="K8" s="19">
        <f>'Raw Operating'!K39</f>
        <v>0.51829999999999998</v>
      </c>
      <c r="L8" s="19">
        <f>'Raw Operating'!L39</f>
        <v>0.50699748293063152</v>
      </c>
      <c r="M8" s="19">
        <f>'Raw Operating'!M39</f>
        <v>0.49811039258125572</v>
      </c>
      <c r="N8" s="28">
        <f>M8</f>
        <v>0.49811039258125572</v>
      </c>
      <c r="O8" s="28">
        <f>N8</f>
        <v>0.49811039258125572</v>
      </c>
      <c r="P8" s="28">
        <f>O8</f>
        <v>0.49811039258125572</v>
      </c>
      <c r="Q8" s="28">
        <f>P8</f>
        <v>0.49811039258125572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553</v>
      </c>
      <c r="B9" s="1" t="s">
        <v>44</v>
      </c>
      <c r="C9" s="18">
        <f>C8*'Annual P&amp;L'!C7</f>
        <v>12661.107016883388</v>
      </c>
      <c r="D9" s="18">
        <f>D8*'Annual P&amp;L'!D7</f>
        <v>13757.493276883175</v>
      </c>
      <c r="E9" s="18">
        <f>E8*'Annual P&amp;L'!E7</f>
        <v>14334.153521725766</v>
      </c>
      <c r="F9" s="18">
        <f>F8*'Annual P&amp;L'!F7</f>
        <v>16414.657706846992</v>
      </c>
      <c r="G9" s="18">
        <f>G8*'Annual P&amp;L'!G7</f>
        <v>17714.919759499997</v>
      </c>
      <c r="H9" s="18">
        <f>H8*'Annual P&amp;L'!H7</f>
        <v>17943.308394</v>
      </c>
      <c r="I9" s="18">
        <f>I8*'Annual P&amp;L'!I7</f>
        <v>21389.881352400003</v>
      </c>
      <c r="J9" s="18">
        <f>J8*'Annual P&amp;L'!J7</f>
        <v>26607.780383100006</v>
      </c>
      <c r="K9" s="18">
        <f>K8*'Annual P&amp;L'!K7</f>
        <v>26949.288900299998</v>
      </c>
      <c r="L9" s="18">
        <f>L8*'Annual P&amp;L'!L7</f>
        <v>26864.93487888922</v>
      </c>
      <c r="M9" s="18">
        <f>M8*'Annual P&amp;L'!M7</f>
        <v>28300.340999416803</v>
      </c>
      <c r="N9" s="32">
        <f>N8*'Annual P&amp;L'!N7</f>
        <v>29002.914951253821</v>
      </c>
      <c r="O9" s="32">
        <f>O8*'Annual P&amp;L'!O7</f>
        <v>30115.806707061751</v>
      </c>
      <c r="P9" s="32">
        <f>P8*'Annual P&amp;L'!P7</f>
        <v>31549.306891273518</v>
      </c>
      <c r="Q9" s="32">
        <f>Q8*'Annual P&amp;L'!Q7</f>
        <v>33250.45285623621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452</v>
      </c>
      <c r="B10" s="1" t="s">
        <v>46</v>
      </c>
      <c r="C10" s="19">
        <f>'Raw Operating'!C40</f>
        <v>0.29038553541744466</v>
      </c>
      <c r="D10" s="19">
        <f>'Raw Operating'!D40</f>
        <v>0.29253597318790192</v>
      </c>
      <c r="E10" s="19">
        <f>'Raw Operating'!E40</f>
        <v>0.29830438716850421</v>
      </c>
      <c r="F10" s="19">
        <f>'Raw Operating'!F40</f>
        <v>0.29272929421005972</v>
      </c>
      <c r="G10" s="19">
        <f>'Raw Operating'!G40</f>
        <v>0.26900000000000002</v>
      </c>
      <c r="H10" s="19">
        <f>'Raw Operating'!H40</f>
        <v>0.25969999999999999</v>
      </c>
      <c r="I10" s="19">
        <f>'Raw Operating'!I40</f>
        <v>0.26240000000000002</v>
      </c>
      <c r="J10" s="19">
        <f>'Raw Operating'!J40</f>
        <v>0.2492</v>
      </c>
      <c r="K10" s="19">
        <f>'Raw Operating'!K40</f>
        <v>0.24030000000000001</v>
      </c>
      <c r="L10" s="19">
        <f>'Raw Operating'!L40</f>
        <v>0.24110791221005612</v>
      </c>
      <c r="M10" s="19">
        <f>'Raw Operating'!M40</f>
        <v>0.25757022054724887</v>
      </c>
      <c r="N10" s="28">
        <f>M10</f>
        <v>0.25757022054724887</v>
      </c>
      <c r="O10" s="28">
        <f>N10</f>
        <v>0.25757022054724887</v>
      </c>
      <c r="P10" s="28">
        <f>O10</f>
        <v>0.25757022054724887</v>
      </c>
      <c r="Q10" s="28">
        <f>P10</f>
        <v>0.25757022054724887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554</v>
      </c>
      <c r="B11" s="1" t="s">
        <v>44</v>
      </c>
      <c r="C11" s="18">
        <f>C10*'Annual P&amp;L'!C7</f>
        <v>7693.5418168464039</v>
      </c>
      <c r="D11" s="18">
        <f>D10*'Annual P&amp;L'!D7</f>
        <v>8524.7444147575552</v>
      </c>
      <c r="E11" s="18">
        <f>E10*'Annual P&amp;L'!E7</f>
        <v>9179.6854542321671</v>
      </c>
      <c r="F11" s="18">
        <f>F10*'Annual P&amp;L'!F7</f>
        <v>10170.039672515264</v>
      </c>
      <c r="G11" s="18">
        <f>G10*'Annual P&amp;L'!G7</f>
        <v>9917.4056509999991</v>
      </c>
      <c r="H11" s="18">
        <f>H10*'Annual P&amp;L'!H7</f>
        <v>9830.964535699999</v>
      </c>
      <c r="I11" s="18">
        <f>I10*'Annual P&amp;L'!I7</f>
        <v>11715.100953600004</v>
      </c>
      <c r="J11" s="18">
        <f>J10*'Annual P&amp;L'!J7</f>
        <v>13279.909616400002</v>
      </c>
      <c r="K11" s="18">
        <f>K10*'Annual P&amp;L'!K7</f>
        <v>12494.5285023</v>
      </c>
      <c r="L11" s="18">
        <f>L10*'Annual P&amp;L'!L7</f>
        <v>12775.898457851597</v>
      </c>
      <c r="M11" s="18">
        <f>M10*'Annual P&amp;L'!M7</f>
        <v>14633.955005452015</v>
      </c>
      <c r="N11" s="32">
        <f>N10*'Annual P&amp;L'!N7</f>
        <v>14997.252239199037</v>
      </c>
      <c r="O11" s="32">
        <f>O10*'Annual P&amp;L'!O7</f>
        <v>15572.722615360488</v>
      </c>
      <c r="P11" s="32">
        <f>P10*'Annual P&amp;L'!P7</f>
        <v>16313.977895517517</v>
      </c>
      <c r="Q11" s="32">
        <f>Q10*'Annual P&amp;L'!Q7</f>
        <v>17193.631377766487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453</v>
      </c>
      <c r="B12" s="1" t="s">
        <v>46</v>
      </c>
      <c r="C12" s="19">
        <f>'Raw Operating'!C41</f>
        <v>0.23173282988153096</v>
      </c>
      <c r="D12" s="19">
        <f>'Raw Operating'!D41</f>
        <v>0.23536052568988933</v>
      </c>
      <c r="E12" s="19">
        <f>'Raw Operating'!E41</f>
        <v>0.23589088529518387</v>
      </c>
      <c r="F12" s="19">
        <f>'Raw Operating'!F41</f>
        <v>0.23479947460971343</v>
      </c>
      <c r="G12" s="19">
        <f>'Raw Operating'!G41</f>
        <v>0.25009999999999999</v>
      </c>
      <c r="H12" s="19">
        <f>'Raw Operating'!H41</f>
        <v>0.26569999999999999</v>
      </c>
      <c r="I12" s="19">
        <f>'Raw Operating'!I41</f>
        <v>0.25800000000000001</v>
      </c>
      <c r="J12" s="19">
        <f>'Raw Operating'!J41</f>
        <v>0.25140000000000001</v>
      </c>
      <c r="K12" s="19">
        <f>'Raw Operating'!K41</f>
        <v>0.2414</v>
      </c>
      <c r="L12" s="19">
        <f>'Raw Operating'!L41</f>
        <v>0.25199460485931224</v>
      </c>
      <c r="M12" s="19">
        <f>'Raw Operating'!M41</f>
        <v>0.2443086154602761</v>
      </c>
      <c r="N12" s="28">
        <f>M12</f>
        <v>0.2443086154602761</v>
      </c>
      <c r="O12" s="28">
        <f>N12</f>
        <v>0.2443086154602761</v>
      </c>
      <c r="P12" s="28">
        <f>O12</f>
        <v>0.2443086154602761</v>
      </c>
      <c r="Q12" s="28">
        <f>P12</f>
        <v>0.2443086154602761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555</v>
      </c>
      <c r="B13" s="1" t="s">
        <v>44</v>
      </c>
      <c r="C13" s="18">
        <f>C12*'Annual P&amp;L'!C7</f>
        <v>6139.5834143969187</v>
      </c>
      <c r="D13" s="18">
        <f>D12*'Annual P&amp;L'!D7</f>
        <v>6858.6037640592713</v>
      </c>
      <c r="E13" s="18">
        <f>E12*'Annual P&amp;L'!E7</f>
        <v>7259.0421786420757</v>
      </c>
      <c r="F13" s="18">
        <f>F12*'Annual P&amp;L'!F7</f>
        <v>8157.4342544377459</v>
      </c>
      <c r="G13" s="18">
        <f>G12*'Annual P&amp;L'!G7</f>
        <v>9220.6065178999979</v>
      </c>
      <c r="H13" s="18">
        <f>H12*'Annual P&amp;L'!H7</f>
        <v>10058.095021699999</v>
      </c>
      <c r="I13" s="18">
        <f>I12*'Annual P&amp;L'!I7</f>
        <v>11518.658712000002</v>
      </c>
      <c r="J13" s="18">
        <f>J12*'Annual P&amp;L'!J7</f>
        <v>13397.147983800003</v>
      </c>
      <c r="K13" s="18">
        <f>K12*'Annual P&amp;L'!K7</f>
        <v>12551.7235974</v>
      </c>
      <c r="L13" s="18">
        <f>L12*'Annual P&amp;L'!L7</f>
        <v>13352.76579726749</v>
      </c>
      <c r="M13" s="18">
        <f>M12*'Annual P&amp;L'!M7</f>
        <v>13880.491613098267</v>
      </c>
      <c r="N13" s="32">
        <f>N12*'Annual P&amp;L'!N7</f>
        <v>14225.083639259932</v>
      </c>
      <c r="O13" s="32">
        <f>O12*'Annual P&amp;L'!O7</f>
        <v>14770.924577469705</v>
      </c>
      <c r="P13" s="32">
        <f>P12*'Annual P&amp;L'!P7</f>
        <v>15474.014596234365</v>
      </c>
      <c r="Q13" s="32">
        <f>Q12*'Annual P&amp;L'!Q7</f>
        <v>16308.377062036709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536</v>
      </c>
      <c r="B14" s="1" t="s">
        <v>46</v>
      </c>
      <c r="C14" s="19">
        <f t="shared" ref="C14:Q14" si="0">SUM(C8,C10,C12)</f>
        <v>1</v>
      </c>
      <c r="D14" s="19">
        <f t="shared" si="0"/>
        <v>1.0000000000000002</v>
      </c>
      <c r="E14" s="19">
        <f t="shared" si="0"/>
        <v>1</v>
      </c>
      <c r="F14" s="19">
        <f t="shared" si="0"/>
        <v>0.99999999999999989</v>
      </c>
      <c r="G14" s="19">
        <f t="shared" si="0"/>
        <v>0.99960000000000004</v>
      </c>
      <c r="H14" s="19">
        <f t="shared" si="0"/>
        <v>0.99940000000000007</v>
      </c>
      <c r="I14" s="19">
        <f t="shared" si="0"/>
        <v>0.99950000000000006</v>
      </c>
      <c r="J14" s="19">
        <f t="shared" si="0"/>
        <v>0.99990000000000001</v>
      </c>
      <c r="K14" s="19">
        <f t="shared" si="0"/>
        <v>1</v>
      </c>
      <c r="L14" s="19">
        <f t="shared" si="0"/>
        <v>1.0000999999999998</v>
      </c>
      <c r="M14" s="19">
        <f t="shared" si="0"/>
        <v>0.99998922858878059</v>
      </c>
      <c r="N14" s="28">
        <f t="shared" si="0"/>
        <v>0.99998922858878059</v>
      </c>
      <c r="O14" s="28">
        <f t="shared" si="0"/>
        <v>0.99998922858878059</v>
      </c>
      <c r="P14" s="28">
        <f t="shared" si="0"/>
        <v>0.99998922858878059</v>
      </c>
      <c r="Q14" s="28">
        <f t="shared" si="0"/>
        <v>0.99998922858878059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6"/>
      <c r="O15" s="36"/>
      <c r="P15" s="36"/>
      <c r="Q15" s="3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8" customHeight="1">
      <c r="A16" s="73" t="s">
        <v>556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5"/>
      <c r="O16" s="75"/>
      <c r="P16" s="75"/>
      <c r="Q16" s="7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442</v>
      </c>
      <c r="B17" s="1" t="s">
        <v>46</v>
      </c>
      <c r="C17" s="19">
        <f>'Raw Operating'!C30</f>
        <v>0.62148792931477481</v>
      </c>
      <c r="D17" s="19">
        <f>'Raw Operating'!D30</f>
        <v>0.63763805001352114</v>
      </c>
      <c r="E17" s="19">
        <f>'Raw Operating'!E30</f>
        <v>0.65070223366587532</v>
      </c>
      <c r="F17" s="19">
        <f>'Raw Operating'!F30</f>
        <v>0.65443058612258964</v>
      </c>
      <c r="G17" s="19">
        <f>'Raw Operating'!G30</f>
        <v>0.65269999999999995</v>
      </c>
      <c r="H17" s="19">
        <f>'Raw Operating'!H30</f>
        <v>0.63160000000000005</v>
      </c>
      <c r="I17" s="19">
        <f>'Raw Operating'!I30</f>
        <v>0.61629999999999996</v>
      </c>
      <c r="J17" s="19">
        <f>'Raw Operating'!J30</f>
        <v>0</v>
      </c>
      <c r="K17" s="19">
        <f>'Raw Operating'!K30</f>
        <v>0</v>
      </c>
      <c r="L17" s="19">
        <f>'Raw Operating'!L30</f>
        <v>0</v>
      </c>
      <c r="M17" s="19">
        <f>'Raw Operating'!M30</f>
        <v>0</v>
      </c>
      <c r="N17" s="36"/>
      <c r="O17" s="36"/>
      <c r="P17" s="36"/>
      <c r="Q17" s="36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443</v>
      </c>
      <c r="B18" s="1" t="s">
        <v>46</v>
      </c>
      <c r="C18" s="19">
        <f>'Raw Operating'!C31</f>
        <v>0.37851207068522513</v>
      </c>
      <c r="D18" s="19">
        <f>'Raw Operating'!D31</f>
        <v>0.36236194998647875</v>
      </c>
      <c r="E18" s="19">
        <f>'Raw Operating'!E31</f>
        <v>0.34929776633412463</v>
      </c>
      <c r="F18" s="19">
        <f>'Raw Operating'!F31</f>
        <v>0.34556941387741041</v>
      </c>
      <c r="G18" s="19">
        <f>'Raw Operating'!G31</f>
        <v>0.34699999999999998</v>
      </c>
      <c r="H18" s="19">
        <f>'Raw Operating'!H31</f>
        <v>0.36830000000000002</v>
      </c>
      <c r="I18" s="19">
        <f>'Raw Operating'!I31</f>
        <v>0.3836</v>
      </c>
      <c r="J18" s="19">
        <f>'Raw Operating'!J31</f>
        <v>0</v>
      </c>
      <c r="K18" s="19">
        <f>'Raw Operating'!K31</f>
        <v>0</v>
      </c>
      <c r="L18" s="19">
        <f>'Raw Operating'!L31</f>
        <v>0</v>
      </c>
      <c r="M18" s="19">
        <f>'Raw Operating'!M31</f>
        <v>0</v>
      </c>
      <c r="N18" s="36"/>
      <c r="O18" s="36"/>
      <c r="P18" s="36"/>
      <c r="Q18" s="3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557</v>
      </c>
      <c r="B19" s="1" t="s">
        <v>46</v>
      </c>
      <c r="C19" s="19">
        <f t="shared" ref="C19:Q19" si="1">IF(COUNT(C17:C18)=0,"",SUM(C17:C18))</f>
        <v>1</v>
      </c>
      <c r="D19" s="19">
        <f t="shared" si="1"/>
        <v>0.99999999999999989</v>
      </c>
      <c r="E19" s="19">
        <f t="shared" si="1"/>
        <v>1</v>
      </c>
      <c r="F19" s="19">
        <f t="shared" si="1"/>
        <v>1</v>
      </c>
      <c r="G19" s="19">
        <f t="shared" si="1"/>
        <v>0.99969999999999992</v>
      </c>
      <c r="H19" s="19">
        <f t="shared" si="1"/>
        <v>0.99990000000000001</v>
      </c>
      <c r="I19" s="19">
        <f t="shared" si="1"/>
        <v>0.99990000000000001</v>
      </c>
      <c r="J19" s="19">
        <f t="shared" si="1"/>
        <v>0</v>
      </c>
      <c r="K19" s="19">
        <f t="shared" si="1"/>
        <v>0</v>
      </c>
      <c r="L19" s="19">
        <f t="shared" si="1"/>
        <v>0</v>
      </c>
      <c r="M19" s="19">
        <f t="shared" si="1"/>
        <v>0</v>
      </c>
      <c r="N19" s="28" t="str">
        <f t="shared" si="1"/>
        <v/>
      </c>
      <c r="O19" s="28" t="str">
        <f t="shared" si="1"/>
        <v/>
      </c>
      <c r="P19" s="28" t="str">
        <f t="shared" si="1"/>
        <v/>
      </c>
      <c r="Q19" s="28" t="str">
        <f t="shared" si="1"/>
        <v/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444</v>
      </c>
      <c r="B20" s="1" t="s">
        <v>46</v>
      </c>
      <c r="C20" s="19">
        <f>'Raw Operating'!C32</f>
        <v>0</v>
      </c>
      <c r="D20" s="19">
        <f>'Raw Operating'!D32</f>
        <v>0</v>
      </c>
      <c r="E20" s="19">
        <f>'Raw Operating'!E32</f>
        <v>0</v>
      </c>
      <c r="F20" s="19">
        <f>'Raw Operating'!F32</f>
        <v>0</v>
      </c>
      <c r="G20" s="19">
        <f>'Raw Operating'!G32</f>
        <v>0</v>
      </c>
      <c r="H20" s="19">
        <f>'Raw Operating'!H32</f>
        <v>0</v>
      </c>
      <c r="I20" s="19">
        <f>'Raw Operating'!I32</f>
        <v>0.27594086693973791</v>
      </c>
      <c r="J20" s="19">
        <f>'Raw Operating'!J32</f>
        <v>0.27296450161358754</v>
      </c>
      <c r="K20" s="19">
        <f>'Raw Operating'!K32</f>
        <v>0.26190000000000002</v>
      </c>
      <c r="L20" s="19">
        <f>'Raw Operating'!L32</f>
        <v>0.23275620778795403</v>
      </c>
      <c r="M20" s="19">
        <f>'Raw Operating'!M32</f>
        <v>0.21875244315651621</v>
      </c>
      <c r="N20" s="28">
        <f t="shared" ref="N20:Q21" si="2">M20</f>
        <v>0.21875244315651621</v>
      </c>
      <c r="O20" s="28">
        <f t="shared" si="2"/>
        <v>0.21875244315651621</v>
      </c>
      <c r="P20" s="28">
        <f t="shared" si="2"/>
        <v>0.21875244315651621</v>
      </c>
      <c r="Q20" s="28">
        <f t="shared" si="2"/>
        <v>0.21875244315651621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445</v>
      </c>
      <c r="B21" s="1" t="s">
        <v>46</v>
      </c>
      <c r="C21" s="19">
        <f>'Raw Operating'!C33</f>
        <v>0</v>
      </c>
      <c r="D21" s="19">
        <f>'Raw Operating'!D33</f>
        <v>0</v>
      </c>
      <c r="E21" s="19">
        <f>'Raw Operating'!E33</f>
        <v>0</v>
      </c>
      <c r="F21" s="19">
        <f>'Raw Operating'!F33</f>
        <v>0</v>
      </c>
      <c r="G21" s="19">
        <f>'Raw Operating'!G33</f>
        <v>0</v>
      </c>
      <c r="H21" s="19">
        <f>'Raw Operating'!H33</f>
        <v>0</v>
      </c>
      <c r="I21" s="19">
        <f>'Raw Operating'!I33</f>
        <v>0.72405913306026204</v>
      </c>
      <c r="J21" s="19">
        <f>'Raw Operating'!J33</f>
        <v>0.72703549838641246</v>
      </c>
      <c r="K21" s="19">
        <f>'Raw Operating'!K33</f>
        <v>0.73809999999999998</v>
      </c>
      <c r="L21" s="19">
        <f>'Raw Operating'!L33</f>
        <v>0.76724379221204586</v>
      </c>
      <c r="M21" s="19">
        <f>'Raw Operating'!M33</f>
        <v>0.78124755684348379</v>
      </c>
      <c r="N21" s="28">
        <f t="shared" si="2"/>
        <v>0.78124755684348379</v>
      </c>
      <c r="O21" s="28">
        <f t="shared" si="2"/>
        <v>0.78124755684348379</v>
      </c>
      <c r="P21" s="28">
        <f t="shared" si="2"/>
        <v>0.78124755684348379</v>
      </c>
      <c r="Q21" s="28">
        <f t="shared" si="2"/>
        <v>0.78124755684348379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558</v>
      </c>
      <c r="B22" s="1" t="s">
        <v>46</v>
      </c>
      <c r="C22" s="19">
        <f t="shared" ref="C22:Q22" si="3">IF(COUNT(C20:C21)=0,"",SUM(C20:C21))</f>
        <v>0</v>
      </c>
      <c r="D22" s="19">
        <f t="shared" si="3"/>
        <v>0</v>
      </c>
      <c r="E22" s="19">
        <f t="shared" si="3"/>
        <v>0</v>
      </c>
      <c r="F22" s="19">
        <f t="shared" si="3"/>
        <v>0</v>
      </c>
      <c r="G22" s="19">
        <f t="shared" si="3"/>
        <v>0</v>
      </c>
      <c r="H22" s="19">
        <f t="shared" si="3"/>
        <v>0</v>
      </c>
      <c r="I22" s="19">
        <f t="shared" si="3"/>
        <v>1</v>
      </c>
      <c r="J22" s="19">
        <f t="shared" si="3"/>
        <v>1</v>
      </c>
      <c r="K22" s="19">
        <f t="shared" si="3"/>
        <v>1</v>
      </c>
      <c r="L22" s="19">
        <f t="shared" si="3"/>
        <v>0.99999999999999989</v>
      </c>
      <c r="M22" s="19">
        <f t="shared" si="3"/>
        <v>1</v>
      </c>
      <c r="N22" s="28">
        <f t="shared" si="3"/>
        <v>1</v>
      </c>
      <c r="O22" s="28">
        <f t="shared" si="3"/>
        <v>1</v>
      </c>
      <c r="P22" s="28">
        <f t="shared" si="3"/>
        <v>1</v>
      </c>
      <c r="Q22" s="28">
        <f t="shared" si="3"/>
        <v>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6"/>
      <c r="O23" s="36"/>
      <c r="P23" s="36"/>
      <c r="Q23" s="3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8" customHeight="1">
      <c r="A24" s="73" t="s">
        <v>559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5"/>
      <c r="O24" s="75"/>
      <c r="P24" s="75"/>
      <c r="Q24" s="7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560</v>
      </c>
      <c r="B25" s="1" t="s">
        <v>46</v>
      </c>
      <c r="C25" s="19">
        <f>'Raw Operating'!C34</f>
        <v>0.51051503320210789</v>
      </c>
      <c r="D25" s="19">
        <f>'Raw Operating'!D34</f>
        <v>0.48348980828197713</v>
      </c>
      <c r="E25" s="19">
        <f>'Raw Operating'!E34</f>
        <v>0.48115697436566029</v>
      </c>
      <c r="F25" s="19">
        <f>'Raw Operating'!F34</f>
        <v>0.48217645964005829</v>
      </c>
      <c r="G25" s="19">
        <f>'Raw Operating'!G34</f>
        <v>0.49764000000000003</v>
      </c>
      <c r="H25" s="19">
        <f>'Raw Operating'!H34</f>
        <v>0.5121</v>
      </c>
      <c r="I25" s="19">
        <f>'Raw Operating'!I34</f>
        <v>0.51390000000000002</v>
      </c>
      <c r="J25" s="19">
        <f>'Raw Operating'!J34</f>
        <v>0.51629999999999998</v>
      </c>
      <c r="K25" s="19">
        <f>'Raw Operating'!K34</f>
        <v>0.53249999999999997</v>
      </c>
      <c r="L25" s="19">
        <f>'Raw Operating'!L34</f>
        <v>0.52345602278615966</v>
      </c>
      <c r="M25" s="19">
        <f>'Raw Operating'!M34</f>
        <v>0.51447327454051139</v>
      </c>
      <c r="N25" s="28">
        <f>M25</f>
        <v>0.51447327454051139</v>
      </c>
      <c r="O25" s="28">
        <f>N25</f>
        <v>0.51447327454051139</v>
      </c>
      <c r="P25" s="28">
        <f>O25</f>
        <v>0.51447327454051139</v>
      </c>
      <c r="Q25" s="28">
        <f>P25</f>
        <v>0.51447327454051139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47</v>
      </c>
      <c r="B26" s="1" t="s">
        <v>44</v>
      </c>
      <c r="C26" s="18">
        <f>C25*'Annual P&amp;L'!C7</f>
        <v>13525.703855816766</v>
      </c>
      <c r="D26" s="18">
        <f>D25*'Annual P&amp;L'!D7</f>
        <v>14089.299848591883</v>
      </c>
      <c r="E26" s="18">
        <f>E25*'Annual P&amp;L'!E7</f>
        <v>14806.586388861386</v>
      </c>
      <c r="F26" s="18">
        <f>F25*'Annual P&amp;L'!F7</f>
        <v>16751.83803153456</v>
      </c>
      <c r="G26" s="18">
        <f>G25*'Annual P&amp;L'!G7</f>
        <v>18346.831777560001</v>
      </c>
      <c r="H26" s="18">
        <f>H25*'Annual P&amp;L'!H7</f>
        <v>19385.586980100001</v>
      </c>
      <c r="I26" s="18">
        <f>I25*'Annual P&amp;L'!I7</f>
        <v>22943.560899600005</v>
      </c>
      <c r="J26" s="18">
        <f>J25*'Annual P&amp;L'!J7</f>
        <v>27513.713222100003</v>
      </c>
      <c r="K26" s="18">
        <f>K25*'Annual P&amp;L'!K7</f>
        <v>27687.625582499997</v>
      </c>
      <c r="L26" s="18">
        <f>L25*'Annual P&amp;L'!L7</f>
        <v>27737.044931318935</v>
      </c>
      <c r="M26" s="18">
        <f>M25*'Annual P&amp;L'!M7</f>
        <v>29230.004676539538</v>
      </c>
      <c r="N26" s="32">
        <f>N25*'Annual P&amp;L'!N7</f>
        <v>29955.658120016924</v>
      </c>
      <c r="O26" s="32">
        <f>O25*'Annual P&amp;L'!O7</f>
        <v>31105.108270720706</v>
      </c>
      <c r="P26" s="32">
        <f>P25*'Annual P&amp;L'!P7</f>
        <v>32585.698808099518</v>
      </c>
      <c r="Q26" s="32">
        <f>Q25*'Annual P&amp;L'!Q7</f>
        <v>34342.727266249916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561</v>
      </c>
      <c r="B27" s="1" t="s">
        <v>46</v>
      </c>
      <c r="C27" s="19">
        <f>'Raw Operating'!C35</f>
        <v>0.1202213794812671</v>
      </c>
      <c r="D27" s="19">
        <f>'Raw Operating'!D35</f>
        <v>0.11441513819140536</v>
      </c>
      <c r="E27" s="19">
        <f>'Raw Operating'!E35</f>
        <v>0.11881194737931283</v>
      </c>
      <c r="F27" s="19">
        <f>'Raw Operating'!F35</f>
        <v>0.11551672755891446</v>
      </c>
      <c r="G27" s="19">
        <f>'Raw Operating'!G35</f>
        <v>0.115</v>
      </c>
      <c r="H27" s="19">
        <f>'Raw Operating'!H35</f>
        <v>0.1125</v>
      </c>
      <c r="I27" s="19">
        <f>'Raw Operating'!I35</f>
        <v>0.1085</v>
      </c>
      <c r="J27" s="19">
        <f>'Raw Operating'!J35</f>
        <v>0.10100000000000001</v>
      </c>
      <c r="K27" s="19">
        <f>'Raw Operating'!K35</f>
        <v>9.3799999999999994E-2</v>
      </c>
      <c r="L27" s="19">
        <f>'Raw Operating'!L35</f>
        <v>9.4952508680467743E-2</v>
      </c>
      <c r="M27" s="19">
        <f>'Raw Operating'!M35</f>
        <v>9.3809011789269259E-2</v>
      </c>
      <c r="N27" s="28">
        <f>M27</f>
        <v>9.3809011789269259E-2</v>
      </c>
      <c r="O27" s="28">
        <f>N27</f>
        <v>9.3809011789269259E-2</v>
      </c>
      <c r="P27" s="28">
        <f>O27</f>
        <v>9.3809011789269259E-2</v>
      </c>
      <c r="Q27" s="28">
        <f>P27</f>
        <v>9.3809011789269259E-2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562</v>
      </c>
      <c r="B28" s="1" t="s">
        <v>44</v>
      </c>
      <c r="C28" s="18">
        <f>C27*'Annual P&amp;L'!C7</f>
        <v>3185.1731491668656</v>
      </c>
      <c r="D28" s="18">
        <f>D27*'Annual P&amp;L'!D7</f>
        <v>3334.1534021677498</v>
      </c>
      <c r="E28" s="18">
        <f>E27*'Annual P&amp;L'!E7</f>
        <v>3656.1859364501834</v>
      </c>
      <c r="F28" s="18">
        <f>F27*'Annual P&amp;L'!F7</f>
        <v>4013.2973547576185</v>
      </c>
      <c r="G28" s="18">
        <f>G27*'Annual P&amp;L'!G7</f>
        <v>4239.783085</v>
      </c>
      <c r="H28" s="18">
        <f>H27*'Annual P&amp;L'!H7</f>
        <v>4258.6966124999999</v>
      </c>
      <c r="I28" s="18">
        <f>I27*'Annual P&amp;L'!I7</f>
        <v>4844.0870940000004</v>
      </c>
      <c r="J28" s="18">
        <f>J27*'Annual P&amp;L'!J7</f>
        <v>5382.3068670000011</v>
      </c>
      <c r="K28" s="18">
        <f>K27*'Annual P&amp;L'!K7</f>
        <v>4877.1817457999996</v>
      </c>
      <c r="L28" s="18">
        <f>L27*'Annual P&amp;L'!L7</f>
        <v>5031.3720445766949</v>
      </c>
      <c r="M28" s="18">
        <f>M27*'Annual P&amp;L'!M7</f>
        <v>5329.7964908884214</v>
      </c>
      <c r="N28" s="32">
        <f>N27*'Annual P&amp;L'!N7</f>
        <v>5462.1120761729853</v>
      </c>
      <c r="O28" s="32">
        <f>O27*'Annual P&amp;L'!O7</f>
        <v>5671.7027159100107</v>
      </c>
      <c r="P28" s="32">
        <f>P27*'Annual P&amp;L'!P7</f>
        <v>5941.6734647309258</v>
      </c>
      <c r="Q28" s="32">
        <f>Q27*'Annual P&amp;L'!Q7</f>
        <v>6262.0498797972314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563</v>
      </c>
      <c r="B29" s="1" t="s">
        <v>46</v>
      </c>
      <c r="C29" s="19">
        <f>'Raw Operating'!C36</f>
        <v>0.11525050025645193</v>
      </c>
      <c r="D29" s="19">
        <f>'Raw Operating'!D36</f>
        <v>0.11689894856205812</v>
      </c>
      <c r="E29" s="19">
        <f>'Raw Operating'!E36</f>
        <v>0.11433921673467315</v>
      </c>
      <c r="F29" s="19">
        <f>'Raw Operating'!F36</f>
        <v>0.10990381784262479</v>
      </c>
      <c r="G29" s="19">
        <f>'Raw Operating'!G36</f>
        <v>9.4100000000000003E-2</v>
      </c>
      <c r="H29" s="19">
        <f>'Raw Operating'!H36</f>
        <v>9.1399999999999995E-2</v>
      </c>
      <c r="I29" s="19">
        <f>'Raw Operating'!I36</f>
        <v>0.1051</v>
      </c>
      <c r="J29" s="19">
        <f>'Raw Operating'!J36</f>
        <v>0.1134</v>
      </c>
      <c r="K29" s="19">
        <f>'Raw Operating'!K36</f>
        <v>0.1124</v>
      </c>
      <c r="L29" s="19">
        <f>'Raw Operating'!L36</f>
        <v>0.1177995353802645</v>
      </c>
      <c r="M29" s="19">
        <f>'Raw Operating'!M36</f>
        <v>0.13582989718209065</v>
      </c>
      <c r="N29" s="28">
        <f>M29</f>
        <v>0.13582989718209065</v>
      </c>
      <c r="O29" s="28">
        <f>N29</f>
        <v>0.13582989718209065</v>
      </c>
      <c r="P29" s="28">
        <f>O29</f>
        <v>0.13582989718209065</v>
      </c>
      <c r="Q29" s="28">
        <f>P29</f>
        <v>0.13582989718209065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564</v>
      </c>
      <c r="B30" s="1" t="s">
        <v>44</v>
      </c>
      <c r="C30" s="18">
        <f>C29*'Annual P&amp;L'!C7</f>
        <v>3053.4735205072247</v>
      </c>
      <c r="D30" s="18">
        <f>D29*'Annual P&amp;L'!D7</f>
        <v>3406.5337263849651</v>
      </c>
      <c r="E30" s="18">
        <f>E29*'Annual P&amp;L'!E7</f>
        <v>3518.5471278861492</v>
      </c>
      <c r="F30" s="18">
        <f>F29*'Annual P&amp;L'!F7</f>
        <v>3818.2929065456478</v>
      </c>
      <c r="G30" s="18">
        <f>G29*'Annual P&amp;L'!G7</f>
        <v>3469.2485938999998</v>
      </c>
      <c r="H30" s="18">
        <f>H29*'Annual P&amp;L'!H7</f>
        <v>3459.9544033999996</v>
      </c>
      <c r="I30" s="18">
        <f>I29*'Annual P&amp;L'!I7</f>
        <v>4692.2908164000009</v>
      </c>
      <c r="J30" s="18">
        <f>J29*'Annual P&amp;L'!J7</f>
        <v>6043.1049378000007</v>
      </c>
      <c r="K30" s="18">
        <f>K29*'Annual P&amp;L'!K7</f>
        <v>5844.2988083999999</v>
      </c>
      <c r="L30" s="18">
        <f>L29*'Annual P&amp;L'!L7</f>
        <v>6241.9971563985264</v>
      </c>
      <c r="M30" s="18">
        <f>M29*'Annual P&amp;L'!M7</f>
        <v>7717.2298860273622</v>
      </c>
      <c r="N30" s="32">
        <f>N29*'Annual P&amp;L'!N7</f>
        <v>7908.8150227001934</v>
      </c>
      <c r="O30" s="32">
        <f>O29*'Annual P&amp;L'!O7</f>
        <v>8212.289864858858</v>
      </c>
      <c r="P30" s="32">
        <f>P29*'Annual P&amp;L'!P7</f>
        <v>8603.1915315014176</v>
      </c>
      <c r="Q30" s="32">
        <f>Q29*'Annual P&amp;L'!Q7</f>
        <v>9067.0776197141167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565</v>
      </c>
      <c r="B31" s="1" t="s">
        <v>46</v>
      </c>
      <c r="C31" s="19">
        <f>'Raw Operating'!C37</f>
        <v>4.6949801330024278E-2</v>
      </c>
      <c r="D31" s="19">
        <f>'Raw Operating'!D37</f>
        <v>4.5848489688506612E-2</v>
      </c>
      <c r="E31" s="19">
        <f>'Raw Operating'!E37</f>
        <v>4.8163993580381516E-2</v>
      </c>
      <c r="F31" s="19">
        <f>'Raw Operating'!F37</f>
        <v>4.911111186790354E-2</v>
      </c>
      <c r="G31" s="19">
        <f>'Raw Operating'!G37</f>
        <v>4.6300000000000001E-2</v>
      </c>
      <c r="H31" s="19">
        <f>'Raw Operating'!H37</f>
        <v>4.5900000000000003E-2</v>
      </c>
      <c r="I31" s="19">
        <f>'Raw Operating'!I37</f>
        <v>4.3200000000000002E-2</v>
      </c>
      <c r="J31" s="19">
        <f>'Raw Operating'!J37</f>
        <v>3.8699999999999998E-2</v>
      </c>
      <c r="K31" s="19">
        <f>'Raw Operating'!K37</f>
        <v>3.7499999999999999E-2</v>
      </c>
      <c r="L31" s="19">
        <f>'Raw Operating'!L37</f>
        <v>4.7702174236319526E-2</v>
      </c>
      <c r="M31" s="19">
        <f>'Raw Operating'!M37</f>
        <v>5.4493229827060716E-2</v>
      </c>
      <c r="N31" s="28">
        <f>M31</f>
        <v>5.4493229827060716E-2</v>
      </c>
      <c r="O31" s="28">
        <f>N31</f>
        <v>5.4493229827060716E-2</v>
      </c>
      <c r="P31" s="28">
        <f>O31</f>
        <v>5.4493229827060716E-2</v>
      </c>
      <c r="Q31" s="28">
        <f>P31</f>
        <v>5.4493229827060716E-2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566</v>
      </c>
      <c r="B32" s="1" t="s">
        <v>44</v>
      </c>
      <c r="C32" s="18">
        <f>C31*'Annual P&amp;L'!C7</f>
        <v>1243.8989404410715</v>
      </c>
      <c r="D32" s="18">
        <f>D31*'Annual P&amp;L'!D7</f>
        <v>1336.0635689960675</v>
      </c>
      <c r="E32" s="18">
        <f>E31*'Annual P&amp;L'!E7</f>
        <v>1482.1448503799982</v>
      </c>
      <c r="F32" s="18">
        <f>F31*'Annual P&amp;L'!F7</f>
        <v>1706.2247131969823</v>
      </c>
      <c r="G32" s="18">
        <f>G31*'Annual P&amp;L'!G7</f>
        <v>1706.9735377</v>
      </c>
      <c r="H32" s="18">
        <f>H31*'Annual P&amp;L'!H7</f>
        <v>1737.5482179000001</v>
      </c>
      <c r="I32" s="18">
        <f>I31*'Annual P&amp;L'!I7</f>
        <v>1928.7056448000005</v>
      </c>
      <c r="J32" s="18">
        <f>J31*'Annual P&amp;L'!J7</f>
        <v>2062.3294629000002</v>
      </c>
      <c r="K32" s="18">
        <f>K31*'Annual P&amp;L'!K7</f>
        <v>1949.8327874999998</v>
      </c>
      <c r="L32" s="18">
        <f>L31*'Annual P&amp;L'!L7</f>
        <v>2527.6571335867775</v>
      </c>
      <c r="M32" s="18">
        <f>M31*'Annual P&amp;L'!M7</f>
        <v>3096.0546281190805</v>
      </c>
      <c r="N32" s="32">
        <f>N31*'Annual P&amp;L'!N7</f>
        <v>3172.9161519864342</v>
      </c>
      <c r="O32" s="32">
        <f>O31*'Annual P&amp;L'!O7</f>
        <v>3294.6664047920704</v>
      </c>
      <c r="P32" s="32">
        <f>P31*'Annual P&amp;L'!P7</f>
        <v>3451.4911893354742</v>
      </c>
      <c r="Q32" s="32">
        <f>Q31*'Annual P&amp;L'!Q7</f>
        <v>3637.5963969736922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567</v>
      </c>
      <c r="B33" s="1" t="s">
        <v>46</v>
      </c>
      <c r="C33" s="19">
        <f>'Raw Operating'!C38</f>
        <v>0.2070632857301489</v>
      </c>
      <c r="D33" s="19">
        <f>'Raw Operating'!D38</f>
        <v>0.23934761527605281</v>
      </c>
      <c r="E33" s="19">
        <f>'Raw Operating'!E38</f>
        <v>0.23757670401904232</v>
      </c>
      <c r="F33" s="19">
        <f>'Raw Operating'!F38</f>
        <v>0.24810052789445175</v>
      </c>
      <c r="G33" s="19">
        <f>'Raw Operating'!G38</f>
        <v>0.247</v>
      </c>
      <c r="H33" s="19">
        <f>'Raw Operating'!H38</f>
        <v>0.23810000000000001</v>
      </c>
      <c r="I33" s="19">
        <f>'Raw Operating'!I38</f>
        <v>0.22939999999999999</v>
      </c>
      <c r="J33" s="19">
        <f>'Raw Operating'!J38</f>
        <v>0.2306</v>
      </c>
      <c r="K33" s="19">
        <f>'Raw Operating'!K38</f>
        <v>0.2238</v>
      </c>
      <c r="L33" s="19">
        <f>'Raw Operating'!L38</f>
        <v>0.21595326392908393</v>
      </c>
      <c r="M33" s="19">
        <f>'Raw Operating'!M38</f>
        <v>0.20139458666106791</v>
      </c>
      <c r="N33" s="28">
        <f>M33</f>
        <v>0.20139458666106791</v>
      </c>
      <c r="O33" s="28">
        <f>N33</f>
        <v>0.20139458666106791</v>
      </c>
      <c r="P33" s="28">
        <f>O33</f>
        <v>0.20139458666106791</v>
      </c>
      <c r="Q33" s="28">
        <f>P33</f>
        <v>0.20139458666106791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568</v>
      </c>
      <c r="B34" s="1" t="s">
        <v>44</v>
      </c>
      <c r="C34" s="18">
        <f>C33*'Annual P&amp;L'!C7</f>
        <v>5485.9827821947865</v>
      </c>
      <c r="D34" s="18">
        <f>D33*'Annual P&amp;L'!D7</f>
        <v>6974.7909095593341</v>
      </c>
      <c r="E34" s="18">
        <f>E33*'Annual P&amp;L'!E7</f>
        <v>7310.9196778795713</v>
      </c>
      <c r="F34" s="18">
        <f>F33*'Annual P&amp;L'!F7</f>
        <v>8619.5411985243118</v>
      </c>
      <c r="G34" s="18">
        <f>G33*'Annual P&amp;L'!G7</f>
        <v>9106.3167129999983</v>
      </c>
      <c r="H34" s="18">
        <f>H33*'Annual P&amp;L'!H7</f>
        <v>9013.2947860999993</v>
      </c>
      <c r="I34" s="18">
        <f>I33*'Annual P&amp;L'!I7</f>
        <v>10241.784141600001</v>
      </c>
      <c r="J34" s="18">
        <f>J33*'Annual P&amp;L'!J7</f>
        <v>12288.712510200003</v>
      </c>
      <c r="K34" s="18">
        <f>K33*'Annual P&amp;L'!K7</f>
        <v>11636.6020758</v>
      </c>
      <c r="L34" s="18">
        <f>L33*'Annual P&amp;L'!L7</f>
        <v>11442.996400698501</v>
      </c>
      <c r="M34" s="18">
        <f>M33*'Annual P&amp;L'!M7</f>
        <v>11442.313918425356</v>
      </c>
      <c r="N34" s="32">
        <f>N33*'Annual P&amp;L'!N7</f>
        <v>11726.376633711843</v>
      </c>
      <c r="O34" s="32">
        <f>O33*'Annual P&amp;L'!O7</f>
        <v>12176.337884265124</v>
      </c>
      <c r="P34" s="32">
        <f>P33*'Annual P&amp;L'!P7</f>
        <v>12755.926628803914</v>
      </c>
      <c r="Q34" s="32">
        <f>Q33*'Annual P&amp;L'!Q7</f>
        <v>13443.729159259885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569</v>
      </c>
      <c r="B35" s="1" t="s">
        <v>46</v>
      </c>
      <c r="C35" s="19">
        <f t="shared" ref="C35:Q35" si="4">SUM(C25,C27,C29,C31,C33)</f>
        <v>1</v>
      </c>
      <c r="D35" s="19">
        <f t="shared" si="4"/>
        <v>1.0000000000000002</v>
      </c>
      <c r="E35" s="19">
        <f t="shared" si="4"/>
        <v>1.00004883607907</v>
      </c>
      <c r="F35" s="19">
        <f t="shared" si="4"/>
        <v>1.0048086448039528</v>
      </c>
      <c r="G35" s="19">
        <f t="shared" si="4"/>
        <v>1.00004</v>
      </c>
      <c r="H35" s="19">
        <f t="shared" si="4"/>
        <v>1.0000000000000002</v>
      </c>
      <c r="I35" s="19">
        <f t="shared" si="4"/>
        <v>1.0001</v>
      </c>
      <c r="J35" s="19">
        <f t="shared" si="4"/>
        <v>0.99999999999999989</v>
      </c>
      <c r="K35" s="19">
        <f t="shared" si="4"/>
        <v>0.99999999999999989</v>
      </c>
      <c r="L35" s="19">
        <f t="shared" si="4"/>
        <v>0.99986350501229548</v>
      </c>
      <c r="M35" s="19">
        <f t="shared" si="4"/>
        <v>1</v>
      </c>
      <c r="N35" s="28">
        <f t="shared" si="4"/>
        <v>1</v>
      </c>
      <c r="O35" s="28">
        <f t="shared" si="4"/>
        <v>1</v>
      </c>
      <c r="P35" s="28">
        <f t="shared" si="4"/>
        <v>1</v>
      </c>
      <c r="Q35" s="28">
        <f t="shared" si="4"/>
        <v>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6"/>
      <c r="O36" s="36"/>
      <c r="P36" s="36"/>
      <c r="Q36" s="3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8" customHeight="1">
      <c r="A37" s="73" t="s">
        <v>570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5"/>
      <c r="O37" s="75"/>
      <c r="P37" s="75"/>
      <c r="Q37" s="7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571</v>
      </c>
      <c r="B38" s="1" t="s">
        <v>44</v>
      </c>
      <c r="C38" s="18">
        <f>'Annual P&amp;L'!C7</f>
        <v>26494.232248126711</v>
      </c>
      <c r="D38" s="18">
        <f>'Annual P&amp;L'!D7</f>
        <v>29140.8414557</v>
      </c>
      <c r="E38" s="18">
        <f>'Annual P&amp;L'!E7</f>
        <v>30772.881154600007</v>
      </c>
      <c r="F38" s="18">
        <f>'Annual P&amp;L'!F7</f>
        <v>34742.131633800003</v>
      </c>
      <c r="G38" s="18">
        <f>'Annual P&amp;L'!G7</f>
        <v>36867.678999999996</v>
      </c>
      <c r="H38" s="18">
        <f>'Annual P&amp;L'!H7</f>
        <v>37855.080999999998</v>
      </c>
      <c r="I38" s="18">
        <f>'Annual P&amp;L'!I7</f>
        <v>44645.964000000007</v>
      </c>
      <c r="J38" s="18">
        <f>'Annual P&amp;L'!J7</f>
        <v>53290.167000000009</v>
      </c>
      <c r="K38" s="18">
        <f>'Annual P&amp;L'!K7</f>
        <v>51995.540999999997</v>
      </c>
      <c r="L38" s="18">
        <f>'Annual P&amp;L'!L7</f>
        <v>52988.300303977914</v>
      </c>
      <c r="M38" s="18">
        <f>'Annual P&amp;L'!M7</f>
        <v>56815.399599999764</v>
      </c>
      <c r="N38" s="32">
        <f>'Annual P&amp;L'!N7</f>
        <v>58225.878004588383</v>
      </c>
      <c r="O38" s="32">
        <f>'Annual P&amp;L'!O7</f>
        <v>60460.105140546773</v>
      </c>
      <c r="P38" s="32">
        <f>'Annual P&amp;L'!P7</f>
        <v>63337.981622471256</v>
      </c>
      <c r="Q38" s="32">
        <f>'Annual P&amp;L'!Q7</f>
        <v>66753.180321994849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572</v>
      </c>
      <c r="B39" s="1" t="s">
        <v>46</v>
      </c>
      <c r="C39" s="1"/>
      <c r="D39" s="19">
        <f t="shared" ref="D39:Q39" si="5">D38/C38-1</f>
        <v>9.9893787552965074E-2</v>
      </c>
      <c r="E39" s="19">
        <f t="shared" si="5"/>
        <v>5.6005235860503211E-2</v>
      </c>
      <c r="F39" s="19">
        <f t="shared" si="5"/>
        <v>0.12898533807279411</v>
      </c>
      <c r="G39" s="19">
        <f t="shared" si="5"/>
        <v>6.1180683689888715E-2</v>
      </c>
      <c r="H39" s="19">
        <f t="shared" si="5"/>
        <v>2.6782320633745416E-2</v>
      </c>
      <c r="I39" s="19">
        <f t="shared" si="5"/>
        <v>0.17939158550473078</v>
      </c>
      <c r="J39" s="19">
        <f t="shared" si="5"/>
        <v>0.1936166727187254</v>
      </c>
      <c r="K39" s="19">
        <f t="shared" si="5"/>
        <v>-2.429390022365685E-2</v>
      </c>
      <c r="L39" s="19">
        <f t="shared" si="5"/>
        <v>1.9093162315166889E-2</v>
      </c>
      <c r="M39" s="19">
        <f t="shared" si="5"/>
        <v>7.2225364355281041E-2</v>
      </c>
      <c r="N39" s="28">
        <f t="shared" si="5"/>
        <v>2.482563555864914E-2</v>
      </c>
      <c r="O39" s="28">
        <f t="shared" si="5"/>
        <v>3.8371720831454459E-2</v>
      </c>
      <c r="P39" s="28">
        <f t="shared" si="5"/>
        <v>4.7599594397570222E-2</v>
      </c>
      <c r="Q39" s="28">
        <f t="shared" si="5"/>
        <v>5.3920232568824611E-2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573</v>
      </c>
      <c r="B40" s="1" t="s">
        <v>48</v>
      </c>
      <c r="C40" s="20">
        <f>'Raw Operating'!C6</f>
        <v>4037.4553475371813</v>
      </c>
      <c r="D40" s="20">
        <f>'Raw Operating'!D6</f>
        <v>4351.0924023774605</v>
      </c>
      <c r="E40" s="20">
        <f>'Raw Operating'!E6</f>
        <v>4770.7658739261751</v>
      </c>
      <c r="F40" s="20">
        <f>'Raw Operating'!F6</f>
        <v>4970.5229494135701</v>
      </c>
      <c r="G40" s="20">
        <f>'Raw Operating'!G6</f>
        <v>5181.87</v>
      </c>
      <c r="H40" s="20">
        <f>'Raw Operating'!H6</f>
        <v>5111.0600000000004</v>
      </c>
      <c r="I40" s="20">
        <f>'Raw Operating'!I6</f>
        <v>5997.79</v>
      </c>
      <c r="J40" s="20">
        <f>'Raw Operating'!J6</f>
        <v>6606.52</v>
      </c>
      <c r="K40" s="20">
        <f>'Raw Operating'!K6</f>
        <v>6277.11</v>
      </c>
      <c r="L40" s="20">
        <f>'Raw Operating'!L6</f>
        <v>6263.9884598536701</v>
      </c>
      <c r="M40" s="20">
        <f>'Raw Operating'!M6</f>
        <v>6384.864312717852</v>
      </c>
      <c r="N40" s="33">
        <f>N38*10/N42</f>
        <v>6129.0397899566724</v>
      </c>
      <c r="O40" s="33">
        <f>O38*10/O42</f>
        <v>6297.9276188069562</v>
      </c>
      <c r="P40" s="33">
        <f>P38*10/P42</f>
        <v>6529.6888270588925</v>
      </c>
      <c r="Q40" s="33">
        <f>Q38*10/Q42</f>
        <v>6811.5490124484531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49</v>
      </c>
      <c r="B41" s="1" t="s">
        <v>46</v>
      </c>
      <c r="C41" s="1"/>
      <c r="D41" s="19">
        <f t="shared" ref="D41:Q41" si="6">D40/C40-1</f>
        <v>7.7681863412209839E-2</v>
      </c>
      <c r="E41" s="19">
        <f t="shared" si="6"/>
        <v>9.6452438316272593E-2</v>
      </c>
      <c r="F41" s="19">
        <f t="shared" si="6"/>
        <v>4.1871070760175932E-2</v>
      </c>
      <c r="G41" s="19">
        <f t="shared" si="6"/>
        <v>4.2520083447429746E-2</v>
      </c>
      <c r="H41" s="19">
        <f t="shared" si="6"/>
        <v>-1.366495106978749E-2</v>
      </c>
      <c r="I41" s="19">
        <f t="shared" si="6"/>
        <v>0.17349238709778403</v>
      </c>
      <c r="J41" s="19">
        <f t="shared" si="6"/>
        <v>0.10149238302774855</v>
      </c>
      <c r="K41" s="19">
        <f t="shared" si="6"/>
        <v>-4.9861349091503637E-2</v>
      </c>
      <c r="L41" s="19">
        <f t="shared" si="6"/>
        <v>-2.090379194618186E-3</v>
      </c>
      <c r="M41" s="19">
        <f t="shared" si="6"/>
        <v>1.929694692748618E-2</v>
      </c>
      <c r="N41" s="28">
        <f t="shared" si="6"/>
        <v>-4.0067338980345979E-2</v>
      </c>
      <c r="O41" s="28">
        <f t="shared" si="6"/>
        <v>2.7555348739460195E-2</v>
      </c>
      <c r="P41" s="28">
        <f t="shared" si="6"/>
        <v>3.6799598579038584E-2</v>
      </c>
      <c r="Q41" s="28">
        <f t="shared" si="6"/>
        <v>4.3165944481387442E-2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438</v>
      </c>
      <c r="B42" s="1" t="s">
        <v>150</v>
      </c>
      <c r="C42" s="21">
        <f>'Raw Operating'!C26</f>
        <v>65.62111520140526</v>
      </c>
      <c r="D42" s="21">
        <f>'Raw Operating'!D26</f>
        <v>66.973621244580514</v>
      </c>
      <c r="E42" s="21">
        <f>'Raw Operating'!E26</f>
        <v>64.503021040676202</v>
      </c>
      <c r="F42" s="21">
        <f>'Raw Operating'!F26</f>
        <v>69.896330803379414</v>
      </c>
      <c r="G42" s="21">
        <f>'Raw Operating'!G26</f>
        <v>71.147440981730526</v>
      </c>
      <c r="H42" s="21">
        <f>'Raw Operating'!H26</f>
        <v>74.06502956333911</v>
      </c>
      <c r="I42" s="21">
        <f>'Raw Operating'!I26</f>
        <v>74.437357760108313</v>
      </c>
      <c r="J42" s="21">
        <f>'Raw Operating'!J26</f>
        <v>80.662992013949861</v>
      </c>
      <c r="K42" s="21">
        <f>'Raw Operating'!K26</f>
        <v>82.83356672099103</v>
      </c>
      <c r="L42" s="21">
        <f>'Raw Operating'!L26</f>
        <v>84.591950709334071</v>
      </c>
      <c r="M42" s="21">
        <f>'Raw Operating'!M26</f>
        <v>88.984505883438402</v>
      </c>
      <c r="N42" s="30">
        <f>Assumptions!C18</f>
        <v>95</v>
      </c>
      <c r="O42" s="30">
        <f>Assumptions!D18</f>
        <v>96</v>
      </c>
      <c r="P42" s="30">
        <f>Assumptions!E18</f>
        <v>97</v>
      </c>
      <c r="Q42" s="30">
        <f>Assumptions!F18</f>
        <v>98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439</v>
      </c>
      <c r="B43" s="1" t="s">
        <v>150</v>
      </c>
      <c r="C43" s="21">
        <f>'Raw Operating'!C27</f>
        <v>66.260000000000005</v>
      </c>
      <c r="D43" s="21">
        <f>'Raw Operating'!D27</f>
        <v>64.844999999999999</v>
      </c>
      <c r="E43" s="21">
        <f>'Raw Operating'!E27</f>
        <v>65.17</v>
      </c>
      <c r="F43" s="21">
        <f>'Raw Operating'!F27</f>
        <v>69.155000000000001</v>
      </c>
      <c r="G43" s="21">
        <f>'Raw Operating'!G27</f>
        <v>75.62</v>
      </c>
      <c r="H43" s="21">
        <f>'Raw Operating'!H27</f>
        <v>73.11</v>
      </c>
      <c r="I43" s="21">
        <f>'Raw Operating'!I27</f>
        <v>75.792500000000004</v>
      </c>
      <c r="J43" s="21">
        <f>'Raw Operating'!J27</f>
        <v>82.17</v>
      </c>
      <c r="K43" s="21">
        <f>'Raw Operating'!K27</f>
        <v>83.41</v>
      </c>
      <c r="L43" s="21">
        <f>'Raw Operating'!L27</f>
        <v>85.474999999999994</v>
      </c>
      <c r="M43" s="21">
        <f>'Raw Operating'!M27</f>
        <v>94.835000000000008</v>
      </c>
      <c r="N43" s="30">
        <f>N42</f>
        <v>95</v>
      </c>
      <c r="O43" s="30">
        <f>O42</f>
        <v>96</v>
      </c>
      <c r="P43" s="30">
        <f>P42</f>
        <v>97</v>
      </c>
      <c r="Q43" s="30">
        <f>Q42</f>
        <v>98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6"/>
      <c r="O44" s="36"/>
      <c r="P44" s="36"/>
      <c r="Q44" s="3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6"/>
      <c r="O45" s="36"/>
      <c r="P45" s="36"/>
      <c r="Q45" s="3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6"/>
      <c r="O46" s="36"/>
      <c r="P46" s="36"/>
      <c r="Q46" s="3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6"/>
      <c r="O47" s="36"/>
      <c r="P47" s="36"/>
      <c r="Q47" s="3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6"/>
      <c r="O48" s="36"/>
      <c r="P48" s="36"/>
      <c r="Q48" s="3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6"/>
      <c r="O49" s="36"/>
      <c r="P49" s="36"/>
      <c r="Q49" s="3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6"/>
      <c r="O50" s="36"/>
      <c r="P50" s="36"/>
      <c r="Q50" s="3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6"/>
      <c r="O51" s="36"/>
      <c r="P51" s="36"/>
      <c r="Q51" s="3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6"/>
      <c r="O52" s="36"/>
      <c r="P52" s="36"/>
      <c r="Q52" s="3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6"/>
      <c r="O53" s="36"/>
      <c r="P53" s="36"/>
      <c r="Q53" s="3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6"/>
      <c r="O54" s="36"/>
      <c r="P54" s="36"/>
      <c r="Q54" s="3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6"/>
      <c r="O55" s="36"/>
      <c r="P55" s="36"/>
      <c r="Q55" s="3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6"/>
      <c r="O56" s="36"/>
      <c r="P56" s="36"/>
      <c r="Q56" s="3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6"/>
      <c r="O57" s="36"/>
      <c r="P57" s="36"/>
      <c r="Q57" s="3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6"/>
      <c r="O58" s="36"/>
      <c r="P58" s="36"/>
      <c r="Q58" s="3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6"/>
      <c r="O59" s="36"/>
      <c r="P59" s="36"/>
      <c r="Q59" s="3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6"/>
      <c r="O60" s="36"/>
      <c r="P60" s="36"/>
      <c r="Q60" s="3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6"/>
      <c r="O61" s="36"/>
      <c r="P61" s="36"/>
      <c r="Q61" s="3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6"/>
      <c r="O62" s="36"/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6"/>
      <c r="O63" s="36"/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6"/>
      <c r="O64" s="36"/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6"/>
      <c r="O65" s="36"/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6"/>
      <c r="O66" s="36"/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6"/>
      <c r="O67" s="36"/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6"/>
      <c r="O68" s="36"/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6"/>
      <c r="O69" s="36"/>
      <c r="P69" s="36"/>
      <c r="Q69" s="3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6"/>
      <c r="O70" s="36"/>
      <c r="P70" s="36"/>
      <c r="Q70" s="3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6"/>
      <c r="O71" s="36"/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6"/>
      <c r="O72" s="36"/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6"/>
      <c r="O73" s="36"/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6"/>
      <c r="O74" s="36"/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6"/>
      <c r="O75" s="36"/>
      <c r="P75" s="36"/>
      <c r="Q75" s="3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6"/>
      <c r="O76" s="36"/>
      <c r="P76" s="36"/>
      <c r="Q76" s="3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6"/>
      <c r="O77" s="36"/>
      <c r="P77" s="36"/>
      <c r="Q77" s="3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6"/>
      <c r="O78" s="36"/>
      <c r="P78" s="36"/>
      <c r="Q78" s="3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6"/>
      <c r="O79" s="36"/>
      <c r="P79" s="36"/>
      <c r="Q79" s="3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6"/>
      <c r="O80" s="36"/>
      <c r="P80" s="36"/>
      <c r="Q80" s="3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6"/>
      <c r="O81" s="36"/>
      <c r="P81" s="36"/>
      <c r="Q81" s="3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6"/>
      <c r="O82" s="36"/>
      <c r="P82" s="36"/>
      <c r="Q82" s="3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6"/>
      <c r="O83" s="36"/>
      <c r="P83" s="36"/>
      <c r="Q83" s="3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6"/>
      <c r="O84" s="36"/>
      <c r="P84" s="36"/>
      <c r="Q84" s="3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6"/>
      <c r="O85" s="36"/>
      <c r="P85" s="36"/>
      <c r="Q85" s="3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6"/>
      <c r="O86" s="36"/>
      <c r="P86" s="36"/>
      <c r="Q86" s="3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6"/>
      <c r="O87" s="36"/>
      <c r="P87" s="36"/>
      <c r="Q87" s="3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6"/>
      <c r="O88" s="36"/>
      <c r="P88" s="36"/>
      <c r="Q88" s="3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6"/>
      <c r="O89" s="36"/>
      <c r="P89" s="36"/>
      <c r="Q89" s="3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6"/>
      <c r="O90" s="36"/>
      <c r="P90" s="36"/>
      <c r="Q90" s="3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6"/>
      <c r="O91" s="36"/>
      <c r="P91" s="36"/>
      <c r="Q91" s="3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6"/>
      <c r="O92" s="36"/>
      <c r="P92" s="36"/>
      <c r="Q92" s="3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6"/>
      <c r="O93" s="36"/>
      <c r="P93" s="36"/>
      <c r="Q93" s="3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6"/>
      <c r="O94" s="36"/>
      <c r="P94" s="36"/>
      <c r="Q94" s="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6"/>
      <c r="O95" s="36"/>
      <c r="P95" s="36"/>
      <c r="Q95" s="3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6"/>
      <c r="O96" s="36"/>
      <c r="P96" s="36"/>
      <c r="Q96" s="3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6"/>
      <c r="O97" s="36"/>
      <c r="P97" s="36"/>
      <c r="Q97" s="3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6"/>
      <c r="O98" s="36"/>
      <c r="P98" s="36"/>
      <c r="Q98" s="3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6"/>
      <c r="O99" s="36"/>
      <c r="P99" s="36"/>
      <c r="Q99" s="3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6"/>
      <c r="O100" s="36"/>
      <c r="P100" s="36"/>
      <c r="Q100" s="3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6"/>
      <c r="O101" s="36"/>
      <c r="P101" s="36"/>
      <c r="Q101" s="3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6"/>
      <c r="O102" s="36"/>
      <c r="P102" s="36"/>
      <c r="Q102" s="3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6"/>
      <c r="O103" s="36"/>
      <c r="P103" s="36"/>
      <c r="Q103" s="3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6"/>
      <c r="O104" s="36"/>
      <c r="P104" s="36"/>
      <c r="Q104" s="3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6"/>
      <c r="O105" s="36"/>
      <c r="P105" s="36"/>
      <c r="Q105" s="3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6"/>
      <c r="O106" s="36"/>
      <c r="P106" s="36"/>
      <c r="Q106" s="3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6"/>
      <c r="O107" s="36"/>
      <c r="P107" s="36"/>
      <c r="Q107" s="3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6"/>
      <c r="O108" s="36"/>
      <c r="P108" s="36"/>
      <c r="Q108" s="3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6"/>
      <c r="O109" s="36"/>
      <c r="P109" s="36"/>
      <c r="Q109" s="3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6"/>
      <c r="O110" s="36"/>
      <c r="P110" s="36"/>
      <c r="Q110" s="3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6"/>
      <c r="O111" s="36"/>
      <c r="P111" s="36"/>
      <c r="Q111" s="3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6"/>
      <c r="O112" s="36"/>
      <c r="P112" s="36"/>
      <c r="Q112" s="3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6"/>
      <c r="O113" s="36"/>
      <c r="P113" s="36"/>
      <c r="Q113" s="3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6"/>
      <c r="O114" s="36"/>
      <c r="P114" s="36"/>
      <c r="Q114" s="3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6"/>
      <c r="O115" s="36"/>
      <c r="P115" s="36"/>
      <c r="Q115" s="3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6"/>
      <c r="O116" s="36"/>
      <c r="P116" s="36"/>
      <c r="Q116" s="3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6"/>
      <c r="O117" s="36"/>
      <c r="P117" s="36"/>
      <c r="Q117" s="3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6"/>
      <c r="O118" s="36"/>
      <c r="P118" s="36"/>
      <c r="Q118" s="3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6"/>
      <c r="O119" s="36"/>
      <c r="P119" s="36"/>
      <c r="Q119" s="3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6"/>
      <c r="O120" s="36"/>
      <c r="P120" s="36"/>
      <c r="Q120" s="3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6"/>
      <c r="O121" s="36"/>
      <c r="P121" s="36"/>
      <c r="Q121" s="3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6"/>
      <c r="O122" s="36"/>
      <c r="P122" s="36"/>
      <c r="Q122" s="3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6"/>
      <c r="O123" s="36"/>
      <c r="P123" s="36"/>
      <c r="Q123" s="3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6"/>
      <c r="O124" s="36"/>
      <c r="P124" s="36"/>
      <c r="Q124" s="3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6"/>
      <c r="O125" s="36"/>
      <c r="P125" s="36"/>
      <c r="Q125" s="3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6"/>
      <c r="O126" s="36"/>
      <c r="P126" s="36"/>
      <c r="Q126" s="3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6"/>
      <c r="O127" s="36"/>
      <c r="P127" s="36"/>
      <c r="Q127" s="3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6"/>
      <c r="O128" s="36"/>
      <c r="P128" s="36"/>
      <c r="Q128" s="3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6"/>
      <c r="O129" s="36"/>
      <c r="P129" s="36"/>
      <c r="Q129" s="3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6"/>
      <c r="O130" s="36"/>
      <c r="P130" s="36"/>
      <c r="Q130" s="3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6"/>
      <c r="O131" s="36"/>
      <c r="P131" s="36"/>
      <c r="Q131" s="3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6"/>
      <c r="O132" s="36"/>
      <c r="P132" s="36"/>
      <c r="Q132" s="3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6"/>
      <c r="O133" s="36"/>
      <c r="P133" s="36"/>
      <c r="Q133" s="3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6"/>
      <c r="O134" s="36"/>
      <c r="P134" s="36"/>
      <c r="Q134" s="3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6"/>
      <c r="O135" s="36"/>
      <c r="P135" s="36"/>
      <c r="Q135" s="3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6"/>
      <c r="O136" s="36"/>
      <c r="P136" s="36"/>
      <c r="Q136" s="3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6"/>
      <c r="O137" s="36"/>
      <c r="P137" s="36"/>
      <c r="Q137" s="3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6"/>
      <c r="O138" s="36"/>
      <c r="P138" s="36"/>
      <c r="Q138" s="3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6"/>
      <c r="O139" s="36"/>
      <c r="P139" s="36"/>
      <c r="Q139" s="3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6"/>
      <c r="O140" s="36"/>
      <c r="P140" s="36"/>
      <c r="Q140" s="3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6"/>
      <c r="O141" s="36"/>
      <c r="P141" s="36"/>
      <c r="Q141" s="3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6"/>
      <c r="O142" s="36"/>
      <c r="P142" s="36"/>
      <c r="Q142" s="3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6"/>
      <c r="O143" s="36"/>
      <c r="P143" s="36"/>
      <c r="Q143" s="3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6"/>
      <c r="O144" s="36"/>
      <c r="P144" s="36"/>
      <c r="Q144" s="3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6"/>
      <c r="O145" s="36"/>
      <c r="P145" s="36"/>
      <c r="Q145" s="3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6"/>
      <c r="O146" s="36"/>
      <c r="P146" s="36"/>
      <c r="Q146" s="3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6"/>
      <c r="O147" s="36"/>
      <c r="P147" s="36"/>
      <c r="Q147" s="3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6"/>
      <c r="O148" s="36"/>
      <c r="P148" s="36"/>
      <c r="Q148" s="3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6"/>
      <c r="O149" s="36"/>
      <c r="P149" s="36"/>
      <c r="Q149" s="3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6"/>
      <c r="O150" s="36"/>
      <c r="P150" s="36"/>
      <c r="Q150" s="3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6"/>
      <c r="O151" s="36"/>
      <c r="P151" s="36"/>
      <c r="Q151" s="3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6"/>
      <c r="O152" s="36"/>
      <c r="P152" s="36"/>
      <c r="Q152" s="3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6"/>
      <c r="O153" s="36"/>
      <c r="P153" s="36"/>
      <c r="Q153" s="3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6"/>
      <c r="O154" s="36"/>
      <c r="P154" s="36"/>
      <c r="Q154" s="3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6"/>
      <c r="O155" s="36"/>
      <c r="P155" s="36"/>
      <c r="Q155" s="3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6"/>
      <c r="O156" s="36"/>
      <c r="P156" s="36"/>
      <c r="Q156" s="3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6"/>
      <c r="O157" s="36"/>
      <c r="P157" s="36"/>
      <c r="Q157" s="3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6"/>
      <c r="O158" s="36"/>
      <c r="P158" s="36"/>
      <c r="Q158" s="3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6"/>
      <c r="O159" s="36"/>
      <c r="P159" s="36"/>
      <c r="Q159" s="3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6"/>
      <c r="O160" s="36"/>
      <c r="P160" s="36"/>
      <c r="Q160" s="3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6"/>
      <c r="O161" s="36"/>
      <c r="P161" s="36"/>
      <c r="Q161" s="3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6"/>
      <c r="O162" s="36"/>
      <c r="P162" s="36"/>
      <c r="Q162" s="3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6"/>
      <c r="O163" s="36"/>
      <c r="P163" s="36"/>
      <c r="Q163" s="3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6"/>
      <c r="O164" s="36"/>
      <c r="P164" s="36"/>
      <c r="Q164" s="3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6"/>
      <c r="O165" s="36"/>
      <c r="P165" s="36"/>
      <c r="Q165" s="3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6"/>
      <c r="O166" s="36"/>
      <c r="P166" s="36"/>
      <c r="Q166" s="3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6"/>
      <c r="O167" s="36"/>
      <c r="P167" s="36"/>
      <c r="Q167" s="3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6"/>
      <c r="O168" s="36"/>
      <c r="P168" s="36"/>
      <c r="Q168" s="3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6"/>
      <c r="O169" s="36"/>
      <c r="P169" s="36"/>
      <c r="Q169" s="3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6"/>
      <c r="O170" s="36"/>
      <c r="P170" s="36"/>
      <c r="Q170" s="3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6"/>
      <c r="O171" s="36"/>
      <c r="P171" s="36"/>
      <c r="Q171" s="3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6"/>
      <c r="O172" s="36"/>
      <c r="P172" s="36"/>
      <c r="Q172" s="3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6"/>
      <c r="O173" s="36"/>
      <c r="P173" s="36"/>
      <c r="Q173" s="3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6"/>
      <c r="O174" s="36"/>
      <c r="P174" s="36"/>
      <c r="Q174" s="3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6"/>
      <c r="O175" s="36"/>
      <c r="P175" s="36"/>
      <c r="Q175" s="3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6"/>
      <c r="O176" s="36"/>
      <c r="P176" s="36"/>
      <c r="Q176" s="3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6"/>
      <c r="O177" s="36"/>
      <c r="P177" s="36"/>
      <c r="Q177" s="3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6"/>
      <c r="O178" s="36"/>
      <c r="P178" s="36"/>
      <c r="Q178" s="3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6"/>
      <c r="O179" s="36"/>
      <c r="P179" s="36"/>
      <c r="Q179" s="3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6"/>
      <c r="O180" s="36"/>
      <c r="P180" s="36"/>
      <c r="Q180" s="3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6"/>
      <c r="O181" s="36"/>
      <c r="P181" s="36"/>
      <c r="Q181" s="3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6"/>
      <c r="O182" s="36"/>
      <c r="P182" s="36"/>
      <c r="Q182" s="3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6"/>
      <c r="O183" s="36"/>
      <c r="P183" s="36"/>
      <c r="Q183" s="3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6"/>
      <c r="O184" s="36"/>
      <c r="P184" s="36"/>
      <c r="Q184" s="3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6"/>
      <c r="O185" s="36"/>
      <c r="P185" s="36"/>
      <c r="Q185" s="3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6"/>
      <c r="O186" s="36"/>
      <c r="P186" s="36"/>
      <c r="Q186" s="3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6"/>
      <c r="O187" s="36"/>
      <c r="P187" s="36"/>
      <c r="Q187" s="3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6"/>
      <c r="O188" s="36"/>
      <c r="P188" s="36"/>
      <c r="Q188" s="3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6"/>
      <c r="O189" s="36"/>
      <c r="P189" s="36"/>
      <c r="Q189" s="3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6"/>
      <c r="O190" s="36"/>
      <c r="P190" s="36"/>
      <c r="Q190" s="3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6"/>
      <c r="O191" s="36"/>
      <c r="P191" s="36"/>
      <c r="Q191" s="3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6"/>
      <c r="O192" s="36"/>
      <c r="P192" s="36"/>
      <c r="Q192" s="3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6"/>
      <c r="O193" s="36"/>
      <c r="P193" s="36"/>
      <c r="Q193" s="3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6"/>
      <c r="O194" s="36"/>
      <c r="P194" s="36"/>
      <c r="Q194" s="3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6"/>
      <c r="O195" s="36"/>
      <c r="P195" s="36"/>
      <c r="Q195" s="3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6"/>
      <c r="O196" s="36"/>
      <c r="P196" s="36"/>
      <c r="Q196" s="3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6"/>
      <c r="O197" s="36"/>
      <c r="P197" s="36"/>
      <c r="Q197" s="3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6"/>
      <c r="O198" s="36"/>
      <c r="P198" s="36"/>
      <c r="Q198" s="3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6"/>
      <c r="O199" s="36"/>
      <c r="P199" s="36"/>
      <c r="Q199" s="3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6"/>
      <c r="O200" s="36"/>
      <c r="P200" s="36"/>
      <c r="Q200" s="3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6">
    <mergeCell ref="A37:Q37"/>
    <mergeCell ref="A1:Q1"/>
    <mergeCell ref="A2:Q2"/>
    <mergeCell ref="A7:Q7"/>
    <mergeCell ref="A16:Q16"/>
    <mergeCell ref="A24:Q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00"/>
  <sheetViews>
    <sheetView showGridLines="0" workbookViewId="0"/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574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575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46" t="s">
        <v>39</v>
      </c>
      <c r="O5" s="46" t="s">
        <v>40</v>
      </c>
      <c r="P5" s="46" t="s">
        <v>41</v>
      </c>
      <c r="Q5" s="46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6"/>
      <c r="O6" s="36"/>
      <c r="P6" s="36"/>
      <c r="Q6" s="3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427</v>
      </c>
      <c r="B7" s="1" t="s">
        <v>64</v>
      </c>
      <c r="C7" s="25">
        <f>IF('Raw Operating'!C14="","",'Raw Operating'!C14)</f>
        <v>807</v>
      </c>
      <c r="D7" s="25">
        <f>IF('Raw Operating'!D14="","",'Raw Operating'!D14)</f>
        <v>843</v>
      </c>
      <c r="E7" s="25">
        <f>IF('Raw Operating'!E14="","",'Raw Operating'!E14)</f>
        <v>913</v>
      </c>
      <c r="F7" s="25">
        <f>IF('Raw Operating'!F14="","",'Raw Operating'!F14)</f>
        <v>938</v>
      </c>
      <c r="G7" s="25">
        <f>IF('Raw Operating'!G14="","",'Raw Operating'!G14)</f>
        <v>973</v>
      </c>
      <c r="H7" s="25">
        <f>IF('Raw Operating'!H14="","",'Raw Operating'!H14)</f>
        <v>1007</v>
      </c>
      <c r="I7" s="25">
        <f>IF('Raw Operating'!I14="","",'Raw Operating'!I14)</f>
        <v>1224</v>
      </c>
      <c r="J7" s="25">
        <f>IF('Raw Operating'!J14="","",'Raw Operating'!J14)</f>
        <v>1297</v>
      </c>
      <c r="K7" s="25">
        <f>IF('Raw Operating'!K14="","",'Raw Operating'!K14)</f>
        <v>1172</v>
      </c>
      <c r="L7" s="25">
        <f>IF('Raw Operating'!L14="","",'Raw Operating'!L14)</f>
        <v>1162</v>
      </c>
      <c r="M7" s="25" t="str">
        <f>IF('Raw Operating'!M14="","",'Raw Operating'!M14)</f>
        <v/>
      </c>
      <c r="N7" s="36"/>
      <c r="O7" s="36"/>
      <c r="P7" s="36"/>
      <c r="Q7" s="36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428</v>
      </c>
      <c r="B8" s="1" t="s">
        <v>46</v>
      </c>
      <c r="C8" s="19">
        <f>IF('Raw Operating'!C15="","",'Raw Operating'!C15)</f>
        <v>0.96274999874112011</v>
      </c>
      <c r="D8" s="19">
        <f>IF('Raw Operating'!D15="","",'Raw Operating'!D15)</f>
        <v>0.93545350724785925</v>
      </c>
      <c r="E8" s="19">
        <f>IF('Raw Operating'!E15="","",'Raw Operating'!E15)</f>
        <v>0.88397965764990372</v>
      </c>
      <c r="F8" s="19">
        <f>IF('Raw Operating'!F15="","",'Raw Operating'!F15)</f>
        <v>0.88740007002971866</v>
      </c>
      <c r="G8" s="19">
        <f>IF('Raw Operating'!G15="","",'Raw Operating'!G15)</f>
        <v>0.86129041679682017</v>
      </c>
      <c r="H8" s="19">
        <f>IF('Raw Operating'!H15="","",'Raw Operating'!H15)</f>
        <v>0.92220154140062793</v>
      </c>
      <c r="I8" s="19">
        <f>IF('Raw Operating'!I15="","",'Raw Operating'!I15)</f>
        <v>0.87396636260832383</v>
      </c>
      <c r="J8" s="19">
        <f>IF('Raw Operating'!J15="","",'Raw Operating'!J15)</f>
        <v>0.9175718377044888</v>
      </c>
      <c r="K8" s="19">
        <f>IF('Raw Operating'!K15="","",'Raw Operating'!K15)</f>
        <v>0.94037999999999999</v>
      </c>
      <c r="L8" s="19" t="str">
        <f>IF('Raw Operating'!L15="","",'Raw Operating'!L15)</f>
        <v/>
      </c>
      <c r="M8" s="19" t="str">
        <f>IF('Raw Operating'!M15="","",'Raw Operating'!M15)</f>
        <v/>
      </c>
      <c r="N8" s="36"/>
      <c r="O8" s="36"/>
      <c r="P8" s="36"/>
      <c r="Q8" s="3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433</v>
      </c>
      <c r="B9" s="1" t="s">
        <v>64</v>
      </c>
      <c r="C9" s="25">
        <f>'Raw Operating'!C20</f>
        <v>14</v>
      </c>
      <c r="D9" s="25">
        <f>'Raw Operating'!D20</f>
        <v>14</v>
      </c>
      <c r="E9" s="25">
        <f>'Raw Operating'!E20</f>
        <v>16</v>
      </c>
      <c r="F9" s="25">
        <f>'Raw Operating'!F20</f>
        <v>20</v>
      </c>
      <c r="G9" s="25">
        <f>'Raw Operating'!G20</f>
        <v>22</v>
      </c>
      <c r="H9" s="25">
        <f>'Raw Operating'!H20</f>
        <v>21</v>
      </c>
      <c r="I9" s="25">
        <f>'Raw Operating'!I20</f>
        <v>23</v>
      </c>
      <c r="J9" s="25">
        <f>'Raw Operating'!J20</f>
        <v>24</v>
      </c>
      <c r="K9" s="25">
        <f>'Raw Operating'!K20</f>
        <v>23</v>
      </c>
      <c r="L9" s="25">
        <f>'Raw Operating'!L20</f>
        <v>25</v>
      </c>
      <c r="M9" s="25">
        <f>'Raw Operating'!M20</f>
        <v>29</v>
      </c>
      <c r="N9" s="27">
        <f>ROUND(M9*(1+'Annual P&amp;L'!N8),0)</f>
        <v>30</v>
      </c>
      <c r="O9" s="27">
        <f>ROUND(N9*(1+'Annual P&amp;L'!O8),0)</f>
        <v>31</v>
      </c>
      <c r="P9" s="27">
        <f>ROUND(O9*(1+'Annual P&amp;L'!P8),0)</f>
        <v>32</v>
      </c>
      <c r="Q9" s="27">
        <f>ROUND(P9*(1+'Annual P&amp;L'!Q8),0)</f>
        <v>34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432</v>
      </c>
      <c r="B10" s="1" t="s">
        <v>64</v>
      </c>
      <c r="C10" s="25">
        <f>'Raw Operating'!C19</f>
        <v>40</v>
      </c>
      <c r="D10" s="25">
        <f>'Raw Operating'!D19</f>
        <v>36</v>
      </c>
      <c r="E10" s="25">
        <f>'Raw Operating'!E19</f>
        <v>44</v>
      </c>
      <c r="F10" s="25">
        <f>'Raw Operating'!F19</f>
        <v>50</v>
      </c>
      <c r="G10" s="25">
        <f>'Raw Operating'!G19</f>
        <v>49</v>
      </c>
      <c r="H10" s="25">
        <f>'Raw Operating'!H19</f>
        <v>50</v>
      </c>
      <c r="I10" s="25">
        <f>'Raw Operating'!I19</f>
        <v>54</v>
      </c>
      <c r="J10" s="25">
        <f>'Raw Operating'!J19</f>
        <v>65</v>
      </c>
      <c r="K10" s="25">
        <f>'Raw Operating'!K19</f>
        <v>63</v>
      </c>
      <c r="L10" s="25">
        <f>'Raw Operating'!L19</f>
        <v>59</v>
      </c>
      <c r="M10" s="25">
        <f>'Raw Operating'!M19</f>
        <v>66</v>
      </c>
      <c r="N10" s="27">
        <f>ROUND(M10*(1+'Annual P&amp;L'!N8),0)</f>
        <v>68</v>
      </c>
      <c r="O10" s="27">
        <f>ROUND(N10*(1+'Annual P&amp;L'!O8),0)</f>
        <v>71</v>
      </c>
      <c r="P10" s="27">
        <f>ROUND(O10*(1+'Annual P&amp;L'!P8),0)</f>
        <v>74</v>
      </c>
      <c r="Q10" s="27">
        <f>ROUND(P10*(1+'Annual P&amp;L'!Q8),0)</f>
        <v>78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431</v>
      </c>
      <c r="B11" s="1" t="s">
        <v>64</v>
      </c>
      <c r="C11" s="25">
        <f>'Raw Operating'!C18</f>
        <v>63</v>
      </c>
      <c r="D11" s="25">
        <f>'Raw Operating'!D18</f>
        <v>71</v>
      </c>
      <c r="E11" s="25">
        <f>'Raw Operating'!E18</f>
        <v>85</v>
      </c>
      <c r="F11" s="25">
        <f>'Raw Operating'!F18</f>
        <v>83</v>
      </c>
      <c r="G11" s="25">
        <f>'Raw Operating'!G18</f>
        <v>85</v>
      </c>
      <c r="H11" s="25">
        <f>'Raw Operating'!H18</f>
        <v>85</v>
      </c>
      <c r="I11" s="25">
        <f>'Raw Operating'!I18</f>
        <v>97</v>
      </c>
      <c r="J11" s="25">
        <f>'Raw Operating'!J18</f>
        <v>112</v>
      </c>
      <c r="K11" s="25">
        <f>'Raw Operating'!K18</f>
        <v>114</v>
      </c>
      <c r="L11" s="25">
        <f>'Raw Operating'!L18</f>
        <v>106</v>
      </c>
      <c r="M11" s="25">
        <f>'Raw Operating'!M18</f>
        <v>112</v>
      </c>
      <c r="N11" s="27">
        <f>ROUND(M11*(1+'Annual P&amp;L'!N8),0)</f>
        <v>115</v>
      </c>
      <c r="O11" s="27">
        <f>ROUND(N11*(1+'Annual P&amp;L'!O8),0)</f>
        <v>119</v>
      </c>
      <c r="P11" s="27">
        <f>ROUND(O11*(1+'Annual P&amp;L'!P8),0)</f>
        <v>125</v>
      </c>
      <c r="Q11" s="27">
        <f>ROUND(P11*(1+'Annual P&amp;L'!Q8),0)</f>
        <v>132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430</v>
      </c>
      <c r="B12" s="1" t="s">
        <v>64</v>
      </c>
      <c r="C12" s="25">
        <f>'Raw Operating'!C17</f>
        <v>112</v>
      </c>
      <c r="D12" s="25">
        <f>'Raw Operating'!D17</f>
        <v>134</v>
      </c>
      <c r="E12" s="25">
        <f>'Raw Operating'!E17</f>
        <v>156</v>
      </c>
      <c r="F12" s="25">
        <f>'Raw Operating'!F17</f>
        <v>156</v>
      </c>
      <c r="G12" s="25">
        <f>'Raw Operating'!G17</f>
        <v>160</v>
      </c>
      <c r="H12" s="25">
        <f>'Raw Operating'!H17</f>
        <v>169</v>
      </c>
      <c r="I12" s="25">
        <f>'Raw Operating'!I17</f>
        <v>174</v>
      </c>
      <c r="J12" s="25">
        <f>'Raw Operating'!J17</f>
        <v>186</v>
      </c>
      <c r="K12" s="25">
        <f>'Raw Operating'!K17</f>
        <v>190</v>
      </c>
      <c r="L12" s="25">
        <f>'Raw Operating'!L17</f>
        <v>195</v>
      </c>
      <c r="M12" s="25">
        <f>'Raw Operating'!M17</f>
        <v>194</v>
      </c>
      <c r="N12" s="27">
        <f>ROUND(M12*(1+'Annual P&amp;L'!N8),0)</f>
        <v>199</v>
      </c>
      <c r="O12" s="27">
        <f>ROUND(N12*(1+'Annual P&amp;L'!O8),0)</f>
        <v>207</v>
      </c>
      <c r="P12" s="27">
        <f>ROUND(O12*(1+'Annual P&amp;L'!P8),0)</f>
        <v>217</v>
      </c>
      <c r="Q12" s="27">
        <f>ROUND(P12*(1+'Annual P&amp;L'!Q8),0)</f>
        <v>229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429</v>
      </c>
      <c r="B13" s="1" t="s">
        <v>64</v>
      </c>
      <c r="C13" s="25">
        <f>'Raw Operating'!C16</f>
        <v>319</v>
      </c>
      <c r="D13" s="25">
        <f>'Raw Operating'!D16</f>
        <v>354</v>
      </c>
      <c r="E13" s="25">
        <f>'Raw Operating'!E16</f>
        <v>392</v>
      </c>
      <c r="F13" s="25">
        <f>'Raw Operating'!F16</f>
        <v>425</v>
      </c>
      <c r="G13" s="25">
        <f>'Raw Operating'!G16</f>
        <v>446</v>
      </c>
      <c r="H13" s="25">
        <f>'Raw Operating'!H16</f>
        <v>451</v>
      </c>
      <c r="I13" s="25">
        <f>'Raw Operating'!I16</f>
        <v>524</v>
      </c>
      <c r="J13" s="25">
        <f>'Raw Operating'!J16</f>
        <v>582</v>
      </c>
      <c r="K13" s="25">
        <f>'Raw Operating'!K16</f>
        <v>553</v>
      </c>
      <c r="L13" s="25">
        <f>'Raw Operating'!L16</f>
        <v>540</v>
      </c>
      <c r="M13" s="25">
        <f>'Raw Operating'!M16</f>
        <v>512</v>
      </c>
      <c r="N13" s="27">
        <f>ROUND(M13*(1+'Annual P&amp;L'!N8),0)</f>
        <v>525</v>
      </c>
      <c r="O13" s="27">
        <f>ROUND(N13*(1+'Annual P&amp;L'!O8),0)</f>
        <v>545</v>
      </c>
      <c r="P13" s="27">
        <f>ROUND(O13*(1+'Annual P&amp;L'!P8),0)</f>
        <v>571</v>
      </c>
      <c r="Q13" s="27">
        <f>ROUND(P13*(1+'Annual P&amp;L'!Q8),0)</f>
        <v>602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576</v>
      </c>
      <c r="B14" s="1" t="s">
        <v>46</v>
      </c>
      <c r="C14" s="19">
        <f>'Raw Operating'!C21</f>
        <v>0.30164274550261772</v>
      </c>
      <c r="D14" s="19">
        <f>'Raw Operating'!D21</f>
        <v>0.27900420074230914</v>
      </c>
      <c r="E14" s="19">
        <f>'Raw Operating'!E21</f>
        <v>0.24243632555890543</v>
      </c>
      <c r="F14" s="19">
        <f>'Raw Operating'!F21</f>
        <v>0.22658312574451947</v>
      </c>
      <c r="G14" s="19">
        <f>'Raw Operating'!G21</f>
        <v>0.216888</v>
      </c>
      <c r="H14" s="19">
        <f>'Raw Operating'!H21</f>
        <v>0.21829999999999999</v>
      </c>
      <c r="I14" s="19">
        <f>'Raw Operating'!I21</f>
        <v>0.22320000000000001</v>
      </c>
      <c r="J14" s="19">
        <f>'Raw Operating'!J21</f>
        <v>0.18459999999999999</v>
      </c>
      <c r="K14" s="19">
        <f>'Raw Operating'!K21</f>
        <v>0.1648</v>
      </c>
      <c r="L14" s="19">
        <f>'Raw Operating'!L21</f>
        <v>0.15229953450265821</v>
      </c>
      <c r="M14" s="19">
        <f>'Raw Operating'!M21</f>
        <v>0.15314066100550863</v>
      </c>
      <c r="N14" s="28">
        <f t="shared" ref="N14:Q16" si="0">M14</f>
        <v>0.15314066100550863</v>
      </c>
      <c r="O14" s="28">
        <f t="shared" si="0"/>
        <v>0.15314066100550863</v>
      </c>
      <c r="P14" s="28">
        <f t="shared" si="0"/>
        <v>0.15314066100550863</v>
      </c>
      <c r="Q14" s="28">
        <f t="shared" si="0"/>
        <v>0.15314066100550863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577</v>
      </c>
      <c r="B15" s="1" t="s">
        <v>46</v>
      </c>
      <c r="C15" s="19">
        <f>'Raw Operating'!C22</f>
        <v>0.41506312357583686</v>
      </c>
      <c r="D15" s="19">
        <f>'Raw Operating'!D22</f>
        <v>0.38937827449020579</v>
      </c>
      <c r="E15" s="19">
        <f>'Raw Operating'!E22</f>
        <v>0.34286238062488777</v>
      </c>
      <c r="F15" s="19">
        <f>'Raw Operating'!F22</f>
        <v>0.32201795738259897</v>
      </c>
      <c r="G15" s="19">
        <f>'Raw Operating'!G22</f>
        <v>0.31059999999999999</v>
      </c>
      <c r="H15" s="19">
        <f>'Raw Operating'!H22</f>
        <v>0.30759999999999998</v>
      </c>
      <c r="I15" s="19">
        <f>'Raw Operating'!I22</f>
        <v>0.313</v>
      </c>
      <c r="J15" s="19">
        <f>'Raw Operating'!J22</f>
        <v>0.27889999999999998</v>
      </c>
      <c r="K15" s="19">
        <f>'Raw Operating'!K22</f>
        <v>0.2661</v>
      </c>
      <c r="L15" s="19">
        <f>'Raw Operating'!L22</f>
        <v>0.24663734666522427</v>
      </c>
      <c r="M15" s="19">
        <f>'Raw Operating'!M22</f>
        <v>0.24531347489692845</v>
      </c>
      <c r="N15" s="28">
        <f t="shared" si="0"/>
        <v>0.24531347489692845</v>
      </c>
      <c r="O15" s="28">
        <f t="shared" si="0"/>
        <v>0.24531347489692845</v>
      </c>
      <c r="P15" s="28">
        <f t="shared" si="0"/>
        <v>0.24531347489692845</v>
      </c>
      <c r="Q15" s="28">
        <f t="shared" si="0"/>
        <v>0.24531347489692845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578</v>
      </c>
      <c r="B16" s="1" t="s">
        <v>46</v>
      </c>
      <c r="C16" s="19">
        <f>'Raw Operating'!C23</f>
        <v>0.5419530785291421</v>
      </c>
      <c r="D16" s="19">
        <f>'Raw Operating'!D23</f>
        <v>0.50904879548907112</v>
      </c>
      <c r="E16" s="19">
        <f>'Raw Operating'!E23</f>
        <v>0.4629579723602254</v>
      </c>
      <c r="F16" s="19">
        <f>'Raw Operating'!F23</f>
        <v>0.45218498153835501</v>
      </c>
      <c r="G16" s="19">
        <f>'Raw Operating'!G23</f>
        <v>0.432</v>
      </c>
      <c r="H16" s="19">
        <f>'Raw Operating'!H23</f>
        <v>0.42980000000000002</v>
      </c>
      <c r="I16" s="19">
        <f>'Raw Operating'!I23</f>
        <v>0.42699999999999999</v>
      </c>
      <c r="J16" s="19">
        <f>'Raw Operating'!J23</f>
        <v>0.40250000000000002</v>
      </c>
      <c r="K16" s="19">
        <f>'Raw Operating'!K23</f>
        <v>0.39056000000000002</v>
      </c>
      <c r="L16" s="19">
        <f>'Raw Operating'!L23</f>
        <v>0.38302175898731905</v>
      </c>
      <c r="M16" s="19">
        <f>'Raw Operating'!M23</f>
        <v>0.37931352902043125</v>
      </c>
      <c r="N16" s="28">
        <f t="shared" si="0"/>
        <v>0.37931352902043125</v>
      </c>
      <c r="O16" s="28">
        <f t="shared" si="0"/>
        <v>0.37931352902043125</v>
      </c>
      <c r="P16" s="28">
        <f t="shared" si="0"/>
        <v>0.37931352902043125</v>
      </c>
      <c r="Q16" s="28">
        <f t="shared" si="0"/>
        <v>0.37931352902043125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579</v>
      </c>
      <c r="B17" s="1" t="s">
        <v>48</v>
      </c>
      <c r="C17" s="20">
        <f>IFERROR('Geography &amp; Currency'!C40/C7,"")</f>
        <v>5.0030425620039418</v>
      </c>
      <c r="D17" s="20">
        <f>IFERROR('Geography &amp; Currency'!D40/D7,"")</f>
        <v>5.1614381997360148</v>
      </c>
      <c r="E17" s="20">
        <f>IFERROR('Geography &amp; Currency'!E40/E7,"")</f>
        <v>5.2253733558884718</v>
      </c>
      <c r="F17" s="20">
        <f>IFERROR('Geography &amp; Currency'!F40/F7,"")</f>
        <v>5.2990649780528463</v>
      </c>
      <c r="G17" s="20">
        <f>IFERROR('Geography &amp; Currency'!G40/G7,"")</f>
        <v>5.3256628982528262</v>
      </c>
      <c r="H17" s="20">
        <f>IFERROR('Geography &amp; Currency'!H40/H7,"")</f>
        <v>5.0755312810327711</v>
      </c>
      <c r="I17" s="20">
        <f>IFERROR('Geography &amp; Currency'!I40/I7,"")</f>
        <v>4.9001552287581696</v>
      </c>
      <c r="J17" s="20">
        <f>IFERROR('Geography &amp; Currency'!J40/J7,"")</f>
        <v>5.0936931380107948</v>
      </c>
      <c r="K17" s="20">
        <f>IFERROR('Geography &amp; Currency'!K40/K7,"")</f>
        <v>5.3558959044368599</v>
      </c>
      <c r="L17" s="20">
        <f>IFERROR('Geography &amp; Currency'!L40/L7,"")</f>
        <v>5.3906957485831928</v>
      </c>
      <c r="M17" s="20" t="str">
        <f>IFERROR('Geography &amp; Currency'!M40/M7,"")</f>
        <v/>
      </c>
      <c r="N17" s="33" t="str">
        <f>IFERROR('Geography &amp; Currency'!N40/N7,"")</f>
        <v/>
      </c>
      <c r="O17" s="33" t="str">
        <f>IFERROR('Geography &amp; Currency'!O40/O7,"")</f>
        <v/>
      </c>
      <c r="P17" s="33" t="str">
        <f>IFERROR('Geography &amp; Currency'!P40/P7,"")</f>
        <v/>
      </c>
      <c r="Q17" s="33" t="str">
        <f>IFERROR('Geography &amp; Currency'!Q40/Q7,"")</f>
        <v/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580</v>
      </c>
      <c r="B18" s="1" t="s">
        <v>48</v>
      </c>
      <c r="C18" s="20">
        <f>IFERROR('Geography &amp; Currency'!C40/C13,"")</f>
        <v>12.656599835539753</v>
      </c>
      <c r="D18" s="20">
        <f>IFERROR('Geography &amp; Currency'!D40/D13,"")</f>
        <v>12.291221475642544</v>
      </c>
      <c r="E18" s="20">
        <f>IFERROR('Geography &amp; Currency'!E40/E13,"")</f>
        <v>12.170321106954528</v>
      </c>
      <c r="F18" s="20">
        <f>IFERROR('Geography &amp; Currency'!F40/F13,"")</f>
        <v>11.695348116267224</v>
      </c>
      <c r="G18" s="20">
        <f>IFERROR('Geography &amp; Currency'!G40/G13,"")</f>
        <v>11.618542600896861</v>
      </c>
      <c r="H18" s="20">
        <f>IFERROR('Geography &amp; Currency'!H40/H13,"")</f>
        <v>11.332727272727274</v>
      </c>
      <c r="I18" s="20">
        <f>IFERROR('Geography &amp; Currency'!I40/I13,"")</f>
        <v>11.446164122137404</v>
      </c>
      <c r="J18" s="20">
        <f>IFERROR('Geography &amp; Currency'!J40/J13,"")</f>
        <v>11.351408934707905</v>
      </c>
      <c r="K18" s="20">
        <f>IFERROR('Geography &amp; Currency'!K40/K13,"")</f>
        <v>11.351012658227848</v>
      </c>
      <c r="L18" s="20">
        <f>IFERROR('Geography &amp; Currency'!L40/L13,"")</f>
        <v>11.599978629358649</v>
      </c>
      <c r="M18" s="20">
        <f>IFERROR('Geography &amp; Currency'!M40/M13,"")</f>
        <v>12.470438110777055</v>
      </c>
      <c r="N18" s="33">
        <f>IFERROR('Geography &amp; Currency'!N40/N13,"")</f>
        <v>11.674361504679377</v>
      </c>
      <c r="O18" s="33">
        <f>IFERROR('Geography &amp; Currency'!O40/O13,"")</f>
        <v>11.555830493223773</v>
      </c>
      <c r="P18" s="33">
        <f>IFERROR('Geography &amp; Currency'!P40/P13,"")</f>
        <v>11.435532096425382</v>
      </c>
      <c r="Q18" s="33">
        <f>IFERROR('Geography &amp; Currency'!Q40/Q13,"")</f>
        <v>11.314865469183477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581</v>
      </c>
      <c r="B19" s="1" t="s">
        <v>64</v>
      </c>
      <c r="C19" s="1"/>
      <c r="D19" s="25">
        <f t="shared" ref="D19:Q19" si="1">IF(OR(D13="",C13=""),"",D13-C13)</f>
        <v>35</v>
      </c>
      <c r="E19" s="25">
        <f t="shared" si="1"/>
        <v>38</v>
      </c>
      <c r="F19" s="25">
        <f t="shared" si="1"/>
        <v>33</v>
      </c>
      <c r="G19" s="25">
        <f t="shared" si="1"/>
        <v>21</v>
      </c>
      <c r="H19" s="25">
        <f t="shared" si="1"/>
        <v>5</v>
      </c>
      <c r="I19" s="25">
        <f t="shared" si="1"/>
        <v>73</v>
      </c>
      <c r="J19" s="25">
        <f t="shared" si="1"/>
        <v>58</v>
      </c>
      <c r="K19" s="25">
        <f t="shared" si="1"/>
        <v>-29</v>
      </c>
      <c r="L19" s="25">
        <f t="shared" si="1"/>
        <v>-13</v>
      </c>
      <c r="M19" s="25">
        <f t="shared" si="1"/>
        <v>-28</v>
      </c>
      <c r="N19" s="27">
        <f t="shared" si="1"/>
        <v>13</v>
      </c>
      <c r="O19" s="27">
        <f t="shared" si="1"/>
        <v>20</v>
      </c>
      <c r="P19" s="27">
        <f t="shared" si="1"/>
        <v>26</v>
      </c>
      <c r="Q19" s="27">
        <f t="shared" si="1"/>
        <v>31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67</v>
      </c>
      <c r="B20" s="1" t="s">
        <v>48</v>
      </c>
      <c r="C20" s="20">
        <f>'Raw Operating'!C24</f>
        <v>0</v>
      </c>
      <c r="D20" s="20">
        <f>'Raw Operating'!D24</f>
        <v>0</v>
      </c>
      <c r="E20" s="20">
        <f>'Raw Operating'!E24</f>
        <v>0</v>
      </c>
      <c r="F20" s="20">
        <f>'Raw Operating'!F24</f>
        <v>1666.8999999999999</v>
      </c>
      <c r="G20" s="20">
        <f>'Raw Operating'!G24</f>
        <v>3712</v>
      </c>
      <c r="H20" s="20">
        <f>'Raw Operating'!H24</f>
        <v>2209.69</v>
      </c>
      <c r="I20" s="20">
        <f>'Raw Operating'!I24</f>
        <v>3280</v>
      </c>
      <c r="J20" s="20">
        <f>'Raw Operating'!J24</f>
        <v>2905</v>
      </c>
      <c r="K20" s="20">
        <f>'Raw Operating'!K24</f>
        <v>1880.1849999999999</v>
      </c>
      <c r="L20" s="20">
        <f>'Raw Operating'!L24</f>
        <v>2680</v>
      </c>
      <c r="M20" s="20">
        <f>'Raw Operating'!M24</f>
        <v>3793.62</v>
      </c>
      <c r="N20" s="33">
        <f>'Revenue Drivers'!N22</f>
        <v>3983.3009999999999</v>
      </c>
      <c r="O20" s="33">
        <f>'Revenue Drivers'!O22</f>
        <v>4222.2990600000003</v>
      </c>
      <c r="P20" s="33">
        <f>'Revenue Drivers'!P22</f>
        <v>4517.859994200001</v>
      </c>
      <c r="Q20" s="33">
        <f>'Revenue Drivers'!Q22</f>
        <v>4834.1101937940011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145</v>
      </c>
      <c r="B21" s="1" t="s">
        <v>46</v>
      </c>
      <c r="C21" s="1"/>
      <c r="D21" s="19" t="str">
        <f t="shared" ref="D21:Q21" si="2">IFERROR(D20/C20-1,"")</f>
        <v/>
      </c>
      <c r="E21" s="19" t="str">
        <f t="shared" si="2"/>
        <v/>
      </c>
      <c r="F21" s="19" t="str">
        <f t="shared" si="2"/>
        <v/>
      </c>
      <c r="G21" s="19">
        <f t="shared" si="2"/>
        <v>1.2268882356470097</v>
      </c>
      <c r="H21" s="19">
        <f t="shared" si="2"/>
        <v>-0.40471713362068962</v>
      </c>
      <c r="I21" s="19">
        <f t="shared" si="2"/>
        <v>0.48437111087980655</v>
      </c>
      <c r="J21" s="19">
        <f t="shared" si="2"/>
        <v>-0.11432926829268297</v>
      </c>
      <c r="K21" s="19">
        <f t="shared" si="2"/>
        <v>-0.35277624784853701</v>
      </c>
      <c r="L21" s="19">
        <f t="shared" si="2"/>
        <v>0.42539165028973214</v>
      </c>
      <c r="M21" s="19">
        <f t="shared" si="2"/>
        <v>0.41552985074626858</v>
      </c>
      <c r="N21" s="28">
        <f t="shared" si="2"/>
        <v>5.0000000000000044E-2</v>
      </c>
      <c r="O21" s="28">
        <f t="shared" si="2"/>
        <v>6.0000000000000053E-2</v>
      </c>
      <c r="P21" s="28">
        <f t="shared" si="2"/>
        <v>7.0000000000000062E-2</v>
      </c>
      <c r="Q21" s="28">
        <f t="shared" si="2"/>
        <v>7.0000000000000062E-2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582</v>
      </c>
      <c r="B22" s="1" t="s">
        <v>73</v>
      </c>
      <c r="C22" s="21">
        <f>IFERROR(C20/'Geography &amp; Currency'!C40,"")</f>
        <v>0</v>
      </c>
      <c r="D22" s="21">
        <f>IFERROR(D20/'Geography &amp; Currency'!D40,"")</f>
        <v>0</v>
      </c>
      <c r="E22" s="21">
        <f>IFERROR(E20/'Geography &amp; Currency'!E40,"")</f>
        <v>0</v>
      </c>
      <c r="F22" s="21">
        <f>IFERROR(F20/'Geography &amp; Currency'!F40,"")</f>
        <v>0.33535706744833826</v>
      </c>
      <c r="G22" s="21">
        <f>IFERROR(G20/'Geography &amp; Currency'!G40,"")</f>
        <v>0.71634371375584494</v>
      </c>
      <c r="H22" s="21">
        <f>IFERROR(H20/'Geography &amp; Currency'!H40,"")</f>
        <v>0.43233497552366823</v>
      </c>
      <c r="I22" s="21">
        <f>IFERROR(I20/'Geography &amp; Currency'!I40,"")</f>
        <v>0.54686809641551304</v>
      </c>
      <c r="J22" s="21">
        <f>IFERROR(J20/'Geography &amp; Currency'!J40,"")</f>
        <v>0.43971712792816792</v>
      </c>
      <c r="K22" s="21">
        <f>IFERROR(K20/'Geography &amp; Currency'!K40,"")</f>
        <v>0.29953035712294351</v>
      </c>
      <c r="L22" s="21">
        <f>IFERROR(L20/'Geography &amp; Currency'!L40,"")</f>
        <v>0.42784242295085678</v>
      </c>
      <c r="M22" s="21">
        <f>IFERROR(M20/'Geography &amp; Currency'!M40,"")</f>
        <v>0.59415828030105244</v>
      </c>
      <c r="N22" s="30">
        <f>IFERROR(N20/'Geography &amp; Currency'!N40,"")</f>
        <v>0.6499062066014355</v>
      </c>
      <c r="O22" s="30">
        <f>IFERROR(O20/'Geography &amp; Currency'!O40,"")</f>
        <v>0.67042673646983719</v>
      </c>
      <c r="P22" s="30">
        <f>IFERROR(P20/'Geography &amp; Currency'!P40,"")</f>
        <v>0.69189514444824451</v>
      </c>
      <c r="Q22" s="30">
        <f>IFERROR(Q20/'Geography &amp; Currency'!Q40,"")</f>
        <v>0.70969322616036645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6"/>
      <c r="O23" s="36"/>
      <c r="P23" s="36"/>
      <c r="Q23" s="3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6"/>
      <c r="O24" s="36"/>
      <c r="P24" s="36"/>
      <c r="Q24" s="3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6"/>
      <c r="O25" s="36"/>
      <c r="P25" s="36"/>
      <c r="Q25" s="36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6"/>
      <c r="O26" s="36"/>
      <c r="P26" s="36"/>
      <c r="Q26" s="3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6"/>
      <c r="O27" s="36"/>
      <c r="P27" s="36"/>
      <c r="Q27" s="3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6"/>
      <c r="O28" s="36"/>
      <c r="P28" s="36"/>
      <c r="Q28" s="3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6"/>
      <c r="O29" s="36"/>
      <c r="P29" s="36"/>
      <c r="Q29" s="36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6"/>
      <c r="O30" s="36"/>
      <c r="P30" s="36"/>
      <c r="Q30" s="3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6"/>
      <c r="O31" s="36"/>
      <c r="P31" s="36"/>
      <c r="Q31" s="3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6"/>
      <c r="O32" s="36"/>
      <c r="P32" s="36"/>
      <c r="Q32" s="36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6"/>
      <c r="O33" s="36"/>
      <c r="P33" s="36"/>
      <c r="Q33" s="3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6"/>
      <c r="O34" s="36"/>
      <c r="P34" s="36"/>
      <c r="Q34" s="3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6"/>
      <c r="O35" s="36"/>
      <c r="P35" s="36"/>
      <c r="Q35" s="3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6"/>
      <c r="O36" s="36"/>
      <c r="P36" s="36"/>
      <c r="Q36" s="3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6"/>
      <c r="O37" s="36"/>
      <c r="P37" s="36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6"/>
      <c r="O38" s="36"/>
      <c r="P38" s="36"/>
      <c r="Q38" s="3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6"/>
      <c r="O39" s="36"/>
      <c r="P39" s="36"/>
      <c r="Q39" s="3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6"/>
      <c r="O40" s="36"/>
      <c r="P40" s="36"/>
      <c r="Q40" s="3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6"/>
      <c r="O41" s="36"/>
      <c r="P41" s="36"/>
      <c r="Q41" s="3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6"/>
      <c r="O42" s="36"/>
      <c r="P42" s="36"/>
      <c r="Q42" s="3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6"/>
      <c r="O43" s="36"/>
      <c r="P43" s="36"/>
      <c r="Q43" s="3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6"/>
      <c r="O44" s="36"/>
      <c r="P44" s="36"/>
      <c r="Q44" s="3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6"/>
      <c r="O45" s="36"/>
      <c r="P45" s="36"/>
      <c r="Q45" s="3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6"/>
      <c r="O46" s="36"/>
      <c r="P46" s="36"/>
      <c r="Q46" s="3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6"/>
      <c r="O47" s="36"/>
      <c r="P47" s="36"/>
      <c r="Q47" s="3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6"/>
      <c r="O48" s="36"/>
      <c r="P48" s="36"/>
      <c r="Q48" s="3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6"/>
      <c r="O49" s="36"/>
      <c r="P49" s="36"/>
      <c r="Q49" s="3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6"/>
      <c r="O50" s="36"/>
      <c r="P50" s="36"/>
      <c r="Q50" s="3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6"/>
      <c r="O51" s="36"/>
      <c r="P51" s="36"/>
      <c r="Q51" s="3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6"/>
      <c r="O52" s="36"/>
      <c r="P52" s="36"/>
      <c r="Q52" s="3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6"/>
      <c r="O53" s="36"/>
      <c r="P53" s="36"/>
      <c r="Q53" s="3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6"/>
      <c r="O54" s="36"/>
      <c r="P54" s="36"/>
      <c r="Q54" s="3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6"/>
      <c r="O55" s="36"/>
      <c r="P55" s="36"/>
      <c r="Q55" s="3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6"/>
      <c r="O56" s="36"/>
      <c r="P56" s="36"/>
      <c r="Q56" s="3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6"/>
      <c r="O57" s="36"/>
      <c r="P57" s="36"/>
      <c r="Q57" s="3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6"/>
      <c r="O58" s="36"/>
      <c r="P58" s="36"/>
      <c r="Q58" s="3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6"/>
      <c r="O59" s="36"/>
      <c r="P59" s="36"/>
      <c r="Q59" s="3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6"/>
      <c r="O60" s="36"/>
      <c r="P60" s="36"/>
      <c r="Q60" s="3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6"/>
      <c r="O61" s="36"/>
      <c r="P61" s="36"/>
      <c r="Q61" s="3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6"/>
      <c r="O62" s="36"/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6"/>
      <c r="O63" s="36"/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6"/>
      <c r="O64" s="36"/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6"/>
      <c r="O65" s="36"/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6"/>
      <c r="O66" s="36"/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6"/>
      <c r="O67" s="36"/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6"/>
      <c r="O68" s="36"/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6"/>
      <c r="O69" s="36"/>
      <c r="P69" s="36"/>
      <c r="Q69" s="3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6"/>
      <c r="O70" s="36"/>
      <c r="P70" s="36"/>
      <c r="Q70" s="3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6"/>
      <c r="O71" s="36"/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6"/>
      <c r="O72" s="36"/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6"/>
      <c r="O73" s="36"/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6"/>
      <c r="O74" s="36"/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6"/>
      <c r="O75" s="36"/>
      <c r="P75" s="36"/>
      <c r="Q75" s="3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6"/>
      <c r="O76" s="36"/>
      <c r="P76" s="36"/>
      <c r="Q76" s="3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6"/>
      <c r="O77" s="36"/>
      <c r="P77" s="36"/>
      <c r="Q77" s="3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6"/>
      <c r="O78" s="36"/>
      <c r="P78" s="36"/>
      <c r="Q78" s="3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6"/>
      <c r="O79" s="36"/>
      <c r="P79" s="36"/>
      <c r="Q79" s="3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6"/>
      <c r="O80" s="36"/>
      <c r="P80" s="36"/>
      <c r="Q80" s="3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6"/>
      <c r="O81" s="36"/>
      <c r="P81" s="36"/>
      <c r="Q81" s="3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6"/>
      <c r="O82" s="36"/>
      <c r="P82" s="36"/>
      <c r="Q82" s="3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6"/>
      <c r="O83" s="36"/>
      <c r="P83" s="36"/>
      <c r="Q83" s="3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6"/>
      <c r="O84" s="36"/>
      <c r="P84" s="36"/>
      <c r="Q84" s="3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6"/>
      <c r="O85" s="36"/>
      <c r="P85" s="36"/>
      <c r="Q85" s="3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6"/>
      <c r="O86" s="36"/>
      <c r="P86" s="36"/>
      <c r="Q86" s="3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6"/>
      <c r="O87" s="36"/>
      <c r="P87" s="36"/>
      <c r="Q87" s="3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6"/>
      <c r="O88" s="36"/>
      <c r="P88" s="36"/>
      <c r="Q88" s="3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6"/>
      <c r="O89" s="36"/>
      <c r="P89" s="36"/>
      <c r="Q89" s="3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6"/>
      <c r="O90" s="36"/>
      <c r="P90" s="36"/>
      <c r="Q90" s="3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6"/>
      <c r="O91" s="36"/>
      <c r="P91" s="36"/>
      <c r="Q91" s="3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6"/>
      <c r="O92" s="36"/>
      <c r="P92" s="36"/>
      <c r="Q92" s="3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6"/>
      <c r="O93" s="36"/>
      <c r="P93" s="36"/>
      <c r="Q93" s="3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6"/>
      <c r="O94" s="36"/>
      <c r="P94" s="36"/>
      <c r="Q94" s="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6"/>
      <c r="O95" s="36"/>
      <c r="P95" s="36"/>
      <c r="Q95" s="3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6"/>
      <c r="O96" s="36"/>
      <c r="P96" s="36"/>
      <c r="Q96" s="3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6"/>
      <c r="O97" s="36"/>
      <c r="P97" s="36"/>
      <c r="Q97" s="3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6"/>
      <c r="O98" s="36"/>
      <c r="P98" s="36"/>
      <c r="Q98" s="3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6"/>
      <c r="O99" s="36"/>
      <c r="P99" s="36"/>
      <c r="Q99" s="3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6"/>
      <c r="O100" s="36"/>
      <c r="P100" s="36"/>
      <c r="Q100" s="3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6"/>
      <c r="O101" s="36"/>
      <c r="P101" s="36"/>
      <c r="Q101" s="3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6"/>
      <c r="O102" s="36"/>
      <c r="P102" s="36"/>
      <c r="Q102" s="3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6"/>
      <c r="O103" s="36"/>
      <c r="P103" s="36"/>
      <c r="Q103" s="3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6"/>
      <c r="O104" s="36"/>
      <c r="P104" s="36"/>
      <c r="Q104" s="3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6"/>
      <c r="O105" s="36"/>
      <c r="P105" s="36"/>
      <c r="Q105" s="3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6"/>
      <c r="O106" s="36"/>
      <c r="P106" s="36"/>
      <c r="Q106" s="3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6"/>
      <c r="O107" s="36"/>
      <c r="P107" s="36"/>
      <c r="Q107" s="3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6"/>
      <c r="O108" s="36"/>
      <c r="P108" s="36"/>
      <c r="Q108" s="3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6"/>
      <c r="O109" s="36"/>
      <c r="P109" s="36"/>
      <c r="Q109" s="3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6"/>
      <c r="O110" s="36"/>
      <c r="P110" s="36"/>
      <c r="Q110" s="3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6"/>
      <c r="O111" s="36"/>
      <c r="P111" s="36"/>
      <c r="Q111" s="3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6"/>
      <c r="O112" s="36"/>
      <c r="P112" s="36"/>
      <c r="Q112" s="3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6"/>
      <c r="O113" s="36"/>
      <c r="P113" s="36"/>
      <c r="Q113" s="3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6"/>
      <c r="O114" s="36"/>
      <c r="P114" s="36"/>
      <c r="Q114" s="3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6"/>
      <c r="O115" s="36"/>
      <c r="P115" s="36"/>
      <c r="Q115" s="3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6"/>
      <c r="O116" s="36"/>
      <c r="P116" s="36"/>
      <c r="Q116" s="3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6"/>
      <c r="O117" s="36"/>
      <c r="P117" s="36"/>
      <c r="Q117" s="3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6"/>
      <c r="O118" s="36"/>
      <c r="P118" s="36"/>
      <c r="Q118" s="3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6"/>
      <c r="O119" s="36"/>
      <c r="P119" s="36"/>
      <c r="Q119" s="3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6"/>
      <c r="O120" s="36"/>
      <c r="P120" s="36"/>
      <c r="Q120" s="3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6"/>
      <c r="O121" s="36"/>
      <c r="P121" s="36"/>
      <c r="Q121" s="3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6"/>
      <c r="O122" s="36"/>
      <c r="P122" s="36"/>
      <c r="Q122" s="3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6"/>
      <c r="O123" s="36"/>
      <c r="P123" s="36"/>
      <c r="Q123" s="3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6"/>
      <c r="O124" s="36"/>
      <c r="P124" s="36"/>
      <c r="Q124" s="3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6"/>
      <c r="O125" s="36"/>
      <c r="P125" s="36"/>
      <c r="Q125" s="3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6"/>
      <c r="O126" s="36"/>
      <c r="P126" s="36"/>
      <c r="Q126" s="3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6"/>
      <c r="O127" s="36"/>
      <c r="P127" s="36"/>
      <c r="Q127" s="3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6"/>
      <c r="O128" s="36"/>
      <c r="P128" s="36"/>
      <c r="Q128" s="3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6"/>
      <c r="O129" s="36"/>
      <c r="P129" s="36"/>
      <c r="Q129" s="3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6"/>
      <c r="O130" s="36"/>
      <c r="P130" s="36"/>
      <c r="Q130" s="3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6"/>
      <c r="O131" s="36"/>
      <c r="P131" s="36"/>
      <c r="Q131" s="3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6"/>
      <c r="O132" s="36"/>
      <c r="P132" s="36"/>
      <c r="Q132" s="3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6"/>
      <c r="O133" s="36"/>
      <c r="P133" s="36"/>
      <c r="Q133" s="3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6"/>
      <c r="O134" s="36"/>
      <c r="P134" s="36"/>
      <c r="Q134" s="3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6"/>
      <c r="O135" s="36"/>
      <c r="P135" s="36"/>
      <c r="Q135" s="3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6"/>
      <c r="O136" s="36"/>
      <c r="P136" s="36"/>
      <c r="Q136" s="3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6"/>
      <c r="O137" s="36"/>
      <c r="P137" s="36"/>
      <c r="Q137" s="3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6"/>
      <c r="O138" s="36"/>
      <c r="P138" s="36"/>
      <c r="Q138" s="3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6"/>
      <c r="O139" s="36"/>
      <c r="P139" s="36"/>
      <c r="Q139" s="3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6"/>
      <c r="O140" s="36"/>
      <c r="P140" s="36"/>
      <c r="Q140" s="3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6"/>
      <c r="O141" s="36"/>
      <c r="P141" s="36"/>
      <c r="Q141" s="3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6"/>
      <c r="O142" s="36"/>
      <c r="P142" s="36"/>
      <c r="Q142" s="3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6"/>
      <c r="O143" s="36"/>
      <c r="P143" s="36"/>
      <c r="Q143" s="3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6"/>
      <c r="O144" s="36"/>
      <c r="P144" s="36"/>
      <c r="Q144" s="3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6"/>
      <c r="O145" s="36"/>
      <c r="P145" s="36"/>
      <c r="Q145" s="3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6"/>
      <c r="O146" s="36"/>
      <c r="P146" s="36"/>
      <c r="Q146" s="3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6"/>
      <c r="O147" s="36"/>
      <c r="P147" s="36"/>
      <c r="Q147" s="3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6"/>
      <c r="O148" s="36"/>
      <c r="P148" s="36"/>
      <c r="Q148" s="3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6"/>
      <c r="O149" s="36"/>
      <c r="P149" s="36"/>
      <c r="Q149" s="3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6"/>
      <c r="O150" s="36"/>
      <c r="P150" s="36"/>
      <c r="Q150" s="3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6"/>
      <c r="O151" s="36"/>
      <c r="P151" s="36"/>
      <c r="Q151" s="3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6"/>
      <c r="O152" s="36"/>
      <c r="P152" s="36"/>
      <c r="Q152" s="3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6"/>
      <c r="O153" s="36"/>
      <c r="P153" s="36"/>
      <c r="Q153" s="3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6"/>
      <c r="O154" s="36"/>
      <c r="P154" s="36"/>
      <c r="Q154" s="3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6"/>
      <c r="O155" s="36"/>
      <c r="P155" s="36"/>
      <c r="Q155" s="3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6"/>
      <c r="O156" s="36"/>
      <c r="P156" s="36"/>
      <c r="Q156" s="3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6"/>
      <c r="O157" s="36"/>
      <c r="P157" s="36"/>
      <c r="Q157" s="3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6"/>
      <c r="O158" s="36"/>
      <c r="P158" s="36"/>
      <c r="Q158" s="3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6"/>
      <c r="O159" s="36"/>
      <c r="P159" s="36"/>
      <c r="Q159" s="3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6"/>
      <c r="O160" s="36"/>
      <c r="P160" s="36"/>
      <c r="Q160" s="3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6"/>
      <c r="O161" s="36"/>
      <c r="P161" s="36"/>
      <c r="Q161" s="3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6"/>
      <c r="O162" s="36"/>
      <c r="P162" s="36"/>
      <c r="Q162" s="3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6"/>
      <c r="O163" s="36"/>
      <c r="P163" s="36"/>
      <c r="Q163" s="3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6"/>
      <c r="O164" s="36"/>
      <c r="P164" s="36"/>
      <c r="Q164" s="3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6"/>
      <c r="O165" s="36"/>
      <c r="P165" s="36"/>
      <c r="Q165" s="3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6"/>
      <c r="O166" s="36"/>
      <c r="P166" s="36"/>
      <c r="Q166" s="3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6"/>
      <c r="O167" s="36"/>
      <c r="P167" s="36"/>
      <c r="Q167" s="3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6"/>
      <c r="O168" s="36"/>
      <c r="P168" s="36"/>
      <c r="Q168" s="3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6"/>
      <c r="O169" s="36"/>
      <c r="P169" s="36"/>
      <c r="Q169" s="3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6"/>
      <c r="O170" s="36"/>
      <c r="P170" s="36"/>
      <c r="Q170" s="3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6"/>
      <c r="O171" s="36"/>
      <c r="P171" s="36"/>
      <c r="Q171" s="3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6"/>
      <c r="O172" s="36"/>
      <c r="P172" s="36"/>
      <c r="Q172" s="3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6"/>
      <c r="O173" s="36"/>
      <c r="P173" s="36"/>
      <c r="Q173" s="3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6"/>
      <c r="O174" s="36"/>
      <c r="P174" s="36"/>
      <c r="Q174" s="3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6"/>
      <c r="O175" s="36"/>
      <c r="P175" s="36"/>
      <c r="Q175" s="3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6"/>
      <c r="O176" s="36"/>
      <c r="P176" s="36"/>
      <c r="Q176" s="3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6"/>
      <c r="O177" s="36"/>
      <c r="P177" s="36"/>
      <c r="Q177" s="3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6"/>
      <c r="O178" s="36"/>
      <c r="P178" s="36"/>
      <c r="Q178" s="3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6"/>
      <c r="O179" s="36"/>
      <c r="P179" s="36"/>
      <c r="Q179" s="3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6"/>
      <c r="O180" s="36"/>
      <c r="P180" s="36"/>
      <c r="Q180" s="3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6"/>
      <c r="O181" s="36"/>
      <c r="P181" s="36"/>
      <c r="Q181" s="3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6"/>
      <c r="O182" s="36"/>
      <c r="P182" s="36"/>
      <c r="Q182" s="3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6"/>
      <c r="O183" s="36"/>
      <c r="P183" s="36"/>
      <c r="Q183" s="3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6"/>
      <c r="O184" s="36"/>
      <c r="P184" s="36"/>
      <c r="Q184" s="3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6"/>
      <c r="O185" s="36"/>
      <c r="P185" s="36"/>
      <c r="Q185" s="3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6"/>
      <c r="O186" s="36"/>
      <c r="P186" s="36"/>
      <c r="Q186" s="3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6"/>
      <c r="O187" s="36"/>
      <c r="P187" s="36"/>
      <c r="Q187" s="3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6"/>
      <c r="O188" s="36"/>
      <c r="P188" s="36"/>
      <c r="Q188" s="3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6"/>
      <c r="O189" s="36"/>
      <c r="P189" s="36"/>
      <c r="Q189" s="3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6"/>
      <c r="O190" s="36"/>
      <c r="P190" s="36"/>
      <c r="Q190" s="3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6"/>
      <c r="O191" s="36"/>
      <c r="P191" s="36"/>
      <c r="Q191" s="3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6"/>
      <c r="O192" s="36"/>
      <c r="P192" s="36"/>
      <c r="Q192" s="3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6"/>
      <c r="O193" s="36"/>
      <c r="P193" s="36"/>
      <c r="Q193" s="3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6"/>
      <c r="O194" s="36"/>
      <c r="P194" s="36"/>
      <c r="Q194" s="3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6"/>
      <c r="O195" s="36"/>
      <c r="P195" s="36"/>
      <c r="Q195" s="3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6"/>
      <c r="O196" s="36"/>
      <c r="P196" s="36"/>
      <c r="Q196" s="3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6"/>
      <c r="O197" s="36"/>
      <c r="P197" s="36"/>
      <c r="Q197" s="3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6"/>
      <c r="O198" s="36"/>
      <c r="P198" s="36"/>
      <c r="Q198" s="3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6"/>
      <c r="O199" s="36"/>
      <c r="P199" s="36"/>
      <c r="Q199" s="3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6"/>
      <c r="O200" s="36"/>
      <c r="P200" s="36"/>
      <c r="Q200" s="3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300"/>
  <sheetViews>
    <sheetView showGridLines="0" workbookViewId="0"/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583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584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46" t="s">
        <v>39</v>
      </c>
      <c r="O5" s="46" t="s">
        <v>40</v>
      </c>
      <c r="P5" s="46" t="s">
        <v>41</v>
      </c>
      <c r="Q5" s="46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63</v>
      </c>
      <c r="B6" s="1" t="s">
        <v>64</v>
      </c>
      <c r="C6" s="25">
        <f>'Raw Operating'!C7</f>
        <v>105432</v>
      </c>
      <c r="D6" s="25">
        <f>'Raw Operating'!D7</f>
        <v>117693</v>
      </c>
      <c r="E6" s="25">
        <f>'Raw Operating'!E7</f>
        <v>112807</v>
      </c>
      <c r="F6" s="25">
        <f>'Raw Operating'!F7</f>
        <v>121082</v>
      </c>
      <c r="G6" s="25">
        <f>'Raw Operating'!G7</f>
        <v>125236</v>
      </c>
      <c r="H6" s="25">
        <f>'Raw Operating'!H7</f>
        <v>121054</v>
      </c>
      <c r="I6" s="25">
        <f>'Raw Operating'!I7</f>
        <v>151173</v>
      </c>
      <c r="J6" s="25">
        <f>'Raw Operating'!J7</f>
        <v>152400</v>
      </c>
      <c r="K6" s="25">
        <f>'Raw Operating'!K7</f>
        <v>145455</v>
      </c>
      <c r="L6" s="25">
        <f>'Raw Operating'!L7</f>
        <v>148731</v>
      </c>
      <c r="M6" s="25">
        <f>'Raw Operating'!M7</f>
        <v>147623</v>
      </c>
      <c r="N6" s="27">
        <f>M6*(1+Assumptions!C6)</f>
        <v>147623</v>
      </c>
      <c r="O6" s="27">
        <f>N6*(1+Assumptions!D6)</f>
        <v>149099.23000000001</v>
      </c>
      <c r="P6" s="27">
        <f>O6*(1+Assumptions!E6)</f>
        <v>151335.71844999999</v>
      </c>
      <c r="Q6" s="27">
        <f>P6*(1+Assumptions!F6)</f>
        <v>154362.43281899998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585</v>
      </c>
      <c r="B7" s="1" t="s">
        <v>46</v>
      </c>
      <c r="C7" s="1"/>
      <c r="D7" s="19">
        <f t="shared" ref="D7:M7" si="0">IFERROR(D6/C6-1,"")</f>
        <v>0.11629296608240391</v>
      </c>
      <c r="E7" s="19">
        <f t="shared" si="0"/>
        <v>-4.1514788475100484E-2</v>
      </c>
      <c r="F7" s="19">
        <f t="shared" si="0"/>
        <v>7.3355376882640266E-2</v>
      </c>
      <c r="G7" s="19">
        <f t="shared" si="0"/>
        <v>3.4307328917593027E-2</v>
      </c>
      <c r="H7" s="19">
        <f t="shared" si="0"/>
        <v>-3.3392954102654193E-2</v>
      </c>
      <c r="I7" s="19">
        <f t="shared" si="0"/>
        <v>0.24880631784162444</v>
      </c>
      <c r="J7" s="19">
        <f t="shared" si="0"/>
        <v>8.1165287452125146E-3</v>
      </c>
      <c r="K7" s="19">
        <f t="shared" si="0"/>
        <v>-4.5570866141732336E-2</v>
      </c>
      <c r="L7" s="19">
        <f t="shared" si="0"/>
        <v>2.2522429617407358E-2</v>
      </c>
      <c r="M7" s="19">
        <f t="shared" si="0"/>
        <v>-7.4496910529748828E-3</v>
      </c>
      <c r="N7" s="28">
        <f>Assumptions!C6</f>
        <v>0</v>
      </c>
      <c r="O7" s="28">
        <f>Assumptions!D6</f>
        <v>0.01</v>
      </c>
      <c r="P7" s="28">
        <f>Assumptions!E6</f>
        <v>1.4999999999999999E-2</v>
      </c>
      <c r="Q7" s="28">
        <f>Assumptions!F6</f>
        <v>0.02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138</v>
      </c>
      <c r="B8" s="1" t="s">
        <v>46</v>
      </c>
      <c r="C8" s="19">
        <f>IFERROR('Raw Operating'!C8/C6,"")</f>
        <v>0.68409021928826164</v>
      </c>
      <c r="D8" s="19">
        <f>IFERROR('Raw Operating'!D8/D6,"")</f>
        <v>0.70015209060861738</v>
      </c>
      <c r="E8" s="19">
        <f>IFERROR('Raw Operating'!E8/E6,"")</f>
        <v>0.64213213719006801</v>
      </c>
      <c r="F8" s="19">
        <f>IFERROR('Raw Operating'!F8/F6,"")</f>
        <v>0.59031895740076967</v>
      </c>
      <c r="G8" s="19">
        <f>IFERROR('Raw Operating'!G8/G6,"")</f>
        <v>0.57104187294388198</v>
      </c>
      <c r="H8" s="19">
        <f>IFERROR('Raw Operating'!H8/H6,"")</f>
        <v>0.56526013184198787</v>
      </c>
      <c r="I8" s="19">
        <f>IFERROR('Raw Operating'!I8/I6,"")</f>
        <v>0.56776011589371123</v>
      </c>
      <c r="J8" s="19">
        <f>IFERROR('Raw Operating'!J8/J6,"")</f>
        <v>0.54979658792650921</v>
      </c>
      <c r="K8" s="19">
        <f>IFERROR('Raw Operating'!K8/K6,"")</f>
        <v>0.55635763638238633</v>
      </c>
      <c r="L8" s="19">
        <f>IFERROR('Raw Operating'!L8/L6,"")</f>
        <v>0.54197847119968268</v>
      </c>
      <c r="M8" s="19">
        <f>IFERROR('Raw Operating'!M8/M6,"")</f>
        <v>0.51060471606727953</v>
      </c>
      <c r="N8" s="28">
        <f>Assumptions!C7</f>
        <v>0.51500000000000001</v>
      </c>
      <c r="O8" s="28">
        <f>Assumptions!D7</f>
        <v>0.52</v>
      </c>
      <c r="P8" s="28">
        <f>Assumptions!E7</f>
        <v>0.52500000000000002</v>
      </c>
      <c r="Q8" s="28">
        <f>Assumptions!F7</f>
        <v>0.53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422</v>
      </c>
      <c r="B9" s="1" t="s">
        <v>64</v>
      </c>
      <c r="C9" s="25">
        <f>'Raw Operating'!C8</f>
        <v>72125</v>
      </c>
      <c r="D9" s="25">
        <f>'Raw Operating'!D8</f>
        <v>82403</v>
      </c>
      <c r="E9" s="25">
        <f>'Raw Operating'!E8</f>
        <v>72437</v>
      </c>
      <c r="F9" s="25">
        <f>'Raw Operating'!F8</f>
        <v>71477</v>
      </c>
      <c r="G9" s="25">
        <f>'Raw Operating'!G8</f>
        <v>71515</v>
      </c>
      <c r="H9" s="25">
        <f>'Raw Operating'!H8</f>
        <v>68427</v>
      </c>
      <c r="I9" s="25">
        <f>'Raw Operating'!I8</f>
        <v>85830</v>
      </c>
      <c r="J9" s="25">
        <f>'Raw Operating'!J8</f>
        <v>83789</v>
      </c>
      <c r="K9" s="25">
        <f>'Raw Operating'!K8</f>
        <v>80925</v>
      </c>
      <c r="L9" s="25">
        <f>'Raw Operating'!L8</f>
        <v>80609</v>
      </c>
      <c r="M9" s="25">
        <f>'Raw Operating'!M8</f>
        <v>75377</v>
      </c>
      <c r="N9" s="27">
        <f>N6*N8</f>
        <v>76025.845000000001</v>
      </c>
      <c r="O9" s="27">
        <f>O6*O8</f>
        <v>77531.599600000001</v>
      </c>
      <c r="P9" s="27">
        <f>P6*P8</f>
        <v>79451.25218625</v>
      </c>
      <c r="Q9" s="27">
        <f>Q6*Q8</f>
        <v>81812.08939406999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586</v>
      </c>
      <c r="B10" s="1" t="s">
        <v>46</v>
      </c>
      <c r="C10" s="19">
        <f>'Raw Operating'!C12</f>
        <v>0.77485958392828691</v>
      </c>
      <c r="D10" s="19">
        <f>'Raw Operating'!D12</f>
        <v>0.76865319264703547</v>
      </c>
      <c r="E10" s="19">
        <f>'Raw Operating'!E12</f>
        <v>0.83822415090740643</v>
      </c>
      <c r="F10" s="19">
        <f>'Raw Operating'!F12</f>
        <v>0.81799999999999995</v>
      </c>
      <c r="G10" s="19">
        <f>'Raw Operating'!G12</f>
        <v>0.83160803291672802</v>
      </c>
      <c r="H10" s="19">
        <f>'Raw Operating'!H12</f>
        <v>0.874</v>
      </c>
      <c r="I10" s="19">
        <f>'Raw Operating'!I12</f>
        <v>0.83099999999999996</v>
      </c>
      <c r="J10" s="19">
        <f>'Raw Operating'!J12</f>
        <v>0.86481215674332446</v>
      </c>
      <c r="K10" s="19">
        <f>'Raw Operating'!K12</f>
        <v>0.86419999999999997</v>
      </c>
      <c r="L10" s="19">
        <f>'Raw Operating'!L12</f>
        <v>0.86350000000000005</v>
      </c>
      <c r="M10" s="19">
        <f>'Raw Operating'!M12</f>
        <v>0.86119999999999997</v>
      </c>
      <c r="N10" s="28">
        <f>Assumptions!C8</f>
        <v>0.86</v>
      </c>
      <c r="O10" s="28">
        <f>Assumptions!D8</f>
        <v>0.86199999999999999</v>
      </c>
      <c r="P10" s="28">
        <f>Assumptions!E8</f>
        <v>0.86499999999999999</v>
      </c>
      <c r="Q10" s="28">
        <f>Assumptions!F8</f>
        <v>0.86499999999999999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24" t="s">
        <v>65</v>
      </c>
      <c r="B11" s="22" t="s">
        <v>64</v>
      </c>
      <c r="C11" s="26">
        <f t="shared" ref="C11:M11" si="1">IF(OR(C9="",C10=""),"",C9*C10)</f>
        <v>55886.747490827693</v>
      </c>
      <c r="D11" s="26">
        <f t="shared" si="1"/>
        <v>63339.329033693662</v>
      </c>
      <c r="E11" s="26">
        <f t="shared" si="1"/>
        <v>60718.4428192798</v>
      </c>
      <c r="F11" s="26">
        <f t="shared" si="1"/>
        <v>58468.185999999994</v>
      </c>
      <c r="G11" s="26">
        <f t="shared" si="1"/>
        <v>59472.448474039804</v>
      </c>
      <c r="H11" s="26">
        <f t="shared" si="1"/>
        <v>59805.197999999997</v>
      </c>
      <c r="I11" s="26">
        <f t="shared" si="1"/>
        <v>71324.73</v>
      </c>
      <c r="J11" s="26">
        <f t="shared" si="1"/>
        <v>72461.745801366415</v>
      </c>
      <c r="K11" s="26">
        <f t="shared" si="1"/>
        <v>69935.384999999995</v>
      </c>
      <c r="L11" s="26">
        <f t="shared" si="1"/>
        <v>69605.871500000008</v>
      </c>
      <c r="M11" s="26">
        <f t="shared" si="1"/>
        <v>64914.672399999996</v>
      </c>
      <c r="N11" s="29">
        <f>N9*N10</f>
        <v>65382.226699999999</v>
      </c>
      <c r="O11" s="29">
        <f>O9*O10</f>
        <v>66832.238855200005</v>
      </c>
      <c r="P11" s="29">
        <f>P9*P10</f>
        <v>68725.333141106254</v>
      </c>
      <c r="Q11" s="29">
        <f>Q9*Q10</f>
        <v>70767.457325870535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587</v>
      </c>
      <c r="B12" s="1" t="s">
        <v>46</v>
      </c>
      <c r="C12" s="1"/>
      <c r="D12" s="19">
        <f t="shared" ref="D12:M12" si="2">IFERROR(D11/C11-1,"")</f>
        <v>0.13335149883412178</v>
      </c>
      <c r="E12" s="19">
        <f t="shared" si="2"/>
        <v>-4.1378496652840546E-2</v>
      </c>
      <c r="F12" s="19">
        <f t="shared" si="2"/>
        <v>-3.7060515961804041E-2</v>
      </c>
      <c r="G12" s="19">
        <f t="shared" si="2"/>
        <v>1.7176220826139676E-2</v>
      </c>
      <c r="H12" s="19">
        <f t="shared" si="2"/>
        <v>5.5950197864385043E-3</v>
      </c>
      <c r="I12" s="19">
        <f t="shared" si="2"/>
        <v>0.19261757146928926</v>
      </c>
      <c r="J12" s="19">
        <f t="shared" si="2"/>
        <v>1.5941396502537231E-2</v>
      </c>
      <c r="K12" s="19">
        <f t="shared" si="2"/>
        <v>-3.4864752062305104E-2</v>
      </c>
      <c r="L12" s="19">
        <f t="shared" si="2"/>
        <v>-4.7116849360303581E-3</v>
      </c>
      <c r="M12" s="19">
        <f t="shared" si="2"/>
        <v>-6.7396600299732046E-2</v>
      </c>
      <c r="N12" s="28">
        <f>IFERROR(N11/M11-1,0)</f>
        <v>7.2025981602272804E-3</v>
      </c>
      <c r="O12" s="28">
        <f>IFERROR(O11/N11-1,0)</f>
        <v>2.2177466696771342E-2</v>
      </c>
      <c r="P12" s="28">
        <f>IFERROR(P11/O11-1,0)</f>
        <v>2.8326064162055964E-2</v>
      </c>
      <c r="Q12" s="28">
        <f>IFERROR(Q11/P11-1,0)</f>
        <v>2.971428571428536E-2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588</v>
      </c>
      <c r="B13" s="1" t="s">
        <v>589</v>
      </c>
      <c r="C13" s="21">
        <f>IFERROR('Raw Operating'!C6*1000/C11,"")</f>
        <v>72.243519775414043</v>
      </c>
      <c r="D13" s="21">
        <f>IFERROR('Raw Operating'!D6*1000/D11,"")</f>
        <v>68.69495570537029</v>
      </c>
      <c r="E13" s="21">
        <f>IFERROR('Raw Operating'!E6*1000/E11,"")</f>
        <v>78.571940458448708</v>
      </c>
      <c r="F13" s="21">
        <f>IFERROR('Raw Operating'!F6*1000/F11,"")</f>
        <v>85.012436496893727</v>
      </c>
      <c r="G13" s="21">
        <f>IFERROR('Raw Operating'!G6*1000/G11,"")</f>
        <v>87.130597998868794</v>
      </c>
      <c r="H13" s="21">
        <f>IFERROR('Raw Operating'!H6*1000/H11,"")</f>
        <v>85.461802166427077</v>
      </c>
      <c r="I13" s="21">
        <f>IFERROR('Raw Operating'!I6*1000/I11,"")</f>
        <v>84.091310265037109</v>
      </c>
      <c r="J13" s="21">
        <f>IFERROR('Raw Operating'!J6*1000/J11,"")</f>
        <v>91.172520437334271</v>
      </c>
      <c r="K13" s="21">
        <f>IFERROR('Raw Operating'!K6*1000/K11,"")</f>
        <v>89.755851061662142</v>
      </c>
      <c r="L13" s="21">
        <f>IFERROR('Raw Operating'!L6*1000/L11,"")</f>
        <v>89.992242390840104</v>
      </c>
      <c r="M13" s="21">
        <f>IFERROR('Raw Operating'!M6*1000/M11,"")</f>
        <v>98.357799194837384</v>
      </c>
      <c r="N13" s="30">
        <f>M13*(1+Assumptions!C9)</f>
        <v>100.32495517873413</v>
      </c>
      <c r="O13" s="30">
        <f>N13*(1+Assumptions!D9)</f>
        <v>102.83307905820247</v>
      </c>
      <c r="P13" s="30">
        <f>O13*(1+Assumptions!E9)</f>
        <v>105.91807142994855</v>
      </c>
      <c r="Q13" s="30">
        <f>P13*(1+Assumptions!F9)</f>
        <v>109.09561357284701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590</v>
      </c>
      <c r="B14" s="1" t="s">
        <v>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8">
        <f>Assumptions!C9</f>
        <v>0.02</v>
      </c>
      <c r="O14" s="28">
        <f>Assumptions!D9</f>
        <v>2.5000000000000001E-2</v>
      </c>
      <c r="P14" s="28">
        <f>Assumptions!E9</f>
        <v>0.03</v>
      </c>
      <c r="Q14" s="28">
        <f>Assumptions!F9</f>
        <v>0.03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142</v>
      </c>
      <c r="B15" s="1" t="s">
        <v>46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8">
        <f>Assumptions!C11</f>
        <v>0.96</v>
      </c>
      <c r="O15" s="28">
        <f>Assumptions!D11</f>
        <v>0.96</v>
      </c>
      <c r="P15" s="28">
        <f>Assumptions!E11</f>
        <v>0.96</v>
      </c>
      <c r="Q15" s="28">
        <f>Assumptions!F11</f>
        <v>0.96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24" t="s">
        <v>591</v>
      </c>
      <c r="B16" s="22" t="s">
        <v>44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31">
        <f>M31*N15</f>
        <v>54542.783615999775</v>
      </c>
      <c r="O16" s="31">
        <f>N31*O15</f>
        <v>55896.842884404847</v>
      </c>
      <c r="P16" s="31">
        <f>O31*P15</f>
        <v>58041.700934924898</v>
      </c>
      <c r="Q16" s="31">
        <f>P31*Q15</f>
        <v>60804.462357572404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24" t="s">
        <v>592</v>
      </c>
      <c r="B17" s="22" t="s">
        <v>44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31">
        <f>MAX(0,N12)*M31*Assumptions!C10</f>
        <v>204.60924631576802</v>
      </c>
      <c r="O17" s="31">
        <f>MAX(0,O12)*N31*Assumptions!D10</f>
        <v>645.65123516851497</v>
      </c>
      <c r="P17" s="31">
        <f>MAX(0,P12)*O31*Assumptions!E10</f>
        <v>856.29840872788873</v>
      </c>
      <c r="Q17" s="31">
        <f>MAX(0,Q12)*P31*Assumptions!F10</f>
        <v>941.0214412481331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143</v>
      </c>
      <c r="B18" s="1" t="s">
        <v>46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8">
        <f>Assumptions!C12</f>
        <v>0.35</v>
      </c>
      <c r="O18" s="28">
        <f>Assumptions!D12</f>
        <v>0.33</v>
      </c>
      <c r="P18" s="28">
        <f>Assumptions!E12</f>
        <v>0.31</v>
      </c>
      <c r="Q18" s="28">
        <f>Assumptions!F12</f>
        <v>0.3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593</v>
      </c>
      <c r="B19" s="1" t="s">
        <v>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2">
        <f>SUM(N16:N17)*N18</f>
        <v>19161.587501810438</v>
      </c>
      <c r="O19" s="32">
        <f>SUM(O16:O17)*O18</f>
        <v>18659.02305945921</v>
      </c>
      <c r="P19" s="32">
        <f>SUM(P16:P17)*P18</f>
        <v>18258.379796532365</v>
      </c>
      <c r="Q19" s="32">
        <f>SUM(Q16:Q17)*Q18</f>
        <v>18523.64513964616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594</v>
      </c>
      <c r="B20" s="1" t="s">
        <v>46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8">
        <f>Assumptions!C13</f>
        <v>1.4999999999999999E-2</v>
      </c>
      <c r="O20" s="28">
        <f>Assumptions!D13</f>
        <v>0.02</v>
      </c>
      <c r="P20" s="28">
        <f>Assumptions!E13</f>
        <v>2.5000000000000001E-2</v>
      </c>
      <c r="Q20" s="28">
        <f>Assumptions!F13</f>
        <v>0.03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24" t="s">
        <v>70</v>
      </c>
      <c r="B21" s="22" t="s">
        <v>44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31">
        <f>-N19*N20</f>
        <v>-287.42381252715654</v>
      </c>
      <c r="O21" s="31">
        <f>-O19*O20</f>
        <v>-373.1804611891842</v>
      </c>
      <c r="P21" s="31">
        <f>-P19*P20</f>
        <v>-456.45949491330913</v>
      </c>
      <c r="Q21" s="31">
        <f>-Q19*Q20</f>
        <v>-555.70935418938473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67</v>
      </c>
      <c r="B22" s="1" t="s">
        <v>48</v>
      </c>
      <c r="C22" s="20">
        <f>'Raw Operating'!C24</f>
        <v>0</v>
      </c>
      <c r="D22" s="20">
        <f>'Raw Operating'!D24</f>
        <v>0</v>
      </c>
      <c r="E22" s="20">
        <f>'Raw Operating'!E24</f>
        <v>0</v>
      </c>
      <c r="F22" s="20">
        <f>'Raw Operating'!F24</f>
        <v>1666.8999999999999</v>
      </c>
      <c r="G22" s="20">
        <f>'Raw Operating'!G24</f>
        <v>3712</v>
      </c>
      <c r="H22" s="20">
        <f>'Raw Operating'!H24</f>
        <v>2209.69</v>
      </c>
      <c r="I22" s="20">
        <f>'Raw Operating'!I24</f>
        <v>3280</v>
      </c>
      <c r="J22" s="20">
        <f>'Raw Operating'!J24</f>
        <v>2905</v>
      </c>
      <c r="K22" s="20">
        <f>'Raw Operating'!K24</f>
        <v>1880.1849999999999</v>
      </c>
      <c r="L22" s="20">
        <f>'Raw Operating'!L24</f>
        <v>2680</v>
      </c>
      <c r="M22" s="20">
        <f>'Raw Operating'!M24</f>
        <v>3793.62</v>
      </c>
      <c r="N22" s="33">
        <f>M22*(1+Assumptions!C14)</f>
        <v>3983.3009999999999</v>
      </c>
      <c r="O22" s="33">
        <f>N22*(1+Assumptions!D14)</f>
        <v>4222.2990600000003</v>
      </c>
      <c r="P22" s="33">
        <f>O22*(1+Assumptions!E14)</f>
        <v>4517.859994200001</v>
      </c>
      <c r="Q22" s="33">
        <f>P22*(1+Assumptions!F14)</f>
        <v>4834.1101937940011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145</v>
      </c>
      <c r="B23" s="1" t="s">
        <v>46</v>
      </c>
      <c r="C23" s="1"/>
      <c r="D23" s="19" t="str">
        <f t="shared" ref="D23:M23" si="3">IFERROR(D22/C22-1,"")</f>
        <v/>
      </c>
      <c r="E23" s="19" t="str">
        <f t="shared" si="3"/>
        <v/>
      </c>
      <c r="F23" s="19" t="str">
        <f t="shared" si="3"/>
        <v/>
      </c>
      <c r="G23" s="19">
        <f t="shared" si="3"/>
        <v>1.2268882356470097</v>
      </c>
      <c r="H23" s="19">
        <f t="shared" si="3"/>
        <v>-0.40471713362068962</v>
      </c>
      <c r="I23" s="19">
        <f t="shared" si="3"/>
        <v>0.48437111087980655</v>
      </c>
      <c r="J23" s="19">
        <f t="shared" si="3"/>
        <v>-0.11432926829268297</v>
      </c>
      <c r="K23" s="19">
        <f t="shared" si="3"/>
        <v>-0.35277624784853701</v>
      </c>
      <c r="L23" s="19">
        <f t="shared" si="3"/>
        <v>0.42539165028973214</v>
      </c>
      <c r="M23" s="19">
        <f t="shared" si="3"/>
        <v>0.41552985074626858</v>
      </c>
      <c r="N23" s="28">
        <f>Assumptions!C14</f>
        <v>0.05</v>
      </c>
      <c r="O23" s="28">
        <f>Assumptions!D14</f>
        <v>0.06</v>
      </c>
      <c r="P23" s="28">
        <f>Assumptions!E14</f>
        <v>7.0000000000000007E-2</v>
      </c>
      <c r="Q23" s="28">
        <f>Assumptions!F14</f>
        <v>7.0000000000000007E-2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595</v>
      </c>
      <c r="B24" s="1" t="s">
        <v>46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8">
        <f>Assumptions!C15</f>
        <v>0.08</v>
      </c>
      <c r="O24" s="28">
        <f>Assumptions!D15</f>
        <v>0.08</v>
      </c>
      <c r="P24" s="28">
        <f>Assumptions!E15</f>
        <v>0.08</v>
      </c>
      <c r="Q24" s="28">
        <f>Assumptions!F15</f>
        <v>0.08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24" t="s">
        <v>596</v>
      </c>
      <c r="B25" s="22" t="s">
        <v>44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31">
        <f>N22*Assumptions!C18/10*N24</f>
        <v>3027.3087599999999</v>
      </c>
      <c r="O25" s="31">
        <f>O22*Assumptions!D18/10*O24</f>
        <v>3242.7256780800003</v>
      </c>
      <c r="P25" s="31">
        <f>P22*Assumptions!E18/10*P24</f>
        <v>3505.8593554992008</v>
      </c>
      <c r="Q25" s="31">
        <f>Q22*Assumptions!F18/10*Q24</f>
        <v>3789.9423919344968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597</v>
      </c>
      <c r="B26" s="1" t="s">
        <v>46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8">
        <f>Assumptions!C17</f>
        <v>5.0000000000000001E-3</v>
      </c>
      <c r="O26" s="28">
        <f>Assumptions!D17</f>
        <v>6.0000000000000001E-3</v>
      </c>
      <c r="P26" s="28">
        <f>Assumptions!E17</f>
        <v>7.0000000000000001E-3</v>
      </c>
      <c r="Q26" s="28">
        <f>Assumptions!F17</f>
        <v>8.0000000000000002E-3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24" t="s">
        <v>598</v>
      </c>
      <c r="B27" s="22" t="s">
        <v>44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31">
        <f>M31*N26</f>
        <v>284.07699799999881</v>
      </c>
      <c r="O27" s="31">
        <f>N31*O26</f>
        <v>349.35526802753031</v>
      </c>
      <c r="P27" s="31">
        <f>O31*P26</f>
        <v>423.22073598382741</v>
      </c>
      <c r="Q27" s="31">
        <f>P31*Q26</f>
        <v>506.70385297977003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599</v>
      </c>
      <c r="B28" s="1" t="s">
        <v>46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8">
        <f>Assumptions!C16</f>
        <v>8.0000000000000002E-3</v>
      </c>
      <c r="O28" s="28">
        <f>Assumptions!D16</f>
        <v>1.2E-2</v>
      </c>
      <c r="P28" s="28">
        <f>Assumptions!E16</f>
        <v>1.6E-2</v>
      </c>
      <c r="Q28" s="28">
        <f>Assumptions!F16</f>
        <v>0.02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24" t="s">
        <v>600</v>
      </c>
      <c r="B29" s="22" t="s">
        <v>44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31">
        <f>M31*N28</f>
        <v>454.52319679999812</v>
      </c>
      <c r="O29" s="31">
        <f>N31*O28</f>
        <v>698.71053605506063</v>
      </c>
      <c r="P29" s="31">
        <f>O31*P28</f>
        <v>967.36168224874837</v>
      </c>
      <c r="Q29" s="31">
        <f>P31*Q28</f>
        <v>1266.7596324494252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24" t="s">
        <v>601</v>
      </c>
      <c r="B30" s="22" t="s">
        <v>44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31">
        <f>SUM(N16:N17,N21,N25,N27,N29)</f>
        <v>58225.878004588383</v>
      </c>
      <c r="O30" s="31">
        <f>SUM(O16:O17,O21,O25,O27,O29)</f>
        <v>60460.105140546773</v>
      </c>
      <c r="P30" s="31">
        <f>SUM(P16:P17,P21,P25,P27,P29)</f>
        <v>63337.981622471256</v>
      </c>
      <c r="Q30" s="31">
        <f>SUM(Q16:Q17,Q21,Q25,Q27,Q29)</f>
        <v>66753.180321994849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24" t="s">
        <v>538</v>
      </c>
      <c r="B31" s="22" t="s">
        <v>44</v>
      </c>
      <c r="C31" s="23">
        <f>'Annual P&amp;L'!C7</f>
        <v>26494.232248126711</v>
      </c>
      <c r="D31" s="23">
        <f>'Annual P&amp;L'!D7</f>
        <v>29140.8414557</v>
      </c>
      <c r="E31" s="23">
        <f>'Annual P&amp;L'!E7</f>
        <v>30772.881154600007</v>
      </c>
      <c r="F31" s="23">
        <f>'Annual P&amp;L'!F7</f>
        <v>34742.131633800003</v>
      </c>
      <c r="G31" s="23">
        <f>'Annual P&amp;L'!G7</f>
        <v>36867.678999999996</v>
      </c>
      <c r="H31" s="23">
        <f>'Annual P&amp;L'!H7</f>
        <v>37855.080999999998</v>
      </c>
      <c r="I31" s="23">
        <f>'Annual P&amp;L'!I7</f>
        <v>44645.964000000007</v>
      </c>
      <c r="J31" s="23">
        <f>'Annual P&amp;L'!J7</f>
        <v>53290.167000000009</v>
      </c>
      <c r="K31" s="23">
        <f>'Annual P&amp;L'!K7</f>
        <v>51995.540999999997</v>
      </c>
      <c r="L31" s="23">
        <f>'Annual P&amp;L'!L7</f>
        <v>52988.300303977914</v>
      </c>
      <c r="M31" s="23">
        <f>'Annual P&amp;L'!M7</f>
        <v>56815.399599999764</v>
      </c>
      <c r="N31" s="31">
        <f>'Annual P&amp;L'!N7</f>
        <v>58225.878004588383</v>
      </c>
      <c r="O31" s="31">
        <f>'Annual P&amp;L'!O7</f>
        <v>60460.105140546773</v>
      </c>
      <c r="P31" s="31">
        <f>'Annual P&amp;L'!P7</f>
        <v>63337.981622471256</v>
      </c>
      <c r="Q31" s="31">
        <f>'Annual P&amp;L'!Q7</f>
        <v>66753.180321994849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602</v>
      </c>
      <c r="B32" s="1" t="s">
        <v>44</v>
      </c>
      <c r="C32" s="18">
        <f>0</f>
        <v>0</v>
      </c>
      <c r="D32" s="18">
        <f>0</f>
        <v>0</v>
      </c>
      <c r="E32" s="18">
        <f>0</f>
        <v>0</v>
      </c>
      <c r="F32" s="18">
        <f>0</f>
        <v>0</v>
      </c>
      <c r="G32" s="18">
        <f>0</f>
        <v>0</v>
      </c>
      <c r="H32" s="18">
        <f>0</f>
        <v>0</v>
      </c>
      <c r="I32" s="18">
        <f>0</f>
        <v>0</v>
      </c>
      <c r="J32" s="18">
        <f>0</f>
        <v>0</v>
      </c>
      <c r="K32" s="18">
        <f>0</f>
        <v>0</v>
      </c>
      <c r="L32" s="18">
        <f>0</f>
        <v>0</v>
      </c>
      <c r="M32" s="18">
        <f>0</f>
        <v>0</v>
      </c>
      <c r="N32" s="32">
        <f>N30-N31</f>
        <v>0</v>
      </c>
      <c r="O32" s="32">
        <f>O30-O31</f>
        <v>0</v>
      </c>
      <c r="P32" s="32">
        <f>P30-P31</f>
        <v>0</v>
      </c>
      <c r="Q32" s="32">
        <f>Q30-Q31</f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603</v>
      </c>
      <c r="B33" s="1" t="s">
        <v>44</v>
      </c>
      <c r="C33" s="18" t="str">
        <f>""</f>
        <v/>
      </c>
      <c r="D33" s="18" t="str">
        <f>""</f>
        <v/>
      </c>
      <c r="E33" s="18" t="str">
        <f>""</f>
        <v/>
      </c>
      <c r="F33" s="18" t="str">
        <f>""</f>
        <v/>
      </c>
      <c r="G33" s="18" t="str">
        <f>""</f>
        <v/>
      </c>
      <c r="H33" s="18" t="str">
        <f>""</f>
        <v/>
      </c>
      <c r="I33" s="18" t="str">
        <f>""</f>
        <v/>
      </c>
      <c r="J33" s="18" t="str">
        <f>""</f>
        <v/>
      </c>
      <c r="K33" s="18" t="str">
        <f>""</f>
        <v/>
      </c>
      <c r="L33" s="18" t="str">
        <f>""</f>
        <v/>
      </c>
      <c r="M33" s="18" t="str">
        <f>""</f>
        <v/>
      </c>
      <c r="N33" s="32" t="str">
        <f>""</f>
        <v/>
      </c>
      <c r="O33" s="32" t="str">
        <f>""</f>
        <v/>
      </c>
      <c r="P33" s="32" t="str">
        <f>""</f>
        <v/>
      </c>
      <c r="Q33" s="32" t="str">
        <f>""</f>
        <v/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37.950000000000003" customHeight="1">
      <c r="A34" s="1" t="s">
        <v>604</v>
      </c>
      <c r="B34" s="1" t="s">
        <v>605</v>
      </c>
      <c r="C34" s="5" t="str">
        <f t="shared" ref="C34:M34" si="4">"Not separately disclosed historically; no hardcode"</f>
        <v>Not separately disclosed historically; no hardcode</v>
      </c>
      <c r="D34" s="5" t="str">
        <f t="shared" si="4"/>
        <v>Not separately disclosed historically; no hardcode</v>
      </c>
      <c r="E34" s="5" t="str">
        <f t="shared" si="4"/>
        <v>Not separately disclosed historically; no hardcode</v>
      </c>
      <c r="F34" s="5" t="str">
        <f t="shared" si="4"/>
        <v>Not separately disclosed historically; no hardcode</v>
      </c>
      <c r="G34" s="5" t="str">
        <f t="shared" si="4"/>
        <v>Not separately disclosed historically; no hardcode</v>
      </c>
      <c r="H34" s="5" t="str">
        <f t="shared" si="4"/>
        <v>Not separately disclosed historically; no hardcode</v>
      </c>
      <c r="I34" s="5" t="str">
        <f t="shared" si="4"/>
        <v>Not separately disclosed historically; no hardcode</v>
      </c>
      <c r="J34" s="5" t="str">
        <f t="shared" si="4"/>
        <v>Not separately disclosed historically; no hardcode</v>
      </c>
      <c r="K34" s="5" t="str">
        <f t="shared" si="4"/>
        <v>Not separately disclosed historically; no hardcode</v>
      </c>
      <c r="L34" s="5" t="str">
        <f t="shared" si="4"/>
        <v>Not separately disclosed historically; no hardcode</v>
      </c>
      <c r="M34" s="5" t="str">
        <f t="shared" si="4"/>
        <v>Not separately disclosed historically; no hardcode</v>
      </c>
      <c r="N34" s="34" t="str">
        <f>"AI uplift is incremental to retained/capacity/deal revenue; T&amp;M deflation is deducted separately"</f>
        <v>AI uplift is incremental to retained/capacity/deal revenue; T&amp;M deflation is deducted separately</v>
      </c>
      <c r="O34" s="34" t="str">
        <f>"AI uplift is incremental to retained/capacity/deal revenue; T&amp;M deflation is deducted separately"</f>
        <v>AI uplift is incremental to retained/capacity/deal revenue; T&amp;M deflation is deducted separately</v>
      </c>
      <c r="P34" s="34" t="str">
        <f>"AI uplift is incremental to retained/capacity/deal revenue; T&amp;M deflation is deducted separately"</f>
        <v>AI uplift is incremental to retained/capacity/deal revenue; T&amp;M deflation is deducted separately</v>
      </c>
      <c r="Q34" s="34" t="str">
        <f>"AI uplift is incremental to retained/capacity/deal revenue; T&amp;M deflation is deducted separately"</f>
        <v>AI uplift is incremental to retained/capacity/deal revenue; T&amp;M deflation is deducted separately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66</v>
      </c>
      <c r="B35" s="1" t="s">
        <v>46</v>
      </c>
      <c r="C35" s="19">
        <f>'Raw Operating'!C11</f>
        <v>0.2107329740553309</v>
      </c>
      <c r="D35" s="19">
        <f>'Raw Operating'!D11</f>
        <v>0.16516347237880497</v>
      </c>
      <c r="E35" s="19">
        <f>'Raw Operating'!E11</f>
        <v>0.18084725536992841</v>
      </c>
      <c r="F35" s="19">
        <f>'Raw Operating'!F11</f>
        <v>0.20799999999999999</v>
      </c>
      <c r="G35" s="19">
        <f>'Raw Operating'!G11</f>
        <v>0.191</v>
      </c>
      <c r="H35" s="19">
        <f>'Raw Operating'!H11</f>
        <v>0.13300000000000001</v>
      </c>
      <c r="I35" s="19">
        <f>'Raw Operating'!I11</f>
        <v>0.23499999999999999</v>
      </c>
      <c r="J35" s="19">
        <f>'Raw Operating'!J11</f>
        <v>0.14799999999999999</v>
      </c>
      <c r="K35" s="19">
        <f>'Raw Operating'!K11</f>
        <v>0.1</v>
      </c>
      <c r="L35" s="19">
        <f>'Raw Operating'!L11</f>
        <v>0.11799999999999999</v>
      </c>
      <c r="M35" s="19">
        <f>'Raw Operating'!M11</f>
        <v>0.121</v>
      </c>
      <c r="N35" s="28">
        <f>Assumptions!C45</f>
        <v>0.12</v>
      </c>
      <c r="O35" s="28">
        <f>Assumptions!D45</f>
        <v>0.115</v>
      </c>
      <c r="P35" s="28">
        <f>Assumptions!E45</f>
        <v>0.11</v>
      </c>
      <c r="Q35" s="28">
        <f>Assumptions!F45</f>
        <v>0.105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606</v>
      </c>
      <c r="B36" s="1" t="s">
        <v>64</v>
      </c>
      <c r="C36" s="1"/>
      <c r="D36" s="25">
        <f t="shared" ref="D36:Q36" si="5">C6*D35</f>
        <v>17413.515219842164</v>
      </c>
      <c r="E36" s="25">
        <f t="shared" si="5"/>
        <v>21284.456026252985</v>
      </c>
      <c r="F36" s="25">
        <f t="shared" si="5"/>
        <v>23463.856</v>
      </c>
      <c r="G36" s="25">
        <f t="shared" si="5"/>
        <v>23126.662</v>
      </c>
      <c r="H36" s="25">
        <f t="shared" si="5"/>
        <v>16656.388000000003</v>
      </c>
      <c r="I36" s="25">
        <f t="shared" si="5"/>
        <v>28447.69</v>
      </c>
      <c r="J36" s="25">
        <f t="shared" si="5"/>
        <v>22373.603999999999</v>
      </c>
      <c r="K36" s="25">
        <f t="shared" si="5"/>
        <v>15240</v>
      </c>
      <c r="L36" s="25">
        <f t="shared" si="5"/>
        <v>17163.689999999999</v>
      </c>
      <c r="M36" s="25">
        <f t="shared" si="5"/>
        <v>17996.451000000001</v>
      </c>
      <c r="N36" s="27">
        <f t="shared" si="5"/>
        <v>17714.759999999998</v>
      </c>
      <c r="O36" s="27">
        <f t="shared" si="5"/>
        <v>16976.645</v>
      </c>
      <c r="P36" s="27">
        <f t="shared" si="5"/>
        <v>16400.915300000001</v>
      </c>
      <c r="Q36" s="27">
        <f t="shared" si="5"/>
        <v>15890.250437249997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607</v>
      </c>
      <c r="B37" s="1" t="s">
        <v>64</v>
      </c>
      <c r="C37" s="1"/>
      <c r="D37" s="25">
        <f t="shared" ref="D37:Q37" si="6">D6-C6+D36</f>
        <v>29674.515219842164</v>
      </c>
      <c r="E37" s="25">
        <f t="shared" si="6"/>
        <v>16398.456026252985</v>
      </c>
      <c r="F37" s="25">
        <f t="shared" si="6"/>
        <v>31738.856</v>
      </c>
      <c r="G37" s="25">
        <f t="shared" si="6"/>
        <v>27280.662</v>
      </c>
      <c r="H37" s="25">
        <f t="shared" si="6"/>
        <v>12474.388000000003</v>
      </c>
      <c r="I37" s="25">
        <f t="shared" si="6"/>
        <v>58566.69</v>
      </c>
      <c r="J37" s="25">
        <f t="shared" si="6"/>
        <v>23600.603999999999</v>
      </c>
      <c r="K37" s="25">
        <f t="shared" si="6"/>
        <v>8295</v>
      </c>
      <c r="L37" s="25">
        <f t="shared" si="6"/>
        <v>20439.689999999999</v>
      </c>
      <c r="M37" s="25">
        <f t="shared" si="6"/>
        <v>16888.451000000001</v>
      </c>
      <c r="N37" s="27">
        <f t="shared" si="6"/>
        <v>17714.759999999998</v>
      </c>
      <c r="O37" s="27">
        <f t="shared" si="6"/>
        <v>18452.875000000011</v>
      </c>
      <c r="P37" s="27">
        <f t="shared" si="6"/>
        <v>18637.403749999976</v>
      </c>
      <c r="Q37" s="27">
        <f t="shared" si="6"/>
        <v>18916.964806249991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6"/>
      <c r="O38" s="36"/>
      <c r="P38" s="36"/>
      <c r="Q38" s="3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6"/>
      <c r="O39" s="36"/>
      <c r="P39" s="36"/>
      <c r="Q39" s="3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6"/>
      <c r="O40" s="36"/>
      <c r="P40" s="36"/>
      <c r="Q40" s="3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6"/>
      <c r="O41" s="36"/>
      <c r="P41" s="36"/>
      <c r="Q41" s="3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6"/>
      <c r="O42" s="36"/>
      <c r="P42" s="36"/>
      <c r="Q42" s="3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6"/>
      <c r="O43" s="36"/>
      <c r="P43" s="36"/>
      <c r="Q43" s="3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6"/>
      <c r="O44" s="36"/>
      <c r="P44" s="36"/>
      <c r="Q44" s="3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6"/>
      <c r="O45" s="36"/>
      <c r="P45" s="36"/>
      <c r="Q45" s="3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6"/>
      <c r="O46" s="36"/>
      <c r="P46" s="36"/>
      <c r="Q46" s="3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6"/>
      <c r="O47" s="36"/>
      <c r="P47" s="36"/>
      <c r="Q47" s="3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6"/>
      <c r="O48" s="36"/>
      <c r="P48" s="36"/>
      <c r="Q48" s="3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6"/>
      <c r="O49" s="36"/>
      <c r="P49" s="36"/>
      <c r="Q49" s="3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6"/>
      <c r="O50" s="36"/>
      <c r="P50" s="36"/>
      <c r="Q50" s="3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6"/>
      <c r="O51" s="36"/>
      <c r="P51" s="36"/>
      <c r="Q51" s="3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6"/>
      <c r="O52" s="36"/>
      <c r="P52" s="36"/>
      <c r="Q52" s="3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6"/>
      <c r="O53" s="36"/>
      <c r="P53" s="36"/>
      <c r="Q53" s="3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6"/>
      <c r="O54" s="36"/>
      <c r="P54" s="36"/>
      <c r="Q54" s="3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6"/>
      <c r="O55" s="36"/>
      <c r="P55" s="36"/>
      <c r="Q55" s="3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6"/>
      <c r="O56" s="36"/>
      <c r="P56" s="36"/>
      <c r="Q56" s="3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6"/>
      <c r="O57" s="36"/>
      <c r="P57" s="36"/>
      <c r="Q57" s="3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6"/>
      <c r="O58" s="36"/>
      <c r="P58" s="36"/>
      <c r="Q58" s="3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6"/>
      <c r="O59" s="36"/>
      <c r="P59" s="36"/>
      <c r="Q59" s="3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6"/>
      <c r="O60" s="36"/>
      <c r="P60" s="36"/>
      <c r="Q60" s="3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6"/>
      <c r="O61" s="36"/>
      <c r="P61" s="36"/>
      <c r="Q61" s="3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6"/>
      <c r="O62" s="36"/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6"/>
      <c r="O63" s="36"/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6"/>
      <c r="O64" s="36"/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6"/>
      <c r="O65" s="36"/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6"/>
      <c r="O66" s="36"/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6"/>
      <c r="O67" s="36"/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6"/>
      <c r="O68" s="36"/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6"/>
      <c r="O69" s="36"/>
      <c r="P69" s="36"/>
      <c r="Q69" s="3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6"/>
      <c r="O70" s="36"/>
      <c r="P70" s="36"/>
      <c r="Q70" s="3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6"/>
      <c r="O71" s="36"/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6"/>
      <c r="O72" s="36"/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6"/>
      <c r="O73" s="36"/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6"/>
      <c r="O74" s="36"/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6"/>
      <c r="O75" s="36"/>
      <c r="P75" s="36"/>
      <c r="Q75" s="3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6"/>
      <c r="O76" s="36"/>
      <c r="P76" s="36"/>
      <c r="Q76" s="3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6"/>
      <c r="O77" s="36"/>
      <c r="P77" s="36"/>
      <c r="Q77" s="3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6"/>
      <c r="O78" s="36"/>
      <c r="P78" s="36"/>
      <c r="Q78" s="3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6"/>
      <c r="O79" s="36"/>
      <c r="P79" s="36"/>
      <c r="Q79" s="3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6"/>
      <c r="O80" s="36"/>
      <c r="P80" s="36"/>
      <c r="Q80" s="3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6"/>
      <c r="O81" s="36"/>
      <c r="P81" s="36"/>
      <c r="Q81" s="3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6"/>
      <c r="O82" s="36"/>
      <c r="P82" s="36"/>
      <c r="Q82" s="3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6"/>
      <c r="O83" s="36"/>
      <c r="P83" s="36"/>
      <c r="Q83" s="3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6"/>
      <c r="O84" s="36"/>
      <c r="P84" s="36"/>
      <c r="Q84" s="3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6"/>
      <c r="O85" s="36"/>
      <c r="P85" s="36"/>
      <c r="Q85" s="3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6"/>
      <c r="O86" s="36"/>
      <c r="P86" s="36"/>
      <c r="Q86" s="3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6"/>
      <c r="O87" s="36"/>
      <c r="P87" s="36"/>
      <c r="Q87" s="3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6"/>
      <c r="O88" s="36"/>
      <c r="P88" s="36"/>
      <c r="Q88" s="3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6"/>
      <c r="O89" s="36"/>
      <c r="P89" s="36"/>
      <c r="Q89" s="3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6"/>
      <c r="O90" s="36"/>
      <c r="P90" s="36"/>
      <c r="Q90" s="3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6"/>
      <c r="O91" s="36"/>
      <c r="P91" s="36"/>
      <c r="Q91" s="3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6"/>
      <c r="O92" s="36"/>
      <c r="P92" s="36"/>
      <c r="Q92" s="3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6"/>
      <c r="O93" s="36"/>
      <c r="P93" s="36"/>
      <c r="Q93" s="3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6"/>
      <c r="O94" s="36"/>
      <c r="P94" s="36"/>
      <c r="Q94" s="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6"/>
      <c r="O95" s="36"/>
      <c r="P95" s="36"/>
      <c r="Q95" s="3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6"/>
      <c r="O96" s="36"/>
      <c r="P96" s="36"/>
      <c r="Q96" s="3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6"/>
      <c r="O97" s="36"/>
      <c r="P97" s="36"/>
      <c r="Q97" s="3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6"/>
      <c r="O98" s="36"/>
      <c r="P98" s="36"/>
      <c r="Q98" s="3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6"/>
      <c r="O99" s="36"/>
      <c r="P99" s="36"/>
      <c r="Q99" s="3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6"/>
      <c r="O100" s="36"/>
      <c r="P100" s="36"/>
      <c r="Q100" s="3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6"/>
      <c r="O101" s="36"/>
      <c r="P101" s="36"/>
      <c r="Q101" s="3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6"/>
      <c r="O102" s="36"/>
      <c r="P102" s="36"/>
      <c r="Q102" s="3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6"/>
      <c r="O103" s="36"/>
      <c r="P103" s="36"/>
      <c r="Q103" s="3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6"/>
      <c r="O104" s="36"/>
      <c r="P104" s="36"/>
      <c r="Q104" s="3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6"/>
      <c r="O105" s="36"/>
      <c r="P105" s="36"/>
      <c r="Q105" s="3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6"/>
      <c r="O106" s="36"/>
      <c r="P106" s="36"/>
      <c r="Q106" s="3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6"/>
      <c r="O107" s="36"/>
      <c r="P107" s="36"/>
      <c r="Q107" s="3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6"/>
      <c r="O108" s="36"/>
      <c r="P108" s="36"/>
      <c r="Q108" s="3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6"/>
      <c r="O109" s="36"/>
      <c r="P109" s="36"/>
      <c r="Q109" s="3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6"/>
      <c r="O110" s="36"/>
      <c r="P110" s="36"/>
      <c r="Q110" s="3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6"/>
      <c r="O111" s="36"/>
      <c r="P111" s="36"/>
      <c r="Q111" s="3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6"/>
      <c r="O112" s="36"/>
      <c r="P112" s="36"/>
      <c r="Q112" s="3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6"/>
      <c r="O113" s="36"/>
      <c r="P113" s="36"/>
      <c r="Q113" s="3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6"/>
      <c r="O114" s="36"/>
      <c r="P114" s="36"/>
      <c r="Q114" s="3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6"/>
      <c r="O115" s="36"/>
      <c r="P115" s="36"/>
      <c r="Q115" s="3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6"/>
      <c r="O116" s="36"/>
      <c r="P116" s="36"/>
      <c r="Q116" s="3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6"/>
      <c r="O117" s="36"/>
      <c r="P117" s="36"/>
      <c r="Q117" s="3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6"/>
      <c r="O118" s="36"/>
      <c r="P118" s="36"/>
      <c r="Q118" s="3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6"/>
      <c r="O119" s="36"/>
      <c r="P119" s="36"/>
      <c r="Q119" s="3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6"/>
      <c r="O120" s="36"/>
      <c r="P120" s="36"/>
      <c r="Q120" s="3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6"/>
      <c r="O121" s="36"/>
      <c r="P121" s="36"/>
      <c r="Q121" s="3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6"/>
      <c r="O122" s="36"/>
      <c r="P122" s="36"/>
      <c r="Q122" s="3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6"/>
      <c r="O123" s="36"/>
      <c r="P123" s="36"/>
      <c r="Q123" s="3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6"/>
      <c r="O124" s="36"/>
      <c r="P124" s="36"/>
      <c r="Q124" s="3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6"/>
      <c r="O125" s="36"/>
      <c r="P125" s="36"/>
      <c r="Q125" s="3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6"/>
      <c r="O126" s="36"/>
      <c r="P126" s="36"/>
      <c r="Q126" s="3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6"/>
      <c r="O127" s="36"/>
      <c r="P127" s="36"/>
      <c r="Q127" s="3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6"/>
      <c r="O128" s="36"/>
      <c r="P128" s="36"/>
      <c r="Q128" s="3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6"/>
      <c r="O129" s="36"/>
      <c r="P129" s="36"/>
      <c r="Q129" s="3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6"/>
      <c r="O130" s="36"/>
      <c r="P130" s="36"/>
      <c r="Q130" s="3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6"/>
      <c r="O131" s="36"/>
      <c r="P131" s="36"/>
      <c r="Q131" s="3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6"/>
      <c r="O132" s="36"/>
      <c r="P132" s="36"/>
      <c r="Q132" s="3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6"/>
      <c r="O133" s="36"/>
      <c r="P133" s="36"/>
      <c r="Q133" s="3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6"/>
      <c r="O134" s="36"/>
      <c r="P134" s="36"/>
      <c r="Q134" s="3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6"/>
      <c r="O135" s="36"/>
      <c r="P135" s="36"/>
      <c r="Q135" s="3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6"/>
      <c r="O136" s="36"/>
      <c r="P136" s="36"/>
      <c r="Q136" s="3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6"/>
      <c r="O137" s="36"/>
      <c r="P137" s="36"/>
      <c r="Q137" s="3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6"/>
      <c r="O138" s="36"/>
      <c r="P138" s="36"/>
      <c r="Q138" s="3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6"/>
      <c r="O139" s="36"/>
      <c r="P139" s="36"/>
      <c r="Q139" s="3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6"/>
      <c r="O140" s="36"/>
      <c r="P140" s="36"/>
      <c r="Q140" s="3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6"/>
      <c r="O141" s="36"/>
      <c r="P141" s="36"/>
      <c r="Q141" s="3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6"/>
      <c r="O142" s="36"/>
      <c r="P142" s="36"/>
      <c r="Q142" s="3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6"/>
      <c r="O143" s="36"/>
      <c r="P143" s="36"/>
      <c r="Q143" s="3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6"/>
      <c r="O144" s="36"/>
      <c r="P144" s="36"/>
      <c r="Q144" s="3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6"/>
      <c r="O145" s="36"/>
      <c r="P145" s="36"/>
      <c r="Q145" s="3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6"/>
      <c r="O146" s="36"/>
      <c r="P146" s="36"/>
      <c r="Q146" s="3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6"/>
      <c r="O147" s="36"/>
      <c r="P147" s="36"/>
      <c r="Q147" s="3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6"/>
      <c r="O148" s="36"/>
      <c r="P148" s="36"/>
      <c r="Q148" s="3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6"/>
      <c r="O149" s="36"/>
      <c r="P149" s="36"/>
      <c r="Q149" s="3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6"/>
      <c r="O150" s="36"/>
      <c r="P150" s="36"/>
      <c r="Q150" s="3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6"/>
      <c r="O151" s="36"/>
      <c r="P151" s="36"/>
      <c r="Q151" s="3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6"/>
      <c r="O152" s="36"/>
      <c r="P152" s="36"/>
      <c r="Q152" s="3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6"/>
      <c r="O153" s="36"/>
      <c r="P153" s="36"/>
      <c r="Q153" s="3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6"/>
      <c r="O154" s="36"/>
      <c r="P154" s="36"/>
      <c r="Q154" s="3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6"/>
      <c r="O155" s="36"/>
      <c r="P155" s="36"/>
      <c r="Q155" s="3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6"/>
      <c r="O156" s="36"/>
      <c r="P156" s="36"/>
      <c r="Q156" s="3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6"/>
      <c r="O157" s="36"/>
      <c r="P157" s="36"/>
      <c r="Q157" s="3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6"/>
      <c r="O158" s="36"/>
      <c r="P158" s="36"/>
      <c r="Q158" s="3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6"/>
      <c r="O159" s="36"/>
      <c r="P159" s="36"/>
      <c r="Q159" s="3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6"/>
      <c r="O160" s="36"/>
      <c r="P160" s="36"/>
      <c r="Q160" s="3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6"/>
      <c r="O161" s="36"/>
      <c r="P161" s="36"/>
      <c r="Q161" s="3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6"/>
      <c r="O162" s="36"/>
      <c r="P162" s="36"/>
      <c r="Q162" s="3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6"/>
      <c r="O163" s="36"/>
      <c r="P163" s="36"/>
      <c r="Q163" s="3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6"/>
      <c r="O164" s="36"/>
      <c r="P164" s="36"/>
      <c r="Q164" s="3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6"/>
      <c r="O165" s="36"/>
      <c r="P165" s="36"/>
      <c r="Q165" s="3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6"/>
      <c r="O166" s="36"/>
      <c r="P166" s="36"/>
      <c r="Q166" s="3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6"/>
      <c r="O167" s="36"/>
      <c r="P167" s="36"/>
      <c r="Q167" s="3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6"/>
      <c r="O168" s="36"/>
      <c r="P168" s="36"/>
      <c r="Q168" s="3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6"/>
      <c r="O169" s="36"/>
      <c r="P169" s="36"/>
      <c r="Q169" s="3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6"/>
      <c r="O170" s="36"/>
      <c r="P170" s="36"/>
      <c r="Q170" s="3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6"/>
      <c r="O171" s="36"/>
      <c r="P171" s="36"/>
      <c r="Q171" s="3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6"/>
      <c r="O172" s="36"/>
      <c r="P172" s="36"/>
      <c r="Q172" s="3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6"/>
      <c r="O173" s="36"/>
      <c r="P173" s="36"/>
      <c r="Q173" s="3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6"/>
      <c r="O174" s="36"/>
      <c r="P174" s="36"/>
      <c r="Q174" s="3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6"/>
      <c r="O175" s="36"/>
      <c r="P175" s="36"/>
      <c r="Q175" s="3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6"/>
      <c r="O176" s="36"/>
      <c r="P176" s="36"/>
      <c r="Q176" s="3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6"/>
      <c r="O177" s="36"/>
      <c r="P177" s="36"/>
      <c r="Q177" s="3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6"/>
      <c r="O178" s="36"/>
      <c r="P178" s="36"/>
      <c r="Q178" s="3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6"/>
      <c r="O179" s="36"/>
      <c r="P179" s="36"/>
      <c r="Q179" s="3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6"/>
      <c r="O180" s="36"/>
      <c r="P180" s="36"/>
      <c r="Q180" s="3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6"/>
      <c r="O181" s="36"/>
      <c r="P181" s="36"/>
      <c r="Q181" s="3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6"/>
      <c r="O182" s="36"/>
      <c r="P182" s="36"/>
      <c r="Q182" s="3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6"/>
      <c r="O183" s="36"/>
      <c r="P183" s="36"/>
      <c r="Q183" s="3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6"/>
      <c r="O184" s="36"/>
      <c r="P184" s="36"/>
      <c r="Q184" s="3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6"/>
      <c r="O185" s="36"/>
      <c r="P185" s="36"/>
      <c r="Q185" s="3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6"/>
      <c r="O186" s="36"/>
      <c r="P186" s="36"/>
      <c r="Q186" s="3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6"/>
      <c r="O187" s="36"/>
      <c r="P187" s="36"/>
      <c r="Q187" s="3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6"/>
      <c r="O188" s="36"/>
      <c r="P188" s="36"/>
      <c r="Q188" s="3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6"/>
      <c r="O189" s="36"/>
      <c r="P189" s="36"/>
      <c r="Q189" s="3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6"/>
      <c r="O190" s="36"/>
      <c r="P190" s="36"/>
      <c r="Q190" s="3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6"/>
      <c r="O191" s="36"/>
      <c r="P191" s="36"/>
      <c r="Q191" s="3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6"/>
      <c r="O192" s="36"/>
      <c r="P192" s="36"/>
      <c r="Q192" s="3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6"/>
      <c r="O193" s="36"/>
      <c r="P193" s="36"/>
      <c r="Q193" s="3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6"/>
      <c r="O194" s="36"/>
      <c r="P194" s="36"/>
      <c r="Q194" s="3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6"/>
      <c r="O195" s="36"/>
      <c r="P195" s="36"/>
      <c r="Q195" s="3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6"/>
      <c r="O196" s="36"/>
      <c r="P196" s="36"/>
      <c r="Q196" s="3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6"/>
      <c r="O197" s="36"/>
      <c r="P197" s="36"/>
      <c r="Q197" s="3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6"/>
      <c r="O198" s="36"/>
      <c r="P198" s="36"/>
      <c r="Q198" s="3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6"/>
      <c r="O199" s="36"/>
      <c r="P199" s="36"/>
      <c r="Q199" s="3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6"/>
      <c r="O200" s="36"/>
      <c r="P200" s="36"/>
      <c r="Q200" s="3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2619"/>
  <sheetViews>
    <sheetView showGridLines="0" workbookViewId="0"/>
  </sheetViews>
  <sheetFormatPr defaultRowHeight="13.8"/>
  <cols>
    <col min="1" max="1" width="13" customWidth="1"/>
    <col min="2" max="3" width="14" customWidth="1"/>
    <col min="4" max="4" width="16" customWidth="1"/>
    <col min="5" max="5" width="10" customWidth="1"/>
    <col min="6" max="6" width="18" customWidth="1"/>
  </cols>
  <sheetData>
    <row r="1" spans="1:46" ht="25.95" customHeight="1">
      <c r="A1" s="68" t="s">
        <v>608</v>
      </c>
      <c r="B1" s="68"/>
      <c r="C1" s="68"/>
      <c r="D1" s="68"/>
      <c r="E1" s="68"/>
      <c r="F1" s="6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609</v>
      </c>
      <c r="B2" s="69"/>
      <c r="C2" s="69"/>
      <c r="D2" s="69"/>
      <c r="E2" s="69"/>
      <c r="F2" s="6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6" t="s">
        <v>610</v>
      </c>
      <c r="B5" s="6" t="s">
        <v>611</v>
      </c>
      <c r="C5" s="6" t="s">
        <v>612</v>
      </c>
      <c r="D5" s="6" t="s">
        <v>613</v>
      </c>
      <c r="E5" s="6" t="s">
        <v>614</v>
      </c>
      <c r="F5" s="6" t="s">
        <v>615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0" t="s">
        <v>616</v>
      </c>
      <c r="B6" s="39">
        <v>520.04998779296875</v>
      </c>
      <c r="C6" s="39">
        <v>365.82403564453125</v>
      </c>
      <c r="D6" s="10">
        <v>312042</v>
      </c>
      <c r="E6" s="10" t="s">
        <v>617</v>
      </c>
      <c r="F6" s="10" t="s">
        <v>618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0" t="s">
        <v>619</v>
      </c>
      <c r="B7" s="39">
        <v>516.4000244140625</v>
      </c>
      <c r="C7" s="39">
        <v>363.25650024414063</v>
      </c>
      <c r="D7" s="10">
        <v>2684305</v>
      </c>
      <c r="E7" s="10" t="s">
        <v>617</v>
      </c>
      <c r="F7" s="10" t="s">
        <v>618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0" t="s">
        <v>620</v>
      </c>
      <c r="B8" s="39">
        <v>521.9000244140625</v>
      </c>
      <c r="C8" s="39">
        <v>367.12542724609375</v>
      </c>
      <c r="D8" s="10">
        <v>1707124</v>
      </c>
      <c r="E8" s="10" t="s">
        <v>617</v>
      </c>
      <c r="F8" s="10" t="s">
        <v>618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0" t="s">
        <v>621</v>
      </c>
      <c r="B9" s="39">
        <v>525.0999755859375</v>
      </c>
      <c r="C9" s="39">
        <v>369.37640380859375</v>
      </c>
      <c r="D9" s="10">
        <v>1456740</v>
      </c>
      <c r="E9" s="10" t="s">
        <v>617</v>
      </c>
      <c r="F9" s="10" t="s">
        <v>618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0" t="s">
        <v>622</v>
      </c>
      <c r="B10" s="39">
        <v>510.79998779296875</v>
      </c>
      <c r="C10" s="39">
        <v>359.31723022460938</v>
      </c>
      <c r="D10" s="10">
        <v>2014798</v>
      </c>
      <c r="E10" s="10" t="s">
        <v>617</v>
      </c>
      <c r="F10" s="10" t="s">
        <v>618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0" t="s">
        <v>623</v>
      </c>
      <c r="B11" s="39">
        <v>522.1500244140625</v>
      </c>
      <c r="C11" s="39">
        <v>367.30126953125</v>
      </c>
      <c r="D11" s="10">
        <v>1426135</v>
      </c>
      <c r="E11" s="10" t="s">
        <v>617</v>
      </c>
      <c r="F11" s="10" t="s">
        <v>618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0" t="s">
        <v>624</v>
      </c>
      <c r="B12" s="39">
        <v>507.29998779296875</v>
      </c>
      <c r="C12" s="39">
        <v>356.85516357421875</v>
      </c>
      <c r="D12" s="10">
        <v>1791903</v>
      </c>
      <c r="E12" s="10" t="s">
        <v>617</v>
      </c>
      <c r="F12" s="10" t="s">
        <v>618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0" t="s">
        <v>625</v>
      </c>
      <c r="B13" s="39">
        <v>507.39999389648438</v>
      </c>
      <c r="C13" s="39">
        <v>356.925537109375</v>
      </c>
      <c r="D13" s="10">
        <v>1836753</v>
      </c>
      <c r="E13" s="10" t="s">
        <v>617</v>
      </c>
      <c r="F13" s="10" t="s">
        <v>618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0" t="s">
        <v>626</v>
      </c>
      <c r="B14" s="39">
        <v>504.45001220703125</v>
      </c>
      <c r="C14" s="39">
        <v>354.8504638671875</v>
      </c>
      <c r="D14" s="10">
        <v>1431164</v>
      </c>
      <c r="E14" s="10" t="s">
        <v>617</v>
      </c>
      <c r="F14" s="10" t="s">
        <v>618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0" t="s">
        <v>627</v>
      </c>
      <c r="B15" s="39">
        <v>514</v>
      </c>
      <c r="C15" s="39">
        <v>361.56826782226563</v>
      </c>
      <c r="D15" s="10">
        <v>2022474</v>
      </c>
      <c r="E15" s="10" t="s">
        <v>617</v>
      </c>
      <c r="F15" s="10" t="s">
        <v>618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0" t="s">
        <v>628</v>
      </c>
      <c r="B16" s="39">
        <v>520.54998779296875</v>
      </c>
      <c r="C16" s="39">
        <v>366.17581176757813</v>
      </c>
      <c r="D16" s="10">
        <v>1612782</v>
      </c>
      <c r="E16" s="10" t="s">
        <v>617</v>
      </c>
      <c r="F16" s="10" t="s">
        <v>618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0" t="s">
        <v>629</v>
      </c>
      <c r="B17" s="39">
        <v>517.4000244140625</v>
      </c>
      <c r="C17" s="39">
        <v>363.9599609375</v>
      </c>
      <c r="D17" s="10">
        <v>1035936</v>
      </c>
      <c r="E17" s="10" t="s">
        <v>617</v>
      </c>
      <c r="F17" s="10" t="s">
        <v>618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0" t="s">
        <v>630</v>
      </c>
      <c r="B18" s="39">
        <v>512.5</v>
      </c>
      <c r="C18" s="39">
        <v>360.51309204101563</v>
      </c>
      <c r="D18" s="10">
        <v>978429</v>
      </c>
      <c r="E18" s="10" t="s">
        <v>617</v>
      </c>
      <c r="F18" s="10" t="s">
        <v>618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0" t="s">
        <v>631</v>
      </c>
      <c r="B19" s="39">
        <v>507</v>
      </c>
      <c r="C19" s="39">
        <v>356.64413452148438</v>
      </c>
      <c r="D19" s="10">
        <v>2002842</v>
      </c>
      <c r="E19" s="10" t="s">
        <v>617</v>
      </c>
      <c r="F19" s="10" t="s">
        <v>618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0" t="s">
        <v>632</v>
      </c>
      <c r="B20" s="39">
        <v>507.35000610351563</v>
      </c>
      <c r="C20" s="39">
        <v>356.890380859375</v>
      </c>
      <c r="D20" s="10">
        <v>1873696</v>
      </c>
      <c r="E20" s="10" t="s">
        <v>617</v>
      </c>
      <c r="F20" s="10" t="s">
        <v>618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0" t="s">
        <v>633</v>
      </c>
      <c r="B21" s="39">
        <v>514.25</v>
      </c>
      <c r="C21" s="39">
        <v>361.744140625</v>
      </c>
      <c r="D21" s="10">
        <v>894565</v>
      </c>
      <c r="E21" s="10" t="s">
        <v>617</v>
      </c>
      <c r="F21" s="10" t="s">
        <v>618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0" t="s">
        <v>634</v>
      </c>
      <c r="B22" s="39">
        <v>514.54998779296875</v>
      </c>
      <c r="C22" s="39">
        <v>361.955078125</v>
      </c>
      <c r="D22" s="10">
        <v>689789</v>
      </c>
      <c r="E22" s="10" t="s">
        <v>617</v>
      </c>
      <c r="F22" s="10" t="s">
        <v>618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0" t="s">
        <v>635</v>
      </c>
      <c r="B23" s="39">
        <v>503.04998779296875</v>
      </c>
      <c r="C23" s="39">
        <v>353.8656005859375</v>
      </c>
      <c r="D23" s="10">
        <v>2171390</v>
      </c>
      <c r="E23" s="10" t="s">
        <v>617</v>
      </c>
      <c r="F23" s="10" t="s">
        <v>618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0" t="s">
        <v>636</v>
      </c>
      <c r="B24" s="39">
        <v>500.04998779296875</v>
      </c>
      <c r="C24" s="39">
        <v>351.75527954101563</v>
      </c>
      <c r="D24" s="10">
        <v>2091098</v>
      </c>
      <c r="E24" s="10" t="s">
        <v>617</v>
      </c>
      <c r="F24" s="10" t="s">
        <v>618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0" t="s">
        <v>637</v>
      </c>
      <c r="B25" s="39">
        <v>501.39999389648438</v>
      </c>
      <c r="C25" s="39">
        <v>352.7049560546875</v>
      </c>
      <c r="D25" s="10">
        <v>1583928</v>
      </c>
      <c r="E25" s="10" t="s">
        <v>617</v>
      </c>
      <c r="F25" s="10" t="s">
        <v>618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0" t="s">
        <v>638</v>
      </c>
      <c r="B26" s="39">
        <v>497.60000610351563</v>
      </c>
      <c r="C26" s="39">
        <v>350.0318603515625</v>
      </c>
      <c r="D26" s="10">
        <v>2717866</v>
      </c>
      <c r="E26" s="10" t="s">
        <v>617</v>
      </c>
      <c r="F26" s="10" t="s">
        <v>618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0" t="s">
        <v>639</v>
      </c>
      <c r="B27" s="39">
        <v>474.45001220703125</v>
      </c>
      <c r="C27" s="39">
        <v>333.74728393554688</v>
      </c>
      <c r="D27" s="10">
        <v>5733789</v>
      </c>
      <c r="E27" s="10" t="s">
        <v>617</v>
      </c>
      <c r="F27" s="10" t="s">
        <v>618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0" t="s">
        <v>640</v>
      </c>
      <c r="B28" s="39">
        <v>472.20001220703125</v>
      </c>
      <c r="C28" s="39">
        <v>332.16445922851563</v>
      </c>
      <c r="D28" s="10">
        <v>2019903</v>
      </c>
      <c r="E28" s="10" t="s">
        <v>617</v>
      </c>
      <c r="F28" s="10" t="s">
        <v>618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0" t="s">
        <v>641</v>
      </c>
      <c r="B29" s="39">
        <v>469.45001220703125</v>
      </c>
      <c r="C29" s="39">
        <v>330.22998046875</v>
      </c>
      <c r="D29" s="10">
        <v>1465102</v>
      </c>
      <c r="E29" s="10" t="s">
        <v>617</v>
      </c>
      <c r="F29" s="10" t="s">
        <v>618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0" t="s">
        <v>642</v>
      </c>
      <c r="B30" s="39">
        <v>475.10000610351563</v>
      </c>
      <c r="C30" s="39">
        <v>334.20443725585938</v>
      </c>
      <c r="D30" s="10">
        <v>1196754</v>
      </c>
      <c r="E30" s="10" t="s">
        <v>617</v>
      </c>
      <c r="F30" s="10" t="s">
        <v>618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0" t="s">
        <v>643</v>
      </c>
      <c r="B31" s="39">
        <v>470.64999389648438</v>
      </c>
      <c r="C31" s="39">
        <v>331.07415771484375</v>
      </c>
      <c r="D31" s="10">
        <v>598666</v>
      </c>
      <c r="E31" s="10" t="s">
        <v>617</v>
      </c>
      <c r="F31" s="10" t="s">
        <v>618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0" t="s">
        <v>644</v>
      </c>
      <c r="B32" s="39">
        <v>448.25</v>
      </c>
      <c r="C32" s="39">
        <v>315.3170166015625</v>
      </c>
      <c r="D32" s="10">
        <v>2352111</v>
      </c>
      <c r="E32" s="10" t="s">
        <v>617</v>
      </c>
      <c r="F32" s="10" t="s">
        <v>618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0" t="s">
        <v>645</v>
      </c>
      <c r="B33" s="39">
        <v>440.39999389648438</v>
      </c>
      <c r="C33" s="39">
        <v>309.79507446289063</v>
      </c>
      <c r="D33" s="10">
        <v>2686031</v>
      </c>
      <c r="E33" s="10" t="s">
        <v>617</v>
      </c>
      <c r="F33" s="10" t="s">
        <v>618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0" t="s">
        <v>646</v>
      </c>
      <c r="B34" s="39">
        <v>431.95001220703125</v>
      </c>
      <c r="C34" s="39">
        <v>303.85101318359375</v>
      </c>
      <c r="D34" s="10">
        <v>1731120</v>
      </c>
      <c r="E34" s="10" t="s">
        <v>617</v>
      </c>
      <c r="F34" s="10" t="s">
        <v>618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0" t="s">
        <v>647</v>
      </c>
      <c r="B35" s="39">
        <v>430</v>
      </c>
      <c r="C35" s="39">
        <v>302.479248046875</v>
      </c>
      <c r="D35" s="10">
        <v>1443312</v>
      </c>
      <c r="E35" s="10" t="s">
        <v>617</v>
      </c>
      <c r="F35" s="10" t="s">
        <v>618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0" t="s">
        <v>648</v>
      </c>
      <c r="B36" s="39">
        <v>430.29998779296875</v>
      </c>
      <c r="C36" s="39">
        <v>302.69027709960938</v>
      </c>
      <c r="D36" s="10">
        <v>1888109</v>
      </c>
      <c r="E36" s="10" t="s">
        <v>617</v>
      </c>
      <c r="F36" s="10" t="s">
        <v>618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0" t="s">
        <v>649</v>
      </c>
      <c r="B37" s="39">
        <v>422.85000610351563</v>
      </c>
      <c r="C37" s="39">
        <v>297.44967651367188</v>
      </c>
      <c r="D37" s="10">
        <v>979478</v>
      </c>
      <c r="E37" s="10" t="s">
        <v>617</v>
      </c>
      <c r="F37" s="10" t="s">
        <v>618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0" t="s">
        <v>650</v>
      </c>
      <c r="B38" s="39">
        <v>429.54998779296875</v>
      </c>
      <c r="C38" s="39">
        <v>302.16265869140625</v>
      </c>
      <c r="D38" s="10">
        <v>1169666</v>
      </c>
      <c r="E38" s="10" t="s">
        <v>617</v>
      </c>
      <c r="F38" s="10" t="s">
        <v>618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0" t="s">
        <v>651</v>
      </c>
      <c r="B39" s="39">
        <v>429.39999389648438</v>
      </c>
      <c r="C39" s="39">
        <v>302.0572509765625</v>
      </c>
      <c r="D39" s="10">
        <v>1262032</v>
      </c>
      <c r="E39" s="10" t="s">
        <v>617</v>
      </c>
      <c r="F39" s="10" t="s">
        <v>618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0" t="s">
        <v>652</v>
      </c>
      <c r="B40" s="39">
        <v>440.5</v>
      </c>
      <c r="C40" s="39">
        <v>309.8653564453125</v>
      </c>
      <c r="D40" s="10">
        <v>1644603</v>
      </c>
      <c r="E40" s="10" t="s">
        <v>617</v>
      </c>
      <c r="F40" s="10" t="s">
        <v>618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0" t="s">
        <v>653</v>
      </c>
      <c r="B41" s="39">
        <v>431.70001220703125</v>
      </c>
      <c r="C41" s="39">
        <v>303.67514038085938</v>
      </c>
      <c r="D41" s="10">
        <v>1155619</v>
      </c>
      <c r="E41" s="10" t="s">
        <v>617</v>
      </c>
      <c r="F41" s="10" t="s">
        <v>618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0" t="s">
        <v>654</v>
      </c>
      <c r="B42" s="39">
        <v>428.60000610351563</v>
      </c>
      <c r="C42" s="39">
        <v>301.49447631835938</v>
      </c>
      <c r="D42" s="10">
        <v>1074713</v>
      </c>
      <c r="E42" s="10" t="s">
        <v>617</v>
      </c>
      <c r="F42" s="10" t="s">
        <v>618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0" t="s">
        <v>655</v>
      </c>
      <c r="B43" s="39">
        <v>422.04998779296875</v>
      </c>
      <c r="C43" s="39">
        <v>296.88690185546875</v>
      </c>
      <c r="D43" s="10">
        <v>822293</v>
      </c>
      <c r="E43" s="10" t="s">
        <v>617</v>
      </c>
      <c r="F43" s="10" t="s">
        <v>618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0" t="s">
        <v>656</v>
      </c>
      <c r="B44" s="39">
        <v>416.29998779296875</v>
      </c>
      <c r="C44" s="39">
        <v>292.8421630859375</v>
      </c>
      <c r="D44" s="10">
        <v>2406282</v>
      </c>
      <c r="E44" s="10" t="s">
        <v>617</v>
      </c>
      <c r="F44" s="10" t="s">
        <v>618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0" t="s">
        <v>657</v>
      </c>
      <c r="B45" s="39">
        <v>417.75</v>
      </c>
      <c r="C45" s="39">
        <v>293.86215209960938</v>
      </c>
      <c r="D45" s="10">
        <v>1912583</v>
      </c>
      <c r="E45" s="10" t="s">
        <v>617</v>
      </c>
      <c r="F45" s="10" t="s">
        <v>618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0" t="s">
        <v>658</v>
      </c>
      <c r="B46" s="39">
        <v>415.54998779296875</v>
      </c>
      <c r="C46" s="39">
        <v>292.31460571289063</v>
      </c>
      <c r="D46" s="10">
        <v>1555018</v>
      </c>
      <c r="E46" s="10" t="s">
        <v>617</v>
      </c>
      <c r="F46" s="10" t="s">
        <v>618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0" t="s">
        <v>659</v>
      </c>
      <c r="B47" s="39">
        <v>432.25</v>
      </c>
      <c r="C47" s="39">
        <v>304.06201171875</v>
      </c>
      <c r="D47" s="10">
        <v>1570024</v>
      </c>
      <c r="E47" s="10" t="s">
        <v>617</v>
      </c>
      <c r="F47" s="10" t="s">
        <v>618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0" t="s">
        <v>660</v>
      </c>
      <c r="B48" s="39">
        <v>455.54998779296875</v>
      </c>
      <c r="C48" s="39">
        <v>320.4521484375</v>
      </c>
      <c r="D48" s="10">
        <v>2339747</v>
      </c>
      <c r="E48" s="10" t="s">
        <v>617</v>
      </c>
      <c r="F48" s="10" t="s">
        <v>618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0" t="s">
        <v>661</v>
      </c>
      <c r="B49" s="39">
        <v>461.75</v>
      </c>
      <c r="C49" s="39">
        <v>324.8134765625</v>
      </c>
      <c r="D49" s="10">
        <v>2371409</v>
      </c>
      <c r="E49" s="10" t="s">
        <v>617</v>
      </c>
      <c r="F49" s="10" t="s">
        <v>618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0" t="s">
        <v>662</v>
      </c>
      <c r="B50" s="39">
        <v>451.25</v>
      </c>
      <c r="C50" s="39">
        <v>317.42739868164063</v>
      </c>
      <c r="D50" s="10">
        <v>2756908</v>
      </c>
      <c r="E50" s="10" t="s">
        <v>617</v>
      </c>
      <c r="F50" s="10" t="s">
        <v>618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0" t="s">
        <v>663</v>
      </c>
      <c r="B51" s="39">
        <v>448.85000610351563</v>
      </c>
      <c r="C51" s="39">
        <v>315.73910522460938</v>
      </c>
      <c r="D51" s="10">
        <v>2050957</v>
      </c>
      <c r="E51" s="10" t="s">
        <v>617</v>
      </c>
      <c r="F51" s="10" t="s">
        <v>618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0" t="s">
        <v>664</v>
      </c>
      <c r="B52" s="39">
        <v>464.14999389648438</v>
      </c>
      <c r="C52" s="39">
        <v>326.50180053710938</v>
      </c>
      <c r="D52" s="10">
        <v>4030260</v>
      </c>
      <c r="E52" s="10" t="s">
        <v>617</v>
      </c>
      <c r="F52" s="10" t="s">
        <v>618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0" t="s">
        <v>665</v>
      </c>
      <c r="B53" s="39">
        <v>466.14999389648438</v>
      </c>
      <c r="C53" s="39">
        <v>327.90859985351563</v>
      </c>
      <c r="D53" s="10">
        <v>3266594</v>
      </c>
      <c r="E53" s="10" t="s">
        <v>617</v>
      </c>
      <c r="F53" s="10" t="s">
        <v>618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0" t="s">
        <v>666</v>
      </c>
      <c r="B54" s="39">
        <v>458.04998779296875</v>
      </c>
      <c r="C54" s="39">
        <v>322.21078491210938</v>
      </c>
      <c r="D54" s="10">
        <v>1025718</v>
      </c>
      <c r="E54" s="10" t="s">
        <v>617</v>
      </c>
      <c r="F54" s="10" t="s">
        <v>618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0" t="s">
        <v>667</v>
      </c>
      <c r="B55" s="39">
        <v>470.20001220703125</v>
      </c>
      <c r="C55" s="39">
        <v>330.75759887695313</v>
      </c>
      <c r="D55" s="10">
        <v>5115313</v>
      </c>
      <c r="E55" s="10" t="s">
        <v>617</v>
      </c>
      <c r="F55" s="10" t="s">
        <v>618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0" t="s">
        <v>668</v>
      </c>
      <c r="B56" s="39">
        <v>460.29998779296875</v>
      </c>
      <c r="C56" s="39">
        <v>323.79348754882813</v>
      </c>
      <c r="D56" s="10">
        <v>996244</v>
      </c>
      <c r="E56" s="10" t="s">
        <v>617</v>
      </c>
      <c r="F56" s="10" t="s">
        <v>618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0" t="s">
        <v>669</v>
      </c>
      <c r="B57" s="39">
        <v>465.79998779296875</v>
      </c>
      <c r="C57" s="39">
        <v>327.66241455078125</v>
      </c>
      <c r="D57" s="10">
        <v>1223337</v>
      </c>
      <c r="E57" s="10" t="s">
        <v>617</v>
      </c>
      <c r="F57" s="10" t="s">
        <v>618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0" t="s">
        <v>670</v>
      </c>
      <c r="B58" s="39">
        <v>486.75</v>
      </c>
      <c r="C58" s="39">
        <v>342.39956665039063</v>
      </c>
      <c r="D58" s="10">
        <v>2474194</v>
      </c>
      <c r="E58" s="10" t="s">
        <v>617</v>
      </c>
      <c r="F58" s="10" t="s">
        <v>618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0" t="s">
        <v>671</v>
      </c>
      <c r="B59" s="39">
        <v>492.45001220703125</v>
      </c>
      <c r="C59" s="39">
        <v>346.40908813476563</v>
      </c>
      <c r="D59" s="10">
        <v>3064899</v>
      </c>
      <c r="E59" s="10" t="s">
        <v>617</v>
      </c>
      <c r="F59" s="10" t="s">
        <v>618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0" t="s">
        <v>672</v>
      </c>
      <c r="B60" s="39">
        <v>490.10000610351563</v>
      </c>
      <c r="C60" s="39">
        <v>344.75607299804688</v>
      </c>
      <c r="D60" s="10">
        <v>1653354</v>
      </c>
      <c r="E60" s="10" t="s">
        <v>617</v>
      </c>
      <c r="F60" s="10" t="s">
        <v>618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0" t="s">
        <v>673</v>
      </c>
      <c r="B61" s="39">
        <v>484.20001220703125</v>
      </c>
      <c r="C61" s="39">
        <v>340.60577392578125</v>
      </c>
      <c r="D61" s="10">
        <v>2064995</v>
      </c>
      <c r="E61" s="10" t="s">
        <v>617</v>
      </c>
      <c r="F61" s="10" t="s">
        <v>618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0" t="s">
        <v>674</v>
      </c>
      <c r="B62" s="39">
        <v>479.89999389648438</v>
      </c>
      <c r="C62" s="39">
        <v>337.58096313476563</v>
      </c>
      <c r="D62" s="10">
        <v>1458923</v>
      </c>
      <c r="E62" s="10" t="s">
        <v>617</v>
      </c>
      <c r="F62" s="10" t="s">
        <v>618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0" t="s">
        <v>675</v>
      </c>
      <c r="B63" s="39">
        <v>474.70001220703125</v>
      </c>
      <c r="C63" s="39">
        <v>333.92312622070313</v>
      </c>
      <c r="D63" s="10">
        <v>3609846</v>
      </c>
      <c r="E63" s="10" t="s">
        <v>617</v>
      </c>
      <c r="F63" s="10" t="s">
        <v>618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0" t="s">
        <v>676</v>
      </c>
      <c r="B64" s="39">
        <v>467.60000610351563</v>
      </c>
      <c r="C64" s="39">
        <v>328.9285888671875</v>
      </c>
      <c r="D64" s="10">
        <v>2044000</v>
      </c>
      <c r="E64" s="10" t="s">
        <v>617</v>
      </c>
      <c r="F64" s="10" t="s">
        <v>618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0" t="s">
        <v>677</v>
      </c>
      <c r="B65" s="39">
        <v>472.85000610351563</v>
      </c>
      <c r="C65" s="39">
        <v>332.62167358398438</v>
      </c>
      <c r="D65" s="10">
        <v>3203825</v>
      </c>
      <c r="E65" s="10" t="s">
        <v>617</v>
      </c>
      <c r="F65" s="10" t="s">
        <v>618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0" t="s">
        <v>678</v>
      </c>
      <c r="B66" s="39">
        <v>474.95001220703125</v>
      </c>
      <c r="C66" s="39">
        <v>334.09893798828125</v>
      </c>
      <c r="D66" s="10">
        <v>4630177</v>
      </c>
      <c r="E66" s="10" t="s">
        <v>617</v>
      </c>
      <c r="F66" s="10" t="s">
        <v>618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0" t="s">
        <v>679</v>
      </c>
      <c r="B67" s="39">
        <v>463.10000610351563</v>
      </c>
      <c r="C67" s="39">
        <v>325.76315307617188</v>
      </c>
      <c r="D67" s="10">
        <v>2394963</v>
      </c>
      <c r="E67" s="10" t="s">
        <v>680</v>
      </c>
      <c r="F67" s="10" t="s">
        <v>618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0" t="s">
        <v>681</v>
      </c>
      <c r="B68" s="39">
        <v>470.54998779296875</v>
      </c>
      <c r="C68" s="39">
        <v>331.0037841796875</v>
      </c>
      <c r="D68" s="10">
        <v>1708093</v>
      </c>
      <c r="E68" s="10" t="s">
        <v>680</v>
      </c>
      <c r="F68" s="10" t="s">
        <v>618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0" t="s">
        <v>682</v>
      </c>
      <c r="B69" s="39">
        <v>462.25</v>
      </c>
      <c r="C69" s="39">
        <v>325.16525268554688</v>
      </c>
      <c r="D69" s="10">
        <v>1430387</v>
      </c>
      <c r="E69" s="10" t="s">
        <v>680</v>
      </c>
      <c r="F69" s="10" t="s">
        <v>618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0" t="s">
        <v>683</v>
      </c>
      <c r="B70" s="39">
        <v>453</v>
      </c>
      <c r="C70" s="39">
        <v>318.658447265625</v>
      </c>
      <c r="D70" s="10">
        <v>2671558</v>
      </c>
      <c r="E70" s="10" t="s">
        <v>680</v>
      </c>
      <c r="F70" s="10" t="s">
        <v>618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0" t="s">
        <v>684</v>
      </c>
      <c r="B71" s="39">
        <v>444.45001220703125</v>
      </c>
      <c r="C71" s="39">
        <v>312.64401245117188</v>
      </c>
      <c r="D71" s="10">
        <v>1891494</v>
      </c>
      <c r="E71" s="10" t="s">
        <v>680</v>
      </c>
      <c r="F71" s="10" t="s">
        <v>618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0" t="s">
        <v>685</v>
      </c>
      <c r="B72" s="39">
        <v>455.85000610351563</v>
      </c>
      <c r="C72" s="39">
        <v>320.6632080078125</v>
      </c>
      <c r="D72" s="10">
        <v>2043759</v>
      </c>
      <c r="E72" s="10" t="s">
        <v>680</v>
      </c>
      <c r="F72" s="10" t="s">
        <v>618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0" t="s">
        <v>686</v>
      </c>
      <c r="B73" s="39">
        <v>469.60000610351563</v>
      </c>
      <c r="C73" s="39">
        <v>330.33554077148438</v>
      </c>
      <c r="D73" s="10">
        <v>1008816</v>
      </c>
      <c r="E73" s="10" t="s">
        <v>680</v>
      </c>
      <c r="F73" s="10" t="s">
        <v>618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0" t="s">
        <v>687</v>
      </c>
      <c r="B74" s="39">
        <v>464.45001220703125</v>
      </c>
      <c r="C74" s="39">
        <v>326.71282958984375</v>
      </c>
      <c r="D74" s="10">
        <v>1901106</v>
      </c>
      <c r="E74" s="10" t="s">
        <v>680</v>
      </c>
      <c r="F74" s="10" t="s">
        <v>618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0" t="s">
        <v>688</v>
      </c>
      <c r="B75" s="39">
        <v>471.39999389648438</v>
      </c>
      <c r="C75" s="39">
        <v>331.60165405273438</v>
      </c>
      <c r="D75" s="10">
        <v>1062026</v>
      </c>
      <c r="E75" s="10" t="s">
        <v>680</v>
      </c>
      <c r="F75" s="10" t="s">
        <v>618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0" t="s">
        <v>689</v>
      </c>
      <c r="B76" s="39">
        <v>476.70001220703125</v>
      </c>
      <c r="C76" s="39">
        <v>335.32992553710938</v>
      </c>
      <c r="D76" s="10">
        <v>1780726</v>
      </c>
      <c r="E76" s="10" t="s">
        <v>680</v>
      </c>
      <c r="F76" s="10" t="s">
        <v>618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0" t="s">
        <v>690</v>
      </c>
      <c r="B77" s="39">
        <v>483.54998779296875</v>
      </c>
      <c r="C77" s="39">
        <v>340.14846801757813</v>
      </c>
      <c r="D77" s="10">
        <v>1450742</v>
      </c>
      <c r="E77" s="10" t="s">
        <v>680</v>
      </c>
      <c r="F77" s="10" t="s">
        <v>618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0" t="s">
        <v>691</v>
      </c>
      <c r="B78" s="39">
        <v>476.35000610351563</v>
      </c>
      <c r="C78" s="39">
        <v>335.08377075195313</v>
      </c>
      <c r="D78" s="10">
        <v>1179377</v>
      </c>
      <c r="E78" s="10" t="s">
        <v>680</v>
      </c>
      <c r="F78" s="10" t="s">
        <v>618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0" t="s">
        <v>692</v>
      </c>
      <c r="B79" s="39">
        <v>479.89999389648438</v>
      </c>
      <c r="C79" s="39">
        <v>337.58096313476563</v>
      </c>
      <c r="D79" s="10">
        <v>2058353</v>
      </c>
      <c r="E79" s="10" t="s">
        <v>680</v>
      </c>
      <c r="F79" s="10" t="s">
        <v>618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0" t="s">
        <v>693</v>
      </c>
      <c r="B80" s="39">
        <v>472</v>
      </c>
      <c r="C80" s="39">
        <v>332.02374267578125</v>
      </c>
      <c r="D80" s="10">
        <v>784214</v>
      </c>
      <c r="E80" s="10" t="s">
        <v>680</v>
      </c>
      <c r="F80" s="10" t="s">
        <v>618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0" t="s">
        <v>694</v>
      </c>
      <c r="B81" s="39">
        <v>475.5</v>
      </c>
      <c r="C81" s="39">
        <v>334.48583984375</v>
      </c>
      <c r="D81" s="10">
        <v>1123091</v>
      </c>
      <c r="E81" s="10" t="s">
        <v>680</v>
      </c>
      <c r="F81" s="10" t="s">
        <v>618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0" t="s">
        <v>695</v>
      </c>
      <c r="B82" s="39">
        <v>479.25</v>
      </c>
      <c r="C82" s="39">
        <v>337.12368774414063</v>
      </c>
      <c r="D82" s="10">
        <v>955123</v>
      </c>
      <c r="E82" s="10" t="s">
        <v>680</v>
      </c>
      <c r="F82" s="10" t="s">
        <v>618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0" t="s">
        <v>696</v>
      </c>
      <c r="B83" s="39">
        <v>480.14999389648438</v>
      </c>
      <c r="C83" s="39">
        <v>337.7568359375</v>
      </c>
      <c r="D83" s="10">
        <v>4152895</v>
      </c>
      <c r="E83" s="10" t="s">
        <v>680</v>
      </c>
      <c r="F83" s="10" t="s">
        <v>618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0" t="s">
        <v>697</v>
      </c>
      <c r="B84" s="39">
        <v>486.14999389648438</v>
      </c>
      <c r="C84" s="39">
        <v>341.9774169921875</v>
      </c>
      <c r="D84" s="10">
        <v>2295767</v>
      </c>
      <c r="E84" s="10" t="s">
        <v>680</v>
      </c>
      <c r="F84" s="10" t="s">
        <v>618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0" t="s">
        <v>698</v>
      </c>
      <c r="B85" s="39">
        <v>477.20001220703125</v>
      </c>
      <c r="C85" s="39">
        <v>335.68161010742188</v>
      </c>
      <c r="D85" s="10">
        <v>1076011</v>
      </c>
      <c r="E85" s="10" t="s">
        <v>680</v>
      </c>
      <c r="F85" s="10" t="s">
        <v>618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0" t="s">
        <v>699</v>
      </c>
      <c r="B86" s="39">
        <v>467.20001220703125</v>
      </c>
      <c r="C86" s="39">
        <v>328.64724731445313</v>
      </c>
      <c r="D86" s="10">
        <v>1721645</v>
      </c>
      <c r="E86" s="10" t="s">
        <v>680</v>
      </c>
      <c r="F86" s="10" t="s">
        <v>618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0" t="s">
        <v>700</v>
      </c>
      <c r="B87" s="39">
        <v>466.95001220703125</v>
      </c>
      <c r="C87" s="39">
        <v>328.47140502929688</v>
      </c>
      <c r="D87" s="10">
        <v>1379336</v>
      </c>
      <c r="E87" s="10" t="s">
        <v>680</v>
      </c>
      <c r="F87" s="10" t="s">
        <v>618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0" t="s">
        <v>701</v>
      </c>
      <c r="B88" s="39">
        <v>479.35000610351563</v>
      </c>
      <c r="C88" s="39">
        <v>337.19403076171875</v>
      </c>
      <c r="D88" s="10">
        <v>1484568</v>
      </c>
      <c r="E88" s="10" t="s">
        <v>680</v>
      </c>
      <c r="F88" s="10" t="s">
        <v>618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0" t="s">
        <v>702</v>
      </c>
      <c r="B89" s="39">
        <v>473.04998779296875</v>
      </c>
      <c r="C89" s="39">
        <v>332.76239013671875</v>
      </c>
      <c r="D89" s="10">
        <v>948747</v>
      </c>
      <c r="E89" s="10" t="s">
        <v>680</v>
      </c>
      <c r="F89" s="10" t="s">
        <v>618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0" t="s">
        <v>703</v>
      </c>
      <c r="B90" s="39">
        <v>478.60000610351563</v>
      </c>
      <c r="C90" s="39">
        <v>336.66644287109375</v>
      </c>
      <c r="D90" s="10">
        <v>827632</v>
      </c>
      <c r="E90" s="10" t="s">
        <v>680</v>
      </c>
      <c r="F90" s="10" t="s">
        <v>618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0" t="s">
        <v>704</v>
      </c>
      <c r="B91" s="39">
        <v>482.70001220703125</v>
      </c>
      <c r="C91" s="39">
        <v>339.5506591796875</v>
      </c>
      <c r="D91" s="10">
        <v>2296911</v>
      </c>
      <c r="E91" s="10" t="s">
        <v>680</v>
      </c>
      <c r="F91" s="10" t="s">
        <v>618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0" t="s">
        <v>705</v>
      </c>
      <c r="B92" s="39">
        <v>473.89999389648438</v>
      </c>
      <c r="C92" s="39">
        <v>333.36029052734375</v>
      </c>
      <c r="D92" s="10">
        <v>1749723</v>
      </c>
      <c r="E92" s="10" t="s">
        <v>680</v>
      </c>
      <c r="F92" s="10" t="s">
        <v>618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0" t="s">
        <v>706</v>
      </c>
      <c r="B93" s="39">
        <v>481.20001220703125</v>
      </c>
      <c r="C93" s="39">
        <v>338.49542236328125</v>
      </c>
      <c r="D93" s="10">
        <v>1123199</v>
      </c>
      <c r="E93" s="10" t="s">
        <v>680</v>
      </c>
      <c r="F93" s="10" t="s">
        <v>618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0" t="s">
        <v>707</v>
      </c>
      <c r="B94" s="39">
        <v>479.79998779296875</v>
      </c>
      <c r="C94" s="39">
        <v>337.5106201171875</v>
      </c>
      <c r="D94" s="10">
        <v>1078921</v>
      </c>
      <c r="E94" s="10" t="s">
        <v>680</v>
      </c>
      <c r="F94" s="10" t="s">
        <v>618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0" t="s">
        <v>708</v>
      </c>
      <c r="B95" s="39">
        <v>486.95001220703125</v>
      </c>
      <c r="C95" s="39">
        <v>342.54019165039063</v>
      </c>
      <c r="D95" s="10">
        <v>1732776</v>
      </c>
      <c r="E95" s="10" t="s">
        <v>680</v>
      </c>
      <c r="F95" s="10" t="s">
        <v>618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0" t="s">
        <v>709</v>
      </c>
      <c r="B96" s="39">
        <v>483.79998779296875</v>
      </c>
      <c r="C96" s="39">
        <v>340.32440185546875</v>
      </c>
      <c r="D96" s="10">
        <v>868879</v>
      </c>
      <c r="E96" s="10" t="s">
        <v>680</v>
      </c>
      <c r="F96" s="10" t="s">
        <v>618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0" t="s">
        <v>710</v>
      </c>
      <c r="B97" s="39">
        <v>484.75</v>
      </c>
      <c r="C97" s="39">
        <v>340.99261474609375</v>
      </c>
      <c r="D97" s="10">
        <v>1371699</v>
      </c>
      <c r="E97" s="10" t="s">
        <v>680</v>
      </c>
      <c r="F97" s="10" t="s">
        <v>618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0" t="s">
        <v>711</v>
      </c>
      <c r="B98" s="39">
        <v>484</v>
      </c>
      <c r="C98" s="39">
        <v>340.46502685546875</v>
      </c>
      <c r="D98" s="10">
        <v>1292336</v>
      </c>
      <c r="E98" s="10" t="s">
        <v>680</v>
      </c>
      <c r="F98" s="10" t="s">
        <v>618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0" t="s">
        <v>712</v>
      </c>
      <c r="B99" s="39">
        <v>475.85000610351563</v>
      </c>
      <c r="C99" s="39">
        <v>334.73199462890625</v>
      </c>
      <c r="D99" s="10">
        <v>741237</v>
      </c>
      <c r="E99" s="10" t="s">
        <v>680</v>
      </c>
      <c r="F99" s="10" t="s">
        <v>618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0" t="s">
        <v>713</v>
      </c>
      <c r="B100" s="39">
        <v>476.45001220703125</v>
      </c>
      <c r="C100" s="39">
        <v>335.154052734375</v>
      </c>
      <c r="D100" s="10">
        <v>1069529</v>
      </c>
      <c r="E100" s="10" t="s">
        <v>680</v>
      </c>
      <c r="F100" s="10" t="s">
        <v>618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0" t="s">
        <v>714</v>
      </c>
      <c r="B101" s="39">
        <v>480.25</v>
      </c>
      <c r="C101" s="39">
        <v>337.82711791992188</v>
      </c>
      <c r="D101" s="10">
        <v>2610091</v>
      </c>
      <c r="E101" s="10" t="s">
        <v>680</v>
      </c>
      <c r="F101" s="10" t="s">
        <v>618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0" t="s">
        <v>715</v>
      </c>
      <c r="B102" s="39">
        <v>528.5</v>
      </c>
      <c r="C102" s="39">
        <v>371.76812744140625</v>
      </c>
      <c r="D102" s="10">
        <v>10804773</v>
      </c>
      <c r="E102" s="10" t="s">
        <v>680</v>
      </c>
      <c r="F102" s="10" t="s">
        <v>618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0" t="s">
        <v>716</v>
      </c>
      <c r="B103" s="39">
        <v>542.29998779296875</v>
      </c>
      <c r="C103" s="39">
        <v>381.4755859375</v>
      </c>
      <c r="D103" s="10">
        <v>3270866</v>
      </c>
      <c r="E103" s="10" t="s">
        <v>680</v>
      </c>
      <c r="F103" s="10" t="s">
        <v>618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0" t="s">
        <v>717</v>
      </c>
      <c r="B104" s="39">
        <v>535.9000244140625</v>
      </c>
      <c r="C104" s="39">
        <v>376.97366333007813</v>
      </c>
      <c r="D104" s="10">
        <v>1572528</v>
      </c>
      <c r="E104" s="10" t="s">
        <v>680</v>
      </c>
      <c r="F104" s="10" t="s">
        <v>618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0" t="s">
        <v>718</v>
      </c>
      <c r="B105" s="39">
        <v>543.54998779296875</v>
      </c>
      <c r="C105" s="39">
        <v>382.35479736328125</v>
      </c>
      <c r="D105" s="10">
        <v>2901801</v>
      </c>
      <c r="E105" s="10" t="s">
        <v>680</v>
      </c>
      <c r="F105" s="10" t="s">
        <v>618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0" t="s">
        <v>719</v>
      </c>
      <c r="B106" s="39">
        <v>540.3499755859375</v>
      </c>
      <c r="C106" s="39">
        <v>380.10391235351563</v>
      </c>
      <c r="D106" s="10">
        <v>2896981</v>
      </c>
      <c r="E106" s="10" t="s">
        <v>680</v>
      </c>
      <c r="F106" s="10" t="s">
        <v>618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0" t="s">
        <v>720</v>
      </c>
      <c r="B107" s="39">
        <v>540</v>
      </c>
      <c r="C107" s="39">
        <v>379.85769653320313</v>
      </c>
      <c r="D107" s="10">
        <v>1093756</v>
      </c>
      <c r="E107" s="10" t="s">
        <v>680</v>
      </c>
      <c r="F107" s="10" t="s">
        <v>618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0" t="s">
        <v>721</v>
      </c>
      <c r="B108" s="39">
        <v>546.1500244140625</v>
      </c>
      <c r="C108" s="39">
        <v>384.183837890625</v>
      </c>
      <c r="D108" s="10">
        <v>1862166</v>
      </c>
      <c r="E108" s="10" t="s">
        <v>680</v>
      </c>
      <c r="F108" s="10" t="s">
        <v>618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0" t="s">
        <v>722</v>
      </c>
      <c r="B109" s="39">
        <v>551.70001220703125</v>
      </c>
      <c r="C109" s="39">
        <v>388.08798217773438</v>
      </c>
      <c r="D109" s="10">
        <v>1706048</v>
      </c>
      <c r="E109" s="10" t="s">
        <v>680</v>
      </c>
      <c r="F109" s="10" t="s">
        <v>618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0" t="s">
        <v>723</v>
      </c>
      <c r="B110" s="39">
        <v>539.5999755859375</v>
      </c>
      <c r="C110" s="39">
        <v>379.57623291015625</v>
      </c>
      <c r="D110" s="10">
        <v>1614098</v>
      </c>
      <c r="E110" s="10" t="s">
        <v>680</v>
      </c>
      <c r="F110" s="10" t="s">
        <v>618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0" t="s">
        <v>724</v>
      </c>
      <c r="B111" s="39">
        <v>536.29998779296875</v>
      </c>
      <c r="C111" s="39">
        <v>377.25497436523438</v>
      </c>
      <c r="D111" s="10">
        <v>1763517</v>
      </c>
      <c r="E111" s="10" t="s">
        <v>680</v>
      </c>
      <c r="F111" s="10" t="s">
        <v>618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0" t="s">
        <v>725</v>
      </c>
      <c r="B112" s="39">
        <v>535.6500244140625</v>
      </c>
      <c r="C112" s="39">
        <v>376.79779052734375</v>
      </c>
      <c r="D112" s="10">
        <v>739380</v>
      </c>
      <c r="E112" s="10" t="s">
        <v>680</v>
      </c>
      <c r="F112" s="10" t="s">
        <v>618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0" t="s">
        <v>726</v>
      </c>
      <c r="B113" s="39">
        <v>534.45001220703125</v>
      </c>
      <c r="C113" s="39">
        <v>375.95367431640625</v>
      </c>
      <c r="D113" s="10">
        <v>1085142</v>
      </c>
      <c r="E113" s="10" t="s">
        <v>680</v>
      </c>
      <c r="F113" s="10" t="s">
        <v>618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0" t="s">
        <v>727</v>
      </c>
      <c r="B114" s="39">
        <v>537.54998779296875</v>
      </c>
      <c r="C114" s="39">
        <v>378.13427734375</v>
      </c>
      <c r="D114" s="10">
        <v>565211</v>
      </c>
      <c r="E114" s="10" t="s">
        <v>680</v>
      </c>
      <c r="F114" s="10" t="s">
        <v>618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0" t="s">
        <v>728</v>
      </c>
      <c r="B115" s="39">
        <v>534.0999755859375</v>
      </c>
      <c r="C115" s="39">
        <v>375.7073974609375</v>
      </c>
      <c r="D115" s="10">
        <v>852440</v>
      </c>
      <c r="E115" s="10" t="s">
        <v>680</v>
      </c>
      <c r="F115" s="10" t="s">
        <v>618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0" t="s">
        <v>729</v>
      </c>
      <c r="B116" s="39">
        <v>533.29998779296875</v>
      </c>
      <c r="C116" s="39">
        <v>375.14462280273438</v>
      </c>
      <c r="D116" s="10">
        <v>736886</v>
      </c>
      <c r="E116" s="10" t="s">
        <v>680</v>
      </c>
      <c r="F116" s="10" t="s">
        <v>618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0" t="s">
        <v>730</v>
      </c>
      <c r="B117" s="39">
        <v>540.9000244140625</v>
      </c>
      <c r="C117" s="39">
        <v>380.49081420898438</v>
      </c>
      <c r="D117" s="10">
        <v>648970</v>
      </c>
      <c r="E117" s="10" t="s">
        <v>680</v>
      </c>
      <c r="F117" s="10" t="s">
        <v>618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0" t="s">
        <v>731</v>
      </c>
      <c r="B118" s="39">
        <v>533.0999755859375</v>
      </c>
      <c r="C118" s="39">
        <v>375.00390625</v>
      </c>
      <c r="D118" s="10">
        <v>1181394</v>
      </c>
      <c r="E118" s="10" t="s">
        <v>680</v>
      </c>
      <c r="F118" s="10" t="s">
        <v>618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0" t="s">
        <v>732</v>
      </c>
      <c r="B119" s="39">
        <v>535.25</v>
      </c>
      <c r="C119" s="39">
        <v>376.516357421875</v>
      </c>
      <c r="D119" s="10">
        <v>946013</v>
      </c>
      <c r="E119" s="10" t="s">
        <v>680</v>
      </c>
      <c r="F119" s="10" t="s">
        <v>618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0" t="s">
        <v>733</v>
      </c>
      <c r="B120" s="39">
        <v>544.29998779296875</v>
      </c>
      <c r="C120" s="39">
        <v>382.88247680664063</v>
      </c>
      <c r="D120" s="10">
        <v>1592795</v>
      </c>
      <c r="E120" s="10" t="s">
        <v>680</v>
      </c>
      <c r="F120" s="10" t="s">
        <v>618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0" t="s">
        <v>734</v>
      </c>
      <c r="B121" s="39">
        <v>535</v>
      </c>
      <c r="C121" s="39">
        <v>376.34048461914063</v>
      </c>
      <c r="D121" s="10">
        <v>1344360</v>
      </c>
      <c r="E121" s="10" t="s">
        <v>680</v>
      </c>
      <c r="F121" s="10" t="s">
        <v>618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0" t="s">
        <v>735</v>
      </c>
      <c r="B122" s="39">
        <v>532.75</v>
      </c>
      <c r="C122" s="39">
        <v>374.7578125</v>
      </c>
      <c r="D122" s="10">
        <v>1211966</v>
      </c>
      <c r="E122" s="10" t="s">
        <v>680</v>
      </c>
      <c r="F122" s="10" t="s">
        <v>618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0" t="s">
        <v>736</v>
      </c>
      <c r="B123" s="39">
        <v>531.3499755859375</v>
      </c>
      <c r="C123" s="39">
        <v>373.77288818359375</v>
      </c>
      <c r="D123" s="10">
        <v>1027592</v>
      </c>
      <c r="E123" s="10" t="s">
        <v>680</v>
      </c>
      <c r="F123" s="10" t="s">
        <v>618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0" t="s">
        <v>737</v>
      </c>
      <c r="B124" s="39">
        <v>507.04998779296875</v>
      </c>
      <c r="C124" s="39">
        <v>356.67938232421875</v>
      </c>
      <c r="D124" s="10">
        <v>3567473</v>
      </c>
      <c r="E124" s="10" t="s">
        <v>680</v>
      </c>
      <c r="F124" s="10" t="s">
        <v>618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0" t="s">
        <v>738</v>
      </c>
      <c r="B125" s="39">
        <v>504.64999389648438</v>
      </c>
      <c r="C125" s="39">
        <v>354.99111938476563</v>
      </c>
      <c r="D125" s="10">
        <v>1135682</v>
      </c>
      <c r="E125" s="10" t="s">
        <v>680</v>
      </c>
      <c r="F125" s="10" t="s">
        <v>618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0" t="s">
        <v>739</v>
      </c>
      <c r="B126" s="39">
        <v>501</v>
      </c>
      <c r="C126" s="39">
        <v>352.42352294921875</v>
      </c>
      <c r="D126" s="10">
        <v>1518673</v>
      </c>
      <c r="E126" s="10" t="s">
        <v>680</v>
      </c>
      <c r="F126" s="10" t="s">
        <v>618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0" t="s">
        <v>740</v>
      </c>
      <c r="B127" s="39">
        <v>504.95001220703125</v>
      </c>
      <c r="C127" s="39">
        <v>355.2021484375</v>
      </c>
      <c r="D127" s="10">
        <v>1209538</v>
      </c>
      <c r="E127" s="10" t="s">
        <v>680</v>
      </c>
      <c r="F127" s="10" t="s">
        <v>618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0" t="s">
        <v>741</v>
      </c>
      <c r="B128" s="39">
        <v>505.75</v>
      </c>
      <c r="C128" s="39">
        <v>355.76492309570313</v>
      </c>
      <c r="D128" s="10">
        <v>2334281</v>
      </c>
      <c r="E128" s="10" t="s">
        <v>680</v>
      </c>
      <c r="F128" s="10" t="s">
        <v>618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0" t="s">
        <v>742</v>
      </c>
      <c r="B129" s="39">
        <v>511.39999389648438</v>
      </c>
      <c r="C129" s="39">
        <v>359.73931884765625</v>
      </c>
      <c r="D129" s="10">
        <v>715389</v>
      </c>
      <c r="E129" s="10" t="s">
        <v>680</v>
      </c>
      <c r="F129" s="10" t="s">
        <v>618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0" t="s">
        <v>743</v>
      </c>
      <c r="B130" s="39">
        <v>519.0999755859375</v>
      </c>
      <c r="C130" s="39">
        <v>365.15579223632813</v>
      </c>
      <c r="D130" s="10">
        <v>1250195</v>
      </c>
      <c r="E130" s="10" t="s">
        <v>680</v>
      </c>
      <c r="F130" s="10" t="s">
        <v>618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0" t="s">
        <v>744</v>
      </c>
      <c r="B131" s="39">
        <v>515.25</v>
      </c>
      <c r="C131" s="39">
        <v>362.44760131835938</v>
      </c>
      <c r="D131" s="10">
        <v>456205</v>
      </c>
      <c r="E131" s="10" t="s">
        <v>680</v>
      </c>
      <c r="F131" s="10" t="s">
        <v>618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0" t="s">
        <v>745</v>
      </c>
      <c r="B132" s="39">
        <v>504.54998779296875</v>
      </c>
      <c r="C132" s="39">
        <v>354.92071533203125</v>
      </c>
      <c r="D132" s="10">
        <v>1036078</v>
      </c>
      <c r="E132" s="10" t="s">
        <v>680</v>
      </c>
      <c r="F132" s="10" t="s">
        <v>618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0" t="s">
        <v>746</v>
      </c>
      <c r="B133" s="39">
        <v>502.95001220703125</v>
      </c>
      <c r="C133" s="39">
        <v>353.79522705078125</v>
      </c>
      <c r="D133" s="10">
        <v>733349</v>
      </c>
      <c r="E133" s="10" t="s">
        <v>680</v>
      </c>
      <c r="F133" s="10" t="s">
        <v>618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0" t="s">
        <v>747</v>
      </c>
      <c r="B134" s="39">
        <v>508.39999389648438</v>
      </c>
      <c r="C134" s="39">
        <v>357.62893676757813</v>
      </c>
      <c r="D134" s="10">
        <v>729356</v>
      </c>
      <c r="E134" s="10" t="s">
        <v>680</v>
      </c>
      <c r="F134" s="10" t="s">
        <v>618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0" t="s">
        <v>748</v>
      </c>
      <c r="B135" s="39">
        <v>507.20001220703125</v>
      </c>
      <c r="C135" s="39">
        <v>356.78485107421875</v>
      </c>
      <c r="D135" s="10">
        <v>931824</v>
      </c>
      <c r="E135" s="10" t="s">
        <v>680</v>
      </c>
      <c r="F135" s="10" t="s">
        <v>618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0" t="s">
        <v>749</v>
      </c>
      <c r="B136" s="39">
        <v>506.54998779296875</v>
      </c>
      <c r="C136" s="39">
        <v>356.32763671875</v>
      </c>
      <c r="D136" s="10">
        <v>1194115</v>
      </c>
      <c r="E136" s="10" t="s">
        <v>680</v>
      </c>
      <c r="F136" s="10" t="s">
        <v>618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0" t="s">
        <v>750</v>
      </c>
      <c r="B137" s="39">
        <v>518.1500244140625</v>
      </c>
      <c r="C137" s="39">
        <v>364.48748779296875</v>
      </c>
      <c r="D137" s="10">
        <v>753846</v>
      </c>
      <c r="E137" s="10" t="s">
        <v>680</v>
      </c>
      <c r="F137" s="10" t="s">
        <v>618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0" t="s">
        <v>751</v>
      </c>
      <c r="B138" s="39">
        <v>504.04998779296875</v>
      </c>
      <c r="C138" s="39">
        <v>354.5689697265625</v>
      </c>
      <c r="D138" s="10">
        <v>2417368</v>
      </c>
      <c r="E138" s="10" t="s">
        <v>680</v>
      </c>
      <c r="F138" s="10" t="s">
        <v>618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0" t="s">
        <v>752</v>
      </c>
      <c r="B139" s="39">
        <v>506.60000610351563</v>
      </c>
      <c r="C139" s="39">
        <v>356.36279296875</v>
      </c>
      <c r="D139" s="10">
        <v>1132642</v>
      </c>
      <c r="E139" s="10" t="s">
        <v>680</v>
      </c>
      <c r="F139" s="10" t="s">
        <v>618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0" t="s">
        <v>753</v>
      </c>
      <c r="B140" s="39">
        <v>507.60000610351563</v>
      </c>
      <c r="C140" s="39">
        <v>357.06622314453125</v>
      </c>
      <c r="D140" s="10">
        <v>1013525</v>
      </c>
      <c r="E140" s="10" t="s">
        <v>680</v>
      </c>
      <c r="F140" s="10" t="s">
        <v>618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0" t="s">
        <v>754</v>
      </c>
      <c r="B141" s="39">
        <v>505.35000610351563</v>
      </c>
      <c r="C141" s="39">
        <v>355.4835205078125</v>
      </c>
      <c r="D141" s="10">
        <v>1424321</v>
      </c>
      <c r="E141" s="10" t="s">
        <v>680</v>
      </c>
      <c r="F141" s="10" t="s">
        <v>618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0" t="s">
        <v>755</v>
      </c>
      <c r="B142" s="39">
        <v>505.29998779296875</v>
      </c>
      <c r="C142" s="39">
        <v>355.4483642578125</v>
      </c>
      <c r="D142" s="10">
        <v>528981</v>
      </c>
      <c r="E142" s="10" t="s">
        <v>680</v>
      </c>
      <c r="F142" s="10" t="s">
        <v>618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0" t="s">
        <v>756</v>
      </c>
      <c r="B143" s="39">
        <v>504.89999389648438</v>
      </c>
      <c r="C143" s="39">
        <v>355.1669921875</v>
      </c>
      <c r="D143" s="10">
        <v>1008674</v>
      </c>
      <c r="E143" s="10" t="s">
        <v>680</v>
      </c>
      <c r="F143" s="10" t="s">
        <v>618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0" t="s">
        <v>757</v>
      </c>
      <c r="B144" s="39">
        <v>508.39999389648438</v>
      </c>
      <c r="C144" s="39">
        <v>357.62893676757813</v>
      </c>
      <c r="D144" s="10">
        <v>1028518</v>
      </c>
      <c r="E144" s="10" t="s">
        <v>680</v>
      </c>
      <c r="F144" s="10" t="s">
        <v>618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0" t="s">
        <v>758</v>
      </c>
      <c r="B145" s="39">
        <v>502.5</v>
      </c>
      <c r="C145" s="39">
        <v>353.47866821289063</v>
      </c>
      <c r="D145" s="10">
        <v>3069751</v>
      </c>
      <c r="E145" s="10" t="s">
        <v>680</v>
      </c>
      <c r="F145" s="10" t="s">
        <v>618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0" t="s">
        <v>759</v>
      </c>
      <c r="B146" s="39">
        <v>504.25</v>
      </c>
      <c r="C146" s="39">
        <v>354.70974731445313</v>
      </c>
      <c r="D146" s="10">
        <v>744952</v>
      </c>
      <c r="E146" s="10" t="s">
        <v>680</v>
      </c>
      <c r="F146" s="10" t="s">
        <v>618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0" t="s">
        <v>760</v>
      </c>
      <c r="B147" s="39">
        <v>485.54998779296875</v>
      </c>
      <c r="C147" s="39">
        <v>349.88180541992188</v>
      </c>
      <c r="D147" s="10">
        <v>1867921</v>
      </c>
      <c r="E147" s="10" t="s">
        <v>680</v>
      </c>
      <c r="F147" s="10" t="s">
        <v>618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0" t="s">
        <v>761</v>
      </c>
      <c r="B148" s="39">
        <v>487.95001220703125</v>
      </c>
      <c r="C148" s="39">
        <v>351.61117553710938</v>
      </c>
      <c r="D148" s="10">
        <v>1134853</v>
      </c>
      <c r="E148" s="10" t="s">
        <v>680</v>
      </c>
      <c r="F148" s="10" t="s">
        <v>618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0" t="s">
        <v>762</v>
      </c>
      <c r="B149" s="39">
        <v>490.14999389648438</v>
      </c>
      <c r="C149" s="39">
        <v>353.19644165039063</v>
      </c>
      <c r="D149" s="10">
        <v>2125956</v>
      </c>
      <c r="E149" s="10" t="s">
        <v>680</v>
      </c>
      <c r="F149" s="10" t="s">
        <v>618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0" t="s">
        <v>763</v>
      </c>
      <c r="B150" s="39">
        <v>499.20001220703125</v>
      </c>
      <c r="C150" s="39">
        <v>359.7177734375</v>
      </c>
      <c r="D150" s="10">
        <v>4792350</v>
      </c>
      <c r="E150" s="10" t="s">
        <v>680</v>
      </c>
      <c r="F150" s="10" t="s">
        <v>618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0" t="s">
        <v>764</v>
      </c>
      <c r="B151" s="39">
        <v>496.89999389648438</v>
      </c>
      <c r="C151" s="39">
        <v>358.06048583984375</v>
      </c>
      <c r="D151" s="10">
        <v>1196987</v>
      </c>
      <c r="E151" s="10" t="s">
        <v>680</v>
      </c>
      <c r="F151" s="10" t="s">
        <v>618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0" t="s">
        <v>765</v>
      </c>
      <c r="B152" s="39">
        <v>499.95001220703125</v>
      </c>
      <c r="C152" s="39">
        <v>360.2581787109375</v>
      </c>
      <c r="D152" s="10">
        <v>793067</v>
      </c>
      <c r="E152" s="10" t="s">
        <v>680</v>
      </c>
      <c r="F152" s="10" t="s">
        <v>618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0" t="s">
        <v>766</v>
      </c>
      <c r="B153" s="39">
        <v>495.04998779296875</v>
      </c>
      <c r="C153" s="39">
        <v>356.72735595703125</v>
      </c>
      <c r="D153" s="10">
        <v>1681614</v>
      </c>
      <c r="E153" s="10" t="s">
        <v>680</v>
      </c>
      <c r="F153" s="10" t="s">
        <v>618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0" t="s">
        <v>767</v>
      </c>
      <c r="B154" s="39">
        <v>503.64999389648438</v>
      </c>
      <c r="C154" s="39">
        <v>362.92446899414063</v>
      </c>
      <c r="D154" s="10">
        <v>913042</v>
      </c>
      <c r="E154" s="10" t="s">
        <v>680</v>
      </c>
      <c r="F154" s="10" t="s">
        <v>618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0" t="s">
        <v>768</v>
      </c>
      <c r="B155" s="39">
        <v>502.5</v>
      </c>
      <c r="C155" s="39">
        <v>362.09567260742188</v>
      </c>
      <c r="D155" s="10">
        <v>1299439</v>
      </c>
      <c r="E155" s="10" t="s">
        <v>680</v>
      </c>
      <c r="F155" s="10" t="s">
        <v>618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0" t="s">
        <v>769</v>
      </c>
      <c r="B156" s="39">
        <v>497.20001220703125</v>
      </c>
      <c r="C156" s="39">
        <v>358.27664184570313</v>
      </c>
      <c r="D156" s="10">
        <v>1326514</v>
      </c>
      <c r="E156" s="10" t="s">
        <v>680</v>
      </c>
      <c r="F156" s="10" t="s">
        <v>618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0" t="s">
        <v>770</v>
      </c>
      <c r="B157" s="39">
        <v>500.10000610351563</v>
      </c>
      <c r="C157" s="39">
        <v>360.36627197265625</v>
      </c>
      <c r="D157" s="10">
        <v>1681953</v>
      </c>
      <c r="E157" s="10" t="s">
        <v>680</v>
      </c>
      <c r="F157" s="10" t="s">
        <v>618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0" t="s">
        <v>771</v>
      </c>
      <c r="B158" s="39">
        <v>493.35000610351563</v>
      </c>
      <c r="C158" s="39">
        <v>355.50238037109375</v>
      </c>
      <c r="D158" s="10">
        <v>3618973</v>
      </c>
      <c r="E158" s="10" t="s">
        <v>680</v>
      </c>
      <c r="F158" s="10" t="s">
        <v>618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0" t="s">
        <v>772</v>
      </c>
      <c r="B159" s="39">
        <v>482.95001220703125</v>
      </c>
      <c r="C159" s="39">
        <v>348.00823974609375</v>
      </c>
      <c r="D159" s="10">
        <v>2087382</v>
      </c>
      <c r="E159" s="10" t="s">
        <v>680</v>
      </c>
      <c r="F159" s="10" t="s">
        <v>618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0" t="s">
        <v>773</v>
      </c>
      <c r="B160" s="39">
        <v>474.64999389648438</v>
      </c>
      <c r="C160" s="39">
        <v>342.02734375</v>
      </c>
      <c r="D160" s="10">
        <v>913427</v>
      </c>
      <c r="E160" s="10" t="s">
        <v>680</v>
      </c>
      <c r="F160" s="10" t="s">
        <v>618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0" t="s">
        <v>774</v>
      </c>
      <c r="B161" s="39">
        <v>469.5</v>
      </c>
      <c r="C161" s="39">
        <v>338.31634521484375</v>
      </c>
      <c r="D161" s="10">
        <v>1005420</v>
      </c>
      <c r="E161" s="10" t="s">
        <v>680</v>
      </c>
      <c r="F161" s="10" t="s">
        <v>618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0" t="s">
        <v>775</v>
      </c>
      <c r="B162" s="39">
        <v>473.20001220703125</v>
      </c>
      <c r="C162" s="39">
        <v>340.9825439453125</v>
      </c>
      <c r="D162" s="10">
        <v>3664586</v>
      </c>
      <c r="E162" s="10" t="s">
        <v>680</v>
      </c>
      <c r="F162" s="10" t="s">
        <v>618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0" t="s">
        <v>776</v>
      </c>
      <c r="B163" s="39">
        <v>466.35000610351563</v>
      </c>
      <c r="C163" s="39">
        <v>336.04647827148438</v>
      </c>
      <c r="D163" s="10">
        <v>1107412</v>
      </c>
      <c r="E163" s="10" t="s">
        <v>680</v>
      </c>
      <c r="F163" s="10" t="s">
        <v>618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0" t="s">
        <v>777</v>
      </c>
      <c r="B164" s="39">
        <v>465.79998779296875</v>
      </c>
      <c r="C164" s="39">
        <v>335.650146484375</v>
      </c>
      <c r="D164" s="10">
        <v>1617568</v>
      </c>
      <c r="E164" s="10" t="s">
        <v>680</v>
      </c>
      <c r="F164" s="10" t="s">
        <v>618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0" t="s">
        <v>778</v>
      </c>
      <c r="B165" s="39">
        <v>467.04998779296875</v>
      </c>
      <c r="C165" s="39">
        <v>336.55084228515625</v>
      </c>
      <c r="D165" s="10">
        <v>894108</v>
      </c>
      <c r="E165" s="10" t="s">
        <v>680</v>
      </c>
      <c r="F165" s="10" t="s">
        <v>618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0" t="s">
        <v>779</v>
      </c>
      <c r="B166" s="39">
        <v>458.10000610351563</v>
      </c>
      <c r="C166" s="39">
        <v>330.10162353515625</v>
      </c>
      <c r="D166" s="10">
        <v>1769817</v>
      </c>
      <c r="E166" s="10" t="s">
        <v>680</v>
      </c>
      <c r="F166" s="10" t="s">
        <v>618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0" t="s">
        <v>780</v>
      </c>
      <c r="B167" s="39">
        <v>459.95001220703125</v>
      </c>
      <c r="C167" s="39">
        <v>331.4346923828125</v>
      </c>
      <c r="D167" s="10">
        <v>857182</v>
      </c>
      <c r="E167" s="10" t="s">
        <v>680</v>
      </c>
      <c r="F167" s="10" t="s">
        <v>618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0" t="s">
        <v>781</v>
      </c>
      <c r="B168" s="39">
        <v>449.54998779296875</v>
      </c>
      <c r="C168" s="39">
        <v>323.94058227539063</v>
      </c>
      <c r="D168" s="10">
        <v>797904</v>
      </c>
      <c r="E168" s="10" t="s">
        <v>680</v>
      </c>
      <c r="F168" s="10" t="s">
        <v>618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0" t="s">
        <v>782</v>
      </c>
      <c r="B169" s="39">
        <v>462.95001220703125</v>
      </c>
      <c r="C169" s="39">
        <v>333.59649658203125</v>
      </c>
      <c r="D169" s="10">
        <v>981748</v>
      </c>
      <c r="E169" s="10" t="s">
        <v>680</v>
      </c>
      <c r="F169" s="10" t="s">
        <v>618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0" t="s">
        <v>783</v>
      </c>
      <c r="B170" s="39">
        <v>468.79998779296875</v>
      </c>
      <c r="C170" s="39">
        <v>337.8118896484375</v>
      </c>
      <c r="D170" s="10">
        <v>1779070</v>
      </c>
      <c r="E170" s="10" t="s">
        <v>680</v>
      </c>
      <c r="F170" s="10" t="s">
        <v>618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0" t="s">
        <v>784</v>
      </c>
      <c r="B171" s="39">
        <v>469.14999389648438</v>
      </c>
      <c r="C171" s="39">
        <v>338.06411743164063</v>
      </c>
      <c r="D171" s="10">
        <v>1046734</v>
      </c>
      <c r="E171" s="10" t="s">
        <v>680</v>
      </c>
      <c r="F171" s="10" t="s">
        <v>618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0" t="s">
        <v>785</v>
      </c>
      <c r="B172" s="39">
        <v>471.85000610351563</v>
      </c>
      <c r="C172" s="39">
        <v>340.00973510742188</v>
      </c>
      <c r="D172" s="10">
        <v>1070131</v>
      </c>
      <c r="E172" s="10" t="s">
        <v>680</v>
      </c>
      <c r="F172" s="10" t="s">
        <v>618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0" t="s">
        <v>786</v>
      </c>
      <c r="B173" s="39">
        <v>480.04998779296875</v>
      </c>
      <c r="C173" s="39">
        <v>345.91848754882813</v>
      </c>
      <c r="D173" s="10">
        <v>1553926</v>
      </c>
      <c r="E173" s="10" t="s">
        <v>680</v>
      </c>
      <c r="F173" s="10" t="s">
        <v>618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0" t="s">
        <v>787</v>
      </c>
      <c r="B174" s="39">
        <v>471.85000610351563</v>
      </c>
      <c r="C174" s="39">
        <v>340.00973510742188</v>
      </c>
      <c r="D174" s="10">
        <v>1254946</v>
      </c>
      <c r="E174" s="10" t="s">
        <v>680</v>
      </c>
      <c r="F174" s="10" t="s">
        <v>618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0" t="s">
        <v>788</v>
      </c>
      <c r="B175" s="39">
        <v>459.04998779296875</v>
      </c>
      <c r="C175" s="39">
        <v>330.78619384765625</v>
      </c>
      <c r="D175" s="10">
        <v>3145694</v>
      </c>
      <c r="E175" s="10" t="s">
        <v>680</v>
      </c>
      <c r="F175" s="10" t="s">
        <v>618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0" t="s">
        <v>789</v>
      </c>
      <c r="B176" s="39">
        <v>458.29998779296875</v>
      </c>
      <c r="C176" s="39">
        <v>330.24575805664063</v>
      </c>
      <c r="D176" s="10">
        <v>1469794</v>
      </c>
      <c r="E176" s="10" t="s">
        <v>680</v>
      </c>
      <c r="F176" s="10" t="s">
        <v>618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0" t="s">
        <v>790</v>
      </c>
      <c r="B177" s="39">
        <v>463.85000610351563</v>
      </c>
      <c r="C177" s="39">
        <v>334.2449951171875</v>
      </c>
      <c r="D177" s="10">
        <v>1746181</v>
      </c>
      <c r="E177" s="10" t="s">
        <v>680</v>
      </c>
      <c r="F177" s="10" t="s">
        <v>618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0" t="s">
        <v>791</v>
      </c>
      <c r="B178" s="39">
        <v>466.70001220703125</v>
      </c>
      <c r="C178" s="39">
        <v>336.29867553710938</v>
      </c>
      <c r="D178" s="10">
        <v>1321007</v>
      </c>
      <c r="E178" s="10" t="s">
        <v>680</v>
      </c>
      <c r="F178" s="10" t="s">
        <v>618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0" t="s">
        <v>792</v>
      </c>
      <c r="B179" s="39">
        <v>462.75</v>
      </c>
      <c r="C179" s="39">
        <v>333.45233154296875</v>
      </c>
      <c r="D179" s="10">
        <v>956858</v>
      </c>
      <c r="E179" s="10" t="s">
        <v>680</v>
      </c>
      <c r="F179" s="10" t="s">
        <v>618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0" t="s">
        <v>793</v>
      </c>
      <c r="B180" s="39">
        <v>465.29998779296875</v>
      </c>
      <c r="C180" s="39">
        <v>335.28985595703125</v>
      </c>
      <c r="D180" s="10">
        <v>1477056</v>
      </c>
      <c r="E180" s="10" t="s">
        <v>680</v>
      </c>
      <c r="F180" s="10" t="s">
        <v>618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0" t="s">
        <v>794</v>
      </c>
      <c r="B181" s="39">
        <v>466.60000610351563</v>
      </c>
      <c r="C181" s="39">
        <v>336.22662353515625</v>
      </c>
      <c r="D181" s="10">
        <v>1134564</v>
      </c>
      <c r="E181" s="10" t="s">
        <v>680</v>
      </c>
      <c r="F181" s="10" t="s">
        <v>618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0" t="s">
        <v>795</v>
      </c>
      <c r="B182" s="39">
        <v>462.20001220703125</v>
      </c>
      <c r="C182" s="39">
        <v>333.0560302734375</v>
      </c>
      <c r="D182" s="10">
        <v>913111</v>
      </c>
      <c r="E182" s="10" t="s">
        <v>680</v>
      </c>
      <c r="F182" s="10" t="s">
        <v>618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0" t="s">
        <v>796</v>
      </c>
      <c r="B183" s="39">
        <v>461.14999389648438</v>
      </c>
      <c r="C183" s="39">
        <v>332.29937744140625</v>
      </c>
      <c r="D183" s="10">
        <v>2142358</v>
      </c>
      <c r="E183" s="10" t="s">
        <v>680</v>
      </c>
      <c r="F183" s="10" t="s">
        <v>618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0" t="s">
        <v>797</v>
      </c>
      <c r="B184" s="39">
        <v>454.75</v>
      </c>
      <c r="C184" s="39">
        <v>327.6876220703125</v>
      </c>
      <c r="D184" s="10">
        <v>2766927</v>
      </c>
      <c r="E184" s="10" t="s">
        <v>680</v>
      </c>
      <c r="F184" s="10" t="s">
        <v>618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0" t="s">
        <v>798</v>
      </c>
      <c r="B185" s="39">
        <v>454.60000610351563</v>
      </c>
      <c r="C185" s="39">
        <v>327.57952880859375</v>
      </c>
      <c r="D185" s="10">
        <v>2221151</v>
      </c>
      <c r="E185" s="10" t="s">
        <v>680</v>
      </c>
      <c r="F185" s="10" t="s">
        <v>618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0" t="s">
        <v>799</v>
      </c>
      <c r="B186" s="39">
        <v>448.95001220703125</v>
      </c>
      <c r="C186" s="39">
        <v>323.50827026367188</v>
      </c>
      <c r="D186" s="10">
        <v>1027167</v>
      </c>
      <c r="E186" s="10" t="s">
        <v>680</v>
      </c>
      <c r="F186" s="10" t="s">
        <v>618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0" t="s">
        <v>800</v>
      </c>
      <c r="B187" s="39">
        <v>447.85000610351563</v>
      </c>
      <c r="C187" s="39">
        <v>322.71560668945313</v>
      </c>
      <c r="D187" s="10">
        <v>1306463</v>
      </c>
      <c r="E187" s="10" t="s">
        <v>680</v>
      </c>
      <c r="F187" s="10" t="s">
        <v>618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0" t="s">
        <v>801</v>
      </c>
      <c r="B188" s="39">
        <v>440.5</v>
      </c>
      <c r="C188" s="39">
        <v>317.41925048828125</v>
      </c>
      <c r="D188" s="10">
        <v>1785763</v>
      </c>
      <c r="E188" s="10" t="s">
        <v>680</v>
      </c>
      <c r="F188" s="10" t="s">
        <v>618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0" t="s">
        <v>802</v>
      </c>
      <c r="B189" s="39">
        <v>427.14999389648438</v>
      </c>
      <c r="C189" s="39">
        <v>307.79940795898438</v>
      </c>
      <c r="D189" s="10">
        <v>4331711</v>
      </c>
      <c r="E189" s="10" t="s">
        <v>680</v>
      </c>
      <c r="F189" s="10" t="s">
        <v>618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0" t="s">
        <v>803</v>
      </c>
      <c r="B190" s="39">
        <v>419.85000610351563</v>
      </c>
      <c r="C190" s="39">
        <v>302.53912353515625</v>
      </c>
      <c r="D190" s="10">
        <v>2210429</v>
      </c>
      <c r="E190" s="10" t="s">
        <v>680</v>
      </c>
      <c r="F190" s="10" t="s">
        <v>618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0" t="s">
        <v>804</v>
      </c>
      <c r="B191" s="39">
        <v>420.70001220703125</v>
      </c>
      <c r="C191" s="39">
        <v>303.15158081054688</v>
      </c>
      <c r="D191" s="10">
        <v>1754766</v>
      </c>
      <c r="E191" s="10" t="s">
        <v>680</v>
      </c>
      <c r="F191" s="10" t="s">
        <v>618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0" t="s">
        <v>805</v>
      </c>
      <c r="B192" s="39">
        <v>428.70001220703125</v>
      </c>
      <c r="C192" s="39">
        <v>308.91629028320313</v>
      </c>
      <c r="D192" s="10">
        <v>2145572</v>
      </c>
      <c r="E192" s="10" t="s">
        <v>680</v>
      </c>
      <c r="F192" s="10" t="s">
        <v>618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0" t="s">
        <v>806</v>
      </c>
      <c r="B193" s="39">
        <v>425.29998779296875</v>
      </c>
      <c r="C193" s="39">
        <v>306.46624755859375</v>
      </c>
      <c r="D193" s="10">
        <v>1476240</v>
      </c>
      <c r="E193" s="10" t="s">
        <v>680</v>
      </c>
      <c r="F193" s="10" t="s">
        <v>618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0" t="s">
        <v>807</v>
      </c>
      <c r="B194" s="39">
        <v>420.75</v>
      </c>
      <c r="C194" s="39">
        <v>303.1876220703125</v>
      </c>
      <c r="D194" s="10">
        <v>1559084</v>
      </c>
      <c r="E194" s="10" t="s">
        <v>680</v>
      </c>
      <c r="F194" s="10" t="s">
        <v>618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0" t="s">
        <v>808</v>
      </c>
      <c r="B195" s="39">
        <v>419.75</v>
      </c>
      <c r="C195" s="39">
        <v>302.46697998046875</v>
      </c>
      <c r="D195" s="10">
        <v>1562901</v>
      </c>
      <c r="E195" s="10" t="s">
        <v>680</v>
      </c>
      <c r="F195" s="10" t="s">
        <v>618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0" t="s">
        <v>809</v>
      </c>
      <c r="B196" s="39">
        <v>421.85000610351563</v>
      </c>
      <c r="C196" s="39">
        <v>303.98031616210938</v>
      </c>
      <c r="D196" s="10">
        <v>997527</v>
      </c>
      <c r="E196" s="10" t="s">
        <v>680</v>
      </c>
      <c r="F196" s="10" t="s">
        <v>618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0" t="s">
        <v>810</v>
      </c>
      <c r="B197" s="39">
        <v>422.20001220703125</v>
      </c>
      <c r="C197" s="39">
        <v>304.23248291015625</v>
      </c>
      <c r="D197" s="10">
        <v>2473032</v>
      </c>
      <c r="E197" s="10" t="s">
        <v>680</v>
      </c>
      <c r="F197" s="10" t="s">
        <v>618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0" t="s">
        <v>811</v>
      </c>
      <c r="B198" s="39">
        <v>419.10000610351563</v>
      </c>
      <c r="C198" s="39">
        <v>301.9986572265625</v>
      </c>
      <c r="D198" s="10">
        <v>6379695</v>
      </c>
      <c r="E198" s="10" t="s">
        <v>680</v>
      </c>
      <c r="F198" s="10" t="s">
        <v>618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0" t="s">
        <v>812</v>
      </c>
      <c r="B199" s="39">
        <v>408.54998779296875</v>
      </c>
      <c r="C199" s="39">
        <v>294.396484375</v>
      </c>
      <c r="D199" s="10">
        <v>3248168</v>
      </c>
      <c r="E199" s="10" t="s">
        <v>680</v>
      </c>
      <c r="F199" s="10" t="s">
        <v>618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0" t="s">
        <v>813</v>
      </c>
      <c r="B200" s="39">
        <v>425.10000610351563</v>
      </c>
      <c r="C200" s="39">
        <v>306.3221435546875</v>
      </c>
      <c r="D200" s="10">
        <v>7264158</v>
      </c>
      <c r="E200" s="10" t="s">
        <v>680</v>
      </c>
      <c r="F200" s="10" t="s">
        <v>618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0" t="s">
        <v>814</v>
      </c>
      <c r="B201" s="39">
        <v>424.89999389648438</v>
      </c>
      <c r="C201" s="39">
        <v>306.17807006835938</v>
      </c>
      <c r="D201" s="10">
        <v>4525016</v>
      </c>
      <c r="E201" s="10" t="s">
        <v>680</v>
      </c>
      <c r="F201" s="10" t="s">
        <v>618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0" t="s">
        <v>815</v>
      </c>
      <c r="B202" s="39">
        <v>425</v>
      </c>
      <c r="C202" s="39">
        <v>306.2501220703125</v>
      </c>
      <c r="D202" s="10">
        <v>2133653</v>
      </c>
      <c r="E202" s="10" t="s">
        <v>680</v>
      </c>
      <c r="F202" s="10" t="s">
        <v>618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0" t="s">
        <v>816</v>
      </c>
      <c r="B203" s="39">
        <v>434.10000610351563</v>
      </c>
      <c r="C203" s="39">
        <v>312.80746459960938</v>
      </c>
      <c r="D203" s="10">
        <v>4853235</v>
      </c>
      <c r="E203" s="10" t="s">
        <v>680</v>
      </c>
      <c r="F203" s="10" t="s">
        <v>618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0" t="s">
        <v>817</v>
      </c>
      <c r="B204" s="39">
        <v>429.14999389648438</v>
      </c>
      <c r="C204" s="39">
        <v>309.24057006835938</v>
      </c>
      <c r="D204" s="10">
        <v>2292196</v>
      </c>
      <c r="E204" s="10" t="s">
        <v>680</v>
      </c>
      <c r="F204" s="10" t="s">
        <v>618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0" t="s">
        <v>818</v>
      </c>
      <c r="B205" s="39">
        <v>434.04998779296875</v>
      </c>
      <c r="C205" s="39">
        <v>312.771484375</v>
      </c>
      <c r="D205" s="10">
        <v>1684650</v>
      </c>
      <c r="E205" s="10" t="s">
        <v>680</v>
      </c>
      <c r="F205" s="10" t="s">
        <v>618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0" t="s">
        <v>819</v>
      </c>
      <c r="B206" s="39">
        <v>423.04998779296875</v>
      </c>
      <c r="C206" s="39">
        <v>304.84494018554688</v>
      </c>
      <c r="D206" s="10">
        <v>2685974</v>
      </c>
      <c r="E206" s="10" t="s">
        <v>680</v>
      </c>
      <c r="F206" s="10" t="s">
        <v>618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0" t="s">
        <v>820</v>
      </c>
      <c r="B207" s="39">
        <v>414.10000610351563</v>
      </c>
      <c r="C207" s="39">
        <v>298.39572143554688</v>
      </c>
      <c r="D207" s="10">
        <v>3706854</v>
      </c>
      <c r="E207" s="10" t="s">
        <v>680</v>
      </c>
      <c r="F207" s="10" t="s">
        <v>618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0" t="s">
        <v>821</v>
      </c>
      <c r="B208" s="39">
        <v>435.64999389648438</v>
      </c>
      <c r="C208" s="39">
        <v>313.92437744140625</v>
      </c>
      <c r="D208" s="10">
        <v>12710319</v>
      </c>
      <c r="E208" s="10" t="s">
        <v>680</v>
      </c>
      <c r="F208" s="10" t="s">
        <v>618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0" t="s">
        <v>822</v>
      </c>
      <c r="B209" s="39">
        <v>433.54998779296875</v>
      </c>
      <c r="C209" s="39">
        <v>312.41110229492188</v>
      </c>
      <c r="D209" s="10">
        <v>4643934</v>
      </c>
      <c r="E209" s="10" t="s">
        <v>680</v>
      </c>
      <c r="F209" s="10" t="s">
        <v>618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0" t="s">
        <v>823</v>
      </c>
      <c r="B210" s="39">
        <v>429.79998779296875</v>
      </c>
      <c r="C210" s="39">
        <v>309.70892333984375</v>
      </c>
      <c r="D210" s="10">
        <v>3387397</v>
      </c>
      <c r="E210" s="10" t="s">
        <v>680</v>
      </c>
      <c r="F210" s="10" t="s">
        <v>618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0" t="s">
        <v>824</v>
      </c>
      <c r="B211" s="39">
        <v>428</v>
      </c>
      <c r="C211" s="39">
        <v>308.41189575195313</v>
      </c>
      <c r="D211" s="10">
        <v>2159069</v>
      </c>
      <c r="E211" s="10" t="s">
        <v>680</v>
      </c>
      <c r="F211" s="10" t="s">
        <v>618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0" t="s">
        <v>825</v>
      </c>
      <c r="B212" s="39">
        <v>430.04998779296875</v>
      </c>
      <c r="C212" s="39">
        <v>309.88909912109375</v>
      </c>
      <c r="D212" s="10">
        <v>7835863</v>
      </c>
      <c r="E212" s="10" t="s">
        <v>680</v>
      </c>
      <c r="F212" s="10" t="s">
        <v>618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0" t="s">
        <v>826</v>
      </c>
      <c r="B213" s="39">
        <v>444.85000610351563</v>
      </c>
      <c r="C213" s="39">
        <v>320.55377197265625</v>
      </c>
      <c r="D213" s="10">
        <v>7039296</v>
      </c>
      <c r="E213" s="10" t="s">
        <v>680</v>
      </c>
      <c r="F213" s="10" t="s">
        <v>618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0" t="s">
        <v>827</v>
      </c>
      <c r="B214" s="39">
        <v>454.14999389648438</v>
      </c>
      <c r="C214" s="39">
        <v>327.25527954101563</v>
      </c>
      <c r="D214" s="10">
        <v>5501834</v>
      </c>
      <c r="E214" s="10" t="s">
        <v>680</v>
      </c>
      <c r="F214" s="10" t="s">
        <v>618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0" t="s">
        <v>828</v>
      </c>
      <c r="B215" s="39">
        <v>434.5</v>
      </c>
      <c r="C215" s="39">
        <v>313.09573364257813</v>
      </c>
      <c r="D215" s="10">
        <v>4852450</v>
      </c>
      <c r="E215" s="10" t="s">
        <v>680</v>
      </c>
      <c r="F215" s="10" t="s">
        <v>618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0" t="s">
        <v>829</v>
      </c>
      <c r="B216" s="39">
        <v>442.25</v>
      </c>
      <c r="C216" s="39">
        <v>318.68026733398438</v>
      </c>
      <c r="D216" s="10">
        <v>3301285</v>
      </c>
      <c r="E216" s="10" t="s">
        <v>680</v>
      </c>
      <c r="F216" s="10" t="s">
        <v>618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0" t="s">
        <v>830</v>
      </c>
      <c r="B217" s="39">
        <v>429.39999389648438</v>
      </c>
      <c r="C217" s="39">
        <v>309.42071533203125</v>
      </c>
      <c r="D217" s="10">
        <v>1161656</v>
      </c>
      <c r="E217" s="10" t="s">
        <v>680</v>
      </c>
      <c r="F217" s="10" t="s">
        <v>618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0" t="s">
        <v>831</v>
      </c>
      <c r="B218" s="39">
        <v>430.95001220703125</v>
      </c>
      <c r="C218" s="39">
        <v>310.53765869140625</v>
      </c>
      <c r="D218" s="10">
        <v>6787283</v>
      </c>
      <c r="E218" s="10" t="s">
        <v>680</v>
      </c>
      <c r="F218" s="10" t="s">
        <v>618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0" t="s">
        <v>832</v>
      </c>
      <c r="B219" s="39">
        <v>443.60000610351563</v>
      </c>
      <c r="C219" s="39">
        <v>319.65313720703125</v>
      </c>
      <c r="D219" s="10">
        <v>9156138</v>
      </c>
      <c r="E219" s="10" t="s">
        <v>680</v>
      </c>
      <c r="F219" s="10" t="s">
        <v>618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0" t="s">
        <v>833</v>
      </c>
      <c r="B220" s="39">
        <v>441.85000610351563</v>
      </c>
      <c r="C220" s="39">
        <v>318.39199829101563</v>
      </c>
      <c r="D220" s="10">
        <v>2616362</v>
      </c>
      <c r="E220" s="10" t="s">
        <v>680</v>
      </c>
      <c r="F220" s="10" t="s">
        <v>618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0" t="s">
        <v>834</v>
      </c>
      <c r="B221" s="39">
        <v>445.29998779296875</v>
      </c>
      <c r="C221" s="39">
        <v>320.87808227539063</v>
      </c>
      <c r="D221" s="10">
        <v>2041621</v>
      </c>
      <c r="E221" s="10" t="s">
        <v>680</v>
      </c>
      <c r="F221" s="10" t="s">
        <v>618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0" t="s">
        <v>835</v>
      </c>
      <c r="B222" s="39">
        <v>447.14999389648438</v>
      </c>
      <c r="C222" s="39">
        <v>322.21124267578125</v>
      </c>
      <c r="D222" s="10">
        <v>2718966</v>
      </c>
      <c r="E222" s="10" t="s">
        <v>680</v>
      </c>
      <c r="F222" s="10" t="s">
        <v>618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0" t="s">
        <v>836</v>
      </c>
      <c r="B223" s="39">
        <v>453.39999389648438</v>
      </c>
      <c r="C223" s="39">
        <v>326.71484375</v>
      </c>
      <c r="D223" s="10">
        <v>2409601</v>
      </c>
      <c r="E223" s="10" t="s">
        <v>680</v>
      </c>
      <c r="F223" s="10" t="s">
        <v>618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0" t="s">
        <v>837</v>
      </c>
      <c r="B224" s="39">
        <v>453.10000610351563</v>
      </c>
      <c r="C224" s="39">
        <v>326.49862670898438</v>
      </c>
      <c r="D224" s="10">
        <v>1950811</v>
      </c>
      <c r="E224" s="10" t="s">
        <v>680</v>
      </c>
      <c r="F224" s="10" t="s">
        <v>618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0" t="s">
        <v>838</v>
      </c>
      <c r="B225" s="39">
        <v>458.64999389648438</v>
      </c>
      <c r="C225" s="39">
        <v>330.4979248046875</v>
      </c>
      <c r="D225" s="10">
        <v>2574455</v>
      </c>
      <c r="E225" s="10" t="s">
        <v>680</v>
      </c>
      <c r="F225" s="10" t="s">
        <v>618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0" t="s">
        <v>839</v>
      </c>
      <c r="B226" s="39">
        <v>487.25</v>
      </c>
      <c r="C226" s="39">
        <v>351.10678100585938</v>
      </c>
      <c r="D226" s="10">
        <v>4561987</v>
      </c>
      <c r="E226" s="10" t="s">
        <v>680</v>
      </c>
      <c r="F226" s="10" t="s">
        <v>618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0" t="s">
        <v>840</v>
      </c>
      <c r="B227" s="39">
        <v>489.35000610351563</v>
      </c>
      <c r="C227" s="39">
        <v>352.62002563476563</v>
      </c>
      <c r="D227" s="10">
        <v>2279428</v>
      </c>
      <c r="E227" s="10" t="s">
        <v>680</v>
      </c>
      <c r="F227" s="10" t="s">
        <v>618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0" t="s">
        <v>841</v>
      </c>
      <c r="B228" s="39">
        <v>483.85000610351563</v>
      </c>
      <c r="C228" s="39">
        <v>348.65679931640625</v>
      </c>
      <c r="D228" s="10">
        <v>2029150</v>
      </c>
      <c r="E228" s="10" t="s">
        <v>680</v>
      </c>
      <c r="F228" s="10" t="s">
        <v>618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0" t="s">
        <v>842</v>
      </c>
      <c r="B229" s="39">
        <v>485.20001220703125</v>
      </c>
      <c r="C229" s="39">
        <v>349.6295166015625</v>
      </c>
      <c r="D229" s="10">
        <v>2604888</v>
      </c>
      <c r="E229" s="10" t="s">
        <v>680</v>
      </c>
      <c r="F229" s="10" t="s">
        <v>618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0" t="s">
        <v>843</v>
      </c>
      <c r="B230" s="39">
        <v>475.04998779296875</v>
      </c>
      <c r="C230" s="39">
        <v>342.31561279296875</v>
      </c>
      <c r="D230" s="10">
        <v>2059534</v>
      </c>
      <c r="E230" s="10" t="s">
        <v>680</v>
      </c>
      <c r="F230" s="10" t="s">
        <v>618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0" t="s">
        <v>844</v>
      </c>
      <c r="B231" s="39">
        <v>473.39999389648438</v>
      </c>
      <c r="C231" s="39">
        <v>341.12661743164063</v>
      </c>
      <c r="D231" s="10">
        <v>2450542</v>
      </c>
      <c r="E231" s="10" t="s">
        <v>680</v>
      </c>
      <c r="F231" s="10" t="s">
        <v>618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0" t="s">
        <v>845</v>
      </c>
      <c r="B232" s="39">
        <v>462.39999389648438</v>
      </c>
      <c r="C232" s="39">
        <v>333.20013427734375</v>
      </c>
      <c r="D232" s="10">
        <v>1727408</v>
      </c>
      <c r="E232" s="10" t="s">
        <v>680</v>
      </c>
      <c r="F232" s="10" t="s">
        <v>618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0" t="s">
        <v>846</v>
      </c>
      <c r="B233" s="39">
        <v>465.45001220703125</v>
      </c>
      <c r="C233" s="39">
        <v>335.39794921875</v>
      </c>
      <c r="D233" s="10">
        <v>1073627</v>
      </c>
      <c r="E233" s="10" t="s">
        <v>680</v>
      </c>
      <c r="F233" s="10" t="s">
        <v>618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0" t="s">
        <v>847</v>
      </c>
      <c r="B234" s="39">
        <v>455.60000610351563</v>
      </c>
      <c r="C234" s="39">
        <v>328.3001708984375</v>
      </c>
      <c r="D234" s="10">
        <v>1540255</v>
      </c>
      <c r="E234" s="10" t="s">
        <v>680</v>
      </c>
      <c r="F234" s="10" t="s">
        <v>618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0" t="s">
        <v>848</v>
      </c>
      <c r="B235" s="39">
        <v>463.75</v>
      </c>
      <c r="C235" s="39">
        <v>334.17291259765625</v>
      </c>
      <c r="D235" s="10">
        <v>1158682</v>
      </c>
      <c r="E235" s="10" t="s">
        <v>680</v>
      </c>
      <c r="F235" s="10" t="s">
        <v>618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0" t="s">
        <v>849</v>
      </c>
      <c r="B236" s="39">
        <v>471.70001220703125</v>
      </c>
      <c r="C236" s="39">
        <v>339.90164184570313</v>
      </c>
      <c r="D236" s="10">
        <v>2017058</v>
      </c>
      <c r="E236" s="10" t="s">
        <v>680</v>
      </c>
      <c r="F236" s="10" t="s">
        <v>618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0" t="s">
        <v>850</v>
      </c>
      <c r="B237" s="39">
        <v>469.39999389648438</v>
      </c>
      <c r="C237" s="39">
        <v>338.2442626953125</v>
      </c>
      <c r="D237" s="10">
        <v>709914</v>
      </c>
      <c r="E237" s="10" t="s">
        <v>680</v>
      </c>
      <c r="F237" s="10" t="s">
        <v>618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0" t="s">
        <v>851</v>
      </c>
      <c r="B238" s="39">
        <v>484.54998779296875</v>
      </c>
      <c r="C238" s="39">
        <v>349.1611328125</v>
      </c>
      <c r="D238" s="10">
        <v>1863492</v>
      </c>
      <c r="E238" s="10" t="s">
        <v>680</v>
      </c>
      <c r="F238" s="10" t="s">
        <v>618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0" t="s">
        <v>852</v>
      </c>
      <c r="B239" s="39">
        <v>476.64999389648438</v>
      </c>
      <c r="C239" s="39">
        <v>343.468505859375</v>
      </c>
      <c r="D239" s="10">
        <v>1702307</v>
      </c>
      <c r="E239" s="10" t="s">
        <v>680</v>
      </c>
      <c r="F239" s="10" t="s">
        <v>618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0" t="s">
        <v>853</v>
      </c>
      <c r="B240" s="39">
        <v>477.45001220703125</v>
      </c>
      <c r="C240" s="39">
        <v>344.04498291015625</v>
      </c>
      <c r="D240" s="10">
        <v>3292408</v>
      </c>
      <c r="E240" s="10" t="s">
        <v>680</v>
      </c>
      <c r="F240" s="10" t="s">
        <v>618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0" t="s">
        <v>854</v>
      </c>
      <c r="B241" s="39">
        <v>477.14999389648438</v>
      </c>
      <c r="C241" s="39">
        <v>343.82882690429688</v>
      </c>
      <c r="D241" s="10">
        <v>2185723</v>
      </c>
      <c r="E241" s="10" t="s">
        <v>680</v>
      </c>
      <c r="F241" s="10" t="s">
        <v>618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0" t="s">
        <v>855</v>
      </c>
      <c r="B242" s="39">
        <v>473.35000610351563</v>
      </c>
      <c r="C242" s="39">
        <v>341.09063720703125</v>
      </c>
      <c r="D242" s="10">
        <v>1389090</v>
      </c>
      <c r="E242" s="10" t="s">
        <v>680</v>
      </c>
      <c r="F242" s="10" t="s">
        <v>618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0" t="s">
        <v>856</v>
      </c>
      <c r="B243" s="39">
        <v>476.75</v>
      </c>
      <c r="C243" s="39">
        <v>343.54058837890625</v>
      </c>
      <c r="D243" s="10">
        <v>1919780</v>
      </c>
      <c r="E243" s="10" t="s">
        <v>680</v>
      </c>
      <c r="F243" s="10" t="s">
        <v>618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0" t="s">
        <v>857</v>
      </c>
      <c r="B244" s="39">
        <v>474.45001220703125</v>
      </c>
      <c r="C244" s="39">
        <v>341.88330078125</v>
      </c>
      <c r="D244" s="10">
        <v>667563</v>
      </c>
      <c r="E244" s="10" t="s">
        <v>680</v>
      </c>
      <c r="F244" s="10" t="s">
        <v>618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0" t="s">
        <v>858</v>
      </c>
      <c r="B245" s="39">
        <v>473.95001220703125</v>
      </c>
      <c r="C245" s="39">
        <v>341.52291870117188</v>
      </c>
      <c r="D245" s="10">
        <v>932766</v>
      </c>
      <c r="E245" s="10" t="s">
        <v>680</v>
      </c>
      <c r="F245" s="10" t="s">
        <v>618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0" t="s">
        <v>859</v>
      </c>
      <c r="B246" s="39">
        <v>467.10000610351563</v>
      </c>
      <c r="C246" s="39">
        <v>336.5869140625</v>
      </c>
      <c r="D246" s="10">
        <v>942216</v>
      </c>
      <c r="E246" s="10" t="s">
        <v>680</v>
      </c>
      <c r="F246" s="10" t="s">
        <v>618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0" t="s">
        <v>860</v>
      </c>
      <c r="B247" s="39">
        <v>463.60000610351563</v>
      </c>
      <c r="C247" s="39">
        <v>334.06484985351563</v>
      </c>
      <c r="D247" s="10">
        <v>572307</v>
      </c>
      <c r="E247" s="10" t="s">
        <v>680</v>
      </c>
      <c r="F247" s="10" t="s">
        <v>618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0" t="s">
        <v>861</v>
      </c>
      <c r="B248" s="39">
        <v>468.20001220703125</v>
      </c>
      <c r="C248" s="39">
        <v>337.37960815429688</v>
      </c>
      <c r="D248" s="10">
        <v>1061513</v>
      </c>
      <c r="E248" s="10" t="s">
        <v>680</v>
      </c>
      <c r="F248" s="10" t="s">
        <v>618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0" t="s">
        <v>862</v>
      </c>
      <c r="B249" s="39">
        <v>474.14999389648438</v>
      </c>
      <c r="C249" s="39">
        <v>341.6671142578125</v>
      </c>
      <c r="D249" s="10">
        <v>1658315</v>
      </c>
      <c r="E249" s="10" t="s">
        <v>680</v>
      </c>
      <c r="F249" s="10" t="s">
        <v>618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0" t="s">
        <v>863</v>
      </c>
      <c r="B250" s="39">
        <v>482.70001220703125</v>
      </c>
      <c r="C250" s="39">
        <v>347.828125</v>
      </c>
      <c r="D250" s="10">
        <v>2079991</v>
      </c>
      <c r="E250" s="10" t="s">
        <v>680</v>
      </c>
      <c r="F250" s="10" t="s">
        <v>618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0" t="s">
        <v>864</v>
      </c>
      <c r="B251" s="39">
        <v>488.89999389648438</v>
      </c>
      <c r="C251" s="39">
        <v>352.29571533203125</v>
      </c>
      <c r="D251" s="10">
        <v>1817123</v>
      </c>
      <c r="E251" s="10" t="s">
        <v>680</v>
      </c>
      <c r="F251" s="10" t="s">
        <v>618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0" t="s">
        <v>865</v>
      </c>
      <c r="B252" s="39">
        <v>488</v>
      </c>
      <c r="C252" s="39">
        <v>351.647216796875</v>
      </c>
      <c r="D252" s="10">
        <v>1203138</v>
      </c>
      <c r="E252" s="10" t="s">
        <v>680</v>
      </c>
      <c r="F252" s="10" t="s">
        <v>618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0" t="s">
        <v>866</v>
      </c>
      <c r="B253" s="39">
        <v>491.54998779296875</v>
      </c>
      <c r="C253" s="39">
        <v>354.205322265625</v>
      </c>
      <c r="D253" s="10">
        <v>1006546</v>
      </c>
      <c r="E253" s="10" t="s">
        <v>680</v>
      </c>
      <c r="F253" s="10" t="s">
        <v>618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0" t="s">
        <v>867</v>
      </c>
      <c r="B254" s="39">
        <v>500.60000610351563</v>
      </c>
      <c r="C254" s="39">
        <v>360.72662353515625</v>
      </c>
      <c r="D254" s="10">
        <v>1989140</v>
      </c>
      <c r="E254" s="10" t="s">
        <v>680</v>
      </c>
      <c r="F254" s="10" t="s">
        <v>618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0" t="s">
        <v>868</v>
      </c>
      <c r="B255" s="39">
        <v>488.10000610351563</v>
      </c>
      <c r="C255" s="39">
        <v>351.71926879882813</v>
      </c>
      <c r="D255" s="10">
        <v>2295824</v>
      </c>
      <c r="E255" s="10" t="s">
        <v>680</v>
      </c>
      <c r="F255" s="10" t="s">
        <v>618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0" t="s">
        <v>869</v>
      </c>
      <c r="B256" s="39">
        <v>469.75</v>
      </c>
      <c r="C256" s="39">
        <v>338.49649047851563</v>
      </c>
      <c r="D256" s="10">
        <v>3307502</v>
      </c>
      <c r="E256" s="10" t="s">
        <v>680</v>
      </c>
      <c r="F256" s="10" t="s">
        <v>618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0" t="s">
        <v>870</v>
      </c>
      <c r="B257" s="39">
        <v>473.45001220703125</v>
      </c>
      <c r="C257" s="39">
        <v>341.16262817382813</v>
      </c>
      <c r="D257" s="10">
        <v>1812454</v>
      </c>
      <c r="E257" s="10" t="s">
        <v>680</v>
      </c>
      <c r="F257" s="10" t="s">
        <v>618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0" t="s">
        <v>871</v>
      </c>
      <c r="B258" s="39">
        <v>473.5</v>
      </c>
      <c r="C258" s="39">
        <v>341.19869995117188</v>
      </c>
      <c r="D258" s="10">
        <v>1634891</v>
      </c>
      <c r="E258" s="10" t="s">
        <v>680</v>
      </c>
      <c r="F258" s="10" t="s">
        <v>618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0" t="s">
        <v>872</v>
      </c>
      <c r="B259" s="39">
        <v>474.04998779296875</v>
      </c>
      <c r="C259" s="39">
        <v>341.59500122070313</v>
      </c>
      <c r="D259" s="10">
        <v>2058634</v>
      </c>
      <c r="E259" s="10" t="s">
        <v>680</v>
      </c>
      <c r="F259" s="10" t="s">
        <v>618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0" t="s">
        <v>873</v>
      </c>
      <c r="B260" s="39">
        <v>481.20001220703125</v>
      </c>
      <c r="C260" s="39">
        <v>346.74716186523438</v>
      </c>
      <c r="D260" s="10">
        <v>1970093</v>
      </c>
      <c r="E260" s="10" t="s">
        <v>680</v>
      </c>
      <c r="F260" s="10" t="s">
        <v>618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0" t="s">
        <v>874</v>
      </c>
      <c r="B261" s="39">
        <v>488.5</v>
      </c>
      <c r="C261" s="39">
        <v>352.00750732421875</v>
      </c>
      <c r="D261" s="10">
        <v>2754723</v>
      </c>
      <c r="E261" s="10" t="s">
        <v>680</v>
      </c>
      <c r="F261" s="10" t="s">
        <v>618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0" t="s">
        <v>875</v>
      </c>
      <c r="B262" s="39">
        <v>487.14999389648438</v>
      </c>
      <c r="C262" s="39">
        <v>351.03469848632813</v>
      </c>
      <c r="D262" s="10">
        <v>1258527</v>
      </c>
      <c r="E262" s="10" t="s">
        <v>680</v>
      </c>
      <c r="F262" s="10" t="s">
        <v>618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0" t="s">
        <v>876</v>
      </c>
      <c r="B263" s="39">
        <v>486.75</v>
      </c>
      <c r="C263" s="39">
        <v>350.7464599609375</v>
      </c>
      <c r="D263" s="10">
        <v>1233813</v>
      </c>
      <c r="E263" s="10" t="s">
        <v>680</v>
      </c>
      <c r="F263" s="10" t="s">
        <v>618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0" t="s">
        <v>877</v>
      </c>
      <c r="B264" s="39">
        <v>483.64999389648438</v>
      </c>
      <c r="C264" s="39">
        <v>348.5125732421875</v>
      </c>
      <c r="D264" s="10">
        <v>1336551</v>
      </c>
      <c r="E264" s="10" t="s">
        <v>680</v>
      </c>
      <c r="F264" s="10" t="s">
        <v>618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0" t="s">
        <v>878</v>
      </c>
      <c r="B265" s="39">
        <v>481.39999389648438</v>
      </c>
      <c r="C265" s="39">
        <v>346.89132690429688</v>
      </c>
      <c r="D265" s="10">
        <v>1586512</v>
      </c>
      <c r="E265" s="10" t="s">
        <v>680</v>
      </c>
      <c r="F265" s="10" t="s">
        <v>618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0" t="s">
        <v>879</v>
      </c>
      <c r="B266" s="39">
        <v>468.64999389648438</v>
      </c>
      <c r="C266" s="39">
        <v>337.70376586914063</v>
      </c>
      <c r="D266" s="10">
        <v>1442119</v>
      </c>
      <c r="E266" s="10" t="s">
        <v>680</v>
      </c>
      <c r="F266" s="10" t="s">
        <v>618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0" t="s">
        <v>880</v>
      </c>
      <c r="B267" s="39">
        <v>469.70001220703125</v>
      </c>
      <c r="C267" s="39">
        <v>338.46044921875</v>
      </c>
      <c r="D267" s="10">
        <v>1400660</v>
      </c>
      <c r="E267" s="10" t="s">
        <v>680</v>
      </c>
      <c r="F267" s="10" t="s">
        <v>618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0" t="s">
        <v>881</v>
      </c>
      <c r="B268" s="39">
        <v>469.89999389648438</v>
      </c>
      <c r="C268" s="39">
        <v>338.60455322265625</v>
      </c>
      <c r="D268" s="10">
        <v>1255925</v>
      </c>
      <c r="E268" s="10" t="s">
        <v>680</v>
      </c>
      <c r="F268" s="10" t="s">
        <v>618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0" t="s">
        <v>882</v>
      </c>
      <c r="B269" s="39">
        <v>465.64999389648438</v>
      </c>
      <c r="C269" s="39">
        <v>335.54208374023438</v>
      </c>
      <c r="D269" s="10">
        <v>3368794</v>
      </c>
      <c r="E269" s="10" t="s">
        <v>680</v>
      </c>
      <c r="F269" s="10" t="s">
        <v>618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0" t="s">
        <v>883</v>
      </c>
      <c r="B270" s="39">
        <v>467.10000610351563</v>
      </c>
      <c r="C270" s="39">
        <v>336.5869140625</v>
      </c>
      <c r="D270" s="10">
        <v>1795089</v>
      </c>
      <c r="E270" s="10" t="s">
        <v>680</v>
      </c>
      <c r="F270" s="10" t="s">
        <v>618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0" t="s">
        <v>884</v>
      </c>
      <c r="B271" s="39">
        <v>471.60000610351563</v>
      </c>
      <c r="C271" s="39">
        <v>339.82952880859375</v>
      </c>
      <c r="D271" s="10">
        <v>3024028</v>
      </c>
      <c r="E271" s="10" t="s">
        <v>680</v>
      </c>
      <c r="F271" s="10" t="s">
        <v>618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0" t="s">
        <v>885</v>
      </c>
      <c r="B272" s="39">
        <v>452.20001220703125</v>
      </c>
      <c r="C272" s="39">
        <v>325.85012817382813</v>
      </c>
      <c r="D272" s="10">
        <v>7804620</v>
      </c>
      <c r="E272" s="10" t="s">
        <v>680</v>
      </c>
      <c r="F272" s="10" t="s">
        <v>618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0" t="s">
        <v>886</v>
      </c>
      <c r="B273" s="39">
        <v>449.70001220703125</v>
      </c>
      <c r="C273" s="39">
        <v>324.04861450195313</v>
      </c>
      <c r="D273" s="10">
        <v>4061099</v>
      </c>
      <c r="E273" s="10" t="s">
        <v>680</v>
      </c>
      <c r="F273" s="10" t="s">
        <v>618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0" t="s">
        <v>887</v>
      </c>
      <c r="B274" s="39">
        <v>461.10000610351563</v>
      </c>
      <c r="C274" s="39">
        <v>332.26336669921875</v>
      </c>
      <c r="D274" s="10">
        <v>3771089</v>
      </c>
      <c r="E274" s="10" t="s">
        <v>680</v>
      </c>
      <c r="F274" s="10" t="s">
        <v>618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0" t="s">
        <v>888</v>
      </c>
      <c r="B275" s="39">
        <v>480.45001220703125</v>
      </c>
      <c r="C275" s="39">
        <v>346.20672607421875</v>
      </c>
      <c r="D275" s="10">
        <v>2677019</v>
      </c>
      <c r="E275" s="10" t="s">
        <v>680</v>
      </c>
      <c r="F275" s="10" t="s">
        <v>618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0" t="s">
        <v>889</v>
      </c>
      <c r="B276" s="39">
        <v>477.5</v>
      </c>
      <c r="C276" s="39">
        <v>344.08102416992188</v>
      </c>
      <c r="D276" s="10">
        <v>2105323</v>
      </c>
      <c r="E276" s="10" t="s">
        <v>680</v>
      </c>
      <c r="F276" s="10" t="s">
        <v>618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0" t="s">
        <v>890</v>
      </c>
      <c r="B277" s="39">
        <v>470.85000610351563</v>
      </c>
      <c r="C277" s="39">
        <v>339.28909301757813</v>
      </c>
      <c r="D277" s="10">
        <v>1794349</v>
      </c>
      <c r="E277" s="10" t="s">
        <v>680</v>
      </c>
      <c r="F277" s="10" t="s">
        <v>618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0" t="s">
        <v>891</v>
      </c>
      <c r="B278" s="39">
        <v>474.60000610351563</v>
      </c>
      <c r="C278" s="39">
        <v>341.9913330078125</v>
      </c>
      <c r="D278" s="10">
        <v>1754215</v>
      </c>
      <c r="E278" s="10" t="s">
        <v>680</v>
      </c>
      <c r="F278" s="10" t="s">
        <v>618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0" t="s">
        <v>892</v>
      </c>
      <c r="B279" s="39">
        <v>485</v>
      </c>
      <c r="C279" s="39">
        <v>349.4854736328125</v>
      </c>
      <c r="D279" s="10">
        <v>3013021</v>
      </c>
      <c r="E279" s="10" t="s">
        <v>680</v>
      </c>
      <c r="F279" s="10" t="s">
        <v>618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0" t="s">
        <v>893</v>
      </c>
      <c r="B280" s="39">
        <v>499.89999389648438</v>
      </c>
      <c r="C280" s="39">
        <v>360.22222900390625</v>
      </c>
      <c r="D280" s="10">
        <v>7225481</v>
      </c>
      <c r="E280" s="10" t="s">
        <v>680</v>
      </c>
      <c r="F280" s="10" t="s">
        <v>618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0" t="s">
        <v>894</v>
      </c>
      <c r="B281" s="39">
        <v>499.64999389648438</v>
      </c>
      <c r="C281" s="39">
        <v>360.04208374023438</v>
      </c>
      <c r="D281" s="10">
        <v>1903851</v>
      </c>
      <c r="E281" s="10" t="s">
        <v>680</v>
      </c>
      <c r="F281" s="10" t="s">
        <v>618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0" t="s">
        <v>895</v>
      </c>
      <c r="B282" s="39">
        <v>504.60000610351563</v>
      </c>
      <c r="C282" s="39">
        <v>363.60897827148438</v>
      </c>
      <c r="D282" s="10">
        <v>2664728</v>
      </c>
      <c r="E282" s="10" t="s">
        <v>680</v>
      </c>
      <c r="F282" s="10" t="s">
        <v>618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0" t="s">
        <v>896</v>
      </c>
      <c r="B283" s="39">
        <v>495.64999389648438</v>
      </c>
      <c r="C283" s="39">
        <v>357.15972900390625</v>
      </c>
      <c r="D283" s="10">
        <v>2584154</v>
      </c>
      <c r="E283" s="10" t="s">
        <v>680</v>
      </c>
      <c r="F283" s="10" t="s">
        <v>618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0" t="s">
        <v>897</v>
      </c>
      <c r="B284" s="39">
        <v>504.5</v>
      </c>
      <c r="C284" s="39">
        <v>363.53695678710938</v>
      </c>
      <c r="D284" s="10">
        <v>2591411</v>
      </c>
      <c r="E284" s="10" t="s">
        <v>680</v>
      </c>
      <c r="F284" s="10" t="s">
        <v>618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0" t="s">
        <v>898</v>
      </c>
      <c r="B285" s="39">
        <v>503.5</v>
      </c>
      <c r="C285" s="39">
        <v>362.81634521484375</v>
      </c>
      <c r="D285" s="10">
        <v>1688519</v>
      </c>
      <c r="E285" s="10" t="s">
        <v>680</v>
      </c>
      <c r="F285" s="10" t="s">
        <v>618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0" t="s">
        <v>899</v>
      </c>
      <c r="B286" s="39">
        <v>499.95001220703125</v>
      </c>
      <c r="C286" s="39">
        <v>360.2581787109375</v>
      </c>
      <c r="D286" s="10">
        <v>2610984</v>
      </c>
      <c r="E286" s="10" t="s">
        <v>680</v>
      </c>
      <c r="F286" s="10" t="s">
        <v>618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0" t="s">
        <v>900</v>
      </c>
      <c r="B287" s="39">
        <v>507.89999389648438</v>
      </c>
      <c r="C287" s="39">
        <v>365.98690795898438</v>
      </c>
      <c r="D287" s="10">
        <v>3268863</v>
      </c>
      <c r="E287" s="10" t="s">
        <v>680</v>
      </c>
      <c r="F287" s="10" t="s">
        <v>618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0" t="s">
        <v>901</v>
      </c>
      <c r="B288" s="39">
        <v>507.95001220703125</v>
      </c>
      <c r="C288" s="39">
        <v>366.02301025390625</v>
      </c>
      <c r="D288" s="10">
        <v>3036464</v>
      </c>
      <c r="E288" s="10" t="s">
        <v>680</v>
      </c>
      <c r="F288" s="10" t="s">
        <v>618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0" t="s">
        <v>902</v>
      </c>
      <c r="B289" s="39">
        <v>503.64999389648438</v>
      </c>
      <c r="C289" s="39">
        <v>362.92446899414063</v>
      </c>
      <c r="D289" s="10">
        <v>5868525</v>
      </c>
      <c r="E289" s="10" t="s">
        <v>680</v>
      </c>
      <c r="F289" s="10" t="s">
        <v>618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0" t="s">
        <v>903</v>
      </c>
      <c r="B290" s="39">
        <v>499.79998779296875</v>
      </c>
      <c r="C290" s="39">
        <v>360.15020751953125</v>
      </c>
      <c r="D290" s="10">
        <v>2250245</v>
      </c>
      <c r="E290" s="10" t="s">
        <v>680</v>
      </c>
      <c r="F290" s="10" t="s">
        <v>618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0" t="s">
        <v>904</v>
      </c>
      <c r="B291" s="39">
        <v>499.39999389648438</v>
      </c>
      <c r="C291" s="39">
        <v>359.86187744140625</v>
      </c>
      <c r="D291" s="10">
        <v>31171453</v>
      </c>
      <c r="E291" s="10" t="s">
        <v>680</v>
      </c>
      <c r="F291" s="10" t="s">
        <v>618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0" t="s">
        <v>905</v>
      </c>
      <c r="B292" s="39">
        <v>499.75</v>
      </c>
      <c r="C292" s="39">
        <v>360.11410522460938</v>
      </c>
      <c r="D292" s="10">
        <v>1979476</v>
      </c>
      <c r="E292" s="10" t="s">
        <v>680</v>
      </c>
      <c r="F292" s="10" t="s">
        <v>618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0" t="s">
        <v>906</v>
      </c>
      <c r="B293" s="39">
        <v>499.89999389648438</v>
      </c>
      <c r="C293" s="39">
        <v>360.22222900390625</v>
      </c>
      <c r="D293" s="10">
        <v>2392413</v>
      </c>
      <c r="E293" s="10" t="s">
        <v>680</v>
      </c>
      <c r="F293" s="10" t="s">
        <v>618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0" t="s">
        <v>907</v>
      </c>
      <c r="B294" s="39">
        <v>503.70001220703125</v>
      </c>
      <c r="C294" s="39">
        <v>362.96044921875</v>
      </c>
      <c r="D294" s="10">
        <v>2136886</v>
      </c>
      <c r="E294" s="10" t="s">
        <v>680</v>
      </c>
      <c r="F294" s="10" t="s">
        <v>618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0" t="s">
        <v>908</v>
      </c>
      <c r="B295" s="39">
        <v>499.95001220703125</v>
      </c>
      <c r="C295" s="39">
        <v>360.2581787109375</v>
      </c>
      <c r="D295" s="10">
        <v>1234125</v>
      </c>
      <c r="E295" s="10" t="s">
        <v>680</v>
      </c>
      <c r="F295" s="10" t="s">
        <v>618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0" t="s">
        <v>909</v>
      </c>
      <c r="B296" s="39">
        <v>499.95001220703125</v>
      </c>
      <c r="C296" s="39">
        <v>360.2581787109375</v>
      </c>
      <c r="D296" s="10">
        <v>3221133</v>
      </c>
      <c r="E296" s="10" t="s">
        <v>680</v>
      </c>
      <c r="F296" s="10" t="s">
        <v>618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0" t="s">
        <v>910</v>
      </c>
      <c r="B297" s="39">
        <v>491.89999389648438</v>
      </c>
      <c r="C297" s="39">
        <v>354.45751953125</v>
      </c>
      <c r="D297" s="10">
        <v>1430424</v>
      </c>
      <c r="E297" s="10" t="s">
        <v>680</v>
      </c>
      <c r="F297" s="10" t="s">
        <v>618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0" t="s">
        <v>911</v>
      </c>
      <c r="B298" s="39">
        <v>488.95001220703125</v>
      </c>
      <c r="C298" s="39">
        <v>352.33175659179688</v>
      </c>
      <c r="D298" s="10">
        <v>1752351</v>
      </c>
      <c r="E298" s="10" t="s">
        <v>680</v>
      </c>
      <c r="F298" s="10" t="s">
        <v>618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0" t="s">
        <v>912</v>
      </c>
      <c r="B299" s="39">
        <v>475.79998779296875</v>
      </c>
      <c r="C299" s="39">
        <v>342.85598754882813</v>
      </c>
      <c r="D299" s="10">
        <v>3875776</v>
      </c>
      <c r="E299" s="10" t="s">
        <v>680</v>
      </c>
      <c r="F299" s="10" t="s">
        <v>618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0" t="s">
        <v>913</v>
      </c>
      <c r="B300" s="39">
        <v>479.85000610351563</v>
      </c>
      <c r="C300" s="39">
        <v>345.7744140625</v>
      </c>
      <c r="D300" s="10">
        <v>4483127</v>
      </c>
      <c r="E300" s="10" t="s">
        <v>680</v>
      </c>
      <c r="F300" s="10" t="s">
        <v>618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>
      <c r="A301" s="38" t="s">
        <v>914</v>
      </c>
      <c r="B301" s="40">
        <v>479.64999389648438</v>
      </c>
      <c r="C301" s="40">
        <v>345.63031005859375</v>
      </c>
      <c r="D301" s="38">
        <v>3941570</v>
      </c>
      <c r="E301" s="38" t="s">
        <v>680</v>
      </c>
      <c r="F301" s="38" t="s">
        <v>618</v>
      </c>
    </row>
    <row r="302" spans="1:46">
      <c r="A302" s="38" t="s">
        <v>915</v>
      </c>
      <c r="B302" s="40">
        <v>481.10000610351563</v>
      </c>
      <c r="C302" s="40">
        <v>346.67514038085938</v>
      </c>
      <c r="D302" s="38">
        <v>4191349</v>
      </c>
      <c r="E302" s="38" t="s">
        <v>680</v>
      </c>
      <c r="F302" s="38" t="s">
        <v>618</v>
      </c>
    </row>
    <row r="303" spans="1:46">
      <c r="A303" s="38" t="s">
        <v>916</v>
      </c>
      <c r="B303" s="40">
        <v>484.25</v>
      </c>
      <c r="C303" s="40">
        <v>348.94503784179688</v>
      </c>
      <c r="D303" s="38">
        <v>5857451</v>
      </c>
      <c r="E303" s="38" t="s">
        <v>680</v>
      </c>
      <c r="F303" s="38" t="s">
        <v>618</v>
      </c>
    </row>
    <row r="304" spans="1:46">
      <c r="A304" s="38" t="s">
        <v>917</v>
      </c>
      <c r="B304" s="40">
        <v>481.89999389648438</v>
      </c>
      <c r="C304" s="40">
        <v>347.25161743164063</v>
      </c>
      <c r="D304" s="38">
        <v>3734239</v>
      </c>
      <c r="E304" s="38" t="s">
        <v>680</v>
      </c>
      <c r="F304" s="38" t="s">
        <v>618</v>
      </c>
    </row>
    <row r="305" spans="1:6">
      <c r="A305" s="38" t="s">
        <v>918</v>
      </c>
      <c r="B305" s="40">
        <v>476.95001220703125</v>
      </c>
      <c r="C305" s="40">
        <v>343.6846923828125</v>
      </c>
      <c r="D305" s="38">
        <v>4422809</v>
      </c>
      <c r="E305" s="38" t="s">
        <v>680</v>
      </c>
      <c r="F305" s="38" t="s">
        <v>618</v>
      </c>
    </row>
    <row r="306" spans="1:6">
      <c r="A306" s="38" t="s">
        <v>919</v>
      </c>
      <c r="B306" s="40">
        <v>475.39999389648438</v>
      </c>
      <c r="C306" s="40">
        <v>342.56777954101563</v>
      </c>
      <c r="D306" s="38">
        <v>2797599</v>
      </c>
      <c r="E306" s="38" t="s">
        <v>680</v>
      </c>
      <c r="F306" s="38" t="s">
        <v>618</v>
      </c>
    </row>
    <row r="307" spans="1:6">
      <c r="A307" s="38" t="s">
        <v>920</v>
      </c>
      <c r="B307" s="40">
        <v>482.14999389648438</v>
      </c>
      <c r="C307" s="40">
        <v>347.43179321289063</v>
      </c>
      <c r="D307" s="38">
        <v>3259747</v>
      </c>
      <c r="E307" s="38" t="s">
        <v>680</v>
      </c>
      <c r="F307" s="38" t="s">
        <v>618</v>
      </c>
    </row>
    <row r="308" spans="1:6">
      <c r="A308" s="38" t="s">
        <v>921</v>
      </c>
      <c r="B308" s="40">
        <v>474.14999389648438</v>
      </c>
      <c r="C308" s="40">
        <v>341.6671142578125</v>
      </c>
      <c r="D308" s="38">
        <v>2203312</v>
      </c>
      <c r="E308" s="38" t="s">
        <v>680</v>
      </c>
      <c r="F308" s="38" t="s">
        <v>618</v>
      </c>
    </row>
    <row r="309" spans="1:6">
      <c r="A309" s="38" t="s">
        <v>922</v>
      </c>
      <c r="B309" s="40">
        <v>468.79998779296875</v>
      </c>
      <c r="C309" s="40">
        <v>337.8118896484375</v>
      </c>
      <c r="D309" s="38">
        <v>2457180</v>
      </c>
      <c r="E309" s="38" t="s">
        <v>680</v>
      </c>
      <c r="F309" s="38" t="s">
        <v>618</v>
      </c>
    </row>
    <row r="310" spans="1:6">
      <c r="A310" s="38" t="s">
        <v>923</v>
      </c>
      <c r="B310" s="40">
        <v>455.70001220703125</v>
      </c>
      <c r="C310" s="40">
        <v>328.37222290039063</v>
      </c>
      <c r="D310" s="38">
        <v>5722292</v>
      </c>
      <c r="E310" s="38" t="s">
        <v>680</v>
      </c>
      <c r="F310" s="38" t="s">
        <v>618</v>
      </c>
    </row>
    <row r="311" spans="1:6">
      <c r="A311" s="38" t="s">
        <v>924</v>
      </c>
      <c r="B311" s="40">
        <v>458.25</v>
      </c>
      <c r="C311" s="40">
        <v>330.209716796875</v>
      </c>
      <c r="D311" s="38">
        <v>3227158</v>
      </c>
      <c r="E311" s="38" t="s">
        <v>680</v>
      </c>
      <c r="F311" s="38" t="s">
        <v>618</v>
      </c>
    </row>
    <row r="312" spans="1:6">
      <c r="A312" s="38" t="s">
        <v>925</v>
      </c>
      <c r="B312" s="40">
        <v>461.20001220703125</v>
      </c>
      <c r="C312" s="40">
        <v>332.33554077148438</v>
      </c>
      <c r="D312" s="38">
        <v>4028816</v>
      </c>
      <c r="E312" s="38" t="s">
        <v>680</v>
      </c>
      <c r="F312" s="38" t="s">
        <v>618</v>
      </c>
    </row>
    <row r="313" spans="1:6">
      <c r="A313" s="38" t="s">
        <v>926</v>
      </c>
      <c r="B313" s="40">
        <v>459.14999389648438</v>
      </c>
      <c r="C313" s="40">
        <v>330.858154296875</v>
      </c>
      <c r="D313" s="38">
        <v>2581903</v>
      </c>
      <c r="E313" s="38" t="s">
        <v>680</v>
      </c>
      <c r="F313" s="38" t="s">
        <v>618</v>
      </c>
    </row>
    <row r="314" spans="1:6">
      <c r="A314" s="38" t="s">
        <v>927</v>
      </c>
      <c r="B314" s="40">
        <v>453.10000610351563</v>
      </c>
      <c r="C314" s="40">
        <v>326.49862670898438</v>
      </c>
      <c r="D314" s="38">
        <v>1914496</v>
      </c>
      <c r="E314" s="38" t="s">
        <v>928</v>
      </c>
      <c r="F314" s="38" t="s">
        <v>618</v>
      </c>
    </row>
    <row r="315" spans="1:6">
      <c r="A315" s="38" t="s">
        <v>929</v>
      </c>
      <c r="B315" s="40">
        <v>446.95001220703125</v>
      </c>
      <c r="C315" s="40">
        <v>322.067138671875</v>
      </c>
      <c r="D315" s="38">
        <v>2902998</v>
      </c>
      <c r="E315" s="38" t="s">
        <v>928</v>
      </c>
      <c r="F315" s="38" t="s">
        <v>618</v>
      </c>
    </row>
    <row r="316" spans="1:6">
      <c r="A316" s="38" t="s">
        <v>930</v>
      </c>
      <c r="B316" s="40">
        <v>446.89999389648438</v>
      </c>
      <c r="C316" s="40">
        <v>322.03103637695313</v>
      </c>
      <c r="D316" s="38">
        <v>1926091</v>
      </c>
      <c r="E316" s="38" t="s">
        <v>928</v>
      </c>
      <c r="F316" s="38" t="s">
        <v>618</v>
      </c>
    </row>
    <row r="317" spans="1:6">
      <c r="A317" s="38" t="s">
        <v>931</v>
      </c>
      <c r="B317" s="40">
        <v>443.20001220703125</v>
      </c>
      <c r="C317" s="40">
        <v>319.36483764648438</v>
      </c>
      <c r="D317" s="38">
        <v>3125291</v>
      </c>
      <c r="E317" s="38" t="s">
        <v>928</v>
      </c>
      <c r="F317" s="38" t="s">
        <v>618</v>
      </c>
    </row>
    <row r="318" spans="1:6">
      <c r="A318" s="38" t="s">
        <v>932</v>
      </c>
      <c r="B318" s="40">
        <v>443.04998779296875</v>
      </c>
      <c r="C318" s="40">
        <v>319.25674438476563</v>
      </c>
      <c r="D318" s="38">
        <v>2111378</v>
      </c>
      <c r="E318" s="38" t="s">
        <v>928</v>
      </c>
      <c r="F318" s="38" t="s">
        <v>618</v>
      </c>
    </row>
    <row r="319" spans="1:6">
      <c r="A319" s="38" t="s">
        <v>933</v>
      </c>
      <c r="B319" s="40">
        <v>445.20001220703125</v>
      </c>
      <c r="C319" s="40">
        <v>320.80596923828125</v>
      </c>
      <c r="D319" s="38">
        <v>1861086</v>
      </c>
      <c r="E319" s="38" t="s">
        <v>928</v>
      </c>
      <c r="F319" s="38" t="s">
        <v>618</v>
      </c>
    </row>
    <row r="320" spans="1:6">
      <c r="A320" s="38" t="s">
        <v>934</v>
      </c>
      <c r="B320" s="40">
        <v>437.64999389648438</v>
      </c>
      <c r="C320" s="40">
        <v>315.36553955078125</v>
      </c>
      <c r="D320" s="38">
        <v>1728894</v>
      </c>
      <c r="E320" s="38" t="s">
        <v>928</v>
      </c>
      <c r="F320" s="38" t="s">
        <v>618</v>
      </c>
    </row>
    <row r="321" spans="1:6">
      <c r="A321" s="38" t="s">
        <v>935</v>
      </c>
      <c r="B321" s="40">
        <v>429.95001220703125</v>
      </c>
      <c r="C321" s="40">
        <v>309.8170166015625</v>
      </c>
      <c r="D321" s="38">
        <v>1543616</v>
      </c>
      <c r="E321" s="38" t="s">
        <v>928</v>
      </c>
      <c r="F321" s="38" t="s">
        <v>618</v>
      </c>
    </row>
    <row r="322" spans="1:6">
      <c r="A322" s="38" t="s">
        <v>936</v>
      </c>
      <c r="B322" s="40">
        <v>421.95001220703125</v>
      </c>
      <c r="C322" s="40">
        <v>304.05230712890625</v>
      </c>
      <c r="D322" s="38">
        <v>2595117</v>
      </c>
      <c r="E322" s="38" t="s">
        <v>928</v>
      </c>
      <c r="F322" s="38" t="s">
        <v>618</v>
      </c>
    </row>
    <row r="323" spans="1:6">
      <c r="A323" s="38" t="s">
        <v>937</v>
      </c>
      <c r="B323" s="40">
        <v>418.89999389648438</v>
      </c>
      <c r="C323" s="40">
        <v>301.8544921875</v>
      </c>
      <c r="D323" s="38">
        <v>2338492</v>
      </c>
      <c r="E323" s="38" t="s">
        <v>928</v>
      </c>
      <c r="F323" s="38" t="s">
        <v>618</v>
      </c>
    </row>
    <row r="324" spans="1:6">
      <c r="A324" s="38" t="s">
        <v>938</v>
      </c>
      <c r="B324" s="40">
        <v>414.29998779296875</v>
      </c>
      <c r="C324" s="40">
        <v>298.53976440429688</v>
      </c>
      <c r="D324" s="38">
        <v>2638642</v>
      </c>
      <c r="E324" s="38" t="s">
        <v>928</v>
      </c>
      <c r="F324" s="38" t="s">
        <v>618</v>
      </c>
    </row>
    <row r="325" spans="1:6">
      <c r="A325" s="38" t="s">
        <v>939</v>
      </c>
      <c r="B325" s="40">
        <v>420.5</v>
      </c>
      <c r="C325" s="40">
        <v>303.00747680664063</v>
      </c>
      <c r="D325" s="38">
        <v>2818261</v>
      </c>
      <c r="E325" s="38" t="s">
        <v>928</v>
      </c>
      <c r="F325" s="38" t="s">
        <v>618</v>
      </c>
    </row>
    <row r="326" spans="1:6">
      <c r="A326" s="38" t="s">
        <v>940</v>
      </c>
      <c r="B326" s="40">
        <v>427.64999389648438</v>
      </c>
      <c r="C326" s="40">
        <v>308.15972900390625</v>
      </c>
      <c r="D326" s="38">
        <v>2668714</v>
      </c>
      <c r="E326" s="38" t="s">
        <v>928</v>
      </c>
      <c r="F326" s="38" t="s">
        <v>618</v>
      </c>
    </row>
    <row r="327" spans="1:6">
      <c r="A327" s="38" t="s">
        <v>941</v>
      </c>
      <c r="B327" s="40">
        <v>429.25</v>
      </c>
      <c r="C327" s="40">
        <v>309.3126220703125</v>
      </c>
      <c r="D327" s="38">
        <v>1709076</v>
      </c>
      <c r="E327" s="38" t="s">
        <v>928</v>
      </c>
      <c r="F327" s="38" t="s">
        <v>618</v>
      </c>
    </row>
    <row r="328" spans="1:6">
      <c r="A328" s="38" t="s">
        <v>942</v>
      </c>
      <c r="B328" s="40">
        <v>438.14999389648438</v>
      </c>
      <c r="C328" s="40">
        <v>315.72589111328125</v>
      </c>
      <c r="D328" s="38">
        <v>2575089</v>
      </c>
      <c r="E328" s="38" t="s">
        <v>928</v>
      </c>
      <c r="F328" s="38" t="s">
        <v>618</v>
      </c>
    </row>
    <row r="329" spans="1:6">
      <c r="A329" s="38" t="s">
        <v>943</v>
      </c>
      <c r="B329" s="40">
        <v>427.04998779296875</v>
      </c>
      <c r="C329" s="40">
        <v>307.72732543945313</v>
      </c>
      <c r="D329" s="38">
        <v>3721058</v>
      </c>
      <c r="E329" s="38" t="s">
        <v>928</v>
      </c>
      <c r="F329" s="38" t="s">
        <v>618</v>
      </c>
    </row>
    <row r="330" spans="1:6">
      <c r="A330" s="38" t="s">
        <v>944</v>
      </c>
      <c r="B330" s="40">
        <v>424.95001220703125</v>
      </c>
      <c r="C330" s="40">
        <v>306.21408081054688</v>
      </c>
      <c r="D330" s="38">
        <v>1450414</v>
      </c>
      <c r="E330" s="38" t="s">
        <v>928</v>
      </c>
      <c r="F330" s="38" t="s">
        <v>618</v>
      </c>
    </row>
    <row r="331" spans="1:6">
      <c r="A331" s="38" t="s">
        <v>945</v>
      </c>
      <c r="B331" s="40">
        <v>416.95001220703125</v>
      </c>
      <c r="C331" s="40">
        <v>300.44937133789063</v>
      </c>
      <c r="D331" s="38">
        <v>1945081</v>
      </c>
      <c r="E331" s="38" t="s">
        <v>928</v>
      </c>
      <c r="F331" s="38" t="s">
        <v>618</v>
      </c>
    </row>
    <row r="332" spans="1:6">
      <c r="A332" s="38" t="s">
        <v>946</v>
      </c>
      <c r="B332" s="40">
        <v>418.14999389648438</v>
      </c>
      <c r="C332" s="40">
        <v>301.31405639648438</v>
      </c>
      <c r="D332" s="38">
        <v>1568455</v>
      </c>
      <c r="E332" s="38" t="s">
        <v>928</v>
      </c>
      <c r="F332" s="38" t="s">
        <v>618</v>
      </c>
    </row>
    <row r="333" spans="1:6">
      <c r="A333" s="38" t="s">
        <v>947</v>
      </c>
      <c r="B333" s="40">
        <v>419.85000610351563</v>
      </c>
      <c r="C333" s="40">
        <v>302.53912353515625</v>
      </c>
      <c r="D333" s="38">
        <v>1746287</v>
      </c>
      <c r="E333" s="38" t="s">
        <v>928</v>
      </c>
      <c r="F333" s="38" t="s">
        <v>618</v>
      </c>
    </row>
    <row r="334" spans="1:6">
      <c r="A334" s="38" t="s">
        <v>948</v>
      </c>
      <c r="B334" s="40">
        <v>419.10000610351563</v>
      </c>
      <c r="C334" s="40">
        <v>301.9986572265625</v>
      </c>
      <c r="D334" s="38">
        <v>1009112</v>
      </c>
      <c r="E334" s="38" t="s">
        <v>928</v>
      </c>
      <c r="F334" s="38" t="s">
        <v>618</v>
      </c>
    </row>
    <row r="335" spans="1:6">
      <c r="A335" s="38" t="s">
        <v>949</v>
      </c>
      <c r="B335" s="40">
        <v>413</v>
      </c>
      <c r="C335" s="40">
        <v>297.60311889648438</v>
      </c>
      <c r="D335" s="38">
        <v>1541496</v>
      </c>
      <c r="E335" s="38" t="s">
        <v>928</v>
      </c>
      <c r="F335" s="38" t="s">
        <v>618</v>
      </c>
    </row>
    <row r="336" spans="1:6">
      <c r="A336" s="38" t="s">
        <v>950</v>
      </c>
      <c r="B336" s="40">
        <v>421.14999389648438</v>
      </c>
      <c r="C336" s="40">
        <v>303.47576904296875</v>
      </c>
      <c r="D336" s="38">
        <v>1938018</v>
      </c>
      <c r="E336" s="38" t="s">
        <v>928</v>
      </c>
      <c r="F336" s="38" t="s">
        <v>618</v>
      </c>
    </row>
    <row r="337" spans="1:6">
      <c r="A337" s="38" t="s">
        <v>951</v>
      </c>
      <c r="B337" s="40">
        <v>426.20001220703125</v>
      </c>
      <c r="C337" s="40">
        <v>307.11483764648438</v>
      </c>
      <c r="D337" s="38">
        <v>4402442</v>
      </c>
      <c r="E337" s="38" t="s">
        <v>928</v>
      </c>
      <c r="F337" s="38" t="s">
        <v>618</v>
      </c>
    </row>
    <row r="338" spans="1:6">
      <c r="A338" s="38" t="s">
        <v>952</v>
      </c>
      <c r="B338" s="40">
        <v>430.39999389648438</v>
      </c>
      <c r="C338" s="40">
        <v>310.14132690429688</v>
      </c>
      <c r="D338" s="38">
        <v>2018816</v>
      </c>
      <c r="E338" s="38" t="s">
        <v>928</v>
      </c>
      <c r="F338" s="38" t="s">
        <v>618</v>
      </c>
    </row>
    <row r="339" spans="1:6">
      <c r="A339" s="38" t="s">
        <v>953</v>
      </c>
      <c r="B339" s="40">
        <v>434.75</v>
      </c>
      <c r="C339" s="40">
        <v>313.27593994140625</v>
      </c>
      <c r="D339" s="38">
        <v>2060011</v>
      </c>
      <c r="E339" s="38" t="s">
        <v>928</v>
      </c>
      <c r="F339" s="38" t="s">
        <v>618</v>
      </c>
    </row>
    <row r="340" spans="1:6">
      <c r="A340" s="38" t="s">
        <v>954</v>
      </c>
      <c r="B340" s="40">
        <v>442.25</v>
      </c>
      <c r="C340" s="40">
        <v>318.68026733398438</v>
      </c>
      <c r="D340" s="38">
        <v>2696277</v>
      </c>
      <c r="E340" s="38" t="s">
        <v>928</v>
      </c>
      <c r="F340" s="38" t="s">
        <v>618</v>
      </c>
    </row>
    <row r="341" spans="1:6">
      <c r="A341" s="38" t="s">
        <v>955</v>
      </c>
      <c r="B341" s="40">
        <v>442.60000610351563</v>
      </c>
      <c r="C341" s="40">
        <v>318.9324951171875</v>
      </c>
      <c r="D341" s="38">
        <v>1080719</v>
      </c>
      <c r="E341" s="38" t="s">
        <v>928</v>
      </c>
      <c r="F341" s="38" t="s">
        <v>618</v>
      </c>
    </row>
    <row r="342" spans="1:6">
      <c r="A342" s="38" t="s">
        <v>956</v>
      </c>
      <c r="B342" s="40">
        <v>443.75</v>
      </c>
      <c r="C342" s="40">
        <v>319.76123046875</v>
      </c>
      <c r="D342" s="38">
        <v>1820495</v>
      </c>
      <c r="E342" s="38" t="s">
        <v>928</v>
      </c>
      <c r="F342" s="38" t="s">
        <v>618</v>
      </c>
    </row>
    <row r="343" spans="1:6">
      <c r="A343" s="38" t="s">
        <v>957</v>
      </c>
      <c r="B343" s="40">
        <v>430.85000610351563</v>
      </c>
      <c r="C343" s="40">
        <v>310.46554565429688</v>
      </c>
      <c r="D343" s="38">
        <v>1754010</v>
      </c>
      <c r="E343" s="38" t="s">
        <v>928</v>
      </c>
      <c r="F343" s="38" t="s">
        <v>618</v>
      </c>
    </row>
    <row r="344" spans="1:6">
      <c r="A344" s="38" t="s">
        <v>958</v>
      </c>
      <c r="B344" s="40">
        <v>422.29998779296875</v>
      </c>
      <c r="C344" s="40">
        <v>304.3045654296875</v>
      </c>
      <c r="D344" s="38">
        <v>3934861</v>
      </c>
      <c r="E344" s="38" t="s">
        <v>928</v>
      </c>
      <c r="F344" s="38" t="s">
        <v>618</v>
      </c>
    </row>
    <row r="345" spans="1:6">
      <c r="A345" s="38" t="s">
        <v>959</v>
      </c>
      <c r="B345" s="40">
        <v>416.14999389648438</v>
      </c>
      <c r="C345" s="40">
        <v>299.87286376953125</v>
      </c>
      <c r="D345" s="38">
        <v>2194511</v>
      </c>
      <c r="E345" s="38" t="s">
        <v>928</v>
      </c>
      <c r="F345" s="38" t="s">
        <v>618</v>
      </c>
    </row>
    <row r="346" spans="1:6">
      <c r="A346" s="38" t="s">
        <v>960</v>
      </c>
      <c r="B346" s="40">
        <v>412.35000610351563</v>
      </c>
      <c r="C346" s="40">
        <v>297.13473510742188</v>
      </c>
      <c r="D346" s="38">
        <v>2734184</v>
      </c>
      <c r="E346" s="38" t="s">
        <v>928</v>
      </c>
      <c r="F346" s="38" t="s">
        <v>618</v>
      </c>
    </row>
    <row r="347" spans="1:6">
      <c r="A347" s="38" t="s">
        <v>961</v>
      </c>
      <c r="B347" s="40">
        <v>415.75</v>
      </c>
      <c r="C347" s="40">
        <v>299.58465576171875</v>
      </c>
      <c r="D347" s="38">
        <v>4828731</v>
      </c>
      <c r="E347" s="38" t="s">
        <v>928</v>
      </c>
      <c r="F347" s="38" t="s">
        <v>618</v>
      </c>
    </row>
    <row r="348" spans="1:6">
      <c r="A348" s="38" t="s">
        <v>962</v>
      </c>
      <c r="B348" s="40">
        <v>417.14999389648438</v>
      </c>
      <c r="C348" s="40">
        <v>300.59353637695313</v>
      </c>
      <c r="D348" s="38">
        <v>2039655</v>
      </c>
      <c r="E348" s="38" t="s">
        <v>928</v>
      </c>
      <c r="F348" s="38" t="s">
        <v>618</v>
      </c>
    </row>
    <row r="349" spans="1:6">
      <c r="A349" s="38" t="s">
        <v>963</v>
      </c>
      <c r="B349" s="40">
        <v>426</v>
      </c>
      <c r="C349" s="40">
        <v>306.97064208984375</v>
      </c>
      <c r="D349" s="38">
        <v>3098044</v>
      </c>
      <c r="E349" s="38" t="s">
        <v>928</v>
      </c>
      <c r="F349" s="38" t="s">
        <v>618</v>
      </c>
    </row>
    <row r="350" spans="1:6">
      <c r="A350" s="38" t="s">
        <v>964</v>
      </c>
      <c r="B350" s="40">
        <v>429.14999389648438</v>
      </c>
      <c r="C350" s="40">
        <v>309.24057006835938</v>
      </c>
      <c r="D350" s="38">
        <v>2257516</v>
      </c>
      <c r="E350" s="38" t="s">
        <v>928</v>
      </c>
      <c r="F350" s="38" t="s">
        <v>618</v>
      </c>
    </row>
    <row r="351" spans="1:6">
      <c r="A351" s="38" t="s">
        <v>965</v>
      </c>
      <c r="B351" s="40">
        <v>379.45001220703125</v>
      </c>
      <c r="C351" s="40">
        <v>273.4273681640625</v>
      </c>
      <c r="D351" s="38">
        <v>17135931</v>
      </c>
      <c r="E351" s="38" t="s">
        <v>928</v>
      </c>
      <c r="F351" s="38" t="s">
        <v>618</v>
      </c>
    </row>
    <row r="352" spans="1:6">
      <c r="A352" s="38" t="s">
        <v>966</v>
      </c>
      <c r="B352" s="40">
        <v>388.29998779296875</v>
      </c>
      <c r="C352" s="40">
        <v>279.80453491210938</v>
      </c>
      <c r="D352" s="38">
        <v>2800579</v>
      </c>
      <c r="E352" s="38" t="s">
        <v>928</v>
      </c>
      <c r="F352" s="38" t="s">
        <v>618</v>
      </c>
    </row>
    <row r="353" spans="1:6">
      <c r="A353" s="38" t="s">
        <v>967</v>
      </c>
      <c r="B353" s="40">
        <v>390</v>
      </c>
      <c r="C353" s="40">
        <v>281.02951049804688</v>
      </c>
      <c r="D353" s="38">
        <v>3844462</v>
      </c>
      <c r="E353" s="38" t="s">
        <v>928</v>
      </c>
      <c r="F353" s="38" t="s">
        <v>618</v>
      </c>
    </row>
    <row r="354" spans="1:6">
      <c r="A354" s="38" t="s">
        <v>968</v>
      </c>
      <c r="B354" s="40">
        <v>397.70001220703125</v>
      </c>
      <c r="C354" s="40">
        <v>286.57809448242188</v>
      </c>
      <c r="D354" s="38">
        <v>4032660</v>
      </c>
      <c r="E354" s="38" t="s">
        <v>928</v>
      </c>
      <c r="F354" s="38" t="s">
        <v>618</v>
      </c>
    </row>
    <row r="355" spans="1:6">
      <c r="A355" s="38" t="s">
        <v>969</v>
      </c>
      <c r="B355" s="40">
        <v>399.60000610351563</v>
      </c>
      <c r="C355" s="40">
        <v>287.94717407226563</v>
      </c>
      <c r="D355" s="38">
        <v>4221248</v>
      </c>
      <c r="E355" s="38" t="s">
        <v>928</v>
      </c>
      <c r="F355" s="38" t="s">
        <v>618</v>
      </c>
    </row>
    <row r="356" spans="1:6">
      <c r="A356" s="38" t="s">
        <v>970</v>
      </c>
      <c r="B356" s="40">
        <v>402.75</v>
      </c>
      <c r="C356" s="40">
        <v>290.21701049804688</v>
      </c>
      <c r="D356" s="38">
        <v>1922945</v>
      </c>
      <c r="E356" s="38" t="s">
        <v>928</v>
      </c>
      <c r="F356" s="38" t="s">
        <v>618</v>
      </c>
    </row>
    <row r="357" spans="1:6">
      <c r="A357" s="38" t="s">
        <v>971</v>
      </c>
      <c r="B357" s="40">
        <v>408.64999389648438</v>
      </c>
      <c r="C357" s="40">
        <v>294.46844482421875</v>
      </c>
      <c r="D357" s="38">
        <v>2846306</v>
      </c>
      <c r="E357" s="38" t="s">
        <v>928</v>
      </c>
      <c r="F357" s="38" t="s">
        <v>618</v>
      </c>
    </row>
    <row r="358" spans="1:6">
      <c r="A358" s="38" t="s">
        <v>972</v>
      </c>
      <c r="B358" s="40">
        <v>399.89999389648438</v>
      </c>
      <c r="C358" s="40">
        <v>288.16339111328125</v>
      </c>
      <c r="D358" s="38">
        <v>4041108</v>
      </c>
      <c r="E358" s="38" t="s">
        <v>928</v>
      </c>
      <c r="F358" s="38" t="s">
        <v>618</v>
      </c>
    </row>
    <row r="359" spans="1:6">
      <c r="A359" s="38" t="s">
        <v>973</v>
      </c>
      <c r="B359" s="40">
        <v>397.39999389648438</v>
      </c>
      <c r="C359" s="40">
        <v>286.36190795898438</v>
      </c>
      <c r="D359" s="38">
        <v>1811760</v>
      </c>
      <c r="E359" s="38" t="s">
        <v>928</v>
      </c>
      <c r="F359" s="38" t="s">
        <v>618</v>
      </c>
    </row>
    <row r="360" spans="1:6">
      <c r="A360" s="38" t="s">
        <v>974</v>
      </c>
      <c r="B360" s="40">
        <v>386.79998779296875</v>
      </c>
      <c r="C360" s="40">
        <v>278.72360229492188</v>
      </c>
      <c r="D360" s="38">
        <v>2790651</v>
      </c>
      <c r="E360" s="38" t="s">
        <v>928</v>
      </c>
      <c r="F360" s="38" t="s">
        <v>618</v>
      </c>
    </row>
    <row r="361" spans="1:6">
      <c r="A361" s="38" t="s">
        <v>975</v>
      </c>
      <c r="B361" s="40">
        <v>397.29998779296875</v>
      </c>
      <c r="C361" s="40">
        <v>286.289794921875</v>
      </c>
      <c r="D361" s="38">
        <v>2889773</v>
      </c>
      <c r="E361" s="38" t="s">
        <v>928</v>
      </c>
      <c r="F361" s="38" t="s">
        <v>618</v>
      </c>
    </row>
    <row r="362" spans="1:6">
      <c r="A362" s="38" t="s">
        <v>976</v>
      </c>
      <c r="B362" s="40">
        <v>393.39999389648438</v>
      </c>
      <c r="C362" s="40">
        <v>283.47955322265625</v>
      </c>
      <c r="D362" s="38">
        <v>1753491</v>
      </c>
      <c r="E362" s="38" t="s">
        <v>928</v>
      </c>
      <c r="F362" s="38" t="s">
        <v>618</v>
      </c>
    </row>
    <row r="363" spans="1:6">
      <c r="A363" s="38" t="s">
        <v>977</v>
      </c>
      <c r="B363" s="40">
        <v>396.70001220703125</v>
      </c>
      <c r="C363" s="40">
        <v>285.85751342773438</v>
      </c>
      <c r="D363" s="38">
        <v>1895223</v>
      </c>
      <c r="E363" s="38" t="s">
        <v>928</v>
      </c>
      <c r="F363" s="38" t="s">
        <v>618</v>
      </c>
    </row>
    <row r="364" spans="1:6">
      <c r="A364" s="38" t="s">
        <v>978</v>
      </c>
      <c r="B364" s="40">
        <v>393.64999389648438</v>
      </c>
      <c r="C364" s="40">
        <v>283.65972900390625</v>
      </c>
      <c r="D364" s="38">
        <v>1244822</v>
      </c>
      <c r="E364" s="38" t="s">
        <v>928</v>
      </c>
      <c r="F364" s="38" t="s">
        <v>618</v>
      </c>
    </row>
    <row r="365" spans="1:6">
      <c r="A365" s="38" t="s">
        <v>979</v>
      </c>
      <c r="B365" s="40">
        <v>390.29998779296875</v>
      </c>
      <c r="C365" s="40">
        <v>281.2457275390625</v>
      </c>
      <c r="D365" s="38">
        <v>1473093</v>
      </c>
      <c r="E365" s="38" t="s">
        <v>928</v>
      </c>
      <c r="F365" s="38" t="s">
        <v>618</v>
      </c>
    </row>
    <row r="366" spans="1:6">
      <c r="A366" s="38" t="s">
        <v>980</v>
      </c>
      <c r="B366" s="40">
        <v>389.45001220703125</v>
      </c>
      <c r="C366" s="40">
        <v>280.63323974609375</v>
      </c>
      <c r="D366" s="38">
        <v>992872</v>
      </c>
      <c r="E366" s="38" t="s">
        <v>928</v>
      </c>
      <c r="F366" s="38" t="s">
        <v>618</v>
      </c>
    </row>
    <row r="367" spans="1:6">
      <c r="A367" s="38" t="s">
        <v>981</v>
      </c>
      <c r="B367" s="40">
        <v>394.35000610351563</v>
      </c>
      <c r="C367" s="40">
        <v>284.16409301757813</v>
      </c>
      <c r="D367" s="38">
        <v>1458439</v>
      </c>
      <c r="E367" s="38" t="s">
        <v>928</v>
      </c>
      <c r="F367" s="38" t="s">
        <v>618</v>
      </c>
    </row>
    <row r="368" spans="1:6">
      <c r="A368" s="38" t="s">
        <v>982</v>
      </c>
      <c r="B368" s="40">
        <v>390.95001220703125</v>
      </c>
      <c r="C368" s="40">
        <v>281.71414184570313</v>
      </c>
      <c r="D368" s="38">
        <v>1121823</v>
      </c>
      <c r="E368" s="38" t="s">
        <v>928</v>
      </c>
      <c r="F368" s="38" t="s">
        <v>618</v>
      </c>
    </row>
    <row r="369" spans="1:6">
      <c r="A369" s="38" t="s">
        <v>983</v>
      </c>
      <c r="B369" s="40">
        <v>386.95001220703125</v>
      </c>
      <c r="C369" s="40">
        <v>278.831787109375</v>
      </c>
      <c r="D369" s="38">
        <v>918944</v>
      </c>
      <c r="E369" s="38" t="s">
        <v>928</v>
      </c>
      <c r="F369" s="38" t="s">
        <v>618</v>
      </c>
    </row>
    <row r="370" spans="1:6">
      <c r="A370" s="38" t="s">
        <v>984</v>
      </c>
      <c r="B370" s="40">
        <v>380.70001220703125</v>
      </c>
      <c r="C370" s="40">
        <v>274.32806396484375</v>
      </c>
      <c r="D370" s="38">
        <v>1741413</v>
      </c>
      <c r="E370" s="38" t="s">
        <v>928</v>
      </c>
      <c r="F370" s="38" t="s">
        <v>618</v>
      </c>
    </row>
    <row r="371" spans="1:6">
      <c r="A371" s="38" t="s">
        <v>985</v>
      </c>
      <c r="B371" s="40">
        <v>380.10000610351563</v>
      </c>
      <c r="C371" s="40">
        <v>273.89569091796875</v>
      </c>
      <c r="D371" s="38">
        <v>4315500</v>
      </c>
      <c r="E371" s="38" t="s">
        <v>928</v>
      </c>
      <c r="F371" s="38" t="s">
        <v>618</v>
      </c>
    </row>
    <row r="372" spans="1:6">
      <c r="A372" s="38" t="s">
        <v>986</v>
      </c>
      <c r="B372" s="40">
        <v>392.25</v>
      </c>
      <c r="C372" s="40">
        <v>282.65081787109375</v>
      </c>
      <c r="D372" s="38">
        <v>1883908</v>
      </c>
      <c r="E372" s="38" t="s">
        <v>928</v>
      </c>
      <c r="F372" s="38" t="s">
        <v>618</v>
      </c>
    </row>
    <row r="373" spans="1:6">
      <c r="A373" s="38" t="s">
        <v>987</v>
      </c>
      <c r="B373" s="40">
        <v>388.85000610351563</v>
      </c>
      <c r="C373" s="40">
        <v>280.20086669921875</v>
      </c>
      <c r="D373" s="38">
        <v>1631484</v>
      </c>
      <c r="E373" s="38" t="s">
        <v>928</v>
      </c>
      <c r="F373" s="38" t="s">
        <v>618</v>
      </c>
    </row>
    <row r="374" spans="1:6">
      <c r="A374" s="38" t="s">
        <v>988</v>
      </c>
      <c r="B374" s="40">
        <v>382</v>
      </c>
      <c r="C374" s="40">
        <v>275.26483154296875</v>
      </c>
      <c r="D374" s="38">
        <v>2365394</v>
      </c>
      <c r="E374" s="38" t="s">
        <v>928</v>
      </c>
      <c r="F374" s="38" t="s">
        <v>618</v>
      </c>
    </row>
    <row r="375" spans="1:6">
      <c r="A375" s="38" t="s">
        <v>989</v>
      </c>
      <c r="B375" s="40">
        <v>381.25</v>
      </c>
      <c r="C375" s="40">
        <v>274.72442626953125</v>
      </c>
      <c r="D375" s="38">
        <v>1280684</v>
      </c>
      <c r="E375" s="38" t="s">
        <v>928</v>
      </c>
      <c r="F375" s="38" t="s">
        <v>618</v>
      </c>
    </row>
    <row r="376" spans="1:6">
      <c r="A376" s="38" t="s">
        <v>990</v>
      </c>
      <c r="B376" s="40">
        <v>377.70001220703125</v>
      </c>
      <c r="C376" s="40">
        <v>272.166259765625</v>
      </c>
      <c r="D376" s="38">
        <v>1328251</v>
      </c>
      <c r="E376" s="38" t="s">
        <v>928</v>
      </c>
      <c r="F376" s="38" t="s">
        <v>618</v>
      </c>
    </row>
    <row r="377" spans="1:6">
      <c r="A377" s="38" t="s">
        <v>991</v>
      </c>
      <c r="B377" s="40">
        <v>377.14999389648438</v>
      </c>
      <c r="C377" s="40">
        <v>271.76992797851563</v>
      </c>
      <c r="D377" s="38">
        <v>1461628</v>
      </c>
      <c r="E377" s="38" t="s">
        <v>928</v>
      </c>
      <c r="F377" s="38" t="s">
        <v>618</v>
      </c>
    </row>
    <row r="378" spans="1:6">
      <c r="A378" s="38" t="s">
        <v>992</v>
      </c>
      <c r="B378" s="40">
        <v>376.29998779296875</v>
      </c>
      <c r="C378" s="40">
        <v>271.15744018554688</v>
      </c>
      <c r="D378" s="38">
        <v>1964709</v>
      </c>
      <c r="E378" s="38" t="s">
        <v>928</v>
      </c>
      <c r="F378" s="38" t="s">
        <v>618</v>
      </c>
    </row>
    <row r="379" spans="1:6">
      <c r="A379" s="38" t="s">
        <v>993</v>
      </c>
      <c r="B379" s="40">
        <v>380</v>
      </c>
      <c r="C379" s="40">
        <v>273.82363891601563</v>
      </c>
      <c r="D379" s="38">
        <v>1642197</v>
      </c>
      <c r="E379" s="38" t="s">
        <v>928</v>
      </c>
      <c r="F379" s="38" t="s">
        <v>618</v>
      </c>
    </row>
    <row r="380" spans="1:6">
      <c r="A380" s="38" t="s">
        <v>994</v>
      </c>
      <c r="B380" s="40">
        <v>384.10000610351563</v>
      </c>
      <c r="C380" s="40">
        <v>276.77804565429688</v>
      </c>
      <c r="D380" s="38">
        <v>268891</v>
      </c>
      <c r="E380" s="38" t="s">
        <v>928</v>
      </c>
      <c r="F380" s="38" t="s">
        <v>618</v>
      </c>
    </row>
    <row r="381" spans="1:6">
      <c r="A381" s="38" t="s">
        <v>995</v>
      </c>
      <c r="B381" s="40">
        <v>385.20001220703125</v>
      </c>
      <c r="C381" s="40">
        <v>277.57073974609375</v>
      </c>
      <c r="D381" s="38">
        <v>2362955</v>
      </c>
      <c r="E381" s="38" t="s">
        <v>928</v>
      </c>
      <c r="F381" s="38" t="s">
        <v>618</v>
      </c>
    </row>
    <row r="382" spans="1:6">
      <c r="A382" s="38" t="s">
        <v>996</v>
      </c>
      <c r="B382" s="40">
        <v>387.29998779296875</v>
      </c>
      <c r="C382" s="40">
        <v>279.08392333984375</v>
      </c>
      <c r="D382" s="38">
        <v>687924</v>
      </c>
      <c r="E382" s="38" t="s">
        <v>928</v>
      </c>
      <c r="F382" s="38" t="s">
        <v>618</v>
      </c>
    </row>
    <row r="383" spans="1:6">
      <c r="A383" s="38" t="s">
        <v>997</v>
      </c>
      <c r="B383" s="40">
        <v>389.25</v>
      </c>
      <c r="C383" s="40">
        <v>280.4891357421875</v>
      </c>
      <c r="D383" s="38">
        <v>940852</v>
      </c>
      <c r="E383" s="38" t="s">
        <v>928</v>
      </c>
      <c r="F383" s="38" t="s">
        <v>618</v>
      </c>
    </row>
    <row r="384" spans="1:6">
      <c r="A384" s="38" t="s">
        <v>998</v>
      </c>
      <c r="B384" s="40">
        <v>388.95001220703125</v>
      </c>
      <c r="C384" s="40">
        <v>280.27291870117188</v>
      </c>
      <c r="D384" s="38">
        <v>1034584</v>
      </c>
      <c r="E384" s="38" t="s">
        <v>928</v>
      </c>
      <c r="F384" s="38" t="s">
        <v>618</v>
      </c>
    </row>
    <row r="385" spans="1:6">
      <c r="A385" s="38" t="s">
        <v>999</v>
      </c>
      <c r="B385" s="40">
        <v>391.85000610351563</v>
      </c>
      <c r="C385" s="40">
        <v>282.3626708984375</v>
      </c>
      <c r="D385" s="38">
        <v>1534113</v>
      </c>
      <c r="E385" s="38" t="s">
        <v>928</v>
      </c>
      <c r="F385" s="38" t="s">
        <v>618</v>
      </c>
    </row>
    <row r="386" spans="1:6">
      <c r="A386" s="38" t="s">
        <v>1000</v>
      </c>
      <c r="B386" s="40">
        <v>391.29998779296875</v>
      </c>
      <c r="C386" s="40">
        <v>281.96633911132813</v>
      </c>
      <c r="D386" s="38">
        <v>1584011</v>
      </c>
      <c r="E386" s="38" t="s">
        <v>928</v>
      </c>
      <c r="F386" s="38" t="s">
        <v>618</v>
      </c>
    </row>
    <row r="387" spans="1:6">
      <c r="A387" s="38" t="s">
        <v>1001</v>
      </c>
      <c r="B387" s="40">
        <v>396.75</v>
      </c>
      <c r="C387" s="40">
        <v>285.89346313476563</v>
      </c>
      <c r="D387" s="38">
        <v>1590684</v>
      </c>
      <c r="E387" s="38" t="s">
        <v>928</v>
      </c>
      <c r="F387" s="38" t="s">
        <v>618</v>
      </c>
    </row>
    <row r="388" spans="1:6">
      <c r="A388" s="38" t="s">
        <v>1002</v>
      </c>
      <c r="B388" s="40">
        <v>391.5</v>
      </c>
      <c r="C388" s="40">
        <v>282.11041259765625</v>
      </c>
      <c r="D388" s="38">
        <v>1411026</v>
      </c>
      <c r="E388" s="38" t="s">
        <v>928</v>
      </c>
      <c r="F388" s="38" t="s">
        <v>618</v>
      </c>
    </row>
    <row r="389" spans="1:6">
      <c r="A389" s="38" t="s">
        <v>1003</v>
      </c>
      <c r="B389" s="40">
        <v>394.70001220703125</v>
      </c>
      <c r="C389" s="40">
        <v>284.41629028320313</v>
      </c>
      <c r="D389" s="38">
        <v>964314</v>
      </c>
      <c r="E389" s="38" t="s">
        <v>928</v>
      </c>
      <c r="F389" s="38" t="s">
        <v>618</v>
      </c>
    </row>
    <row r="390" spans="1:6">
      <c r="A390" s="38" t="s">
        <v>1004</v>
      </c>
      <c r="B390" s="40">
        <v>399.04998779296875</v>
      </c>
      <c r="C390" s="40">
        <v>287.55087280273438</v>
      </c>
      <c r="D390" s="38">
        <v>906007</v>
      </c>
      <c r="E390" s="38" t="s">
        <v>928</v>
      </c>
      <c r="F390" s="38" t="s">
        <v>618</v>
      </c>
    </row>
    <row r="391" spans="1:6">
      <c r="A391" s="38" t="s">
        <v>1005</v>
      </c>
      <c r="B391" s="40">
        <v>391.10000610351563</v>
      </c>
      <c r="C391" s="40">
        <v>281.8221435546875</v>
      </c>
      <c r="D391" s="38">
        <v>1358932</v>
      </c>
      <c r="E391" s="38" t="s">
        <v>928</v>
      </c>
      <c r="F391" s="38" t="s">
        <v>618</v>
      </c>
    </row>
    <row r="392" spans="1:6">
      <c r="A392" s="38" t="s">
        <v>1006</v>
      </c>
      <c r="B392" s="40">
        <v>389.35000610351563</v>
      </c>
      <c r="C392" s="40">
        <v>280.5611572265625</v>
      </c>
      <c r="D392" s="38">
        <v>1409292</v>
      </c>
      <c r="E392" s="38" t="s">
        <v>928</v>
      </c>
      <c r="F392" s="38" t="s">
        <v>618</v>
      </c>
    </row>
    <row r="393" spans="1:6">
      <c r="A393" s="38" t="s">
        <v>1007</v>
      </c>
      <c r="B393" s="40">
        <v>377.25</v>
      </c>
      <c r="C393" s="40">
        <v>278.27447509765625</v>
      </c>
      <c r="D393" s="38">
        <v>2627365</v>
      </c>
      <c r="E393" s="38" t="s">
        <v>928</v>
      </c>
      <c r="F393" s="38" t="s">
        <v>618</v>
      </c>
    </row>
    <row r="394" spans="1:6">
      <c r="A394" s="38" t="s">
        <v>1008</v>
      </c>
      <c r="B394" s="40">
        <v>381.29998779296875</v>
      </c>
      <c r="C394" s="40">
        <v>281.26193237304688</v>
      </c>
      <c r="D394" s="38">
        <v>1712222</v>
      </c>
      <c r="E394" s="38" t="s">
        <v>928</v>
      </c>
      <c r="F394" s="38" t="s">
        <v>618</v>
      </c>
    </row>
    <row r="395" spans="1:6">
      <c r="A395" s="38" t="s">
        <v>1009</v>
      </c>
      <c r="B395" s="40">
        <v>385.85000610351563</v>
      </c>
      <c r="C395" s="40">
        <v>284.6181640625</v>
      </c>
      <c r="D395" s="38">
        <v>1535812</v>
      </c>
      <c r="E395" s="38" t="s">
        <v>928</v>
      </c>
      <c r="F395" s="38" t="s">
        <v>618</v>
      </c>
    </row>
    <row r="396" spans="1:6">
      <c r="A396" s="38" t="s">
        <v>1010</v>
      </c>
      <c r="B396" s="40">
        <v>402.45001220703125</v>
      </c>
      <c r="C396" s="40">
        <v>296.86300659179688</v>
      </c>
      <c r="D396" s="38">
        <v>12617014</v>
      </c>
      <c r="E396" s="38" t="s">
        <v>928</v>
      </c>
      <c r="F396" s="38" t="s">
        <v>618</v>
      </c>
    </row>
    <row r="397" spans="1:6">
      <c r="A397" s="38" t="s">
        <v>1011</v>
      </c>
      <c r="B397" s="40">
        <v>402.04998779296875</v>
      </c>
      <c r="C397" s="40">
        <v>296.56793212890625</v>
      </c>
      <c r="D397" s="38">
        <v>4071990</v>
      </c>
      <c r="E397" s="38" t="s">
        <v>928</v>
      </c>
      <c r="F397" s="38" t="s">
        <v>618</v>
      </c>
    </row>
    <row r="398" spans="1:6">
      <c r="A398" s="38" t="s">
        <v>1012</v>
      </c>
      <c r="B398" s="40">
        <v>407.14999389648438</v>
      </c>
      <c r="C398" s="40">
        <v>300.329833984375</v>
      </c>
      <c r="D398" s="38">
        <v>4650231</v>
      </c>
      <c r="E398" s="38" t="s">
        <v>928</v>
      </c>
      <c r="F398" s="38" t="s">
        <v>618</v>
      </c>
    </row>
    <row r="399" spans="1:6">
      <c r="A399" s="38" t="s">
        <v>1013</v>
      </c>
      <c r="B399" s="40">
        <v>409</v>
      </c>
      <c r="C399" s="40">
        <v>301.69454956054688</v>
      </c>
      <c r="D399" s="38">
        <v>1957230</v>
      </c>
      <c r="E399" s="38" t="s">
        <v>928</v>
      </c>
      <c r="F399" s="38" t="s">
        <v>618</v>
      </c>
    </row>
    <row r="400" spans="1:6">
      <c r="A400" s="38" t="s">
        <v>1014</v>
      </c>
      <c r="B400" s="40">
        <v>406.35000610351563</v>
      </c>
      <c r="C400" s="40">
        <v>299.73974609375</v>
      </c>
      <c r="D400" s="38">
        <v>1312508</v>
      </c>
      <c r="E400" s="38" t="s">
        <v>928</v>
      </c>
      <c r="F400" s="38" t="s">
        <v>618</v>
      </c>
    </row>
    <row r="401" spans="1:6">
      <c r="A401" s="38" t="s">
        <v>1015</v>
      </c>
      <c r="B401" s="40">
        <v>398.25</v>
      </c>
      <c r="C401" s="40">
        <v>293.764892578125</v>
      </c>
      <c r="D401" s="38">
        <v>2108254</v>
      </c>
      <c r="E401" s="38" t="s">
        <v>928</v>
      </c>
      <c r="F401" s="38" t="s">
        <v>618</v>
      </c>
    </row>
    <row r="402" spans="1:6">
      <c r="A402" s="38" t="s">
        <v>1016</v>
      </c>
      <c r="B402" s="40">
        <v>393.85000610351563</v>
      </c>
      <c r="C402" s="40">
        <v>290.51934814453125</v>
      </c>
      <c r="D402" s="38">
        <v>1135609</v>
      </c>
      <c r="E402" s="38" t="s">
        <v>928</v>
      </c>
      <c r="F402" s="38" t="s">
        <v>618</v>
      </c>
    </row>
    <row r="403" spans="1:6">
      <c r="A403" s="38" t="s">
        <v>1017</v>
      </c>
      <c r="B403" s="40">
        <v>404</v>
      </c>
      <c r="C403" s="40">
        <v>298.00631713867188</v>
      </c>
      <c r="D403" s="38">
        <v>4990849</v>
      </c>
      <c r="E403" s="38" t="s">
        <v>928</v>
      </c>
      <c r="F403" s="38" t="s">
        <v>618</v>
      </c>
    </row>
    <row r="404" spans="1:6">
      <c r="A404" s="38" t="s">
        <v>1018</v>
      </c>
      <c r="B404" s="40">
        <v>402.79998779296875</v>
      </c>
      <c r="C404" s="40">
        <v>297.12109375</v>
      </c>
      <c r="D404" s="38">
        <v>2782291</v>
      </c>
      <c r="E404" s="38" t="s">
        <v>928</v>
      </c>
      <c r="F404" s="38" t="s">
        <v>618</v>
      </c>
    </row>
    <row r="405" spans="1:6">
      <c r="A405" s="38" t="s">
        <v>1019</v>
      </c>
      <c r="B405" s="40">
        <v>402.20001220703125</v>
      </c>
      <c r="C405" s="40">
        <v>296.6785888671875</v>
      </c>
      <c r="D405" s="38">
        <v>1213339</v>
      </c>
      <c r="E405" s="38" t="s">
        <v>928</v>
      </c>
      <c r="F405" s="38" t="s">
        <v>618</v>
      </c>
    </row>
    <row r="406" spans="1:6">
      <c r="A406" s="38" t="s">
        <v>1020</v>
      </c>
      <c r="B406" s="40">
        <v>419.95001220703125</v>
      </c>
      <c r="C406" s="40">
        <v>309.77166748046875</v>
      </c>
      <c r="D406" s="38">
        <v>5407314</v>
      </c>
      <c r="E406" s="38" t="s">
        <v>928</v>
      </c>
      <c r="F406" s="38" t="s">
        <v>618</v>
      </c>
    </row>
    <row r="407" spans="1:6">
      <c r="A407" s="38" t="s">
        <v>1021</v>
      </c>
      <c r="B407" s="40">
        <v>424.39999389648438</v>
      </c>
      <c r="C407" s="40">
        <v>313.05416870117188</v>
      </c>
      <c r="D407" s="38">
        <v>3175256</v>
      </c>
      <c r="E407" s="38" t="s">
        <v>928</v>
      </c>
      <c r="F407" s="38" t="s">
        <v>618</v>
      </c>
    </row>
    <row r="408" spans="1:6">
      <c r="A408" s="38" t="s">
        <v>1022</v>
      </c>
      <c r="B408" s="40">
        <v>428.85000610351563</v>
      </c>
      <c r="C408" s="40">
        <v>316.33670043945313</v>
      </c>
      <c r="D408" s="38">
        <v>3610728</v>
      </c>
      <c r="E408" s="38" t="s">
        <v>928</v>
      </c>
      <c r="F408" s="38" t="s">
        <v>618</v>
      </c>
    </row>
    <row r="409" spans="1:6">
      <c r="A409" s="38" t="s">
        <v>1023</v>
      </c>
      <c r="B409" s="40">
        <v>431.10000610351563</v>
      </c>
      <c r="C409" s="40">
        <v>317.99630737304688</v>
      </c>
      <c r="D409" s="38">
        <v>2657468</v>
      </c>
      <c r="E409" s="38" t="s">
        <v>928</v>
      </c>
      <c r="F409" s="38" t="s">
        <v>618</v>
      </c>
    </row>
    <row r="410" spans="1:6">
      <c r="A410" s="38" t="s">
        <v>1024</v>
      </c>
      <c r="B410" s="40">
        <v>439.35000610351563</v>
      </c>
      <c r="C410" s="40">
        <v>324.08184814453125</v>
      </c>
      <c r="D410" s="38">
        <v>4623000</v>
      </c>
      <c r="E410" s="38" t="s">
        <v>928</v>
      </c>
      <c r="F410" s="38" t="s">
        <v>618</v>
      </c>
    </row>
    <row r="411" spans="1:6">
      <c r="A411" s="38" t="s">
        <v>1025</v>
      </c>
      <c r="B411" s="40">
        <v>430.20001220703125</v>
      </c>
      <c r="C411" s="40">
        <v>317.33251953125</v>
      </c>
      <c r="D411" s="38">
        <v>1576891</v>
      </c>
      <c r="E411" s="38" t="s">
        <v>928</v>
      </c>
      <c r="F411" s="38" t="s">
        <v>618</v>
      </c>
    </row>
    <row r="412" spans="1:6">
      <c r="A412" s="38" t="s">
        <v>1026</v>
      </c>
      <c r="B412" s="40">
        <v>427.70001220703125</v>
      </c>
      <c r="C412" s="40">
        <v>315.4884033203125</v>
      </c>
      <c r="D412" s="38">
        <v>2607190</v>
      </c>
      <c r="E412" s="38" t="s">
        <v>928</v>
      </c>
      <c r="F412" s="38" t="s">
        <v>618</v>
      </c>
    </row>
    <row r="413" spans="1:6">
      <c r="A413" s="38" t="s">
        <v>1027</v>
      </c>
      <c r="B413" s="40">
        <v>427.75</v>
      </c>
      <c r="C413" s="40">
        <v>315.52520751953125</v>
      </c>
      <c r="D413" s="38">
        <v>1888194</v>
      </c>
      <c r="E413" s="38" t="s">
        <v>928</v>
      </c>
      <c r="F413" s="38" t="s">
        <v>618</v>
      </c>
    </row>
    <row r="414" spans="1:6">
      <c r="A414" s="38" t="s">
        <v>1028</v>
      </c>
      <c r="B414" s="40">
        <v>431.75</v>
      </c>
      <c r="C414" s="40">
        <v>318.475830078125</v>
      </c>
      <c r="D414" s="38">
        <v>3282938</v>
      </c>
      <c r="E414" s="38" t="s">
        <v>928</v>
      </c>
      <c r="F414" s="38" t="s">
        <v>618</v>
      </c>
    </row>
    <row r="415" spans="1:6">
      <c r="A415" s="38" t="s">
        <v>1029</v>
      </c>
      <c r="B415" s="40">
        <v>425.75</v>
      </c>
      <c r="C415" s="40">
        <v>314.04995727539063</v>
      </c>
      <c r="D415" s="38">
        <v>2380800</v>
      </c>
      <c r="E415" s="38" t="s">
        <v>928</v>
      </c>
      <c r="F415" s="38" t="s">
        <v>618</v>
      </c>
    </row>
    <row r="416" spans="1:6">
      <c r="A416" s="38" t="s">
        <v>1030</v>
      </c>
      <c r="B416" s="40">
        <v>428.14999389648438</v>
      </c>
      <c r="C416" s="40">
        <v>315.82034301757813</v>
      </c>
      <c r="D416" s="38">
        <v>3782413</v>
      </c>
      <c r="E416" s="38" t="s">
        <v>928</v>
      </c>
      <c r="F416" s="38" t="s">
        <v>618</v>
      </c>
    </row>
    <row r="417" spans="1:6">
      <c r="A417" s="38" t="s">
        <v>1031</v>
      </c>
      <c r="B417" s="40">
        <v>423.39999389648438</v>
      </c>
      <c r="C417" s="40">
        <v>312.31649780273438</v>
      </c>
      <c r="D417" s="38">
        <v>1242275</v>
      </c>
      <c r="E417" s="38" t="s">
        <v>928</v>
      </c>
      <c r="F417" s="38" t="s">
        <v>618</v>
      </c>
    </row>
    <row r="418" spans="1:6">
      <c r="A418" s="38" t="s">
        <v>1032</v>
      </c>
      <c r="B418" s="40">
        <v>416.10000610351563</v>
      </c>
      <c r="C418" s="40">
        <v>306.9317626953125</v>
      </c>
      <c r="D418" s="38">
        <v>3250373</v>
      </c>
      <c r="E418" s="38" t="s">
        <v>928</v>
      </c>
      <c r="F418" s="38" t="s">
        <v>618</v>
      </c>
    </row>
    <row r="419" spans="1:6">
      <c r="A419" s="38" t="s">
        <v>1033</v>
      </c>
      <c r="B419" s="40">
        <v>427.85000610351563</v>
      </c>
      <c r="C419" s="40">
        <v>315.59906005859375</v>
      </c>
      <c r="D419" s="38">
        <v>3651996</v>
      </c>
      <c r="E419" s="38" t="s">
        <v>928</v>
      </c>
      <c r="F419" s="38" t="s">
        <v>618</v>
      </c>
    </row>
    <row r="420" spans="1:6">
      <c r="A420" s="38" t="s">
        <v>1034</v>
      </c>
      <c r="B420" s="40">
        <v>424.60000610351563</v>
      </c>
      <c r="C420" s="40">
        <v>313.20175170898438</v>
      </c>
      <c r="D420" s="38">
        <v>1553072</v>
      </c>
      <c r="E420" s="38" t="s">
        <v>928</v>
      </c>
      <c r="F420" s="38" t="s">
        <v>618</v>
      </c>
    </row>
    <row r="421" spans="1:6">
      <c r="A421" s="38" t="s">
        <v>1035</v>
      </c>
      <c r="B421" s="40">
        <v>426.04998779296875</v>
      </c>
      <c r="C421" s="40">
        <v>314.27130126953125</v>
      </c>
      <c r="D421" s="38">
        <v>983408</v>
      </c>
      <c r="E421" s="38" t="s">
        <v>928</v>
      </c>
      <c r="F421" s="38" t="s">
        <v>618</v>
      </c>
    </row>
    <row r="422" spans="1:6">
      <c r="A422" s="38" t="s">
        <v>1036</v>
      </c>
      <c r="B422" s="40">
        <v>430.79998779296875</v>
      </c>
      <c r="C422" s="40">
        <v>317.77505493164063</v>
      </c>
      <c r="D422" s="38">
        <v>1434311</v>
      </c>
      <c r="E422" s="38" t="s">
        <v>928</v>
      </c>
      <c r="F422" s="38" t="s">
        <v>618</v>
      </c>
    </row>
    <row r="423" spans="1:6">
      <c r="A423" s="38" t="s">
        <v>1037</v>
      </c>
      <c r="B423" s="40">
        <v>441.5</v>
      </c>
      <c r="C423" s="40">
        <v>325.66778564453125</v>
      </c>
      <c r="D423" s="38">
        <v>2373479</v>
      </c>
      <c r="E423" s="38" t="s">
        <v>928</v>
      </c>
      <c r="F423" s="38" t="s">
        <v>618</v>
      </c>
    </row>
    <row r="424" spans="1:6">
      <c r="A424" s="38" t="s">
        <v>1038</v>
      </c>
      <c r="B424" s="40">
        <v>441.39999389648438</v>
      </c>
      <c r="C424" s="40">
        <v>325.593994140625</v>
      </c>
      <c r="D424" s="38">
        <v>1357481</v>
      </c>
      <c r="E424" s="38" t="s">
        <v>928</v>
      </c>
      <c r="F424" s="38" t="s">
        <v>618</v>
      </c>
    </row>
    <row r="425" spans="1:6">
      <c r="A425" s="38" t="s">
        <v>1039</v>
      </c>
      <c r="B425" s="40">
        <v>440.79998779296875</v>
      </c>
      <c r="C425" s="40">
        <v>325.15139770507813</v>
      </c>
      <c r="D425" s="38">
        <v>2339372</v>
      </c>
      <c r="E425" s="38" t="s">
        <v>928</v>
      </c>
      <c r="F425" s="38" t="s">
        <v>618</v>
      </c>
    </row>
    <row r="426" spans="1:6">
      <c r="A426" s="38" t="s">
        <v>1040</v>
      </c>
      <c r="B426" s="40">
        <v>441.39999389648438</v>
      </c>
      <c r="C426" s="40">
        <v>325.593994140625</v>
      </c>
      <c r="D426" s="38">
        <v>1048243</v>
      </c>
      <c r="E426" s="38" t="s">
        <v>928</v>
      </c>
      <c r="F426" s="38" t="s">
        <v>618</v>
      </c>
    </row>
    <row r="427" spans="1:6">
      <c r="A427" s="38" t="s">
        <v>1041</v>
      </c>
      <c r="B427" s="40">
        <v>444.29998779296875</v>
      </c>
      <c r="C427" s="40">
        <v>327.73318481445313</v>
      </c>
      <c r="D427" s="38">
        <v>1959478</v>
      </c>
      <c r="E427" s="38" t="s">
        <v>928</v>
      </c>
      <c r="F427" s="38" t="s">
        <v>618</v>
      </c>
    </row>
    <row r="428" spans="1:6">
      <c r="A428" s="38" t="s">
        <v>1042</v>
      </c>
      <c r="B428" s="40">
        <v>445.10000610351563</v>
      </c>
      <c r="C428" s="40">
        <v>328.32327270507813</v>
      </c>
      <c r="D428" s="38">
        <v>1034355</v>
      </c>
      <c r="E428" s="38" t="s">
        <v>928</v>
      </c>
      <c r="F428" s="38" t="s">
        <v>618</v>
      </c>
    </row>
    <row r="429" spans="1:6">
      <c r="A429" s="38" t="s">
        <v>1043</v>
      </c>
      <c r="B429" s="40">
        <v>447.75</v>
      </c>
      <c r="C429" s="40">
        <v>330.27804565429688</v>
      </c>
      <c r="D429" s="38">
        <v>1001757</v>
      </c>
      <c r="E429" s="38" t="s">
        <v>928</v>
      </c>
      <c r="F429" s="38" t="s">
        <v>618</v>
      </c>
    </row>
    <row r="430" spans="1:6">
      <c r="A430" s="38" t="s">
        <v>1044</v>
      </c>
      <c r="B430" s="40">
        <v>448.89999389648438</v>
      </c>
      <c r="C430" s="40">
        <v>331.1263427734375</v>
      </c>
      <c r="D430" s="38">
        <v>755469</v>
      </c>
      <c r="E430" s="38" t="s">
        <v>928</v>
      </c>
      <c r="F430" s="38" t="s">
        <v>618</v>
      </c>
    </row>
    <row r="431" spans="1:6">
      <c r="A431" s="38" t="s">
        <v>1045</v>
      </c>
      <c r="B431" s="40">
        <v>460.25</v>
      </c>
      <c r="C431" s="40">
        <v>339.49847412109375</v>
      </c>
      <c r="D431" s="38">
        <v>2189490</v>
      </c>
      <c r="E431" s="38" t="s">
        <v>928</v>
      </c>
      <c r="F431" s="38" t="s">
        <v>618</v>
      </c>
    </row>
    <row r="432" spans="1:6">
      <c r="A432" s="38" t="s">
        <v>1046</v>
      </c>
      <c r="B432" s="40">
        <v>458.39999389648438</v>
      </c>
      <c r="C432" s="40">
        <v>338.13388061523438</v>
      </c>
      <c r="D432" s="38">
        <v>2254484</v>
      </c>
      <c r="E432" s="38" t="s">
        <v>928</v>
      </c>
      <c r="F432" s="38" t="s">
        <v>618</v>
      </c>
    </row>
    <row r="433" spans="1:6">
      <c r="A433" s="38" t="s">
        <v>1047</v>
      </c>
      <c r="B433" s="40">
        <v>451.95001220703125</v>
      </c>
      <c r="C433" s="40">
        <v>333.3760986328125</v>
      </c>
      <c r="D433" s="38">
        <v>2490162</v>
      </c>
      <c r="E433" s="38" t="s">
        <v>928</v>
      </c>
      <c r="F433" s="38" t="s">
        <v>618</v>
      </c>
    </row>
    <row r="434" spans="1:6">
      <c r="A434" s="38" t="s">
        <v>1048</v>
      </c>
      <c r="B434" s="40">
        <v>447.35000610351563</v>
      </c>
      <c r="C434" s="40">
        <v>329.98300170898438</v>
      </c>
      <c r="D434" s="38">
        <v>886702</v>
      </c>
      <c r="E434" s="38" t="s">
        <v>928</v>
      </c>
      <c r="F434" s="38" t="s">
        <v>618</v>
      </c>
    </row>
    <row r="435" spans="1:6">
      <c r="A435" s="38" t="s">
        <v>1049</v>
      </c>
      <c r="B435" s="40">
        <v>449.95001220703125</v>
      </c>
      <c r="C435" s="40">
        <v>331.90084838867188</v>
      </c>
      <c r="D435" s="38">
        <v>1908788</v>
      </c>
      <c r="E435" s="38" t="s">
        <v>928</v>
      </c>
      <c r="F435" s="38" t="s">
        <v>618</v>
      </c>
    </row>
    <row r="436" spans="1:6">
      <c r="A436" s="38" t="s">
        <v>1050</v>
      </c>
      <c r="B436" s="40">
        <v>454.45001220703125</v>
      </c>
      <c r="C436" s="40">
        <v>335.22024536132813</v>
      </c>
      <c r="D436" s="38">
        <v>3555144</v>
      </c>
      <c r="E436" s="38" t="s">
        <v>928</v>
      </c>
      <c r="F436" s="38" t="s">
        <v>618</v>
      </c>
    </row>
    <row r="437" spans="1:6">
      <c r="A437" s="38" t="s">
        <v>1051</v>
      </c>
      <c r="B437" s="40">
        <v>457.85000610351563</v>
      </c>
      <c r="C437" s="40">
        <v>337.7281494140625</v>
      </c>
      <c r="D437" s="38">
        <v>1412345</v>
      </c>
      <c r="E437" s="38" t="s">
        <v>928</v>
      </c>
      <c r="F437" s="38" t="s">
        <v>618</v>
      </c>
    </row>
    <row r="438" spans="1:6">
      <c r="A438" s="38" t="s">
        <v>1052</v>
      </c>
      <c r="B438" s="40">
        <v>463.29998779296875</v>
      </c>
      <c r="C438" s="40">
        <v>341.74835205078125</v>
      </c>
      <c r="D438" s="38">
        <v>1901932</v>
      </c>
      <c r="E438" s="38" t="s">
        <v>928</v>
      </c>
      <c r="F438" s="38" t="s">
        <v>618</v>
      </c>
    </row>
    <row r="439" spans="1:6">
      <c r="A439" s="38" t="s">
        <v>1053</v>
      </c>
      <c r="B439" s="40">
        <v>465.04998779296875</v>
      </c>
      <c r="C439" s="40">
        <v>343.0391845703125</v>
      </c>
      <c r="D439" s="38">
        <v>1673214</v>
      </c>
      <c r="E439" s="38" t="s">
        <v>928</v>
      </c>
      <c r="F439" s="38" t="s">
        <v>618</v>
      </c>
    </row>
    <row r="440" spans="1:6">
      <c r="A440" s="38" t="s">
        <v>1054</v>
      </c>
      <c r="B440" s="40">
        <v>450.95001220703125</v>
      </c>
      <c r="C440" s="40">
        <v>332.63848876953125</v>
      </c>
      <c r="D440" s="38">
        <v>1237068</v>
      </c>
      <c r="E440" s="38" t="s">
        <v>928</v>
      </c>
      <c r="F440" s="38" t="s">
        <v>618</v>
      </c>
    </row>
    <row r="441" spans="1:6">
      <c r="A441" s="38" t="s">
        <v>1055</v>
      </c>
      <c r="B441" s="40">
        <v>456.85000610351563</v>
      </c>
      <c r="C441" s="40">
        <v>336.99050903320313</v>
      </c>
      <c r="D441" s="38">
        <v>1130586</v>
      </c>
      <c r="E441" s="38" t="s">
        <v>928</v>
      </c>
      <c r="F441" s="38" t="s">
        <v>618</v>
      </c>
    </row>
    <row r="442" spans="1:6">
      <c r="A442" s="38" t="s">
        <v>1056</v>
      </c>
      <c r="B442" s="40">
        <v>463.29998779296875</v>
      </c>
      <c r="C442" s="40">
        <v>341.74835205078125</v>
      </c>
      <c r="D442" s="38">
        <v>997113</v>
      </c>
      <c r="E442" s="38" t="s">
        <v>928</v>
      </c>
      <c r="F442" s="38" t="s">
        <v>618</v>
      </c>
    </row>
    <row r="443" spans="1:6">
      <c r="A443" s="38" t="s">
        <v>1057</v>
      </c>
      <c r="B443" s="40">
        <v>466.29998779296875</v>
      </c>
      <c r="C443" s="40">
        <v>343.96124267578125</v>
      </c>
      <c r="D443" s="38">
        <v>1559112</v>
      </c>
      <c r="E443" s="38" t="s">
        <v>928</v>
      </c>
      <c r="F443" s="38" t="s">
        <v>618</v>
      </c>
    </row>
    <row r="444" spans="1:6">
      <c r="A444" s="38" t="s">
        <v>1058</v>
      </c>
      <c r="B444" s="40">
        <v>467.25</v>
      </c>
      <c r="C444" s="40">
        <v>344.66195678710938</v>
      </c>
      <c r="D444" s="38">
        <v>1624889</v>
      </c>
      <c r="E444" s="38" t="s">
        <v>928</v>
      </c>
      <c r="F444" s="38" t="s">
        <v>618</v>
      </c>
    </row>
    <row r="445" spans="1:6">
      <c r="A445" s="38" t="s">
        <v>1059</v>
      </c>
      <c r="B445" s="40">
        <v>474.20001220703125</v>
      </c>
      <c r="C445" s="40">
        <v>349.78863525390625</v>
      </c>
      <c r="D445" s="38">
        <v>1762764</v>
      </c>
      <c r="E445" s="38" t="s">
        <v>928</v>
      </c>
      <c r="F445" s="38" t="s">
        <v>618</v>
      </c>
    </row>
    <row r="446" spans="1:6">
      <c r="A446" s="38" t="s">
        <v>1060</v>
      </c>
      <c r="B446" s="40">
        <v>476.10000610351563</v>
      </c>
      <c r="C446" s="40">
        <v>351.19012451171875</v>
      </c>
      <c r="D446" s="38">
        <v>2187256</v>
      </c>
      <c r="E446" s="38" t="s">
        <v>928</v>
      </c>
      <c r="F446" s="38" t="s">
        <v>618</v>
      </c>
    </row>
    <row r="447" spans="1:6">
      <c r="A447" s="38" t="s">
        <v>1061</v>
      </c>
      <c r="B447" s="40">
        <v>473.79998779296875</v>
      </c>
      <c r="C447" s="40">
        <v>349.49356079101563</v>
      </c>
      <c r="D447" s="38">
        <v>1101381</v>
      </c>
      <c r="E447" s="38" t="s">
        <v>928</v>
      </c>
      <c r="F447" s="38" t="s">
        <v>618</v>
      </c>
    </row>
    <row r="448" spans="1:6">
      <c r="A448" s="38" t="s">
        <v>1062</v>
      </c>
      <c r="B448" s="40">
        <v>473</v>
      </c>
      <c r="C448" s="40">
        <v>348.9034423828125</v>
      </c>
      <c r="D448" s="38">
        <v>787447</v>
      </c>
      <c r="E448" s="38" t="s">
        <v>928</v>
      </c>
      <c r="F448" s="38" t="s">
        <v>618</v>
      </c>
    </row>
    <row r="449" spans="1:6">
      <c r="A449" s="38" t="s">
        <v>1063</v>
      </c>
      <c r="B449" s="40">
        <v>458.45001220703125</v>
      </c>
      <c r="C449" s="40">
        <v>338.17083740234375</v>
      </c>
      <c r="D449" s="38">
        <v>1414945</v>
      </c>
      <c r="E449" s="38" t="s">
        <v>928</v>
      </c>
      <c r="F449" s="38" t="s">
        <v>618</v>
      </c>
    </row>
    <row r="450" spans="1:6">
      <c r="A450" s="38" t="s">
        <v>1064</v>
      </c>
      <c r="B450" s="40">
        <v>458.35000610351563</v>
      </c>
      <c r="C450" s="40">
        <v>338.09698486328125</v>
      </c>
      <c r="D450" s="38">
        <v>128310</v>
      </c>
      <c r="E450" s="38" t="s">
        <v>928</v>
      </c>
      <c r="F450" s="38" t="s">
        <v>618</v>
      </c>
    </row>
    <row r="451" spans="1:6">
      <c r="A451" s="38" t="s">
        <v>1065</v>
      </c>
      <c r="B451" s="40">
        <v>463.10000610351563</v>
      </c>
      <c r="C451" s="40">
        <v>341.60079956054688</v>
      </c>
      <c r="D451" s="38">
        <v>1319264</v>
      </c>
      <c r="E451" s="38" t="s">
        <v>928</v>
      </c>
      <c r="F451" s="38" t="s">
        <v>618</v>
      </c>
    </row>
    <row r="452" spans="1:6">
      <c r="A452" s="38" t="s">
        <v>1066</v>
      </c>
      <c r="B452" s="40">
        <v>454.79998779296875</v>
      </c>
      <c r="C452" s="40">
        <v>335.4783935546875</v>
      </c>
      <c r="D452" s="38">
        <v>850860</v>
      </c>
      <c r="E452" s="38" t="s">
        <v>928</v>
      </c>
      <c r="F452" s="38" t="s">
        <v>618</v>
      </c>
    </row>
    <row r="453" spans="1:6">
      <c r="A453" s="38" t="s">
        <v>1067</v>
      </c>
      <c r="B453" s="40">
        <v>468.10000610351563</v>
      </c>
      <c r="C453" s="40">
        <v>345.28900146484375</v>
      </c>
      <c r="D453" s="38">
        <v>1583314</v>
      </c>
      <c r="E453" s="38" t="s">
        <v>928</v>
      </c>
      <c r="F453" s="38" t="s">
        <v>618</v>
      </c>
    </row>
    <row r="454" spans="1:6">
      <c r="A454" s="38" t="s">
        <v>1068</v>
      </c>
      <c r="B454" s="40">
        <v>477.25</v>
      </c>
      <c r="C454" s="40">
        <v>352.03842163085938</v>
      </c>
      <c r="D454" s="38">
        <v>2859405</v>
      </c>
      <c r="E454" s="38" t="s">
        <v>928</v>
      </c>
      <c r="F454" s="38" t="s">
        <v>618</v>
      </c>
    </row>
    <row r="455" spans="1:6">
      <c r="A455" s="38" t="s">
        <v>1069</v>
      </c>
      <c r="B455" s="40">
        <v>476.39999389648438</v>
      </c>
      <c r="C455" s="40">
        <v>351.41140747070313</v>
      </c>
      <c r="D455" s="38">
        <v>1292782</v>
      </c>
      <c r="E455" s="38" t="s">
        <v>928</v>
      </c>
      <c r="F455" s="38" t="s">
        <v>618</v>
      </c>
    </row>
    <row r="456" spans="1:6">
      <c r="A456" s="38" t="s">
        <v>1070</v>
      </c>
      <c r="B456" s="40">
        <v>485.54998779296875</v>
      </c>
      <c r="C456" s="40">
        <v>358.1607666015625</v>
      </c>
      <c r="D456" s="38">
        <v>3746798</v>
      </c>
      <c r="E456" s="38" t="s">
        <v>928</v>
      </c>
      <c r="F456" s="38" t="s">
        <v>618</v>
      </c>
    </row>
    <row r="457" spans="1:6">
      <c r="A457" s="38" t="s">
        <v>1071</v>
      </c>
      <c r="B457" s="40">
        <v>482.04998779296875</v>
      </c>
      <c r="C457" s="40">
        <v>355.5791015625</v>
      </c>
      <c r="D457" s="38">
        <v>1509095</v>
      </c>
      <c r="E457" s="38" t="s">
        <v>928</v>
      </c>
      <c r="F457" s="38" t="s">
        <v>618</v>
      </c>
    </row>
    <row r="458" spans="1:6">
      <c r="A458" s="38" t="s">
        <v>1072</v>
      </c>
      <c r="B458" s="40">
        <v>488.5</v>
      </c>
      <c r="C458" s="40">
        <v>360.33688354492188</v>
      </c>
      <c r="D458" s="38">
        <v>3983511</v>
      </c>
      <c r="E458" s="38" t="s">
        <v>928</v>
      </c>
      <c r="F458" s="38" t="s">
        <v>618</v>
      </c>
    </row>
    <row r="459" spans="1:6">
      <c r="A459" s="38" t="s">
        <v>1073</v>
      </c>
      <c r="B459" s="40">
        <v>467.95001220703125</v>
      </c>
      <c r="C459" s="40">
        <v>345.17837524414063</v>
      </c>
      <c r="D459" s="38">
        <v>5545465</v>
      </c>
      <c r="E459" s="38" t="s">
        <v>928</v>
      </c>
      <c r="F459" s="38" t="s">
        <v>618</v>
      </c>
    </row>
    <row r="460" spans="1:6">
      <c r="A460" s="38" t="s">
        <v>1074</v>
      </c>
      <c r="B460" s="40">
        <v>463.45001220703125</v>
      </c>
      <c r="C460" s="40">
        <v>341.85897827148438</v>
      </c>
      <c r="D460" s="38">
        <v>1278344</v>
      </c>
      <c r="E460" s="38" t="s">
        <v>928</v>
      </c>
      <c r="F460" s="38" t="s">
        <v>618</v>
      </c>
    </row>
    <row r="461" spans="1:6">
      <c r="A461" s="38" t="s">
        <v>1075</v>
      </c>
      <c r="B461" s="40">
        <v>460.45001220703125</v>
      </c>
      <c r="C461" s="40">
        <v>339.64602661132813</v>
      </c>
      <c r="D461" s="38">
        <v>1701924</v>
      </c>
      <c r="E461" s="38" t="s">
        <v>928</v>
      </c>
      <c r="F461" s="38" t="s">
        <v>618</v>
      </c>
    </row>
    <row r="462" spans="1:6">
      <c r="A462" s="38" t="s">
        <v>1076</v>
      </c>
      <c r="B462" s="40">
        <v>470.5</v>
      </c>
      <c r="C462" s="40">
        <v>347.05935668945313</v>
      </c>
      <c r="D462" s="38">
        <v>4208801</v>
      </c>
      <c r="E462" s="38" t="s">
        <v>928</v>
      </c>
      <c r="F462" s="38" t="s">
        <v>618</v>
      </c>
    </row>
    <row r="463" spans="1:6">
      <c r="A463" s="38" t="s">
        <v>1077</v>
      </c>
      <c r="B463" s="40">
        <v>489.89999389648438</v>
      </c>
      <c r="C463" s="40">
        <v>361.36953735351563</v>
      </c>
      <c r="D463" s="38">
        <v>3566147</v>
      </c>
      <c r="E463" s="38" t="s">
        <v>928</v>
      </c>
      <c r="F463" s="38" t="s">
        <v>618</v>
      </c>
    </row>
    <row r="464" spans="1:6">
      <c r="A464" s="38" t="s">
        <v>1078</v>
      </c>
      <c r="B464" s="40">
        <v>490.25</v>
      </c>
      <c r="C464" s="40">
        <v>361.6278076171875</v>
      </c>
      <c r="D464" s="38">
        <v>1803442</v>
      </c>
      <c r="E464" s="38" t="s">
        <v>928</v>
      </c>
      <c r="F464" s="38" t="s">
        <v>618</v>
      </c>
    </row>
    <row r="465" spans="1:6">
      <c r="A465" s="38" t="s">
        <v>1079</v>
      </c>
      <c r="B465" s="40">
        <v>491</v>
      </c>
      <c r="C465" s="40">
        <v>362.180908203125</v>
      </c>
      <c r="D465" s="38">
        <v>1871915</v>
      </c>
      <c r="E465" s="38" t="s">
        <v>928</v>
      </c>
      <c r="F465" s="38" t="s">
        <v>618</v>
      </c>
    </row>
    <row r="466" spans="1:6">
      <c r="A466" s="38" t="s">
        <v>1080</v>
      </c>
      <c r="B466" s="40">
        <v>490.10000610351563</v>
      </c>
      <c r="C466" s="40">
        <v>361.51712036132813</v>
      </c>
      <c r="D466" s="38">
        <v>2140262</v>
      </c>
      <c r="E466" s="38" t="s">
        <v>928</v>
      </c>
      <c r="F466" s="38" t="s">
        <v>618</v>
      </c>
    </row>
    <row r="467" spans="1:6">
      <c r="A467" s="38" t="s">
        <v>1081</v>
      </c>
      <c r="B467" s="40">
        <v>487.89999389648438</v>
      </c>
      <c r="C467" s="40">
        <v>359.894287109375</v>
      </c>
      <c r="D467" s="38">
        <v>1426995</v>
      </c>
      <c r="E467" s="38" t="s">
        <v>928</v>
      </c>
      <c r="F467" s="38" t="s">
        <v>618</v>
      </c>
    </row>
    <row r="468" spans="1:6">
      <c r="A468" s="38" t="s">
        <v>1082</v>
      </c>
      <c r="B468" s="40">
        <v>496.54998779296875</v>
      </c>
      <c r="C468" s="40">
        <v>366.27484130859375</v>
      </c>
      <c r="D468" s="38">
        <v>1718584</v>
      </c>
      <c r="E468" s="38" t="s">
        <v>928</v>
      </c>
      <c r="F468" s="38" t="s">
        <v>618</v>
      </c>
    </row>
    <row r="469" spans="1:6">
      <c r="A469" s="38" t="s">
        <v>1083</v>
      </c>
      <c r="B469" s="40">
        <v>499.89999389648438</v>
      </c>
      <c r="C469" s="40">
        <v>368.74594116210938</v>
      </c>
      <c r="D469" s="38">
        <v>1376234</v>
      </c>
      <c r="E469" s="38" t="s">
        <v>928</v>
      </c>
      <c r="F469" s="38" t="s">
        <v>618</v>
      </c>
    </row>
    <row r="470" spans="1:6">
      <c r="A470" s="38" t="s">
        <v>1084</v>
      </c>
      <c r="B470" s="40">
        <v>484.54998779296875</v>
      </c>
      <c r="C470" s="40">
        <v>357.42315673828125</v>
      </c>
      <c r="D470" s="38">
        <v>2140643</v>
      </c>
      <c r="E470" s="38" t="s">
        <v>928</v>
      </c>
      <c r="F470" s="38" t="s">
        <v>618</v>
      </c>
    </row>
    <row r="471" spans="1:6">
      <c r="A471" s="38" t="s">
        <v>1085</v>
      </c>
      <c r="B471" s="40">
        <v>476.79998779296875</v>
      </c>
      <c r="C471" s="40">
        <v>351.70648193359375</v>
      </c>
      <c r="D471" s="38">
        <v>1527038</v>
      </c>
      <c r="E471" s="38" t="s">
        <v>928</v>
      </c>
      <c r="F471" s="38" t="s">
        <v>618</v>
      </c>
    </row>
    <row r="472" spans="1:6">
      <c r="A472" s="38" t="s">
        <v>1086</v>
      </c>
      <c r="B472" s="40">
        <v>493.85000610351563</v>
      </c>
      <c r="C472" s="40">
        <v>364.28326416015625</v>
      </c>
      <c r="D472" s="38">
        <v>2242785</v>
      </c>
      <c r="E472" s="38" t="s">
        <v>928</v>
      </c>
      <c r="F472" s="38" t="s">
        <v>618</v>
      </c>
    </row>
    <row r="473" spans="1:6">
      <c r="A473" s="38" t="s">
        <v>1087</v>
      </c>
      <c r="B473" s="40">
        <v>482.60000610351563</v>
      </c>
      <c r="C473" s="40">
        <v>355.98483276367188</v>
      </c>
      <c r="D473" s="38">
        <v>1932859</v>
      </c>
      <c r="E473" s="38" t="s">
        <v>928</v>
      </c>
      <c r="F473" s="38" t="s">
        <v>618</v>
      </c>
    </row>
    <row r="474" spans="1:6">
      <c r="A474" s="38" t="s">
        <v>1088</v>
      </c>
      <c r="B474" s="40">
        <v>489.60000610351563</v>
      </c>
      <c r="C474" s="40">
        <v>361.14822387695313</v>
      </c>
      <c r="D474" s="38">
        <v>1200242</v>
      </c>
      <c r="E474" s="38" t="s">
        <v>928</v>
      </c>
      <c r="F474" s="38" t="s">
        <v>618</v>
      </c>
    </row>
    <row r="475" spans="1:6">
      <c r="A475" s="38" t="s">
        <v>1089</v>
      </c>
      <c r="B475" s="40">
        <v>494.10000610351563</v>
      </c>
      <c r="C475" s="40">
        <v>364.46762084960938</v>
      </c>
      <c r="D475" s="38">
        <v>1701291</v>
      </c>
      <c r="E475" s="38" t="s">
        <v>928</v>
      </c>
      <c r="F475" s="38" t="s">
        <v>618</v>
      </c>
    </row>
    <row r="476" spans="1:6">
      <c r="A476" s="38" t="s">
        <v>1090</v>
      </c>
      <c r="B476" s="40">
        <v>498.75</v>
      </c>
      <c r="C476" s="40">
        <v>367.89764404296875</v>
      </c>
      <c r="D476" s="38">
        <v>1469508</v>
      </c>
      <c r="E476" s="38" t="s">
        <v>928</v>
      </c>
      <c r="F476" s="38" t="s">
        <v>618</v>
      </c>
    </row>
    <row r="477" spans="1:6">
      <c r="A477" s="38" t="s">
        <v>1091</v>
      </c>
      <c r="B477" s="40">
        <v>499.70001220703125</v>
      </c>
      <c r="C477" s="40">
        <v>368.598388671875</v>
      </c>
      <c r="D477" s="38">
        <v>2334856</v>
      </c>
      <c r="E477" s="38" t="s">
        <v>928</v>
      </c>
      <c r="F477" s="38" t="s">
        <v>618</v>
      </c>
    </row>
    <row r="478" spans="1:6">
      <c r="A478" s="38" t="s">
        <v>1092</v>
      </c>
      <c r="B478" s="40">
        <v>496.54998779296875</v>
      </c>
      <c r="C478" s="40">
        <v>366.27484130859375</v>
      </c>
      <c r="D478" s="38">
        <v>1438175</v>
      </c>
      <c r="E478" s="38" t="s">
        <v>928</v>
      </c>
      <c r="F478" s="38" t="s">
        <v>618</v>
      </c>
    </row>
    <row r="479" spans="1:6">
      <c r="A479" s="38" t="s">
        <v>1093</v>
      </c>
      <c r="B479" s="40">
        <v>489.25</v>
      </c>
      <c r="C479" s="40">
        <v>360.89007568359375</v>
      </c>
      <c r="D479" s="38">
        <v>2729850</v>
      </c>
      <c r="E479" s="38" t="s">
        <v>928</v>
      </c>
      <c r="F479" s="38" t="s">
        <v>618</v>
      </c>
    </row>
    <row r="480" spans="1:6">
      <c r="A480" s="38" t="s">
        <v>1094</v>
      </c>
      <c r="B480" s="40">
        <v>472.89999389648438</v>
      </c>
      <c r="C480" s="40">
        <v>348.82968139648438</v>
      </c>
      <c r="D480" s="38">
        <v>1962459</v>
      </c>
      <c r="E480" s="38" t="s">
        <v>928</v>
      </c>
      <c r="F480" s="38" t="s">
        <v>618</v>
      </c>
    </row>
    <row r="481" spans="1:6">
      <c r="A481" s="38" t="s">
        <v>1095</v>
      </c>
      <c r="B481" s="40">
        <v>472.79998779296875</v>
      </c>
      <c r="C481" s="40">
        <v>348.75588989257813</v>
      </c>
      <c r="D481" s="38">
        <v>2507080</v>
      </c>
      <c r="E481" s="38" t="s">
        <v>928</v>
      </c>
      <c r="F481" s="38" t="s">
        <v>618</v>
      </c>
    </row>
    <row r="482" spans="1:6">
      <c r="A482" s="38" t="s">
        <v>1096</v>
      </c>
      <c r="B482" s="40">
        <v>465.39999389648438</v>
      </c>
      <c r="C482" s="40">
        <v>343.29742431640625</v>
      </c>
      <c r="D482" s="38">
        <v>2977968</v>
      </c>
      <c r="E482" s="38" t="s">
        <v>928</v>
      </c>
      <c r="F482" s="38" t="s">
        <v>618</v>
      </c>
    </row>
    <row r="483" spans="1:6">
      <c r="A483" s="38" t="s">
        <v>1097</v>
      </c>
      <c r="B483" s="40">
        <v>472.25</v>
      </c>
      <c r="C483" s="40">
        <v>348.35025024414063</v>
      </c>
      <c r="D483" s="38">
        <v>1952199</v>
      </c>
      <c r="E483" s="38" t="s">
        <v>928</v>
      </c>
      <c r="F483" s="38" t="s">
        <v>618</v>
      </c>
    </row>
    <row r="484" spans="1:6">
      <c r="A484" s="38" t="s">
        <v>1098</v>
      </c>
      <c r="B484" s="40">
        <v>497.29998779296875</v>
      </c>
      <c r="C484" s="40">
        <v>366.82803344726563</v>
      </c>
      <c r="D484" s="38">
        <v>7475829</v>
      </c>
      <c r="E484" s="38" t="s">
        <v>928</v>
      </c>
      <c r="F484" s="38" t="s">
        <v>618</v>
      </c>
    </row>
    <row r="485" spans="1:6">
      <c r="A485" s="38" t="s">
        <v>1099</v>
      </c>
      <c r="B485" s="40">
        <v>496.10000610351563</v>
      </c>
      <c r="C485" s="40">
        <v>365.94290161132813</v>
      </c>
      <c r="D485" s="38">
        <v>2534022</v>
      </c>
      <c r="E485" s="38" t="s">
        <v>928</v>
      </c>
      <c r="F485" s="38" t="s">
        <v>618</v>
      </c>
    </row>
    <row r="486" spans="1:6">
      <c r="A486" s="38" t="s">
        <v>1100</v>
      </c>
      <c r="B486" s="40">
        <v>500.64999389648438</v>
      </c>
      <c r="C486" s="40">
        <v>369.29916381835938</v>
      </c>
      <c r="D486" s="38">
        <v>3215999</v>
      </c>
      <c r="E486" s="38" t="s">
        <v>928</v>
      </c>
      <c r="F486" s="38" t="s">
        <v>618</v>
      </c>
    </row>
    <row r="487" spans="1:6">
      <c r="A487" s="38" t="s">
        <v>1101</v>
      </c>
      <c r="B487" s="40">
        <v>501.20001220703125</v>
      </c>
      <c r="C487" s="40">
        <v>369.70486450195313</v>
      </c>
      <c r="D487" s="38">
        <v>4481699</v>
      </c>
      <c r="E487" s="38" t="s">
        <v>928</v>
      </c>
      <c r="F487" s="38" t="s">
        <v>618</v>
      </c>
    </row>
    <row r="488" spans="1:6">
      <c r="A488" s="38" t="s">
        <v>1102</v>
      </c>
      <c r="B488" s="40">
        <v>503.60000610351563</v>
      </c>
      <c r="C488" s="40">
        <v>371.47518920898438</v>
      </c>
      <c r="D488" s="38">
        <v>2052503</v>
      </c>
      <c r="E488" s="38" t="s">
        <v>928</v>
      </c>
      <c r="F488" s="38" t="s">
        <v>618</v>
      </c>
    </row>
    <row r="489" spans="1:6">
      <c r="A489" s="38" t="s">
        <v>1103</v>
      </c>
      <c r="B489" s="40">
        <v>514.25</v>
      </c>
      <c r="C489" s="40">
        <v>379.33108520507813</v>
      </c>
      <c r="D489" s="38">
        <v>4105304</v>
      </c>
      <c r="E489" s="38" t="s">
        <v>928</v>
      </c>
      <c r="F489" s="38" t="s">
        <v>618</v>
      </c>
    </row>
    <row r="490" spans="1:6">
      <c r="A490" s="38" t="s">
        <v>1104</v>
      </c>
      <c r="B490" s="40">
        <v>500.75</v>
      </c>
      <c r="C490" s="40">
        <v>369.3729248046875</v>
      </c>
      <c r="D490" s="38">
        <v>7010768</v>
      </c>
      <c r="E490" s="38" t="s">
        <v>928</v>
      </c>
      <c r="F490" s="38" t="s">
        <v>618</v>
      </c>
    </row>
    <row r="491" spans="1:6">
      <c r="A491" s="38" t="s">
        <v>1105</v>
      </c>
      <c r="B491" s="40">
        <v>494</v>
      </c>
      <c r="C491" s="40">
        <v>364.3939208984375</v>
      </c>
      <c r="D491" s="38">
        <v>2175527</v>
      </c>
      <c r="E491" s="38" t="s">
        <v>928</v>
      </c>
      <c r="F491" s="38" t="s">
        <v>618</v>
      </c>
    </row>
    <row r="492" spans="1:6">
      <c r="A492" s="38" t="s">
        <v>1106</v>
      </c>
      <c r="B492" s="40">
        <v>495.35000610351563</v>
      </c>
      <c r="C492" s="40">
        <v>365.38967895507813</v>
      </c>
      <c r="D492" s="38">
        <v>2168308</v>
      </c>
      <c r="E492" s="38" t="s">
        <v>928</v>
      </c>
      <c r="F492" s="38" t="s">
        <v>618</v>
      </c>
    </row>
    <row r="493" spans="1:6">
      <c r="A493" s="38" t="s">
        <v>1107</v>
      </c>
      <c r="B493" s="40">
        <v>492.95001220703125</v>
      </c>
      <c r="C493" s="40">
        <v>363.61935424804688</v>
      </c>
      <c r="D493" s="38">
        <v>1690391</v>
      </c>
      <c r="E493" s="38" t="s">
        <v>928</v>
      </c>
      <c r="F493" s="38" t="s">
        <v>618</v>
      </c>
    </row>
    <row r="494" spans="1:6">
      <c r="A494" s="38" t="s">
        <v>1108</v>
      </c>
      <c r="B494" s="40">
        <v>490.64999389648438</v>
      </c>
      <c r="C494" s="40">
        <v>361.92276000976563</v>
      </c>
      <c r="D494" s="38">
        <v>1483945</v>
      </c>
      <c r="E494" s="38" t="s">
        <v>928</v>
      </c>
      <c r="F494" s="38" t="s">
        <v>618</v>
      </c>
    </row>
    <row r="495" spans="1:6">
      <c r="A495" s="38" t="s">
        <v>1109</v>
      </c>
      <c r="B495" s="40">
        <v>493.45001220703125</v>
      </c>
      <c r="C495" s="40">
        <v>363.98818969726563</v>
      </c>
      <c r="D495" s="38">
        <v>1210792</v>
      </c>
      <c r="E495" s="38" t="s">
        <v>928</v>
      </c>
      <c r="F495" s="38" t="s">
        <v>618</v>
      </c>
    </row>
    <row r="496" spans="1:6">
      <c r="A496" s="38" t="s">
        <v>1110</v>
      </c>
      <c r="B496" s="40">
        <v>493.39999389648438</v>
      </c>
      <c r="C496" s="40">
        <v>363.95132446289063</v>
      </c>
      <c r="D496" s="38">
        <v>1095301</v>
      </c>
      <c r="E496" s="38" t="s">
        <v>928</v>
      </c>
      <c r="F496" s="38" t="s">
        <v>618</v>
      </c>
    </row>
    <row r="497" spans="1:6">
      <c r="A497" s="38" t="s">
        <v>1111</v>
      </c>
      <c r="B497" s="40">
        <v>503</v>
      </c>
      <c r="C497" s="40">
        <v>371.0325927734375</v>
      </c>
      <c r="D497" s="38">
        <v>2160870</v>
      </c>
      <c r="E497" s="38" t="s">
        <v>928</v>
      </c>
      <c r="F497" s="38" t="s">
        <v>618</v>
      </c>
    </row>
    <row r="498" spans="1:6">
      <c r="A498" s="38" t="s">
        <v>1112</v>
      </c>
      <c r="B498" s="40">
        <v>497.04998779296875</v>
      </c>
      <c r="C498" s="40">
        <v>366.64364624023438</v>
      </c>
      <c r="D498" s="38">
        <v>1943344</v>
      </c>
      <c r="E498" s="38" t="s">
        <v>928</v>
      </c>
      <c r="F498" s="38" t="s">
        <v>618</v>
      </c>
    </row>
    <row r="499" spans="1:6">
      <c r="A499" s="38" t="s">
        <v>1113</v>
      </c>
      <c r="B499" s="40">
        <v>504.04998779296875</v>
      </c>
      <c r="C499" s="40">
        <v>371.80709838867188</v>
      </c>
      <c r="D499" s="38">
        <v>1412805</v>
      </c>
      <c r="E499" s="38" t="s">
        <v>928</v>
      </c>
      <c r="F499" s="38" t="s">
        <v>618</v>
      </c>
    </row>
    <row r="500" spans="1:6">
      <c r="A500" s="38" t="s">
        <v>1114</v>
      </c>
      <c r="B500" s="40">
        <v>503.10000610351563</v>
      </c>
      <c r="C500" s="40">
        <v>371.10641479492188</v>
      </c>
      <c r="D500" s="38">
        <v>1115837</v>
      </c>
      <c r="E500" s="38" t="s">
        <v>928</v>
      </c>
      <c r="F500" s="38" t="s">
        <v>618</v>
      </c>
    </row>
    <row r="501" spans="1:6">
      <c r="A501" s="38" t="s">
        <v>1115</v>
      </c>
      <c r="B501" s="40">
        <v>513.95001220703125</v>
      </c>
      <c r="C501" s="40">
        <v>379.1097412109375</v>
      </c>
      <c r="D501" s="38">
        <v>2204383</v>
      </c>
      <c r="E501" s="38" t="s">
        <v>928</v>
      </c>
      <c r="F501" s="38" t="s">
        <v>618</v>
      </c>
    </row>
    <row r="502" spans="1:6">
      <c r="A502" s="38" t="s">
        <v>1116</v>
      </c>
      <c r="B502" s="40">
        <v>519.45001220703125</v>
      </c>
      <c r="C502" s="40">
        <v>383.16680908203125</v>
      </c>
      <c r="D502" s="38">
        <v>2288877</v>
      </c>
      <c r="E502" s="38" t="s">
        <v>928</v>
      </c>
      <c r="F502" s="38" t="s">
        <v>618</v>
      </c>
    </row>
    <row r="503" spans="1:6">
      <c r="A503" s="38" t="s">
        <v>1117</v>
      </c>
      <c r="B503" s="40">
        <v>522.54998779296875</v>
      </c>
      <c r="C503" s="40">
        <v>385.45339965820313</v>
      </c>
      <c r="D503" s="38">
        <v>1460097</v>
      </c>
      <c r="E503" s="38" t="s">
        <v>928</v>
      </c>
      <c r="F503" s="38" t="s">
        <v>618</v>
      </c>
    </row>
    <row r="504" spans="1:6">
      <c r="A504" s="38" t="s">
        <v>1118</v>
      </c>
      <c r="B504" s="40">
        <v>525.45001220703125</v>
      </c>
      <c r="C504" s="40">
        <v>387.5926513671875</v>
      </c>
      <c r="D504" s="38">
        <v>1756809</v>
      </c>
      <c r="E504" s="38" t="s">
        <v>928</v>
      </c>
      <c r="F504" s="38" t="s">
        <v>618</v>
      </c>
    </row>
    <row r="505" spans="1:6">
      <c r="A505" s="38" t="s">
        <v>1119</v>
      </c>
      <c r="B505" s="40">
        <v>536.29998779296875</v>
      </c>
      <c r="C505" s="40">
        <v>395.59600830078125</v>
      </c>
      <c r="D505" s="38">
        <v>2795379</v>
      </c>
      <c r="E505" s="38" t="s">
        <v>928</v>
      </c>
      <c r="F505" s="38" t="s">
        <v>618</v>
      </c>
    </row>
    <row r="506" spans="1:6">
      <c r="A506" s="38" t="s">
        <v>1120</v>
      </c>
      <c r="B506" s="40">
        <v>533.8499755859375</v>
      </c>
      <c r="C506" s="40">
        <v>393.78872680664063</v>
      </c>
      <c r="D506" s="38">
        <v>1855191</v>
      </c>
      <c r="E506" s="38" t="s">
        <v>928</v>
      </c>
      <c r="F506" s="38" t="s">
        <v>618</v>
      </c>
    </row>
    <row r="507" spans="1:6">
      <c r="A507" s="38" t="s">
        <v>1121</v>
      </c>
      <c r="B507" s="40">
        <v>542.0999755859375</v>
      </c>
      <c r="C507" s="40">
        <v>399.87432861328125</v>
      </c>
      <c r="D507" s="38">
        <v>2748547</v>
      </c>
      <c r="E507" s="38" t="s">
        <v>928</v>
      </c>
      <c r="F507" s="38" t="s">
        <v>618</v>
      </c>
    </row>
    <row r="508" spans="1:6">
      <c r="A508" s="38" t="s">
        <v>1122</v>
      </c>
      <c r="B508" s="40">
        <v>551.70001220703125</v>
      </c>
      <c r="C508" s="40">
        <v>406.95571899414063</v>
      </c>
      <c r="D508" s="38">
        <v>3485380</v>
      </c>
      <c r="E508" s="38" t="s">
        <v>928</v>
      </c>
      <c r="F508" s="38" t="s">
        <v>618</v>
      </c>
    </row>
    <row r="509" spans="1:6">
      <c r="A509" s="38" t="s">
        <v>1123</v>
      </c>
      <c r="B509" s="40">
        <v>550.75</v>
      </c>
      <c r="C509" s="40">
        <v>406.25485229492188</v>
      </c>
      <c r="D509" s="38">
        <v>2790912</v>
      </c>
      <c r="E509" s="38" t="s">
        <v>928</v>
      </c>
      <c r="F509" s="38" t="s">
        <v>618</v>
      </c>
    </row>
    <row r="510" spans="1:6">
      <c r="A510" s="38" t="s">
        <v>1124</v>
      </c>
      <c r="B510" s="40">
        <v>543.75</v>
      </c>
      <c r="C510" s="40">
        <v>401.09136962890625</v>
      </c>
      <c r="D510" s="38">
        <v>1959669</v>
      </c>
      <c r="E510" s="38" t="s">
        <v>928</v>
      </c>
      <c r="F510" s="38" t="s">
        <v>618</v>
      </c>
    </row>
    <row r="511" spans="1:6">
      <c r="A511" s="38" t="s">
        <v>1125</v>
      </c>
      <c r="B511" s="40">
        <v>557.6500244140625</v>
      </c>
      <c r="C511" s="40">
        <v>411.34463500976563</v>
      </c>
      <c r="D511" s="38">
        <v>4791310</v>
      </c>
      <c r="E511" s="38" t="s">
        <v>928</v>
      </c>
      <c r="F511" s="38" t="s">
        <v>618</v>
      </c>
    </row>
    <row r="512" spans="1:6">
      <c r="A512" s="38" t="s">
        <v>1126</v>
      </c>
      <c r="B512" s="40">
        <v>554.9000244140625</v>
      </c>
      <c r="C512" s="40">
        <v>409.31607055664063</v>
      </c>
      <c r="D512" s="38">
        <v>1636201</v>
      </c>
      <c r="E512" s="38" t="s">
        <v>928</v>
      </c>
      <c r="F512" s="38" t="s">
        <v>618</v>
      </c>
    </row>
    <row r="513" spans="1:6">
      <c r="A513" s="38" t="s">
        <v>1127</v>
      </c>
      <c r="B513" s="40">
        <v>552.6500244140625</v>
      </c>
      <c r="C513" s="40">
        <v>407.65643310546875</v>
      </c>
      <c r="D513" s="38">
        <v>2158972</v>
      </c>
      <c r="E513" s="38" t="s">
        <v>928</v>
      </c>
      <c r="F513" s="38" t="s">
        <v>618</v>
      </c>
    </row>
    <row r="514" spans="1:6">
      <c r="A514" s="38" t="s">
        <v>1128</v>
      </c>
      <c r="B514" s="40">
        <v>552.9000244140625</v>
      </c>
      <c r="C514" s="40">
        <v>407.84085083007813</v>
      </c>
      <c r="D514" s="38">
        <v>1951962</v>
      </c>
      <c r="E514" s="38" t="s">
        <v>928</v>
      </c>
      <c r="F514" s="38" t="s">
        <v>618</v>
      </c>
    </row>
    <row r="515" spans="1:6">
      <c r="A515" s="38" t="s">
        <v>1129</v>
      </c>
      <c r="B515" s="40">
        <v>569.5</v>
      </c>
      <c r="C515" s="40">
        <v>420.08563232421875</v>
      </c>
      <c r="D515" s="38">
        <v>4127554</v>
      </c>
      <c r="E515" s="38" t="s">
        <v>928</v>
      </c>
      <c r="F515" s="38" t="s">
        <v>618</v>
      </c>
    </row>
    <row r="516" spans="1:6">
      <c r="A516" s="38" t="s">
        <v>1130</v>
      </c>
      <c r="B516" s="40">
        <v>588.25</v>
      </c>
      <c r="C516" s="40">
        <v>433.9163818359375</v>
      </c>
      <c r="D516" s="38">
        <v>4103152</v>
      </c>
      <c r="E516" s="38" t="s">
        <v>928</v>
      </c>
      <c r="F516" s="38" t="s">
        <v>618</v>
      </c>
    </row>
    <row r="517" spans="1:6">
      <c r="A517" s="38" t="s">
        <v>1131</v>
      </c>
      <c r="B517" s="40">
        <v>603.1500244140625</v>
      </c>
      <c r="C517" s="40">
        <v>444.90719604492188</v>
      </c>
      <c r="D517" s="38">
        <v>6672393</v>
      </c>
      <c r="E517" s="38" t="s">
        <v>928</v>
      </c>
      <c r="F517" s="38" t="s">
        <v>618</v>
      </c>
    </row>
    <row r="518" spans="1:6">
      <c r="A518" s="38" t="s">
        <v>1132</v>
      </c>
      <c r="B518" s="40">
        <v>598.45001220703125</v>
      </c>
      <c r="C518" s="40">
        <v>441.44036865234375</v>
      </c>
      <c r="D518" s="38">
        <v>5104213</v>
      </c>
      <c r="E518" s="38" t="s">
        <v>928</v>
      </c>
      <c r="F518" s="38" t="s">
        <v>618</v>
      </c>
    </row>
    <row r="519" spans="1:6">
      <c r="A519" s="38" t="s">
        <v>1133</v>
      </c>
      <c r="B519" s="40">
        <v>604.79998779296875</v>
      </c>
      <c r="C519" s="40">
        <v>446.12423706054688</v>
      </c>
      <c r="D519" s="38">
        <v>3352495</v>
      </c>
      <c r="E519" s="38" t="s">
        <v>928</v>
      </c>
      <c r="F519" s="38" t="s">
        <v>618</v>
      </c>
    </row>
    <row r="520" spans="1:6">
      <c r="A520" s="38" t="s">
        <v>1134</v>
      </c>
      <c r="B520" s="40">
        <v>602.95001220703125</v>
      </c>
      <c r="C520" s="40">
        <v>444.75970458984375</v>
      </c>
      <c r="D520" s="38">
        <v>6290644</v>
      </c>
      <c r="E520" s="38" t="s">
        <v>928</v>
      </c>
      <c r="F520" s="38" t="s">
        <v>618</v>
      </c>
    </row>
    <row r="521" spans="1:6">
      <c r="A521" s="38" t="s">
        <v>1135</v>
      </c>
      <c r="B521" s="40">
        <v>612.6500244140625</v>
      </c>
      <c r="C521" s="40">
        <v>451.914794921875</v>
      </c>
      <c r="D521" s="38">
        <v>7244068</v>
      </c>
      <c r="E521" s="38" t="s">
        <v>928</v>
      </c>
      <c r="F521" s="38" t="s">
        <v>618</v>
      </c>
    </row>
    <row r="522" spans="1:6">
      <c r="A522" s="38" t="s">
        <v>1136</v>
      </c>
      <c r="B522" s="40">
        <v>611.04998779296875</v>
      </c>
      <c r="C522" s="40">
        <v>450.73458862304688</v>
      </c>
      <c r="D522" s="38">
        <v>2479739</v>
      </c>
      <c r="E522" s="38" t="s">
        <v>928</v>
      </c>
      <c r="F522" s="38" t="s">
        <v>618</v>
      </c>
    </row>
    <row r="523" spans="1:6">
      <c r="A523" s="38" t="s">
        <v>1137</v>
      </c>
      <c r="B523" s="40">
        <v>619.45001220703125</v>
      </c>
      <c r="C523" s="40">
        <v>456.9307861328125</v>
      </c>
      <c r="D523" s="38">
        <v>3994302</v>
      </c>
      <c r="E523" s="38" t="s">
        <v>928</v>
      </c>
      <c r="F523" s="38" t="s">
        <v>618</v>
      </c>
    </row>
    <row r="524" spans="1:6">
      <c r="A524" s="38" t="s">
        <v>1138</v>
      </c>
      <c r="B524" s="40">
        <v>629.04998779296875</v>
      </c>
      <c r="C524" s="40">
        <v>464.01214599609375</v>
      </c>
      <c r="D524" s="38">
        <v>3500770</v>
      </c>
      <c r="E524" s="38" t="s">
        <v>928</v>
      </c>
      <c r="F524" s="38" t="s">
        <v>618</v>
      </c>
    </row>
    <row r="525" spans="1:6">
      <c r="A525" s="38" t="s">
        <v>1139</v>
      </c>
      <c r="B525" s="40">
        <v>606.70001220703125</v>
      </c>
      <c r="C525" s="40">
        <v>447.52590942382813</v>
      </c>
      <c r="D525" s="38">
        <v>3104038</v>
      </c>
      <c r="E525" s="38" t="s">
        <v>928</v>
      </c>
      <c r="F525" s="38" t="s">
        <v>618</v>
      </c>
    </row>
    <row r="526" spans="1:6">
      <c r="A526" s="38" t="s">
        <v>1140</v>
      </c>
      <c r="B526" s="40">
        <v>603.0999755859375</v>
      </c>
      <c r="C526" s="40">
        <v>444.87039184570313</v>
      </c>
      <c r="D526" s="38">
        <v>3653165</v>
      </c>
      <c r="E526" s="38" t="s">
        <v>928</v>
      </c>
      <c r="F526" s="38" t="s">
        <v>618</v>
      </c>
    </row>
    <row r="527" spans="1:6">
      <c r="A527" s="38" t="s">
        <v>1141</v>
      </c>
      <c r="B527" s="40">
        <v>608.25</v>
      </c>
      <c r="C527" s="40">
        <v>448.669189453125</v>
      </c>
      <c r="D527" s="38">
        <v>2894969</v>
      </c>
      <c r="E527" s="38" t="s">
        <v>928</v>
      </c>
      <c r="F527" s="38" t="s">
        <v>618</v>
      </c>
    </row>
    <row r="528" spans="1:6">
      <c r="A528" s="38" t="s">
        <v>1142</v>
      </c>
      <c r="B528" s="40">
        <v>595.25</v>
      </c>
      <c r="C528" s="40">
        <v>439.07986450195313</v>
      </c>
      <c r="D528" s="38">
        <v>3481551</v>
      </c>
      <c r="E528" s="38" t="s">
        <v>928</v>
      </c>
      <c r="F528" s="38" t="s">
        <v>618</v>
      </c>
    </row>
    <row r="529" spans="1:6">
      <c r="A529" s="38" t="s">
        <v>1143</v>
      </c>
      <c r="B529" s="40">
        <v>590.3499755859375</v>
      </c>
      <c r="C529" s="40">
        <v>435.4654541015625</v>
      </c>
      <c r="D529" s="38">
        <v>2343988</v>
      </c>
      <c r="E529" s="38" t="s">
        <v>928</v>
      </c>
      <c r="F529" s="38" t="s">
        <v>618</v>
      </c>
    </row>
    <row r="530" spans="1:6">
      <c r="A530" s="38" t="s">
        <v>1144</v>
      </c>
      <c r="B530" s="40">
        <v>611.5</v>
      </c>
      <c r="C530" s="40">
        <v>451.06649780273438</v>
      </c>
      <c r="D530" s="38">
        <v>5004415</v>
      </c>
      <c r="E530" s="38" t="s">
        <v>928</v>
      </c>
      <c r="F530" s="38" t="s">
        <v>618</v>
      </c>
    </row>
    <row r="531" spans="1:6">
      <c r="A531" s="38" t="s">
        <v>1145</v>
      </c>
      <c r="B531" s="40">
        <v>605.6500244140625</v>
      </c>
      <c r="C531" s="40">
        <v>446.75125122070313</v>
      </c>
      <c r="D531" s="38">
        <v>1676641</v>
      </c>
      <c r="E531" s="38" t="s">
        <v>928</v>
      </c>
      <c r="F531" s="38" t="s">
        <v>618</v>
      </c>
    </row>
    <row r="532" spans="1:6">
      <c r="A532" s="38" t="s">
        <v>1146</v>
      </c>
      <c r="B532" s="40">
        <v>584.3499755859375</v>
      </c>
      <c r="C532" s="40">
        <v>431.03952026367188</v>
      </c>
      <c r="D532" s="38">
        <v>2887255</v>
      </c>
      <c r="E532" s="38" t="s">
        <v>928</v>
      </c>
      <c r="F532" s="38" t="s">
        <v>618</v>
      </c>
    </row>
    <row r="533" spans="1:6">
      <c r="A533" s="38" t="s">
        <v>1147</v>
      </c>
      <c r="B533" s="40">
        <v>572.45001220703125</v>
      </c>
      <c r="C533" s="40">
        <v>422.26168823242188</v>
      </c>
      <c r="D533" s="38">
        <v>3170119</v>
      </c>
      <c r="E533" s="38" t="s">
        <v>928</v>
      </c>
      <c r="F533" s="38" t="s">
        <v>618</v>
      </c>
    </row>
    <row r="534" spans="1:6">
      <c r="A534" s="38" t="s">
        <v>1148</v>
      </c>
      <c r="B534" s="40">
        <v>574.20001220703125</v>
      </c>
      <c r="C534" s="40">
        <v>423.5526123046875</v>
      </c>
      <c r="D534" s="38">
        <v>2273116</v>
      </c>
      <c r="E534" s="38" t="s">
        <v>928</v>
      </c>
      <c r="F534" s="38" t="s">
        <v>618</v>
      </c>
    </row>
    <row r="535" spans="1:6">
      <c r="A535" s="38" t="s">
        <v>1149</v>
      </c>
      <c r="B535" s="40">
        <v>595.20001220703125</v>
      </c>
      <c r="C535" s="40">
        <v>439.04302978515625</v>
      </c>
      <c r="D535" s="38">
        <v>5590807</v>
      </c>
      <c r="E535" s="38" t="s">
        <v>928</v>
      </c>
      <c r="F535" s="38" t="s">
        <v>618</v>
      </c>
    </row>
    <row r="536" spans="1:6">
      <c r="A536" s="38" t="s">
        <v>1150</v>
      </c>
      <c r="B536" s="40">
        <v>602.5999755859375</v>
      </c>
      <c r="C536" s="40">
        <v>444.50149536132813</v>
      </c>
      <c r="D536" s="38">
        <v>4421727</v>
      </c>
      <c r="E536" s="38" t="s">
        <v>928</v>
      </c>
      <c r="F536" s="38" t="s">
        <v>618</v>
      </c>
    </row>
    <row r="537" spans="1:6">
      <c r="A537" s="38" t="s">
        <v>1151</v>
      </c>
      <c r="B537" s="40">
        <v>621.45001220703125</v>
      </c>
      <c r="C537" s="40">
        <v>458.40597534179688</v>
      </c>
      <c r="D537" s="38">
        <v>3490526</v>
      </c>
      <c r="E537" s="38" t="s">
        <v>928</v>
      </c>
      <c r="F537" s="38" t="s">
        <v>618</v>
      </c>
    </row>
    <row r="538" spans="1:6">
      <c r="A538" s="38" t="s">
        <v>1152</v>
      </c>
      <c r="B538" s="40">
        <v>612.45001220703125</v>
      </c>
      <c r="C538" s="40">
        <v>451.76736450195313</v>
      </c>
      <c r="D538" s="38">
        <v>2923731</v>
      </c>
      <c r="E538" s="38" t="s">
        <v>928</v>
      </c>
      <c r="F538" s="38" t="s">
        <v>618</v>
      </c>
    </row>
    <row r="539" spans="1:6">
      <c r="A539" s="38" t="s">
        <v>1153</v>
      </c>
      <c r="B539" s="40">
        <v>610.54998779296875</v>
      </c>
      <c r="C539" s="40">
        <v>450.36575317382813</v>
      </c>
      <c r="D539" s="38">
        <v>1905663</v>
      </c>
      <c r="E539" s="38" t="s">
        <v>928</v>
      </c>
      <c r="F539" s="38" t="s">
        <v>618</v>
      </c>
    </row>
    <row r="540" spans="1:6">
      <c r="A540" s="38" t="s">
        <v>1154</v>
      </c>
      <c r="B540" s="40">
        <v>612.6500244140625</v>
      </c>
      <c r="C540" s="40">
        <v>451.914794921875</v>
      </c>
      <c r="D540" s="38">
        <v>2113430</v>
      </c>
      <c r="E540" s="38" t="s">
        <v>928</v>
      </c>
      <c r="F540" s="38" t="s">
        <v>618</v>
      </c>
    </row>
    <row r="541" spans="1:6">
      <c r="A541" s="38" t="s">
        <v>1155</v>
      </c>
      <c r="B541" s="40">
        <v>611.9000244140625</v>
      </c>
      <c r="C541" s="40">
        <v>451.361572265625</v>
      </c>
      <c r="D541" s="38">
        <v>2226114</v>
      </c>
      <c r="E541" s="38" t="s">
        <v>928</v>
      </c>
      <c r="F541" s="38" t="s">
        <v>618</v>
      </c>
    </row>
    <row r="542" spans="1:6">
      <c r="A542" s="38" t="s">
        <v>1156</v>
      </c>
      <c r="B542" s="40">
        <v>630.8499755859375</v>
      </c>
      <c r="C542" s="40">
        <v>465.33978271484375</v>
      </c>
      <c r="D542" s="38">
        <v>4765322</v>
      </c>
      <c r="E542" s="38" t="s">
        <v>928</v>
      </c>
      <c r="F542" s="38" t="s">
        <v>618</v>
      </c>
    </row>
    <row r="543" spans="1:6">
      <c r="A543" s="38" t="s">
        <v>1157</v>
      </c>
      <c r="B543" s="40">
        <v>617.25</v>
      </c>
      <c r="C543" s="40">
        <v>455.30789184570313</v>
      </c>
      <c r="D543" s="38">
        <v>2424505</v>
      </c>
      <c r="E543" s="38" t="s">
        <v>928</v>
      </c>
      <c r="F543" s="38" t="s">
        <v>618</v>
      </c>
    </row>
    <row r="544" spans="1:6">
      <c r="A544" s="38" t="s">
        <v>1158</v>
      </c>
      <c r="B544" s="40">
        <v>609.04998779296875</v>
      </c>
      <c r="C544" s="40">
        <v>449.25921630859375</v>
      </c>
      <c r="D544" s="38">
        <v>1787149</v>
      </c>
      <c r="E544" s="38" t="s">
        <v>928</v>
      </c>
      <c r="F544" s="38" t="s">
        <v>618</v>
      </c>
    </row>
    <row r="545" spans="1:6">
      <c r="A545" s="38" t="s">
        <v>1159</v>
      </c>
      <c r="B545" s="40">
        <v>607.20001220703125</v>
      </c>
      <c r="C545" s="40">
        <v>447.89462280273438</v>
      </c>
      <c r="D545" s="38">
        <v>1858046</v>
      </c>
      <c r="E545" s="38" t="s">
        <v>928</v>
      </c>
      <c r="F545" s="38" t="s">
        <v>618</v>
      </c>
    </row>
    <row r="546" spans="1:6">
      <c r="A546" s="38" t="s">
        <v>1160</v>
      </c>
      <c r="B546" s="40">
        <v>619.20001220703125</v>
      </c>
      <c r="C546" s="40">
        <v>456.746337890625</v>
      </c>
      <c r="D546" s="38">
        <v>2095483</v>
      </c>
      <c r="E546" s="38" t="s">
        <v>928</v>
      </c>
      <c r="F546" s="38" t="s">
        <v>618</v>
      </c>
    </row>
    <row r="547" spans="1:6">
      <c r="A547" s="38" t="s">
        <v>1161</v>
      </c>
      <c r="B547" s="40">
        <v>619.54998779296875</v>
      </c>
      <c r="C547" s="40">
        <v>457.00442504882813</v>
      </c>
      <c r="D547" s="38">
        <v>4336200</v>
      </c>
      <c r="E547" s="38" t="s">
        <v>928</v>
      </c>
      <c r="F547" s="38" t="s">
        <v>618</v>
      </c>
    </row>
    <row r="548" spans="1:6">
      <c r="A548" s="38" t="s">
        <v>1162</v>
      </c>
      <c r="B548" s="40">
        <v>619.1500244140625</v>
      </c>
      <c r="C548" s="40">
        <v>456.70953369140625</v>
      </c>
      <c r="D548" s="38">
        <v>2306960</v>
      </c>
      <c r="E548" s="38" t="s">
        <v>928</v>
      </c>
      <c r="F548" s="38" t="s">
        <v>618</v>
      </c>
    </row>
    <row r="549" spans="1:6">
      <c r="A549" s="38" t="s">
        <v>1163</v>
      </c>
      <c r="B549" s="40">
        <v>639.0999755859375</v>
      </c>
      <c r="C549" s="40">
        <v>471.42538452148438</v>
      </c>
      <c r="D549" s="38">
        <v>3825750</v>
      </c>
      <c r="E549" s="38" t="s">
        <v>928</v>
      </c>
      <c r="F549" s="38" t="s">
        <v>618</v>
      </c>
    </row>
    <row r="550" spans="1:6">
      <c r="A550" s="38" t="s">
        <v>1164</v>
      </c>
      <c r="B550" s="40">
        <v>631.8499755859375</v>
      </c>
      <c r="C550" s="40">
        <v>466.07748413085938</v>
      </c>
      <c r="D550" s="38">
        <v>5855371</v>
      </c>
      <c r="E550" s="38" t="s">
        <v>928</v>
      </c>
      <c r="F550" s="38" t="s">
        <v>618</v>
      </c>
    </row>
    <row r="551" spans="1:6">
      <c r="A551" s="38" t="s">
        <v>1165</v>
      </c>
      <c r="B551" s="40">
        <v>634.70001220703125</v>
      </c>
      <c r="C551" s="40">
        <v>468.17977905273438</v>
      </c>
      <c r="D551" s="38">
        <v>3741772</v>
      </c>
      <c r="E551" s="38" t="s">
        <v>928</v>
      </c>
      <c r="F551" s="38" t="s">
        <v>618</v>
      </c>
    </row>
    <row r="552" spans="1:6">
      <c r="A552" s="38" t="s">
        <v>1166</v>
      </c>
      <c r="B552" s="40">
        <v>609.9000244140625</v>
      </c>
      <c r="C552" s="40">
        <v>449.88629150390625</v>
      </c>
      <c r="D552" s="38">
        <v>1731324</v>
      </c>
      <c r="E552" s="38" t="s">
        <v>928</v>
      </c>
      <c r="F552" s="38" t="s">
        <v>618</v>
      </c>
    </row>
    <row r="553" spans="1:6">
      <c r="A553" s="38" t="s">
        <v>1167</v>
      </c>
      <c r="B553" s="40">
        <v>633.4000244140625</v>
      </c>
      <c r="C553" s="40">
        <v>467.22085571289063</v>
      </c>
      <c r="D553" s="38">
        <v>3320421</v>
      </c>
      <c r="E553" s="38" t="s">
        <v>928</v>
      </c>
      <c r="F553" s="38" t="s">
        <v>618</v>
      </c>
    </row>
    <row r="554" spans="1:6">
      <c r="A554" s="38" t="s">
        <v>1168</v>
      </c>
      <c r="B554" s="40">
        <v>625.8499755859375</v>
      </c>
      <c r="C554" s="40">
        <v>461.651611328125</v>
      </c>
      <c r="D554" s="38">
        <v>2428150</v>
      </c>
      <c r="E554" s="38" t="s">
        <v>928</v>
      </c>
      <c r="F554" s="38" t="s">
        <v>618</v>
      </c>
    </row>
    <row r="555" spans="1:6">
      <c r="A555" s="38" t="s">
        <v>1169</v>
      </c>
      <c r="B555" s="40">
        <v>619.04998779296875</v>
      </c>
      <c r="C555" s="40">
        <v>456.63571166992188</v>
      </c>
      <c r="D555" s="38">
        <v>1785067</v>
      </c>
      <c r="E555" s="38" t="s">
        <v>928</v>
      </c>
      <c r="F555" s="38" t="s">
        <v>618</v>
      </c>
    </row>
    <row r="556" spans="1:6">
      <c r="A556" s="38" t="s">
        <v>1170</v>
      </c>
      <c r="B556" s="40">
        <v>623.3499755859375</v>
      </c>
      <c r="C556" s="40">
        <v>459.80752563476563</v>
      </c>
      <c r="D556" s="38">
        <v>3153066</v>
      </c>
      <c r="E556" s="38" t="s">
        <v>928</v>
      </c>
      <c r="F556" s="38" t="s">
        <v>618</v>
      </c>
    </row>
    <row r="557" spans="1:6">
      <c r="A557" s="38" t="s">
        <v>1171</v>
      </c>
      <c r="B557" s="40">
        <v>620.4000244140625</v>
      </c>
      <c r="C557" s="40">
        <v>457.63143920898438</v>
      </c>
      <c r="D557" s="38">
        <v>1552991</v>
      </c>
      <c r="E557" s="38" t="s">
        <v>928</v>
      </c>
      <c r="F557" s="38" t="s">
        <v>618</v>
      </c>
    </row>
    <row r="558" spans="1:6">
      <c r="A558" s="38" t="s">
        <v>1172</v>
      </c>
      <c r="B558" s="40">
        <v>621.6500244140625</v>
      </c>
      <c r="C558" s="40">
        <v>458.55352783203125</v>
      </c>
      <c r="D558" s="38">
        <v>1135697</v>
      </c>
      <c r="E558" s="38" t="s">
        <v>928</v>
      </c>
      <c r="F558" s="38" t="s">
        <v>618</v>
      </c>
    </row>
    <row r="559" spans="1:6">
      <c r="A559" s="38" t="s">
        <v>1173</v>
      </c>
      <c r="B559" s="40">
        <v>638.70001220703125</v>
      </c>
      <c r="C559" s="40">
        <v>471.13031005859375</v>
      </c>
      <c r="D559" s="38">
        <v>5534298</v>
      </c>
      <c r="E559" s="38" t="s">
        <v>928</v>
      </c>
      <c r="F559" s="38" t="s">
        <v>618</v>
      </c>
    </row>
    <row r="560" spans="1:6">
      <c r="A560" s="38" t="s">
        <v>1174</v>
      </c>
      <c r="B560" s="40">
        <v>640.29998779296875</v>
      </c>
      <c r="C560" s="40">
        <v>472.31045532226563</v>
      </c>
      <c r="D560" s="38">
        <v>2095519</v>
      </c>
      <c r="E560" s="38" t="s">
        <v>1175</v>
      </c>
      <c r="F560" s="38" t="s">
        <v>618</v>
      </c>
    </row>
    <row r="561" spans="1:6">
      <c r="A561" s="38" t="s">
        <v>1176</v>
      </c>
      <c r="B561" s="40">
        <v>615.95001220703125</v>
      </c>
      <c r="C561" s="40">
        <v>454.34902954101563</v>
      </c>
      <c r="D561" s="38">
        <v>3851192</v>
      </c>
      <c r="E561" s="38" t="s">
        <v>1175</v>
      </c>
      <c r="F561" s="38" t="s">
        <v>618</v>
      </c>
    </row>
    <row r="562" spans="1:6">
      <c r="A562" s="38" t="s">
        <v>1177</v>
      </c>
      <c r="B562" s="40">
        <v>606.29998779296875</v>
      </c>
      <c r="C562" s="40">
        <v>447.23080444335938</v>
      </c>
      <c r="D562" s="38">
        <v>2670676</v>
      </c>
      <c r="E562" s="38" t="s">
        <v>1175</v>
      </c>
      <c r="F562" s="38" t="s">
        <v>618</v>
      </c>
    </row>
    <row r="563" spans="1:6">
      <c r="A563" s="38" t="s">
        <v>1178</v>
      </c>
      <c r="B563" s="40">
        <v>617.3499755859375</v>
      </c>
      <c r="C563" s="40">
        <v>455.38168334960938</v>
      </c>
      <c r="D563" s="38">
        <v>2809480</v>
      </c>
      <c r="E563" s="38" t="s">
        <v>1175</v>
      </c>
      <c r="F563" s="38" t="s">
        <v>618</v>
      </c>
    </row>
    <row r="564" spans="1:6">
      <c r="A564" s="38" t="s">
        <v>1179</v>
      </c>
      <c r="B564" s="40">
        <v>618.20001220703125</v>
      </c>
      <c r="C564" s="40">
        <v>456.0086669921875</v>
      </c>
      <c r="D564" s="38">
        <v>1160620</v>
      </c>
      <c r="E564" s="38" t="s">
        <v>1175</v>
      </c>
      <c r="F564" s="38" t="s">
        <v>618</v>
      </c>
    </row>
    <row r="565" spans="1:6">
      <c r="A565" s="38" t="s">
        <v>1180</v>
      </c>
      <c r="B565" s="40">
        <v>614.8499755859375</v>
      </c>
      <c r="C565" s="40">
        <v>453.53759765625</v>
      </c>
      <c r="D565" s="38">
        <v>1427650</v>
      </c>
      <c r="E565" s="38" t="s">
        <v>1175</v>
      </c>
      <c r="F565" s="38" t="s">
        <v>618</v>
      </c>
    </row>
    <row r="566" spans="1:6">
      <c r="A566" s="38" t="s">
        <v>1181</v>
      </c>
      <c r="B566" s="40">
        <v>626.45001220703125</v>
      </c>
      <c r="C566" s="40">
        <v>462.09429931640625</v>
      </c>
      <c r="D566" s="38">
        <v>2085181</v>
      </c>
      <c r="E566" s="38" t="s">
        <v>1175</v>
      </c>
      <c r="F566" s="38" t="s">
        <v>618</v>
      </c>
    </row>
    <row r="567" spans="1:6">
      <c r="A567" s="38" t="s">
        <v>1182</v>
      </c>
      <c r="B567" s="40">
        <v>633.3499755859375</v>
      </c>
      <c r="C567" s="40">
        <v>467.18402099609375</v>
      </c>
      <c r="D567" s="38">
        <v>2139871</v>
      </c>
      <c r="E567" s="38" t="s">
        <v>1175</v>
      </c>
      <c r="F567" s="38" t="s">
        <v>618</v>
      </c>
    </row>
    <row r="568" spans="1:6">
      <c r="A568" s="38" t="s">
        <v>1183</v>
      </c>
      <c r="B568" s="40">
        <v>652.79998779296875</v>
      </c>
      <c r="C568" s="40">
        <v>481.531005859375</v>
      </c>
      <c r="D568" s="38">
        <v>3614281</v>
      </c>
      <c r="E568" s="38" t="s">
        <v>1175</v>
      </c>
      <c r="F568" s="38" t="s">
        <v>618</v>
      </c>
    </row>
    <row r="569" spans="1:6">
      <c r="A569" s="38" t="s">
        <v>1184</v>
      </c>
      <c r="B569" s="40">
        <v>671.54998779296875</v>
      </c>
      <c r="C569" s="40">
        <v>495.36175537109375</v>
      </c>
      <c r="D569" s="38">
        <v>5653116</v>
      </c>
      <c r="E569" s="38" t="s">
        <v>1175</v>
      </c>
      <c r="F569" s="38" t="s">
        <v>618</v>
      </c>
    </row>
    <row r="570" spans="1:6">
      <c r="A570" s="38" t="s">
        <v>1185</v>
      </c>
      <c r="B570" s="40">
        <v>668.70001220703125</v>
      </c>
      <c r="C570" s="40">
        <v>493.25942993164063</v>
      </c>
      <c r="D570" s="38">
        <v>3931095</v>
      </c>
      <c r="E570" s="38" t="s">
        <v>1175</v>
      </c>
      <c r="F570" s="38" t="s">
        <v>618</v>
      </c>
    </row>
    <row r="571" spans="1:6">
      <c r="A571" s="38" t="s">
        <v>1186</v>
      </c>
      <c r="B571" s="40">
        <v>668.29998779296875</v>
      </c>
      <c r="C571" s="40">
        <v>492.96438598632813</v>
      </c>
      <c r="D571" s="38">
        <v>1576573</v>
      </c>
      <c r="E571" s="38" t="s">
        <v>1175</v>
      </c>
      <c r="F571" s="38" t="s">
        <v>618</v>
      </c>
    </row>
    <row r="572" spans="1:6">
      <c r="A572" s="38" t="s">
        <v>1187</v>
      </c>
      <c r="B572" s="40">
        <v>656.79998779296875</v>
      </c>
      <c r="C572" s="40">
        <v>484.48162841796875</v>
      </c>
      <c r="D572" s="38">
        <v>1676060</v>
      </c>
      <c r="E572" s="38" t="s">
        <v>1175</v>
      </c>
      <c r="F572" s="38" t="s">
        <v>618</v>
      </c>
    </row>
    <row r="573" spans="1:6">
      <c r="A573" s="38" t="s">
        <v>1188</v>
      </c>
      <c r="B573" s="40">
        <v>665.20001220703125</v>
      </c>
      <c r="C573" s="40">
        <v>490.67767333984375</v>
      </c>
      <c r="D573" s="38">
        <v>2662071</v>
      </c>
      <c r="E573" s="38" t="s">
        <v>1175</v>
      </c>
      <c r="F573" s="38" t="s">
        <v>618</v>
      </c>
    </row>
    <row r="574" spans="1:6">
      <c r="A574" s="38" t="s">
        <v>1189</v>
      </c>
      <c r="B574" s="40">
        <v>700.5</v>
      </c>
      <c r="C574" s="40">
        <v>516.71636962890625</v>
      </c>
      <c r="D574" s="38">
        <v>5490181</v>
      </c>
      <c r="E574" s="38" t="s">
        <v>1175</v>
      </c>
      <c r="F574" s="38" t="s">
        <v>618</v>
      </c>
    </row>
    <row r="575" spans="1:6">
      <c r="A575" s="38" t="s">
        <v>1190</v>
      </c>
      <c r="B575" s="40">
        <v>702</v>
      </c>
      <c r="C575" s="40">
        <v>517.8228759765625</v>
      </c>
      <c r="D575" s="38">
        <v>6998046</v>
      </c>
      <c r="E575" s="38" t="s">
        <v>1175</v>
      </c>
      <c r="F575" s="38" t="s">
        <v>618</v>
      </c>
    </row>
    <row r="576" spans="1:6">
      <c r="A576" s="38" t="s">
        <v>1191</v>
      </c>
      <c r="B576" s="40">
        <v>682.70001220703125</v>
      </c>
      <c r="C576" s="40">
        <v>503.58648681640625</v>
      </c>
      <c r="D576" s="38">
        <v>2728320</v>
      </c>
      <c r="E576" s="38" t="s">
        <v>1175</v>
      </c>
      <c r="F576" s="38" t="s">
        <v>618</v>
      </c>
    </row>
    <row r="577" spans="1:6">
      <c r="A577" s="38" t="s">
        <v>1192</v>
      </c>
      <c r="B577" s="40">
        <v>686.4000244140625</v>
      </c>
      <c r="C577" s="40">
        <v>506.31570434570313</v>
      </c>
      <c r="D577" s="38">
        <v>4560558</v>
      </c>
      <c r="E577" s="38" t="s">
        <v>1175</v>
      </c>
      <c r="F577" s="38" t="s">
        <v>618</v>
      </c>
    </row>
    <row r="578" spans="1:6">
      <c r="A578" s="38" t="s">
        <v>1193</v>
      </c>
      <c r="B578" s="40">
        <v>691.0999755859375</v>
      </c>
      <c r="C578" s="40">
        <v>509.78250122070313</v>
      </c>
      <c r="D578" s="38">
        <v>2852323</v>
      </c>
      <c r="E578" s="38" t="s">
        <v>1175</v>
      </c>
      <c r="F578" s="38" t="s">
        <v>618</v>
      </c>
    </row>
    <row r="579" spans="1:6">
      <c r="A579" s="38" t="s">
        <v>1194</v>
      </c>
      <c r="B579" s="40">
        <v>670.5</v>
      </c>
      <c r="C579" s="40">
        <v>494.58731079101563</v>
      </c>
      <c r="D579" s="38">
        <v>3756249</v>
      </c>
      <c r="E579" s="38" t="s">
        <v>1175</v>
      </c>
      <c r="F579" s="38" t="s">
        <v>618</v>
      </c>
    </row>
    <row r="580" spans="1:6">
      <c r="A580" s="38" t="s">
        <v>1195</v>
      </c>
      <c r="B580" s="40">
        <v>670.5999755859375</v>
      </c>
      <c r="C580" s="40">
        <v>494.66107177734375</v>
      </c>
      <c r="D580" s="38">
        <v>2639069</v>
      </c>
      <c r="E580" s="38" t="s">
        <v>1175</v>
      </c>
      <c r="F580" s="38" t="s">
        <v>618</v>
      </c>
    </row>
    <row r="581" spans="1:6">
      <c r="A581" s="38" t="s">
        <v>1196</v>
      </c>
      <c r="B581" s="40">
        <v>662.54998779296875</v>
      </c>
      <c r="C581" s="40">
        <v>488.7230224609375</v>
      </c>
      <c r="D581" s="38">
        <v>1745715</v>
      </c>
      <c r="E581" s="38" t="s">
        <v>1175</v>
      </c>
      <c r="F581" s="38" t="s">
        <v>618</v>
      </c>
    </row>
    <row r="582" spans="1:6">
      <c r="A582" s="38" t="s">
        <v>1197</v>
      </c>
      <c r="B582" s="40">
        <v>652.95001220703125</v>
      </c>
      <c r="C582" s="40">
        <v>481.6416015625</v>
      </c>
      <c r="D582" s="38">
        <v>2284475</v>
      </c>
      <c r="E582" s="38" t="s">
        <v>1175</v>
      </c>
      <c r="F582" s="38" t="s">
        <v>618</v>
      </c>
    </row>
    <row r="583" spans="1:6">
      <c r="A583" s="38" t="s">
        <v>1198</v>
      </c>
      <c r="B583" s="40">
        <v>662.6500244140625</v>
      </c>
      <c r="C583" s="40">
        <v>488.79678344726563</v>
      </c>
      <c r="D583" s="38">
        <v>3162498</v>
      </c>
      <c r="E583" s="38" t="s">
        <v>1175</v>
      </c>
      <c r="F583" s="38" t="s">
        <v>618</v>
      </c>
    </row>
    <row r="584" spans="1:6">
      <c r="A584" s="38" t="s">
        <v>1199</v>
      </c>
      <c r="B584" s="40">
        <v>657.4000244140625</v>
      </c>
      <c r="C584" s="40">
        <v>484.92416381835938</v>
      </c>
      <c r="D584" s="38">
        <v>2770174</v>
      </c>
      <c r="E584" s="38" t="s">
        <v>1175</v>
      </c>
      <c r="F584" s="38" t="s">
        <v>618</v>
      </c>
    </row>
    <row r="585" spans="1:6">
      <c r="A585" s="38" t="s">
        <v>1200</v>
      </c>
      <c r="B585" s="40">
        <v>653.3499755859375</v>
      </c>
      <c r="C585" s="40">
        <v>481.93661499023438</v>
      </c>
      <c r="D585" s="38">
        <v>1771130</v>
      </c>
      <c r="E585" s="38" t="s">
        <v>1175</v>
      </c>
      <c r="F585" s="38" t="s">
        <v>618</v>
      </c>
    </row>
    <row r="586" spans="1:6">
      <c r="A586" s="38" t="s">
        <v>1201</v>
      </c>
      <c r="B586" s="40">
        <v>654.0999755859375</v>
      </c>
      <c r="C586" s="40">
        <v>482.48992919921875</v>
      </c>
      <c r="D586" s="38">
        <v>2193797</v>
      </c>
      <c r="E586" s="38" t="s">
        <v>1175</v>
      </c>
      <c r="F586" s="38" t="s">
        <v>618</v>
      </c>
    </row>
    <row r="587" spans="1:6">
      <c r="A587" s="38" t="s">
        <v>1202</v>
      </c>
      <c r="B587" s="40">
        <v>663.5999755859375</v>
      </c>
      <c r="C587" s="40">
        <v>489.49755859375</v>
      </c>
      <c r="D587" s="38">
        <v>3927593</v>
      </c>
      <c r="E587" s="38" t="s">
        <v>1175</v>
      </c>
      <c r="F587" s="38" t="s">
        <v>618</v>
      </c>
    </row>
    <row r="588" spans="1:6">
      <c r="A588" s="38" t="s">
        <v>1203</v>
      </c>
      <c r="B588" s="40">
        <v>666.45001220703125</v>
      </c>
      <c r="C588" s="40">
        <v>491.599853515625</v>
      </c>
      <c r="D588" s="38">
        <v>2880596</v>
      </c>
      <c r="E588" s="38" t="s">
        <v>1175</v>
      </c>
      <c r="F588" s="38" t="s">
        <v>618</v>
      </c>
    </row>
    <row r="589" spans="1:6">
      <c r="A589" s="38" t="s">
        <v>1204</v>
      </c>
      <c r="B589" s="40">
        <v>667.25</v>
      </c>
      <c r="C589" s="40">
        <v>492.18991088867188</v>
      </c>
      <c r="D589" s="38">
        <v>1436196</v>
      </c>
      <c r="E589" s="38" t="s">
        <v>1175</v>
      </c>
      <c r="F589" s="38" t="s">
        <v>618</v>
      </c>
    </row>
    <row r="590" spans="1:6">
      <c r="A590" s="38" t="s">
        <v>1205</v>
      </c>
      <c r="B590" s="40">
        <v>670.6500244140625</v>
      </c>
      <c r="C590" s="40">
        <v>494.69790649414063</v>
      </c>
      <c r="D590" s="38">
        <v>2427422</v>
      </c>
      <c r="E590" s="38" t="s">
        <v>1175</v>
      </c>
      <c r="F590" s="38" t="s">
        <v>618</v>
      </c>
    </row>
    <row r="591" spans="1:6">
      <c r="A591" s="38" t="s">
        <v>1206</v>
      </c>
      <c r="B591" s="40">
        <v>672.70001220703125</v>
      </c>
      <c r="C591" s="40">
        <v>496.2099609375</v>
      </c>
      <c r="D591" s="38">
        <v>1690858</v>
      </c>
      <c r="E591" s="38" t="s">
        <v>1175</v>
      </c>
      <c r="F591" s="38" t="s">
        <v>618</v>
      </c>
    </row>
    <row r="592" spans="1:6">
      <c r="A592" s="38" t="s">
        <v>1207</v>
      </c>
      <c r="B592" s="40">
        <v>675.79998779296875</v>
      </c>
      <c r="C592" s="40">
        <v>498.49673461914063</v>
      </c>
      <c r="D592" s="38">
        <v>2022339</v>
      </c>
      <c r="E592" s="38" t="s">
        <v>1175</v>
      </c>
      <c r="F592" s="38" t="s">
        <v>618</v>
      </c>
    </row>
    <row r="593" spans="1:6">
      <c r="A593" s="38" t="s">
        <v>1208</v>
      </c>
      <c r="B593" s="40">
        <v>692.95001220703125</v>
      </c>
      <c r="C593" s="40">
        <v>511.14730834960938</v>
      </c>
      <c r="D593" s="38">
        <v>4304706</v>
      </c>
      <c r="E593" s="38" t="s">
        <v>1175</v>
      </c>
      <c r="F593" s="38" t="s">
        <v>618</v>
      </c>
    </row>
    <row r="594" spans="1:6">
      <c r="A594" s="38" t="s">
        <v>1209</v>
      </c>
      <c r="B594" s="40">
        <v>685.3499755859375</v>
      </c>
      <c r="C594" s="40">
        <v>505.54119873046875</v>
      </c>
      <c r="D594" s="38">
        <v>2342450</v>
      </c>
      <c r="E594" s="38" t="s">
        <v>1175</v>
      </c>
      <c r="F594" s="38" t="s">
        <v>618</v>
      </c>
    </row>
    <row r="595" spans="1:6">
      <c r="A595" s="38" t="s">
        <v>1210</v>
      </c>
      <c r="B595" s="40">
        <v>686.4000244140625</v>
      </c>
      <c r="C595" s="40">
        <v>506.31570434570313</v>
      </c>
      <c r="D595" s="38">
        <v>1797801</v>
      </c>
      <c r="E595" s="38" t="s">
        <v>1175</v>
      </c>
      <c r="F595" s="38" t="s">
        <v>618</v>
      </c>
    </row>
    <row r="596" spans="1:6">
      <c r="A596" s="38" t="s">
        <v>1211</v>
      </c>
      <c r="B596" s="40">
        <v>697.45001220703125</v>
      </c>
      <c r="C596" s="40">
        <v>514.46661376953125</v>
      </c>
      <c r="D596" s="38">
        <v>3516538</v>
      </c>
      <c r="E596" s="38" t="s">
        <v>1175</v>
      </c>
      <c r="F596" s="38" t="s">
        <v>618</v>
      </c>
    </row>
    <row r="597" spans="1:6">
      <c r="A597" s="38" t="s">
        <v>1212</v>
      </c>
      <c r="B597" s="40">
        <v>711.3499755859375</v>
      </c>
      <c r="C597" s="40">
        <v>524.71978759765625</v>
      </c>
      <c r="D597" s="38">
        <v>5914361</v>
      </c>
      <c r="E597" s="38" t="s">
        <v>1175</v>
      </c>
      <c r="F597" s="38" t="s">
        <v>618</v>
      </c>
    </row>
    <row r="598" spans="1:6">
      <c r="A598" s="38" t="s">
        <v>1213</v>
      </c>
      <c r="B598" s="40">
        <v>702.75</v>
      </c>
      <c r="C598" s="40">
        <v>518.376220703125</v>
      </c>
      <c r="D598" s="38">
        <v>3547180</v>
      </c>
      <c r="E598" s="38" t="s">
        <v>1175</v>
      </c>
      <c r="F598" s="38" t="s">
        <v>618</v>
      </c>
    </row>
    <row r="599" spans="1:6">
      <c r="A599" s="38" t="s">
        <v>1214</v>
      </c>
      <c r="B599" s="40">
        <v>675.25</v>
      </c>
      <c r="C599" s="40">
        <v>498.09097290039063</v>
      </c>
      <c r="D599" s="38">
        <v>8983562</v>
      </c>
      <c r="E599" s="38" t="s">
        <v>1175</v>
      </c>
      <c r="F599" s="38" t="s">
        <v>618</v>
      </c>
    </row>
    <row r="600" spans="1:6">
      <c r="A600" s="38" t="s">
        <v>1215</v>
      </c>
      <c r="B600" s="40">
        <v>677.8499755859375</v>
      </c>
      <c r="C600" s="40">
        <v>500.00888061523438</v>
      </c>
      <c r="D600" s="38">
        <v>2684315</v>
      </c>
      <c r="E600" s="38" t="s">
        <v>1175</v>
      </c>
      <c r="F600" s="38" t="s">
        <v>618</v>
      </c>
    </row>
    <row r="601" spans="1:6">
      <c r="A601" s="38" t="s">
        <v>1216</v>
      </c>
      <c r="B601" s="40">
        <v>687.25</v>
      </c>
      <c r="C601" s="40">
        <v>506.94256591796875</v>
      </c>
      <c r="D601" s="38">
        <v>3744400</v>
      </c>
      <c r="E601" s="38" t="s">
        <v>1175</v>
      </c>
      <c r="F601" s="38" t="s">
        <v>618</v>
      </c>
    </row>
    <row r="602" spans="1:6">
      <c r="A602" s="38" t="s">
        <v>1217</v>
      </c>
      <c r="B602" s="40">
        <v>712.3499755859375</v>
      </c>
      <c r="C602" s="40">
        <v>525.45745849609375</v>
      </c>
      <c r="D602" s="38">
        <v>7789699</v>
      </c>
      <c r="E602" s="38" t="s">
        <v>1175</v>
      </c>
      <c r="F602" s="38" t="s">
        <v>618</v>
      </c>
    </row>
    <row r="603" spans="1:6">
      <c r="A603" s="38" t="s">
        <v>1218</v>
      </c>
      <c r="B603" s="40">
        <v>701.1500244140625</v>
      </c>
      <c r="C603" s="40">
        <v>517.1959228515625</v>
      </c>
      <c r="D603" s="38">
        <v>4585884</v>
      </c>
      <c r="E603" s="38" t="s">
        <v>1175</v>
      </c>
      <c r="F603" s="38" t="s">
        <v>618</v>
      </c>
    </row>
    <row r="604" spans="1:6">
      <c r="A604" s="38" t="s">
        <v>1219</v>
      </c>
      <c r="B604" s="40">
        <v>698.29998779296875</v>
      </c>
      <c r="C604" s="40">
        <v>515.09356689453125</v>
      </c>
      <c r="D604" s="38">
        <v>2864750</v>
      </c>
      <c r="E604" s="38" t="s">
        <v>1175</v>
      </c>
      <c r="F604" s="38" t="s">
        <v>618</v>
      </c>
    </row>
    <row r="605" spans="1:6">
      <c r="A605" s="38" t="s">
        <v>1220</v>
      </c>
      <c r="B605" s="40">
        <v>701.25</v>
      </c>
      <c r="C605" s="40">
        <v>517.2696533203125</v>
      </c>
      <c r="D605" s="38">
        <v>3710175</v>
      </c>
      <c r="E605" s="38" t="s">
        <v>1175</v>
      </c>
      <c r="F605" s="38" t="s">
        <v>618</v>
      </c>
    </row>
    <row r="606" spans="1:6">
      <c r="A606" s="38" t="s">
        <v>1221</v>
      </c>
      <c r="B606" s="40">
        <v>691.75</v>
      </c>
      <c r="C606" s="40">
        <v>510.2620849609375</v>
      </c>
      <c r="D606" s="38">
        <v>2793493</v>
      </c>
      <c r="E606" s="38" t="s">
        <v>1175</v>
      </c>
      <c r="F606" s="38" t="s">
        <v>618</v>
      </c>
    </row>
    <row r="607" spans="1:6">
      <c r="A607" s="38" t="s">
        <v>1222</v>
      </c>
      <c r="B607" s="40">
        <v>701.8499755859375</v>
      </c>
      <c r="C607" s="40">
        <v>517.71221923828125</v>
      </c>
      <c r="D607" s="38">
        <v>3166739</v>
      </c>
      <c r="E607" s="38" t="s">
        <v>1175</v>
      </c>
      <c r="F607" s="38" t="s">
        <v>618</v>
      </c>
    </row>
    <row r="608" spans="1:6">
      <c r="A608" s="38" t="s">
        <v>1223</v>
      </c>
      <c r="B608" s="40">
        <v>706.95001220703125</v>
      </c>
      <c r="C608" s="40">
        <v>521.47412109375</v>
      </c>
      <c r="D608" s="38">
        <v>4572713</v>
      </c>
      <c r="E608" s="38" t="s">
        <v>1175</v>
      </c>
      <c r="F608" s="38" t="s">
        <v>618</v>
      </c>
    </row>
    <row r="609" spans="1:6">
      <c r="A609" s="38" t="s">
        <v>1224</v>
      </c>
      <c r="B609" s="40">
        <v>714.20001220703125</v>
      </c>
      <c r="C609" s="40">
        <v>526.822021484375</v>
      </c>
      <c r="D609" s="38">
        <v>4023019</v>
      </c>
      <c r="E609" s="38" t="s">
        <v>1175</v>
      </c>
      <c r="F609" s="38" t="s">
        <v>618</v>
      </c>
    </row>
    <row r="610" spans="1:6">
      <c r="A610" s="38" t="s">
        <v>1225</v>
      </c>
      <c r="B610" s="40">
        <v>709.0999755859375</v>
      </c>
      <c r="C610" s="40">
        <v>523.06005859375</v>
      </c>
      <c r="D610" s="38">
        <v>2200939</v>
      </c>
      <c r="E610" s="38" t="s">
        <v>1175</v>
      </c>
      <c r="F610" s="38" t="s">
        <v>618</v>
      </c>
    </row>
    <row r="611" spans="1:6">
      <c r="A611" s="38" t="s">
        <v>1226</v>
      </c>
      <c r="B611" s="40">
        <v>713.79998779296875</v>
      </c>
      <c r="C611" s="40">
        <v>526.52703857421875</v>
      </c>
      <c r="D611" s="38">
        <v>2429450</v>
      </c>
      <c r="E611" s="38" t="s">
        <v>1175</v>
      </c>
      <c r="F611" s="38" t="s">
        <v>618</v>
      </c>
    </row>
    <row r="612" spans="1:6">
      <c r="A612" s="38" t="s">
        <v>1227</v>
      </c>
      <c r="B612" s="40">
        <v>698.79998779296875</v>
      </c>
      <c r="C612" s="40">
        <v>515.46234130859375</v>
      </c>
      <c r="D612" s="38">
        <v>4483300</v>
      </c>
      <c r="E612" s="38" t="s">
        <v>1175</v>
      </c>
      <c r="F612" s="38" t="s">
        <v>618</v>
      </c>
    </row>
    <row r="613" spans="1:6">
      <c r="A613" s="38" t="s">
        <v>1228</v>
      </c>
      <c r="B613" s="40">
        <v>707.25</v>
      </c>
      <c r="C613" s="40">
        <v>521.6954345703125</v>
      </c>
      <c r="D613" s="38">
        <v>3273882</v>
      </c>
      <c r="E613" s="38" t="s">
        <v>1175</v>
      </c>
      <c r="F613" s="38" t="s">
        <v>618</v>
      </c>
    </row>
    <row r="614" spans="1:6">
      <c r="A614" s="38" t="s">
        <v>1229</v>
      </c>
      <c r="B614" s="40">
        <v>710.54998779296875</v>
      </c>
      <c r="C614" s="40">
        <v>524.12957763671875</v>
      </c>
      <c r="D614" s="38">
        <v>1693522</v>
      </c>
      <c r="E614" s="38" t="s">
        <v>1175</v>
      </c>
      <c r="F614" s="38" t="s">
        <v>618</v>
      </c>
    </row>
    <row r="615" spans="1:6">
      <c r="A615" s="38" t="s">
        <v>1230</v>
      </c>
      <c r="B615" s="40">
        <v>695.75</v>
      </c>
      <c r="C615" s="40">
        <v>513.212646484375</v>
      </c>
      <c r="D615" s="38">
        <v>2008178</v>
      </c>
      <c r="E615" s="38" t="s">
        <v>1175</v>
      </c>
      <c r="F615" s="38" t="s">
        <v>618</v>
      </c>
    </row>
    <row r="616" spans="1:6">
      <c r="A616" s="38" t="s">
        <v>1231</v>
      </c>
      <c r="B616" s="40">
        <v>690.54998779296875</v>
      </c>
      <c r="C616" s="40">
        <v>509.37680053710938</v>
      </c>
      <c r="D616" s="38">
        <v>2117024</v>
      </c>
      <c r="E616" s="38" t="s">
        <v>1175</v>
      </c>
      <c r="F616" s="38" t="s">
        <v>618</v>
      </c>
    </row>
    <row r="617" spans="1:6">
      <c r="A617" s="38" t="s">
        <v>1232</v>
      </c>
      <c r="B617" s="40">
        <v>685.29998779296875</v>
      </c>
      <c r="C617" s="40">
        <v>505.50421142578125</v>
      </c>
      <c r="D617" s="38">
        <v>2599578</v>
      </c>
      <c r="E617" s="38" t="s">
        <v>1175</v>
      </c>
      <c r="F617" s="38" t="s">
        <v>618</v>
      </c>
    </row>
    <row r="618" spans="1:6">
      <c r="A618" s="38" t="s">
        <v>1233</v>
      </c>
      <c r="B618" s="40">
        <v>691.1500244140625</v>
      </c>
      <c r="C618" s="40">
        <v>509.81951904296875</v>
      </c>
      <c r="D618" s="38">
        <v>1604665</v>
      </c>
      <c r="E618" s="38" t="s">
        <v>1175</v>
      </c>
      <c r="F618" s="38" t="s">
        <v>618</v>
      </c>
    </row>
    <row r="619" spans="1:6">
      <c r="A619" s="38" t="s">
        <v>1234</v>
      </c>
      <c r="B619" s="40">
        <v>696.1500244140625</v>
      </c>
      <c r="C619" s="40">
        <v>513.50762939453125</v>
      </c>
      <c r="D619" s="38">
        <v>1850829</v>
      </c>
      <c r="E619" s="38" t="s">
        <v>1175</v>
      </c>
      <c r="F619" s="38" t="s">
        <v>618</v>
      </c>
    </row>
    <row r="620" spans="1:6">
      <c r="A620" s="38" t="s">
        <v>1235</v>
      </c>
      <c r="B620" s="40">
        <v>687.8499755859375</v>
      </c>
      <c r="C620" s="40">
        <v>507.38525390625</v>
      </c>
      <c r="D620" s="38">
        <v>1687463</v>
      </c>
      <c r="E620" s="38" t="s">
        <v>1175</v>
      </c>
      <c r="F620" s="38" t="s">
        <v>618</v>
      </c>
    </row>
    <row r="621" spans="1:6">
      <c r="A621" s="38" t="s">
        <v>1236</v>
      </c>
      <c r="B621" s="40">
        <v>714.25</v>
      </c>
      <c r="C621" s="40">
        <v>526.85888671875</v>
      </c>
      <c r="D621" s="38">
        <v>5570107</v>
      </c>
      <c r="E621" s="38" t="s">
        <v>1175</v>
      </c>
      <c r="F621" s="38" t="s">
        <v>618</v>
      </c>
    </row>
    <row r="622" spans="1:6">
      <c r="A622" s="38" t="s">
        <v>1237</v>
      </c>
      <c r="B622" s="40">
        <v>664.25</v>
      </c>
      <c r="C622" s="40">
        <v>489.97695922851563</v>
      </c>
      <c r="D622" s="38">
        <v>8192199</v>
      </c>
      <c r="E622" s="38" t="s">
        <v>1175</v>
      </c>
      <c r="F622" s="38" t="s">
        <v>618</v>
      </c>
    </row>
    <row r="623" spans="1:6">
      <c r="A623" s="38" t="s">
        <v>1238</v>
      </c>
      <c r="B623" s="40">
        <v>655.45001220703125</v>
      </c>
      <c r="C623" s="40">
        <v>483.48577880859375</v>
      </c>
      <c r="D623" s="38">
        <v>10890801</v>
      </c>
      <c r="E623" s="38" t="s">
        <v>1175</v>
      </c>
      <c r="F623" s="38" t="s">
        <v>618</v>
      </c>
    </row>
    <row r="624" spans="1:6">
      <c r="A624" s="38" t="s">
        <v>1239</v>
      </c>
      <c r="B624" s="40">
        <v>657.20001220703125</v>
      </c>
      <c r="C624" s="40">
        <v>484.77658081054688</v>
      </c>
      <c r="D624" s="38">
        <v>4422723</v>
      </c>
      <c r="E624" s="38" t="s">
        <v>1175</v>
      </c>
      <c r="F624" s="38" t="s">
        <v>618</v>
      </c>
    </row>
    <row r="625" spans="1:6">
      <c r="A625" s="38" t="s">
        <v>1240</v>
      </c>
      <c r="B625" s="40">
        <v>660.8499755859375</v>
      </c>
      <c r="C625" s="40">
        <v>487.46905517578125</v>
      </c>
      <c r="D625" s="38">
        <v>3506534</v>
      </c>
      <c r="E625" s="38" t="s">
        <v>1175</v>
      </c>
      <c r="F625" s="38" t="s">
        <v>618</v>
      </c>
    </row>
    <row r="626" spans="1:6">
      <c r="A626" s="38" t="s">
        <v>1241</v>
      </c>
      <c r="B626" s="40">
        <v>654.5</v>
      </c>
      <c r="C626" s="40">
        <v>482.78500366210938</v>
      </c>
      <c r="D626" s="38">
        <v>2070241</v>
      </c>
      <c r="E626" s="38" t="s">
        <v>1175</v>
      </c>
      <c r="F626" s="38" t="s">
        <v>618</v>
      </c>
    </row>
    <row r="627" spans="1:6">
      <c r="A627" s="38" t="s">
        <v>1242</v>
      </c>
      <c r="B627" s="40">
        <v>646.6500244140625</v>
      </c>
      <c r="C627" s="40">
        <v>476.9945068359375</v>
      </c>
      <c r="D627" s="38">
        <v>2864186</v>
      </c>
      <c r="E627" s="38" t="s">
        <v>1175</v>
      </c>
      <c r="F627" s="38" t="s">
        <v>618</v>
      </c>
    </row>
    <row r="628" spans="1:6">
      <c r="A628" s="38" t="s">
        <v>1243</v>
      </c>
      <c r="B628" s="40">
        <v>634.9000244140625</v>
      </c>
      <c r="C628" s="40">
        <v>468.32723999023438</v>
      </c>
      <c r="D628" s="38">
        <v>5193752</v>
      </c>
      <c r="E628" s="38" t="s">
        <v>1175</v>
      </c>
      <c r="F628" s="38" t="s">
        <v>618</v>
      </c>
    </row>
    <row r="629" spans="1:6">
      <c r="A629" s="38" t="s">
        <v>1244</v>
      </c>
      <c r="B629" s="40">
        <v>643.8499755859375</v>
      </c>
      <c r="C629" s="40">
        <v>474.92916870117188</v>
      </c>
      <c r="D629" s="38">
        <v>1990065</v>
      </c>
      <c r="E629" s="38" t="s">
        <v>1175</v>
      </c>
      <c r="F629" s="38" t="s">
        <v>618</v>
      </c>
    </row>
    <row r="630" spans="1:6">
      <c r="A630" s="38" t="s">
        <v>1245</v>
      </c>
      <c r="B630" s="40">
        <v>650.75</v>
      </c>
      <c r="C630" s="40">
        <v>480.01889038085938</v>
      </c>
      <c r="D630" s="38">
        <v>3496172</v>
      </c>
      <c r="E630" s="38" t="s">
        <v>1175</v>
      </c>
      <c r="F630" s="38" t="s">
        <v>618</v>
      </c>
    </row>
    <row r="631" spans="1:6">
      <c r="A631" s="38" t="s">
        <v>1246</v>
      </c>
      <c r="B631" s="40">
        <v>654.4000244140625</v>
      </c>
      <c r="C631" s="40">
        <v>482.71133422851563</v>
      </c>
      <c r="D631" s="38">
        <v>5529491</v>
      </c>
      <c r="E631" s="38" t="s">
        <v>1175</v>
      </c>
      <c r="F631" s="38" t="s">
        <v>618</v>
      </c>
    </row>
    <row r="632" spans="1:6">
      <c r="A632" s="38" t="s">
        <v>1247</v>
      </c>
      <c r="B632" s="40">
        <v>647.70001220703125</v>
      </c>
      <c r="C632" s="40">
        <v>477.76907348632813</v>
      </c>
      <c r="D632" s="38">
        <v>3416881</v>
      </c>
      <c r="E632" s="38" t="s">
        <v>1175</v>
      </c>
      <c r="F632" s="38" t="s">
        <v>618</v>
      </c>
    </row>
    <row r="633" spans="1:6">
      <c r="A633" s="38" t="s">
        <v>1248</v>
      </c>
      <c r="B633" s="40">
        <v>641.04998779296875</v>
      </c>
      <c r="C633" s="40">
        <v>472.86370849609375</v>
      </c>
      <c r="D633" s="38">
        <v>3194276</v>
      </c>
      <c r="E633" s="38" t="s">
        <v>1175</v>
      </c>
      <c r="F633" s="38" t="s">
        <v>618</v>
      </c>
    </row>
    <row r="634" spans="1:6">
      <c r="A634" s="38" t="s">
        <v>1249</v>
      </c>
      <c r="B634" s="40">
        <v>657.29998779296875</v>
      </c>
      <c r="C634" s="40">
        <v>484.8504638671875</v>
      </c>
      <c r="D634" s="38">
        <v>2856991</v>
      </c>
      <c r="E634" s="38" t="s">
        <v>1175</v>
      </c>
      <c r="F634" s="38" t="s">
        <v>618</v>
      </c>
    </row>
    <row r="635" spans="1:6">
      <c r="A635" s="38" t="s">
        <v>1250</v>
      </c>
      <c r="B635" s="40">
        <v>646.79998779296875</v>
      </c>
      <c r="C635" s="40">
        <v>477.10519409179688</v>
      </c>
      <c r="D635" s="38">
        <v>2658597</v>
      </c>
      <c r="E635" s="38" t="s">
        <v>1175</v>
      </c>
      <c r="F635" s="38" t="s">
        <v>618</v>
      </c>
    </row>
    <row r="636" spans="1:6">
      <c r="A636" s="38" t="s">
        <v>1251</v>
      </c>
      <c r="B636" s="40">
        <v>646.29998779296875</v>
      </c>
      <c r="C636" s="40">
        <v>476.73638916015625</v>
      </c>
      <c r="D636" s="38">
        <v>2568607</v>
      </c>
      <c r="E636" s="38" t="s">
        <v>1175</v>
      </c>
      <c r="F636" s="38" t="s">
        <v>618</v>
      </c>
    </row>
    <row r="637" spans="1:6">
      <c r="A637" s="38" t="s">
        <v>1252</v>
      </c>
      <c r="B637" s="40">
        <v>642.20001220703125</v>
      </c>
      <c r="C637" s="40">
        <v>473.71197509765625</v>
      </c>
      <c r="D637" s="38">
        <v>1610766</v>
      </c>
      <c r="E637" s="38" t="s">
        <v>1175</v>
      </c>
      <c r="F637" s="38" t="s">
        <v>618</v>
      </c>
    </row>
    <row r="638" spans="1:6">
      <c r="A638" s="38" t="s">
        <v>1253</v>
      </c>
      <c r="B638" s="40">
        <v>659.45001220703125</v>
      </c>
      <c r="C638" s="40">
        <v>486.4364013671875</v>
      </c>
      <c r="D638" s="38">
        <v>2868824</v>
      </c>
      <c r="E638" s="38" t="s">
        <v>1175</v>
      </c>
      <c r="F638" s="38" t="s">
        <v>618</v>
      </c>
    </row>
    <row r="639" spans="1:6">
      <c r="A639" s="38" t="s">
        <v>1254</v>
      </c>
      <c r="B639" s="40">
        <v>648.54998779296875</v>
      </c>
      <c r="C639" s="40">
        <v>478.39608764648438</v>
      </c>
      <c r="D639" s="38">
        <v>3696991</v>
      </c>
      <c r="E639" s="38" t="s">
        <v>1175</v>
      </c>
      <c r="F639" s="38" t="s">
        <v>618</v>
      </c>
    </row>
    <row r="640" spans="1:6">
      <c r="A640" s="38" t="s">
        <v>1255</v>
      </c>
      <c r="B640" s="40">
        <v>641.5</v>
      </c>
      <c r="C640" s="40">
        <v>473.19570922851563</v>
      </c>
      <c r="D640" s="38">
        <v>3855335</v>
      </c>
      <c r="E640" s="38" t="s">
        <v>1175</v>
      </c>
      <c r="F640" s="38" t="s">
        <v>618</v>
      </c>
    </row>
    <row r="641" spans="1:6">
      <c r="A641" s="38" t="s">
        <v>1256</v>
      </c>
      <c r="B641" s="40">
        <v>631.3499755859375</v>
      </c>
      <c r="C641" s="40">
        <v>465.70858764648438</v>
      </c>
      <c r="D641" s="38">
        <v>2269581</v>
      </c>
      <c r="E641" s="38" t="s">
        <v>1175</v>
      </c>
      <c r="F641" s="38" t="s">
        <v>618</v>
      </c>
    </row>
    <row r="642" spans="1:6">
      <c r="A642" s="38" t="s">
        <v>1257</v>
      </c>
      <c r="B642" s="40">
        <v>632.04998779296875</v>
      </c>
      <c r="C642" s="40">
        <v>476.79788208007813</v>
      </c>
      <c r="D642" s="38">
        <v>3542338</v>
      </c>
      <c r="E642" s="38" t="s">
        <v>1175</v>
      </c>
      <c r="F642" s="38" t="s">
        <v>618</v>
      </c>
    </row>
    <row r="643" spans="1:6">
      <c r="A643" s="38" t="s">
        <v>1258</v>
      </c>
      <c r="B643" s="40">
        <v>645.0999755859375</v>
      </c>
      <c r="C643" s="40">
        <v>486.64230346679688</v>
      </c>
      <c r="D643" s="38">
        <v>3040306</v>
      </c>
      <c r="E643" s="38" t="s">
        <v>1175</v>
      </c>
      <c r="F643" s="38" t="s">
        <v>618</v>
      </c>
    </row>
    <row r="644" spans="1:6">
      <c r="A644" s="38" t="s">
        <v>1259</v>
      </c>
      <c r="B644" s="40">
        <v>655.45001220703125</v>
      </c>
      <c r="C644" s="40">
        <v>494.4500732421875</v>
      </c>
      <c r="D644" s="38">
        <v>3393232</v>
      </c>
      <c r="E644" s="38" t="s">
        <v>1175</v>
      </c>
      <c r="F644" s="38" t="s">
        <v>618</v>
      </c>
    </row>
    <row r="645" spans="1:6">
      <c r="A645" s="38" t="s">
        <v>1260</v>
      </c>
      <c r="B645" s="40">
        <v>680.75</v>
      </c>
      <c r="C645" s="40">
        <v>513.5355224609375</v>
      </c>
      <c r="D645" s="38">
        <v>9680690</v>
      </c>
      <c r="E645" s="38" t="s">
        <v>1175</v>
      </c>
      <c r="F645" s="38" t="s">
        <v>618</v>
      </c>
    </row>
    <row r="646" spans="1:6">
      <c r="A646" s="38" t="s">
        <v>1261</v>
      </c>
      <c r="B646" s="40">
        <v>681.0999755859375</v>
      </c>
      <c r="C646" s="40">
        <v>513.79949951171875</v>
      </c>
      <c r="D646" s="38">
        <v>2887901</v>
      </c>
      <c r="E646" s="38" t="s">
        <v>1175</v>
      </c>
      <c r="F646" s="38" t="s">
        <v>618</v>
      </c>
    </row>
    <row r="647" spans="1:6">
      <c r="A647" s="38" t="s">
        <v>1262</v>
      </c>
      <c r="B647" s="40">
        <v>669</v>
      </c>
      <c r="C647" s="40">
        <v>504.67172241210938</v>
      </c>
      <c r="D647" s="38">
        <v>1958340</v>
      </c>
      <c r="E647" s="38" t="s">
        <v>1175</v>
      </c>
      <c r="F647" s="38" t="s">
        <v>618</v>
      </c>
    </row>
    <row r="648" spans="1:6">
      <c r="A648" s="38" t="s">
        <v>1263</v>
      </c>
      <c r="B648" s="40">
        <v>662.75</v>
      </c>
      <c r="C648" s="40">
        <v>499.95700073242188</v>
      </c>
      <c r="D648" s="38">
        <v>2862463</v>
      </c>
      <c r="E648" s="38" t="s">
        <v>1175</v>
      </c>
      <c r="F648" s="38" t="s">
        <v>618</v>
      </c>
    </row>
    <row r="649" spans="1:6">
      <c r="A649" s="38" t="s">
        <v>1264</v>
      </c>
      <c r="B649" s="40">
        <v>667.0999755859375</v>
      </c>
      <c r="C649" s="40">
        <v>503.2384033203125</v>
      </c>
      <c r="D649" s="38">
        <v>2226904</v>
      </c>
      <c r="E649" s="38" t="s">
        <v>1175</v>
      </c>
      <c r="F649" s="38" t="s">
        <v>618</v>
      </c>
    </row>
    <row r="650" spans="1:6">
      <c r="A650" s="38" t="s">
        <v>1265</v>
      </c>
      <c r="B650" s="40">
        <v>658.75</v>
      </c>
      <c r="C650" s="40">
        <v>496.93951416015625</v>
      </c>
      <c r="D650" s="38">
        <v>2689721</v>
      </c>
      <c r="E650" s="38" t="s">
        <v>1175</v>
      </c>
      <c r="F650" s="38" t="s">
        <v>618</v>
      </c>
    </row>
    <row r="651" spans="1:6">
      <c r="A651" s="38" t="s">
        <v>1266</v>
      </c>
      <c r="B651" s="40">
        <v>653.9000244140625</v>
      </c>
      <c r="C651" s="40">
        <v>493.2808837890625</v>
      </c>
      <c r="D651" s="38">
        <v>2074919</v>
      </c>
      <c r="E651" s="38" t="s">
        <v>1175</v>
      </c>
      <c r="F651" s="38" t="s">
        <v>618</v>
      </c>
    </row>
    <row r="652" spans="1:6">
      <c r="A652" s="38" t="s">
        <v>1267</v>
      </c>
      <c r="B652" s="40">
        <v>646.20001220703125</v>
      </c>
      <c r="C652" s="40">
        <v>487.47213745117188</v>
      </c>
      <c r="D652" s="38">
        <v>2146227</v>
      </c>
      <c r="E652" s="38" t="s">
        <v>1175</v>
      </c>
      <c r="F652" s="38" t="s">
        <v>618</v>
      </c>
    </row>
    <row r="653" spans="1:6">
      <c r="A653" s="38" t="s">
        <v>1268</v>
      </c>
      <c r="B653" s="40">
        <v>645.95001220703125</v>
      </c>
      <c r="C653" s="40">
        <v>487.28347778320313</v>
      </c>
      <c r="D653" s="38">
        <v>3135726</v>
      </c>
      <c r="E653" s="38" t="s">
        <v>1175</v>
      </c>
      <c r="F653" s="38" t="s">
        <v>618</v>
      </c>
    </row>
    <row r="654" spans="1:6">
      <c r="A654" s="38" t="s">
        <v>1269</v>
      </c>
      <c r="B654" s="40">
        <v>659.95001220703125</v>
      </c>
      <c r="C654" s="40">
        <v>497.84478759765625</v>
      </c>
      <c r="D654" s="38">
        <v>5306724</v>
      </c>
      <c r="E654" s="38" t="s">
        <v>1175</v>
      </c>
      <c r="F654" s="38" t="s">
        <v>618</v>
      </c>
    </row>
    <row r="655" spans="1:6">
      <c r="A655" s="38" t="s">
        <v>1270</v>
      </c>
      <c r="B655" s="40">
        <v>672.79998779296875</v>
      </c>
      <c r="C655" s="40">
        <v>507.53839111328125</v>
      </c>
      <c r="D655" s="38">
        <v>5529769</v>
      </c>
      <c r="E655" s="38" t="s">
        <v>1175</v>
      </c>
      <c r="F655" s="38" t="s">
        <v>618</v>
      </c>
    </row>
    <row r="656" spans="1:6">
      <c r="A656" s="38" t="s">
        <v>1271</v>
      </c>
      <c r="B656" s="40">
        <v>668.6500244140625</v>
      </c>
      <c r="C656" s="40">
        <v>504.40768432617188</v>
      </c>
      <c r="D656" s="38">
        <v>3624795</v>
      </c>
      <c r="E656" s="38" t="s">
        <v>1175</v>
      </c>
      <c r="F656" s="38" t="s">
        <v>618</v>
      </c>
    </row>
    <row r="657" spans="1:6">
      <c r="A657" s="38" t="s">
        <v>1272</v>
      </c>
      <c r="B657" s="40">
        <v>687.70001220703125</v>
      </c>
      <c r="C657" s="40">
        <v>518.7784423828125</v>
      </c>
      <c r="D657" s="38">
        <v>3955484</v>
      </c>
      <c r="E657" s="38" t="s">
        <v>1175</v>
      </c>
      <c r="F657" s="38" t="s">
        <v>618</v>
      </c>
    </row>
    <row r="658" spans="1:6">
      <c r="A658" s="38" t="s">
        <v>1273</v>
      </c>
      <c r="B658" s="40">
        <v>687.95001220703125</v>
      </c>
      <c r="C658" s="40">
        <v>518.96697998046875</v>
      </c>
      <c r="D658" s="38">
        <v>3577624</v>
      </c>
      <c r="E658" s="38" t="s">
        <v>1175</v>
      </c>
      <c r="F658" s="38" t="s">
        <v>618</v>
      </c>
    </row>
    <row r="659" spans="1:6">
      <c r="A659" s="38" t="s">
        <v>1274</v>
      </c>
      <c r="B659" s="40">
        <v>709.4000244140625</v>
      </c>
      <c r="C659" s="40">
        <v>535.148193359375</v>
      </c>
      <c r="D659" s="38">
        <v>7918861</v>
      </c>
      <c r="E659" s="38" t="s">
        <v>1175</v>
      </c>
      <c r="F659" s="38" t="s">
        <v>618</v>
      </c>
    </row>
    <row r="660" spans="1:6">
      <c r="A660" s="38" t="s">
        <v>1275</v>
      </c>
      <c r="B660" s="40">
        <v>726.6500244140625</v>
      </c>
      <c r="C660" s="40">
        <v>548.16107177734375</v>
      </c>
      <c r="D660" s="38">
        <v>11534012</v>
      </c>
      <c r="E660" s="38" t="s">
        <v>1175</v>
      </c>
      <c r="F660" s="38" t="s">
        <v>618</v>
      </c>
    </row>
    <row r="661" spans="1:6">
      <c r="A661" s="38" t="s">
        <v>1276</v>
      </c>
      <c r="B661" s="40">
        <v>718.54998779296875</v>
      </c>
      <c r="C661" s="40">
        <v>542.0506591796875</v>
      </c>
      <c r="D661" s="38">
        <v>3625878</v>
      </c>
      <c r="E661" s="38" t="s">
        <v>1175</v>
      </c>
      <c r="F661" s="38" t="s">
        <v>618</v>
      </c>
    </row>
    <row r="662" spans="1:6">
      <c r="A662" s="38" t="s">
        <v>1277</v>
      </c>
      <c r="B662" s="40">
        <v>737.95001220703125</v>
      </c>
      <c r="C662" s="40">
        <v>556.685302734375</v>
      </c>
      <c r="D662" s="38">
        <v>2968641</v>
      </c>
      <c r="E662" s="38" t="s">
        <v>1175</v>
      </c>
      <c r="F662" s="38" t="s">
        <v>618</v>
      </c>
    </row>
    <row r="663" spans="1:6">
      <c r="A663" s="38" t="s">
        <v>1278</v>
      </c>
      <c r="B663" s="40">
        <v>736.0999755859375</v>
      </c>
      <c r="C663" s="40">
        <v>555.28973388671875</v>
      </c>
      <c r="D663" s="38">
        <v>3782709</v>
      </c>
      <c r="E663" s="38" t="s">
        <v>1175</v>
      </c>
      <c r="F663" s="38" t="s">
        <v>618</v>
      </c>
    </row>
    <row r="664" spans="1:6">
      <c r="A664" s="38" t="s">
        <v>1279</v>
      </c>
      <c r="B664" s="40">
        <v>734.45001220703125</v>
      </c>
      <c r="C664" s="40">
        <v>554.045166015625</v>
      </c>
      <c r="D664" s="38">
        <v>3627848</v>
      </c>
      <c r="E664" s="38" t="s">
        <v>1175</v>
      </c>
      <c r="F664" s="38" t="s">
        <v>618</v>
      </c>
    </row>
    <row r="665" spans="1:6">
      <c r="A665" s="38" t="s">
        <v>1280</v>
      </c>
      <c r="B665" s="40">
        <v>731.9000244140625</v>
      </c>
      <c r="C665" s="40">
        <v>552.12139892578125</v>
      </c>
      <c r="D665" s="38">
        <v>4304298</v>
      </c>
      <c r="E665" s="38" t="s">
        <v>1175</v>
      </c>
      <c r="F665" s="38" t="s">
        <v>618</v>
      </c>
    </row>
    <row r="666" spans="1:6">
      <c r="A666" s="38" t="s">
        <v>1281</v>
      </c>
      <c r="B666" s="40">
        <v>765.79998779296875</v>
      </c>
      <c r="C666" s="40">
        <v>577.69451904296875</v>
      </c>
      <c r="D666" s="38">
        <v>7276056</v>
      </c>
      <c r="E666" s="38" t="s">
        <v>1175</v>
      </c>
      <c r="F666" s="38" t="s">
        <v>618</v>
      </c>
    </row>
    <row r="667" spans="1:6">
      <c r="A667" s="38" t="s">
        <v>1282</v>
      </c>
      <c r="B667" s="40">
        <v>745.6500244140625</v>
      </c>
      <c r="C667" s="40">
        <v>562.49395751953125</v>
      </c>
      <c r="D667" s="38">
        <v>3610990</v>
      </c>
      <c r="E667" s="38" t="s">
        <v>1175</v>
      </c>
      <c r="F667" s="38" t="s">
        <v>618</v>
      </c>
    </row>
    <row r="668" spans="1:6">
      <c r="A668" s="38" t="s">
        <v>1283</v>
      </c>
      <c r="B668" s="40">
        <v>763.9000244140625</v>
      </c>
      <c r="C668" s="40">
        <v>576.26123046875</v>
      </c>
      <c r="D668" s="38">
        <v>4488658</v>
      </c>
      <c r="E668" s="38" t="s">
        <v>1175</v>
      </c>
      <c r="F668" s="38" t="s">
        <v>618</v>
      </c>
    </row>
    <row r="669" spans="1:6">
      <c r="A669" s="38" t="s">
        <v>1284</v>
      </c>
      <c r="B669" s="40">
        <v>766.1500244140625</v>
      </c>
      <c r="C669" s="40">
        <v>577.95855712890625</v>
      </c>
      <c r="D669" s="38">
        <v>6093648</v>
      </c>
      <c r="E669" s="38" t="s">
        <v>1175</v>
      </c>
      <c r="F669" s="38" t="s">
        <v>618</v>
      </c>
    </row>
    <row r="670" spans="1:6">
      <c r="A670" s="38" t="s">
        <v>1285</v>
      </c>
      <c r="B670" s="40">
        <v>775.04998779296875</v>
      </c>
      <c r="C670" s="40">
        <v>584.6724853515625</v>
      </c>
      <c r="D670" s="38">
        <v>3982477</v>
      </c>
      <c r="E670" s="38" t="s">
        <v>1175</v>
      </c>
      <c r="F670" s="38" t="s">
        <v>618</v>
      </c>
    </row>
    <row r="671" spans="1:6">
      <c r="A671" s="38" t="s">
        <v>1286</v>
      </c>
      <c r="B671" s="40">
        <v>772.20001220703125</v>
      </c>
      <c r="C671" s="40">
        <v>582.5224609375</v>
      </c>
      <c r="D671" s="38">
        <v>2059329</v>
      </c>
      <c r="E671" s="38" t="s">
        <v>1175</v>
      </c>
      <c r="F671" s="38" t="s">
        <v>618</v>
      </c>
    </row>
    <row r="672" spans="1:6">
      <c r="A672" s="38" t="s">
        <v>1287</v>
      </c>
      <c r="B672" s="40">
        <v>766.25</v>
      </c>
      <c r="C672" s="40">
        <v>578.033935546875</v>
      </c>
      <c r="D672" s="38">
        <v>2820247</v>
      </c>
      <c r="E672" s="38" t="s">
        <v>1175</v>
      </c>
      <c r="F672" s="38" t="s">
        <v>618</v>
      </c>
    </row>
    <row r="673" spans="1:6">
      <c r="A673" s="38" t="s">
        <v>1288</v>
      </c>
      <c r="B673" s="40">
        <v>747.20001220703125</v>
      </c>
      <c r="C673" s="40">
        <v>563.663330078125</v>
      </c>
      <c r="D673" s="38">
        <v>3817364</v>
      </c>
      <c r="E673" s="38" t="s">
        <v>1175</v>
      </c>
      <c r="F673" s="38" t="s">
        <v>618</v>
      </c>
    </row>
    <row r="674" spans="1:6">
      <c r="A674" s="38" t="s">
        <v>1289</v>
      </c>
      <c r="B674" s="40">
        <v>739.79998779296875</v>
      </c>
      <c r="C674" s="40">
        <v>558.08099365234375</v>
      </c>
      <c r="D674" s="38">
        <v>3934021</v>
      </c>
      <c r="E674" s="38" t="s">
        <v>1175</v>
      </c>
      <c r="F674" s="38" t="s">
        <v>618</v>
      </c>
    </row>
    <row r="675" spans="1:6">
      <c r="A675" s="38" t="s">
        <v>1290</v>
      </c>
      <c r="B675" s="40">
        <v>760.45001220703125</v>
      </c>
      <c r="C675" s="40">
        <v>573.65869140625</v>
      </c>
      <c r="D675" s="38">
        <v>3591403</v>
      </c>
      <c r="E675" s="38" t="s">
        <v>1175</v>
      </c>
      <c r="F675" s="38" t="s">
        <v>618</v>
      </c>
    </row>
    <row r="676" spans="1:6">
      <c r="A676" s="38" t="s">
        <v>1291</v>
      </c>
      <c r="B676" s="40">
        <v>767.54998779296875</v>
      </c>
      <c r="C676" s="40">
        <v>579.01458740234375</v>
      </c>
      <c r="D676" s="38">
        <v>2233000</v>
      </c>
      <c r="E676" s="38" t="s">
        <v>1175</v>
      </c>
      <c r="F676" s="38" t="s">
        <v>618</v>
      </c>
    </row>
    <row r="677" spans="1:6">
      <c r="A677" s="38" t="s">
        <v>1292</v>
      </c>
      <c r="B677" s="40">
        <v>754.70001220703125</v>
      </c>
      <c r="C677" s="40">
        <v>569.321044921875</v>
      </c>
      <c r="D677" s="38">
        <v>2206998</v>
      </c>
      <c r="E677" s="38" t="s">
        <v>1175</v>
      </c>
      <c r="F677" s="38" t="s">
        <v>618</v>
      </c>
    </row>
    <row r="678" spans="1:6">
      <c r="A678" s="38" t="s">
        <v>1293</v>
      </c>
      <c r="B678" s="40">
        <v>769.95001220703125</v>
      </c>
      <c r="C678" s="40">
        <v>580.8250732421875</v>
      </c>
      <c r="D678" s="38">
        <v>2025718</v>
      </c>
      <c r="E678" s="38" t="s">
        <v>1175</v>
      </c>
      <c r="F678" s="38" t="s">
        <v>618</v>
      </c>
    </row>
    <row r="679" spans="1:6">
      <c r="A679" s="38" t="s">
        <v>1294</v>
      </c>
      <c r="B679" s="40">
        <v>738.04998779296875</v>
      </c>
      <c r="C679" s="40">
        <v>556.76068115234375</v>
      </c>
      <c r="D679" s="38">
        <v>4434535</v>
      </c>
      <c r="E679" s="38" t="s">
        <v>1175</v>
      </c>
      <c r="F679" s="38" t="s">
        <v>618</v>
      </c>
    </row>
    <row r="680" spans="1:6">
      <c r="A680" s="38" t="s">
        <v>1295</v>
      </c>
      <c r="B680" s="40">
        <v>751.45001220703125</v>
      </c>
      <c r="C680" s="40">
        <v>566.8692626953125</v>
      </c>
      <c r="D680" s="38">
        <v>2811682</v>
      </c>
      <c r="E680" s="38" t="s">
        <v>1175</v>
      </c>
      <c r="F680" s="38" t="s">
        <v>618</v>
      </c>
    </row>
    <row r="681" spans="1:6">
      <c r="A681" s="38" t="s">
        <v>1296</v>
      </c>
      <c r="B681" s="40">
        <v>758.75</v>
      </c>
      <c r="C681" s="40">
        <v>572.376220703125</v>
      </c>
      <c r="D681" s="38">
        <v>2812964</v>
      </c>
      <c r="E681" s="38" t="s">
        <v>1175</v>
      </c>
      <c r="F681" s="38" t="s">
        <v>618</v>
      </c>
    </row>
    <row r="682" spans="1:6">
      <c r="A682" s="38" t="s">
        <v>1297</v>
      </c>
      <c r="B682" s="40">
        <v>748.8499755859375</v>
      </c>
      <c r="C682" s="40">
        <v>564.90789794921875</v>
      </c>
      <c r="D682" s="38">
        <v>3224771</v>
      </c>
      <c r="E682" s="38" t="s">
        <v>1175</v>
      </c>
      <c r="F682" s="38" t="s">
        <v>618</v>
      </c>
    </row>
    <row r="683" spans="1:6">
      <c r="A683" s="38" t="s">
        <v>1298</v>
      </c>
      <c r="B683" s="40">
        <v>746.04998779296875</v>
      </c>
      <c r="C683" s="40">
        <v>562.7957763671875</v>
      </c>
      <c r="D683" s="38">
        <v>3479414</v>
      </c>
      <c r="E683" s="38" t="s">
        <v>1175</v>
      </c>
      <c r="F683" s="38" t="s">
        <v>618</v>
      </c>
    </row>
    <row r="684" spans="1:6">
      <c r="A684" s="38" t="s">
        <v>1299</v>
      </c>
      <c r="B684" s="40">
        <v>745.5</v>
      </c>
      <c r="C684" s="40">
        <v>562.3807373046875</v>
      </c>
      <c r="D684" s="38">
        <v>2971384</v>
      </c>
      <c r="E684" s="38" t="s">
        <v>1175</v>
      </c>
      <c r="F684" s="38" t="s">
        <v>618</v>
      </c>
    </row>
    <row r="685" spans="1:6">
      <c r="A685" s="38" t="s">
        <v>1300</v>
      </c>
      <c r="B685" s="40">
        <v>759.54998779296875</v>
      </c>
      <c r="C685" s="40">
        <v>572.979736328125</v>
      </c>
      <c r="D685" s="38">
        <v>2233369</v>
      </c>
      <c r="E685" s="38" t="s">
        <v>1175</v>
      </c>
      <c r="F685" s="38" t="s">
        <v>618</v>
      </c>
    </row>
    <row r="686" spans="1:6">
      <c r="A686" s="38" t="s">
        <v>1301</v>
      </c>
      <c r="B686" s="40">
        <v>750.1500244140625</v>
      </c>
      <c r="C686" s="40">
        <v>565.888671875</v>
      </c>
      <c r="D686" s="38">
        <v>5236214</v>
      </c>
      <c r="E686" s="38" t="s">
        <v>1175</v>
      </c>
      <c r="F686" s="38" t="s">
        <v>618</v>
      </c>
    </row>
    <row r="687" spans="1:6">
      <c r="A687" s="38" t="s">
        <v>1302</v>
      </c>
      <c r="B687" s="40">
        <v>719.8499755859375</v>
      </c>
      <c r="C687" s="40">
        <v>543.03118896484375</v>
      </c>
      <c r="D687" s="38">
        <v>6561009</v>
      </c>
      <c r="E687" s="38" t="s">
        <v>1175</v>
      </c>
      <c r="F687" s="38" t="s">
        <v>618</v>
      </c>
    </row>
    <row r="688" spans="1:6">
      <c r="A688" s="38" t="s">
        <v>1303</v>
      </c>
      <c r="B688" s="40">
        <v>714.5</v>
      </c>
      <c r="C688" s="40">
        <v>538.9954833984375</v>
      </c>
      <c r="D688" s="38">
        <v>4769105</v>
      </c>
      <c r="E688" s="38" t="s">
        <v>1175</v>
      </c>
      <c r="F688" s="38" t="s">
        <v>618</v>
      </c>
    </row>
    <row r="689" spans="1:6">
      <c r="A689" s="38" t="s">
        <v>1304</v>
      </c>
      <c r="B689" s="40">
        <v>694.9000244140625</v>
      </c>
      <c r="C689" s="40">
        <v>524.20977783203125</v>
      </c>
      <c r="D689" s="38">
        <v>2643927</v>
      </c>
      <c r="E689" s="38" t="s">
        <v>1175</v>
      </c>
      <c r="F689" s="38" t="s">
        <v>618</v>
      </c>
    </row>
    <row r="690" spans="1:6">
      <c r="A690" s="38" t="s">
        <v>1305</v>
      </c>
      <c r="B690" s="40">
        <v>696.0999755859375</v>
      </c>
      <c r="C690" s="40">
        <v>525.114990234375</v>
      </c>
      <c r="D690" s="38">
        <v>2729413</v>
      </c>
      <c r="E690" s="38" t="s">
        <v>1175</v>
      </c>
      <c r="F690" s="38" t="s">
        <v>618</v>
      </c>
    </row>
    <row r="691" spans="1:6">
      <c r="A691" s="38" t="s">
        <v>1306</v>
      </c>
      <c r="B691" s="40">
        <v>699.29998779296875</v>
      </c>
      <c r="C691" s="40">
        <v>527.529052734375</v>
      </c>
      <c r="D691" s="38">
        <v>3409416</v>
      </c>
      <c r="E691" s="38" t="s">
        <v>1175</v>
      </c>
      <c r="F691" s="38" t="s">
        <v>618</v>
      </c>
    </row>
    <row r="692" spans="1:6">
      <c r="A692" s="38" t="s">
        <v>1307</v>
      </c>
      <c r="B692" s="40">
        <v>695.45001220703125</v>
      </c>
      <c r="C692" s="40">
        <v>524.62481689453125</v>
      </c>
      <c r="D692" s="38">
        <v>3611423</v>
      </c>
      <c r="E692" s="38" t="s">
        <v>1175</v>
      </c>
      <c r="F692" s="38" t="s">
        <v>618</v>
      </c>
    </row>
    <row r="693" spans="1:6">
      <c r="A693" s="38" t="s">
        <v>1308</v>
      </c>
      <c r="B693" s="40">
        <v>693.79998779296875</v>
      </c>
      <c r="C693" s="40">
        <v>523.37994384765625</v>
      </c>
      <c r="D693" s="38">
        <v>2727205</v>
      </c>
      <c r="E693" s="38" t="s">
        <v>1175</v>
      </c>
      <c r="F693" s="38" t="s">
        <v>618</v>
      </c>
    </row>
    <row r="694" spans="1:6">
      <c r="A694" s="38" t="s">
        <v>1309</v>
      </c>
      <c r="B694" s="40">
        <v>694.54998779296875</v>
      </c>
      <c r="C694" s="40">
        <v>523.9456787109375</v>
      </c>
      <c r="D694" s="38">
        <v>4146878</v>
      </c>
      <c r="E694" s="38" t="s">
        <v>1175</v>
      </c>
      <c r="F694" s="38" t="s">
        <v>618</v>
      </c>
    </row>
    <row r="695" spans="1:6">
      <c r="A695" s="38" t="s">
        <v>1310</v>
      </c>
      <c r="B695" s="40">
        <v>718.70001220703125</v>
      </c>
      <c r="C695" s="40">
        <v>542.163818359375</v>
      </c>
      <c r="D695" s="38">
        <v>2889306</v>
      </c>
      <c r="E695" s="38" t="s">
        <v>1175</v>
      </c>
      <c r="F695" s="38" t="s">
        <v>618</v>
      </c>
    </row>
    <row r="696" spans="1:6">
      <c r="A696" s="38" t="s">
        <v>1311</v>
      </c>
      <c r="B696" s="40">
        <v>720.5</v>
      </c>
      <c r="C696" s="40">
        <v>543.5216064453125</v>
      </c>
      <c r="D696" s="38">
        <v>3320857</v>
      </c>
      <c r="E696" s="38" t="s">
        <v>1175</v>
      </c>
      <c r="F696" s="38" t="s">
        <v>618</v>
      </c>
    </row>
    <row r="697" spans="1:6">
      <c r="A697" s="38" t="s">
        <v>1312</v>
      </c>
      <c r="B697" s="40">
        <v>690.79998779296875</v>
      </c>
      <c r="C697" s="40">
        <v>521.116943359375</v>
      </c>
      <c r="D697" s="38">
        <v>2049802</v>
      </c>
      <c r="E697" s="38" t="s">
        <v>1175</v>
      </c>
      <c r="F697" s="38" t="s">
        <v>618</v>
      </c>
    </row>
    <row r="698" spans="1:6">
      <c r="A698" s="38" t="s">
        <v>1313</v>
      </c>
      <c r="B698" s="40">
        <v>676.54998779296875</v>
      </c>
      <c r="C698" s="40">
        <v>510.36721801757813</v>
      </c>
      <c r="D698" s="38">
        <v>3293136</v>
      </c>
      <c r="E698" s="38" t="s">
        <v>1175</v>
      </c>
      <c r="F698" s="38" t="s">
        <v>618</v>
      </c>
    </row>
    <row r="699" spans="1:6">
      <c r="A699" s="38" t="s">
        <v>1314</v>
      </c>
      <c r="B699" s="40">
        <v>668.25</v>
      </c>
      <c r="C699" s="40">
        <v>504.10592651367188</v>
      </c>
      <c r="D699" s="38">
        <v>1656193</v>
      </c>
      <c r="E699" s="38" t="s">
        <v>1175</v>
      </c>
      <c r="F699" s="38" t="s">
        <v>618</v>
      </c>
    </row>
    <row r="700" spans="1:6">
      <c r="A700" s="38" t="s">
        <v>1315</v>
      </c>
      <c r="B700" s="40">
        <v>667.4000244140625</v>
      </c>
      <c r="C700" s="40">
        <v>503.46478271484375</v>
      </c>
      <c r="D700" s="38">
        <v>3180852</v>
      </c>
      <c r="E700" s="38" t="s">
        <v>1175</v>
      </c>
      <c r="F700" s="38" t="s">
        <v>618</v>
      </c>
    </row>
    <row r="701" spans="1:6">
      <c r="A701" s="38" t="s">
        <v>1316</v>
      </c>
      <c r="B701" s="40">
        <v>651.4000244140625</v>
      </c>
      <c r="C701" s="40">
        <v>491.39483642578125</v>
      </c>
      <c r="D701" s="38">
        <v>2142283</v>
      </c>
      <c r="E701" s="38" t="s">
        <v>1175</v>
      </c>
      <c r="F701" s="38" t="s">
        <v>618</v>
      </c>
    </row>
    <row r="702" spans="1:6">
      <c r="A702" s="38" t="s">
        <v>1317</v>
      </c>
      <c r="B702" s="40">
        <v>653.29998779296875</v>
      </c>
      <c r="C702" s="40">
        <v>492.82815551757813</v>
      </c>
      <c r="D702" s="38">
        <v>1397821</v>
      </c>
      <c r="E702" s="38" t="s">
        <v>1175</v>
      </c>
      <c r="F702" s="38" t="s">
        <v>618</v>
      </c>
    </row>
    <row r="703" spans="1:6">
      <c r="A703" s="38" t="s">
        <v>1318</v>
      </c>
      <c r="B703" s="40">
        <v>664.25</v>
      </c>
      <c r="C703" s="40">
        <v>501.08840942382813</v>
      </c>
      <c r="D703" s="38">
        <v>1942428</v>
      </c>
      <c r="E703" s="38" t="s">
        <v>1175</v>
      </c>
      <c r="F703" s="38" t="s">
        <v>618</v>
      </c>
    </row>
    <row r="704" spans="1:6">
      <c r="A704" s="38" t="s">
        <v>1319</v>
      </c>
      <c r="B704" s="40">
        <v>685.0999755859375</v>
      </c>
      <c r="C704" s="40">
        <v>516.81695556640625</v>
      </c>
      <c r="D704" s="38">
        <v>3825436</v>
      </c>
      <c r="E704" s="38" t="s">
        <v>1175</v>
      </c>
      <c r="F704" s="38" t="s">
        <v>618</v>
      </c>
    </row>
    <row r="705" spans="1:6">
      <c r="A705" s="38" t="s">
        <v>1320</v>
      </c>
      <c r="B705" s="40">
        <v>743.9000244140625</v>
      </c>
      <c r="C705" s="40">
        <v>561.173828125</v>
      </c>
      <c r="D705" s="38">
        <v>13010741</v>
      </c>
      <c r="E705" s="38" t="s">
        <v>1175</v>
      </c>
      <c r="F705" s="38" t="s">
        <v>618</v>
      </c>
    </row>
    <row r="706" spans="1:6">
      <c r="A706" s="38" t="s">
        <v>1321</v>
      </c>
      <c r="B706" s="40">
        <v>720.70001220703125</v>
      </c>
      <c r="C706" s="40">
        <v>543.672607421875</v>
      </c>
      <c r="D706" s="38">
        <v>3999401</v>
      </c>
      <c r="E706" s="38" t="s">
        <v>1175</v>
      </c>
      <c r="F706" s="38" t="s">
        <v>618</v>
      </c>
    </row>
    <row r="707" spans="1:6">
      <c r="A707" s="38" t="s">
        <v>1322</v>
      </c>
      <c r="B707" s="40">
        <v>690.9000244140625</v>
      </c>
      <c r="C707" s="40">
        <v>521.19244384765625</v>
      </c>
      <c r="D707" s="38">
        <v>4445407</v>
      </c>
      <c r="E707" s="38" t="s">
        <v>1175</v>
      </c>
      <c r="F707" s="38" t="s">
        <v>618</v>
      </c>
    </row>
    <row r="708" spans="1:6">
      <c r="A708" s="38" t="s">
        <v>1323</v>
      </c>
      <c r="B708" s="40">
        <v>696.3499755859375</v>
      </c>
      <c r="C708" s="40">
        <v>525.3037109375</v>
      </c>
      <c r="D708" s="38">
        <v>2782174</v>
      </c>
      <c r="E708" s="38" t="s">
        <v>1175</v>
      </c>
      <c r="F708" s="38" t="s">
        <v>618</v>
      </c>
    </row>
    <row r="709" spans="1:6">
      <c r="A709" s="38" t="s">
        <v>1324</v>
      </c>
      <c r="B709" s="40">
        <v>694.54998779296875</v>
      </c>
      <c r="C709" s="40">
        <v>523.9456787109375</v>
      </c>
      <c r="D709" s="38">
        <v>1752227</v>
      </c>
      <c r="E709" s="38" t="s">
        <v>1175</v>
      </c>
      <c r="F709" s="38" t="s">
        <v>618</v>
      </c>
    </row>
    <row r="710" spans="1:6">
      <c r="A710" s="38" t="s">
        <v>1325</v>
      </c>
      <c r="B710" s="40">
        <v>697.25</v>
      </c>
      <c r="C710" s="40">
        <v>525.98260498046875</v>
      </c>
      <c r="D710" s="38">
        <v>111376</v>
      </c>
      <c r="E710" s="38" t="s">
        <v>1175</v>
      </c>
      <c r="F710" s="38" t="s">
        <v>618</v>
      </c>
    </row>
    <row r="711" spans="1:6">
      <c r="A711" s="38" t="s">
        <v>1326</v>
      </c>
      <c r="B711" s="40">
        <v>707.20001220703125</v>
      </c>
      <c r="C711" s="40">
        <v>533.48846435546875</v>
      </c>
      <c r="D711" s="38">
        <v>2573761</v>
      </c>
      <c r="E711" s="38" t="s">
        <v>1175</v>
      </c>
      <c r="F711" s="38" t="s">
        <v>618</v>
      </c>
    </row>
    <row r="712" spans="1:6">
      <c r="A712" s="38" t="s">
        <v>1327</v>
      </c>
      <c r="B712" s="40">
        <v>724.54998779296875</v>
      </c>
      <c r="C712" s="40">
        <v>546.57684326171875</v>
      </c>
      <c r="D712" s="38">
        <v>4696550</v>
      </c>
      <c r="E712" s="38" t="s">
        <v>1175</v>
      </c>
      <c r="F712" s="38" t="s">
        <v>618</v>
      </c>
    </row>
    <row r="713" spans="1:6">
      <c r="A713" s="38" t="s">
        <v>1328</v>
      </c>
      <c r="B713" s="40">
        <v>728.04998779296875</v>
      </c>
      <c r="C713" s="40">
        <v>549.217041015625</v>
      </c>
      <c r="D713" s="38">
        <v>4401141</v>
      </c>
      <c r="E713" s="38" t="s">
        <v>1175</v>
      </c>
      <c r="F713" s="38" t="s">
        <v>618</v>
      </c>
    </row>
    <row r="714" spans="1:6">
      <c r="A714" s="38" t="s">
        <v>1329</v>
      </c>
      <c r="B714" s="40">
        <v>700.25</v>
      </c>
      <c r="C714" s="40">
        <v>528.24560546875</v>
      </c>
      <c r="D714" s="38">
        <v>3367710</v>
      </c>
      <c r="E714" s="38" t="s">
        <v>1175</v>
      </c>
      <c r="F714" s="38" t="s">
        <v>618</v>
      </c>
    </row>
    <row r="715" spans="1:6">
      <c r="A715" s="38" t="s">
        <v>1330</v>
      </c>
      <c r="B715" s="40">
        <v>714.9000244140625</v>
      </c>
      <c r="C715" s="40">
        <v>539.29718017578125</v>
      </c>
      <c r="D715" s="38">
        <v>4485617</v>
      </c>
      <c r="E715" s="38" t="s">
        <v>1175</v>
      </c>
      <c r="F715" s="38" t="s">
        <v>618</v>
      </c>
    </row>
    <row r="716" spans="1:6">
      <c r="A716" s="38" t="s">
        <v>1331</v>
      </c>
      <c r="B716" s="40">
        <v>728</v>
      </c>
      <c r="C716" s="40">
        <v>549.179443359375</v>
      </c>
      <c r="D716" s="38">
        <v>2874046</v>
      </c>
      <c r="E716" s="38" t="s">
        <v>1175</v>
      </c>
      <c r="F716" s="38" t="s">
        <v>618</v>
      </c>
    </row>
    <row r="717" spans="1:6">
      <c r="A717" s="38" t="s">
        <v>1332</v>
      </c>
      <c r="B717" s="40">
        <v>732.54998779296875</v>
      </c>
      <c r="C717" s="40">
        <v>552.61175537109375</v>
      </c>
      <c r="D717" s="38">
        <v>2212804</v>
      </c>
      <c r="E717" s="38" t="s">
        <v>1175</v>
      </c>
      <c r="F717" s="38" t="s">
        <v>618</v>
      </c>
    </row>
    <row r="718" spans="1:6">
      <c r="A718" s="38" t="s">
        <v>1333</v>
      </c>
      <c r="B718" s="40">
        <v>709.70001220703125</v>
      </c>
      <c r="C718" s="40">
        <v>535.37451171875</v>
      </c>
      <c r="D718" s="38">
        <v>2667937</v>
      </c>
      <c r="E718" s="38" t="s">
        <v>1175</v>
      </c>
      <c r="F718" s="38" t="s">
        <v>618</v>
      </c>
    </row>
    <row r="719" spans="1:6">
      <c r="A719" s="38" t="s">
        <v>1334</v>
      </c>
      <c r="B719" s="40">
        <v>690.6500244140625</v>
      </c>
      <c r="C719" s="40">
        <v>521.0037841796875</v>
      </c>
      <c r="D719" s="38">
        <v>3108345</v>
      </c>
      <c r="E719" s="38" t="s">
        <v>1175</v>
      </c>
      <c r="F719" s="38" t="s">
        <v>618</v>
      </c>
    </row>
    <row r="720" spans="1:6">
      <c r="A720" s="38" t="s">
        <v>1335</v>
      </c>
      <c r="B720" s="40">
        <v>690.79998779296875</v>
      </c>
      <c r="C720" s="40">
        <v>521.116943359375</v>
      </c>
      <c r="D720" s="38">
        <v>4031353</v>
      </c>
      <c r="E720" s="38" t="s">
        <v>1175</v>
      </c>
      <c r="F720" s="38" t="s">
        <v>618</v>
      </c>
    </row>
    <row r="721" spans="1:6">
      <c r="A721" s="38" t="s">
        <v>1336</v>
      </c>
      <c r="B721" s="40">
        <v>694.5</v>
      </c>
      <c r="C721" s="40">
        <v>523.90802001953125</v>
      </c>
      <c r="D721" s="38">
        <v>2993915</v>
      </c>
      <c r="E721" s="38" t="s">
        <v>1175</v>
      </c>
      <c r="F721" s="38" t="s">
        <v>618</v>
      </c>
    </row>
    <row r="722" spans="1:6">
      <c r="A722" s="38" t="s">
        <v>1337</v>
      </c>
      <c r="B722" s="40">
        <v>694.1500244140625</v>
      </c>
      <c r="C722" s="40">
        <v>523.64404296875</v>
      </c>
      <c r="D722" s="38">
        <v>2560757</v>
      </c>
      <c r="E722" s="38" t="s">
        <v>1175</v>
      </c>
      <c r="F722" s="38" t="s">
        <v>618</v>
      </c>
    </row>
    <row r="723" spans="1:6">
      <c r="A723" s="38" t="s">
        <v>1338</v>
      </c>
      <c r="B723" s="40">
        <v>697.5</v>
      </c>
      <c r="C723" s="40">
        <v>526.17120361328125</v>
      </c>
      <c r="D723" s="38">
        <v>2767316</v>
      </c>
      <c r="E723" s="38" t="s">
        <v>1175</v>
      </c>
      <c r="F723" s="38" t="s">
        <v>618</v>
      </c>
    </row>
    <row r="724" spans="1:6">
      <c r="A724" s="38" t="s">
        <v>1339</v>
      </c>
      <c r="B724" s="40">
        <v>687.5</v>
      </c>
      <c r="C724" s="40">
        <v>518.62744140625</v>
      </c>
      <c r="D724" s="38">
        <v>2351937</v>
      </c>
      <c r="E724" s="38" t="s">
        <v>1175</v>
      </c>
      <c r="F724" s="38" t="s">
        <v>618</v>
      </c>
    </row>
    <row r="725" spans="1:6">
      <c r="A725" s="38" t="s">
        <v>1340</v>
      </c>
      <c r="B725" s="40">
        <v>705.95001220703125</v>
      </c>
      <c r="C725" s="40">
        <v>532.54559326171875</v>
      </c>
      <c r="D725" s="38">
        <v>3292579</v>
      </c>
      <c r="E725" s="38" t="s">
        <v>1175</v>
      </c>
      <c r="F725" s="38" t="s">
        <v>618</v>
      </c>
    </row>
    <row r="726" spans="1:6">
      <c r="A726" s="38" t="s">
        <v>1341</v>
      </c>
      <c r="B726" s="40">
        <v>712.70001220703125</v>
      </c>
      <c r="C726" s="40">
        <v>537.6375732421875</v>
      </c>
      <c r="D726" s="38">
        <v>2410009</v>
      </c>
      <c r="E726" s="38" t="s">
        <v>1175</v>
      </c>
      <c r="F726" s="38" t="s">
        <v>618</v>
      </c>
    </row>
    <row r="727" spans="1:6">
      <c r="A727" s="38" t="s">
        <v>1342</v>
      </c>
      <c r="B727" s="40">
        <v>723.54998779296875</v>
      </c>
      <c r="C727" s="40">
        <v>545.82244873046875</v>
      </c>
      <c r="D727" s="38">
        <v>2896702</v>
      </c>
      <c r="E727" s="38" t="s">
        <v>1175</v>
      </c>
      <c r="F727" s="38" t="s">
        <v>618</v>
      </c>
    </row>
    <row r="728" spans="1:6">
      <c r="A728" s="38" t="s">
        <v>1343</v>
      </c>
      <c r="B728" s="40">
        <v>726.8499755859375</v>
      </c>
      <c r="C728" s="40">
        <v>548.3118896484375</v>
      </c>
      <c r="D728" s="38">
        <v>4864922</v>
      </c>
      <c r="E728" s="38" t="s">
        <v>1175</v>
      </c>
      <c r="F728" s="38" t="s">
        <v>618</v>
      </c>
    </row>
    <row r="729" spans="1:6">
      <c r="A729" s="38" t="s">
        <v>1344</v>
      </c>
      <c r="B729" s="40">
        <v>696.4000244140625</v>
      </c>
      <c r="C729" s="40">
        <v>525.34136962890625</v>
      </c>
      <c r="D729" s="38">
        <v>3467903</v>
      </c>
      <c r="E729" s="38" t="s">
        <v>1175</v>
      </c>
      <c r="F729" s="38" t="s">
        <v>618</v>
      </c>
    </row>
    <row r="730" spans="1:6">
      <c r="A730" s="38" t="s">
        <v>1345</v>
      </c>
      <c r="B730" s="40">
        <v>694.25</v>
      </c>
      <c r="C730" s="40">
        <v>523.71954345703125</v>
      </c>
      <c r="D730" s="38">
        <v>2423892</v>
      </c>
      <c r="E730" s="38" t="s">
        <v>1175</v>
      </c>
      <c r="F730" s="38" t="s">
        <v>618</v>
      </c>
    </row>
    <row r="731" spans="1:6">
      <c r="A731" s="38" t="s">
        <v>1346</v>
      </c>
      <c r="B731" s="40">
        <v>687.9000244140625</v>
      </c>
      <c r="C731" s="40">
        <v>518.9293212890625</v>
      </c>
      <c r="D731" s="38">
        <v>2334813</v>
      </c>
      <c r="E731" s="38" t="s">
        <v>1175</v>
      </c>
      <c r="F731" s="38" t="s">
        <v>618</v>
      </c>
    </row>
    <row r="732" spans="1:6">
      <c r="A732" s="38" t="s">
        <v>1347</v>
      </c>
      <c r="B732" s="40">
        <v>695.29998779296875</v>
      </c>
      <c r="C732" s="40">
        <v>524.51153564453125</v>
      </c>
      <c r="D732" s="38">
        <v>3495336</v>
      </c>
      <c r="E732" s="38" t="s">
        <v>1175</v>
      </c>
      <c r="F732" s="38" t="s">
        <v>618</v>
      </c>
    </row>
    <row r="733" spans="1:6">
      <c r="A733" s="38" t="s">
        <v>1348</v>
      </c>
      <c r="B733" s="40">
        <v>705.3499755859375</v>
      </c>
      <c r="C733" s="40">
        <v>532.093017578125</v>
      </c>
      <c r="D733" s="38">
        <v>2355119</v>
      </c>
      <c r="E733" s="38" t="s">
        <v>1175</v>
      </c>
      <c r="F733" s="38" t="s">
        <v>618</v>
      </c>
    </row>
    <row r="734" spans="1:6">
      <c r="A734" s="38" t="s">
        <v>1349</v>
      </c>
      <c r="B734" s="40">
        <v>709.29998779296875</v>
      </c>
      <c r="C734" s="40">
        <v>535.07275390625</v>
      </c>
      <c r="D734" s="38">
        <v>2593714</v>
      </c>
      <c r="E734" s="38" t="s">
        <v>1175</v>
      </c>
      <c r="F734" s="38" t="s">
        <v>618</v>
      </c>
    </row>
    <row r="735" spans="1:6">
      <c r="A735" s="38" t="s">
        <v>1350</v>
      </c>
      <c r="B735" s="40">
        <v>712.20001220703125</v>
      </c>
      <c r="C735" s="40">
        <v>537.26031494140625</v>
      </c>
      <c r="D735" s="38">
        <v>1982037</v>
      </c>
      <c r="E735" s="38" t="s">
        <v>1175</v>
      </c>
      <c r="F735" s="38" t="s">
        <v>618</v>
      </c>
    </row>
    <row r="736" spans="1:6">
      <c r="A736" s="38" t="s">
        <v>1351</v>
      </c>
      <c r="B736" s="40">
        <v>719.75</v>
      </c>
      <c r="C736" s="40">
        <v>542.955810546875</v>
      </c>
      <c r="D736" s="38">
        <v>1435014</v>
      </c>
      <c r="E736" s="38" t="s">
        <v>1175</v>
      </c>
      <c r="F736" s="38" t="s">
        <v>618</v>
      </c>
    </row>
    <row r="737" spans="1:6">
      <c r="A737" s="38" t="s">
        <v>1352</v>
      </c>
      <c r="B737" s="40">
        <v>709</v>
      </c>
      <c r="C737" s="40">
        <v>534.846435546875</v>
      </c>
      <c r="D737" s="38">
        <v>1905592</v>
      </c>
      <c r="E737" s="38" t="s">
        <v>1175</v>
      </c>
      <c r="F737" s="38" t="s">
        <v>618</v>
      </c>
    </row>
    <row r="738" spans="1:6">
      <c r="A738" s="38" t="s">
        <v>1353</v>
      </c>
      <c r="B738" s="40">
        <v>709.45001220703125</v>
      </c>
      <c r="C738" s="40">
        <v>535.18597412109375</v>
      </c>
      <c r="D738" s="38">
        <v>2702676</v>
      </c>
      <c r="E738" s="38" t="s">
        <v>1175</v>
      </c>
      <c r="F738" s="38" t="s">
        <v>618</v>
      </c>
    </row>
    <row r="739" spans="1:6">
      <c r="A739" s="38" t="s">
        <v>1354</v>
      </c>
      <c r="B739" s="40">
        <v>707.75</v>
      </c>
      <c r="C739" s="40">
        <v>533.9033203125</v>
      </c>
      <c r="D739" s="38">
        <v>1817880</v>
      </c>
      <c r="E739" s="38" t="s">
        <v>1175</v>
      </c>
      <c r="F739" s="38" t="s">
        <v>618</v>
      </c>
    </row>
    <row r="740" spans="1:6">
      <c r="A740" s="38" t="s">
        <v>1355</v>
      </c>
      <c r="B740" s="40">
        <v>695.75</v>
      </c>
      <c r="C740" s="40">
        <v>524.85107421875</v>
      </c>
      <c r="D740" s="38">
        <v>2063928</v>
      </c>
      <c r="E740" s="38" t="s">
        <v>1175</v>
      </c>
      <c r="F740" s="38" t="s">
        <v>618</v>
      </c>
    </row>
    <row r="741" spans="1:6">
      <c r="A741" s="38" t="s">
        <v>1356</v>
      </c>
      <c r="B741" s="40">
        <v>697.9000244140625</v>
      </c>
      <c r="C741" s="40">
        <v>526.47296142578125</v>
      </c>
      <c r="D741" s="38">
        <v>1472565</v>
      </c>
      <c r="E741" s="38" t="s">
        <v>1175</v>
      </c>
      <c r="F741" s="38" t="s">
        <v>618</v>
      </c>
    </row>
    <row r="742" spans="1:6">
      <c r="A742" s="38" t="s">
        <v>1357</v>
      </c>
      <c r="B742" s="40">
        <v>693.54998779296875</v>
      </c>
      <c r="C742" s="40">
        <v>523.19134521484375</v>
      </c>
      <c r="D742" s="38">
        <v>1881689</v>
      </c>
      <c r="E742" s="38" t="s">
        <v>1175</v>
      </c>
      <c r="F742" s="38" t="s">
        <v>618</v>
      </c>
    </row>
    <row r="743" spans="1:6">
      <c r="A743" s="38" t="s">
        <v>1358</v>
      </c>
      <c r="B743" s="40">
        <v>708.9000244140625</v>
      </c>
      <c r="C743" s="40">
        <v>534.7711181640625</v>
      </c>
      <c r="D743" s="38">
        <v>3018106</v>
      </c>
      <c r="E743" s="38" t="s">
        <v>1175</v>
      </c>
      <c r="F743" s="38" t="s">
        <v>618</v>
      </c>
    </row>
    <row r="744" spans="1:6">
      <c r="A744" s="38" t="s">
        <v>1359</v>
      </c>
      <c r="B744" s="40">
        <v>714</v>
      </c>
      <c r="C744" s="40">
        <v>538.6181640625</v>
      </c>
      <c r="D744" s="38">
        <v>1863654</v>
      </c>
      <c r="E744" s="38" t="s">
        <v>1175</v>
      </c>
      <c r="F744" s="38" t="s">
        <v>618</v>
      </c>
    </row>
    <row r="745" spans="1:6">
      <c r="A745" s="38" t="s">
        <v>1360</v>
      </c>
      <c r="B745" s="40">
        <v>723.1500244140625</v>
      </c>
      <c r="C745" s="40">
        <v>545.5206298828125</v>
      </c>
      <c r="D745" s="38">
        <v>1814655</v>
      </c>
      <c r="E745" s="38" t="s">
        <v>1175</v>
      </c>
      <c r="F745" s="38" t="s">
        <v>618</v>
      </c>
    </row>
    <row r="746" spans="1:6">
      <c r="A746" s="38" t="s">
        <v>1361</v>
      </c>
      <c r="B746" s="40">
        <v>719.0999755859375</v>
      </c>
      <c r="C746" s="40">
        <v>542.465576171875</v>
      </c>
      <c r="D746" s="38">
        <v>815535</v>
      </c>
      <c r="E746" s="38" t="s">
        <v>1175</v>
      </c>
      <c r="F746" s="38" t="s">
        <v>618</v>
      </c>
    </row>
    <row r="747" spans="1:6">
      <c r="A747" s="38" t="s">
        <v>1362</v>
      </c>
      <c r="B747" s="40">
        <v>712.04998779296875</v>
      </c>
      <c r="C747" s="40">
        <v>537.14727783203125</v>
      </c>
      <c r="D747" s="38">
        <v>2576769</v>
      </c>
      <c r="E747" s="38" t="s">
        <v>1175</v>
      </c>
      <c r="F747" s="38" t="s">
        <v>618</v>
      </c>
    </row>
    <row r="748" spans="1:6">
      <c r="A748" s="38" t="s">
        <v>1363</v>
      </c>
      <c r="B748" s="40">
        <v>691.25</v>
      </c>
      <c r="C748" s="40">
        <v>521.456298828125</v>
      </c>
      <c r="D748" s="38">
        <v>3558015</v>
      </c>
      <c r="E748" s="38" t="s">
        <v>1175</v>
      </c>
      <c r="F748" s="38" t="s">
        <v>618</v>
      </c>
    </row>
    <row r="749" spans="1:6">
      <c r="A749" s="38" t="s">
        <v>1364</v>
      </c>
      <c r="B749" s="40">
        <v>681.0999755859375</v>
      </c>
      <c r="C749" s="40">
        <v>513.79949951171875</v>
      </c>
      <c r="D749" s="38">
        <v>3926171</v>
      </c>
      <c r="E749" s="38" t="s">
        <v>1175</v>
      </c>
      <c r="F749" s="38" t="s">
        <v>618</v>
      </c>
    </row>
    <row r="750" spans="1:6">
      <c r="A750" s="38" t="s">
        <v>1365</v>
      </c>
      <c r="B750" s="40">
        <v>687.5</v>
      </c>
      <c r="C750" s="40">
        <v>518.62744140625</v>
      </c>
      <c r="D750" s="38">
        <v>1885000</v>
      </c>
      <c r="E750" s="38" t="s">
        <v>1175</v>
      </c>
      <c r="F750" s="38" t="s">
        <v>618</v>
      </c>
    </row>
    <row r="751" spans="1:6">
      <c r="A751" s="38" t="s">
        <v>1366</v>
      </c>
      <c r="B751" s="40">
        <v>689.8499755859375</v>
      </c>
      <c r="C751" s="40">
        <v>520.40032958984375</v>
      </c>
      <c r="D751" s="38">
        <v>1300906</v>
      </c>
      <c r="E751" s="38" t="s">
        <v>1175</v>
      </c>
      <c r="F751" s="38" t="s">
        <v>618</v>
      </c>
    </row>
    <row r="752" spans="1:6">
      <c r="A752" s="38" t="s">
        <v>1367</v>
      </c>
      <c r="B752" s="40">
        <v>693.70001220703125</v>
      </c>
      <c r="C752" s="40">
        <v>523.30462646484375</v>
      </c>
      <c r="D752" s="38">
        <v>2183998</v>
      </c>
      <c r="E752" s="38" t="s">
        <v>1175</v>
      </c>
      <c r="F752" s="38" t="s">
        <v>618</v>
      </c>
    </row>
    <row r="753" spans="1:6">
      <c r="A753" s="38" t="s">
        <v>1368</v>
      </c>
      <c r="B753" s="40">
        <v>694.54998779296875</v>
      </c>
      <c r="C753" s="40">
        <v>523.9456787109375</v>
      </c>
      <c r="D753" s="38">
        <v>1454656</v>
      </c>
      <c r="E753" s="38" t="s">
        <v>1175</v>
      </c>
      <c r="F753" s="38" t="s">
        <v>618</v>
      </c>
    </row>
    <row r="754" spans="1:6">
      <c r="A754" s="38" t="s">
        <v>1369</v>
      </c>
      <c r="B754" s="40">
        <v>699.20001220703125</v>
      </c>
      <c r="C754" s="40">
        <v>527.45367431640625</v>
      </c>
      <c r="D754" s="38">
        <v>1849817</v>
      </c>
      <c r="E754" s="38" t="s">
        <v>1175</v>
      </c>
      <c r="F754" s="38" t="s">
        <v>618</v>
      </c>
    </row>
    <row r="755" spans="1:6">
      <c r="A755" s="38" t="s">
        <v>1370</v>
      </c>
      <c r="B755" s="40">
        <v>679.8499755859375</v>
      </c>
      <c r="C755" s="40">
        <v>512.85662841796875</v>
      </c>
      <c r="D755" s="38">
        <v>1558602</v>
      </c>
      <c r="E755" s="38" t="s">
        <v>1175</v>
      </c>
      <c r="F755" s="38" t="s">
        <v>618</v>
      </c>
    </row>
    <row r="756" spans="1:6">
      <c r="A756" s="38" t="s">
        <v>1371</v>
      </c>
      <c r="B756" s="40">
        <v>706.25</v>
      </c>
      <c r="C756" s="40">
        <v>532.77191162109375</v>
      </c>
      <c r="D756" s="38">
        <v>2491520</v>
      </c>
      <c r="E756" s="38" t="s">
        <v>1175</v>
      </c>
      <c r="F756" s="38" t="s">
        <v>618</v>
      </c>
    </row>
    <row r="757" spans="1:6">
      <c r="A757" s="38" t="s">
        <v>1372</v>
      </c>
      <c r="B757" s="40">
        <v>699.9000244140625</v>
      </c>
      <c r="C757" s="40">
        <v>527.98162841796875</v>
      </c>
      <c r="D757" s="38">
        <v>1922647</v>
      </c>
      <c r="E757" s="38" t="s">
        <v>1175</v>
      </c>
      <c r="F757" s="38" t="s">
        <v>618</v>
      </c>
    </row>
    <row r="758" spans="1:6">
      <c r="A758" s="38" t="s">
        <v>1373</v>
      </c>
      <c r="B758" s="40">
        <v>705.54998779296875</v>
      </c>
      <c r="C758" s="40">
        <v>532.24383544921875</v>
      </c>
      <c r="D758" s="38">
        <v>1434040</v>
      </c>
      <c r="E758" s="38" t="s">
        <v>1175</v>
      </c>
      <c r="F758" s="38" t="s">
        <v>618</v>
      </c>
    </row>
    <row r="759" spans="1:6">
      <c r="A759" s="38" t="s">
        <v>1374</v>
      </c>
      <c r="B759" s="40">
        <v>709.1500244140625</v>
      </c>
      <c r="C759" s="40">
        <v>534.9595947265625</v>
      </c>
      <c r="D759" s="38">
        <v>1888004</v>
      </c>
      <c r="E759" s="38" t="s">
        <v>1175</v>
      </c>
      <c r="F759" s="38" t="s">
        <v>618</v>
      </c>
    </row>
    <row r="760" spans="1:6">
      <c r="A760" s="38" t="s">
        <v>1375</v>
      </c>
      <c r="B760" s="40">
        <v>713.9000244140625</v>
      </c>
      <c r="C760" s="40">
        <v>538.54278564453125</v>
      </c>
      <c r="D760" s="38">
        <v>2586962</v>
      </c>
      <c r="E760" s="38" t="s">
        <v>1175</v>
      </c>
      <c r="F760" s="38" t="s">
        <v>618</v>
      </c>
    </row>
    <row r="761" spans="1:6">
      <c r="A761" s="38" t="s">
        <v>1376</v>
      </c>
      <c r="B761" s="40">
        <v>714.20001220703125</v>
      </c>
      <c r="C761" s="40">
        <v>538.7691650390625</v>
      </c>
      <c r="D761" s="38">
        <v>2839669</v>
      </c>
      <c r="E761" s="38" t="s">
        <v>1175</v>
      </c>
      <c r="F761" s="38" t="s">
        <v>618</v>
      </c>
    </row>
    <row r="762" spans="1:6">
      <c r="A762" s="38" t="s">
        <v>1377</v>
      </c>
      <c r="B762" s="40">
        <v>720.70001220703125</v>
      </c>
      <c r="C762" s="40">
        <v>543.672607421875</v>
      </c>
      <c r="D762" s="38">
        <v>1965283</v>
      </c>
      <c r="E762" s="38" t="s">
        <v>1175</v>
      </c>
      <c r="F762" s="38" t="s">
        <v>618</v>
      </c>
    </row>
    <row r="763" spans="1:6">
      <c r="A763" s="38" t="s">
        <v>1378</v>
      </c>
      <c r="B763" s="40">
        <v>727.75</v>
      </c>
      <c r="C763" s="40">
        <v>548.99078369140625</v>
      </c>
      <c r="D763" s="38">
        <v>1849102</v>
      </c>
      <c r="E763" s="38" t="s">
        <v>1175</v>
      </c>
      <c r="F763" s="38" t="s">
        <v>618</v>
      </c>
    </row>
    <row r="764" spans="1:6">
      <c r="A764" s="38" t="s">
        <v>1379</v>
      </c>
      <c r="B764" s="40">
        <v>729.04998779296875</v>
      </c>
      <c r="C764" s="40">
        <v>549.9715576171875</v>
      </c>
      <c r="D764" s="38">
        <v>2528541</v>
      </c>
      <c r="E764" s="38" t="s">
        <v>1175</v>
      </c>
      <c r="F764" s="38" t="s">
        <v>618</v>
      </c>
    </row>
    <row r="765" spans="1:6">
      <c r="A765" s="38" t="s">
        <v>1380</v>
      </c>
      <c r="B765" s="40">
        <v>735.1500244140625</v>
      </c>
      <c r="C765" s="40">
        <v>554.572998046875</v>
      </c>
      <c r="D765" s="38">
        <v>1804582</v>
      </c>
      <c r="E765" s="38" t="s">
        <v>1175</v>
      </c>
      <c r="F765" s="38" t="s">
        <v>618</v>
      </c>
    </row>
    <row r="766" spans="1:6">
      <c r="A766" s="38" t="s">
        <v>1381</v>
      </c>
      <c r="B766" s="40">
        <v>731.5</v>
      </c>
      <c r="C766" s="40">
        <v>551.81976318359375</v>
      </c>
      <c r="D766" s="38">
        <v>3100457</v>
      </c>
      <c r="E766" s="38" t="s">
        <v>1175</v>
      </c>
      <c r="F766" s="38" t="s">
        <v>618</v>
      </c>
    </row>
    <row r="767" spans="1:6">
      <c r="A767" s="38" t="s">
        <v>1382</v>
      </c>
      <c r="B767" s="40">
        <v>714.5999755859375</v>
      </c>
      <c r="C767" s="40">
        <v>539.07086181640625</v>
      </c>
      <c r="D767" s="38">
        <v>2139900</v>
      </c>
      <c r="E767" s="38" t="s">
        <v>1175</v>
      </c>
      <c r="F767" s="38" t="s">
        <v>618</v>
      </c>
    </row>
    <row r="768" spans="1:6">
      <c r="A768" s="38" t="s">
        <v>1383</v>
      </c>
      <c r="B768" s="40">
        <v>731.9000244140625</v>
      </c>
      <c r="C768" s="40">
        <v>552.12139892578125</v>
      </c>
      <c r="D768" s="38">
        <v>3253640</v>
      </c>
      <c r="E768" s="38" t="s">
        <v>1175</v>
      </c>
      <c r="F768" s="38" t="s">
        <v>618</v>
      </c>
    </row>
    <row r="769" spans="1:6">
      <c r="A769" s="38" t="s">
        <v>1384</v>
      </c>
      <c r="B769" s="40">
        <v>746.5999755859375</v>
      </c>
      <c r="C769" s="40">
        <v>563.210693359375</v>
      </c>
      <c r="D769" s="38">
        <v>2260029</v>
      </c>
      <c r="E769" s="38" t="s">
        <v>1175</v>
      </c>
      <c r="F769" s="38" t="s">
        <v>618</v>
      </c>
    </row>
    <row r="770" spans="1:6">
      <c r="A770" s="38" t="s">
        <v>1385</v>
      </c>
      <c r="B770" s="40">
        <v>749.1500244140625</v>
      </c>
      <c r="C770" s="40">
        <v>565.13433837890625</v>
      </c>
      <c r="D770" s="38">
        <v>1518373</v>
      </c>
      <c r="E770" s="38" t="s">
        <v>1175</v>
      </c>
      <c r="F770" s="38" t="s">
        <v>618</v>
      </c>
    </row>
    <row r="771" spans="1:6">
      <c r="A771" s="38" t="s">
        <v>1386</v>
      </c>
      <c r="B771" s="40">
        <v>751</v>
      </c>
      <c r="C771" s="40">
        <v>566.5296630859375</v>
      </c>
      <c r="D771" s="38">
        <v>2446263</v>
      </c>
      <c r="E771" s="38" t="s">
        <v>1175</v>
      </c>
      <c r="F771" s="38" t="s">
        <v>618</v>
      </c>
    </row>
    <row r="772" spans="1:6">
      <c r="A772" s="38" t="s">
        <v>1387</v>
      </c>
      <c r="B772" s="40">
        <v>811.3499755859375</v>
      </c>
      <c r="C772" s="40">
        <v>612.055908203125</v>
      </c>
      <c r="D772" s="38">
        <v>14860848</v>
      </c>
      <c r="E772" s="38" t="s">
        <v>1175</v>
      </c>
      <c r="F772" s="38" t="s">
        <v>618</v>
      </c>
    </row>
    <row r="773" spans="1:6">
      <c r="A773" s="38" t="s">
        <v>1388</v>
      </c>
      <c r="B773" s="40">
        <v>805</v>
      </c>
      <c r="C773" s="40">
        <v>607.26556396484375</v>
      </c>
      <c r="D773" s="38">
        <v>4966655</v>
      </c>
      <c r="E773" s="38" t="s">
        <v>1175</v>
      </c>
      <c r="F773" s="38" t="s">
        <v>618</v>
      </c>
    </row>
    <row r="774" spans="1:6">
      <c r="A774" s="38" t="s">
        <v>1389</v>
      </c>
      <c r="B774" s="40">
        <v>805.54998779296875</v>
      </c>
      <c r="C774" s="40">
        <v>607.68060302734375</v>
      </c>
      <c r="D774" s="38">
        <v>5242725</v>
      </c>
      <c r="E774" s="38" t="s">
        <v>1175</v>
      </c>
      <c r="F774" s="38" t="s">
        <v>618</v>
      </c>
    </row>
    <row r="775" spans="1:6">
      <c r="A775" s="38" t="s">
        <v>1390</v>
      </c>
      <c r="B775" s="40">
        <v>809.4000244140625</v>
      </c>
      <c r="C775" s="40">
        <v>610.58502197265625</v>
      </c>
      <c r="D775" s="38">
        <v>2541742</v>
      </c>
      <c r="E775" s="38" t="s">
        <v>1175</v>
      </c>
      <c r="F775" s="38" t="s">
        <v>618</v>
      </c>
    </row>
    <row r="776" spans="1:6">
      <c r="A776" s="38" t="s">
        <v>1391</v>
      </c>
      <c r="B776" s="40">
        <v>805.1500244140625</v>
      </c>
      <c r="C776" s="40">
        <v>607.37890625</v>
      </c>
      <c r="D776" s="38">
        <v>2416559</v>
      </c>
      <c r="E776" s="38" t="s">
        <v>1175</v>
      </c>
      <c r="F776" s="38" t="s">
        <v>618</v>
      </c>
    </row>
    <row r="777" spans="1:6">
      <c r="A777" s="38" t="s">
        <v>1392</v>
      </c>
      <c r="B777" s="40">
        <v>805.9000244140625</v>
      </c>
      <c r="C777" s="40">
        <v>607.94464111328125</v>
      </c>
      <c r="D777" s="38">
        <v>2464657</v>
      </c>
      <c r="E777" s="38" t="s">
        <v>1175</v>
      </c>
      <c r="F777" s="38" t="s">
        <v>618</v>
      </c>
    </row>
    <row r="778" spans="1:6">
      <c r="A778" s="38" t="s">
        <v>1393</v>
      </c>
      <c r="B778" s="40">
        <v>799.6500244140625</v>
      </c>
      <c r="C778" s="40">
        <v>603.229736328125</v>
      </c>
      <c r="D778" s="38">
        <v>4312334</v>
      </c>
      <c r="E778" s="38" t="s">
        <v>1175</v>
      </c>
      <c r="F778" s="38" t="s">
        <v>618</v>
      </c>
    </row>
    <row r="779" spans="1:6">
      <c r="A779" s="38" t="s">
        <v>1394</v>
      </c>
      <c r="B779" s="40">
        <v>803.45001220703125</v>
      </c>
      <c r="C779" s="40">
        <v>606.09649658203125</v>
      </c>
      <c r="D779" s="38">
        <v>3851335</v>
      </c>
      <c r="E779" s="38" t="s">
        <v>1175</v>
      </c>
      <c r="F779" s="38" t="s">
        <v>618</v>
      </c>
    </row>
    <row r="780" spans="1:6">
      <c r="A780" s="38" t="s">
        <v>1395</v>
      </c>
      <c r="B780" s="40">
        <v>791</v>
      </c>
      <c r="C780" s="40">
        <v>596.70452880859375</v>
      </c>
      <c r="D780" s="38">
        <v>2372030</v>
      </c>
      <c r="E780" s="38" t="s">
        <v>1175</v>
      </c>
      <c r="F780" s="38" t="s">
        <v>618</v>
      </c>
    </row>
    <row r="781" spans="1:6">
      <c r="A781" s="38" t="s">
        <v>1396</v>
      </c>
      <c r="B781" s="40">
        <v>812.4000244140625</v>
      </c>
      <c r="C781" s="40">
        <v>612.84808349609375</v>
      </c>
      <c r="D781" s="38">
        <v>3340240</v>
      </c>
      <c r="E781" s="38" t="s">
        <v>1175</v>
      </c>
      <c r="F781" s="38" t="s">
        <v>618</v>
      </c>
    </row>
    <row r="782" spans="1:6">
      <c r="A782" s="38" t="s">
        <v>1397</v>
      </c>
      <c r="B782" s="40">
        <v>820.6500244140625</v>
      </c>
      <c r="C782" s="40">
        <v>619.07159423828125</v>
      </c>
      <c r="D782" s="38">
        <v>14193982</v>
      </c>
      <c r="E782" s="38" t="s">
        <v>1175</v>
      </c>
      <c r="F782" s="38" t="s">
        <v>618</v>
      </c>
    </row>
    <row r="783" spans="1:6">
      <c r="A783" s="38" t="s">
        <v>1398</v>
      </c>
      <c r="B783" s="40">
        <v>826</v>
      </c>
      <c r="C783" s="40">
        <v>623.10748291015625</v>
      </c>
      <c r="D783" s="38">
        <v>4789937</v>
      </c>
      <c r="E783" s="38" t="s">
        <v>1175</v>
      </c>
      <c r="F783" s="38" t="s">
        <v>618</v>
      </c>
    </row>
    <row r="784" spans="1:6">
      <c r="A784" s="38" t="s">
        <v>1399</v>
      </c>
      <c r="B784" s="40">
        <v>830.6500244140625</v>
      </c>
      <c r="C784" s="40">
        <v>626.61517333984375</v>
      </c>
      <c r="D784" s="38">
        <v>2881535</v>
      </c>
      <c r="E784" s="38" t="s">
        <v>1175</v>
      </c>
      <c r="F784" s="38" t="s">
        <v>618</v>
      </c>
    </row>
    <row r="785" spans="1:6">
      <c r="A785" s="38" t="s">
        <v>1400</v>
      </c>
      <c r="B785" s="40">
        <v>833.29998779296875</v>
      </c>
      <c r="C785" s="40">
        <v>628.6142578125</v>
      </c>
      <c r="D785" s="38">
        <v>3319590</v>
      </c>
      <c r="E785" s="38" t="s">
        <v>1175</v>
      </c>
      <c r="F785" s="38" t="s">
        <v>618</v>
      </c>
    </row>
    <row r="786" spans="1:6">
      <c r="A786" s="38" t="s">
        <v>1401</v>
      </c>
      <c r="B786" s="40">
        <v>825.5999755859375</v>
      </c>
      <c r="C786" s="40">
        <v>622.8055419921875</v>
      </c>
      <c r="D786" s="38">
        <v>3703224</v>
      </c>
      <c r="E786" s="38" t="s">
        <v>1175</v>
      </c>
      <c r="F786" s="38" t="s">
        <v>618</v>
      </c>
    </row>
    <row r="787" spans="1:6">
      <c r="A787" s="38" t="s">
        <v>1402</v>
      </c>
      <c r="B787" s="40">
        <v>830.1500244140625</v>
      </c>
      <c r="C787" s="40">
        <v>626.23797607421875</v>
      </c>
      <c r="D787" s="38">
        <v>6409662</v>
      </c>
      <c r="E787" s="38" t="s">
        <v>1175</v>
      </c>
      <c r="F787" s="38" t="s">
        <v>618</v>
      </c>
    </row>
    <row r="788" spans="1:6">
      <c r="A788" s="38" t="s">
        <v>1403</v>
      </c>
      <c r="B788" s="40">
        <v>831.79998779296875</v>
      </c>
      <c r="C788" s="40">
        <v>627.48272705078125</v>
      </c>
      <c r="D788" s="38">
        <v>3820707</v>
      </c>
      <c r="E788" s="38" t="s">
        <v>1175</v>
      </c>
      <c r="F788" s="38" t="s">
        <v>618</v>
      </c>
    </row>
    <row r="789" spans="1:6">
      <c r="A789" s="38" t="s">
        <v>1404</v>
      </c>
      <c r="B789" s="40">
        <v>810</v>
      </c>
      <c r="C789" s="40">
        <v>611.0374755859375</v>
      </c>
      <c r="D789" s="38">
        <v>4927644</v>
      </c>
      <c r="E789" s="38" t="s">
        <v>1175</v>
      </c>
      <c r="F789" s="38" t="s">
        <v>618</v>
      </c>
    </row>
    <row r="790" spans="1:6">
      <c r="A790" s="38" t="s">
        <v>1405</v>
      </c>
      <c r="B790" s="40">
        <v>823.54998779296875</v>
      </c>
      <c r="C790" s="40">
        <v>621.2591552734375</v>
      </c>
      <c r="D790" s="38">
        <v>3999053</v>
      </c>
      <c r="E790" s="38" t="s">
        <v>1175</v>
      </c>
      <c r="F790" s="38" t="s">
        <v>618</v>
      </c>
    </row>
    <row r="791" spans="1:6">
      <c r="A791" s="38" t="s">
        <v>1406</v>
      </c>
      <c r="B791" s="40">
        <v>808.25</v>
      </c>
      <c r="C791" s="40">
        <v>609.7174072265625</v>
      </c>
      <c r="D791" s="38">
        <v>2306250</v>
      </c>
      <c r="E791" s="38" t="s">
        <v>1175</v>
      </c>
      <c r="F791" s="38" t="s">
        <v>618</v>
      </c>
    </row>
    <row r="792" spans="1:6">
      <c r="A792" s="38" t="s">
        <v>1407</v>
      </c>
      <c r="B792" s="40">
        <v>811.3499755859375</v>
      </c>
      <c r="C792" s="40">
        <v>612.055908203125</v>
      </c>
      <c r="D792" s="38">
        <v>1437045</v>
      </c>
      <c r="E792" s="38" t="s">
        <v>1175</v>
      </c>
      <c r="F792" s="38" t="s">
        <v>618</v>
      </c>
    </row>
    <row r="793" spans="1:6">
      <c r="A793" s="38" t="s">
        <v>1408</v>
      </c>
      <c r="B793" s="40">
        <v>807.1500244140625</v>
      </c>
      <c r="C793" s="40">
        <v>608.8875732421875</v>
      </c>
      <c r="D793" s="38">
        <v>2699806</v>
      </c>
      <c r="E793" s="38" t="s">
        <v>1175</v>
      </c>
      <c r="F793" s="38" t="s">
        <v>618</v>
      </c>
    </row>
    <row r="794" spans="1:6">
      <c r="A794" s="38" t="s">
        <v>1409</v>
      </c>
      <c r="B794" s="40">
        <v>804.70001220703125</v>
      </c>
      <c r="C794" s="40">
        <v>607.039306640625</v>
      </c>
      <c r="D794" s="38">
        <v>2793702</v>
      </c>
      <c r="E794" s="38" t="s">
        <v>1175</v>
      </c>
      <c r="F794" s="38" t="s">
        <v>618</v>
      </c>
    </row>
    <row r="795" spans="1:6">
      <c r="A795" s="38" t="s">
        <v>1410</v>
      </c>
      <c r="B795" s="40">
        <v>789.95001220703125</v>
      </c>
      <c r="C795" s="40">
        <v>595.91241455078125</v>
      </c>
      <c r="D795" s="38">
        <v>4815576</v>
      </c>
      <c r="E795" s="38" t="s">
        <v>1175</v>
      </c>
      <c r="F795" s="38" t="s">
        <v>618</v>
      </c>
    </row>
    <row r="796" spans="1:6">
      <c r="A796" s="38" t="s">
        <v>1411</v>
      </c>
      <c r="B796" s="40">
        <v>788.45001220703125</v>
      </c>
      <c r="C796" s="40">
        <v>594.78082275390625</v>
      </c>
      <c r="D796" s="38">
        <v>3112666</v>
      </c>
      <c r="E796" s="38" t="s">
        <v>1175</v>
      </c>
      <c r="F796" s="38" t="s">
        <v>618</v>
      </c>
    </row>
    <row r="797" spans="1:6">
      <c r="A797" s="38" t="s">
        <v>1412</v>
      </c>
      <c r="B797" s="40">
        <v>799.29998779296875</v>
      </c>
      <c r="C797" s="40">
        <v>602.96575927734375</v>
      </c>
      <c r="D797" s="38">
        <v>3854238</v>
      </c>
      <c r="E797" s="38" t="s">
        <v>1175</v>
      </c>
      <c r="F797" s="38" t="s">
        <v>618</v>
      </c>
    </row>
    <row r="798" spans="1:6">
      <c r="A798" s="38" t="s">
        <v>1413</v>
      </c>
      <c r="B798" s="40">
        <v>788.5999755859375</v>
      </c>
      <c r="C798" s="40">
        <v>594.8939208984375</v>
      </c>
      <c r="D798" s="38">
        <v>3379301</v>
      </c>
      <c r="E798" s="38" t="s">
        <v>1175</v>
      </c>
      <c r="F798" s="38" t="s">
        <v>618</v>
      </c>
    </row>
    <row r="799" spans="1:6">
      <c r="A799" s="38" t="s">
        <v>1414</v>
      </c>
      <c r="B799" s="40">
        <v>794.6500244140625</v>
      </c>
      <c r="C799" s="40">
        <v>599.45794677734375</v>
      </c>
      <c r="D799" s="38">
        <v>2413153</v>
      </c>
      <c r="E799" s="38" t="s">
        <v>1175</v>
      </c>
      <c r="F799" s="38" t="s">
        <v>618</v>
      </c>
    </row>
    <row r="800" spans="1:6">
      <c r="A800" s="38" t="s">
        <v>1415</v>
      </c>
      <c r="B800" s="40">
        <v>789.8499755859375</v>
      </c>
      <c r="C800" s="40">
        <v>595.8370361328125</v>
      </c>
      <c r="D800" s="38">
        <v>3331375</v>
      </c>
      <c r="E800" s="38" t="s">
        <v>1175</v>
      </c>
      <c r="F800" s="38" t="s">
        <v>618</v>
      </c>
    </row>
    <row r="801" spans="1:6">
      <c r="A801" s="38" t="s">
        <v>1416</v>
      </c>
      <c r="B801" s="40">
        <v>788.75</v>
      </c>
      <c r="C801" s="40">
        <v>595.0072021484375</v>
      </c>
      <c r="D801" s="38">
        <v>2815749</v>
      </c>
      <c r="E801" s="38" t="s">
        <v>1175</v>
      </c>
      <c r="F801" s="38" t="s">
        <v>618</v>
      </c>
    </row>
    <row r="802" spans="1:6">
      <c r="A802" s="38" t="s">
        <v>1417</v>
      </c>
      <c r="B802" s="40">
        <v>789.5999755859375</v>
      </c>
      <c r="C802" s="40">
        <v>595.64837646484375</v>
      </c>
      <c r="D802" s="38">
        <v>1861646</v>
      </c>
      <c r="E802" s="38" t="s">
        <v>1175</v>
      </c>
      <c r="F802" s="38" t="s">
        <v>618</v>
      </c>
    </row>
    <row r="803" spans="1:6">
      <c r="A803" s="38" t="s">
        <v>1418</v>
      </c>
      <c r="B803" s="40">
        <v>770.75</v>
      </c>
      <c r="C803" s="40">
        <v>581.42864990234375</v>
      </c>
      <c r="D803" s="38">
        <v>3169827</v>
      </c>
      <c r="E803" s="38" t="s">
        <v>1175</v>
      </c>
      <c r="F803" s="38" t="s">
        <v>618</v>
      </c>
    </row>
    <row r="804" spans="1:6">
      <c r="A804" s="38" t="s">
        <v>1419</v>
      </c>
      <c r="B804" s="40">
        <v>764.95001220703125</v>
      </c>
      <c r="C804" s="40">
        <v>577.05328369140625</v>
      </c>
      <c r="D804" s="38">
        <v>3893738</v>
      </c>
      <c r="E804" s="38" t="s">
        <v>1175</v>
      </c>
      <c r="F804" s="38" t="s">
        <v>618</v>
      </c>
    </row>
    <row r="805" spans="1:6">
      <c r="A805" s="38" t="s">
        <v>1420</v>
      </c>
      <c r="B805" s="40">
        <v>771.70001220703125</v>
      </c>
      <c r="C805" s="40">
        <v>582.1451416015625</v>
      </c>
      <c r="D805" s="38">
        <v>3908706</v>
      </c>
      <c r="E805" s="38" t="s">
        <v>1175</v>
      </c>
      <c r="F805" s="38" t="s">
        <v>618</v>
      </c>
    </row>
    <row r="806" spans="1:6">
      <c r="A806" s="38" t="s">
        <v>1421</v>
      </c>
      <c r="B806" s="40">
        <v>785.5</v>
      </c>
      <c r="C806" s="40">
        <v>592.5555419921875</v>
      </c>
      <c r="D806" s="38">
        <v>3433947</v>
      </c>
      <c r="E806" s="38" t="s">
        <v>1422</v>
      </c>
      <c r="F806" s="38" t="s">
        <v>618</v>
      </c>
    </row>
    <row r="807" spans="1:6">
      <c r="A807" s="38" t="s">
        <v>1423</v>
      </c>
      <c r="B807" s="40">
        <v>792.45001220703125</v>
      </c>
      <c r="C807" s="40">
        <v>597.79833984375</v>
      </c>
      <c r="D807" s="38">
        <v>2596840</v>
      </c>
      <c r="E807" s="38" t="s">
        <v>1422</v>
      </c>
      <c r="F807" s="38" t="s">
        <v>618</v>
      </c>
    </row>
    <row r="808" spans="1:6">
      <c r="A808" s="38" t="s">
        <v>1424</v>
      </c>
      <c r="B808" s="40">
        <v>777.70001220703125</v>
      </c>
      <c r="C808" s="40">
        <v>586.67144775390625</v>
      </c>
      <c r="D808" s="38">
        <v>1467406</v>
      </c>
      <c r="E808" s="38" t="s">
        <v>1422</v>
      </c>
      <c r="F808" s="38" t="s">
        <v>618</v>
      </c>
    </row>
    <row r="809" spans="1:6">
      <c r="A809" s="38" t="s">
        <v>1425</v>
      </c>
      <c r="B809" s="40">
        <v>774.5</v>
      </c>
      <c r="C809" s="40">
        <v>584.2574462890625</v>
      </c>
      <c r="D809" s="38">
        <v>1751584</v>
      </c>
      <c r="E809" s="38" t="s">
        <v>1422</v>
      </c>
      <c r="F809" s="38" t="s">
        <v>618</v>
      </c>
    </row>
    <row r="810" spans="1:6">
      <c r="A810" s="38" t="s">
        <v>1426</v>
      </c>
      <c r="B810" s="40">
        <v>777.25</v>
      </c>
      <c r="C810" s="40">
        <v>586.33197021484375</v>
      </c>
      <c r="D810" s="38">
        <v>1367411</v>
      </c>
      <c r="E810" s="38" t="s">
        <v>1422</v>
      </c>
      <c r="F810" s="38" t="s">
        <v>618</v>
      </c>
    </row>
    <row r="811" spans="1:6">
      <c r="A811" s="38" t="s">
        <v>1427</v>
      </c>
      <c r="B811" s="40">
        <v>787.1500244140625</v>
      </c>
      <c r="C811" s="40">
        <v>593.8001708984375</v>
      </c>
      <c r="D811" s="38">
        <v>1368825</v>
      </c>
      <c r="E811" s="38" t="s">
        <v>1422</v>
      </c>
      <c r="F811" s="38" t="s">
        <v>618</v>
      </c>
    </row>
    <row r="812" spans="1:6">
      <c r="A812" s="38" t="s">
        <v>1428</v>
      </c>
      <c r="B812" s="40">
        <v>789.5</v>
      </c>
      <c r="C812" s="40">
        <v>595.572998046875</v>
      </c>
      <c r="D812" s="38">
        <v>2128462</v>
      </c>
      <c r="E812" s="38" t="s">
        <v>1422</v>
      </c>
      <c r="F812" s="38" t="s">
        <v>618</v>
      </c>
    </row>
    <row r="813" spans="1:6">
      <c r="A813" s="38" t="s">
        <v>1429</v>
      </c>
      <c r="B813" s="40">
        <v>790.25</v>
      </c>
      <c r="C813" s="40">
        <v>596.1387939453125</v>
      </c>
      <c r="D813" s="38">
        <v>2497013</v>
      </c>
      <c r="E813" s="38" t="s">
        <v>1422</v>
      </c>
      <c r="F813" s="38" t="s">
        <v>618</v>
      </c>
    </row>
    <row r="814" spans="1:6">
      <c r="A814" s="38" t="s">
        <v>1430</v>
      </c>
      <c r="B814" s="40">
        <v>780.95001220703125</v>
      </c>
      <c r="C814" s="40">
        <v>589.12310791015625</v>
      </c>
      <c r="D814" s="38">
        <v>1854222</v>
      </c>
      <c r="E814" s="38" t="s">
        <v>1422</v>
      </c>
      <c r="F814" s="38" t="s">
        <v>618</v>
      </c>
    </row>
    <row r="815" spans="1:6">
      <c r="A815" s="38" t="s">
        <v>1431</v>
      </c>
      <c r="B815" s="40">
        <v>785.3499755859375</v>
      </c>
      <c r="C815" s="40">
        <v>592.4422607421875</v>
      </c>
      <c r="D815" s="38">
        <v>3162714</v>
      </c>
      <c r="E815" s="38" t="s">
        <v>1422</v>
      </c>
      <c r="F815" s="38" t="s">
        <v>618</v>
      </c>
    </row>
    <row r="816" spans="1:6">
      <c r="A816" s="38" t="s">
        <v>1432</v>
      </c>
      <c r="B816" s="40">
        <v>797.20001220703125</v>
      </c>
      <c r="C816" s="40">
        <v>601.381591796875</v>
      </c>
      <c r="D816" s="38">
        <v>3317405</v>
      </c>
      <c r="E816" s="38" t="s">
        <v>1422</v>
      </c>
      <c r="F816" s="38" t="s">
        <v>618</v>
      </c>
    </row>
    <row r="817" spans="1:6">
      <c r="A817" s="38" t="s">
        <v>1433</v>
      </c>
      <c r="B817" s="40">
        <v>798.0999755859375</v>
      </c>
      <c r="C817" s="40">
        <v>602.060546875</v>
      </c>
      <c r="D817" s="38">
        <v>1868910</v>
      </c>
      <c r="E817" s="38" t="s">
        <v>1422</v>
      </c>
      <c r="F817" s="38" t="s">
        <v>618</v>
      </c>
    </row>
    <row r="818" spans="1:6">
      <c r="A818" s="38" t="s">
        <v>1434</v>
      </c>
      <c r="B818" s="40">
        <v>800.3499755859375</v>
      </c>
      <c r="C818" s="40">
        <v>603.7578125</v>
      </c>
      <c r="D818" s="38">
        <v>6307643</v>
      </c>
      <c r="E818" s="38" t="s">
        <v>1422</v>
      </c>
      <c r="F818" s="38" t="s">
        <v>618</v>
      </c>
    </row>
    <row r="819" spans="1:6">
      <c r="A819" s="38" t="s">
        <v>1435</v>
      </c>
      <c r="B819" s="40">
        <v>805.3499755859375</v>
      </c>
      <c r="C819" s="40">
        <v>607.5296630859375</v>
      </c>
      <c r="D819" s="38">
        <v>1833972</v>
      </c>
      <c r="E819" s="38" t="s">
        <v>1422</v>
      </c>
      <c r="F819" s="38" t="s">
        <v>618</v>
      </c>
    </row>
    <row r="820" spans="1:6">
      <c r="A820" s="38" t="s">
        <v>1436</v>
      </c>
      <c r="B820" s="40">
        <v>804.95001220703125</v>
      </c>
      <c r="C820" s="40">
        <v>607.22796630859375</v>
      </c>
      <c r="D820" s="38">
        <v>1214892</v>
      </c>
      <c r="E820" s="38" t="s">
        <v>1422</v>
      </c>
      <c r="F820" s="38" t="s">
        <v>618</v>
      </c>
    </row>
    <row r="821" spans="1:6">
      <c r="A821" s="38" t="s">
        <v>1437</v>
      </c>
      <c r="B821" s="40">
        <v>818.75</v>
      </c>
      <c r="C821" s="40">
        <v>617.63824462890625</v>
      </c>
      <c r="D821" s="38">
        <v>2710117</v>
      </c>
      <c r="E821" s="38" t="s">
        <v>1422</v>
      </c>
      <c r="F821" s="38" t="s">
        <v>618</v>
      </c>
    </row>
    <row r="822" spans="1:6">
      <c r="A822" s="38" t="s">
        <v>1438</v>
      </c>
      <c r="B822" s="40">
        <v>816.5</v>
      </c>
      <c r="C822" s="40">
        <v>615.94085693359375</v>
      </c>
      <c r="D822" s="38">
        <v>5447101</v>
      </c>
      <c r="E822" s="38" t="s">
        <v>1422</v>
      </c>
      <c r="F822" s="38" t="s">
        <v>618</v>
      </c>
    </row>
    <row r="823" spans="1:6">
      <c r="A823" s="38" t="s">
        <v>1439</v>
      </c>
      <c r="B823" s="40">
        <v>823.25</v>
      </c>
      <c r="C823" s="40">
        <v>621.03271484375</v>
      </c>
      <c r="D823" s="38">
        <v>1996703</v>
      </c>
      <c r="E823" s="38" t="s">
        <v>1422</v>
      </c>
      <c r="F823" s="38" t="s">
        <v>618</v>
      </c>
    </row>
    <row r="824" spans="1:6">
      <c r="A824" s="38" t="s">
        <v>1440</v>
      </c>
      <c r="B824" s="40">
        <v>836.0999755859375</v>
      </c>
      <c r="C824" s="40">
        <v>630.7264404296875</v>
      </c>
      <c r="D824" s="38">
        <v>2783771</v>
      </c>
      <c r="E824" s="38" t="s">
        <v>1422</v>
      </c>
      <c r="F824" s="38" t="s">
        <v>618</v>
      </c>
    </row>
    <row r="825" spans="1:6">
      <c r="A825" s="38" t="s">
        <v>1441</v>
      </c>
      <c r="B825" s="40">
        <v>837</v>
      </c>
      <c r="C825" s="40">
        <v>631.40545654296875</v>
      </c>
      <c r="D825" s="38">
        <v>3241791</v>
      </c>
      <c r="E825" s="38" t="s">
        <v>1422</v>
      </c>
      <c r="F825" s="38" t="s">
        <v>618</v>
      </c>
    </row>
    <row r="826" spans="1:6">
      <c r="A826" s="38" t="s">
        <v>1442</v>
      </c>
      <c r="B826" s="40">
        <v>817.4000244140625</v>
      </c>
      <c r="C826" s="40">
        <v>616.61981201171875</v>
      </c>
      <c r="D826" s="38">
        <v>2329144</v>
      </c>
      <c r="E826" s="38" t="s">
        <v>1422</v>
      </c>
      <c r="F826" s="38" t="s">
        <v>618</v>
      </c>
    </row>
    <row r="827" spans="1:6">
      <c r="A827" s="38" t="s">
        <v>1443</v>
      </c>
      <c r="B827" s="40">
        <v>820.1500244140625</v>
      </c>
      <c r="C827" s="40">
        <v>618.6943359375</v>
      </c>
      <c r="D827" s="38">
        <v>1247845</v>
      </c>
      <c r="E827" s="38" t="s">
        <v>1422</v>
      </c>
      <c r="F827" s="38" t="s">
        <v>618</v>
      </c>
    </row>
    <row r="828" spans="1:6">
      <c r="A828" s="38" t="s">
        <v>1444</v>
      </c>
      <c r="B828" s="40">
        <v>814.6500244140625</v>
      </c>
      <c r="C828" s="40">
        <v>614.54522705078125</v>
      </c>
      <c r="D828" s="38">
        <v>1810222</v>
      </c>
      <c r="E828" s="38" t="s">
        <v>1422</v>
      </c>
      <c r="F828" s="38" t="s">
        <v>618</v>
      </c>
    </row>
    <row r="829" spans="1:6">
      <c r="A829" s="38" t="s">
        <v>1445</v>
      </c>
      <c r="B829" s="40">
        <v>802.29998779296875</v>
      </c>
      <c r="C829" s="40">
        <v>605.22882080078125</v>
      </c>
      <c r="D829" s="38">
        <v>1270071</v>
      </c>
      <c r="E829" s="38" t="s">
        <v>1422</v>
      </c>
      <c r="F829" s="38" t="s">
        <v>618</v>
      </c>
    </row>
    <row r="830" spans="1:6">
      <c r="A830" s="38" t="s">
        <v>1446</v>
      </c>
      <c r="B830" s="40">
        <v>809.6500244140625</v>
      </c>
      <c r="C830" s="40">
        <v>610.7734375</v>
      </c>
      <c r="D830" s="38">
        <v>2024710</v>
      </c>
      <c r="E830" s="38" t="s">
        <v>1422</v>
      </c>
      <c r="F830" s="38" t="s">
        <v>618</v>
      </c>
    </row>
    <row r="831" spans="1:6">
      <c r="A831" s="38" t="s">
        <v>1447</v>
      </c>
      <c r="B831" s="40">
        <v>808.4000244140625</v>
      </c>
      <c r="C831" s="40">
        <v>609.83062744140625</v>
      </c>
      <c r="D831" s="38">
        <v>1429055</v>
      </c>
      <c r="E831" s="38" t="s">
        <v>1422</v>
      </c>
      <c r="F831" s="38" t="s">
        <v>618</v>
      </c>
    </row>
    <row r="832" spans="1:6">
      <c r="A832" s="38" t="s">
        <v>1448</v>
      </c>
      <c r="B832" s="40">
        <v>817.29998779296875</v>
      </c>
      <c r="C832" s="40">
        <v>616.5443115234375</v>
      </c>
      <c r="D832" s="38">
        <v>3719275</v>
      </c>
      <c r="E832" s="38" t="s">
        <v>1422</v>
      </c>
      <c r="F832" s="38" t="s">
        <v>618</v>
      </c>
    </row>
    <row r="833" spans="1:6">
      <c r="A833" s="38" t="s">
        <v>1449</v>
      </c>
      <c r="B833" s="40">
        <v>790.04998779296875</v>
      </c>
      <c r="C833" s="40">
        <v>595.98785400390625</v>
      </c>
      <c r="D833" s="38">
        <v>2701861</v>
      </c>
      <c r="E833" s="38" t="s">
        <v>1422</v>
      </c>
      <c r="F833" s="38" t="s">
        <v>618</v>
      </c>
    </row>
    <row r="834" spans="1:6">
      <c r="A834" s="38" t="s">
        <v>1450</v>
      </c>
      <c r="B834" s="40">
        <v>790.29998779296875</v>
      </c>
      <c r="C834" s="40">
        <v>596.176513671875</v>
      </c>
      <c r="D834" s="38">
        <v>1662095</v>
      </c>
      <c r="E834" s="38" t="s">
        <v>1422</v>
      </c>
      <c r="F834" s="38" t="s">
        <v>618</v>
      </c>
    </row>
    <row r="835" spans="1:6">
      <c r="A835" s="38" t="s">
        <v>1451</v>
      </c>
      <c r="B835" s="40">
        <v>789.3499755859375</v>
      </c>
      <c r="C835" s="40">
        <v>595.45977783203125</v>
      </c>
      <c r="D835" s="38">
        <v>1233818</v>
      </c>
      <c r="E835" s="38" t="s">
        <v>1422</v>
      </c>
      <c r="F835" s="38" t="s">
        <v>618</v>
      </c>
    </row>
    <row r="836" spans="1:6">
      <c r="A836" s="38" t="s">
        <v>1452</v>
      </c>
      <c r="B836" s="40">
        <v>784.8499755859375</v>
      </c>
      <c r="C836" s="40">
        <v>592.06512451171875</v>
      </c>
      <c r="D836" s="38">
        <v>1608854</v>
      </c>
      <c r="E836" s="38" t="s">
        <v>1422</v>
      </c>
      <c r="F836" s="38" t="s">
        <v>618</v>
      </c>
    </row>
    <row r="837" spans="1:6">
      <c r="A837" s="38" t="s">
        <v>1453</v>
      </c>
      <c r="B837" s="40">
        <v>779.3499755859375</v>
      </c>
      <c r="C837" s="40">
        <v>587.9161376953125</v>
      </c>
      <c r="D837" s="38">
        <v>3754370</v>
      </c>
      <c r="E837" s="38" t="s">
        <v>1422</v>
      </c>
      <c r="F837" s="38" t="s">
        <v>618</v>
      </c>
    </row>
    <row r="838" spans="1:6">
      <c r="A838" s="38" t="s">
        <v>1454</v>
      </c>
      <c r="B838" s="40">
        <v>773.04998779296875</v>
      </c>
      <c r="C838" s="40">
        <v>583.16363525390625</v>
      </c>
      <c r="D838" s="38">
        <v>1669926</v>
      </c>
      <c r="E838" s="38" t="s">
        <v>1422</v>
      </c>
      <c r="F838" s="38" t="s">
        <v>618</v>
      </c>
    </row>
    <row r="839" spans="1:6">
      <c r="A839" s="38" t="s">
        <v>1455</v>
      </c>
      <c r="B839" s="40">
        <v>749.95001220703125</v>
      </c>
      <c r="C839" s="40">
        <v>565.73779296875</v>
      </c>
      <c r="D839" s="38">
        <v>5888740</v>
      </c>
      <c r="E839" s="38" t="s">
        <v>1422</v>
      </c>
      <c r="F839" s="38" t="s">
        <v>618</v>
      </c>
    </row>
    <row r="840" spans="1:6">
      <c r="A840" s="38" t="s">
        <v>1456</v>
      </c>
      <c r="B840" s="40">
        <v>743.29998779296875</v>
      </c>
      <c r="C840" s="40">
        <v>560.72119140625</v>
      </c>
      <c r="D840" s="38">
        <v>3764857</v>
      </c>
      <c r="E840" s="38" t="s">
        <v>1422</v>
      </c>
      <c r="F840" s="38" t="s">
        <v>618</v>
      </c>
    </row>
    <row r="841" spans="1:6">
      <c r="A841" s="38" t="s">
        <v>1457</v>
      </c>
      <c r="B841" s="40">
        <v>735.8499755859375</v>
      </c>
      <c r="C841" s="40">
        <v>555.10113525390625</v>
      </c>
      <c r="D841" s="38">
        <v>3591853</v>
      </c>
      <c r="E841" s="38" t="s">
        <v>1422</v>
      </c>
      <c r="F841" s="38" t="s">
        <v>618</v>
      </c>
    </row>
    <row r="842" spans="1:6">
      <c r="A842" s="38" t="s">
        <v>1458</v>
      </c>
      <c r="B842" s="40">
        <v>726.04998779296875</v>
      </c>
      <c r="C842" s="40">
        <v>547.70831298828125</v>
      </c>
      <c r="D842" s="38">
        <v>3672605</v>
      </c>
      <c r="E842" s="38" t="s">
        <v>1422</v>
      </c>
      <c r="F842" s="38" t="s">
        <v>618</v>
      </c>
    </row>
    <row r="843" spans="1:6">
      <c r="A843" s="38" t="s">
        <v>1459</v>
      </c>
      <c r="B843" s="40">
        <v>737.1500244140625</v>
      </c>
      <c r="C843" s="40">
        <v>556.08184814453125</v>
      </c>
      <c r="D843" s="38">
        <v>5583587</v>
      </c>
      <c r="E843" s="38" t="s">
        <v>1422</v>
      </c>
      <c r="F843" s="38" t="s">
        <v>618</v>
      </c>
    </row>
    <row r="844" spans="1:6">
      <c r="A844" s="38" t="s">
        <v>1460</v>
      </c>
      <c r="B844" s="40">
        <v>738.8499755859375</v>
      </c>
      <c r="C844" s="40">
        <v>557.36431884765625</v>
      </c>
      <c r="D844" s="38">
        <v>2058402</v>
      </c>
      <c r="E844" s="38" t="s">
        <v>1422</v>
      </c>
      <c r="F844" s="38" t="s">
        <v>618</v>
      </c>
    </row>
    <row r="845" spans="1:6">
      <c r="A845" s="38" t="s">
        <v>1461</v>
      </c>
      <c r="B845" s="40">
        <v>735</v>
      </c>
      <c r="C845" s="40">
        <v>554.46002197265625</v>
      </c>
      <c r="D845" s="38">
        <v>3367426</v>
      </c>
      <c r="E845" s="38" t="s">
        <v>1422</v>
      </c>
      <c r="F845" s="38" t="s">
        <v>618</v>
      </c>
    </row>
    <row r="846" spans="1:6">
      <c r="A846" s="38" t="s">
        <v>1462</v>
      </c>
      <c r="B846" s="40">
        <v>760.3499755859375</v>
      </c>
      <c r="C846" s="40">
        <v>573.58306884765625</v>
      </c>
      <c r="D846" s="38">
        <v>5503111</v>
      </c>
      <c r="E846" s="38" t="s">
        <v>1422</v>
      </c>
      <c r="F846" s="38" t="s">
        <v>618</v>
      </c>
    </row>
    <row r="847" spans="1:6">
      <c r="A847" s="38" t="s">
        <v>1463</v>
      </c>
      <c r="B847" s="40">
        <v>757.5999755859375</v>
      </c>
      <c r="C847" s="40">
        <v>571.50860595703125</v>
      </c>
      <c r="D847" s="38">
        <v>2826290</v>
      </c>
      <c r="E847" s="38" t="s">
        <v>1422</v>
      </c>
      <c r="F847" s="38" t="s">
        <v>618</v>
      </c>
    </row>
    <row r="848" spans="1:6">
      <c r="A848" s="38" t="s">
        <v>1464</v>
      </c>
      <c r="B848" s="40">
        <v>748.29998779296875</v>
      </c>
      <c r="C848" s="40">
        <v>564.49298095703125</v>
      </c>
      <c r="D848" s="38">
        <v>2332547</v>
      </c>
      <c r="E848" s="38" t="s">
        <v>1422</v>
      </c>
      <c r="F848" s="38" t="s">
        <v>618</v>
      </c>
    </row>
    <row r="849" spans="1:6">
      <c r="A849" s="38" t="s">
        <v>1465</v>
      </c>
      <c r="B849" s="40">
        <v>738</v>
      </c>
      <c r="C849" s="40">
        <v>556.7230224609375</v>
      </c>
      <c r="D849" s="38">
        <v>3225967</v>
      </c>
      <c r="E849" s="38" t="s">
        <v>1422</v>
      </c>
      <c r="F849" s="38" t="s">
        <v>618</v>
      </c>
    </row>
    <row r="850" spans="1:6">
      <c r="A850" s="38" t="s">
        <v>1466</v>
      </c>
      <c r="B850" s="40">
        <v>750.75</v>
      </c>
      <c r="C850" s="40">
        <v>566.34124755859375</v>
      </c>
      <c r="D850" s="38">
        <v>1569343</v>
      </c>
      <c r="E850" s="38" t="s">
        <v>1422</v>
      </c>
      <c r="F850" s="38" t="s">
        <v>618</v>
      </c>
    </row>
    <row r="851" spans="1:6">
      <c r="A851" s="38" t="s">
        <v>1467</v>
      </c>
      <c r="B851" s="40">
        <v>768.20001220703125</v>
      </c>
      <c r="C851" s="40">
        <v>579.50494384765625</v>
      </c>
      <c r="D851" s="38">
        <v>2539412</v>
      </c>
      <c r="E851" s="38" t="s">
        <v>1422</v>
      </c>
      <c r="F851" s="38" t="s">
        <v>618</v>
      </c>
    </row>
    <row r="852" spans="1:6">
      <c r="A852" s="38" t="s">
        <v>1468</v>
      </c>
      <c r="B852" s="40">
        <v>762.0999755859375</v>
      </c>
      <c r="C852" s="40">
        <v>574.90338134765625</v>
      </c>
      <c r="D852" s="38">
        <v>2069998</v>
      </c>
      <c r="E852" s="38" t="s">
        <v>1422</v>
      </c>
      <c r="F852" s="38" t="s">
        <v>618</v>
      </c>
    </row>
    <row r="853" spans="1:6">
      <c r="A853" s="38" t="s">
        <v>1469</v>
      </c>
      <c r="B853" s="40">
        <v>747.95001220703125</v>
      </c>
      <c r="C853" s="40">
        <v>564.22900390625</v>
      </c>
      <c r="D853" s="38">
        <v>3056823</v>
      </c>
      <c r="E853" s="38" t="s">
        <v>1422</v>
      </c>
      <c r="F853" s="38" t="s">
        <v>618</v>
      </c>
    </row>
    <row r="854" spans="1:6">
      <c r="A854" s="38" t="s">
        <v>1470</v>
      </c>
      <c r="B854" s="40">
        <v>744.0999755859375</v>
      </c>
      <c r="C854" s="40">
        <v>561.32470703125</v>
      </c>
      <c r="D854" s="38">
        <v>2385606</v>
      </c>
      <c r="E854" s="38" t="s">
        <v>1422</v>
      </c>
      <c r="F854" s="38" t="s">
        <v>618</v>
      </c>
    </row>
    <row r="855" spans="1:6">
      <c r="A855" s="38" t="s">
        <v>1471</v>
      </c>
      <c r="B855" s="40">
        <v>740.25</v>
      </c>
      <c r="C855" s="40">
        <v>558.42047119140625</v>
      </c>
      <c r="D855" s="38">
        <v>1348083</v>
      </c>
      <c r="E855" s="38" t="s">
        <v>1422</v>
      </c>
      <c r="F855" s="38" t="s">
        <v>618</v>
      </c>
    </row>
    <row r="856" spans="1:6">
      <c r="A856" s="38" t="s">
        <v>1472</v>
      </c>
      <c r="B856" s="40">
        <v>736.54998779296875</v>
      </c>
      <c r="C856" s="40">
        <v>555.6292724609375</v>
      </c>
      <c r="D856" s="38">
        <v>1333739</v>
      </c>
      <c r="E856" s="38" t="s">
        <v>1422</v>
      </c>
      <c r="F856" s="38" t="s">
        <v>618</v>
      </c>
    </row>
    <row r="857" spans="1:6">
      <c r="A857" s="38" t="s">
        <v>1473</v>
      </c>
      <c r="B857" s="40">
        <v>741.54998779296875</v>
      </c>
      <c r="C857" s="40">
        <v>559.40106201171875</v>
      </c>
      <c r="D857" s="38">
        <v>1645116</v>
      </c>
      <c r="E857" s="38" t="s">
        <v>1422</v>
      </c>
      <c r="F857" s="38" t="s">
        <v>618</v>
      </c>
    </row>
    <row r="858" spans="1:6">
      <c r="A858" s="38" t="s">
        <v>1474</v>
      </c>
      <c r="B858" s="40">
        <v>735.5999755859375</v>
      </c>
      <c r="C858" s="40">
        <v>554.9124755859375</v>
      </c>
      <c r="D858" s="38">
        <v>1945921</v>
      </c>
      <c r="E858" s="38" t="s">
        <v>1422</v>
      </c>
      <c r="F858" s="38" t="s">
        <v>618</v>
      </c>
    </row>
    <row r="859" spans="1:6">
      <c r="A859" s="38" t="s">
        <v>1475</v>
      </c>
      <c r="B859" s="40">
        <v>725.54998779296875</v>
      </c>
      <c r="C859" s="40">
        <v>547.3311767578125</v>
      </c>
      <c r="D859" s="38">
        <v>4139025</v>
      </c>
      <c r="E859" s="38" t="s">
        <v>1422</v>
      </c>
      <c r="F859" s="38" t="s">
        <v>618</v>
      </c>
    </row>
    <row r="860" spans="1:6">
      <c r="A860" s="38" t="s">
        <v>1476</v>
      </c>
      <c r="B860" s="40">
        <v>740.45001220703125</v>
      </c>
      <c r="C860" s="40">
        <v>558.57122802734375</v>
      </c>
      <c r="D860" s="38">
        <v>7280809</v>
      </c>
      <c r="E860" s="38" t="s">
        <v>1422</v>
      </c>
      <c r="F860" s="38" t="s">
        <v>618</v>
      </c>
    </row>
    <row r="861" spans="1:6">
      <c r="A861" s="38" t="s">
        <v>1477</v>
      </c>
      <c r="B861" s="40">
        <v>728.25</v>
      </c>
      <c r="C861" s="40">
        <v>549.36798095703125</v>
      </c>
      <c r="D861" s="38">
        <v>1242655</v>
      </c>
      <c r="E861" s="38" t="s">
        <v>1422</v>
      </c>
      <c r="F861" s="38" t="s">
        <v>618</v>
      </c>
    </row>
    <row r="862" spans="1:6">
      <c r="A862" s="38" t="s">
        <v>1478</v>
      </c>
      <c r="B862" s="40">
        <v>724.3499755859375</v>
      </c>
      <c r="C862" s="40">
        <v>546.42584228515625</v>
      </c>
      <c r="D862" s="38">
        <v>1451025</v>
      </c>
      <c r="E862" s="38" t="s">
        <v>1422</v>
      </c>
      <c r="F862" s="38" t="s">
        <v>618</v>
      </c>
    </row>
    <row r="863" spans="1:6">
      <c r="A863" s="38" t="s">
        <v>1479</v>
      </c>
      <c r="B863" s="40">
        <v>718.0999755859375</v>
      </c>
      <c r="C863" s="40">
        <v>541.71112060546875</v>
      </c>
      <c r="D863" s="38">
        <v>2781711</v>
      </c>
      <c r="E863" s="38" t="s">
        <v>1422</v>
      </c>
      <c r="F863" s="38" t="s">
        <v>618</v>
      </c>
    </row>
    <row r="864" spans="1:6">
      <c r="A864" s="38" t="s">
        <v>1480</v>
      </c>
      <c r="B864" s="40">
        <v>701.95001220703125</v>
      </c>
      <c r="C864" s="40">
        <v>529.52813720703125</v>
      </c>
      <c r="D864" s="38">
        <v>8567309</v>
      </c>
      <c r="E864" s="38" t="s">
        <v>1422</v>
      </c>
      <c r="F864" s="38" t="s">
        <v>618</v>
      </c>
    </row>
    <row r="865" spans="1:6">
      <c r="A865" s="38" t="s">
        <v>1481</v>
      </c>
      <c r="B865" s="40">
        <v>706.5999755859375</v>
      </c>
      <c r="C865" s="40">
        <v>533.035888671875</v>
      </c>
      <c r="D865" s="38">
        <v>3421172</v>
      </c>
      <c r="E865" s="38" t="s">
        <v>1422</v>
      </c>
      <c r="F865" s="38" t="s">
        <v>618</v>
      </c>
    </row>
    <row r="866" spans="1:6">
      <c r="A866" s="38" t="s">
        <v>1482</v>
      </c>
      <c r="B866" s="40">
        <v>704.6500244140625</v>
      </c>
      <c r="C866" s="40">
        <v>531.56494140625</v>
      </c>
      <c r="D866" s="38">
        <v>2073961</v>
      </c>
      <c r="E866" s="38" t="s">
        <v>1422</v>
      </c>
      <c r="F866" s="38" t="s">
        <v>618</v>
      </c>
    </row>
    <row r="867" spans="1:6">
      <c r="A867" s="38" t="s">
        <v>1483</v>
      </c>
      <c r="B867" s="40">
        <v>711.6500244140625</v>
      </c>
      <c r="C867" s="40">
        <v>536.845458984375</v>
      </c>
      <c r="D867" s="38">
        <v>2432132</v>
      </c>
      <c r="E867" s="38" t="s">
        <v>1422</v>
      </c>
      <c r="F867" s="38" t="s">
        <v>618</v>
      </c>
    </row>
    <row r="868" spans="1:6">
      <c r="A868" s="38" t="s">
        <v>1484</v>
      </c>
      <c r="B868" s="40">
        <v>701.0999755859375</v>
      </c>
      <c r="C868" s="40">
        <v>528.8870849609375</v>
      </c>
      <c r="D868" s="38">
        <v>2040614</v>
      </c>
      <c r="E868" s="38" t="s">
        <v>1422</v>
      </c>
      <c r="F868" s="38" t="s">
        <v>618</v>
      </c>
    </row>
    <row r="869" spans="1:6">
      <c r="A869" s="38" t="s">
        <v>1485</v>
      </c>
      <c r="B869" s="40">
        <v>700.5999755859375</v>
      </c>
      <c r="C869" s="40">
        <v>528.50970458984375</v>
      </c>
      <c r="D869" s="38">
        <v>2838357</v>
      </c>
      <c r="E869" s="38" t="s">
        <v>1422</v>
      </c>
      <c r="F869" s="38" t="s">
        <v>618</v>
      </c>
    </row>
    <row r="870" spans="1:6">
      <c r="A870" s="38" t="s">
        <v>1486</v>
      </c>
      <c r="B870" s="40">
        <v>681.0999755859375</v>
      </c>
      <c r="C870" s="40">
        <v>513.79949951171875</v>
      </c>
      <c r="D870" s="38">
        <v>2813644</v>
      </c>
      <c r="E870" s="38" t="s">
        <v>1422</v>
      </c>
      <c r="F870" s="38" t="s">
        <v>618</v>
      </c>
    </row>
    <row r="871" spans="1:6">
      <c r="A871" s="38" t="s">
        <v>1487</v>
      </c>
      <c r="B871" s="40">
        <v>680.3499755859375</v>
      </c>
      <c r="C871" s="40">
        <v>513.2337646484375</v>
      </c>
      <c r="D871" s="38">
        <v>2293102</v>
      </c>
      <c r="E871" s="38" t="s">
        <v>1422</v>
      </c>
      <c r="F871" s="38" t="s">
        <v>618</v>
      </c>
    </row>
    <row r="872" spans="1:6">
      <c r="A872" s="38" t="s">
        <v>1488</v>
      </c>
      <c r="B872" s="40">
        <v>675.9000244140625</v>
      </c>
      <c r="C872" s="40">
        <v>509.8768310546875</v>
      </c>
      <c r="D872" s="38">
        <v>2180104</v>
      </c>
      <c r="E872" s="38" t="s">
        <v>1422</v>
      </c>
      <c r="F872" s="38" t="s">
        <v>618</v>
      </c>
    </row>
    <row r="873" spans="1:6">
      <c r="A873" s="38" t="s">
        <v>1489</v>
      </c>
      <c r="B873" s="40">
        <v>674.8499755859375</v>
      </c>
      <c r="C873" s="40">
        <v>509.0848388671875</v>
      </c>
      <c r="D873" s="38">
        <v>2468773</v>
      </c>
      <c r="E873" s="38" t="s">
        <v>1422</v>
      </c>
      <c r="F873" s="38" t="s">
        <v>618</v>
      </c>
    </row>
    <row r="874" spans="1:6">
      <c r="A874" s="38" t="s">
        <v>1490</v>
      </c>
      <c r="B874" s="40">
        <v>665.70001220703125</v>
      </c>
      <c r="C874" s="40">
        <v>502.18222045898438</v>
      </c>
      <c r="D874" s="38">
        <v>3449721</v>
      </c>
      <c r="E874" s="38" t="s">
        <v>1422</v>
      </c>
      <c r="F874" s="38" t="s">
        <v>618</v>
      </c>
    </row>
    <row r="875" spans="1:6">
      <c r="A875" s="38" t="s">
        <v>1491</v>
      </c>
      <c r="B875" s="40">
        <v>665.79998779296875</v>
      </c>
      <c r="C875" s="40">
        <v>502.25775146484375</v>
      </c>
      <c r="D875" s="38">
        <v>1792810</v>
      </c>
      <c r="E875" s="38" t="s">
        <v>1422</v>
      </c>
      <c r="F875" s="38" t="s">
        <v>618</v>
      </c>
    </row>
    <row r="876" spans="1:6">
      <c r="A876" s="38" t="s">
        <v>1492</v>
      </c>
      <c r="B876" s="40">
        <v>677.9000244140625</v>
      </c>
      <c r="C876" s="40">
        <v>511.38565063476563</v>
      </c>
      <c r="D876" s="38">
        <v>1883164</v>
      </c>
      <c r="E876" s="38" t="s">
        <v>1422</v>
      </c>
      <c r="F876" s="38" t="s">
        <v>618</v>
      </c>
    </row>
    <row r="877" spans="1:6">
      <c r="A877" s="38" t="s">
        <v>1493</v>
      </c>
      <c r="B877" s="40">
        <v>675.95001220703125</v>
      </c>
      <c r="C877" s="40">
        <v>509.91458129882813</v>
      </c>
      <c r="D877" s="38">
        <v>2015642</v>
      </c>
      <c r="E877" s="38" t="s">
        <v>1422</v>
      </c>
      <c r="F877" s="38" t="s">
        <v>618</v>
      </c>
    </row>
    <row r="878" spans="1:6">
      <c r="A878" s="38" t="s">
        <v>1494</v>
      </c>
      <c r="B878" s="40">
        <v>690.79998779296875</v>
      </c>
      <c r="C878" s="40">
        <v>521.116943359375</v>
      </c>
      <c r="D878" s="38">
        <v>3271680</v>
      </c>
      <c r="E878" s="38" t="s">
        <v>1422</v>
      </c>
      <c r="F878" s="38" t="s">
        <v>618</v>
      </c>
    </row>
    <row r="879" spans="1:6">
      <c r="A879" s="38" t="s">
        <v>1495</v>
      </c>
      <c r="B879" s="40">
        <v>687.20001220703125</v>
      </c>
      <c r="C879" s="40">
        <v>518.40118408203125</v>
      </c>
      <c r="D879" s="38">
        <v>2984256</v>
      </c>
      <c r="E879" s="38" t="s">
        <v>1422</v>
      </c>
      <c r="F879" s="38" t="s">
        <v>618</v>
      </c>
    </row>
    <row r="880" spans="1:6">
      <c r="A880" s="38" t="s">
        <v>1496</v>
      </c>
      <c r="B880" s="40">
        <v>675.04998779296875</v>
      </c>
      <c r="C880" s="40">
        <v>509.235595703125</v>
      </c>
      <c r="D880" s="38">
        <v>2005513</v>
      </c>
      <c r="E880" s="38" t="s">
        <v>1422</v>
      </c>
      <c r="F880" s="38" t="s">
        <v>618</v>
      </c>
    </row>
    <row r="881" spans="1:6">
      <c r="A881" s="38" t="s">
        <v>1497</v>
      </c>
      <c r="B881" s="40">
        <v>671.95001220703125</v>
      </c>
      <c r="C881" s="40">
        <v>506.89706420898438</v>
      </c>
      <c r="D881" s="38">
        <v>1286218</v>
      </c>
      <c r="E881" s="38" t="s">
        <v>1422</v>
      </c>
      <c r="F881" s="38" t="s">
        <v>618</v>
      </c>
    </row>
    <row r="882" spans="1:6">
      <c r="A882" s="38" t="s">
        <v>1498</v>
      </c>
      <c r="B882" s="40">
        <v>671.20001220703125</v>
      </c>
      <c r="C882" s="40">
        <v>506.33135986328125</v>
      </c>
      <c r="D882" s="38">
        <v>1462269</v>
      </c>
      <c r="E882" s="38" t="s">
        <v>1422</v>
      </c>
      <c r="F882" s="38" t="s">
        <v>618</v>
      </c>
    </row>
    <row r="883" spans="1:6">
      <c r="A883" s="38" t="s">
        <v>1499</v>
      </c>
      <c r="B883" s="40">
        <v>660.45001220703125</v>
      </c>
      <c r="C883" s="40">
        <v>498.2218017578125</v>
      </c>
      <c r="D883" s="38">
        <v>3060459</v>
      </c>
      <c r="E883" s="38" t="s">
        <v>1422</v>
      </c>
      <c r="F883" s="38" t="s">
        <v>618</v>
      </c>
    </row>
    <row r="884" spans="1:6">
      <c r="A884" s="38" t="s">
        <v>1500</v>
      </c>
      <c r="B884" s="40">
        <v>652.5</v>
      </c>
      <c r="C884" s="40">
        <v>502.88458251953125</v>
      </c>
      <c r="D884" s="38">
        <v>2751865</v>
      </c>
      <c r="E884" s="38" t="s">
        <v>1422</v>
      </c>
      <c r="F884" s="38" t="s">
        <v>618</v>
      </c>
    </row>
    <row r="885" spans="1:6">
      <c r="A885" s="38" t="s">
        <v>1501</v>
      </c>
      <c r="B885" s="40">
        <v>643.5</v>
      </c>
      <c r="C885" s="40">
        <v>495.94842529296875</v>
      </c>
      <c r="D885" s="38">
        <v>1637706</v>
      </c>
      <c r="E885" s="38" t="s">
        <v>1422</v>
      </c>
      <c r="F885" s="38" t="s">
        <v>618</v>
      </c>
    </row>
    <row r="886" spans="1:6">
      <c r="A886" s="38" t="s">
        <v>1502</v>
      </c>
      <c r="B886" s="40">
        <v>646.29998779296875</v>
      </c>
      <c r="C886" s="40">
        <v>498.10629272460938</v>
      </c>
      <c r="D886" s="38">
        <v>2524484</v>
      </c>
      <c r="E886" s="38" t="s">
        <v>1422</v>
      </c>
      <c r="F886" s="38" t="s">
        <v>618</v>
      </c>
    </row>
    <row r="887" spans="1:6">
      <c r="A887" s="38" t="s">
        <v>1503</v>
      </c>
      <c r="B887" s="40">
        <v>640.25</v>
      </c>
      <c r="C887" s="40">
        <v>493.44351196289063</v>
      </c>
      <c r="D887" s="38">
        <v>2882913</v>
      </c>
      <c r="E887" s="38" t="s">
        <v>1422</v>
      </c>
      <c r="F887" s="38" t="s">
        <v>618</v>
      </c>
    </row>
    <row r="888" spans="1:6">
      <c r="A888" s="38" t="s">
        <v>1504</v>
      </c>
      <c r="B888" s="40">
        <v>636.25</v>
      </c>
      <c r="C888" s="40">
        <v>490.36068725585938</v>
      </c>
      <c r="D888" s="38">
        <v>9651731</v>
      </c>
      <c r="E888" s="38" t="s">
        <v>1422</v>
      </c>
      <c r="F888" s="38" t="s">
        <v>618</v>
      </c>
    </row>
    <row r="889" spans="1:6">
      <c r="A889" s="38" t="s">
        <v>1505</v>
      </c>
      <c r="B889" s="40">
        <v>625.6500244140625</v>
      </c>
      <c r="C889" s="40">
        <v>482.191162109375</v>
      </c>
      <c r="D889" s="38">
        <v>3982949</v>
      </c>
      <c r="E889" s="38" t="s">
        <v>1422</v>
      </c>
      <c r="F889" s="38" t="s">
        <v>618</v>
      </c>
    </row>
    <row r="890" spans="1:6">
      <c r="A890" s="38" t="s">
        <v>1506</v>
      </c>
      <c r="B890" s="40">
        <v>636.1500244140625</v>
      </c>
      <c r="C890" s="40">
        <v>490.28359985351563</v>
      </c>
      <c r="D890" s="38">
        <v>2172845</v>
      </c>
      <c r="E890" s="38" t="s">
        <v>1422</v>
      </c>
      <c r="F890" s="38" t="s">
        <v>618</v>
      </c>
    </row>
    <row r="891" spans="1:6">
      <c r="A891" s="38" t="s">
        <v>1507</v>
      </c>
      <c r="B891" s="40">
        <v>648.04998779296875</v>
      </c>
      <c r="C891" s="40">
        <v>499.455078125</v>
      </c>
      <c r="D891" s="38">
        <v>3140140</v>
      </c>
      <c r="E891" s="38" t="s">
        <v>1422</v>
      </c>
      <c r="F891" s="38" t="s">
        <v>618</v>
      </c>
    </row>
    <row r="892" spans="1:6">
      <c r="A892" s="38" t="s">
        <v>1508</v>
      </c>
      <c r="B892" s="40">
        <v>670.5999755859375</v>
      </c>
      <c r="C892" s="40">
        <v>516.8343505859375</v>
      </c>
      <c r="D892" s="38">
        <v>7226321</v>
      </c>
      <c r="E892" s="38" t="s">
        <v>1422</v>
      </c>
      <c r="F892" s="38" t="s">
        <v>618</v>
      </c>
    </row>
    <row r="893" spans="1:6">
      <c r="A893" s="38" t="s">
        <v>1509</v>
      </c>
      <c r="B893" s="40">
        <v>674.45001220703125</v>
      </c>
      <c r="C893" s="40">
        <v>519.80157470703125</v>
      </c>
      <c r="D893" s="38">
        <v>3239880</v>
      </c>
      <c r="E893" s="38" t="s">
        <v>1422</v>
      </c>
      <c r="F893" s="38" t="s">
        <v>618</v>
      </c>
    </row>
    <row r="894" spans="1:6">
      <c r="A894" s="38" t="s">
        <v>1510</v>
      </c>
      <c r="B894" s="40">
        <v>680.20001220703125</v>
      </c>
      <c r="C894" s="40">
        <v>524.233154296875</v>
      </c>
      <c r="D894" s="38">
        <v>2708834</v>
      </c>
      <c r="E894" s="38" t="s">
        <v>1422</v>
      </c>
      <c r="F894" s="38" t="s">
        <v>618</v>
      </c>
    </row>
    <row r="895" spans="1:6">
      <c r="A895" s="38" t="s">
        <v>1511</v>
      </c>
      <c r="B895" s="40">
        <v>663.3499755859375</v>
      </c>
      <c r="C895" s="40">
        <v>511.24676513671875</v>
      </c>
      <c r="D895" s="38">
        <v>3743407</v>
      </c>
      <c r="E895" s="38" t="s">
        <v>1422</v>
      </c>
      <c r="F895" s="38" t="s">
        <v>618</v>
      </c>
    </row>
    <row r="896" spans="1:6">
      <c r="A896" s="38" t="s">
        <v>1512</v>
      </c>
      <c r="B896" s="40">
        <v>639.1500244140625</v>
      </c>
      <c r="C896" s="40">
        <v>492.59579467773438</v>
      </c>
      <c r="D896" s="38">
        <v>2716622</v>
      </c>
      <c r="E896" s="38" t="s">
        <v>1422</v>
      </c>
      <c r="F896" s="38" t="s">
        <v>618</v>
      </c>
    </row>
    <row r="897" spans="1:6">
      <c r="A897" s="38" t="s">
        <v>1513</v>
      </c>
      <c r="B897" s="40">
        <v>659.0999755859375</v>
      </c>
      <c r="C897" s="40">
        <v>507.97128295898438</v>
      </c>
      <c r="D897" s="38">
        <v>2627043</v>
      </c>
      <c r="E897" s="38" t="s">
        <v>1422</v>
      </c>
      <c r="F897" s="38" t="s">
        <v>618</v>
      </c>
    </row>
    <row r="898" spans="1:6">
      <c r="A898" s="38" t="s">
        <v>1514</v>
      </c>
      <c r="B898" s="40">
        <v>659</v>
      </c>
      <c r="C898" s="40">
        <v>507.8941650390625</v>
      </c>
      <c r="D898" s="38">
        <v>3067796</v>
      </c>
      <c r="E898" s="38" t="s">
        <v>1422</v>
      </c>
      <c r="F898" s="38" t="s">
        <v>618</v>
      </c>
    </row>
    <row r="899" spans="1:6">
      <c r="A899" s="38" t="s">
        <v>1515</v>
      </c>
      <c r="B899" s="40">
        <v>670.3499755859375</v>
      </c>
      <c r="C899" s="40">
        <v>516.6416015625</v>
      </c>
      <c r="D899" s="38">
        <v>2871173</v>
      </c>
      <c r="E899" s="38" t="s">
        <v>1422</v>
      </c>
      <c r="F899" s="38" t="s">
        <v>618</v>
      </c>
    </row>
    <row r="900" spans="1:6">
      <c r="A900" s="38" t="s">
        <v>1516</v>
      </c>
      <c r="B900" s="40">
        <v>668.9000244140625</v>
      </c>
      <c r="C900" s="40">
        <v>515.524169921875</v>
      </c>
      <c r="D900" s="38">
        <v>3913608</v>
      </c>
      <c r="E900" s="38" t="s">
        <v>1422</v>
      </c>
      <c r="F900" s="38" t="s">
        <v>618</v>
      </c>
    </row>
    <row r="901" spans="1:6">
      <c r="A901" s="38" t="s">
        <v>1517</v>
      </c>
      <c r="B901" s="40">
        <v>672.79998779296875</v>
      </c>
      <c r="C901" s="40">
        <v>518.5299072265625</v>
      </c>
      <c r="D901" s="38">
        <v>2106655</v>
      </c>
      <c r="E901" s="38" t="s">
        <v>1422</v>
      </c>
      <c r="F901" s="38" t="s">
        <v>618</v>
      </c>
    </row>
    <row r="902" spans="1:6">
      <c r="A902" s="38" t="s">
        <v>1518</v>
      </c>
      <c r="B902" s="40">
        <v>682.75</v>
      </c>
      <c r="C902" s="40">
        <v>526.19842529296875</v>
      </c>
      <c r="D902" s="38">
        <v>3353812</v>
      </c>
      <c r="E902" s="38" t="s">
        <v>1422</v>
      </c>
      <c r="F902" s="38" t="s">
        <v>618</v>
      </c>
    </row>
    <row r="903" spans="1:6">
      <c r="A903" s="38" t="s">
        <v>1519</v>
      </c>
      <c r="B903" s="40">
        <v>683.8499755859375</v>
      </c>
      <c r="C903" s="40">
        <v>527.04608154296875</v>
      </c>
      <c r="D903" s="38">
        <v>7015461</v>
      </c>
      <c r="E903" s="38" t="s">
        <v>1422</v>
      </c>
      <c r="F903" s="38" t="s">
        <v>618</v>
      </c>
    </row>
    <row r="904" spans="1:6">
      <c r="A904" s="38" t="s">
        <v>1520</v>
      </c>
      <c r="B904" s="40">
        <v>691.1500244140625</v>
      </c>
      <c r="C904" s="40">
        <v>532.67242431640625</v>
      </c>
      <c r="D904" s="38">
        <v>1767289</v>
      </c>
      <c r="E904" s="38" t="s">
        <v>1422</v>
      </c>
      <c r="F904" s="38" t="s">
        <v>618</v>
      </c>
    </row>
    <row r="905" spans="1:6">
      <c r="A905" s="38" t="s">
        <v>1521</v>
      </c>
      <c r="B905" s="40">
        <v>676.3499755859375</v>
      </c>
      <c r="C905" s="40">
        <v>521.26593017578125</v>
      </c>
      <c r="D905" s="38">
        <v>3160545</v>
      </c>
      <c r="E905" s="38" t="s">
        <v>1422</v>
      </c>
      <c r="F905" s="38" t="s">
        <v>618</v>
      </c>
    </row>
    <row r="906" spans="1:6">
      <c r="A906" s="38" t="s">
        <v>1522</v>
      </c>
      <c r="B906" s="40">
        <v>690.20001220703125</v>
      </c>
      <c r="C906" s="40">
        <v>531.940185546875</v>
      </c>
      <c r="D906" s="38">
        <v>2749273</v>
      </c>
      <c r="E906" s="38" t="s">
        <v>1422</v>
      </c>
      <c r="F906" s="38" t="s">
        <v>618</v>
      </c>
    </row>
    <row r="907" spans="1:6">
      <c r="A907" s="38" t="s">
        <v>1523</v>
      </c>
      <c r="B907" s="40">
        <v>691.1500244140625</v>
      </c>
      <c r="C907" s="40">
        <v>532.67242431640625</v>
      </c>
      <c r="D907" s="38">
        <v>2789979</v>
      </c>
      <c r="E907" s="38" t="s">
        <v>1422</v>
      </c>
      <c r="F907" s="38" t="s">
        <v>618</v>
      </c>
    </row>
    <row r="908" spans="1:6">
      <c r="A908" s="38" t="s">
        <v>1524</v>
      </c>
      <c r="B908" s="40">
        <v>693.6500244140625</v>
      </c>
      <c r="C908" s="40">
        <v>534.59912109375</v>
      </c>
      <c r="D908" s="38">
        <v>3067856</v>
      </c>
      <c r="E908" s="38" t="s">
        <v>1422</v>
      </c>
      <c r="F908" s="38" t="s">
        <v>618</v>
      </c>
    </row>
    <row r="909" spans="1:6">
      <c r="A909" s="38" t="s">
        <v>1525</v>
      </c>
      <c r="B909" s="40">
        <v>704.5</v>
      </c>
      <c r="C909" s="40">
        <v>542.96124267578125</v>
      </c>
      <c r="D909" s="38">
        <v>5044667</v>
      </c>
      <c r="E909" s="38" t="s">
        <v>1422</v>
      </c>
      <c r="F909" s="38" t="s">
        <v>618</v>
      </c>
    </row>
    <row r="910" spans="1:6">
      <c r="A910" s="38" t="s">
        <v>1526</v>
      </c>
      <c r="B910" s="40">
        <v>703.25</v>
      </c>
      <c r="C910" s="40">
        <v>541.9979248046875</v>
      </c>
      <c r="D910" s="38">
        <v>2027768</v>
      </c>
      <c r="E910" s="38" t="s">
        <v>1422</v>
      </c>
      <c r="F910" s="38" t="s">
        <v>618</v>
      </c>
    </row>
    <row r="911" spans="1:6">
      <c r="A911" s="38" t="s">
        <v>1527</v>
      </c>
      <c r="B911" s="40">
        <v>695.45001220703125</v>
      </c>
      <c r="C911" s="40">
        <v>535.9864501953125</v>
      </c>
      <c r="D911" s="38">
        <v>2019839</v>
      </c>
      <c r="E911" s="38" t="s">
        <v>1422</v>
      </c>
      <c r="F911" s="38" t="s">
        <v>618</v>
      </c>
    </row>
    <row r="912" spans="1:6">
      <c r="A912" s="38" t="s">
        <v>1528</v>
      </c>
      <c r="B912" s="40">
        <v>721.75</v>
      </c>
      <c r="C912" s="40">
        <v>556.255859375</v>
      </c>
      <c r="D912" s="38">
        <v>10663234</v>
      </c>
      <c r="E912" s="38" t="s">
        <v>1422</v>
      </c>
      <c r="F912" s="38" t="s">
        <v>618</v>
      </c>
    </row>
    <row r="913" spans="1:6">
      <c r="A913" s="38" t="s">
        <v>1529</v>
      </c>
      <c r="B913" s="40">
        <v>712.9000244140625</v>
      </c>
      <c r="C913" s="40">
        <v>549.43524169921875</v>
      </c>
      <c r="D913" s="38">
        <v>1754023</v>
      </c>
      <c r="E913" s="38" t="s">
        <v>1422</v>
      </c>
      <c r="F913" s="38" t="s">
        <v>618</v>
      </c>
    </row>
    <row r="914" spans="1:6">
      <c r="A914" s="38" t="s">
        <v>1530</v>
      </c>
      <c r="B914" s="40">
        <v>703.70001220703125</v>
      </c>
      <c r="C914" s="40">
        <v>542.3447265625</v>
      </c>
      <c r="D914" s="38">
        <v>2702792</v>
      </c>
      <c r="E914" s="38" t="s">
        <v>1422</v>
      </c>
      <c r="F914" s="38" t="s">
        <v>618</v>
      </c>
    </row>
    <row r="915" spans="1:6">
      <c r="A915" s="38" t="s">
        <v>1531</v>
      </c>
      <c r="B915" s="40">
        <v>705.54998779296875</v>
      </c>
      <c r="C915" s="40">
        <v>543.77044677734375</v>
      </c>
      <c r="D915" s="38">
        <v>3282740</v>
      </c>
      <c r="E915" s="38" t="s">
        <v>1422</v>
      </c>
      <c r="F915" s="38" t="s">
        <v>618</v>
      </c>
    </row>
    <row r="916" spans="1:6">
      <c r="A916" s="38" t="s">
        <v>1532</v>
      </c>
      <c r="B916" s="40">
        <v>709.5</v>
      </c>
      <c r="C916" s="40">
        <v>546.81488037109375</v>
      </c>
      <c r="D916" s="38">
        <v>1073430</v>
      </c>
      <c r="E916" s="38" t="s">
        <v>1422</v>
      </c>
      <c r="F916" s="38" t="s">
        <v>618</v>
      </c>
    </row>
    <row r="917" spans="1:6">
      <c r="A917" s="38" t="s">
        <v>1533</v>
      </c>
      <c r="B917" s="40">
        <v>719.45001220703125</v>
      </c>
      <c r="C917" s="40">
        <v>554.48333740234375</v>
      </c>
      <c r="D917" s="38">
        <v>2500556</v>
      </c>
      <c r="E917" s="38" t="s">
        <v>1422</v>
      </c>
      <c r="F917" s="38" t="s">
        <v>618</v>
      </c>
    </row>
    <row r="918" spans="1:6">
      <c r="A918" s="38" t="s">
        <v>1534</v>
      </c>
      <c r="B918" s="40">
        <v>705.95001220703125</v>
      </c>
      <c r="C918" s="40">
        <v>544.07879638671875</v>
      </c>
      <c r="D918" s="38">
        <v>2948429</v>
      </c>
      <c r="E918" s="38" t="s">
        <v>1422</v>
      </c>
      <c r="F918" s="38" t="s">
        <v>618</v>
      </c>
    </row>
    <row r="919" spans="1:6">
      <c r="A919" s="38" t="s">
        <v>1535</v>
      </c>
      <c r="B919" s="40">
        <v>716.75</v>
      </c>
      <c r="C919" s="40">
        <v>552.4024658203125</v>
      </c>
      <c r="D919" s="38">
        <v>1666369</v>
      </c>
      <c r="E919" s="38" t="s">
        <v>1422</v>
      </c>
      <c r="F919" s="38" t="s">
        <v>618</v>
      </c>
    </row>
    <row r="920" spans="1:6">
      <c r="A920" s="38" t="s">
        <v>1536</v>
      </c>
      <c r="B920" s="40">
        <v>703.3499755859375</v>
      </c>
      <c r="C920" s="40">
        <v>542.074951171875</v>
      </c>
      <c r="D920" s="38">
        <v>1570183</v>
      </c>
      <c r="E920" s="38" t="s">
        <v>1422</v>
      </c>
      <c r="F920" s="38" t="s">
        <v>618</v>
      </c>
    </row>
    <row r="921" spans="1:6">
      <c r="A921" s="38" t="s">
        <v>1537</v>
      </c>
      <c r="B921" s="40">
        <v>700.8499755859375</v>
      </c>
      <c r="C921" s="40">
        <v>540.148193359375</v>
      </c>
      <c r="D921" s="38">
        <v>3394351</v>
      </c>
      <c r="E921" s="38" t="s">
        <v>1422</v>
      </c>
      <c r="F921" s="38" t="s">
        <v>618</v>
      </c>
    </row>
    <row r="922" spans="1:6">
      <c r="A922" s="38" t="s">
        <v>1538</v>
      </c>
      <c r="B922" s="40">
        <v>682.79998779296875</v>
      </c>
      <c r="C922" s="40">
        <v>526.23687744140625</v>
      </c>
      <c r="D922" s="38">
        <v>2256769</v>
      </c>
      <c r="E922" s="38" t="s">
        <v>1422</v>
      </c>
      <c r="F922" s="38" t="s">
        <v>618</v>
      </c>
    </row>
    <row r="923" spans="1:6">
      <c r="A923" s="38" t="s">
        <v>1539</v>
      </c>
      <c r="B923" s="40">
        <v>703.8499755859375</v>
      </c>
      <c r="C923" s="40">
        <v>542.46026611328125</v>
      </c>
      <c r="D923" s="38">
        <v>3128057</v>
      </c>
      <c r="E923" s="38" t="s">
        <v>1422</v>
      </c>
      <c r="F923" s="38" t="s">
        <v>618</v>
      </c>
    </row>
    <row r="924" spans="1:6">
      <c r="A924" s="38" t="s">
        <v>1540</v>
      </c>
      <c r="B924" s="40">
        <v>705.9000244140625</v>
      </c>
      <c r="C924" s="40">
        <v>544.040283203125</v>
      </c>
      <c r="D924" s="38">
        <v>3512690</v>
      </c>
      <c r="E924" s="38" t="s">
        <v>1422</v>
      </c>
      <c r="F924" s="38" t="s">
        <v>618</v>
      </c>
    </row>
    <row r="925" spans="1:6">
      <c r="A925" s="38" t="s">
        <v>1541</v>
      </c>
      <c r="B925" s="40">
        <v>713.70001220703125</v>
      </c>
      <c r="C925" s="40">
        <v>550.05181884765625</v>
      </c>
      <c r="D925" s="38">
        <v>3300104</v>
      </c>
      <c r="E925" s="38" t="s">
        <v>1422</v>
      </c>
      <c r="F925" s="38" t="s">
        <v>618</v>
      </c>
    </row>
    <row r="926" spans="1:6">
      <c r="A926" s="38" t="s">
        <v>1542</v>
      </c>
      <c r="B926" s="40">
        <v>704.29998779296875</v>
      </c>
      <c r="C926" s="40">
        <v>542.80718994140625</v>
      </c>
      <c r="D926" s="38">
        <v>2434719</v>
      </c>
      <c r="E926" s="38" t="s">
        <v>1422</v>
      </c>
      <c r="F926" s="38" t="s">
        <v>618</v>
      </c>
    </row>
    <row r="927" spans="1:6">
      <c r="A927" s="38" t="s">
        <v>1543</v>
      </c>
      <c r="B927" s="40">
        <v>714.5</v>
      </c>
      <c r="C927" s="40">
        <v>550.668212890625</v>
      </c>
      <c r="D927" s="38">
        <v>2136186</v>
      </c>
      <c r="E927" s="38" t="s">
        <v>1422</v>
      </c>
      <c r="F927" s="38" t="s">
        <v>618</v>
      </c>
    </row>
    <row r="928" spans="1:6">
      <c r="A928" s="38" t="s">
        <v>1544</v>
      </c>
      <c r="B928" s="40">
        <v>704.95001220703125</v>
      </c>
      <c r="C928" s="40">
        <v>543.30810546875</v>
      </c>
      <c r="D928" s="38">
        <v>1709480</v>
      </c>
      <c r="E928" s="38" t="s">
        <v>1422</v>
      </c>
      <c r="F928" s="38" t="s">
        <v>618</v>
      </c>
    </row>
    <row r="929" spans="1:6">
      <c r="A929" s="38" t="s">
        <v>1545</v>
      </c>
      <c r="B929" s="40">
        <v>702.5</v>
      </c>
      <c r="C929" s="40">
        <v>541.41986083984375</v>
      </c>
      <c r="D929" s="38">
        <v>2111319</v>
      </c>
      <c r="E929" s="38" t="s">
        <v>1422</v>
      </c>
      <c r="F929" s="38" t="s">
        <v>618</v>
      </c>
    </row>
    <row r="930" spans="1:6">
      <c r="A930" s="38" t="s">
        <v>1546</v>
      </c>
      <c r="B930" s="40">
        <v>708.1500244140625</v>
      </c>
      <c r="C930" s="40">
        <v>545.77435302734375</v>
      </c>
      <c r="D930" s="38">
        <v>2273166</v>
      </c>
      <c r="E930" s="38" t="s">
        <v>1422</v>
      </c>
      <c r="F930" s="38" t="s">
        <v>618</v>
      </c>
    </row>
    <row r="931" spans="1:6">
      <c r="A931" s="38" t="s">
        <v>1547</v>
      </c>
      <c r="B931" s="40">
        <v>704.79998779296875</v>
      </c>
      <c r="C931" s="40">
        <v>543.1925048828125</v>
      </c>
      <c r="D931" s="38">
        <v>2578403</v>
      </c>
      <c r="E931" s="38" t="s">
        <v>1422</v>
      </c>
      <c r="F931" s="38" t="s">
        <v>618</v>
      </c>
    </row>
    <row r="932" spans="1:6">
      <c r="A932" s="38" t="s">
        <v>1548</v>
      </c>
      <c r="B932" s="40">
        <v>711.04998779296875</v>
      </c>
      <c r="C932" s="40">
        <v>548.00933837890625</v>
      </c>
      <c r="D932" s="38">
        <v>1115851</v>
      </c>
      <c r="E932" s="38" t="s">
        <v>1422</v>
      </c>
      <c r="F932" s="38" t="s">
        <v>618</v>
      </c>
    </row>
    <row r="933" spans="1:6">
      <c r="A933" s="38" t="s">
        <v>1549</v>
      </c>
      <c r="B933" s="40">
        <v>711.29998779296875</v>
      </c>
      <c r="C933" s="40">
        <v>548.2020263671875</v>
      </c>
      <c r="D933" s="38">
        <v>1507268</v>
      </c>
      <c r="E933" s="38" t="s">
        <v>1422</v>
      </c>
      <c r="F933" s="38" t="s">
        <v>618</v>
      </c>
    </row>
    <row r="934" spans="1:6">
      <c r="A934" s="38" t="s">
        <v>1550</v>
      </c>
      <c r="B934" s="40">
        <v>721.45001220703125</v>
      </c>
      <c r="C934" s="40">
        <v>556.024658203125</v>
      </c>
      <c r="D934" s="38">
        <v>3785425</v>
      </c>
      <c r="E934" s="38" t="s">
        <v>1422</v>
      </c>
      <c r="F934" s="38" t="s">
        <v>618</v>
      </c>
    </row>
    <row r="935" spans="1:6">
      <c r="A935" s="38" t="s">
        <v>1551</v>
      </c>
      <c r="B935" s="40">
        <v>720.75</v>
      </c>
      <c r="C935" s="40">
        <v>555.4852294921875</v>
      </c>
      <c r="D935" s="38">
        <v>1871571</v>
      </c>
      <c r="E935" s="38" t="s">
        <v>1422</v>
      </c>
      <c r="F935" s="38" t="s">
        <v>618</v>
      </c>
    </row>
    <row r="936" spans="1:6">
      <c r="A936" s="38" t="s">
        <v>1552</v>
      </c>
      <c r="B936" s="40">
        <v>720.5</v>
      </c>
      <c r="C936" s="40">
        <v>555.29254150390625</v>
      </c>
      <c r="D936" s="38">
        <v>1482881</v>
      </c>
      <c r="E936" s="38" t="s">
        <v>1422</v>
      </c>
      <c r="F936" s="38" t="s">
        <v>618</v>
      </c>
    </row>
    <row r="937" spans="1:6">
      <c r="A937" s="38" t="s">
        <v>1553</v>
      </c>
      <c r="B937" s="40">
        <v>727.70001220703125</v>
      </c>
      <c r="C937" s="40">
        <v>560.84161376953125</v>
      </c>
      <c r="D937" s="38">
        <v>2114943</v>
      </c>
      <c r="E937" s="38" t="s">
        <v>1422</v>
      </c>
      <c r="F937" s="38" t="s">
        <v>618</v>
      </c>
    </row>
    <row r="938" spans="1:6">
      <c r="A938" s="38" t="s">
        <v>1554</v>
      </c>
      <c r="B938" s="40">
        <v>724.3499755859375</v>
      </c>
      <c r="C938" s="40">
        <v>558.2596435546875</v>
      </c>
      <c r="D938" s="38">
        <v>2177984</v>
      </c>
      <c r="E938" s="38" t="s">
        <v>1422</v>
      </c>
      <c r="F938" s="38" t="s">
        <v>618</v>
      </c>
    </row>
    <row r="939" spans="1:6">
      <c r="A939" s="38" t="s">
        <v>1555</v>
      </c>
      <c r="B939" s="40">
        <v>734.20001220703125</v>
      </c>
      <c r="C939" s="40">
        <v>565.85125732421875</v>
      </c>
      <c r="D939" s="38">
        <v>2907649</v>
      </c>
      <c r="E939" s="38" t="s">
        <v>1422</v>
      </c>
      <c r="F939" s="38" t="s">
        <v>618</v>
      </c>
    </row>
    <row r="940" spans="1:6">
      <c r="A940" s="38" t="s">
        <v>1556</v>
      </c>
      <c r="B940" s="40">
        <v>717.6500244140625</v>
      </c>
      <c r="C940" s="40">
        <v>553.09619140625</v>
      </c>
      <c r="D940" s="38">
        <v>2825230</v>
      </c>
      <c r="E940" s="38" t="s">
        <v>1422</v>
      </c>
      <c r="F940" s="38" t="s">
        <v>618</v>
      </c>
    </row>
    <row r="941" spans="1:6">
      <c r="A941" s="38" t="s">
        <v>1557</v>
      </c>
      <c r="B941" s="40">
        <v>726.5999755859375</v>
      </c>
      <c r="C941" s="40">
        <v>559.9937744140625</v>
      </c>
      <c r="D941" s="38">
        <v>2143330</v>
      </c>
      <c r="E941" s="38" t="s">
        <v>1422</v>
      </c>
      <c r="F941" s="38" t="s">
        <v>618</v>
      </c>
    </row>
    <row r="942" spans="1:6">
      <c r="A942" s="38" t="s">
        <v>1558</v>
      </c>
      <c r="B942" s="40">
        <v>726.3499755859375</v>
      </c>
      <c r="C942" s="40">
        <v>559.8011474609375</v>
      </c>
      <c r="D942" s="38">
        <v>2888332</v>
      </c>
      <c r="E942" s="38" t="s">
        <v>1422</v>
      </c>
      <c r="F942" s="38" t="s">
        <v>618</v>
      </c>
    </row>
    <row r="943" spans="1:6">
      <c r="A943" s="38" t="s">
        <v>1559</v>
      </c>
      <c r="B943" s="40">
        <v>720.95001220703125</v>
      </c>
      <c r="C943" s="40">
        <v>555.63934326171875</v>
      </c>
      <c r="D943" s="38">
        <v>2785014</v>
      </c>
      <c r="E943" s="38" t="s">
        <v>1422</v>
      </c>
      <c r="F943" s="38" t="s">
        <v>618</v>
      </c>
    </row>
    <row r="944" spans="1:6">
      <c r="A944" s="38" t="s">
        <v>1560</v>
      </c>
      <c r="B944" s="40">
        <v>726.75</v>
      </c>
      <c r="C944" s="40">
        <v>560.10943603515625</v>
      </c>
      <c r="D944" s="38">
        <v>194159</v>
      </c>
      <c r="E944" s="38" t="s">
        <v>1422</v>
      </c>
      <c r="F944" s="38" t="s">
        <v>618</v>
      </c>
    </row>
    <row r="945" spans="1:6">
      <c r="A945" s="38" t="s">
        <v>1561</v>
      </c>
      <c r="B945" s="40">
        <v>754.75</v>
      </c>
      <c r="C945" s="40">
        <v>581.68927001953125</v>
      </c>
      <c r="D945" s="38">
        <v>3292048</v>
      </c>
      <c r="E945" s="38" t="s">
        <v>1422</v>
      </c>
      <c r="F945" s="38" t="s">
        <v>618</v>
      </c>
    </row>
    <row r="946" spans="1:6">
      <c r="A946" s="38" t="s">
        <v>1562</v>
      </c>
      <c r="B946" s="40">
        <v>754.4000244140625</v>
      </c>
      <c r="C946" s="40">
        <v>581.41943359375</v>
      </c>
      <c r="D946" s="38">
        <v>2232609</v>
      </c>
      <c r="E946" s="38" t="s">
        <v>1422</v>
      </c>
      <c r="F946" s="38" t="s">
        <v>618</v>
      </c>
    </row>
    <row r="947" spans="1:6">
      <c r="A947" s="38" t="s">
        <v>1563</v>
      </c>
      <c r="B947" s="40">
        <v>739</v>
      </c>
      <c r="C947" s="40">
        <v>569.550537109375</v>
      </c>
      <c r="D947" s="38">
        <v>4178139</v>
      </c>
      <c r="E947" s="38" t="s">
        <v>1422</v>
      </c>
      <c r="F947" s="38" t="s">
        <v>618</v>
      </c>
    </row>
    <row r="948" spans="1:6">
      <c r="A948" s="38" t="s">
        <v>1564</v>
      </c>
      <c r="B948" s="40">
        <v>760.45001220703125</v>
      </c>
      <c r="C948" s="40">
        <v>586.082275390625</v>
      </c>
      <c r="D948" s="38">
        <v>4136257</v>
      </c>
      <c r="E948" s="38" t="s">
        <v>1422</v>
      </c>
      <c r="F948" s="38" t="s">
        <v>618</v>
      </c>
    </row>
    <row r="949" spans="1:6">
      <c r="A949" s="38" t="s">
        <v>1565</v>
      </c>
      <c r="B949" s="40">
        <v>769.5</v>
      </c>
      <c r="C949" s="40">
        <v>593.05706787109375</v>
      </c>
      <c r="D949" s="38">
        <v>4936914</v>
      </c>
      <c r="E949" s="38" t="s">
        <v>1422</v>
      </c>
      <c r="F949" s="38" t="s">
        <v>618</v>
      </c>
    </row>
    <row r="950" spans="1:6">
      <c r="A950" s="38" t="s">
        <v>1566</v>
      </c>
      <c r="B950" s="40">
        <v>773.25</v>
      </c>
      <c r="C950" s="40">
        <v>595.94720458984375</v>
      </c>
      <c r="D950" s="38">
        <v>3303839</v>
      </c>
      <c r="E950" s="38" t="s">
        <v>1422</v>
      </c>
      <c r="F950" s="38" t="s">
        <v>618</v>
      </c>
    </row>
    <row r="951" spans="1:6">
      <c r="A951" s="38" t="s">
        <v>1567</v>
      </c>
      <c r="B951" s="40">
        <v>771.9000244140625</v>
      </c>
      <c r="C951" s="40">
        <v>594.9066162109375</v>
      </c>
      <c r="D951" s="38">
        <v>9486591</v>
      </c>
      <c r="E951" s="38" t="s">
        <v>1422</v>
      </c>
      <c r="F951" s="38" t="s">
        <v>618</v>
      </c>
    </row>
    <row r="952" spans="1:6">
      <c r="A952" s="38" t="s">
        <v>1568</v>
      </c>
      <c r="B952" s="40">
        <v>769.70001220703125</v>
      </c>
      <c r="C952" s="40">
        <v>593.2113037109375</v>
      </c>
      <c r="D952" s="38">
        <v>2060900</v>
      </c>
      <c r="E952" s="38" t="s">
        <v>1422</v>
      </c>
      <c r="F952" s="38" t="s">
        <v>618</v>
      </c>
    </row>
    <row r="953" spans="1:6">
      <c r="A953" s="38" t="s">
        <v>1569</v>
      </c>
      <c r="B953" s="40">
        <v>771.3499755859375</v>
      </c>
      <c r="C953" s="40">
        <v>594.48284912109375</v>
      </c>
      <c r="D953" s="38">
        <v>2368591</v>
      </c>
      <c r="E953" s="38" t="s">
        <v>1422</v>
      </c>
      <c r="F953" s="38" t="s">
        <v>618</v>
      </c>
    </row>
    <row r="954" spans="1:6">
      <c r="A954" s="38" t="s">
        <v>1570</v>
      </c>
      <c r="B954" s="40">
        <v>770.4000244140625</v>
      </c>
      <c r="C954" s="40">
        <v>593.75079345703125</v>
      </c>
      <c r="D954" s="38">
        <v>1345883</v>
      </c>
      <c r="E954" s="38" t="s">
        <v>1422</v>
      </c>
      <c r="F954" s="38" t="s">
        <v>618</v>
      </c>
    </row>
    <row r="955" spans="1:6">
      <c r="A955" s="38" t="s">
        <v>1571</v>
      </c>
      <c r="B955" s="40">
        <v>757.04998779296875</v>
      </c>
      <c r="C955" s="40">
        <v>583.46185302734375</v>
      </c>
      <c r="D955" s="38">
        <v>2434874</v>
      </c>
      <c r="E955" s="38" t="s">
        <v>1422</v>
      </c>
      <c r="F955" s="38" t="s">
        <v>618</v>
      </c>
    </row>
    <row r="956" spans="1:6">
      <c r="A956" s="38" t="s">
        <v>1572</v>
      </c>
      <c r="B956" s="40">
        <v>758.3499755859375</v>
      </c>
      <c r="C956" s="40">
        <v>584.46380615234375</v>
      </c>
      <c r="D956" s="38">
        <v>2564424</v>
      </c>
      <c r="E956" s="38" t="s">
        <v>1422</v>
      </c>
      <c r="F956" s="38" t="s">
        <v>618</v>
      </c>
    </row>
    <row r="957" spans="1:6">
      <c r="A957" s="38" t="s">
        <v>1573</v>
      </c>
      <c r="B957" s="40">
        <v>751.95001220703125</v>
      </c>
      <c r="C957" s="40">
        <v>579.53118896484375</v>
      </c>
      <c r="D957" s="38">
        <v>1787358</v>
      </c>
      <c r="E957" s="38" t="s">
        <v>1422</v>
      </c>
      <c r="F957" s="38" t="s">
        <v>618</v>
      </c>
    </row>
    <row r="958" spans="1:6">
      <c r="A958" s="38" t="s">
        <v>1574</v>
      </c>
      <c r="B958" s="40">
        <v>751.79998779296875</v>
      </c>
      <c r="C958" s="40">
        <v>579.41546630859375</v>
      </c>
      <c r="D958" s="38">
        <v>2216434</v>
      </c>
      <c r="E958" s="38" t="s">
        <v>1422</v>
      </c>
      <c r="F958" s="38" t="s">
        <v>618</v>
      </c>
    </row>
    <row r="959" spans="1:6">
      <c r="A959" s="38" t="s">
        <v>1575</v>
      </c>
      <c r="B959" s="40">
        <v>763.1500244140625</v>
      </c>
      <c r="C959" s="40">
        <v>588.1630859375</v>
      </c>
      <c r="D959" s="38">
        <v>2725437</v>
      </c>
      <c r="E959" s="38" t="s">
        <v>1422</v>
      </c>
      <c r="F959" s="38" t="s">
        <v>618</v>
      </c>
    </row>
    <row r="960" spans="1:6">
      <c r="A960" s="38" t="s">
        <v>1576</v>
      </c>
      <c r="B960" s="40">
        <v>771.4000244140625</v>
      </c>
      <c r="C960" s="40">
        <v>594.5213623046875</v>
      </c>
      <c r="D960" s="38">
        <v>2343750</v>
      </c>
      <c r="E960" s="38" t="s">
        <v>1422</v>
      </c>
      <c r="F960" s="38" t="s">
        <v>618</v>
      </c>
    </row>
    <row r="961" spans="1:6">
      <c r="A961" s="38" t="s">
        <v>1577</v>
      </c>
      <c r="B961" s="40">
        <v>765.1500244140625</v>
      </c>
      <c r="C961" s="40">
        <v>589.70452880859375</v>
      </c>
      <c r="D961" s="38">
        <v>2102137</v>
      </c>
      <c r="E961" s="38" t="s">
        <v>1422</v>
      </c>
      <c r="F961" s="38" t="s">
        <v>618</v>
      </c>
    </row>
    <row r="962" spans="1:6">
      <c r="A962" s="38" t="s">
        <v>1578</v>
      </c>
      <c r="B962" s="40">
        <v>754.20001220703125</v>
      </c>
      <c r="C962" s="40">
        <v>581.26531982421875</v>
      </c>
      <c r="D962" s="38">
        <v>1819912</v>
      </c>
      <c r="E962" s="38" t="s">
        <v>1422</v>
      </c>
      <c r="F962" s="38" t="s">
        <v>618</v>
      </c>
    </row>
    <row r="963" spans="1:6">
      <c r="A963" s="38" t="s">
        <v>1579</v>
      </c>
      <c r="B963" s="40">
        <v>763.54998779296875</v>
      </c>
      <c r="C963" s="40">
        <v>588.47125244140625</v>
      </c>
      <c r="D963" s="38">
        <v>1837243</v>
      </c>
      <c r="E963" s="38" t="s">
        <v>1422</v>
      </c>
      <c r="F963" s="38" t="s">
        <v>618</v>
      </c>
    </row>
    <row r="964" spans="1:6">
      <c r="A964" s="38" t="s">
        <v>1580</v>
      </c>
      <c r="B964" s="40">
        <v>763.5999755859375</v>
      </c>
      <c r="C964" s="40">
        <v>588.5098876953125</v>
      </c>
      <c r="D964" s="38">
        <v>2968850</v>
      </c>
      <c r="E964" s="38" t="s">
        <v>1422</v>
      </c>
      <c r="F964" s="38" t="s">
        <v>618</v>
      </c>
    </row>
    <row r="965" spans="1:6">
      <c r="A965" s="38" t="s">
        <v>1581</v>
      </c>
      <c r="B965" s="40">
        <v>767.54998779296875</v>
      </c>
      <c r="C965" s="40">
        <v>591.5540771484375</v>
      </c>
      <c r="D965" s="38">
        <v>1369944</v>
      </c>
      <c r="E965" s="38" t="s">
        <v>1422</v>
      </c>
      <c r="F965" s="38" t="s">
        <v>618</v>
      </c>
    </row>
    <row r="966" spans="1:6">
      <c r="A966" s="38" t="s">
        <v>1582</v>
      </c>
      <c r="B966" s="40">
        <v>766.25</v>
      </c>
      <c r="C966" s="40">
        <v>590.55230712890625</v>
      </c>
      <c r="D966" s="38">
        <v>1096867</v>
      </c>
      <c r="E966" s="38" t="s">
        <v>1422</v>
      </c>
      <c r="F966" s="38" t="s">
        <v>618</v>
      </c>
    </row>
    <row r="967" spans="1:6">
      <c r="A967" s="38" t="s">
        <v>1583</v>
      </c>
      <c r="B967" s="40">
        <v>761.45001220703125</v>
      </c>
      <c r="C967" s="40">
        <v>586.8529052734375</v>
      </c>
      <c r="D967" s="38">
        <v>1236902</v>
      </c>
      <c r="E967" s="38" t="s">
        <v>1422</v>
      </c>
      <c r="F967" s="38" t="s">
        <v>618</v>
      </c>
    </row>
    <row r="968" spans="1:6">
      <c r="A968" s="38" t="s">
        <v>1584</v>
      </c>
      <c r="B968" s="40">
        <v>748.45001220703125</v>
      </c>
      <c r="C968" s="40">
        <v>576.833740234375</v>
      </c>
      <c r="D968" s="38">
        <v>4333335</v>
      </c>
      <c r="E968" s="38" t="s">
        <v>1422</v>
      </c>
      <c r="F968" s="38" t="s">
        <v>618</v>
      </c>
    </row>
    <row r="969" spans="1:6">
      <c r="A969" s="38" t="s">
        <v>1585</v>
      </c>
      <c r="B969" s="40">
        <v>746.25</v>
      </c>
      <c r="C969" s="40">
        <v>575.13818359375</v>
      </c>
      <c r="D969" s="38">
        <v>1838085</v>
      </c>
      <c r="E969" s="38" t="s">
        <v>1422</v>
      </c>
      <c r="F969" s="38" t="s">
        <v>618</v>
      </c>
    </row>
    <row r="970" spans="1:6">
      <c r="A970" s="38" t="s">
        <v>1586</v>
      </c>
      <c r="B970" s="40">
        <v>758.79998779296875</v>
      </c>
      <c r="C970" s="40">
        <v>584.8104248046875</v>
      </c>
      <c r="D970" s="38">
        <v>1870954</v>
      </c>
      <c r="E970" s="38" t="s">
        <v>1422</v>
      </c>
      <c r="F970" s="38" t="s">
        <v>618</v>
      </c>
    </row>
    <row r="971" spans="1:6">
      <c r="A971" s="38" t="s">
        <v>1587</v>
      </c>
      <c r="B971" s="40">
        <v>764.9000244140625</v>
      </c>
      <c r="C971" s="40">
        <v>589.5118408203125</v>
      </c>
      <c r="D971" s="38">
        <v>2475102</v>
      </c>
      <c r="E971" s="38" t="s">
        <v>1422</v>
      </c>
      <c r="F971" s="38" t="s">
        <v>618</v>
      </c>
    </row>
    <row r="972" spans="1:6">
      <c r="A972" s="38" t="s">
        <v>1588</v>
      </c>
      <c r="B972" s="40">
        <v>757.5</v>
      </c>
      <c r="C972" s="40">
        <v>583.80853271484375</v>
      </c>
      <c r="D972" s="38">
        <v>1092422</v>
      </c>
      <c r="E972" s="38" t="s">
        <v>1422</v>
      </c>
      <c r="F972" s="38" t="s">
        <v>618</v>
      </c>
    </row>
    <row r="973" spans="1:6">
      <c r="A973" s="38" t="s">
        <v>1589</v>
      </c>
      <c r="B973" s="40">
        <v>750.3499755859375</v>
      </c>
      <c r="C973" s="40">
        <v>578.298095703125</v>
      </c>
      <c r="D973" s="38">
        <v>1435556</v>
      </c>
      <c r="E973" s="38" t="s">
        <v>1422</v>
      </c>
      <c r="F973" s="38" t="s">
        <v>618</v>
      </c>
    </row>
    <row r="974" spans="1:6">
      <c r="A974" s="38" t="s">
        <v>1590</v>
      </c>
      <c r="B974" s="40">
        <v>744.95001220703125</v>
      </c>
      <c r="C974" s="40">
        <v>574.1363525390625</v>
      </c>
      <c r="D974" s="38">
        <v>1582428</v>
      </c>
      <c r="E974" s="38" t="s">
        <v>1422</v>
      </c>
      <c r="F974" s="38" t="s">
        <v>618</v>
      </c>
    </row>
    <row r="975" spans="1:6">
      <c r="A975" s="38" t="s">
        <v>1591</v>
      </c>
      <c r="B975" s="40">
        <v>757.95001220703125</v>
      </c>
      <c r="C975" s="40">
        <v>584.1553955078125</v>
      </c>
      <c r="D975" s="38">
        <v>1644499</v>
      </c>
      <c r="E975" s="38" t="s">
        <v>1422</v>
      </c>
      <c r="F975" s="38" t="s">
        <v>618</v>
      </c>
    </row>
    <row r="976" spans="1:6">
      <c r="A976" s="38" t="s">
        <v>1592</v>
      </c>
      <c r="B976" s="40">
        <v>756.45001220703125</v>
      </c>
      <c r="C976" s="40">
        <v>582.9993896484375</v>
      </c>
      <c r="D976" s="38">
        <v>1184008</v>
      </c>
      <c r="E976" s="38" t="s">
        <v>1422</v>
      </c>
      <c r="F976" s="38" t="s">
        <v>618</v>
      </c>
    </row>
    <row r="977" spans="1:6">
      <c r="A977" s="38" t="s">
        <v>1593</v>
      </c>
      <c r="B977" s="40">
        <v>761.8499755859375</v>
      </c>
      <c r="C977" s="40">
        <v>587.16107177734375</v>
      </c>
      <c r="D977" s="38">
        <v>2019424</v>
      </c>
      <c r="E977" s="38" t="s">
        <v>1422</v>
      </c>
      <c r="F977" s="38" t="s">
        <v>618</v>
      </c>
    </row>
    <row r="978" spans="1:6">
      <c r="A978" s="38" t="s">
        <v>1594</v>
      </c>
      <c r="B978" s="40">
        <v>773.29998779296875</v>
      </c>
      <c r="C978" s="40">
        <v>595.98565673828125</v>
      </c>
      <c r="D978" s="38">
        <v>5810893</v>
      </c>
      <c r="E978" s="38" t="s">
        <v>1422</v>
      </c>
      <c r="F978" s="38" t="s">
        <v>618</v>
      </c>
    </row>
    <row r="979" spans="1:6">
      <c r="A979" s="38" t="s">
        <v>1595</v>
      </c>
      <c r="B979" s="40">
        <v>777.3499755859375</v>
      </c>
      <c r="C979" s="40">
        <v>599.1070556640625</v>
      </c>
      <c r="D979" s="38">
        <v>2421510</v>
      </c>
      <c r="E979" s="38" t="s">
        <v>1422</v>
      </c>
      <c r="F979" s="38" t="s">
        <v>618</v>
      </c>
    </row>
    <row r="980" spans="1:6">
      <c r="A980" s="38" t="s">
        <v>1596</v>
      </c>
      <c r="B980" s="40">
        <v>786.6500244140625</v>
      </c>
      <c r="C980" s="40">
        <v>606.2745361328125</v>
      </c>
      <c r="D980" s="38">
        <v>5676894</v>
      </c>
      <c r="E980" s="38" t="s">
        <v>1422</v>
      </c>
      <c r="F980" s="38" t="s">
        <v>618</v>
      </c>
    </row>
    <row r="981" spans="1:6">
      <c r="A981" s="38" t="s">
        <v>1597</v>
      </c>
      <c r="B981" s="40">
        <v>782.75</v>
      </c>
      <c r="C981" s="40">
        <v>603.26898193359375</v>
      </c>
      <c r="D981" s="38">
        <v>2099931</v>
      </c>
      <c r="E981" s="38" t="s">
        <v>1422</v>
      </c>
      <c r="F981" s="38" t="s">
        <v>618</v>
      </c>
    </row>
    <row r="982" spans="1:6">
      <c r="A982" s="38" t="s">
        <v>1598</v>
      </c>
      <c r="B982" s="40">
        <v>783.3499755859375</v>
      </c>
      <c r="C982" s="40">
        <v>603.73126220703125</v>
      </c>
      <c r="D982" s="38">
        <v>2092547</v>
      </c>
      <c r="E982" s="38" t="s">
        <v>1422</v>
      </c>
      <c r="F982" s="38" t="s">
        <v>618</v>
      </c>
    </row>
    <row r="983" spans="1:6">
      <c r="A983" s="38" t="s">
        <v>1599</v>
      </c>
      <c r="B983" s="40">
        <v>775.95001220703125</v>
      </c>
      <c r="C983" s="40">
        <v>598.0281982421875</v>
      </c>
      <c r="D983" s="38">
        <v>1887292</v>
      </c>
      <c r="E983" s="38" t="s">
        <v>1422</v>
      </c>
      <c r="F983" s="38" t="s">
        <v>618</v>
      </c>
    </row>
    <row r="984" spans="1:6">
      <c r="A984" s="38" t="s">
        <v>1600</v>
      </c>
      <c r="B984" s="40">
        <v>772.04998779296875</v>
      </c>
      <c r="C984" s="40">
        <v>595.02227783203125</v>
      </c>
      <c r="D984" s="38">
        <v>1413973</v>
      </c>
      <c r="E984" s="38" t="s">
        <v>1422</v>
      </c>
      <c r="F984" s="38" t="s">
        <v>618</v>
      </c>
    </row>
    <row r="985" spans="1:6">
      <c r="A985" s="38" t="s">
        <v>1601</v>
      </c>
      <c r="B985" s="40">
        <v>770.4000244140625</v>
      </c>
      <c r="C985" s="40">
        <v>593.75079345703125</v>
      </c>
      <c r="D985" s="38">
        <v>1276520</v>
      </c>
      <c r="E985" s="38" t="s">
        <v>1422</v>
      </c>
      <c r="F985" s="38" t="s">
        <v>618</v>
      </c>
    </row>
    <row r="986" spans="1:6">
      <c r="A986" s="38" t="s">
        <v>1602</v>
      </c>
      <c r="B986" s="40">
        <v>780.20001220703125</v>
      </c>
      <c r="C986" s="40">
        <v>601.30352783203125</v>
      </c>
      <c r="D986" s="38">
        <v>1363474</v>
      </c>
      <c r="E986" s="38" t="s">
        <v>1422</v>
      </c>
      <c r="F986" s="38" t="s">
        <v>618</v>
      </c>
    </row>
    <row r="987" spans="1:6">
      <c r="A987" s="38" t="s">
        <v>1603</v>
      </c>
      <c r="B987" s="40">
        <v>782.70001220703125</v>
      </c>
      <c r="C987" s="40">
        <v>603.230224609375</v>
      </c>
      <c r="D987" s="38">
        <v>1055528</v>
      </c>
      <c r="E987" s="38" t="s">
        <v>1422</v>
      </c>
      <c r="F987" s="38" t="s">
        <v>618</v>
      </c>
    </row>
    <row r="988" spans="1:6">
      <c r="A988" s="38" t="s">
        <v>1604</v>
      </c>
      <c r="B988" s="40">
        <v>762.29998779296875</v>
      </c>
      <c r="C988" s="40">
        <v>587.508056640625</v>
      </c>
      <c r="D988" s="38">
        <v>3004887</v>
      </c>
      <c r="E988" s="38" t="s">
        <v>1422</v>
      </c>
      <c r="F988" s="38" t="s">
        <v>618</v>
      </c>
    </row>
    <row r="989" spans="1:6">
      <c r="A989" s="38" t="s">
        <v>1605</v>
      </c>
      <c r="B989" s="40">
        <v>762.0999755859375</v>
      </c>
      <c r="C989" s="40">
        <v>587.353759765625</v>
      </c>
      <c r="D989" s="38">
        <v>746371</v>
      </c>
      <c r="E989" s="38" t="s">
        <v>1422</v>
      </c>
      <c r="F989" s="38" t="s">
        <v>618</v>
      </c>
    </row>
    <row r="990" spans="1:6">
      <c r="A990" s="38" t="s">
        <v>1606</v>
      </c>
      <c r="B990" s="40">
        <v>766.04998779296875</v>
      </c>
      <c r="C990" s="40">
        <v>590.398193359375</v>
      </c>
      <c r="D990" s="38">
        <v>1133488</v>
      </c>
      <c r="E990" s="38" t="s">
        <v>1422</v>
      </c>
      <c r="F990" s="38" t="s">
        <v>618</v>
      </c>
    </row>
    <row r="991" spans="1:6">
      <c r="A991" s="38" t="s">
        <v>1607</v>
      </c>
      <c r="B991" s="40">
        <v>775.0999755859375</v>
      </c>
      <c r="C991" s="40">
        <v>597.3729248046875</v>
      </c>
      <c r="D991" s="38">
        <v>2121704</v>
      </c>
      <c r="E991" s="38" t="s">
        <v>1422</v>
      </c>
      <c r="F991" s="38" t="s">
        <v>618</v>
      </c>
    </row>
    <row r="992" spans="1:6">
      <c r="A992" s="38" t="s">
        <v>1608</v>
      </c>
      <c r="B992" s="40">
        <v>770.4000244140625</v>
      </c>
      <c r="C992" s="40">
        <v>593.75079345703125</v>
      </c>
      <c r="D992" s="38">
        <v>1734439</v>
      </c>
      <c r="E992" s="38" t="s">
        <v>1422</v>
      </c>
      <c r="F992" s="38" t="s">
        <v>618</v>
      </c>
    </row>
    <row r="993" spans="1:6">
      <c r="A993" s="38" t="s">
        <v>1609</v>
      </c>
      <c r="B993" s="40">
        <v>777.0999755859375</v>
      </c>
      <c r="C993" s="40">
        <v>598.9144287109375</v>
      </c>
      <c r="D993" s="38">
        <v>1937143</v>
      </c>
      <c r="E993" s="38" t="s">
        <v>1422</v>
      </c>
      <c r="F993" s="38" t="s">
        <v>618</v>
      </c>
    </row>
    <row r="994" spans="1:6">
      <c r="A994" s="38" t="s">
        <v>1610</v>
      </c>
      <c r="B994" s="40">
        <v>769.79998779296875</v>
      </c>
      <c r="C994" s="40">
        <v>593.288330078125</v>
      </c>
      <c r="D994" s="38">
        <v>2596664</v>
      </c>
      <c r="E994" s="38" t="s">
        <v>1422</v>
      </c>
      <c r="F994" s="38" t="s">
        <v>618</v>
      </c>
    </row>
    <row r="995" spans="1:6">
      <c r="A995" s="38" t="s">
        <v>1611</v>
      </c>
      <c r="B995" s="40">
        <v>773.6500244140625</v>
      </c>
      <c r="C995" s="40">
        <v>596.25555419921875</v>
      </c>
      <c r="D995" s="38">
        <v>1678891</v>
      </c>
      <c r="E995" s="38" t="s">
        <v>1422</v>
      </c>
      <c r="F995" s="38" t="s">
        <v>618</v>
      </c>
    </row>
    <row r="996" spans="1:6">
      <c r="A996" s="38" t="s">
        <v>1612</v>
      </c>
      <c r="B996" s="40">
        <v>776.25</v>
      </c>
      <c r="C996" s="40">
        <v>598.25927734375</v>
      </c>
      <c r="D996" s="38">
        <v>1105725</v>
      </c>
      <c r="E996" s="38" t="s">
        <v>1422</v>
      </c>
      <c r="F996" s="38" t="s">
        <v>618</v>
      </c>
    </row>
    <row r="997" spans="1:6">
      <c r="A997" s="38" t="s">
        <v>1613</v>
      </c>
      <c r="B997" s="40">
        <v>785.8499755859375</v>
      </c>
      <c r="C997" s="40">
        <v>605.6580810546875</v>
      </c>
      <c r="D997" s="38">
        <v>1393509</v>
      </c>
      <c r="E997" s="38" t="s">
        <v>1422</v>
      </c>
      <c r="F997" s="38" t="s">
        <v>618</v>
      </c>
    </row>
    <row r="998" spans="1:6">
      <c r="A998" s="38" t="s">
        <v>1614</v>
      </c>
      <c r="B998" s="40">
        <v>796.25</v>
      </c>
      <c r="C998" s="40">
        <v>613.67340087890625</v>
      </c>
      <c r="D998" s="38">
        <v>1628535</v>
      </c>
      <c r="E998" s="38" t="s">
        <v>1422</v>
      </c>
      <c r="F998" s="38" t="s">
        <v>618</v>
      </c>
    </row>
    <row r="999" spans="1:6">
      <c r="A999" s="38" t="s">
        <v>1615</v>
      </c>
      <c r="B999" s="40">
        <v>795.1500244140625</v>
      </c>
      <c r="C999" s="40">
        <v>612.8255615234375</v>
      </c>
      <c r="D999" s="38">
        <v>1759644</v>
      </c>
      <c r="E999" s="38" t="s">
        <v>1422</v>
      </c>
      <c r="F999" s="38" t="s">
        <v>618</v>
      </c>
    </row>
    <row r="1000" spans="1:6">
      <c r="A1000" s="38" t="s">
        <v>1616</v>
      </c>
      <c r="B1000" s="40">
        <v>782.8499755859375</v>
      </c>
      <c r="C1000" s="40">
        <v>603.34600830078125</v>
      </c>
      <c r="D1000" s="38">
        <v>1110008</v>
      </c>
      <c r="E1000" s="38" t="s">
        <v>1422</v>
      </c>
      <c r="F1000" s="38" t="s">
        <v>618</v>
      </c>
    </row>
    <row r="1001" spans="1:6">
      <c r="A1001" s="38" t="s">
        <v>1617</v>
      </c>
      <c r="B1001" s="40">
        <v>778.45001220703125</v>
      </c>
      <c r="C1001" s="40">
        <v>599.954833984375</v>
      </c>
      <c r="D1001" s="38">
        <v>989312</v>
      </c>
      <c r="E1001" s="38" t="s">
        <v>1422</v>
      </c>
      <c r="F1001" s="38" t="s">
        <v>618</v>
      </c>
    </row>
    <row r="1002" spans="1:6">
      <c r="A1002" s="38" t="s">
        <v>1618</v>
      </c>
      <c r="B1002" s="40">
        <v>778.20001220703125</v>
      </c>
      <c r="C1002" s="40">
        <v>599.7620849609375</v>
      </c>
      <c r="D1002" s="38">
        <v>1620105</v>
      </c>
      <c r="E1002" s="38" t="s">
        <v>1422</v>
      </c>
      <c r="F1002" s="38" t="s">
        <v>618</v>
      </c>
    </row>
    <row r="1003" spans="1:6">
      <c r="A1003" s="38" t="s">
        <v>1619</v>
      </c>
      <c r="B1003" s="40">
        <v>778.9000244140625</v>
      </c>
      <c r="C1003" s="40">
        <v>600.30169677734375</v>
      </c>
      <c r="D1003" s="38">
        <v>976954</v>
      </c>
      <c r="E1003" s="38" t="s">
        <v>1422</v>
      </c>
      <c r="F1003" s="38" t="s">
        <v>618</v>
      </c>
    </row>
    <row r="1004" spans="1:6">
      <c r="A1004" s="38" t="s">
        <v>1620</v>
      </c>
      <c r="B1004" s="40">
        <v>778.75</v>
      </c>
      <c r="C1004" s="40">
        <v>600.18609619140625</v>
      </c>
      <c r="D1004" s="38">
        <v>1192201</v>
      </c>
      <c r="E1004" s="38" t="s">
        <v>1422</v>
      </c>
      <c r="F1004" s="38" t="s">
        <v>618</v>
      </c>
    </row>
    <row r="1005" spans="1:6">
      <c r="A1005" s="38" t="s">
        <v>1621</v>
      </c>
      <c r="B1005" s="40">
        <v>768.95001220703125</v>
      </c>
      <c r="C1005" s="40">
        <v>592.6331787109375</v>
      </c>
      <c r="D1005" s="38">
        <v>2018777</v>
      </c>
      <c r="E1005" s="38" t="s">
        <v>1422</v>
      </c>
      <c r="F1005" s="38" t="s">
        <v>618</v>
      </c>
    </row>
    <row r="1006" spans="1:6">
      <c r="A1006" s="38" t="s">
        <v>1622</v>
      </c>
      <c r="B1006" s="40">
        <v>787.29998779296875</v>
      </c>
      <c r="C1006" s="40">
        <v>606.77569580078125</v>
      </c>
      <c r="D1006" s="38">
        <v>2364265</v>
      </c>
      <c r="E1006" s="38" t="s">
        <v>1422</v>
      </c>
      <c r="F1006" s="38" t="s">
        <v>618</v>
      </c>
    </row>
    <row r="1007" spans="1:6">
      <c r="A1007" s="38" t="s">
        <v>1623</v>
      </c>
      <c r="B1007" s="40">
        <v>791.5</v>
      </c>
      <c r="C1007" s="40">
        <v>610.01251220703125</v>
      </c>
      <c r="D1007" s="38">
        <v>1175606</v>
      </c>
      <c r="E1007" s="38" t="s">
        <v>1422</v>
      </c>
      <c r="F1007" s="38" t="s">
        <v>618</v>
      </c>
    </row>
    <row r="1008" spans="1:6">
      <c r="A1008" s="38" t="s">
        <v>1624</v>
      </c>
      <c r="B1008" s="40">
        <v>794.25</v>
      </c>
      <c r="C1008" s="40">
        <v>612.13201904296875</v>
      </c>
      <c r="D1008" s="38">
        <v>1506685</v>
      </c>
      <c r="E1008" s="38" t="s">
        <v>1422</v>
      </c>
      <c r="F1008" s="38" t="s">
        <v>618</v>
      </c>
    </row>
    <row r="1009" spans="1:6">
      <c r="A1009" s="38" t="s">
        <v>1625</v>
      </c>
      <c r="B1009" s="40">
        <v>804.1500244140625</v>
      </c>
      <c r="C1009" s="40">
        <v>619.76202392578125</v>
      </c>
      <c r="D1009" s="38">
        <v>2565136</v>
      </c>
      <c r="E1009" s="38" t="s">
        <v>1422</v>
      </c>
      <c r="F1009" s="38" t="s">
        <v>618</v>
      </c>
    </row>
    <row r="1010" spans="1:6">
      <c r="A1010" s="38" t="s">
        <v>1626</v>
      </c>
      <c r="B1010" s="40">
        <v>791.3499755859375</v>
      </c>
      <c r="C1010" s="40">
        <v>609.89703369140625</v>
      </c>
      <c r="D1010" s="38">
        <v>2493688</v>
      </c>
      <c r="E1010" s="38" t="s">
        <v>1422</v>
      </c>
      <c r="F1010" s="38" t="s">
        <v>618</v>
      </c>
    </row>
    <row r="1011" spans="1:6">
      <c r="A1011" s="38" t="s">
        <v>1627</v>
      </c>
      <c r="B1011" s="40">
        <v>796.5999755859375</v>
      </c>
      <c r="C1011" s="40">
        <v>613.943115234375</v>
      </c>
      <c r="D1011" s="38">
        <v>3081521</v>
      </c>
      <c r="E1011" s="38" t="s">
        <v>1422</v>
      </c>
      <c r="F1011" s="38" t="s">
        <v>618</v>
      </c>
    </row>
    <row r="1012" spans="1:6">
      <c r="A1012" s="38" t="s">
        <v>1628</v>
      </c>
      <c r="B1012" s="40">
        <v>793.1500244140625</v>
      </c>
      <c r="C1012" s="40">
        <v>611.28411865234375</v>
      </c>
      <c r="D1012" s="38">
        <v>3383074</v>
      </c>
      <c r="E1012" s="38" t="s">
        <v>1422</v>
      </c>
      <c r="F1012" s="38" t="s">
        <v>618</v>
      </c>
    </row>
    <row r="1013" spans="1:6">
      <c r="A1013" s="38" t="s">
        <v>1629</v>
      </c>
      <c r="B1013" s="40">
        <v>811.0999755859375</v>
      </c>
      <c r="C1013" s="40">
        <v>625.118408203125</v>
      </c>
      <c r="D1013" s="38">
        <v>1779834</v>
      </c>
      <c r="E1013" s="38" t="s">
        <v>1422</v>
      </c>
      <c r="F1013" s="38" t="s">
        <v>618</v>
      </c>
    </row>
    <row r="1014" spans="1:6">
      <c r="A1014" s="38" t="s">
        <v>1630</v>
      </c>
      <c r="B1014" s="40">
        <v>814.04998779296875</v>
      </c>
      <c r="C1014" s="40">
        <v>627.3919677734375</v>
      </c>
      <c r="D1014" s="38">
        <v>1613898</v>
      </c>
      <c r="E1014" s="38" t="s">
        <v>1422</v>
      </c>
      <c r="F1014" s="38" t="s">
        <v>618</v>
      </c>
    </row>
    <row r="1015" spans="1:6">
      <c r="A1015" s="38" t="s">
        <v>1631</v>
      </c>
      <c r="B1015" s="40">
        <v>817.70001220703125</v>
      </c>
      <c r="C1015" s="40">
        <v>630.20513916015625</v>
      </c>
      <c r="D1015" s="38">
        <v>1553656</v>
      </c>
      <c r="E1015" s="38" t="s">
        <v>1422</v>
      </c>
      <c r="F1015" s="38" t="s">
        <v>618</v>
      </c>
    </row>
    <row r="1016" spans="1:6">
      <c r="A1016" s="38" t="s">
        <v>1632</v>
      </c>
      <c r="B1016" s="40">
        <v>824.45001220703125</v>
      </c>
      <c r="C1016" s="40">
        <v>635.4072265625</v>
      </c>
      <c r="D1016" s="38">
        <v>1397438</v>
      </c>
      <c r="E1016" s="38" t="s">
        <v>1422</v>
      </c>
      <c r="F1016" s="38" t="s">
        <v>618</v>
      </c>
    </row>
    <row r="1017" spans="1:6">
      <c r="A1017" s="38" t="s">
        <v>1633</v>
      </c>
      <c r="B1017" s="40">
        <v>813.6500244140625</v>
      </c>
      <c r="C1017" s="40">
        <v>627.08367919921875</v>
      </c>
      <c r="D1017" s="38">
        <v>1098971</v>
      </c>
      <c r="E1017" s="38" t="s">
        <v>1422</v>
      </c>
      <c r="F1017" s="38" t="s">
        <v>618</v>
      </c>
    </row>
    <row r="1018" spans="1:6">
      <c r="A1018" s="38" t="s">
        <v>1634</v>
      </c>
      <c r="B1018" s="40">
        <v>819.95001220703125</v>
      </c>
      <c r="C1018" s="40">
        <v>631.939208984375</v>
      </c>
      <c r="D1018" s="38">
        <v>1143705</v>
      </c>
      <c r="E1018" s="38" t="s">
        <v>1422</v>
      </c>
      <c r="F1018" s="38" t="s">
        <v>618</v>
      </c>
    </row>
    <row r="1019" spans="1:6">
      <c r="A1019" s="38" t="s">
        <v>1635</v>
      </c>
      <c r="B1019" s="40">
        <v>821.5</v>
      </c>
      <c r="C1019" s="40">
        <v>633.13372802734375</v>
      </c>
      <c r="D1019" s="38">
        <v>1394424</v>
      </c>
      <c r="E1019" s="38" t="s">
        <v>1422</v>
      </c>
      <c r="F1019" s="38" t="s">
        <v>618</v>
      </c>
    </row>
    <row r="1020" spans="1:6">
      <c r="A1020" s="38" t="s">
        <v>1636</v>
      </c>
      <c r="B1020" s="40">
        <v>828</v>
      </c>
      <c r="C1020" s="40">
        <v>638.14324951171875</v>
      </c>
      <c r="D1020" s="38">
        <v>1737974</v>
      </c>
      <c r="E1020" s="38" t="s">
        <v>1422</v>
      </c>
      <c r="F1020" s="38" t="s">
        <v>618</v>
      </c>
    </row>
    <row r="1021" spans="1:6">
      <c r="A1021" s="38" t="s">
        <v>1637</v>
      </c>
      <c r="B1021" s="40">
        <v>834.1500244140625</v>
      </c>
      <c r="C1021" s="40">
        <v>642.8831787109375</v>
      </c>
      <c r="D1021" s="38">
        <v>2143044</v>
      </c>
      <c r="E1021" s="38" t="s">
        <v>1422</v>
      </c>
      <c r="F1021" s="38" t="s">
        <v>618</v>
      </c>
    </row>
    <row r="1022" spans="1:6">
      <c r="A1022" s="38" t="s">
        <v>1638</v>
      </c>
      <c r="B1022" s="40">
        <v>833.25</v>
      </c>
      <c r="C1022" s="40">
        <v>642.18951416015625</v>
      </c>
      <c r="D1022" s="38">
        <v>793328</v>
      </c>
      <c r="E1022" s="38" t="s">
        <v>1422</v>
      </c>
      <c r="F1022" s="38" t="s">
        <v>618</v>
      </c>
    </row>
    <row r="1023" spans="1:6">
      <c r="A1023" s="38" t="s">
        <v>1639</v>
      </c>
      <c r="B1023" s="40">
        <v>838.79998779296875</v>
      </c>
      <c r="C1023" s="40">
        <v>646.4669189453125</v>
      </c>
      <c r="D1023" s="38">
        <v>1507814</v>
      </c>
      <c r="E1023" s="38" t="s">
        <v>1422</v>
      </c>
      <c r="F1023" s="38" t="s">
        <v>618</v>
      </c>
    </row>
    <row r="1024" spans="1:6">
      <c r="A1024" s="38" t="s">
        <v>1640</v>
      </c>
      <c r="B1024" s="40">
        <v>840.9000244140625</v>
      </c>
      <c r="C1024" s="40">
        <v>648.08544921875</v>
      </c>
      <c r="D1024" s="38">
        <v>881874</v>
      </c>
      <c r="E1024" s="38" t="s">
        <v>1422</v>
      </c>
      <c r="F1024" s="38" t="s">
        <v>618</v>
      </c>
    </row>
    <row r="1025" spans="1:6">
      <c r="A1025" s="38" t="s">
        <v>1641</v>
      </c>
      <c r="B1025" s="40">
        <v>829.5999755859375</v>
      </c>
      <c r="C1025" s="40">
        <v>639.37628173828125</v>
      </c>
      <c r="D1025" s="38">
        <v>1066232</v>
      </c>
      <c r="E1025" s="38" t="s">
        <v>1422</v>
      </c>
      <c r="F1025" s="38" t="s">
        <v>618</v>
      </c>
    </row>
    <row r="1026" spans="1:6">
      <c r="A1026" s="38" t="s">
        <v>1642</v>
      </c>
      <c r="B1026" s="40">
        <v>820.0999755859375</v>
      </c>
      <c r="C1026" s="40">
        <v>632.0546875</v>
      </c>
      <c r="D1026" s="38">
        <v>2917544</v>
      </c>
      <c r="E1026" s="38" t="s">
        <v>1422</v>
      </c>
      <c r="F1026" s="38" t="s">
        <v>618</v>
      </c>
    </row>
    <row r="1027" spans="1:6">
      <c r="A1027" s="38" t="s">
        <v>1643</v>
      </c>
      <c r="B1027" s="40">
        <v>822.0999755859375</v>
      </c>
      <c r="C1027" s="40">
        <v>633.5960693359375</v>
      </c>
      <c r="D1027" s="38">
        <v>2479975</v>
      </c>
      <c r="E1027" s="38" t="s">
        <v>1422</v>
      </c>
      <c r="F1027" s="38" t="s">
        <v>618</v>
      </c>
    </row>
    <row r="1028" spans="1:6">
      <c r="A1028" s="38" t="s">
        <v>1644</v>
      </c>
      <c r="B1028" s="40">
        <v>811.45001220703125</v>
      </c>
      <c r="C1028" s="40">
        <v>625.38818359375</v>
      </c>
      <c r="D1028" s="38">
        <v>2212784</v>
      </c>
      <c r="E1028" s="38" t="s">
        <v>1422</v>
      </c>
      <c r="F1028" s="38" t="s">
        <v>618</v>
      </c>
    </row>
    <row r="1029" spans="1:6">
      <c r="A1029" s="38" t="s">
        <v>1645</v>
      </c>
      <c r="B1029" s="40">
        <v>809.1500244140625</v>
      </c>
      <c r="C1029" s="40">
        <v>623.61541748046875</v>
      </c>
      <c r="D1029" s="38">
        <v>1907768</v>
      </c>
      <c r="E1029" s="38" t="s">
        <v>1422</v>
      </c>
      <c r="F1029" s="38" t="s">
        <v>618</v>
      </c>
    </row>
    <row r="1030" spans="1:6">
      <c r="A1030" s="38" t="s">
        <v>1646</v>
      </c>
      <c r="B1030" s="40">
        <v>744.4000244140625</v>
      </c>
      <c r="C1030" s="40">
        <v>573.71246337890625</v>
      </c>
      <c r="D1030" s="38">
        <v>5959364</v>
      </c>
      <c r="E1030" s="38" t="s">
        <v>1422</v>
      </c>
      <c r="F1030" s="38" t="s">
        <v>618</v>
      </c>
    </row>
    <row r="1031" spans="1:6">
      <c r="A1031" s="38" t="s">
        <v>1647</v>
      </c>
      <c r="B1031" s="40">
        <v>744.54998779296875</v>
      </c>
      <c r="C1031" s="40">
        <v>581.64154052734375</v>
      </c>
      <c r="D1031" s="38">
        <v>3784522</v>
      </c>
      <c r="E1031" s="38" t="s">
        <v>1422</v>
      </c>
      <c r="F1031" s="38" t="s">
        <v>618</v>
      </c>
    </row>
    <row r="1032" spans="1:6">
      <c r="A1032" s="38" t="s">
        <v>1648</v>
      </c>
      <c r="B1032" s="40">
        <v>752.29998779296875</v>
      </c>
      <c r="C1032" s="40">
        <v>587.69580078125</v>
      </c>
      <c r="D1032" s="38">
        <v>2168900</v>
      </c>
      <c r="E1032" s="38" t="s">
        <v>1422</v>
      </c>
      <c r="F1032" s="38" t="s">
        <v>618</v>
      </c>
    </row>
    <row r="1033" spans="1:6">
      <c r="A1033" s="38" t="s">
        <v>1649</v>
      </c>
      <c r="B1033" s="40">
        <v>771.29998779296875</v>
      </c>
      <c r="C1033" s="40">
        <v>602.5386962890625</v>
      </c>
      <c r="D1033" s="38">
        <v>2685540</v>
      </c>
      <c r="E1033" s="38" t="s">
        <v>1422</v>
      </c>
      <c r="F1033" s="38" t="s">
        <v>618</v>
      </c>
    </row>
    <row r="1034" spans="1:6">
      <c r="A1034" s="38" t="s">
        <v>1650</v>
      </c>
      <c r="B1034" s="40">
        <v>756.0999755859375</v>
      </c>
      <c r="C1034" s="40">
        <v>590.66424560546875</v>
      </c>
      <c r="D1034" s="38">
        <v>2126955</v>
      </c>
      <c r="E1034" s="38" t="s">
        <v>1422</v>
      </c>
      <c r="F1034" s="38" t="s">
        <v>618</v>
      </c>
    </row>
    <row r="1035" spans="1:6">
      <c r="A1035" s="38" t="s">
        <v>1651</v>
      </c>
      <c r="B1035" s="40">
        <v>740.4000244140625</v>
      </c>
      <c r="C1035" s="40">
        <v>578.39959716796875</v>
      </c>
      <c r="D1035" s="38">
        <v>2004893</v>
      </c>
      <c r="E1035" s="38" t="s">
        <v>1422</v>
      </c>
      <c r="F1035" s="38" t="s">
        <v>618</v>
      </c>
    </row>
    <row r="1036" spans="1:6">
      <c r="A1036" s="38" t="s">
        <v>1652</v>
      </c>
      <c r="B1036" s="40">
        <v>704.79998779296875</v>
      </c>
      <c r="C1036" s="40">
        <v>550.58892822265625</v>
      </c>
      <c r="D1036" s="38">
        <v>3429034</v>
      </c>
      <c r="E1036" s="38" t="s">
        <v>1422</v>
      </c>
      <c r="F1036" s="38" t="s">
        <v>618</v>
      </c>
    </row>
    <row r="1037" spans="1:6">
      <c r="A1037" s="38" t="s">
        <v>1653</v>
      </c>
      <c r="B1037" s="40">
        <v>708.54998779296875</v>
      </c>
      <c r="C1037" s="40">
        <v>553.518310546875</v>
      </c>
      <c r="D1037" s="38">
        <v>4626185</v>
      </c>
      <c r="E1037" s="38" t="s">
        <v>1422</v>
      </c>
      <c r="F1037" s="38" t="s">
        <v>618</v>
      </c>
    </row>
    <row r="1038" spans="1:6">
      <c r="A1038" s="38" t="s">
        <v>1654</v>
      </c>
      <c r="B1038" s="40">
        <v>649.8499755859375</v>
      </c>
      <c r="C1038" s="40">
        <v>507.6619873046875</v>
      </c>
      <c r="D1038" s="38">
        <v>3796919</v>
      </c>
      <c r="E1038" s="38" t="s">
        <v>1422</v>
      </c>
      <c r="F1038" s="38" t="s">
        <v>618</v>
      </c>
    </row>
    <row r="1039" spans="1:6">
      <c r="A1039" s="38" t="s">
        <v>1655</v>
      </c>
      <c r="B1039" s="40">
        <v>655.95001220703125</v>
      </c>
      <c r="C1039" s="40">
        <v>512.4273681640625</v>
      </c>
      <c r="D1039" s="38">
        <v>4553639</v>
      </c>
      <c r="E1039" s="38" t="s">
        <v>1422</v>
      </c>
      <c r="F1039" s="38" t="s">
        <v>618</v>
      </c>
    </row>
    <row r="1040" spans="1:6">
      <c r="A1040" s="38" t="s">
        <v>1656</v>
      </c>
      <c r="B1040" s="40">
        <v>603.4000244140625</v>
      </c>
      <c r="C1040" s="40">
        <v>471.37530517578125</v>
      </c>
      <c r="D1040" s="38">
        <v>6499354</v>
      </c>
      <c r="E1040" s="38" t="s">
        <v>1422</v>
      </c>
      <c r="F1040" s="38" t="s">
        <v>618</v>
      </c>
    </row>
    <row r="1041" spans="1:6">
      <c r="A1041" s="38" t="s">
        <v>1657</v>
      </c>
      <c r="B1041" s="40">
        <v>595.45001220703125</v>
      </c>
      <c r="C1041" s="40">
        <v>465.16476440429688</v>
      </c>
      <c r="D1041" s="38">
        <v>3333465</v>
      </c>
      <c r="E1041" s="38" t="s">
        <v>1422</v>
      </c>
      <c r="F1041" s="38" t="s">
        <v>618</v>
      </c>
    </row>
    <row r="1042" spans="1:6">
      <c r="A1042" s="38" t="s">
        <v>1658</v>
      </c>
      <c r="B1042" s="40">
        <v>579.6500244140625</v>
      </c>
      <c r="C1042" s="40">
        <v>452.82183837890625</v>
      </c>
      <c r="D1042" s="38">
        <v>3548257</v>
      </c>
      <c r="E1042" s="38" t="s">
        <v>1422</v>
      </c>
      <c r="F1042" s="38" t="s">
        <v>618</v>
      </c>
    </row>
    <row r="1043" spans="1:6">
      <c r="A1043" s="38" t="s">
        <v>1659</v>
      </c>
      <c r="B1043" s="40">
        <v>530</v>
      </c>
      <c r="C1043" s="40">
        <v>414.03530883789063</v>
      </c>
      <c r="D1043" s="38">
        <v>4931298</v>
      </c>
      <c r="E1043" s="38" t="s">
        <v>1422</v>
      </c>
      <c r="F1043" s="38" t="s">
        <v>618</v>
      </c>
    </row>
    <row r="1044" spans="1:6">
      <c r="A1044" s="38" t="s">
        <v>1660</v>
      </c>
      <c r="B1044" s="40">
        <v>576.3499755859375</v>
      </c>
      <c r="C1044" s="40">
        <v>450.24380493164063</v>
      </c>
      <c r="D1044" s="38">
        <v>6315992</v>
      </c>
      <c r="E1044" s="38" t="s">
        <v>1422</v>
      </c>
      <c r="F1044" s="38" t="s">
        <v>618</v>
      </c>
    </row>
    <row r="1045" spans="1:6">
      <c r="A1045" s="38" t="s">
        <v>1661</v>
      </c>
      <c r="B1045" s="40">
        <v>487.20001220703125</v>
      </c>
      <c r="C1045" s="40">
        <v>380.60003662109375</v>
      </c>
      <c r="D1045" s="38">
        <v>2912669</v>
      </c>
      <c r="E1045" s="38" t="s">
        <v>1422</v>
      </c>
      <c r="F1045" s="38" t="s">
        <v>618</v>
      </c>
    </row>
    <row r="1046" spans="1:6">
      <c r="A1046" s="38" t="s">
        <v>1662</v>
      </c>
      <c r="B1046" s="40">
        <v>503.5</v>
      </c>
      <c r="C1046" s="40">
        <v>393.33355712890625</v>
      </c>
      <c r="D1046" s="38">
        <v>4082147</v>
      </c>
      <c r="E1046" s="38" t="s">
        <v>1422</v>
      </c>
      <c r="F1046" s="38" t="s">
        <v>618</v>
      </c>
    </row>
    <row r="1047" spans="1:6">
      <c r="A1047" s="38" t="s">
        <v>1663</v>
      </c>
      <c r="B1047" s="40">
        <v>526.70001220703125</v>
      </c>
      <c r="C1047" s="40">
        <v>411.45742797851563</v>
      </c>
      <c r="D1047" s="38">
        <v>3664272</v>
      </c>
      <c r="E1047" s="38" t="s">
        <v>1422</v>
      </c>
      <c r="F1047" s="38" t="s">
        <v>618</v>
      </c>
    </row>
    <row r="1048" spans="1:6">
      <c r="A1048" s="38" t="s">
        <v>1664</v>
      </c>
      <c r="B1048" s="40">
        <v>515.20001220703125</v>
      </c>
      <c r="C1048" s="40">
        <v>402.47360229492188</v>
      </c>
      <c r="D1048" s="38">
        <v>5979874</v>
      </c>
      <c r="E1048" s="38" t="s">
        <v>1422</v>
      </c>
      <c r="F1048" s="38" t="s">
        <v>618</v>
      </c>
    </row>
    <row r="1049" spans="1:6">
      <c r="A1049" s="38" t="s">
        <v>1665</v>
      </c>
      <c r="B1049" s="40">
        <v>504.10000610351563</v>
      </c>
      <c r="C1049" s="40">
        <v>393.80233764648438</v>
      </c>
      <c r="D1049" s="38">
        <v>4672139</v>
      </c>
      <c r="E1049" s="38" t="s">
        <v>1422</v>
      </c>
      <c r="F1049" s="38" t="s">
        <v>618</v>
      </c>
    </row>
    <row r="1050" spans="1:6">
      <c r="A1050" s="38" t="s">
        <v>1666</v>
      </c>
      <c r="B1050" s="40">
        <v>526.79998779296875</v>
      </c>
      <c r="C1050" s="40">
        <v>411.5355224609375</v>
      </c>
      <c r="D1050" s="38">
        <v>4138337</v>
      </c>
      <c r="E1050" s="38" t="s">
        <v>1422</v>
      </c>
      <c r="F1050" s="38" t="s">
        <v>618</v>
      </c>
    </row>
    <row r="1051" spans="1:6">
      <c r="A1051" s="38" t="s">
        <v>1667</v>
      </c>
      <c r="B1051" s="40">
        <v>565.5</v>
      </c>
      <c r="C1051" s="40">
        <v>441.76791381835938</v>
      </c>
      <c r="D1051" s="38">
        <v>3652911</v>
      </c>
      <c r="E1051" s="38" t="s">
        <v>1422</v>
      </c>
      <c r="F1051" s="38" t="s">
        <v>618</v>
      </c>
    </row>
    <row r="1052" spans="1:6">
      <c r="A1052" s="38" t="s">
        <v>1668</v>
      </c>
      <c r="B1052" s="40">
        <v>511.20001220703125</v>
      </c>
      <c r="C1052" s="40">
        <v>399.34878540039063</v>
      </c>
      <c r="D1052" s="38">
        <v>4114437</v>
      </c>
      <c r="E1052" s="38" t="s">
        <v>1669</v>
      </c>
      <c r="F1052" s="38" t="s">
        <v>618</v>
      </c>
    </row>
    <row r="1053" spans="1:6">
      <c r="A1053" s="38" t="s">
        <v>1670</v>
      </c>
      <c r="B1053" s="40">
        <v>520.9000244140625</v>
      </c>
      <c r="C1053" s="40">
        <v>406.92642211914063</v>
      </c>
      <c r="D1053" s="38">
        <v>5826085</v>
      </c>
      <c r="E1053" s="38" t="s">
        <v>1669</v>
      </c>
      <c r="F1053" s="38" t="s">
        <v>618</v>
      </c>
    </row>
    <row r="1054" spans="1:6">
      <c r="A1054" s="38" t="s">
        <v>1671</v>
      </c>
      <c r="B1054" s="40">
        <v>549.8499755859375</v>
      </c>
      <c r="C1054" s="40">
        <v>429.54208374023438</v>
      </c>
      <c r="D1054" s="38">
        <v>3531972</v>
      </c>
      <c r="E1054" s="38" t="s">
        <v>1669</v>
      </c>
      <c r="F1054" s="38" t="s">
        <v>618</v>
      </c>
    </row>
    <row r="1055" spans="1:6">
      <c r="A1055" s="38" t="s">
        <v>1672</v>
      </c>
      <c r="B1055" s="40">
        <v>558.9000244140625</v>
      </c>
      <c r="C1055" s="40">
        <v>436.61203002929688</v>
      </c>
      <c r="D1055" s="38">
        <v>4113059</v>
      </c>
      <c r="E1055" s="38" t="s">
        <v>1669</v>
      </c>
      <c r="F1055" s="38" t="s">
        <v>618</v>
      </c>
    </row>
    <row r="1056" spans="1:6">
      <c r="A1056" s="38" t="s">
        <v>1673</v>
      </c>
      <c r="B1056" s="40">
        <v>545.25</v>
      </c>
      <c r="C1056" s="40">
        <v>425.9486083984375</v>
      </c>
      <c r="D1056" s="38">
        <v>5917001</v>
      </c>
      <c r="E1056" s="38" t="s">
        <v>1669</v>
      </c>
      <c r="F1056" s="38" t="s">
        <v>618</v>
      </c>
    </row>
    <row r="1057" spans="1:6">
      <c r="A1057" s="38" t="s">
        <v>1674</v>
      </c>
      <c r="B1057" s="40">
        <v>526.8499755859375</v>
      </c>
      <c r="C1057" s="40">
        <v>411.57455444335938</v>
      </c>
      <c r="D1057" s="38">
        <v>3822640</v>
      </c>
      <c r="E1057" s="38" t="s">
        <v>1669</v>
      </c>
      <c r="F1057" s="38" t="s">
        <v>618</v>
      </c>
    </row>
    <row r="1058" spans="1:6">
      <c r="A1058" s="38" t="s">
        <v>1675</v>
      </c>
      <c r="B1058" s="40">
        <v>538.6500244140625</v>
      </c>
      <c r="C1058" s="40">
        <v>420.792724609375</v>
      </c>
      <c r="D1058" s="38">
        <v>6316254</v>
      </c>
      <c r="E1058" s="38" t="s">
        <v>1669</v>
      </c>
      <c r="F1058" s="38" t="s">
        <v>618</v>
      </c>
    </row>
    <row r="1059" spans="1:6">
      <c r="A1059" s="38" t="s">
        <v>1676</v>
      </c>
      <c r="B1059" s="40">
        <v>517.6500244140625</v>
      </c>
      <c r="C1059" s="40">
        <v>404.38760375976563</v>
      </c>
      <c r="D1059" s="38">
        <v>7001494</v>
      </c>
      <c r="E1059" s="38" t="s">
        <v>1669</v>
      </c>
      <c r="F1059" s="38" t="s">
        <v>618</v>
      </c>
    </row>
    <row r="1060" spans="1:6">
      <c r="A1060" s="38" t="s">
        <v>1677</v>
      </c>
      <c r="B1060" s="40">
        <v>509.85000610351563</v>
      </c>
      <c r="C1060" s="40">
        <v>398.29421997070313</v>
      </c>
      <c r="D1060" s="38">
        <v>10839705</v>
      </c>
      <c r="E1060" s="38" t="s">
        <v>1669</v>
      </c>
      <c r="F1060" s="38" t="s">
        <v>618</v>
      </c>
    </row>
    <row r="1061" spans="1:6">
      <c r="A1061" s="38" t="s">
        <v>1678</v>
      </c>
      <c r="B1061" s="40">
        <v>524.8499755859375</v>
      </c>
      <c r="C1061" s="40">
        <v>410.01214599609375</v>
      </c>
      <c r="D1061" s="38">
        <v>4549088</v>
      </c>
      <c r="E1061" s="38" t="s">
        <v>1669</v>
      </c>
      <c r="F1061" s="38" t="s">
        <v>618</v>
      </c>
    </row>
    <row r="1062" spans="1:6">
      <c r="A1062" s="38" t="s">
        <v>1679</v>
      </c>
      <c r="B1062" s="40">
        <v>512.95001220703125</v>
      </c>
      <c r="C1062" s="40">
        <v>400.71597290039063</v>
      </c>
      <c r="D1062" s="38">
        <v>2950307</v>
      </c>
      <c r="E1062" s="38" t="s">
        <v>1669</v>
      </c>
      <c r="F1062" s="38" t="s">
        <v>618</v>
      </c>
    </row>
    <row r="1063" spans="1:6">
      <c r="A1063" s="38" t="s">
        <v>1680</v>
      </c>
      <c r="B1063" s="40">
        <v>518.29998779296875</v>
      </c>
      <c r="C1063" s="40">
        <v>404.89529418945313</v>
      </c>
      <c r="D1063" s="38">
        <v>2268496</v>
      </c>
      <c r="E1063" s="38" t="s">
        <v>1669</v>
      </c>
      <c r="F1063" s="38" t="s">
        <v>618</v>
      </c>
    </row>
    <row r="1064" spans="1:6">
      <c r="A1064" s="38" t="s">
        <v>1681</v>
      </c>
      <c r="B1064" s="40">
        <v>523.70001220703125</v>
      </c>
      <c r="C1064" s="40">
        <v>409.11380004882813</v>
      </c>
      <c r="D1064" s="38">
        <v>6094748</v>
      </c>
      <c r="E1064" s="38" t="s">
        <v>1669</v>
      </c>
      <c r="F1064" s="38" t="s">
        <v>618</v>
      </c>
    </row>
    <row r="1065" spans="1:6">
      <c r="A1065" s="38" t="s">
        <v>1682</v>
      </c>
      <c r="B1065" s="40">
        <v>503.45001220703125</v>
      </c>
      <c r="C1065" s="40">
        <v>393.29452514648438</v>
      </c>
      <c r="D1065" s="38">
        <v>4817852</v>
      </c>
      <c r="E1065" s="38" t="s">
        <v>1669</v>
      </c>
      <c r="F1065" s="38" t="s">
        <v>618</v>
      </c>
    </row>
    <row r="1066" spans="1:6">
      <c r="A1066" s="38" t="s">
        <v>1683</v>
      </c>
      <c r="B1066" s="40">
        <v>511.70001220703125</v>
      </c>
      <c r="C1066" s="40">
        <v>399.7393798828125</v>
      </c>
      <c r="D1066" s="38">
        <v>4032316</v>
      </c>
      <c r="E1066" s="38" t="s">
        <v>1669</v>
      </c>
      <c r="F1066" s="38" t="s">
        <v>618</v>
      </c>
    </row>
    <row r="1067" spans="1:6">
      <c r="A1067" s="38" t="s">
        <v>1684</v>
      </c>
      <c r="B1067" s="40">
        <v>520.4000244140625</v>
      </c>
      <c r="C1067" s="40">
        <v>406.53585815429688</v>
      </c>
      <c r="D1067" s="38">
        <v>4972775</v>
      </c>
      <c r="E1067" s="38" t="s">
        <v>1669</v>
      </c>
      <c r="F1067" s="38" t="s">
        <v>618</v>
      </c>
    </row>
    <row r="1068" spans="1:6">
      <c r="A1068" s="38" t="s">
        <v>1685</v>
      </c>
      <c r="B1068" s="40">
        <v>528.70001220703125</v>
      </c>
      <c r="C1068" s="40">
        <v>413.01980590820313</v>
      </c>
      <c r="D1068" s="38">
        <v>6361689</v>
      </c>
      <c r="E1068" s="38" t="s">
        <v>1669</v>
      </c>
      <c r="F1068" s="38" t="s">
        <v>618</v>
      </c>
    </row>
    <row r="1069" spans="1:6">
      <c r="A1069" s="38" t="s">
        <v>1686</v>
      </c>
      <c r="B1069" s="40">
        <v>546.25</v>
      </c>
      <c r="C1069" s="40">
        <v>426.72979736328125</v>
      </c>
      <c r="D1069" s="38">
        <v>8931956</v>
      </c>
      <c r="E1069" s="38" t="s">
        <v>1669</v>
      </c>
      <c r="F1069" s="38" t="s">
        <v>618</v>
      </c>
    </row>
    <row r="1070" spans="1:6">
      <c r="A1070" s="38" t="s">
        <v>1687</v>
      </c>
      <c r="B1070" s="40">
        <v>502.45001220703125</v>
      </c>
      <c r="C1070" s="40">
        <v>392.5133056640625</v>
      </c>
      <c r="D1070" s="38">
        <v>14814506</v>
      </c>
      <c r="E1070" s="38" t="s">
        <v>1669</v>
      </c>
      <c r="F1070" s="38" t="s">
        <v>618</v>
      </c>
    </row>
    <row r="1071" spans="1:6">
      <c r="A1071" s="38" t="s">
        <v>1688</v>
      </c>
      <c r="B1071" s="40">
        <v>499.95001220703125</v>
      </c>
      <c r="C1071" s="40">
        <v>390.56033325195313</v>
      </c>
      <c r="D1071" s="38">
        <v>5717678</v>
      </c>
      <c r="E1071" s="38" t="s">
        <v>1669</v>
      </c>
      <c r="F1071" s="38" t="s">
        <v>618</v>
      </c>
    </row>
    <row r="1072" spans="1:6">
      <c r="A1072" s="38" t="s">
        <v>1689</v>
      </c>
      <c r="B1072" s="40">
        <v>506.85000610351563</v>
      </c>
      <c r="C1072" s="40">
        <v>395.95065307617188</v>
      </c>
      <c r="D1072" s="38">
        <v>3781531</v>
      </c>
      <c r="E1072" s="38" t="s">
        <v>1669</v>
      </c>
      <c r="F1072" s="38" t="s">
        <v>618</v>
      </c>
    </row>
    <row r="1073" spans="1:6">
      <c r="A1073" s="38" t="s">
        <v>1690</v>
      </c>
      <c r="B1073" s="40">
        <v>516.3499755859375</v>
      </c>
      <c r="C1073" s="40">
        <v>403.37197875976563</v>
      </c>
      <c r="D1073" s="38">
        <v>6799899</v>
      </c>
      <c r="E1073" s="38" t="s">
        <v>1669</v>
      </c>
      <c r="F1073" s="38" t="s">
        <v>618</v>
      </c>
    </row>
    <row r="1074" spans="1:6">
      <c r="A1074" s="38" t="s">
        <v>1691</v>
      </c>
      <c r="B1074" s="40">
        <v>536.20001220703125</v>
      </c>
      <c r="C1074" s="40">
        <v>418.8787841796875</v>
      </c>
      <c r="D1074" s="38">
        <v>6016020</v>
      </c>
      <c r="E1074" s="38" t="s">
        <v>1669</v>
      </c>
      <c r="F1074" s="38" t="s">
        <v>618</v>
      </c>
    </row>
    <row r="1075" spans="1:6">
      <c r="A1075" s="38" t="s">
        <v>1692</v>
      </c>
      <c r="B1075" s="40">
        <v>530.20001220703125</v>
      </c>
      <c r="C1075" s="40">
        <v>414.19161987304688</v>
      </c>
      <c r="D1075" s="38">
        <v>4272574</v>
      </c>
      <c r="E1075" s="38" t="s">
        <v>1669</v>
      </c>
      <c r="F1075" s="38" t="s">
        <v>618</v>
      </c>
    </row>
    <row r="1076" spans="1:6">
      <c r="A1076" s="38" t="s">
        <v>1693</v>
      </c>
      <c r="B1076" s="40">
        <v>533.25</v>
      </c>
      <c r="C1076" s="40">
        <v>416.57424926757813</v>
      </c>
      <c r="D1076" s="38">
        <v>5691969</v>
      </c>
      <c r="E1076" s="38" t="s">
        <v>1669</v>
      </c>
      <c r="F1076" s="38" t="s">
        <v>618</v>
      </c>
    </row>
    <row r="1077" spans="1:6">
      <c r="A1077" s="38" t="s">
        <v>1694</v>
      </c>
      <c r="B1077" s="40">
        <v>544.75</v>
      </c>
      <c r="C1077" s="40">
        <v>425.55801391601563</v>
      </c>
      <c r="D1077" s="38">
        <v>3296409</v>
      </c>
      <c r="E1077" s="38" t="s">
        <v>1669</v>
      </c>
      <c r="F1077" s="38" t="s">
        <v>618</v>
      </c>
    </row>
    <row r="1078" spans="1:6">
      <c r="A1078" s="38" t="s">
        <v>1695</v>
      </c>
      <c r="B1078" s="40">
        <v>515.70001220703125</v>
      </c>
      <c r="C1078" s="40">
        <v>402.86419677734375</v>
      </c>
      <c r="D1078" s="38">
        <v>6148398</v>
      </c>
      <c r="E1078" s="38" t="s">
        <v>1669</v>
      </c>
      <c r="F1078" s="38" t="s">
        <v>618</v>
      </c>
    </row>
    <row r="1079" spans="1:6">
      <c r="A1079" s="38" t="s">
        <v>1696</v>
      </c>
      <c r="B1079" s="40">
        <v>510.54998779296875</v>
      </c>
      <c r="C1079" s="40">
        <v>398.84103393554688</v>
      </c>
      <c r="D1079" s="38">
        <v>3628530</v>
      </c>
      <c r="E1079" s="38" t="s">
        <v>1669</v>
      </c>
      <c r="F1079" s="38" t="s">
        <v>618</v>
      </c>
    </row>
    <row r="1080" spans="1:6">
      <c r="A1080" s="38" t="s">
        <v>1697</v>
      </c>
      <c r="B1080" s="40">
        <v>504.04998779296875</v>
      </c>
      <c r="C1080" s="40">
        <v>393.76321411132813</v>
      </c>
      <c r="D1080" s="38">
        <v>3283979</v>
      </c>
      <c r="E1080" s="38" t="s">
        <v>1669</v>
      </c>
      <c r="F1080" s="38" t="s">
        <v>618</v>
      </c>
    </row>
    <row r="1081" spans="1:6">
      <c r="A1081" s="38" t="s">
        <v>1698</v>
      </c>
      <c r="B1081" s="40">
        <v>512.5999755859375</v>
      </c>
      <c r="C1081" s="40">
        <v>400.44247436523438</v>
      </c>
      <c r="D1081" s="38">
        <v>3041594</v>
      </c>
      <c r="E1081" s="38" t="s">
        <v>1669</v>
      </c>
      <c r="F1081" s="38" t="s">
        <v>618</v>
      </c>
    </row>
    <row r="1082" spans="1:6">
      <c r="A1082" s="38" t="s">
        <v>1699</v>
      </c>
      <c r="B1082" s="40">
        <v>519.20001220703125</v>
      </c>
      <c r="C1082" s="40">
        <v>405.59835815429688</v>
      </c>
      <c r="D1082" s="38">
        <v>2772920</v>
      </c>
      <c r="E1082" s="38" t="s">
        <v>1669</v>
      </c>
      <c r="F1082" s="38" t="s">
        <v>618</v>
      </c>
    </row>
    <row r="1083" spans="1:6">
      <c r="A1083" s="38" t="s">
        <v>1700</v>
      </c>
      <c r="B1083" s="40">
        <v>520.04998779296875</v>
      </c>
      <c r="C1083" s="40">
        <v>406.26239013671875</v>
      </c>
      <c r="D1083" s="38">
        <v>2540109</v>
      </c>
      <c r="E1083" s="38" t="s">
        <v>1669</v>
      </c>
      <c r="F1083" s="38" t="s">
        <v>618</v>
      </c>
    </row>
    <row r="1084" spans="1:6">
      <c r="A1084" s="38" t="s">
        <v>1701</v>
      </c>
      <c r="B1084" s="40">
        <v>529.6500244140625</v>
      </c>
      <c r="C1084" s="40">
        <v>413.76193237304688</v>
      </c>
      <c r="D1084" s="38">
        <v>4254552</v>
      </c>
      <c r="E1084" s="38" t="s">
        <v>1669</v>
      </c>
      <c r="F1084" s="38" t="s">
        <v>618</v>
      </c>
    </row>
    <row r="1085" spans="1:6">
      <c r="A1085" s="38" t="s">
        <v>1702</v>
      </c>
      <c r="B1085" s="40">
        <v>520.45001220703125</v>
      </c>
      <c r="C1085" s="40">
        <v>406.57492065429688</v>
      </c>
      <c r="D1085" s="38">
        <v>2719781</v>
      </c>
      <c r="E1085" s="38" t="s">
        <v>1669</v>
      </c>
      <c r="F1085" s="38" t="s">
        <v>618</v>
      </c>
    </row>
    <row r="1086" spans="1:6">
      <c r="A1086" s="38" t="s">
        <v>1703</v>
      </c>
      <c r="B1086" s="40">
        <v>523.75</v>
      </c>
      <c r="C1086" s="40">
        <v>409.15286254882813</v>
      </c>
      <c r="D1086" s="38">
        <v>2265885</v>
      </c>
      <c r="E1086" s="38" t="s">
        <v>1669</v>
      </c>
      <c r="F1086" s="38" t="s">
        <v>618</v>
      </c>
    </row>
    <row r="1087" spans="1:6">
      <c r="A1087" s="38" t="s">
        <v>1704</v>
      </c>
      <c r="B1087" s="40">
        <v>529.70001220703125</v>
      </c>
      <c r="C1087" s="40">
        <v>413.80105590820313</v>
      </c>
      <c r="D1087" s="38">
        <v>3387672</v>
      </c>
      <c r="E1087" s="38" t="s">
        <v>1669</v>
      </c>
      <c r="F1087" s="38" t="s">
        <v>618</v>
      </c>
    </row>
    <row r="1088" spans="1:6">
      <c r="A1088" s="38" t="s">
        <v>1705</v>
      </c>
      <c r="B1088" s="40">
        <v>530.45001220703125</v>
      </c>
      <c r="C1088" s="40">
        <v>414.38690185546875</v>
      </c>
      <c r="D1088" s="38">
        <v>4081245</v>
      </c>
      <c r="E1088" s="38" t="s">
        <v>1669</v>
      </c>
      <c r="F1088" s="38" t="s">
        <v>618</v>
      </c>
    </row>
    <row r="1089" spans="1:6">
      <c r="A1089" s="38" t="s">
        <v>1706</v>
      </c>
      <c r="B1089" s="40">
        <v>543.54998779296875</v>
      </c>
      <c r="C1089" s="40">
        <v>424.62051391601563</v>
      </c>
      <c r="D1089" s="38">
        <v>4913055</v>
      </c>
      <c r="E1089" s="38" t="s">
        <v>1669</v>
      </c>
      <c r="F1089" s="38" t="s">
        <v>618</v>
      </c>
    </row>
    <row r="1090" spans="1:6">
      <c r="A1090" s="38" t="s">
        <v>1707</v>
      </c>
      <c r="B1090" s="40">
        <v>547.5</v>
      </c>
      <c r="C1090" s="40">
        <v>427.70632934570313</v>
      </c>
      <c r="D1090" s="38">
        <v>3878973</v>
      </c>
      <c r="E1090" s="38" t="s">
        <v>1669</v>
      </c>
      <c r="F1090" s="38" t="s">
        <v>618</v>
      </c>
    </row>
    <row r="1091" spans="1:6">
      <c r="A1091" s="38" t="s">
        <v>1708</v>
      </c>
      <c r="B1091" s="40">
        <v>553.25</v>
      </c>
      <c r="C1091" s="40">
        <v>432.19821166992188</v>
      </c>
      <c r="D1091" s="38">
        <v>4942023</v>
      </c>
      <c r="E1091" s="38" t="s">
        <v>1669</v>
      </c>
      <c r="F1091" s="38" t="s">
        <v>618</v>
      </c>
    </row>
    <row r="1092" spans="1:6">
      <c r="A1092" s="38" t="s">
        <v>1709</v>
      </c>
      <c r="B1092" s="40">
        <v>582.0999755859375</v>
      </c>
      <c r="C1092" s="40">
        <v>454.73580932617188</v>
      </c>
      <c r="D1092" s="38">
        <v>10915145</v>
      </c>
      <c r="E1092" s="38" t="s">
        <v>1669</v>
      </c>
      <c r="F1092" s="38" t="s">
        <v>618</v>
      </c>
    </row>
    <row r="1093" spans="1:6">
      <c r="A1093" s="38" t="s">
        <v>1710</v>
      </c>
      <c r="B1093" s="40">
        <v>579.8499755859375</v>
      </c>
      <c r="C1093" s="40">
        <v>452.97808837890625</v>
      </c>
      <c r="D1093" s="38">
        <v>6207096</v>
      </c>
      <c r="E1093" s="38" t="s">
        <v>1669</v>
      </c>
      <c r="F1093" s="38" t="s">
        <v>618</v>
      </c>
    </row>
    <row r="1094" spans="1:6">
      <c r="A1094" s="38" t="s">
        <v>1711</v>
      </c>
      <c r="B1094" s="40">
        <v>590</v>
      </c>
      <c r="C1094" s="40">
        <v>460.9072265625</v>
      </c>
      <c r="D1094" s="38">
        <v>4791151</v>
      </c>
      <c r="E1094" s="38" t="s">
        <v>1669</v>
      </c>
      <c r="F1094" s="38" t="s">
        <v>618</v>
      </c>
    </row>
    <row r="1095" spans="1:6">
      <c r="A1095" s="38" t="s">
        <v>1712</v>
      </c>
      <c r="B1095" s="40">
        <v>586.20001220703125</v>
      </c>
      <c r="C1095" s="40">
        <v>457.93875122070313</v>
      </c>
      <c r="D1095" s="38">
        <v>5665593</v>
      </c>
      <c r="E1095" s="38" t="s">
        <v>1669</v>
      </c>
      <c r="F1095" s="38" t="s">
        <v>618</v>
      </c>
    </row>
    <row r="1096" spans="1:6">
      <c r="A1096" s="38" t="s">
        <v>1713</v>
      </c>
      <c r="B1096" s="40">
        <v>590.5</v>
      </c>
      <c r="C1096" s="40">
        <v>461.29782104492188</v>
      </c>
      <c r="D1096" s="38">
        <v>3438670</v>
      </c>
      <c r="E1096" s="38" t="s">
        <v>1669</v>
      </c>
      <c r="F1096" s="38" t="s">
        <v>618</v>
      </c>
    </row>
    <row r="1097" spans="1:6">
      <c r="A1097" s="38" t="s">
        <v>1714</v>
      </c>
      <c r="B1097" s="40">
        <v>571.8499755859375</v>
      </c>
      <c r="C1097" s="40">
        <v>446.728515625</v>
      </c>
      <c r="D1097" s="38">
        <v>3378322</v>
      </c>
      <c r="E1097" s="38" t="s">
        <v>1669</v>
      </c>
      <c r="F1097" s="38" t="s">
        <v>618</v>
      </c>
    </row>
    <row r="1098" spans="1:6">
      <c r="A1098" s="38" t="s">
        <v>1715</v>
      </c>
      <c r="B1098" s="40">
        <v>554.70001220703125</v>
      </c>
      <c r="C1098" s="40">
        <v>433.33102416992188</v>
      </c>
      <c r="D1098" s="38">
        <v>3603893</v>
      </c>
      <c r="E1098" s="38" t="s">
        <v>1669</v>
      </c>
      <c r="F1098" s="38" t="s">
        <v>618</v>
      </c>
    </row>
    <row r="1099" spans="1:6">
      <c r="A1099" s="38" t="s">
        <v>1716</v>
      </c>
      <c r="B1099" s="40">
        <v>548.79998779296875</v>
      </c>
      <c r="C1099" s="40">
        <v>428.72186279296875</v>
      </c>
      <c r="D1099" s="38">
        <v>3944724</v>
      </c>
      <c r="E1099" s="38" t="s">
        <v>1669</v>
      </c>
      <c r="F1099" s="38" t="s">
        <v>618</v>
      </c>
    </row>
    <row r="1100" spans="1:6">
      <c r="A1100" s="38" t="s">
        <v>1717</v>
      </c>
      <c r="B1100" s="40">
        <v>533.29998779296875</v>
      </c>
      <c r="C1100" s="40">
        <v>416.61331176757813</v>
      </c>
      <c r="D1100" s="38">
        <v>4262594</v>
      </c>
      <c r="E1100" s="38" t="s">
        <v>1669</v>
      </c>
      <c r="F1100" s="38" t="s">
        <v>618</v>
      </c>
    </row>
    <row r="1101" spans="1:6">
      <c r="A1101" s="38" t="s">
        <v>1718</v>
      </c>
      <c r="B1101" s="40">
        <v>535.54998779296875</v>
      </c>
      <c r="C1101" s="40">
        <v>418.3709716796875</v>
      </c>
      <c r="D1101" s="38">
        <v>6139224</v>
      </c>
      <c r="E1101" s="38" t="s">
        <v>1669</v>
      </c>
      <c r="F1101" s="38" t="s">
        <v>618</v>
      </c>
    </row>
    <row r="1102" spans="1:6">
      <c r="A1102" s="38" t="s">
        <v>1719</v>
      </c>
      <c r="B1102" s="40">
        <v>535.9000244140625</v>
      </c>
      <c r="C1102" s="40">
        <v>418.64450073242188</v>
      </c>
      <c r="D1102" s="38">
        <v>2658663</v>
      </c>
      <c r="E1102" s="38" t="s">
        <v>1669</v>
      </c>
      <c r="F1102" s="38" t="s">
        <v>618</v>
      </c>
    </row>
    <row r="1103" spans="1:6">
      <c r="A1103" s="38" t="s">
        <v>1720</v>
      </c>
      <c r="B1103" s="40">
        <v>538.8499755859375</v>
      </c>
      <c r="C1103" s="40">
        <v>420.948974609375</v>
      </c>
      <c r="D1103" s="38">
        <v>5570067</v>
      </c>
      <c r="E1103" s="38" t="s">
        <v>1669</v>
      </c>
      <c r="F1103" s="38" t="s">
        <v>618</v>
      </c>
    </row>
    <row r="1104" spans="1:6">
      <c r="A1104" s="38" t="s">
        <v>1721</v>
      </c>
      <c r="B1104" s="40">
        <v>548.5</v>
      </c>
      <c r="C1104" s="40">
        <v>428.48748779296875</v>
      </c>
      <c r="D1104" s="38">
        <v>4352621</v>
      </c>
      <c r="E1104" s="38" t="s">
        <v>1669</v>
      </c>
      <c r="F1104" s="38" t="s">
        <v>618</v>
      </c>
    </row>
    <row r="1105" spans="1:6">
      <c r="A1105" s="38" t="s">
        <v>1722</v>
      </c>
      <c r="B1105" s="40">
        <v>558.79998779296875</v>
      </c>
      <c r="C1105" s="40">
        <v>436.53387451171875</v>
      </c>
      <c r="D1105" s="38">
        <v>4438315</v>
      </c>
      <c r="E1105" s="38" t="s">
        <v>1669</v>
      </c>
      <c r="F1105" s="38" t="s">
        <v>618</v>
      </c>
    </row>
    <row r="1106" spans="1:6">
      <c r="A1106" s="38" t="s">
        <v>1723</v>
      </c>
      <c r="B1106" s="40">
        <v>560.95001220703125</v>
      </c>
      <c r="C1106" s="40">
        <v>438.21347045898438</v>
      </c>
      <c r="D1106" s="38">
        <v>3500477</v>
      </c>
      <c r="E1106" s="38" t="s">
        <v>1669</v>
      </c>
      <c r="F1106" s="38" t="s">
        <v>618</v>
      </c>
    </row>
    <row r="1107" spans="1:6">
      <c r="A1107" s="38" t="s">
        <v>1724</v>
      </c>
      <c r="B1107" s="40">
        <v>554.1500244140625</v>
      </c>
      <c r="C1107" s="40">
        <v>432.90130615234375</v>
      </c>
      <c r="D1107" s="38">
        <v>2386979</v>
      </c>
      <c r="E1107" s="38" t="s">
        <v>1669</v>
      </c>
      <c r="F1107" s="38" t="s">
        <v>618</v>
      </c>
    </row>
    <row r="1108" spans="1:6">
      <c r="A1108" s="38" t="s">
        <v>1725</v>
      </c>
      <c r="B1108" s="40">
        <v>560.8499755859375</v>
      </c>
      <c r="C1108" s="40">
        <v>438.13528442382813</v>
      </c>
      <c r="D1108" s="38">
        <v>5288935</v>
      </c>
      <c r="E1108" s="38" t="s">
        <v>1669</v>
      </c>
      <c r="F1108" s="38" t="s">
        <v>618</v>
      </c>
    </row>
    <row r="1109" spans="1:6">
      <c r="A1109" s="38" t="s">
        <v>1726</v>
      </c>
      <c r="B1109" s="40">
        <v>541.54998779296875</v>
      </c>
      <c r="C1109" s="40">
        <v>423.0582275390625</v>
      </c>
      <c r="D1109" s="38">
        <v>3304988</v>
      </c>
      <c r="E1109" s="38" t="s">
        <v>1669</v>
      </c>
      <c r="F1109" s="38" t="s">
        <v>618</v>
      </c>
    </row>
    <row r="1110" spans="1:6">
      <c r="A1110" s="38" t="s">
        <v>1727</v>
      </c>
      <c r="B1110" s="40">
        <v>543.4000244140625</v>
      </c>
      <c r="C1110" s="40">
        <v>424.50341796875</v>
      </c>
      <c r="D1110" s="38">
        <v>2356985</v>
      </c>
      <c r="E1110" s="38" t="s">
        <v>1669</v>
      </c>
      <c r="F1110" s="38" t="s">
        <v>618</v>
      </c>
    </row>
    <row r="1111" spans="1:6">
      <c r="A1111" s="38" t="s">
        <v>1728</v>
      </c>
      <c r="B1111" s="40">
        <v>545.9000244140625</v>
      </c>
      <c r="C1111" s="40">
        <v>426.45639038085938</v>
      </c>
      <c r="D1111" s="38">
        <v>3662491</v>
      </c>
      <c r="E1111" s="38" t="s">
        <v>1669</v>
      </c>
      <c r="F1111" s="38" t="s">
        <v>618</v>
      </c>
    </row>
    <row r="1112" spans="1:6">
      <c r="A1112" s="38" t="s">
        <v>1729</v>
      </c>
      <c r="B1112" s="40">
        <v>560.8499755859375</v>
      </c>
      <c r="C1112" s="40">
        <v>438.13528442382813</v>
      </c>
      <c r="D1112" s="38">
        <v>5966748</v>
      </c>
      <c r="E1112" s="38" t="s">
        <v>1669</v>
      </c>
      <c r="F1112" s="38" t="s">
        <v>618</v>
      </c>
    </row>
    <row r="1113" spans="1:6">
      <c r="A1113" s="38" t="s">
        <v>1730</v>
      </c>
      <c r="B1113" s="40">
        <v>567.20001220703125</v>
      </c>
      <c r="C1113" s="40">
        <v>443.09597778320313</v>
      </c>
      <c r="D1113" s="38">
        <v>4007490</v>
      </c>
      <c r="E1113" s="38" t="s">
        <v>1669</v>
      </c>
      <c r="F1113" s="38" t="s">
        <v>618</v>
      </c>
    </row>
    <row r="1114" spans="1:6">
      <c r="A1114" s="38" t="s">
        <v>1731</v>
      </c>
      <c r="B1114" s="40">
        <v>581.54998779296875</v>
      </c>
      <c r="C1114" s="40">
        <v>454.30612182617188</v>
      </c>
      <c r="D1114" s="38">
        <v>4909636</v>
      </c>
      <c r="E1114" s="38" t="s">
        <v>1669</v>
      </c>
      <c r="F1114" s="38" t="s">
        <v>618</v>
      </c>
    </row>
    <row r="1115" spans="1:6">
      <c r="A1115" s="38" t="s">
        <v>1732</v>
      </c>
      <c r="B1115" s="40">
        <v>586.8499755859375</v>
      </c>
      <c r="C1115" s="40">
        <v>458.446533203125</v>
      </c>
      <c r="D1115" s="38">
        <v>5126702</v>
      </c>
      <c r="E1115" s="38" t="s">
        <v>1669</v>
      </c>
      <c r="F1115" s="38" t="s">
        <v>618</v>
      </c>
    </row>
    <row r="1116" spans="1:6">
      <c r="A1116" s="38" t="s">
        <v>1733</v>
      </c>
      <c r="B1116" s="40">
        <v>583.45001220703125</v>
      </c>
      <c r="C1116" s="40">
        <v>455.79049682617188</v>
      </c>
      <c r="D1116" s="38">
        <v>3391014</v>
      </c>
      <c r="E1116" s="38" t="s">
        <v>1669</v>
      </c>
      <c r="F1116" s="38" t="s">
        <v>618</v>
      </c>
    </row>
    <row r="1117" spans="1:6">
      <c r="A1117" s="38" t="s">
        <v>1734</v>
      </c>
      <c r="B1117" s="40">
        <v>577.29998779296875</v>
      </c>
      <c r="C1117" s="40">
        <v>450.98602294921875</v>
      </c>
      <c r="D1117" s="38">
        <v>2498146</v>
      </c>
      <c r="E1117" s="38" t="s">
        <v>1669</v>
      </c>
      <c r="F1117" s="38" t="s">
        <v>618</v>
      </c>
    </row>
    <row r="1118" spans="1:6">
      <c r="A1118" s="38" t="s">
        <v>1735</v>
      </c>
      <c r="B1118" s="40">
        <v>569</v>
      </c>
      <c r="C1118" s="40">
        <v>444.50210571289063</v>
      </c>
      <c r="D1118" s="38">
        <v>3959401</v>
      </c>
      <c r="E1118" s="38" t="s">
        <v>1669</v>
      </c>
      <c r="F1118" s="38" t="s">
        <v>618</v>
      </c>
    </row>
    <row r="1119" spans="1:6">
      <c r="A1119" s="38" t="s">
        <v>1736</v>
      </c>
      <c r="B1119" s="40">
        <v>600.04998779296875</v>
      </c>
      <c r="C1119" s="40">
        <v>468.7584228515625</v>
      </c>
      <c r="D1119" s="38">
        <v>11008252</v>
      </c>
      <c r="E1119" s="38" t="s">
        <v>1669</v>
      </c>
      <c r="F1119" s="38" t="s">
        <v>618</v>
      </c>
    </row>
    <row r="1120" spans="1:6">
      <c r="A1120" s="38" t="s">
        <v>1737</v>
      </c>
      <c r="B1120" s="40">
        <v>598.29998779296875</v>
      </c>
      <c r="C1120" s="40">
        <v>467.39114379882813</v>
      </c>
      <c r="D1120" s="38">
        <v>5525588</v>
      </c>
      <c r="E1120" s="38" t="s">
        <v>1669</v>
      </c>
      <c r="F1120" s="38" t="s">
        <v>618</v>
      </c>
    </row>
    <row r="1121" spans="1:6">
      <c r="A1121" s="38" t="s">
        <v>1738</v>
      </c>
      <c r="B1121" s="40">
        <v>615.29998779296875</v>
      </c>
      <c r="C1121" s="40">
        <v>480.67172241210938</v>
      </c>
      <c r="D1121" s="38">
        <v>11907668</v>
      </c>
      <c r="E1121" s="38" t="s">
        <v>1669</v>
      </c>
      <c r="F1121" s="38" t="s">
        <v>618</v>
      </c>
    </row>
    <row r="1122" spans="1:6">
      <c r="A1122" s="38" t="s">
        <v>1739</v>
      </c>
      <c r="B1122" s="40">
        <v>599.4000244140625</v>
      </c>
      <c r="C1122" s="40">
        <v>468.2506103515625</v>
      </c>
      <c r="D1122" s="38">
        <v>13009798</v>
      </c>
      <c r="E1122" s="38" t="s">
        <v>1669</v>
      </c>
      <c r="F1122" s="38" t="s">
        <v>618</v>
      </c>
    </row>
    <row r="1123" spans="1:6">
      <c r="A1123" s="38" t="s">
        <v>1740</v>
      </c>
      <c r="B1123" s="40">
        <v>599.70001220703125</v>
      </c>
      <c r="C1123" s="40">
        <v>468.48489379882813</v>
      </c>
      <c r="D1123" s="38">
        <v>3307397</v>
      </c>
      <c r="E1123" s="38" t="s">
        <v>1669</v>
      </c>
      <c r="F1123" s="38" t="s">
        <v>618</v>
      </c>
    </row>
    <row r="1124" spans="1:6">
      <c r="A1124" s="38" t="s">
        <v>1741</v>
      </c>
      <c r="B1124" s="40">
        <v>622.8499755859375</v>
      </c>
      <c r="C1124" s="40">
        <v>486.569580078125</v>
      </c>
      <c r="D1124" s="38">
        <v>5461610</v>
      </c>
      <c r="E1124" s="38" t="s">
        <v>1669</v>
      </c>
      <c r="F1124" s="38" t="s">
        <v>618</v>
      </c>
    </row>
    <row r="1125" spans="1:6">
      <c r="A1125" s="38" t="s">
        <v>1742</v>
      </c>
      <c r="B1125" s="40">
        <v>620.70001220703125</v>
      </c>
      <c r="C1125" s="40">
        <v>484.89010620117188</v>
      </c>
      <c r="D1125" s="38">
        <v>4218944</v>
      </c>
      <c r="E1125" s="38" t="s">
        <v>1669</v>
      </c>
      <c r="F1125" s="38" t="s">
        <v>618</v>
      </c>
    </row>
    <row r="1126" spans="1:6">
      <c r="A1126" s="38" t="s">
        <v>1743</v>
      </c>
      <c r="B1126" s="40">
        <v>617.95001220703125</v>
      </c>
      <c r="C1126" s="40">
        <v>482.74179077148438</v>
      </c>
      <c r="D1126" s="38">
        <v>2879564</v>
      </c>
      <c r="E1126" s="38" t="s">
        <v>1669</v>
      </c>
      <c r="F1126" s="38" t="s">
        <v>618</v>
      </c>
    </row>
    <row r="1127" spans="1:6">
      <c r="A1127" s="38" t="s">
        <v>1744</v>
      </c>
      <c r="B1127" s="40">
        <v>632.45001220703125</v>
      </c>
      <c r="C1127" s="40">
        <v>498.09945678710938</v>
      </c>
      <c r="D1127" s="38">
        <v>5038587</v>
      </c>
      <c r="E1127" s="38" t="s">
        <v>1669</v>
      </c>
      <c r="F1127" s="38" t="s">
        <v>618</v>
      </c>
    </row>
    <row r="1128" spans="1:6">
      <c r="A1128" s="38" t="s">
        <v>1745</v>
      </c>
      <c r="B1128" s="40">
        <v>652.5999755859375</v>
      </c>
      <c r="C1128" s="40">
        <v>513.968994140625</v>
      </c>
      <c r="D1128" s="38">
        <v>12276883</v>
      </c>
      <c r="E1128" s="38" t="s">
        <v>1669</v>
      </c>
      <c r="F1128" s="38" t="s">
        <v>618</v>
      </c>
    </row>
    <row r="1129" spans="1:6">
      <c r="A1129" s="38" t="s">
        <v>1746</v>
      </c>
      <c r="B1129" s="40">
        <v>664.54998779296875</v>
      </c>
      <c r="C1129" s="40">
        <v>523.3804931640625</v>
      </c>
      <c r="D1129" s="38">
        <v>11521949</v>
      </c>
      <c r="E1129" s="38" t="s">
        <v>1669</v>
      </c>
      <c r="F1129" s="38" t="s">
        <v>618</v>
      </c>
    </row>
    <row r="1130" spans="1:6">
      <c r="A1130" s="38" t="s">
        <v>1747</v>
      </c>
      <c r="B1130" s="40">
        <v>684.3499755859375</v>
      </c>
      <c r="C1130" s="40">
        <v>538.974365234375</v>
      </c>
      <c r="D1130" s="38">
        <v>23296517</v>
      </c>
      <c r="E1130" s="38" t="s">
        <v>1669</v>
      </c>
      <c r="F1130" s="38" t="s">
        <v>618</v>
      </c>
    </row>
    <row r="1131" spans="1:6">
      <c r="A1131" s="38" t="s">
        <v>1748</v>
      </c>
      <c r="B1131" s="40">
        <v>676.4000244140625</v>
      </c>
      <c r="C1131" s="40">
        <v>532.71319580078125</v>
      </c>
      <c r="D1131" s="38">
        <v>5436716</v>
      </c>
      <c r="E1131" s="38" t="s">
        <v>1669</v>
      </c>
      <c r="F1131" s="38" t="s">
        <v>618</v>
      </c>
    </row>
    <row r="1132" spans="1:6">
      <c r="A1132" s="38" t="s">
        <v>1749</v>
      </c>
      <c r="B1132" s="40">
        <v>674.75</v>
      </c>
      <c r="C1132" s="40">
        <v>531.41375732421875</v>
      </c>
      <c r="D1132" s="38">
        <v>5126995</v>
      </c>
      <c r="E1132" s="38" t="s">
        <v>1669</v>
      </c>
      <c r="F1132" s="38" t="s">
        <v>618</v>
      </c>
    </row>
    <row r="1133" spans="1:6">
      <c r="A1133" s="38" t="s">
        <v>1750</v>
      </c>
      <c r="B1133" s="40">
        <v>681.6500244140625</v>
      </c>
      <c r="C1133" s="40">
        <v>536.84796142578125</v>
      </c>
      <c r="D1133" s="38">
        <v>3114793</v>
      </c>
      <c r="E1133" s="38" t="s">
        <v>1669</v>
      </c>
      <c r="F1133" s="38" t="s">
        <v>618</v>
      </c>
    </row>
    <row r="1134" spans="1:6">
      <c r="A1134" s="38" t="s">
        <v>1751</v>
      </c>
      <c r="B1134" s="40">
        <v>673.5999755859375</v>
      </c>
      <c r="C1134" s="40">
        <v>530.50787353515625</v>
      </c>
      <c r="D1134" s="38">
        <v>3092967</v>
      </c>
      <c r="E1134" s="38" t="s">
        <v>1669</v>
      </c>
      <c r="F1134" s="38" t="s">
        <v>618</v>
      </c>
    </row>
    <row r="1135" spans="1:6">
      <c r="A1135" s="38" t="s">
        <v>1752</v>
      </c>
      <c r="B1135" s="40">
        <v>652.6500244140625</v>
      </c>
      <c r="C1135" s="40">
        <v>514.0084228515625</v>
      </c>
      <c r="D1135" s="38">
        <v>5559046</v>
      </c>
      <c r="E1135" s="38" t="s">
        <v>1669</v>
      </c>
      <c r="F1135" s="38" t="s">
        <v>618</v>
      </c>
    </row>
    <row r="1136" spans="1:6">
      <c r="A1136" s="38" t="s">
        <v>1753</v>
      </c>
      <c r="B1136" s="40">
        <v>648.54998779296875</v>
      </c>
      <c r="C1136" s="40">
        <v>510.77938842773438</v>
      </c>
      <c r="D1136" s="38">
        <v>5139353</v>
      </c>
      <c r="E1136" s="38" t="s">
        <v>1669</v>
      </c>
      <c r="F1136" s="38" t="s">
        <v>618</v>
      </c>
    </row>
    <row r="1137" spans="1:6">
      <c r="A1137" s="38" t="s">
        <v>1754</v>
      </c>
      <c r="B1137" s="40">
        <v>660.3499755859375</v>
      </c>
      <c r="C1137" s="40">
        <v>520.0726318359375</v>
      </c>
      <c r="D1137" s="38">
        <v>8644001</v>
      </c>
      <c r="E1137" s="38" t="s">
        <v>1669</v>
      </c>
      <c r="F1137" s="38" t="s">
        <v>618</v>
      </c>
    </row>
    <row r="1138" spans="1:6">
      <c r="A1138" s="38" t="s">
        <v>1755</v>
      </c>
      <c r="B1138" s="40">
        <v>662.45001220703125</v>
      </c>
      <c r="C1138" s="40">
        <v>521.72662353515625</v>
      </c>
      <c r="D1138" s="38">
        <v>3823897</v>
      </c>
      <c r="E1138" s="38" t="s">
        <v>1669</v>
      </c>
      <c r="F1138" s="38" t="s">
        <v>618</v>
      </c>
    </row>
    <row r="1139" spans="1:6">
      <c r="A1139" s="38" t="s">
        <v>1756</v>
      </c>
      <c r="B1139" s="40">
        <v>681.8499755859375</v>
      </c>
      <c r="C1139" s="40">
        <v>537.00543212890625</v>
      </c>
      <c r="D1139" s="38">
        <v>5362182</v>
      </c>
      <c r="E1139" s="38" t="s">
        <v>1669</v>
      </c>
      <c r="F1139" s="38" t="s">
        <v>618</v>
      </c>
    </row>
    <row r="1140" spans="1:6">
      <c r="A1140" s="38" t="s">
        <v>1757</v>
      </c>
      <c r="B1140" s="40">
        <v>674.79998779296875</v>
      </c>
      <c r="C1140" s="40">
        <v>531.45306396484375</v>
      </c>
      <c r="D1140" s="38">
        <v>4331864</v>
      </c>
      <c r="E1140" s="38" t="s">
        <v>1669</v>
      </c>
      <c r="F1140" s="38" t="s">
        <v>618</v>
      </c>
    </row>
    <row r="1141" spans="1:6">
      <c r="A1141" s="38" t="s">
        <v>1758</v>
      </c>
      <c r="B1141" s="40">
        <v>692.04998779296875</v>
      </c>
      <c r="C1141" s="40">
        <v>545.03863525390625</v>
      </c>
      <c r="D1141" s="38">
        <v>4355435</v>
      </c>
      <c r="E1141" s="38" t="s">
        <v>1669</v>
      </c>
      <c r="F1141" s="38" t="s">
        <v>618</v>
      </c>
    </row>
    <row r="1142" spans="1:6">
      <c r="A1142" s="38" t="s">
        <v>1759</v>
      </c>
      <c r="B1142" s="40">
        <v>697.04998779296875</v>
      </c>
      <c r="C1142" s="40">
        <v>548.97662353515625</v>
      </c>
      <c r="D1142" s="38">
        <v>7108877</v>
      </c>
      <c r="E1142" s="38" t="s">
        <v>1669</v>
      </c>
      <c r="F1142" s="38" t="s">
        <v>618</v>
      </c>
    </row>
    <row r="1143" spans="1:6">
      <c r="A1143" s="38" t="s">
        <v>1760</v>
      </c>
      <c r="B1143" s="40">
        <v>695.9000244140625</v>
      </c>
      <c r="C1143" s="40">
        <v>548.07080078125</v>
      </c>
      <c r="D1143" s="38">
        <v>6476545</v>
      </c>
      <c r="E1143" s="38" t="s">
        <v>1669</v>
      </c>
      <c r="F1143" s="38" t="s">
        <v>618</v>
      </c>
    </row>
    <row r="1144" spans="1:6">
      <c r="A1144" s="38" t="s">
        <v>1761</v>
      </c>
      <c r="B1144" s="40">
        <v>721.04998779296875</v>
      </c>
      <c r="C1144" s="40">
        <v>567.8782958984375</v>
      </c>
      <c r="D1144" s="38">
        <v>7657241</v>
      </c>
      <c r="E1144" s="38" t="s">
        <v>1669</v>
      </c>
      <c r="F1144" s="38" t="s">
        <v>618</v>
      </c>
    </row>
    <row r="1145" spans="1:6">
      <c r="A1145" s="38" t="s">
        <v>1762</v>
      </c>
      <c r="B1145" s="40">
        <v>713.04998779296875</v>
      </c>
      <c r="C1145" s="40">
        <v>561.57763671875</v>
      </c>
      <c r="D1145" s="38">
        <v>4752247</v>
      </c>
      <c r="E1145" s="38" t="s">
        <v>1669</v>
      </c>
      <c r="F1145" s="38" t="s">
        <v>618</v>
      </c>
    </row>
    <row r="1146" spans="1:6">
      <c r="A1146" s="38" t="s">
        <v>1763</v>
      </c>
      <c r="B1146" s="40">
        <v>726.70001220703125</v>
      </c>
      <c r="C1146" s="40">
        <v>572.32794189453125</v>
      </c>
      <c r="D1146" s="38">
        <v>6506907</v>
      </c>
      <c r="E1146" s="38" t="s">
        <v>1669</v>
      </c>
      <c r="F1146" s="38" t="s">
        <v>618</v>
      </c>
    </row>
    <row r="1147" spans="1:6">
      <c r="A1147" s="38" t="s">
        <v>1764</v>
      </c>
      <c r="B1147" s="40">
        <v>726.4000244140625</v>
      </c>
      <c r="C1147" s="40">
        <v>572.09173583984375</v>
      </c>
      <c r="D1147" s="38">
        <v>6610632</v>
      </c>
      <c r="E1147" s="38" t="s">
        <v>1669</v>
      </c>
      <c r="F1147" s="38" t="s">
        <v>618</v>
      </c>
    </row>
    <row r="1148" spans="1:6">
      <c r="A1148" s="38" t="s">
        <v>1765</v>
      </c>
      <c r="B1148" s="40">
        <v>732.5999755859375</v>
      </c>
      <c r="C1148" s="40">
        <v>576.974609375</v>
      </c>
      <c r="D1148" s="38">
        <v>4207706</v>
      </c>
      <c r="E1148" s="38" t="s">
        <v>1669</v>
      </c>
      <c r="F1148" s="38" t="s">
        <v>618</v>
      </c>
    </row>
    <row r="1149" spans="1:6">
      <c r="A1149" s="38" t="s">
        <v>1766</v>
      </c>
      <c r="B1149" s="40">
        <v>722.5</v>
      </c>
      <c r="C1149" s="40">
        <v>569.0201416015625</v>
      </c>
      <c r="D1149" s="38">
        <v>2385907</v>
      </c>
      <c r="E1149" s="38" t="s">
        <v>1669</v>
      </c>
      <c r="F1149" s="38" t="s">
        <v>618</v>
      </c>
    </row>
    <row r="1150" spans="1:6">
      <c r="A1150" s="38" t="s">
        <v>1767</v>
      </c>
      <c r="B1150" s="40">
        <v>738.5999755859375</v>
      </c>
      <c r="C1150" s="40">
        <v>581.7000732421875</v>
      </c>
      <c r="D1150" s="38">
        <v>4585917</v>
      </c>
      <c r="E1150" s="38" t="s">
        <v>1669</v>
      </c>
      <c r="F1150" s="38" t="s">
        <v>618</v>
      </c>
    </row>
    <row r="1151" spans="1:6">
      <c r="A1151" s="38" t="s">
        <v>1768</v>
      </c>
      <c r="B1151" s="40">
        <v>732.8499755859375</v>
      </c>
      <c r="C1151" s="40">
        <v>577.17156982421875</v>
      </c>
      <c r="D1151" s="38">
        <v>3157074</v>
      </c>
      <c r="E1151" s="38" t="s">
        <v>1669</v>
      </c>
      <c r="F1151" s="38" t="s">
        <v>618</v>
      </c>
    </row>
    <row r="1152" spans="1:6">
      <c r="A1152" s="38" t="s">
        <v>1769</v>
      </c>
      <c r="B1152" s="40">
        <v>735.5999755859375</v>
      </c>
      <c r="C1152" s="40">
        <v>579.33734130859375</v>
      </c>
      <c r="D1152" s="38">
        <v>3207076</v>
      </c>
      <c r="E1152" s="38" t="s">
        <v>1669</v>
      </c>
      <c r="F1152" s="38" t="s">
        <v>618</v>
      </c>
    </row>
    <row r="1153" spans="1:6">
      <c r="A1153" s="38" t="s">
        <v>1770</v>
      </c>
      <c r="B1153" s="40">
        <v>752.3499755859375</v>
      </c>
      <c r="C1153" s="40">
        <v>592.52923583984375</v>
      </c>
      <c r="D1153" s="38">
        <v>4223327</v>
      </c>
      <c r="E1153" s="38" t="s">
        <v>1669</v>
      </c>
      <c r="F1153" s="38" t="s">
        <v>618</v>
      </c>
    </row>
    <row r="1154" spans="1:6">
      <c r="A1154" s="38" t="s">
        <v>1771</v>
      </c>
      <c r="B1154" s="40">
        <v>741</v>
      </c>
      <c r="C1154" s="40">
        <v>583.5902099609375</v>
      </c>
      <c r="D1154" s="38">
        <v>7224350</v>
      </c>
      <c r="E1154" s="38" t="s">
        <v>1669</v>
      </c>
      <c r="F1154" s="38" t="s">
        <v>618</v>
      </c>
    </row>
    <row r="1155" spans="1:6">
      <c r="A1155" s="38" t="s">
        <v>1772</v>
      </c>
      <c r="B1155" s="40">
        <v>727.8499755859375</v>
      </c>
      <c r="C1155" s="40">
        <v>573.233642578125</v>
      </c>
      <c r="D1155" s="38">
        <v>3563888</v>
      </c>
      <c r="E1155" s="38" t="s">
        <v>1669</v>
      </c>
      <c r="F1155" s="38" t="s">
        <v>618</v>
      </c>
    </row>
    <row r="1156" spans="1:6">
      <c r="A1156" s="38" t="s">
        <v>1773</v>
      </c>
      <c r="B1156" s="40">
        <v>735.20001220703125</v>
      </c>
      <c r="C1156" s="40">
        <v>579.0224609375</v>
      </c>
      <c r="D1156" s="38">
        <v>3467486</v>
      </c>
      <c r="E1156" s="38" t="s">
        <v>1669</v>
      </c>
      <c r="F1156" s="38" t="s">
        <v>618</v>
      </c>
    </row>
    <row r="1157" spans="1:6">
      <c r="A1157" s="38" t="s">
        <v>1774</v>
      </c>
      <c r="B1157" s="40">
        <v>759.54998779296875</v>
      </c>
      <c r="C1157" s="40">
        <v>598.1995849609375</v>
      </c>
      <c r="D1157" s="38">
        <v>4606227</v>
      </c>
      <c r="E1157" s="38" t="s">
        <v>1669</v>
      </c>
      <c r="F1157" s="38" t="s">
        <v>618</v>
      </c>
    </row>
    <row r="1158" spans="1:6">
      <c r="A1158" s="38" t="s">
        <v>1775</v>
      </c>
      <c r="B1158" s="40">
        <v>748.20001220703125</v>
      </c>
      <c r="C1158" s="40">
        <v>589.26080322265625</v>
      </c>
      <c r="D1158" s="38">
        <v>2954845</v>
      </c>
      <c r="E1158" s="38" t="s">
        <v>1669</v>
      </c>
      <c r="F1158" s="38" t="s">
        <v>618</v>
      </c>
    </row>
    <row r="1159" spans="1:6">
      <c r="A1159" s="38" t="s">
        <v>1776</v>
      </c>
      <c r="B1159" s="40">
        <v>747.0999755859375</v>
      </c>
      <c r="C1159" s="40">
        <v>588.39434814453125</v>
      </c>
      <c r="D1159" s="38">
        <v>3367905</v>
      </c>
      <c r="E1159" s="38" t="s">
        <v>1669</v>
      </c>
      <c r="F1159" s="38" t="s">
        <v>618</v>
      </c>
    </row>
    <row r="1160" spans="1:6">
      <c r="A1160" s="38" t="s">
        <v>1777</v>
      </c>
      <c r="B1160" s="40">
        <v>752.25</v>
      </c>
      <c r="C1160" s="40">
        <v>592.45050048828125</v>
      </c>
      <c r="D1160" s="38">
        <v>5237241</v>
      </c>
      <c r="E1160" s="38" t="s">
        <v>1669</v>
      </c>
      <c r="F1160" s="38" t="s">
        <v>618</v>
      </c>
    </row>
    <row r="1161" spans="1:6">
      <c r="A1161" s="38" t="s">
        <v>1778</v>
      </c>
      <c r="B1161" s="40">
        <v>753.3499755859375</v>
      </c>
      <c r="C1161" s="40">
        <v>593.31671142578125</v>
      </c>
      <c r="D1161" s="38">
        <v>3038259</v>
      </c>
      <c r="E1161" s="38" t="s">
        <v>1669</v>
      </c>
      <c r="F1161" s="38" t="s">
        <v>618</v>
      </c>
    </row>
    <row r="1162" spans="1:6">
      <c r="A1162" s="38" t="s">
        <v>1779</v>
      </c>
      <c r="B1162" s="40">
        <v>750</v>
      </c>
      <c r="C1162" s="40">
        <v>590.678466796875</v>
      </c>
      <c r="D1162" s="38">
        <v>3737568</v>
      </c>
      <c r="E1162" s="38" t="s">
        <v>1669</v>
      </c>
      <c r="F1162" s="38" t="s">
        <v>618</v>
      </c>
    </row>
    <row r="1163" spans="1:6">
      <c r="A1163" s="38" t="s">
        <v>1780</v>
      </c>
      <c r="B1163" s="40">
        <v>765.1500244140625</v>
      </c>
      <c r="C1163" s="40">
        <v>602.61016845703125</v>
      </c>
      <c r="D1163" s="38">
        <v>4917946</v>
      </c>
      <c r="E1163" s="38" t="s">
        <v>1669</v>
      </c>
      <c r="F1163" s="38" t="s">
        <v>618</v>
      </c>
    </row>
    <row r="1164" spans="1:6">
      <c r="A1164" s="38" t="s">
        <v>1781</v>
      </c>
      <c r="B1164" s="40">
        <v>790.75</v>
      </c>
      <c r="C1164" s="40">
        <v>622.77203369140625</v>
      </c>
      <c r="D1164" s="38">
        <v>9021887</v>
      </c>
      <c r="E1164" s="38" t="s">
        <v>1669</v>
      </c>
      <c r="F1164" s="38" t="s">
        <v>618</v>
      </c>
    </row>
    <row r="1165" spans="1:6">
      <c r="A1165" s="38" t="s">
        <v>1782</v>
      </c>
      <c r="B1165" s="40">
        <v>791.1500244140625</v>
      </c>
      <c r="C1165" s="40">
        <v>623.08697509765625</v>
      </c>
      <c r="D1165" s="38">
        <v>6339704</v>
      </c>
      <c r="E1165" s="38" t="s">
        <v>1669</v>
      </c>
      <c r="F1165" s="38" t="s">
        <v>618</v>
      </c>
    </row>
    <row r="1166" spans="1:6">
      <c r="A1166" s="38" t="s">
        <v>1783</v>
      </c>
      <c r="B1166" s="40">
        <v>792</v>
      </c>
      <c r="C1166" s="40">
        <v>623.75640869140625</v>
      </c>
      <c r="D1166" s="38">
        <v>4279003</v>
      </c>
      <c r="E1166" s="38" t="s">
        <v>1669</v>
      </c>
      <c r="F1166" s="38" t="s">
        <v>618</v>
      </c>
    </row>
    <row r="1167" spans="1:6">
      <c r="A1167" s="38" t="s">
        <v>1784</v>
      </c>
      <c r="B1167" s="40">
        <v>786.95001220703125</v>
      </c>
      <c r="C1167" s="40">
        <v>619.77923583984375</v>
      </c>
      <c r="D1167" s="38">
        <v>7591219</v>
      </c>
      <c r="E1167" s="38" t="s">
        <v>1669</v>
      </c>
      <c r="F1167" s="38" t="s">
        <v>618</v>
      </c>
    </row>
    <row r="1168" spans="1:6">
      <c r="A1168" s="38" t="s">
        <v>1785</v>
      </c>
      <c r="B1168" s="40">
        <v>804.6500244140625</v>
      </c>
      <c r="C1168" s="40">
        <v>633.71923828125</v>
      </c>
      <c r="D1168" s="38">
        <v>6281494</v>
      </c>
      <c r="E1168" s="38" t="s">
        <v>1669</v>
      </c>
      <c r="F1168" s="38" t="s">
        <v>618</v>
      </c>
    </row>
    <row r="1169" spans="1:6">
      <c r="A1169" s="38" t="s">
        <v>1786</v>
      </c>
      <c r="B1169" s="40">
        <v>787.25</v>
      </c>
      <c r="C1169" s="40">
        <v>620.0155029296875</v>
      </c>
      <c r="D1169" s="38">
        <v>10789179</v>
      </c>
      <c r="E1169" s="38" t="s">
        <v>1669</v>
      </c>
      <c r="F1169" s="38" t="s">
        <v>618</v>
      </c>
    </row>
    <row r="1170" spans="1:6">
      <c r="A1170" s="38" t="s">
        <v>1787</v>
      </c>
      <c r="B1170" s="40">
        <v>800.45001220703125</v>
      </c>
      <c r="C1170" s="40">
        <v>630.41143798828125</v>
      </c>
      <c r="D1170" s="38">
        <v>9053623</v>
      </c>
      <c r="E1170" s="38" t="s">
        <v>1669</v>
      </c>
      <c r="F1170" s="38" t="s">
        <v>618</v>
      </c>
    </row>
    <row r="1171" spans="1:6">
      <c r="A1171" s="38" t="s">
        <v>1788</v>
      </c>
      <c r="B1171" s="40">
        <v>793.04998779296875</v>
      </c>
      <c r="C1171" s="40">
        <v>624.58331298828125</v>
      </c>
      <c r="D1171" s="38">
        <v>6091530</v>
      </c>
      <c r="E1171" s="38" t="s">
        <v>1669</v>
      </c>
      <c r="F1171" s="38" t="s">
        <v>618</v>
      </c>
    </row>
    <row r="1172" spans="1:6">
      <c r="A1172" s="38" t="s">
        <v>1789</v>
      </c>
      <c r="B1172" s="40">
        <v>751.8499755859375</v>
      </c>
      <c r="C1172" s="40">
        <v>592.13543701171875</v>
      </c>
      <c r="D1172" s="38">
        <v>5929066</v>
      </c>
      <c r="E1172" s="38" t="s">
        <v>1669</v>
      </c>
      <c r="F1172" s="38" t="s">
        <v>618</v>
      </c>
    </row>
    <row r="1173" spans="1:6">
      <c r="A1173" s="38" t="s">
        <v>1790</v>
      </c>
      <c r="B1173" s="40">
        <v>772.3499755859375</v>
      </c>
      <c r="C1173" s="40">
        <v>608.28070068359375</v>
      </c>
      <c r="D1173" s="38">
        <v>6986586</v>
      </c>
      <c r="E1173" s="38" t="s">
        <v>1669</v>
      </c>
      <c r="F1173" s="38" t="s">
        <v>618</v>
      </c>
    </row>
    <row r="1174" spans="1:6">
      <c r="A1174" s="38" t="s">
        <v>1791</v>
      </c>
      <c r="B1174" s="40">
        <v>779.4000244140625</v>
      </c>
      <c r="C1174" s="40">
        <v>613.83306884765625</v>
      </c>
      <c r="D1174" s="38">
        <v>3604366</v>
      </c>
      <c r="E1174" s="38" t="s">
        <v>1669</v>
      </c>
      <c r="F1174" s="38" t="s">
        <v>618</v>
      </c>
    </row>
    <row r="1175" spans="1:6">
      <c r="A1175" s="38" t="s">
        <v>1792</v>
      </c>
      <c r="B1175" s="40">
        <v>768.1500244140625</v>
      </c>
      <c r="C1175" s="40">
        <v>604.97283935546875</v>
      </c>
      <c r="D1175" s="38">
        <v>7041805</v>
      </c>
      <c r="E1175" s="38" t="s">
        <v>1669</v>
      </c>
      <c r="F1175" s="38" t="s">
        <v>618</v>
      </c>
    </row>
    <row r="1176" spans="1:6">
      <c r="A1176" s="38" t="s">
        <v>1793</v>
      </c>
      <c r="B1176" s="40">
        <v>791.75</v>
      </c>
      <c r="C1176" s="40">
        <v>623.5594482421875</v>
      </c>
      <c r="D1176" s="38">
        <v>5433474</v>
      </c>
      <c r="E1176" s="38" t="s">
        <v>1669</v>
      </c>
      <c r="F1176" s="38" t="s">
        <v>618</v>
      </c>
    </row>
    <row r="1177" spans="1:6">
      <c r="A1177" s="38" t="s">
        <v>1794</v>
      </c>
      <c r="B1177" s="40">
        <v>822.5</v>
      </c>
      <c r="C1177" s="40">
        <v>647.77728271484375</v>
      </c>
      <c r="D1177" s="38">
        <v>10104719</v>
      </c>
      <c r="E1177" s="38" t="s">
        <v>1669</v>
      </c>
      <c r="F1177" s="38" t="s">
        <v>618</v>
      </c>
    </row>
    <row r="1178" spans="1:6">
      <c r="A1178" s="38" t="s">
        <v>1795</v>
      </c>
      <c r="B1178" s="40">
        <v>841.25</v>
      </c>
      <c r="C1178" s="40">
        <v>662.5443115234375</v>
      </c>
      <c r="D1178" s="38">
        <v>8551125</v>
      </c>
      <c r="E1178" s="38" t="s">
        <v>1669</v>
      </c>
      <c r="F1178" s="38" t="s">
        <v>618</v>
      </c>
    </row>
    <row r="1179" spans="1:6">
      <c r="A1179" s="38" t="s">
        <v>1796</v>
      </c>
      <c r="B1179" s="40">
        <v>847.4000244140625</v>
      </c>
      <c r="C1179" s="40">
        <v>667.38787841796875</v>
      </c>
      <c r="D1179" s="38">
        <v>4902535</v>
      </c>
      <c r="E1179" s="38" t="s">
        <v>1669</v>
      </c>
      <c r="F1179" s="38" t="s">
        <v>618</v>
      </c>
    </row>
    <row r="1180" spans="1:6">
      <c r="A1180" s="38" t="s">
        <v>1797</v>
      </c>
      <c r="B1180" s="40">
        <v>846.3499755859375</v>
      </c>
      <c r="C1180" s="40">
        <v>666.560791015625</v>
      </c>
      <c r="D1180" s="38">
        <v>3943817</v>
      </c>
      <c r="E1180" s="38" t="s">
        <v>1669</v>
      </c>
      <c r="F1180" s="38" t="s">
        <v>618</v>
      </c>
    </row>
    <row r="1181" spans="1:6">
      <c r="A1181" s="38" t="s">
        <v>1798</v>
      </c>
      <c r="B1181" s="40">
        <v>860.29998779296875</v>
      </c>
      <c r="C1181" s="40">
        <v>677.54754638671875</v>
      </c>
      <c r="D1181" s="38">
        <v>11398839</v>
      </c>
      <c r="E1181" s="38" t="s">
        <v>1669</v>
      </c>
      <c r="F1181" s="38" t="s">
        <v>618</v>
      </c>
    </row>
    <row r="1182" spans="1:6">
      <c r="A1182" s="38" t="s">
        <v>1799</v>
      </c>
      <c r="B1182" s="40">
        <v>854.1500244140625</v>
      </c>
      <c r="C1182" s="40">
        <v>672.7041015625</v>
      </c>
      <c r="D1182" s="38">
        <v>5306496</v>
      </c>
      <c r="E1182" s="38" t="s">
        <v>1669</v>
      </c>
      <c r="F1182" s="38" t="s">
        <v>618</v>
      </c>
    </row>
    <row r="1183" spans="1:6">
      <c r="A1183" s="38" t="s">
        <v>1800</v>
      </c>
      <c r="B1183" s="40">
        <v>856.9000244140625</v>
      </c>
      <c r="C1183" s="40">
        <v>674.8697509765625</v>
      </c>
      <c r="D1183" s="38">
        <v>3343240</v>
      </c>
      <c r="E1183" s="38" t="s">
        <v>1669</v>
      </c>
      <c r="F1183" s="38" t="s">
        <v>618</v>
      </c>
    </row>
    <row r="1184" spans="1:6">
      <c r="A1184" s="38" t="s">
        <v>1801</v>
      </c>
      <c r="B1184" s="40">
        <v>868.20001220703125</v>
      </c>
      <c r="C1184" s="40">
        <v>683.76934814453125</v>
      </c>
      <c r="D1184" s="38">
        <v>7327471</v>
      </c>
      <c r="E1184" s="38" t="s">
        <v>1669</v>
      </c>
      <c r="F1184" s="38" t="s">
        <v>618</v>
      </c>
    </row>
    <row r="1185" spans="1:6">
      <c r="A1185" s="38" t="s">
        <v>1802</v>
      </c>
      <c r="B1185" s="40">
        <v>848.8499755859375</v>
      </c>
      <c r="C1185" s="40">
        <v>668.52978515625</v>
      </c>
      <c r="D1185" s="38">
        <v>5346616</v>
      </c>
      <c r="E1185" s="38" t="s">
        <v>1669</v>
      </c>
      <c r="F1185" s="38" t="s">
        <v>618</v>
      </c>
    </row>
    <row r="1186" spans="1:6">
      <c r="A1186" s="38" t="s">
        <v>1803</v>
      </c>
      <c r="B1186" s="40">
        <v>812.4000244140625</v>
      </c>
      <c r="C1186" s="40">
        <v>639.82293701171875</v>
      </c>
      <c r="D1186" s="38">
        <v>8893099</v>
      </c>
      <c r="E1186" s="38" t="s">
        <v>1669</v>
      </c>
      <c r="F1186" s="38" t="s">
        <v>618</v>
      </c>
    </row>
    <row r="1187" spans="1:6">
      <c r="A1187" s="38" t="s">
        <v>1804</v>
      </c>
      <c r="B1187" s="40">
        <v>822.75</v>
      </c>
      <c r="C1187" s="40">
        <v>647.97418212890625</v>
      </c>
      <c r="D1187" s="38">
        <v>7978964</v>
      </c>
      <c r="E1187" s="38" t="s">
        <v>1669</v>
      </c>
      <c r="F1187" s="38" t="s">
        <v>618</v>
      </c>
    </row>
    <row r="1188" spans="1:6">
      <c r="A1188" s="38" t="s">
        <v>1805</v>
      </c>
      <c r="B1188" s="40">
        <v>824.1500244140625</v>
      </c>
      <c r="C1188" s="40">
        <v>649.0767822265625</v>
      </c>
      <c r="D1188" s="38">
        <v>4558879</v>
      </c>
      <c r="E1188" s="38" t="s">
        <v>1669</v>
      </c>
      <c r="F1188" s="38" t="s">
        <v>618</v>
      </c>
    </row>
    <row r="1189" spans="1:6">
      <c r="A1189" s="38" t="s">
        <v>1806</v>
      </c>
      <c r="B1189" s="40">
        <v>849.8499755859375</v>
      </c>
      <c r="C1189" s="40">
        <v>669.3173828125</v>
      </c>
      <c r="D1189" s="38">
        <v>7382532</v>
      </c>
      <c r="E1189" s="38" t="s">
        <v>1669</v>
      </c>
      <c r="F1189" s="38" t="s">
        <v>618</v>
      </c>
    </row>
    <row r="1190" spans="1:6">
      <c r="A1190" s="38" t="s">
        <v>1807</v>
      </c>
      <c r="B1190" s="40">
        <v>845.9000244140625</v>
      </c>
      <c r="C1190" s="40">
        <v>666.20648193359375</v>
      </c>
      <c r="D1190" s="38">
        <v>4818496</v>
      </c>
      <c r="E1190" s="38" t="s">
        <v>1669</v>
      </c>
      <c r="F1190" s="38" t="s">
        <v>618</v>
      </c>
    </row>
    <row r="1191" spans="1:6">
      <c r="A1191" s="38" t="s">
        <v>1808</v>
      </c>
      <c r="B1191" s="40">
        <v>837.45001220703125</v>
      </c>
      <c r="C1191" s="40">
        <v>659.551513671875</v>
      </c>
      <c r="D1191" s="38">
        <v>3962610</v>
      </c>
      <c r="E1191" s="38" t="s">
        <v>1669</v>
      </c>
      <c r="F1191" s="38" t="s">
        <v>618</v>
      </c>
    </row>
    <row r="1192" spans="1:6">
      <c r="A1192" s="38" t="s">
        <v>1809</v>
      </c>
      <c r="B1192" s="40">
        <v>848.25</v>
      </c>
      <c r="C1192" s="40">
        <v>668.0572509765625</v>
      </c>
      <c r="D1192" s="38">
        <v>7356677</v>
      </c>
      <c r="E1192" s="38" t="s">
        <v>1669</v>
      </c>
      <c r="F1192" s="38" t="s">
        <v>618</v>
      </c>
    </row>
    <row r="1193" spans="1:6">
      <c r="A1193" s="38" t="s">
        <v>1810</v>
      </c>
      <c r="B1193" s="40">
        <v>819.25</v>
      </c>
      <c r="C1193" s="40">
        <v>645.2177734375</v>
      </c>
      <c r="D1193" s="38">
        <v>9770648</v>
      </c>
      <c r="E1193" s="38" t="s">
        <v>1669</v>
      </c>
      <c r="F1193" s="38" t="s">
        <v>618</v>
      </c>
    </row>
    <row r="1194" spans="1:6">
      <c r="A1194" s="38" t="s">
        <v>1811</v>
      </c>
      <c r="B1194" s="40">
        <v>828.6500244140625</v>
      </c>
      <c r="C1194" s="40">
        <v>652.62103271484375</v>
      </c>
      <c r="D1194" s="38">
        <v>5479538</v>
      </c>
      <c r="E1194" s="38" t="s">
        <v>1669</v>
      </c>
      <c r="F1194" s="38" t="s">
        <v>618</v>
      </c>
    </row>
    <row r="1195" spans="1:6">
      <c r="A1195" s="38" t="s">
        <v>1812</v>
      </c>
      <c r="B1195" s="40">
        <v>804.29998779296875</v>
      </c>
      <c r="C1195" s="40">
        <v>633.4434814453125</v>
      </c>
      <c r="D1195" s="38">
        <v>6829067</v>
      </c>
      <c r="E1195" s="38" t="s">
        <v>1669</v>
      </c>
      <c r="F1195" s="38" t="s">
        <v>618</v>
      </c>
    </row>
    <row r="1196" spans="1:6">
      <c r="A1196" s="38" t="s">
        <v>1813</v>
      </c>
      <c r="B1196" s="40">
        <v>804.25</v>
      </c>
      <c r="C1196" s="40">
        <v>657.94525146484375</v>
      </c>
      <c r="D1196" s="38">
        <v>6477299</v>
      </c>
      <c r="E1196" s="38" t="s">
        <v>1669</v>
      </c>
      <c r="F1196" s="38" t="s">
        <v>618</v>
      </c>
    </row>
    <row r="1197" spans="1:6">
      <c r="A1197" s="38" t="s">
        <v>1814</v>
      </c>
      <c r="B1197" s="40">
        <v>813.29998779296875</v>
      </c>
      <c r="C1197" s="40">
        <v>665.348876953125</v>
      </c>
      <c r="D1197" s="38">
        <v>6189261</v>
      </c>
      <c r="E1197" s="38" t="s">
        <v>1669</v>
      </c>
      <c r="F1197" s="38" t="s">
        <v>618</v>
      </c>
    </row>
    <row r="1198" spans="1:6">
      <c r="A1198" s="38" t="s">
        <v>1815</v>
      </c>
      <c r="B1198" s="40">
        <v>814.6500244140625</v>
      </c>
      <c r="C1198" s="40">
        <v>666.4532470703125</v>
      </c>
      <c r="D1198" s="38">
        <v>4433983</v>
      </c>
      <c r="E1198" s="38" t="s">
        <v>1669</v>
      </c>
      <c r="F1198" s="38" t="s">
        <v>618</v>
      </c>
    </row>
    <row r="1199" spans="1:6">
      <c r="A1199" s="38" t="s">
        <v>1816</v>
      </c>
      <c r="B1199" s="40">
        <v>808.0999755859375</v>
      </c>
      <c r="C1199" s="40">
        <v>661.09478759765625</v>
      </c>
      <c r="D1199" s="38">
        <v>4599741</v>
      </c>
      <c r="E1199" s="38" t="s">
        <v>1669</v>
      </c>
      <c r="F1199" s="38" t="s">
        <v>618</v>
      </c>
    </row>
    <row r="1200" spans="1:6">
      <c r="A1200" s="38" t="s">
        <v>1817</v>
      </c>
      <c r="B1200" s="40">
        <v>826.8499755859375</v>
      </c>
      <c r="C1200" s="40">
        <v>676.43389892578125</v>
      </c>
      <c r="D1200" s="38">
        <v>5017595</v>
      </c>
      <c r="E1200" s="38" t="s">
        <v>1669</v>
      </c>
      <c r="F1200" s="38" t="s">
        <v>618</v>
      </c>
    </row>
    <row r="1201" spans="1:6">
      <c r="A1201" s="38" t="s">
        <v>1818</v>
      </c>
      <c r="B1201" s="40">
        <v>840.70001220703125</v>
      </c>
      <c r="C1201" s="40">
        <v>687.76446533203125</v>
      </c>
      <c r="D1201" s="38">
        <v>4269675</v>
      </c>
      <c r="E1201" s="38" t="s">
        <v>1669</v>
      </c>
      <c r="F1201" s="38" t="s">
        <v>618</v>
      </c>
    </row>
    <row r="1202" spans="1:6">
      <c r="A1202" s="38" t="s">
        <v>1819</v>
      </c>
      <c r="B1202" s="40">
        <v>851.1500244140625</v>
      </c>
      <c r="C1202" s="40">
        <v>696.3134765625</v>
      </c>
      <c r="D1202" s="38">
        <v>4123331</v>
      </c>
      <c r="E1202" s="38" t="s">
        <v>1669</v>
      </c>
      <c r="F1202" s="38" t="s">
        <v>618</v>
      </c>
    </row>
    <row r="1203" spans="1:6">
      <c r="A1203" s="38" t="s">
        <v>1820</v>
      </c>
      <c r="B1203" s="40">
        <v>872.75</v>
      </c>
      <c r="C1203" s="40">
        <v>713.9840087890625</v>
      </c>
      <c r="D1203" s="38">
        <v>4297119</v>
      </c>
      <c r="E1203" s="38" t="s">
        <v>1669</v>
      </c>
      <c r="F1203" s="38" t="s">
        <v>618</v>
      </c>
    </row>
    <row r="1204" spans="1:6">
      <c r="A1204" s="38" t="s">
        <v>1821</v>
      </c>
      <c r="B1204" s="40">
        <v>821.29998779296875</v>
      </c>
      <c r="C1204" s="40">
        <v>671.8935546875</v>
      </c>
      <c r="D1204" s="38">
        <v>6889383</v>
      </c>
      <c r="E1204" s="38" t="s">
        <v>1669</v>
      </c>
      <c r="F1204" s="38" t="s">
        <v>618</v>
      </c>
    </row>
    <row r="1205" spans="1:6">
      <c r="A1205" s="38" t="s">
        <v>1822</v>
      </c>
      <c r="B1205" s="40">
        <v>837.5</v>
      </c>
      <c r="C1205" s="40">
        <v>685.14654541015625</v>
      </c>
      <c r="D1205" s="38">
        <v>5387431</v>
      </c>
      <c r="E1205" s="38" t="s">
        <v>1669</v>
      </c>
      <c r="F1205" s="38" t="s">
        <v>618</v>
      </c>
    </row>
    <row r="1206" spans="1:6">
      <c r="A1206" s="38" t="s">
        <v>1823</v>
      </c>
      <c r="B1206" s="40">
        <v>843.25</v>
      </c>
      <c r="C1206" s="40">
        <v>689.85052490234375</v>
      </c>
      <c r="D1206" s="38">
        <v>3150886</v>
      </c>
      <c r="E1206" s="38" t="s">
        <v>1669</v>
      </c>
      <c r="F1206" s="38" t="s">
        <v>618</v>
      </c>
    </row>
    <row r="1207" spans="1:6">
      <c r="A1207" s="38" t="s">
        <v>1824</v>
      </c>
      <c r="B1207" s="40">
        <v>838.8499755859375</v>
      </c>
      <c r="C1207" s="40">
        <v>686.2509765625</v>
      </c>
      <c r="D1207" s="38">
        <v>2839192</v>
      </c>
      <c r="E1207" s="38" t="s">
        <v>1669</v>
      </c>
      <c r="F1207" s="38" t="s">
        <v>618</v>
      </c>
    </row>
    <row r="1208" spans="1:6">
      <c r="A1208" s="38" t="s">
        <v>1825</v>
      </c>
      <c r="B1208" s="40">
        <v>840.1500244140625</v>
      </c>
      <c r="C1208" s="40">
        <v>687.314453125</v>
      </c>
      <c r="D1208" s="38">
        <v>214282</v>
      </c>
      <c r="E1208" s="38" t="s">
        <v>1669</v>
      </c>
      <c r="F1208" s="38" t="s">
        <v>618</v>
      </c>
    </row>
    <row r="1209" spans="1:6">
      <c r="A1209" s="38" t="s">
        <v>1826</v>
      </c>
      <c r="B1209" s="40">
        <v>845.25</v>
      </c>
      <c r="C1209" s="40">
        <v>691.48675537109375</v>
      </c>
      <c r="D1209" s="38">
        <v>3635434</v>
      </c>
      <c r="E1209" s="38" t="s">
        <v>1669</v>
      </c>
      <c r="F1209" s="38" t="s">
        <v>618</v>
      </c>
    </row>
    <row r="1210" spans="1:6">
      <c r="A1210" s="38" t="s">
        <v>1827</v>
      </c>
      <c r="B1210" s="40">
        <v>836.0999755859375</v>
      </c>
      <c r="C1210" s="40">
        <v>684.001220703125</v>
      </c>
      <c r="D1210" s="38">
        <v>2772377</v>
      </c>
      <c r="E1210" s="38" t="s">
        <v>1669</v>
      </c>
      <c r="F1210" s="38" t="s">
        <v>618</v>
      </c>
    </row>
    <row r="1211" spans="1:6">
      <c r="A1211" s="38" t="s">
        <v>1828</v>
      </c>
      <c r="B1211" s="40">
        <v>822.9000244140625</v>
      </c>
      <c r="C1211" s="40">
        <v>673.20245361328125</v>
      </c>
      <c r="D1211" s="38">
        <v>5593368</v>
      </c>
      <c r="E1211" s="38" t="s">
        <v>1669</v>
      </c>
      <c r="F1211" s="38" t="s">
        <v>618</v>
      </c>
    </row>
    <row r="1212" spans="1:6">
      <c r="A1212" s="38" t="s">
        <v>1829</v>
      </c>
      <c r="B1212" s="40">
        <v>837.54998779296875</v>
      </c>
      <c r="C1212" s="40">
        <v>685.18743896484375</v>
      </c>
      <c r="D1212" s="38">
        <v>6063818</v>
      </c>
      <c r="E1212" s="38" t="s">
        <v>1669</v>
      </c>
      <c r="F1212" s="38" t="s">
        <v>618</v>
      </c>
    </row>
    <row r="1213" spans="1:6">
      <c r="A1213" s="38" t="s">
        <v>1830</v>
      </c>
      <c r="B1213" s="40">
        <v>865.75</v>
      </c>
      <c r="C1213" s="40">
        <v>708.2574462890625</v>
      </c>
      <c r="D1213" s="38">
        <v>6251814</v>
      </c>
      <c r="E1213" s="38" t="s">
        <v>1669</v>
      </c>
      <c r="F1213" s="38" t="s">
        <v>618</v>
      </c>
    </row>
    <row r="1214" spans="1:6">
      <c r="A1214" s="38" t="s">
        <v>1831</v>
      </c>
      <c r="B1214" s="40">
        <v>877.6500244140625</v>
      </c>
      <c r="C1214" s="40">
        <v>717.99267578125</v>
      </c>
      <c r="D1214" s="38">
        <v>7068121</v>
      </c>
      <c r="E1214" s="38" t="s">
        <v>1669</v>
      </c>
      <c r="F1214" s="38" t="s">
        <v>618</v>
      </c>
    </row>
    <row r="1215" spans="1:6">
      <c r="A1215" s="38" t="s">
        <v>1832</v>
      </c>
      <c r="B1215" s="40">
        <v>862.25</v>
      </c>
      <c r="C1215" s="40">
        <v>705.3941650390625</v>
      </c>
      <c r="D1215" s="38">
        <v>4445185</v>
      </c>
      <c r="E1215" s="38" t="s">
        <v>1669</v>
      </c>
      <c r="F1215" s="38" t="s">
        <v>618</v>
      </c>
    </row>
    <row r="1216" spans="1:6">
      <c r="A1216" s="38" t="s">
        <v>1833</v>
      </c>
      <c r="B1216" s="40">
        <v>857.04998779296875</v>
      </c>
      <c r="C1216" s="40">
        <v>701.13995361328125</v>
      </c>
      <c r="D1216" s="38">
        <v>5169423</v>
      </c>
      <c r="E1216" s="38" t="s">
        <v>1669</v>
      </c>
      <c r="F1216" s="38" t="s">
        <v>618</v>
      </c>
    </row>
    <row r="1217" spans="1:6">
      <c r="A1217" s="38" t="s">
        <v>1834</v>
      </c>
      <c r="B1217" s="40">
        <v>876.8499755859375</v>
      </c>
      <c r="C1217" s="40">
        <v>717.33819580078125</v>
      </c>
      <c r="D1217" s="38">
        <v>16482729</v>
      </c>
      <c r="E1217" s="38" t="s">
        <v>1669</v>
      </c>
      <c r="F1217" s="38" t="s">
        <v>618</v>
      </c>
    </row>
    <row r="1218" spans="1:6">
      <c r="A1218" s="38" t="s">
        <v>1835</v>
      </c>
      <c r="B1218" s="40">
        <v>907.29998779296875</v>
      </c>
      <c r="C1218" s="40">
        <v>742.24884033203125</v>
      </c>
      <c r="D1218" s="38">
        <v>5821698</v>
      </c>
      <c r="E1218" s="38" t="s">
        <v>1669</v>
      </c>
      <c r="F1218" s="38" t="s">
        <v>618</v>
      </c>
    </row>
    <row r="1219" spans="1:6">
      <c r="A1219" s="38" t="s">
        <v>1836</v>
      </c>
      <c r="B1219" s="40">
        <v>908.70001220703125</v>
      </c>
      <c r="C1219" s="40">
        <v>743.39434814453125</v>
      </c>
      <c r="D1219" s="38">
        <v>5516684</v>
      </c>
      <c r="E1219" s="38" t="s">
        <v>1669</v>
      </c>
      <c r="F1219" s="38" t="s">
        <v>618</v>
      </c>
    </row>
    <row r="1220" spans="1:6">
      <c r="A1220" s="38" t="s">
        <v>1837</v>
      </c>
      <c r="B1220" s="40">
        <v>915.1500244140625</v>
      </c>
      <c r="C1220" s="40">
        <v>748.6708984375</v>
      </c>
      <c r="D1220" s="38">
        <v>5705020</v>
      </c>
      <c r="E1220" s="38" t="s">
        <v>1669</v>
      </c>
      <c r="F1220" s="38" t="s">
        <v>618</v>
      </c>
    </row>
    <row r="1221" spans="1:6">
      <c r="A1221" s="38" t="s">
        <v>1838</v>
      </c>
      <c r="B1221" s="40">
        <v>923.0999755859375</v>
      </c>
      <c r="C1221" s="40">
        <v>755.1746826171875</v>
      </c>
      <c r="D1221" s="38">
        <v>4302626</v>
      </c>
      <c r="E1221" s="38" t="s">
        <v>1669</v>
      </c>
      <c r="F1221" s="38" t="s">
        <v>618</v>
      </c>
    </row>
    <row r="1222" spans="1:6">
      <c r="A1222" s="38" t="s">
        <v>1839</v>
      </c>
      <c r="B1222" s="40">
        <v>944.29998779296875</v>
      </c>
      <c r="C1222" s="40">
        <v>772.51800537109375</v>
      </c>
      <c r="D1222" s="38">
        <v>3973325</v>
      </c>
      <c r="E1222" s="38" t="s">
        <v>1669</v>
      </c>
      <c r="F1222" s="38" t="s">
        <v>618</v>
      </c>
    </row>
    <row r="1223" spans="1:6">
      <c r="A1223" s="38" t="s">
        <v>1840</v>
      </c>
      <c r="B1223" s="40">
        <v>932.29998779296875</v>
      </c>
      <c r="C1223" s="40">
        <v>762.7010498046875</v>
      </c>
      <c r="D1223" s="38">
        <v>4399638</v>
      </c>
      <c r="E1223" s="38" t="s">
        <v>1669</v>
      </c>
      <c r="F1223" s="38" t="s">
        <v>618</v>
      </c>
    </row>
    <row r="1224" spans="1:6">
      <c r="A1224" s="38" t="s">
        <v>1841</v>
      </c>
      <c r="B1224" s="40">
        <v>929.5</v>
      </c>
      <c r="C1224" s="40">
        <v>760.41046142578125</v>
      </c>
      <c r="D1224" s="38">
        <v>4157078</v>
      </c>
      <c r="E1224" s="38" t="s">
        <v>1669</v>
      </c>
      <c r="F1224" s="38" t="s">
        <v>618</v>
      </c>
    </row>
    <row r="1225" spans="1:6">
      <c r="A1225" s="38" t="s">
        <v>1842</v>
      </c>
      <c r="B1225" s="40">
        <v>927.29998779296875</v>
      </c>
      <c r="C1225" s="40">
        <v>758.61053466796875</v>
      </c>
      <c r="D1225" s="38">
        <v>2608358</v>
      </c>
      <c r="E1225" s="38" t="s">
        <v>1669</v>
      </c>
      <c r="F1225" s="38" t="s">
        <v>618</v>
      </c>
    </row>
    <row r="1226" spans="1:6">
      <c r="A1226" s="38" t="s">
        <v>1843</v>
      </c>
      <c r="B1226" s="40">
        <v>919.4000244140625</v>
      </c>
      <c r="C1226" s="40">
        <v>752.147705078125</v>
      </c>
      <c r="D1226" s="38">
        <v>2398423</v>
      </c>
      <c r="E1226" s="38" t="s">
        <v>1669</v>
      </c>
      <c r="F1226" s="38" t="s">
        <v>618</v>
      </c>
    </row>
    <row r="1227" spans="1:6">
      <c r="A1227" s="38" t="s">
        <v>1844</v>
      </c>
      <c r="B1227" s="40">
        <v>909.4000244140625</v>
      </c>
      <c r="C1227" s="40">
        <v>743.96697998046875</v>
      </c>
      <c r="D1227" s="38">
        <v>3239051</v>
      </c>
      <c r="E1227" s="38" t="s">
        <v>1669</v>
      </c>
      <c r="F1227" s="38" t="s">
        <v>618</v>
      </c>
    </row>
    <row r="1228" spans="1:6">
      <c r="A1228" s="38" t="s">
        <v>1845</v>
      </c>
      <c r="B1228" s="40">
        <v>927.04998779296875</v>
      </c>
      <c r="C1228" s="40">
        <v>758.406005859375</v>
      </c>
      <c r="D1228" s="38">
        <v>3490143</v>
      </c>
      <c r="E1228" s="38" t="s">
        <v>1669</v>
      </c>
      <c r="F1228" s="38" t="s">
        <v>618</v>
      </c>
    </row>
    <row r="1229" spans="1:6">
      <c r="A1229" s="38" t="s">
        <v>1846</v>
      </c>
      <c r="B1229" s="40">
        <v>921.54998779296875</v>
      </c>
      <c r="C1229" s="40">
        <v>753.9066162109375</v>
      </c>
      <c r="D1229" s="38">
        <v>2799394</v>
      </c>
      <c r="E1229" s="38" t="s">
        <v>1669</v>
      </c>
      <c r="F1229" s="38" t="s">
        <v>618</v>
      </c>
    </row>
    <row r="1230" spans="1:6">
      <c r="A1230" s="38" t="s">
        <v>1847</v>
      </c>
      <c r="B1230" s="40">
        <v>930.0999755859375</v>
      </c>
      <c r="C1230" s="40">
        <v>760.9012451171875</v>
      </c>
      <c r="D1230" s="38">
        <v>2706570</v>
      </c>
      <c r="E1230" s="38" t="s">
        <v>1669</v>
      </c>
      <c r="F1230" s="38" t="s">
        <v>618</v>
      </c>
    </row>
    <row r="1231" spans="1:6">
      <c r="A1231" s="38" t="s">
        <v>1848</v>
      </c>
      <c r="B1231" s="40">
        <v>933.79998779296875</v>
      </c>
      <c r="C1231" s="40">
        <v>763.92816162109375</v>
      </c>
      <c r="D1231" s="38">
        <v>5563979</v>
      </c>
      <c r="E1231" s="38" t="s">
        <v>1669</v>
      </c>
      <c r="F1231" s="38" t="s">
        <v>618</v>
      </c>
    </row>
    <row r="1232" spans="1:6">
      <c r="A1232" s="38" t="s">
        <v>1849</v>
      </c>
      <c r="B1232" s="40">
        <v>906.8499755859375</v>
      </c>
      <c r="C1232" s="40">
        <v>741.88079833984375</v>
      </c>
      <c r="D1232" s="38">
        <v>4187948</v>
      </c>
      <c r="E1232" s="38" t="s">
        <v>1669</v>
      </c>
      <c r="F1232" s="38" t="s">
        <v>618</v>
      </c>
    </row>
    <row r="1233" spans="1:6">
      <c r="A1233" s="38" t="s">
        <v>1850</v>
      </c>
      <c r="B1233" s="40">
        <v>944.6500244140625</v>
      </c>
      <c r="C1233" s="40">
        <v>772.804443359375</v>
      </c>
      <c r="D1233" s="38">
        <v>5537682</v>
      </c>
      <c r="E1233" s="38" t="s">
        <v>1669</v>
      </c>
      <c r="F1233" s="38" t="s">
        <v>618</v>
      </c>
    </row>
    <row r="1234" spans="1:6">
      <c r="A1234" s="38" t="s">
        <v>1851</v>
      </c>
      <c r="B1234" s="40">
        <v>948.1500244140625</v>
      </c>
      <c r="C1234" s="40">
        <v>775.66766357421875</v>
      </c>
      <c r="D1234" s="38">
        <v>5456681</v>
      </c>
      <c r="E1234" s="38" t="s">
        <v>1669</v>
      </c>
      <c r="F1234" s="38" t="s">
        <v>618</v>
      </c>
    </row>
    <row r="1235" spans="1:6">
      <c r="A1235" s="38" t="s">
        <v>1852</v>
      </c>
      <c r="B1235" s="40">
        <v>947.25</v>
      </c>
      <c r="C1235" s="40">
        <v>774.931396484375</v>
      </c>
      <c r="D1235" s="38">
        <v>2510775</v>
      </c>
      <c r="E1235" s="38" t="s">
        <v>1669</v>
      </c>
      <c r="F1235" s="38" t="s">
        <v>618</v>
      </c>
    </row>
    <row r="1236" spans="1:6">
      <c r="A1236" s="38" t="s">
        <v>1853</v>
      </c>
      <c r="B1236" s="40">
        <v>947.0999755859375</v>
      </c>
      <c r="C1236" s="40">
        <v>774.80865478515625</v>
      </c>
      <c r="D1236" s="38">
        <v>1870669</v>
      </c>
      <c r="E1236" s="38" t="s">
        <v>1669</v>
      </c>
      <c r="F1236" s="38" t="s">
        <v>618</v>
      </c>
    </row>
    <row r="1237" spans="1:6">
      <c r="A1237" s="38" t="s">
        <v>1854</v>
      </c>
      <c r="B1237" s="40">
        <v>965.6500244140625</v>
      </c>
      <c r="C1237" s="40">
        <v>789.984130859375</v>
      </c>
      <c r="D1237" s="38">
        <v>4392641</v>
      </c>
      <c r="E1237" s="38" t="s">
        <v>1669</v>
      </c>
      <c r="F1237" s="38" t="s">
        <v>618</v>
      </c>
    </row>
    <row r="1238" spans="1:6">
      <c r="A1238" s="38" t="s">
        <v>1855</v>
      </c>
      <c r="B1238" s="40">
        <v>983.25</v>
      </c>
      <c r="C1238" s="40">
        <v>804.3824462890625</v>
      </c>
      <c r="D1238" s="38">
        <v>6389605</v>
      </c>
      <c r="E1238" s="38" t="s">
        <v>1669</v>
      </c>
      <c r="F1238" s="38" t="s">
        <v>618</v>
      </c>
    </row>
    <row r="1239" spans="1:6">
      <c r="A1239" s="38" t="s">
        <v>1856</v>
      </c>
      <c r="B1239" s="40">
        <v>973.20001220703125</v>
      </c>
      <c r="C1239" s="40">
        <v>796.16070556640625</v>
      </c>
      <c r="D1239" s="38">
        <v>2859399</v>
      </c>
      <c r="E1239" s="38" t="s">
        <v>1669</v>
      </c>
      <c r="F1239" s="38" t="s">
        <v>618</v>
      </c>
    </row>
    <row r="1240" spans="1:6">
      <c r="A1240" s="38" t="s">
        <v>1857</v>
      </c>
      <c r="B1240" s="40">
        <v>977.95001220703125</v>
      </c>
      <c r="C1240" s="40">
        <v>800.046630859375</v>
      </c>
      <c r="D1240" s="38">
        <v>1268291</v>
      </c>
      <c r="E1240" s="38" t="s">
        <v>1669</v>
      </c>
      <c r="F1240" s="38" t="s">
        <v>618</v>
      </c>
    </row>
    <row r="1241" spans="1:6">
      <c r="A1241" s="38" t="s">
        <v>1858</v>
      </c>
      <c r="B1241" s="40">
        <v>1001.9500122070313</v>
      </c>
      <c r="C1241" s="40">
        <v>819.68060302734375</v>
      </c>
      <c r="D1241" s="38">
        <v>3515825</v>
      </c>
      <c r="E1241" s="38" t="s">
        <v>1669</v>
      </c>
      <c r="F1241" s="38" t="s">
        <v>618</v>
      </c>
    </row>
    <row r="1242" spans="1:6">
      <c r="A1242" s="38" t="s">
        <v>1859</v>
      </c>
      <c r="B1242" s="40">
        <v>1003.8499755859375</v>
      </c>
      <c r="C1242" s="40">
        <v>821.2349853515625</v>
      </c>
      <c r="D1242" s="38">
        <v>4040321</v>
      </c>
      <c r="E1242" s="38" t="s">
        <v>1669</v>
      </c>
      <c r="F1242" s="38" t="s">
        <v>618</v>
      </c>
    </row>
    <row r="1243" spans="1:6">
      <c r="A1243" s="38" t="s">
        <v>1860</v>
      </c>
      <c r="B1243" s="40">
        <v>997.1500244140625</v>
      </c>
      <c r="C1243" s="40">
        <v>815.75384521484375</v>
      </c>
      <c r="D1243" s="38">
        <v>4677359</v>
      </c>
      <c r="E1243" s="38" t="s">
        <v>1669</v>
      </c>
      <c r="F1243" s="38" t="s">
        <v>618</v>
      </c>
    </row>
    <row r="1244" spans="1:6">
      <c r="A1244" s="38" t="s">
        <v>1861</v>
      </c>
      <c r="B1244" s="40">
        <v>994.75</v>
      </c>
      <c r="C1244" s="40">
        <v>813.7904052734375</v>
      </c>
      <c r="D1244" s="38">
        <v>3354950</v>
      </c>
      <c r="E1244" s="38" t="s">
        <v>1669</v>
      </c>
      <c r="F1244" s="38" t="s">
        <v>618</v>
      </c>
    </row>
    <row r="1245" spans="1:6">
      <c r="A1245" s="38" t="s">
        <v>1862</v>
      </c>
      <c r="B1245" s="40">
        <v>1051.0999755859375</v>
      </c>
      <c r="C1245" s="40">
        <v>859.8896484375</v>
      </c>
      <c r="D1245" s="38">
        <v>9279370</v>
      </c>
      <c r="E1245" s="38" t="s">
        <v>1669</v>
      </c>
      <c r="F1245" s="38" t="s">
        <v>618</v>
      </c>
    </row>
    <row r="1246" spans="1:6">
      <c r="A1246" s="38" t="s">
        <v>1863</v>
      </c>
      <c r="B1246" s="40">
        <v>1077.5999755859375</v>
      </c>
      <c r="C1246" s="40">
        <v>881.56890869140625</v>
      </c>
      <c r="D1246" s="38">
        <v>6488791</v>
      </c>
      <c r="E1246" s="38" t="s">
        <v>1669</v>
      </c>
      <c r="F1246" s="38" t="s">
        <v>618</v>
      </c>
    </row>
    <row r="1247" spans="1:6">
      <c r="A1247" s="38" t="s">
        <v>1864</v>
      </c>
      <c r="B1247" s="40">
        <v>1064.199951171875</v>
      </c>
      <c r="C1247" s="40">
        <v>870.60638427734375</v>
      </c>
      <c r="D1247" s="38">
        <v>4257926</v>
      </c>
      <c r="E1247" s="38" t="s">
        <v>1669</v>
      </c>
      <c r="F1247" s="38" t="s">
        <v>618</v>
      </c>
    </row>
    <row r="1248" spans="1:6">
      <c r="A1248" s="38" t="s">
        <v>1865</v>
      </c>
      <c r="B1248" s="40">
        <v>1069.6500244140625</v>
      </c>
      <c r="C1248" s="40">
        <v>875.0650634765625</v>
      </c>
      <c r="D1248" s="38">
        <v>4671772</v>
      </c>
      <c r="E1248" s="38" t="s">
        <v>1669</v>
      </c>
      <c r="F1248" s="38" t="s">
        <v>618</v>
      </c>
    </row>
    <row r="1249" spans="1:6">
      <c r="A1249" s="38" t="s">
        <v>1866</v>
      </c>
      <c r="B1249" s="40">
        <v>1052.5999755859375</v>
      </c>
      <c r="C1249" s="40">
        <v>861.11669921875</v>
      </c>
      <c r="D1249" s="38">
        <v>4765344</v>
      </c>
      <c r="E1249" s="38" t="s">
        <v>1669</v>
      </c>
      <c r="F1249" s="38" t="s">
        <v>618</v>
      </c>
    </row>
    <row r="1250" spans="1:6">
      <c r="A1250" s="38" t="s">
        <v>1867</v>
      </c>
      <c r="B1250" s="40">
        <v>1007.2999877929688</v>
      </c>
      <c r="C1250" s="40">
        <v>824.05743408203125</v>
      </c>
      <c r="D1250" s="38">
        <v>6063896</v>
      </c>
      <c r="E1250" s="38" t="s">
        <v>1669</v>
      </c>
      <c r="F1250" s="38" t="s">
        <v>618</v>
      </c>
    </row>
    <row r="1251" spans="1:6">
      <c r="A1251" s="38" t="s">
        <v>1868</v>
      </c>
      <c r="B1251" s="40">
        <v>998.25</v>
      </c>
      <c r="C1251" s="40">
        <v>816.65374755859375</v>
      </c>
      <c r="D1251" s="38">
        <v>4659705</v>
      </c>
      <c r="E1251" s="38" t="s">
        <v>1669</v>
      </c>
      <c r="F1251" s="38" t="s">
        <v>618</v>
      </c>
    </row>
    <row r="1252" spans="1:6">
      <c r="A1252" s="38" t="s">
        <v>1869</v>
      </c>
      <c r="B1252" s="40">
        <v>992.5</v>
      </c>
      <c r="C1252" s="40">
        <v>811.9498291015625</v>
      </c>
      <c r="D1252" s="38">
        <v>4416027</v>
      </c>
      <c r="E1252" s="38" t="s">
        <v>1669</v>
      </c>
      <c r="F1252" s="38" t="s">
        <v>618</v>
      </c>
    </row>
    <row r="1253" spans="1:6">
      <c r="A1253" s="38" t="s">
        <v>1870</v>
      </c>
      <c r="B1253" s="40">
        <v>1019.4500122070313</v>
      </c>
      <c r="C1253" s="40">
        <v>833.9971923828125</v>
      </c>
      <c r="D1253" s="38">
        <v>4687853</v>
      </c>
      <c r="E1253" s="38" t="s">
        <v>1669</v>
      </c>
      <c r="F1253" s="38" t="s">
        <v>618</v>
      </c>
    </row>
    <row r="1254" spans="1:6">
      <c r="A1254" s="38" t="s">
        <v>1871</v>
      </c>
      <c r="B1254" s="40">
        <v>1004.7000122070313</v>
      </c>
      <c r="C1254" s="40">
        <v>821.930419921875</v>
      </c>
      <c r="D1254" s="38">
        <v>3911527</v>
      </c>
      <c r="E1254" s="38" t="s">
        <v>1669</v>
      </c>
      <c r="F1254" s="38" t="s">
        <v>618</v>
      </c>
    </row>
    <row r="1255" spans="1:6">
      <c r="A1255" s="38" t="s">
        <v>1872</v>
      </c>
      <c r="B1255" s="40">
        <v>980.8499755859375</v>
      </c>
      <c r="C1255" s="40">
        <v>802.4190673828125</v>
      </c>
      <c r="D1255" s="38">
        <v>3922421</v>
      </c>
      <c r="E1255" s="38" t="s">
        <v>1669</v>
      </c>
      <c r="F1255" s="38" t="s">
        <v>618</v>
      </c>
    </row>
    <row r="1256" spans="1:6">
      <c r="A1256" s="38" t="s">
        <v>1873</v>
      </c>
      <c r="B1256" s="40">
        <v>972.04998779296875</v>
      </c>
      <c r="C1256" s="40">
        <v>795.2198486328125</v>
      </c>
      <c r="D1256" s="38">
        <v>2751784</v>
      </c>
      <c r="E1256" s="38" t="s">
        <v>1669</v>
      </c>
      <c r="F1256" s="38" t="s">
        <v>618</v>
      </c>
    </row>
    <row r="1257" spans="1:6">
      <c r="A1257" s="38" t="s">
        <v>1874</v>
      </c>
      <c r="B1257" s="40">
        <v>997.0999755859375</v>
      </c>
      <c r="C1257" s="40">
        <v>815.71295166015625</v>
      </c>
      <c r="D1257" s="38">
        <v>6975618</v>
      </c>
      <c r="E1257" s="38" t="s">
        <v>1669</v>
      </c>
      <c r="F1257" s="38" t="s">
        <v>618</v>
      </c>
    </row>
    <row r="1258" spans="1:6">
      <c r="A1258" s="38" t="s">
        <v>1875</v>
      </c>
      <c r="B1258" s="40">
        <v>981.5999755859375</v>
      </c>
      <c r="C1258" s="40">
        <v>803.03265380859375</v>
      </c>
      <c r="D1258" s="38">
        <v>4274190</v>
      </c>
      <c r="E1258" s="38" t="s">
        <v>1669</v>
      </c>
      <c r="F1258" s="38" t="s">
        <v>618</v>
      </c>
    </row>
    <row r="1259" spans="1:6">
      <c r="A1259" s="38" t="s">
        <v>1876</v>
      </c>
      <c r="B1259" s="40">
        <v>961.4000244140625</v>
      </c>
      <c r="C1259" s="40">
        <v>786.50738525390625</v>
      </c>
      <c r="D1259" s="38">
        <v>4425911</v>
      </c>
      <c r="E1259" s="38" t="s">
        <v>1669</v>
      </c>
      <c r="F1259" s="38" t="s">
        <v>618</v>
      </c>
    </row>
    <row r="1260" spans="1:6">
      <c r="A1260" s="38" t="s">
        <v>1877</v>
      </c>
      <c r="B1260" s="40">
        <v>941.75</v>
      </c>
      <c r="C1260" s="40">
        <v>770.43194580078125</v>
      </c>
      <c r="D1260" s="38">
        <v>6321189</v>
      </c>
      <c r="E1260" s="38" t="s">
        <v>1669</v>
      </c>
      <c r="F1260" s="38" t="s">
        <v>618</v>
      </c>
    </row>
    <row r="1261" spans="1:6">
      <c r="A1261" s="38" t="s">
        <v>1878</v>
      </c>
      <c r="B1261" s="40">
        <v>957.20001220703125</v>
      </c>
      <c r="C1261" s="40">
        <v>783.07135009765625</v>
      </c>
      <c r="D1261" s="38">
        <v>4971530</v>
      </c>
      <c r="E1261" s="38" t="s">
        <v>1669</v>
      </c>
      <c r="F1261" s="38" t="s">
        <v>618</v>
      </c>
    </row>
    <row r="1262" spans="1:6">
      <c r="A1262" s="38" t="s">
        <v>1879</v>
      </c>
      <c r="B1262" s="40">
        <v>981.45001220703125</v>
      </c>
      <c r="C1262" s="40">
        <v>802.90997314453125</v>
      </c>
      <c r="D1262" s="38">
        <v>5640121</v>
      </c>
      <c r="E1262" s="38" t="s">
        <v>1669</v>
      </c>
      <c r="F1262" s="38" t="s">
        <v>618</v>
      </c>
    </row>
    <row r="1263" spans="1:6">
      <c r="A1263" s="38" t="s">
        <v>1880</v>
      </c>
      <c r="B1263" s="40">
        <v>969.20001220703125</v>
      </c>
      <c r="C1263" s="40">
        <v>792.88848876953125</v>
      </c>
      <c r="D1263" s="38">
        <v>4232910</v>
      </c>
      <c r="E1263" s="38" t="s">
        <v>1669</v>
      </c>
      <c r="F1263" s="38" t="s">
        <v>618</v>
      </c>
    </row>
    <row r="1264" spans="1:6">
      <c r="A1264" s="38" t="s">
        <v>1881</v>
      </c>
      <c r="B1264" s="40">
        <v>959.4000244140625</v>
      </c>
      <c r="C1264" s="40">
        <v>784.8712158203125</v>
      </c>
      <c r="D1264" s="38">
        <v>3077720</v>
      </c>
      <c r="E1264" s="38" t="s">
        <v>1669</v>
      </c>
      <c r="F1264" s="38" t="s">
        <v>618</v>
      </c>
    </row>
    <row r="1265" spans="1:6">
      <c r="A1265" s="38" t="s">
        <v>1882</v>
      </c>
      <c r="B1265" s="40">
        <v>982.54998779296875</v>
      </c>
      <c r="C1265" s="40">
        <v>803.809814453125</v>
      </c>
      <c r="D1265" s="38">
        <v>3713579</v>
      </c>
      <c r="E1265" s="38" t="s">
        <v>1669</v>
      </c>
      <c r="F1265" s="38" t="s">
        <v>618</v>
      </c>
    </row>
    <row r="1266" spans="1:6">
      <c r="A1266" s="38" t="s">
        <v>1883</v>
      </c>
      <c r="B1266" s="40">
        <v>975.0999755859375</v>
      </c>
      <c r="C1266" s="40">
        <v>797.715087890625</v>
      </c>
      <c r="D1266" s="38">
        <v>3086774</v>
      </c>
      <c r="E1266" s="38" t="s">
        <v>1669</v>
      </c>
      <c r="F1266" s="38" t="s">
        <v>618</v>
      </c>
    </row>
    <row r="1267" spans="1:6">
      <c r="A1267" s="38" t="s">
        <v>1884</v>
      </c>
      <c r="B1267" s="40">
        <v>974.9000244140625</v>
      </c>
      <c r="C1267" s="40">
        <v>797.55157470703125</v>
      </c>
      <c r="D1267" s="38">
        <v>2776301</v>
      </c>
      <c r="E1267" s="38" t="s">
        <v>1669</v>
      </c>
      <c r="F1267" s="38" t="s">
        <v>618</v>
      </c>
    </row>
    <row r="1268" spans="1:6">
      <c r="A1268" s="38" t="s">
        <v>1885</v>
      </c>
      <c r="B1268" s="40">
        <v>985.5999755859375</v>
      </c>
      <c r="C1268" s="40">
        <v>806.30499267578125</v>
      </c>
      <c r="D1268" s="38">
        <v>2070435</v>
      </c>
      <c r="E1268" s="38" t="s">
        <v>1669</v>
      </c>
      <c r="F1268" s="38" t="s">
        <v>618</v>
      </c>
    </row>
    <row r="1269" spans="1:6">
      <c r="A1269" s="38" t="s">
        <v>1886</v>
      </c>
      <c r="B1269" s="40">
        <v>991.20001220703125</v>
      </c>
      <c r="C1269" s="40">
        <v>810.88616943359375</v>
      </c>
      <c r="D1269" s="38">
        <v>5863879</v>
      </c>
      <c r="E1269" s="38" t="s">
        <v>1669</v>
      </c>
      <c r="F1269" s="38" t="s">
        <v>618</v>
      </c>
    </row>
    <row r="1270" spans="1:6">
      <c r="A1270" s="38" t="s">
        <v>1887</v>
      </c>
      <c r="B1270" s="40">
        <v>979.20001220703125</v>
      </c>
      <c r="C1270" s="40">
        <v>801.06915283203125</v>
      </c>
      <c r="D1270" s="38">
        <v>2487825</v>
      </c>
      <c r="E1270" s="38" t="s">
        <v>1669</v>
      </c>
      <c r="F1270" s="38" t="s">
        <v>618</v>
      </c>
    </row>
    <row r="1271" spans="1:6">
      <c r="A1271" s="38" t="s">
        <v>1888</v>
      </c>
      <c r="B1271" s="40">
        <v>986.79998779296875</v>
      </c>
      <c r="C1271" s="40">
        <v>807.28668212890625</v>
      </c>
      <c r="D1271" s="38">
        <v>3912433</v>
      </c>
      <c r="E1271" s="38" t="s">
        <v>1669</v>
      </c>
      <c r="F1271" s="38" t="s">
        <v>618</v>
      </c>
    </row>
    <row r="1272" spans="1:6">
      <c r="A1272" s="38" t="s">
        <v>1889</v>
      </c>
      <c r="B1272" s="40">
        <v>980.45001220703125</v>
      </c>
      <c r="C1272" s="40">
        <v>802.09185791015625</v>
      </c>
      <c r="D1272" s="38">
        <v>2227724</v>
      </c>
      <c r="E1272" s="38" t="s">
        <v>1669</v>
      </c>
      <c r="F1272" s="38" t="s">
        <v>618</v>
      </c>
    </row>
    <row r="1273" spans="1:6">
      <c r="A1273" s="38" t="s">
        <v>1890</v>
      </c>
      <c r="B1273" s="40">
        <v>1010.5999755859375</v>
      </c>
      <c r="C1273" s="40">
        <v>826.757080078125</v>
      </c>
      <c r="D1273" s="38">
        <v>6742595</v>
      </c>
      <c r="E1273" s="38" t="s">
        <v>1669</v>
      </c>
      <c r="F1273" s="38" t="s">
        <v>618</v>
      </c>
    </row>
    <row r="1274" spans="1:6">
      <c r="A1274" s="38" t="s">
        <v>1891</v>
      </c>
      <c r="B1274" s="40">
        <v>993.95001220703125</v>
      </c>
      <c r="C1274" s="40">
        <v>813.13604736328125</v>
      </c>
      <c r="D1274" s="38">
        <v>4357699</v>
      </c>
      <c r="E1274" s="38" t="s">
        <v>1669</v>
      </c>
      <c r="F1274" s="38" t="s">
        <v>618</v>
      </c>
    </row>
    <row r="1275" spans="1:6">
      <c r="A1275" s="38" t="s">
        <v>1892</v>
      </c>
      <c r="B1275" s="40">
        <v>950.70001220703125</v>
      </c>
      <c r="C1275" s="40">
        <v>777.75384521484375</v>
      </c>
      <c r="D1275" s="38">
        <v>5946290</v>
      </c>
      <c r="E1275" s="38" t="s">
        <v>1669</v>
      </c>
      <c r="F1275" s="38" t="s">
        <v>618</v>
      </c>
    </row>
    <row r="1276" spans="1:6">
      <c r="A1276" s="38" t="s">
        <v>1893</v>
      </c>
      <c r="B1276" s="40">
        <v>945.75</v>
      </c>
      <c r="C1276" s="40">
        <v>773.704345703125</v>
      </c>
      <c r="D1276" s="38">
        <v>4120032</v>
      </c>
      <c r="E1276" s="38" t="s">
        <v>1669</v>
      </c>
      <c r="F1276" s="38" t="s">
        <v>618</v>
      </c>
    </row>
    <row r="1277" spans="1:6">
      <c r="A1277" s="38" t="s">
        <v>1894</v>
      </c>
      <c r="B1277" s="40">
        <v>960.04998779296875</v>
      </c>
      <c r="C1277" s="40">
        <v>785.40283203125</v>
      </c>
      <c r="D1277" s="38">
        <v>1686531</v>
      </c>
      <c r="E1277" s="38" t="s">
        <v>1669</v>
      </c>
      <c r="F1277" s="38" t="s">
        <v>618</v>
      </c>
    </row>
    <row r="1278" spans="1:6">
      <c r="A1278" s="38" t="s">
        <v>1895</v>
      </c>
      <c r="B1278" s="40">
        <v>957.79998779296875</v>
      </c>
      <c r="C1278" s="40">
        <v>783.56231689453125</v>
      </c>
      <c r="D1278" s="38">
        <v>3682791</v>
      </c>
      <c r="E1278" s="38" t="s">
        <v>1669</v>
      </c>
      <c r="F1278" s="38" t="s">
        <v>618</v>
      </c>
    </row>
    <row r="1279" spans="1:6">
      <c r="A1279" s="38" t="s">
        <v>1896</v>
      </c>
      <c r="B1279" s="40">
        <v>918.8499755859375</v>
      </c>
      <c r="C1279" s="40">
        <v>751.69769287109375</v>
      </c>
      <c r="D1279" s="38">
        <v>5254937</v>
      </c>
      <c r="E1279" s="38" t="s">
        <v>1669</v>
      </c>
      <c r="F1279" s="38" t="s">
        <v>618</v>
      </c>
    </row>
    <row r="1280" spans="1:6">
      <c r="A1280" s="38" t="s">
        <v>1897</v>
      </c>
      <c r="B1280" s="40">
        <v>936</v>
      </c>
      <c r="C1280" s="40">
        <v>765.72796630859375</v>
      </c>
      <c r="D1280" s="38">
        <v>3429569</v>
      </c>
      <c r="E1280" s="38" t="s">
        <v>1669</v>
      </c>
      <c r="F1280" s="38" t="s">
        <v>618</v>
      </c>
    </row>
    <row r="1281" spans="1:6">
      <c r="A1281" s="38" t="s">
        <v>1898</v>
      </c>
      <c r="B1281" s="40">
        <v>967.0999755859375</v>
      </c>
      <c r="C1281" s="40">
        <v>791.17034912109375</v>
      </c>
      <c r="D1281" s="38">
        <v>3703190</v>
      </c>
      <c r="E1281" s="38" t="s">
        <v>1669</v>
      </c>
      <c r="F1281" s="38" t="s">
        <v>618</v>
      </c>
    </row>
    <row r="1282" spans="1:6">
      <c r="A1282" s="38" t="s">
        <v>1899</v>
      </c>
      <c r="B1282" s="40">
        <v>976</v>
      </c>
      <c r="C1282" s="40">
        <v>798.45135498046875</v>
      </c>
      <c r="D1282" s="38">
        <v>3203532</v>
      </c>
      <c r="E1282" s="38" t="s">
        <v>1669</v>
      </c>
      <c r="F1282" s="38" t="s">
        <v>618</v>
      </c>
    </row>
    <row r="1283" spans="1:6">
      <c r="A1283" s="38" t="s">
        <v>1900</v>
      </c>
      <c r="B1283" s="40">
        <v>968.04998779296875</v>
      </c>
      <c r="C1283" s="40">
        <v>791.94769287109375</v>
      </c>
      <c r="D1283" s="38">
        <v>5134954</v>
      </c>
      <c r="E1283" s="38" t="s">
        <v>1669</v>
      </c>
      <c r="F1283" s="38" t="s">
        <v>618</v>
      </c>
    </row>
    <row r="1284" spans="1:6">
      <c r="A1284" s="38" t="s">
        <v>1901</v>
      </c>
      <c r="B1284" s="40">
        <v>959.70001220703125</v>
      </c>
      <c r="C1284" s="40">
        <v>785.11651611328125</v>
      </c>
      <c r="D1284" s="38">
        <v>2618145</v>
      </c>
      <c r="E1284" s="38" t="s">
        <v>1669</v>
      </c>
      <c r="F1284" s="38" t="s">
        <v>618</v>
      </c>
    </row>
    <row r="1285" spans="1:6">
      <c r="A1285" s="38" t="s">
        <v>1902</v>
      </c>
      <c r="B1285" s="40">
        <v>968.5</v>
      </c>
      <c r="C1285" s="40">
        <v>792.31573486328125</v>
      </c>
      <c r="D1285" s="38">
        <v>2880739</v>
      </c>
      <c r="E1285" s="38" t="s">
        <v>1669</v>
      </c>
      <c r="F1285" s="38" t="s">
        <v>618</v>
      </c>
    </row>
    <row r="1286" spans="1:6">
      <c r="A1286" s="38" t="s">
        <v>1903</v>
      </c>
      <c r="B1286" s="40">
        <v>988.1500244140625</v>
      </c>
      <c r="C1286" s="40">
        <v>808.39105224609375</v>
      </c>
      <c r="D1286" s="38">
        <v>2814747</v>
      </c>
      <c r="E1286" s="38" t="s">
        <v>1669</v>
      </c>
      <c r="F1286" s="38" t="s">
        <v>618</v>
      </c>
    </row>
    <row r="1287" spans="1:6">
      <c r="A1287" s="38" t="s">
        <v>1904</v>
      </c>
      <c r="B1287" s="40">
        <v>1008.75</v>
      </c>
      <c r="C1287" s="40">
        <v>825.24359130859375</v>
      </c>
      <c r="D1287" s="38">
        <v>5268496</v>
      </c>
      <c r="E1287" s="38" t="s">
        <v>1669</v>
      </c>
      <c r="F1287" s="38" t="s">
        <v>618</v>
      </c>
    </row>
    <row r="1288" spans="1:6">
      <c r="A1288" s="38" t="s">
        <v>1905</v>
      </c>
      <c r="B1288" s="40">
        <v>1003.25</v>
      </c>
      <c r="C1288" s="40">
        <v>820.7442626953125</v>
      </c>
      <c r="D1288" s="38">
        <v>4674919</v>
      </c>
      <c r="E1288" s="38" t="s">
        <v>1669</v>
      </c>
      <c r="F1288" s="38" t="s">
        <v>618</v>
      </c>
    </row>
    <row r="1289" spans="1:6">
      <c r="A1289" s="38" t="s">
        <v>1906</v>
      </c>
      <c r="B1289" s="40">
        <v>1026.6500244140625</v>
      </c>
      <c r="C1289" s="40">
        <v>839.8873291015625</v>
      </c>
      <c r="D1289" s="38">
        <v>5203101</v>
      </c>
      <c r="E1289" s="38" t="s">
        <v>1669</v>
      </c>
      <c r="F1289" s="38" t="s">
        <v>618</v>
      </c>
    </row>
    <row r="1290" spans="1:6">
      <c r="A1290" s="38" t="s">
        <v>1907</v>
      </c>
      <c r="B1290" s="40">
        <v>1026.550048828125</v>
      </c>
      <c r="C1290" s="40">
        <v>839.8055419921875</v>
      </c>
      <c r="D1290" s="38">
        <v>4797715</v>
      </c>
      <c r="E1290" s="38" t="s">
        <v>1669</v>
      </c>
      <c r="F1290" s="38" t="s">
        <v>618</v>
      </c>
    </row>
    <row r="1291" spans="1:6">
      <c r="A1291" s="38" t="s">
        <v>1908</v>
      </c>
      <c r="B1291" s="40">
        <v>1020.0499877929688</v>
      </c>
      <c r="C1291" s="40">
        <v>834.48809814453125</v>
      </c>
      <c r="D1291" s="38">
        <v>3477295</v>
      </c>
      <c r="E1291" s="38" t="s">
        <v>1669</v>
      </c>
      <c r="F1291" s="38" t="s">
        <v>618</v>
      </c>
    </row>
    <row r="1292" spans="1:6">
      <c r="A1292" s="38" t="s">
        <v>1909</v>
      </c>
      <c r="B1292" s="40">
        <v>996.20001220703125</v>
      </c>
      <c r="C1292" s="40">
        <v>814.97674560546875</v>
      </c>
      <c r="D1292" s="38">
        <v>3738712</v>
      </c>
      <c r="E1292" s="38" t="s">
        <v>1669</v>
      </c>
      <c r="F1292" s="38" t="s">
        <v>618</v>
      </c>
    </row>
    <row r="1293" spans="1:6">
      <c r="A1293" s="38" t="s">
        <v>1910</v>
      </c>
      <c r="B1293" s="40">
        <v>989.45001220703125</v>
      </c>
      <c r="C1293" s="40">
        <v>809.45465087890625</v>
      </c>
      <c r="D1293" s="38">
        <v>6208000</v>
      </c>
      <c r="E1293" s="38" t="s">
        <v>1669</v>
      </c>
      <c r="F1293" s="38" t="s">
        <v>618</v>
      </c>
    </row>
    <row r="1294" spans="1:6">
      <c r="A1294" s="38" t="s">
        <v>1911</v>
      </c>
      <c r="B1294" s="40">
        <v>1013.5499877929688</v>
      </c>
      <c r="C1294" s="40">
        <v>829.17047119140625</v>
      </c>
      <c r="D1294" s="38">
        <v>3873143</v>
      </c>
      <c r="E1294" s="38" t="s">
        <v>1669</v>
      </c>
      <c r="F1294" s="38" t="s">
        <v>618</v>
      </c>
    </row>
    <row r="1295" spans="1:6">
      <c r="A1295" s="38" t="s">
        <v>1912</v>
      </c>
      <c r="B1295" s="40">
        <v>1013.8499755859375</v>
      </c>
      <c r="C1295" s="40">
        <v>829.41583251953125</v>
      </c>
      <c r="D1295" s="38">
        <v>3782337</v>
      </c>
      <c r="E1295" s="38" t="s">
        <v>1669</v>
      </c>
      <c r="F1295" s="38" t="s">
        <v>618</v>
      </c>
    </row>
    <row r="1296" spans="1:6">
      <c r="A1296" s="38" t="s">
        <v>1913</v>
      </c>
      <c r="B1296" s="40">
        <v>992.1500244140625</v>
      </c>
      <c r="C1296" s="40">
        <v>811.6634521484375</v>
      </c>
      <c r="D1296" s="38">
        <v>2749823</v>
      </c>
      <c r="E1296" s="38" t="s">
        <v>1669</v>
      </c>
      <c r="F1296" s="38" t="s">
        <v>618</v>
      </c>
    </row>
    <row r="1297" spans="1:6">
      <c r="A1297" s="38" t="s">
        <v>1914</v>
      </c>
      <c r="B1297" s="40">
        <v>968.70001220703125</v>
      </c>
      <c r="C1297" s="40">
        <v>792.47930908203125</v>
      </c>
      <c r="D1297" s="38">
        <v>3654840</v>
      </c>
      <c r="E1297" s="38" t="s">
        <v>1669</v>
      </c>
      <c r="F1297" s="38" t="s">
        <v>618</v>
      </c>
    </row>
    <row r="1298" spans="1:6">
      <c r="A1298" s="38" t="s">
        <v>1915</v>
      </c>
      <c r="B1298" s="40">
        <v>991</v>
      </c>
      <c r="C1298" s="40">
        <v>810.72259521484375</v>
      </c>
      <c r="D1298" s="38">
        <v>2761824</v>
      </c>
      <c r="E1298" s="38" t="s">
        <v>1669</v>
      </c>
      <c r="F1298" s="38" t="s">
        <v>618</v>
      </c>
    </row>
    <row r="1299" spans="1:6">
      <c r="A1299" s="38" t="s">
        <v>1916</v>
      </c>
      <c r="B1299" s="40">
        <v>1016.9000244140625</v>
      </c>
      <c r="C1299" s="40">
        <v>831.9111328125</v>
      </c>
      <c r="D1299" s="38">
        <v>4300037</v>
      </c>
      <c r="E1299" s="38" t="s">
        <v>1669</v>
      </c>
      <c r="F1299" s="38" t="s">
        <v>618</v>
      </c>
    </row>
    <row r="1300" spans="1:6">
      <c r="A1300" s="38" t="s">
        <v>1917</v>
      </c>
      <c r="B1300" s="40">
        <v>991.45001220703125</v>
      </c>
      <c r="C1300" s="40">
        <v>811.09075927734375</v>
      </c>
      <c r="D1300" s="38">
        <v>3780505</v>
      </c>
      <c r="E1300" s="38" t="s">
        <v>1669</v>
      </c>
      <c r="F1300" s="38" t="s">
        <v>618</v>
      </c>
    </row>
    <row r="1301" spans="1:6">
      <c r="A1301" s="38" t="s">
        <v>1918</v>
      </c>
      <c r="B1301" s="40">
        <v>992.1500244140625</v>
      </c>
      <c r="C1301" s="40">
        <v>811.6634521484375</v>
      </c>
      <c r="D1301" s="38">
        <v>3555291</v>
      </c>
      <c r="E1301" s="38" t="s">
        <v>1919</v>
      </c>
      <c r="F1301" s="38" t="s">
        <v>618</v>
      </c>
    </row>
    <row r="1302" spans="1:6">
      <c r="A1302" s="38" t="s">
        <v>1920</v>
      </c>
      <c r="B1302" s="40">
        <v>997.70001220703125</v>
      </c>
      <c r="C1302" s="40">
        <v>816.20379638671875</v>
      </c>
      <c r="D1302" s="38">
        <v>5118272</v>
      </c>
      <c r="E1302" s="38" t="s">
        <v>1919</v>
      </c>
      <c r="F1302" s="38" t="s">
        <v>618</v>
      </c>
    </row>
    <row r="1303" spans="1:6">
      <c r="A1303" s="38" t="s">
        <v>1921</v>
      </c>
      <c r="B1303" s="40">
        <v>991.3499755859375</v>
      </c>
      <c r="C1303" s="40">
        <v>811.00909423828125</v>
      </c>
      <c r="D1303" s="38">
        <v>2395572</v>
      </c>
      <c r="E1303" s="38" t="s">
        <v>1919</v>
      </c>
      <c r="F1303" s="38" t="s">
        <v>618</v>
      </c>
    </row>
    <row r="1304" spans="1:6">
      <c r="A1304" s="38" t="s">
        <v>1922</v>
      </c>
      <c r="B1304" s="40">
        <v>1002.4000244140625</v>
      </c>
      <c r="C1304" s="40">
        <v>820.04888916015625</v>
      </c>
      <c r="D1304" s="38">
        <v>2974419</v>
      </c>
      <c r="E1304" s="38" t="s">
        <v>1919</v>
      </c>
      <c r="F1304" s="38" t="s">
        <v>618</v>
      </c>
    </row>
    <row r="1305" spans="1:6">
      <c r="A1305" s="38" t="s">
        <v>1923</v>
      </c>
      <c r="B1305" s="40">
        <v>1029</v>
      </c>
      <c r="C1305" s="40">
        <v>841.8099365234375</v>
      </c>
      <c r="D1305" s="38">
        <v>6737118</v>
      </c>
      <c r="E1305" s="38" t="s">
        <v>1919</v>
      </c>
      <c r="F1305" s="38" t="s">
        <v>618</v>
      </c>
    </row>
    <row r="1306" spans="1:6">
      <c r="A1306" s="38" t="s">
        <v>1924</v>
      </c>
      <c r="B1306" s="40">
        <v>1053</v>
      </c>
      <c r="C1306" s="40">
        <v>861.44384765625</v>
      </c>
      <c r="D1306" s="38">
        <v>6029994</v>
      </c>
      <c r="E1306" s="38" t="s">
        <v>1919</v>
      </c>
      <c r="F1306" s="38" t="s">
        <v>618</v>
      </c>
    </row>
    <row r="1307" spans="1:6">
      <c r="A1307" s="38" t="s">
        <v>1925</v>
      </c>
      <c r="B1307" s="40">
        <v>1039.8499755859375</v>
      </c>
      <c r="C1307" s="40">
        <v>850.68603515625</v>
      </c>
      <c r="D1307" s="38">
        <v>7896295</v>
      </c>
      <c r="E1307" s="38" t="s">
        <v>1919</v>
      </c>
      <c r="F1307" s="38" t="s">
        <v>618</v>
      </c>
    </row>
    <row r="1308" spans="1:6">
      <c r="A1308" s="38" t="s">
        <v>1926</v>
      </c>
      <c r="B1308" s="40">
        <v>1001.8499755859375</v>
      </c>
      <c r="C1308" s="40">
        <v>819.5987548828125</v>
      </c>
      <c r="D1308" s="38">
        <v>6448995</v>
      </c>
      <c r="E1308" s="38" t="s">
        <v>1919</v>
      </c>
      <c r="F1308" s="38" t="s">
        <v>618</v>
      </c>
    </row>
    <row r="1309" spans="1:6">
      <c r="A1309" s="38" t="s">
        <v>1927</v>
      </c>
      <c r="B1309" s="40">
        <v>993.1500244140625</v>
      </c>
      <c r="C1309" s="40">
        <v>812.48162841796875</v>
      </c>
      <c r="D1309" s="38">
        <v>4373215</v>
      </c>
      <c r="E1309" s="38" t="s">
        <v>1919</v>
      </c>
      <c r="F1309" s="38" t="s">
        <v>618</v>
      </c>
    </row>
    <row r="1310" spans="1:6">
      <c r="A1310" s="38" t="s">
        <v>1928</v>
      </c>
      <c r="B1310" s="40">
        <v>1010.2999877929688</v>
      </c>
      <c r="C1310" s="40">
        <v>826.51165771484375</v>
      </c>
      <c r="D1310" s="38">
        <v>2660763</v>
      </c>
      <c r="E1310" s="38" t="s">
        <v>1919</v>
      </c>
      <c r="F1310" s="38" t="s">
        <v>618</v>
      </c>
    </row>
    <row r="1311" spans="1:6">
      <c r="A1311" s="38" t="s">
        <v>1929</v>
      </c>
      <c r="B1311" s="40">
        <v>1000.0999755859375</v>
      </c>
      <c r="C1311" s="40">
        <v>818.1671142578125</v>
      </c>
      <c r="D1311" s="38">
        <v>2777425</v>
      </c>
      <c r="E1311" s="38" t="s">
        <v>1919</v>
      </c>
      <c r="F1311" s="38" t="s">
        <v>618</v>
      </c>
    </row>
    <row r="1312" spans="1:6">
      <c r="A1312" s="38" t="s">
        <v>1930</v>
      </c>
      <c r="B1312" s="40">
        <v>983.4000244140625</v>
      </c>
      <c r="C1312" s="40">
        <v>804.5052490234375</v>
      </c>
      <c r="D1312" s="38">
        <v>4028636</v>
      </c>
      <c r="E1312" s="38" t="s">
        <v>1919</v>
      </c>
      <c r="F1312" s="38" t="s">
        <v>618</v>
      </c>
    </row>
    <row r="1313" spans="1:6">
      <c r="A1313" s="38" t="s">
        <v>1931</v>
      </c>
      <c r="B1313" s="40">
        <v>967.79998779296875</v>
      </c>
      <c r="C1313" s="40">
        <v>791.74298095703125</v>
      </c>
      <c r="D1313" s="38">
        <v>5085190</v>
      </c>
      <c r="E1313" s="38" t="s">
        <v>1919</v>
      </c>
      <c r="F1313" s="38" t="s">
        <v>618</v>
      </c>
    </row>
    <row r="1314" spans="1:6">
      <c r="A1314" s="38" t="s">
        <v>1932</v>
      </c>
      <c r="B1314" s="40">
        <v>950.20001220703125</v>
      </c>
      <c r="C1314" s="40">
        <v>777.34478759765625</v>
      </c>
      <c r="D1314" s="38">
        <v>3916517</v>
      </c>
      <c r="E1314" s="38" t="s">
        <v>1919</v>
      </c>
      <c r="F1314" s="38" t="s">
        <v>618</v>
      </c>
    </row>
    <row r="1315" spans="1:6">
      <c r="A1315" s="38" t="s">
        <v>1933</v>
      </c>
      <c r="B1315" s="40">
        <v>962.20001220703125</v>
      </c>
      <c r="C1315" s="40">
        <v>787.16180419921875</v>
      </c>
      <c r="D1315" s="38">
        <v>5053998</v>
      </c>
      <c r="E1315" s="38" t="s">
        <v>1919</v>
      </c>
      <c r="F1315" s="38" t="s">
        <v>618</v>
      </c>
    </row>
    <row r="1316" spans="1:6">
      <c r="A1316" s="38" t="s">
        <v>1934</v>
      </c>
      <c r="B1316" s="40">
        <v>969.25</v>
      </c>
      <c r="C1316" s="40">
        <v>792.92938232421875</v>
      </c>
      <c r="D1316" s="38">
        <v>10497935</v>
      </c>
      <c r="E1316" s="38" t="s">
        <v>1919</v>
      </c>
      <c r="F1316" s="38" t="s">
        <v>618</v>
      </c>
    </row>
    <row r="1317" spans="1:6">
      <c r="A1317" s="38" t="s">
        <v>1935</v>
      </c>
      <c r="B1317" s="40">
        <v>977.4000244140625</v>
      </c>
      <c r="C1317" s="40">
        <v>799.5966796875</v>
      </c>
      <c r="D1317" s="38">
        <v>2968625</v>
      </c>
      <c r="E1317" s="38" t="s">
        <v>1919</v>
      </c>
      <c r="F1317" s="38" t="s">
        <v>618</v>
      </c>
    </row>
    <row r="1318" spans="1:6">
      <c r="A1318" s="38" t="s">
        <v>1936</v>
      </c>
      <c r="B1318" s="40">
        <v>976.9000244140625</v>
      </c>
      <c r="C1318" s="40">
        <v>799.1876220703125</v>
      </c>
      <c r="D1318" s="38">
        <v>2747579</v>
      </c>
      <c r="E1318" s="38" t="s">
        <v>1919</v>
      </c>
      <c r="F1318" s="38" t="s">
        <v>618</v>
      </c>
    </row>
    <row r="1319" spans="1:6">
      <c r="A1319" s="38" t="s">
        <v>1937</v>
      </c>
      <c r="B1319" s="40">
        <v>960.4000244140625</v>
      </c>
      <c r="C1319" s="40">
        <v>785.68927001953125</v>
      </c>
      <c r="D1319" s="38">
        <v>3129105</v>
      </c>
      <c r="E1319" s="38" t="s">
        <v>1919</v>
      </c>
      <c r="F1319" s="38" t="s">
        <v>618</v>
      </c>
    </row>
    <row r="1320" spans="1:6">
      <c r="A1320" s="38" t="s">
        <v>1938</v>
      </c>
      <c r="B1320" s="40">
        <v>957.70001220703125</v>
      </c>
      <c r="C1320" s="40">
        <v>783.48046875</v>
      </c>
      <c r="D1320" s="38">
        <v>3506839</v>
      </c>
      <c r="E1320" s="38" t="s">
        <v>1919</v>
      </c>
      <c r="F1320" s="38" t="s">
        <v>618</v>
      </c>
    </row>
    <row r="1321" spans="1:6">
      <c r="A1321" s="38" t="s">
        <v>1939</v>
      </c>
      <c r="B1321" s="40">
        <v>960.4000244140625</v>
      </c>
      <c r="C1321" s="40">
        <v>785.68927001953125</v>
      </c>
      <c r="D1321" s="38">
        <v>4064221</v>
      </c>
      <c r="E1321" s="38" t="s">
        <v>1919</v>
      </c>
      <c r="F1321" s="38" t="s">
        <v>618</v>
      </c>
    </row>
    <row r="1322" spans="1:6">
      <c r="A1322" s="38" t="s">
        <v>1940</v>
      </c>
      <c r="B1322" s="40">
        <v>960.4000244140625</v>
      </c>
      <c r="C1322" s="40">
        <v>785.68927001953125</v>
      </c>
      <c r="D1322" s="38">
        <v>3041045</v>
      </c>
      <c r="E1322" s="38" t="s">
        <v>1919</v>
      </c>
      <c r="F1322" s="38" t="s">
        <v>618</v>
      </c>
    </row>
    <row r="1323" spans="1:6">
      <c r="A1323" s="38" t="s">
        <v>1941</v>
      </c>
      <c r="B1323" s="40">
        <v>977.95001220703125</v>
      </c>
      <c r="C1323" s="40">
        <v>800.046630859375</v>
      </c>
      <c r="D1323" s="38">
        <v>4620827</v>
      </c>
      <c r="E1323" s="38" t="s">
        <v>1919</v>
      </c>
      <c r="F1323" s="38" t="s">
        <v>618</v>
      </c>
    </row>
    <row r="1324" spans="1:6">
      <c r="A1324" s="38" t="s">
        <v>1942</v>
      </c>
      <c r="B1324" s="40">
        <v>980.95001220703125</v>
      </c>
      <c r="C1324" s="40">
        <v>802.50091552734375</v>
      </c>
      <c r="D1324" s="38">
        <v>2002597</v>
      </c>
      <c r="E1324" s="38" t="s">
        <v>1919</v>
      </c>
      <c r="F1324" s="38" t="s">
        <v>618</v>
      </c>
    </row>
    <row r="1325" spans="1:6">
      <c r="A1325" s="38" t="s">
        <v>1943</v>
      </c>
      <c r="B1325" s="40">
        <v>990.5</v>
      </c>
      <c r="C1325" s="40">
        <v>810.31353759765625</v>
      </c>
      <c r="D1325" s="38">
        <v>2036101</v>
      </c>
      <c r="E1325" s="38" t="s">
        <v>1919</v>
      </c>
      <c r="F1325" s="38" t="s">
        <v>618</v>
      </c>
    </row>
    <row r="1326" spans="1:6">
      <c r="A1326" s="38" t="s">
        <v>1944</v>
      </c>
      <c r="B1326" s="40">
        <v>977.04998779296875</v>
      </c>
      <c r="C1326" s="40">
        <v>799.31036376953125</v>
      </c>
      <c r="D1326" s="38">
        <v>2029457</v>
      </c>
      <c r="E1326" s="38" t="s">
        <v>1919</v>
      </c>
      <c r="F1326" s="38" t="s">
        <v>618</v>
      </c>
    </row>
    <row r="1327" spans="1:6">
      <c r="A1327" s="38" t="s">
        <v>1945</v>
      </c>
      <c r="B1327" s="40">
        <v>962.3499755859375</v>
      </c>
      <c r="C1327" s="40">
        <v>787.2845458984375</v>
      </c>
      <c r="D1327" s="38">
        <v>3070622</v>
      </c>
      <c r="E1327" s="38" t="s">
        <v>1919</v>
      </c>
      <c r="F1327" s="38" t="s">
        <v>618</v>
      </c>
    </row>
    <row r="1328" spans="1:6">
      <c r="A1328" s="38" t="s">
        <v>1946</v>
      </c>
      <c r="B1328" s="40">
        <v>952.20001220703125</v>
      </c>
      <c r="C1328" s="40">
        <v>778.98095703125</v>
      </c>
      <c r="D1328" s="38">
        <v>2090820</v>
      </c>
      <c r="E1328" s="38" t="s">
        <v>1919</v>
      </c>
      <c r="F1328" s="38" t="s">
        <v>618</v>
      </c>
    </row>
    <row r="1329" spans="1:6">
      <c r="A1329" s="38" t="s">
        <v>1947</v>
      </c>
      <c r="B1329" s="40">
        <v>953.3499755859375</v>
      </c>
      <c r="C1329" s="40">
        <v>779.92169189453125</v>
      </c>
      <c r="D1329" s="38">
        <v>2281200</v>
      </c>
      <c r="E1329" s="38" t="s">
        <v>1919</v>
      </c>
      <c r="F1329" s="38" t="s">
        <v>618</v>
      </c>
    </row>
    <row r="1330" spans="1:6">
      <c r="A1330" s="38" t="s">
        <v>1948</v>
      </c>
      <c r="B1330" s="40">
        <v>970.75</v>
      </c>
      <c r="C1330" s="40">
        <v>794.15643310546875</v>
      </c>
      <c r="D1330" s="38">
        <v>2000985</v>
      </c>
      <c r="E1330" s="38" t="s">
        <v>1919</v>
      </c>
      <c r="F1330" s="38" t="s">
        <v>618</v>
      </c>
    </row>
    <row r="1331" spans="1:6">
      <c r="A1331" s="38" t="s">
        <v>1949</v>
      </c>
      <c r="B1331" s="40">
        <v>977.6500244140625</v>
      </c>
      <c r="C1331" s="40">
        <v>799.80120849609375</v>
      </c>
      <c r="D1331" s="38">
        <v>2152740</v>
      </c>
      <c r="E1331" s="38" t="s">
        <v>1919</v>
      </c>
      <c r="F1331" s="38" t="s">
        <v>618</v>
      </c>
    </row>
    <row r="1332" spans="1:6">
      <c r="A1332" s="38" t="s">
        <v>1950</v>
      </c>
      <c r="B1332" s="40">
        <v>973.0999755859375</v>
      </c>
      <c r="C1332" s="40">
        <v>796.0789794921875</v>
      </c>
      <c r="D1332" s="38">
        <v>1769194</v>
      </c>
      <c r="E1332" s="38" t="s">
        <v>1919</v>
      </c>
      <c r="F1332" s="38" t="s">
        <v>618</v>
      </c>
    </row>
    <row r="1333" spans="1:6">
      <c r="A1333" s="38" t="s">
        <v>1951</v>
      </c>
      <c r="B1333" s="40">
        <v>980.5</v>
      </c>
      <c r="C1333" s="40">
        <v>802.13287353515625</v>
      </c>
      <c r="D1333" s="38">
        <v>1534262</v>
      </c>
      <c r="E1333" s="38" t="s">
        <v>1919</v>
      </c>
      <c r="F1333" s="38" t="s">
        <v>618</v>
      </c>
    </row>
    <row r="1334" spans="1:6">
      <c r="A1334" s="38" t="s">
        <v>1952</v>
      </c>
      <c r="B1334" s="40">
        <v>983.70001220703125</v>
      </c>
      <c r="C1334" s="40">
        <v>804.75054931640625</v>
      </c>
      <c r="D1334" s="38">
        <v>1830838</v>
      </c>
      <c r="E1334" s="38" t="s">
        <v>1919</v>
      </c>
      <c r="F1334" s="38" t="s">
        <v>618</v>
      </c>
    </row>
    <row r="1335" spans="1:6">
      <c r="A1335" s="38" t="s">
        <v>1953</v>
      </c>
      <c r="B1335" s="40">
        <v>992.6500244140625</v>
      </c>
      <c r="C1335" s="40">
        <v>812.072509765625</v>
      </c>
      <c r="D1335" s="38">
        <v>2719646</v>
      </c>
      <c r="E1335" s="38" t="s">
        <v>1919</v>
      </c>
      <c r="F1335" s="38" t="s">
        <v>618</v>
      </c>
    </row>
    <row r="1336" spans="1:6">
      <c r="A1336" s="38" t="s">
        <v>1954</v>
      </c>
      <c r="B1336" s="40">
        <v>1007.7999877929688</v>
      </c>
      <c r="C1336" s="40">
        <v>824.46649169921875</v>
      </c>
      <c r="D1336" s="38">
        <v>2013788</v>
      </c>
      <c r="E1336" s="38" t="s">
        <v>1919</v>
      </c>
      <c r="F1336" s="38" t="s">
        <v>618</v>
      </c>
    </row>
    <row r="1337" spans="1:6">
      <c r="A1337" s="38" t="s">
        <v>1955</v>
      </c>
      <c r="B1337" s="40">
        <v>1019.7999877929688</v>
      </c>
      <c r="C1337" s="40">
        <v>834.28350830078125</v>
      </c>
      <c r="D1337" s="38">
        <v>6393813</v>
      </c>
      <c r="E1337" s="38" t="s">
        <v>1919</v>
      </c>
      <c r="F1337" s="38" t="s">
        <v>618</v>
      </c>
    </row>
    <row r="1338" spans="1:6">
      <c r="A1338" s="38" t="s">
        <v>1956</v>
      </c>
      <c r="B1338" s="40">
        <v>1026.25</v>
      </c>
      <c r="C1338" s="40">
        <v>839.56024169921875</v>
      </c>
      <c r="D1338" s="38">
        <v>1839013</v>
      </c>
      <c r="E1338" s="38" t="s">
        <v>1919</v>
      </c>
      <c r="F1338" s="38" t="s">
        <v>618</v>
      </c>
    </row>
    <row r="1339" spans="1:6">
      <c r="A1339" s="38" t="s">
        <v>1957</v>
      </c>
      <c r="B1339" s="40">
        <v>1021.6500244140625</v>
      </c>
      <c r="C1339" s="40">
        <v>835.7969970703125</v>
      </c>
      <c r="D1339" s="38">
        <v>1801746</v>
      </c>
      <c r="E1339" s="38" t="s">
        <v>1919</v>
      </c>
      <c r="F1339" s="38" t="s">
        <v>618</v>
      </c>
    </row>
    <row r="1340" spans="1:6">
      <c r="A1340" s="38" t="s">
        <v>1958</v>
      </c>
      <c r="B1340" s="40">
        <v>1030.5</v>
      </c>
      <c r="C1340" s="40">
        <v>843.03704833984375</v>
      </c>
      <c r="D1340" s="38">
        <v>1262702</v>
      </c>
      <c r="E1340" s="38" t="s">
        <v>1919</v>
      </c>
      <c r="F1340" s="38" t="s">
        <v>618</v>
      </c>
    </row>
    <row r="1341" spans="1:6">
      <c r="A1341" s="38" t="s">
        <v>1959</v>
      </c>
      <c r="B1341" s="40">
        <v>1016.9500122070313</v>
      </c>
      <c r="C1341" s="40">
        <v>831.9520263671875</v>
      </c>
      <c r="D1341" s="38">
        <v>5252186</v>
      </c>
      <c r="E1341" s="38" t="s">
        <v>1919</v>
      </c>
      <c r="F1341" s="38" t="s">
        <v>618</v>
      </c>
    </row>
    <row r="1342" spans="1:6">
      <c r="A1342" s="38" t="s">
        <v>1960</v>
      </c>
      <c r="B1342" s="40">
        <v>1014.3499755859375</v>
      </c>
      <c r="C1342" s="40">
        <v>829.824951171875</v>
      </c>
      <c r="D1342" s="38">
        <v>2024676</v>
      </c>
      <c r="E1342" s="38" t="s">
        <v>1919</v>
      </c>
      <c r="F1342" s="38" t="s">
        <v>618</v>
      </c>
    </row>
    <row r="1343" spans="1:6">
      <c r="A1343" s="38" t="s">
        <v>1961</v>
      </c>
      <c r="B1343" s="40">
        <v>1019.2000122070313</v>
      </c>
      <c r="C1343" s="40">
        <v>833.79266357421875</v>
      </c>
      <c r="D1343" s="38">
        <v>2315912</v>
      </c>
      <c r="E1343" s="38" t="s">
        <v>1919</v>
      </c>
      <c r="F1343" s="38" t="s">
        <v>618</v>
      </c>
    </row>
    <row r="1344" spans="1:6">
      <c r="A1344" s="38" t="s">
        <v>1962</v>
      </c>
      <c r="B1344" s="40">
        <v>1034.4000244140625</v>
      </c>
      <c r="C1344" s="40">
        <v>846.2275390625</v>
      </c>
      <c r="D1344" s="38">
        <v>1745475</v>
      </c>
      <c r="E1344" s="38" t="s">
        <v>1919</v>
      </c>
      <c r="F1344" s="38" t="s">
        <v>618</v>
      </c>
    </row>
    <row r="1345" spans="1:6">
      <c r="A1345" s="38" t="s">
        <v>1963</v>
      </c>
      <c r="B1345" s="40">
        <v>1057.75</v>
      </c>
      <c r="C1345" s="40">
        <v>865.32989501953125</v>
      </c>
      <c r="D1345" s="38">
        <v>4517995</v>
      </c>
      <c r="E1345" s="38" t="s">
        <v>1919</v>
      </c>
      <c r="F1345" s="38" t="s">
        <v>618</v>
      </c>
    </row>
    <row r="1346" spans="1:6">
      <c r="A1346" s="38" t="s">
        <v>1964</v>
      </c>
      <c r="B1346" s="40">
        <v>1052.25</v>
      </c>
      <c r="C1346" s="40">
        <v>860.830322265625</v>
      </c>
      <c r="D1346" s="38">
        <v>2163655</v>
      </c>
      <c r="E1346" s="38" t="s">
        <v>1919</v>
      </c>
      <c r="F1346" s="38" t="s">
        <v>618</v>
      </c>
    </row>
    <row r="1347" spans="1:6">
      <c r="A1347" s="38" t="s">
        <v>1965</v>
      </c>
      <c r="B1347" s="40">
        <v>1064.9000244140625</v>
      </c>
      <c r="C1347" s="40">
        <v>871.17926025390625</v>
      </c>
      <c r="D1347" s="38">
        <v>3934077</v>
      </c>
      <c r="E1347" s="38" t="s">
        <v>1919</v>
      </c>
      <c r="F1347" s="38" t="s">
        <v>618</v>
      </c>
    </row>
    <row r="1348" spans="1:6">
      <c r="A1348" s="38" t="s">
        <v>1966</v>
      </c>
      <c r="B1348" s="40">
        <v>1073</v>
      </c>
      <c r="C1348" s="40">
        <v>877.80560302734375</v>
      </c>
      <c r="D1348" s="38">
        <v>4988857</v>
      </c>
      <c r="E1348" s="38" t="s">
        <v>1919</v>
      </c>
      <c r="F1348" s="38" t="s">
        <v>618</v>
      </c>
    </row>
    <row r="1349" spans="1:6">
      <c r="A1349" s="38" t="s">
        <v>1967</v>
      </c>
      <c r="B1349" s="40">
        <v>1069.25</v>
      </c>
      <c r="C1349" s="40">
        <v>874.73779296875</v>
      </c>
      <c r="D1349" s="38">
        <v>2757666</v>
      </c>
      <c r="E1349" s="38" t="s">
        <v>1919</v>
      </c>
      <c r="F1349" s="38" t="s">
        <v>618</v>
      </c>
    </row>
    <row r="1350" spans="1:6">
      <c r="A1350" s="38" t="s">
        <v>1968</v>
      </c>
      <c r="B1350" s="40">
        <v>1066.8499755859375</v>
      </c>
      <c r="C1350" s="40">
        <v>872.7742919921875</v>
      </c>
      <c r="D1350" s="38">
        <v>3484298</v>
      </c>
      <c r="E1350" s="38" t="s">
        <v>1919</v>
      </c>
      <c r="F1350" s="38" t="s">
        <v>618</v>
      </c>
    </row>
    <row r="1351" spans="1:6">
      <c r="A1351" s="38" t="s">
        <v>1969</v>
      </c>
      <c r="B1351" s="40">
        <v>1069.1500244140625</v>
      </c>
      <c r="C1351" s="40">
        <v>874.65606689453125</v>
      </c>
      <c r="D1351" s="38">
        <v>1881596</v>
      </c>
      <c r="E1351" s="38" t="s">
        <v>1919</v>
      </c>
      <c r="F1351" s="38" t="s">
        <v>618</v>
      </c>
    </row>
    <row r="1352" spans="1:6">
      <c r="A1352" s="38" t="s">
        <v>1970</v>
      </c>
      <c r="B1352" s="40">
        <v>1080.25</v>
      </c>
      <c r="C1352" s="40">
        <v>883.73675537109375</v>
      </c>
      <c r="D1352" s="38">
        <v>3161931</v>
      </c>
      <c r="E1352" s="38" t="s">
        <v>1919</v>
      </c>
      <c r="F1352" s="38" t="s">
        <v>618</v>
      </c>
    </row>
    <row r="1353" spans="1:6">
      <c r="A1353" s="38" t="s">
        <v>1971</v>
      </c>
      <c r="B1353" s="40">
        <v>1070.699951171875</v>
      </c>
      <c r="C1353" s="40">
        <v>875.92413330078125</v>
      </c>
      <c r="D1353" s="38">
        <v>4396398</v>
      </c>
      <c r="E1353" s="38" t="s">
        <v>1919</v>
      </c>
      <c r="F1353" s="38" t="s">
        <v>618</v>
      </c>
    </row>
    <row r="1354" spans="1:6">
      <c r="A1354" s="38" t="s">
        <v>1972</v>
      </c>
      <c r="B1354" s="40">
        <v>1062.9000244140625</v>
      </c>
      <c r="C1354" s="40">
        <v>869.54296875</v>
      </c>
      <c r="D1354" s="38">
        <v>1074790</v>
      </c>
      <c r="E1354" s="38" t="s">
        <v>1919</v>
      </c>
      <c r="F1354" s="38" t="s">
        <v>618</v>
      </c>
    </row>
    <row r="1355" spans="1:6">
      <c r="A1355" s="38" t="s">
        <v>1973</v>
      </c>
      <c r="B1355" s="40">
        <v>1057.199951171875</v>
      </c>
      <c r="C1355" s="40">
        <v>864.8798828125</v>
      </c>
      <c r="D1355" s="38">
        <v>2437289</v>
      </c>
      <c r="E1355" s="38" t="s">
        <v>1919</v>
      </c>
      <c r="F1355" s="38" t="s">
        <v>618</v>
      </c>
    </row>
    <row r="1356" spans="1:6">
      <c r="A1356" s="38" t="s">
        <v>1974</v>
      </c>
      <c r="B1356" s="40">
        <v>1056.449951171875</v>
      </c>
      <c r="C1356" s="40">
        <v>864.26629638671875</v>
      </c>
      <c r="D1356" s="38">
        <v>4130539</v>
      </c>
      <c r="E1356" s="38" t="s">
        <v>1919</v>
      </c>
      <c r="F1356" s="38" t="s">
        <v>618</v>
      </c>
    </row>
    <row r="1357" spans="1:6">
      <c r="A1357" s="38" t="s">
        <v>1975</v>
      </c>
      <c r="B1357" s="40">
        <v>1080</v>
      </c>
      <c r="C1357" s="40">
        <v>883.5322265625</v>
      </c>
      <c r="D1357" s="38">
        <v>3617010</v>
      </c>
      <c r="E1357" s="38" t="s">
        <v>1919</v>
      </c>
      <c r="F1357" s="38" t="s">
        <v>618</v>
      </c>
    </row>
    <row r="1358" spans="1:6">
      <c r="A1358" s="38" t="s">
        <v>1976</v>
      </c>
      <c r="B1358" s="40">
        <v>1089.5</v>
      </c>
      <c r="C1358" s="40">
        <v>891.3040771484375</v>
      </c>
      <c r="D1358" s="38">
        <v>3200049</v>
      </c>
      <c r="E1358" s="38" t="s">
        <v>1919</v>
      </c>
      <c r="F1358" s="38" t="s">
        <v>618</v>
      </c>
    </row>
    <row r="1359" spans="1:6">
      <c r="A1359" s="38" t="s">
        <v>1977</v>
      </c>
      <c r="B1359" s="40">
        <v>1105.0999755859375</v>
      </c>
      <c r="C1359" s="40">
        <v>904.066162109375</v>
      </c>
      <c r="D1359" s="38">
        <v>2143755</v>
      </c>
      <c r="E1359" s="38" t="s">
        <v>1919</v>
      </c>
      <c r="F1359" s="38" t="s">
        <v>618</v>
      </c>
    </row>
    <row r="1360" spans="1:6">
      <c r="A1360" s="38" t="s">
        <v>1978</v>
      </c>
      <c r="B1360" s="40">
        <v>1088.1500244140625</v>
      </c>
      <c r="C1360" s="40">
        <v>890.19970703125</v>
      </c>
      <c r="D1360" s="38">
        <v>2956332</v>
      </c>
      <c r="E1360" s="38" t="s">
        <v>1919</v>
      </c>
      <c r="F1360" s="38" t="s">
        <v>618</v>
      </c>
    </row>
    <row r="1361" spans="1:6">
      <c r="A1361" s="38" t="s">
        <v>1979</v>
      </c>
      <c r="B1361" s="40">
        <v>1095.449951171875</v>
      </c>
      <c r="C1361" s="40">
        <v>896.171630859375</v>
      </c>
      <c r="D1361" s="38">
        <v>1917370</v>
      </c>
      <c r="E1361" s="38" t="s">
        <v>1919</v>
      </c>
      <c r="F1361" s="38" t="s">
        <v>618</v>
      </c>
    </row>
    <row r="1362" spans="1:6">
      <c r="A1362" s="38" t="s">
        <v>1980</v>
      </c>
      <c r="B1362" s="40">
        <v>1085.1500244140625</v>
      </c>
      <c r="C1362" s="40">
        <v>887.74542236328125</v>
      </c>
      <c r="D1362" s="38">
        <v>1459518</v>
      </c>
      <c r="E1362" s="38" t="s">
        <v>1919</v>
      </c>
      <c r="F1362" s="38" t="s">
        <v>618</v>
      </c>
    </row>
    <row r="1363" spans="1:6">
      <c r="A1363" s="38" t="s">
        <v>1981</v>
      </c>
      <c r="B1363" s="40">
        <v>1089.4000244140625</v>
      </c>
      <c r="C1363" s="40">
        <v>891.22222900390625</v>
      </c>
      <c r="D1363" s="38">
        <v>1669409</v>
      </c>
      <c r="E1363" s="38" t="s">
        <v>1919</v>
      </c>
      <c r="F1363" s="38" t="s">
        <v>618</v>
      </c>
    </row>
    <row r="1364" spans="1:6">
      <c r="A1364" s="38" t="s">
        <v>1982</v>
      </c>
      <c r="B1364" s="40">
        <v>1074.6500244140625</v>
      </c>
      <c r="C1364" s="40">
        <v>879.155517578125</v>
      </c>
      <c r="D1364" s="38">
        <v>2597359</v>
      </c>
      <c r="E1364" s="38" t="s">
        <v>1919</v>
      </c>
      <c r="F1364" s="38" t="s">
        <v>618</v>
      </c>
    </row>
    <row r="1365" spans="1:6">
      <c r="A1365" s="38" t="s">
        <v>1983</v>
      </c>
      <c r="B1365" s="40">
        <v>1049.550048828125</v>
      </c>
      <c r="C1365" s="40">
        <v>858.62158203125</v>
      </c>
      <c r="D1365" s="38">
        <v>3865594</v>
      </c>
      <c r="E1365" s="38" t="s">
        <v>1919</v>
      </c>
      <c r="F1365" s="38" t="s">
        <v>618</v>
      </c>
    </row>
    <row r="1366" spans="1:6">
      <c r="A1366" s="38" t="s">
        <v>1984</v>
      </c>
      <c r="B1366" s="40">
        <v>1045.9000244140625</v>
      </c>
      <c r="C1366" s="40">
        <v>855.635498046875</v>
      </c>
      <c r="D1366" s="38">
        <v>3713891</v>
      </c>
      <c r="E1366" s="38" t="s">
        <v>1919</v>
      </c>
      <c r="F1366" s="38" t="s">
        <v>618</v>
      </c>
    </row>
    <row r="1367" spans="1:6">
      <c r="A1367" s="38" t="s">
        <v>1985</v>
      </c>
      <c r="B1367" s="40">
        <v>1060.1500244140625</v>
      </c>
      <c r="C1367" s="40">
        <v>867.29327392578125</v>
      </c>
      <c r="D1367" s="38">
        <v>2171947</v>
      </c>
      <c r="E1367" s="38" t="s">
        <v>1919</v>
      </c>
      <c r="F1367" s="38" t="s">
        <v>618</v>
      </c>
    </row>
    <row r="1368" spans="1:6">
      <c r="A1368" s="38" t="s">
        <v>1986</v>
      </c>
      <c r="B1368" s="40">
        <v>1051.75</v>
      </c>
      <c r="C1368" s="40">
        <v>860.42132568359375</v>
      </c>
      <c r="D1368" s="38">
        <v>1889035</v>
      </c>
      <c r="E1368" s="38" t="s">
        <v>1919</v>
      </c>
      <c r="F1368" s="38" t="s">
        <v>618</v>
      </c>
    </row>
    <row r="1369" spans="1:6">
      <c r="A1369" s="38" t="s">
        <v>1987</v>
      </c>
      <c r="B1369" s="40">
        <v>1056.5999755859375</v>
      </c>
      <c r="C1369" s="40">
        <v>864.3890380859375</v>
      </c>
      <c r="D1369" s="38">
        <v>3224820</v>
      </c>
      <c r="E1369" s="38" t="s">
        <v>1919</v>
      </c>
      <c r="F1369" s="38" t="s">
        <v>618</v>
      </c>
    </row>
    <row r="1370" spans="1:6">
      <c r="A1370" s="38" t="s">
        <v>1988</v>
      </c>
      <c r="B1370" s="40">
        <v>1050.1500244140625</v>
      </c>
      <c r="C1370" s="40">
        <v>859.1124267578125</v>
      </c>
      <c r="D1370" s="38">
        <v>1908081</v>
      </c>
      <c r="E1370" s="38" t="s">
        <v>1919</v>
      </c>
      <c r="F1370" s="38" t="s">
        <v>618</v>
      </c>
    </row>
    <row r="1371" spans="1:6">
      <c r="A1371" s="38" t="s">
        <v>1989</v>
      </c>
      <c r="B1371" s="40">
        <v>1078.5</v>
      </c>
      <c r="C1371" s="40">
        <v>882.30517578125</v>
      </c>
      <c r="D1371" s="38">
        <v>3173326</v>
      </c>
      <c r="E1371" s="38" t="s">
        <v>1919</v>
      </c>
      <c r="F1371" s="38" t="s">
        <v>618</v>
      </c>
    </row>
    <row r="1372" spans="1:6">
      <c r="A1372" s="38" t="s">
        <v>1990</v>
      </c>
      <c r="B1372" s="40">
        <v>1112.449951171875</v>
      </c>
      <c r="C1372" s="40">
        <v>910.0792236328125</v>
      </c>
      <c r="D1372" s="38">
        <v>5922995</v>
      </c>
      <c r="E1372" s="38" t="s">
        <v>1919</v>
      </c>
      <c r="F1372" s="38" t="s">
        <v>618</v>
      </c>
    </row>
    <row r="1373" spans="1:6">
      <c r="A1373" s="38" t="s">
        <v>1991</v>
      </c>
      <c r="B1373" s="40">
        <v>1103.1500244140625</v>
      </c>
      <c r="C1373" s="40">
        <v>902.4710693359375</v>
      </c>
      <c r="D1373" s="38">
        <v>2323939</v>
      </c>
      <c r="E1373" s="38" t="s">
        <v>1919</v>
      </c>
      <c r="F1373" s="38" t="s">
        <v>618</v>
      </c>
    </row>
    <row r="1374" spans="1:6">
      <c r="A1374" s="38" t="s">
        <v>1992</v>
      </c>
      <c r="B1374" s="40">
        <v>1094.199951171875</v>
      </c>
      <c r="C1374" s="40">
        <v>895.1490478515625</v>
      </c>
      <c r="D1374" s="38">
        <v>1409001</v>
      </c>
      <c r="E1374" s="38" t="s">
        <v>1919</v>
      </c>
      <c r="F1374" s="38" t="s">
        <v>618</v>
      </c>
    </row>
    <row r="1375" spans="1:6">
      <c r="A1375" s="38" t="s">
        <v>1993</v>
      </c>
      <c r="B1375" s="40">
        <v>1087.199951171875</v>
      </c>
      <c r="C1375" s="40">
        <v>889.42236328125</v>
      </c>
      <c r="D1375" s="38">
        <v>1230858</v>
      </c>
      <c r="E1375" s="38" t="s">
        <v>1919</v>
      </c>
      <c r="F1375" s="38" t="s">
        <v>618</v>
      </c>
    </row>
    <row r="1376" spans="1:6">
      <c r="A1376" s="38" t="s">
        <v>1994</v>
      </c>
      <c r="B1376" s="40">
        <v>1148.5999755859375</v>
      </c>
      <c r="C1376" s="40">
        <v>939.65289306640625</v>
      </c>
      <c r="D1376" s="38">
        <v>7309727</v>
      </c>
      <c r="E1376" s="38" t="s">
        <v>1919</v>
      </c>
      <c r="F1376" s="38" t="s">
        <v>618</v>
      </c>
    </row>
    <row r="1377" spans="1:6">
      <c r="A1377" s="38" t="s">
        <v>1995</v>
      </c>
      <c r="B1377" s="40">
        <v>1131</v>
      </c>
      <c r="C1377" s="40">
        <v>950.0693359375</v>
      </c>
      <c r="D1377" s="38">
        <v>2840803</v>
      </c>
      <c r="E1377" s="38" t="s">
        <v>1919</v>
      </c>
      <c r="F1377" s="38" t="s">
        <v>618</v>
      </c>
    </row>
    <row r="1378" spans="1:6">
      <c r="A1378" s="38" t="s">
        <v>1996</v>
      </c>
      <c r="B1378" s="40">
        <v>1120.199951171875</v>
      </c>
      <c r="C1378" s="40">
        <v>940.99700927734375</v>
      </c>
      <c r="D1378" s="38">
        <v>984581</v>
      </c>
      <c r="E1378" s="38" t="s">
        <v>1919</v>
      </c>
      <c r="F1378" s="38" t="s">
        <v>618</v>
      </c>
    </row>
    <row r="1379" spans="1:6">
      <c r="A1379" s="38" t="s">
        <v>1997</v>
      </c>
      <c r="B1379" s="40">
        <v>1120.8499755859375</v>
      </c>
      <c r="C1379" s="40">
        <v>941.54296875</v>
      </c>
      <c r="D1379" s="38">
        <v>1397105</v>
      </c>
      <c r="E1379" s="38" t="s">
        <v>1919</v>
      </c>
      <c r="F1379" s="38" t="s">
        <v>618</v>
      </c>
    </row>
    <row r="1380" spans="1:6">
      <c r="A1380" s="38" t="s">
        <v>1998</v>
      </c>
      <c r="B1380" s="40">
        <v>1119.550048828125</v>
      </c>
      <c r="C1380" s="40">
        <v>940.45086669921875</v>
      </c>
      <c r="D1380" s="38">
        <v>2533035</v>
      </c>
      <c r="E1380" s="38" t="s">
        <v>1919</v>
      </c>
      <c r="F1380" s="38" t="s">
        <v>618</v>
      </c>
    </row>
    <row r="1381" spans="1:6">
      <c r="A1381" s="38" t="s">
        <v>1999</v>
      </c>
      <c r="B1381" s="40">
        <v>1127.800048828125</v>
      </c>
      <c r="C1381" s="40">
        <v>947.38104248046875</v>
      </c>
      <c r="D1381" s="38">
        <v>3821405</v>
      </c>
      <c r="E1381" s="38" t="s">
        <v>1919</v>
      </c>
      <c r="F1381" s="38" t="s">
        <v>618</v>
      </c>
    </row>
    <row r="1382" spans="1:6">
      <c r="A1382" s="38" t="s">
        <v>2000</v>
      </c>
      <c r="B1382" s="40">
        <v>1209.550048828125</v>
      </c>
      <c r="C1382" s="40">
        <v>1016.053466796875</v>
      </c>
      <c r="D1382" s="38">
        <v>20425030</v>
      </c>
      <c r="E1382" s="38" t="s">
        <v>1919</v>
      </c>
      <c r="F1382" s="38" t="s">
        <v>618</v>
      </c>
    </row>
    <row r="1383" spans="1:6">
      <c r="A1383" s="38" t="s">
        <v>2001</v>
      </c>
      <c r="B1383" s="40">
        <v>1210.699951171875</v>
      </c>
      <c r="C1383" s="40">
        <v>1017.0193481445313</v>
      </c>
      <c r="D1383" s="38">
        <v>2385223</v>
      </c>
      <c r="E1383" s="38" t="s">
        <v>1919</v>
      </c>
      <c r="F1383" s="38" t="s">
        <v>618</v>
      </c>
    </row>
    <row r="1384" spans="1:6">
      <c r="A1384" s="38" t="s">
        <v>2002</v>
      </c>
      <c r="B1384" s="40">
        <v>1226.25</v>
      </c>
      <c r="C1384" s="40">
        <v>1030.0816650390625</v>
      </c>
      <c r="D1384" s="38">
        <v>2603616</v>
      </c>
      <c r="E1384" s="38" t="s">
        <v>1919</v>
      </c>
      <c r="F1384" s="38" t="s">
        <v>618</v>
      </c>
    </row>
    <row r="1385" spans="1:6">
      <c r="A1385" s="38" t="s">
        <v>2003</v>
      </c>
      <c r="B1385" s="40">
        <v>1216.5</v>
      </c>
      <c r="C1385" s="40">
        <v>1021.891357421875</v>
      </c>
      <c r="D1385" s="38">
        <v>1938175</v>
      </c>
      <c r="E1385" s="38" t="s">
        <v>1919</v>
      </c>
      <c r="F1385" s="38" t="s">
        <v>618</v>
      </c>
    </row>
    <row r="1386" spans="1:6">
      <c r="A1386" s="38" t="s">
        <v>2004</v>
      </c>
      <c r="B1386" s="40">
        <v>1248.199951171875</v>
      </c>
      <c r="C1386" s="40">
        <v>1048.5201416015625</v>
      </c>
      <c r="D1386" s="38">
        <v>5790873</v>
      </c>
      <c r="E1386" s="38" t="s">
        <v>1919</v>
      </c>
      <c r="F1386" s="38" t="s">
        <v>618</v>
      </c>
    </row>
    <row r="1387" spans="1:6">
      <c r="A1387" s="38" t="s">
        <v>2005</v>
      </c>
      <c r="B1387" s="40">
        <v>1264.5999755859375</v>
      </c>
      <c r="C1387" s="40">
        <v>1062.296630859375</v>
      </c>
      <c r="D1387" s="38">
        <v>3894726</v>
      </c>
      <c r="E1387" s="38" t="s">
        <v>1919</v>
      </c>
      <c r="F1387" s="38" t="s">
        <v>618</v>
      </c>
    </row>
    <row r="1388" spans="1:6">
      <c r="A1388" s="38" t="s">
        <v>2006</v>
      </c>
      <c r="B1388" s="40">
        <v>1287.449951171875</v>
      </c>
      <c r="C1388" s="40">
        <v>1081.4912109375</v>
      </c>
      <c r="D1388" s="38">
        <v>6585101</v>
      </c>
      <c r="E1388" s="38" t="s">
        <v>1919</v>
      </c>
      <c r="F1388" s="38" t="s">
        <v>618</v>
      </c>
    </row>
    <row r="1389" spans="1:6">
      <c r="A1389" s="38" t="s">
        <v>2007</v>
      </c>
      <c r="B1389" s="40">
        <v>1323.050048828125</v>
      </c>
      <c r="C1389" s="40">
        <v>1111.396240234375</v>
      </c>
      <c r="D1389" s="38">
        <v>6314469</v>
      </c>
      <c r="E1389" s="38" t="s">
        <v>1919</v>
      </c>
      <c r="F1389" s="38" t="s">
        <v>618</v>
      </c>
    </row>
    <row r="1390" spans="1:6">
      <c r="A1390" s="38" t="s">
        <v>2008</v>
      </c>
      <c r="B1390" s="40">
        <v>1323.5999755859375</v>
      </c>
      <c r="C1390" s="40">
        <v>1111.8582763671875</v>
      </c>
      <c r="D1390" s="38">
        <v>3430349</v>
      </c>
      <c r="E1390" s="38" t="s">
        <v>1919</v>
      </c>
      <c r="F1390" s="38" t="s">
        <v>618</v>
      </c>
    </row>
    <row r="1391" spans="1:6">
      <c r="A1391" s="38" t="s">
        <v>2009</v>
      </c>
      <c r="B1391" s="40">
        <v>1386.550048828125</v>
      </c>
      <c r="C1391" s="40">
        <v>1164.73779296875</v>
      </c>
      <c r="D1391" s="38">
        <v>8613315</v>
      </c>
      <c r="E1391" s="38" t="s">
        <v>1919</v>
      </c>
      <c r="F1391" s="38" t="s">
        <v>618</v>
      </c>
    </row>
    <row r="1392" spans="1:6">
      <c r="A1392" s="38" t="s">
        <v>2010</v>
      </c>
      <c r="B1392" s="40">
        <v>1383.1500244140625</v>
      </c>
      <c r="C1392" s="40">
        <v>1161.8818359375</v>
      </c>
      <c r="D1392" s="38">
        <v>4760344</v>
      </c>
      <c r="E1392" s="38" t="s">
        <v>1919</v>
      </c>
      <c r="F1392" s="38" t="s">
        <v>618</v>
      </c>
    </row>
    <row r="1393" spans="1:6">
      <c r="A1393" s="38" t="s">
        <v>2011</v>
      </c>
      <c r="B1393" s="40">
        <v>1367.8499755859375</v>
      </c>
      <c r="C1393" s="40">
        <v>1149.029296875</v>
      </c>
      <c r="D1393" s="38">
        <v>2912430</v>
      </c>
      <c r="E1393" s="38" t="s">
        <v>1919</v>
      </c>
      <c r="F1393" s="38" t="s">
        <v>618</v>
      </c>
    </row>
    <row r="1394" spans="1:6">
      <c r="A1394" s="38" t="s">
        <v>2012</v>
      </c>
      <c r="B1394" s="40">
        <v>1413.699951171875</v>
      </c>
      <c r="C1394" s="40">
        <v>1187.5445556640625</v>
      </c>
      <c r="D1394" s="38">
        <v>8042970</v>
      </c>
      <c r="E1394" s="38" t="s">
        <v>1919</v>
      </c>
      <c r="F1394" s="38" t="s">
        <v>618</v>
      </c>
    </row>
    <row r="1395" spans="1:6">
      <c r="A1395" s="38" t="s">
        <v>2013</v>
      </c>
      <c r="B1395" s="40">
        <v>1412.5</v>
      </c>
      <c r="C1395" s="40">
        <v>1186.5362548828125</v>
      </c>
      <c r="D1395" s="38">
        <v>2939739</v>
      </c>
      <c r="E1395" s="38" t="s">
        <v>1919</v>
      </c>
      <c r="F1395" s="38" t="s">
        <v>618</v>
      </c>
    </row>
    <row r="1396" spans="1:6">
      <c r="A1396" s="38" t="s">
        <v>2014</v>
      </c>
      <c r="B1396" s="40">
        <v>1399.199951171875</v>
      </c>
      <c r="C1396" s="40">
        <v>1175.3641357421875</v>
      </c>
      <c r="D1396" s="38">
        <v>4051399</v>
      </c>
      <c r="E1396" s="38" t="s">
        <v>1919</v>
      </c>
      <c r="F1396" s="38" t="s">
        <v>618</v>
      </c>
    </row>
    <row r="1397" spans="1:6">
      <c r="A1397" s="38" t="s">
        <v>2015</v>
      </c>
      <c r="B1397" s="40">
        <v>1416</v>
      </c>
      <c r="C1397" s="40">
        <v>1189.4766845703125</v>
      </c>
      <c r="D1397" s="38">
        <v>3987240</v>
      </c>
      <c r="E1397" s="38" t="s">
        <v>1919</v>
      </c>
      <c r="F1397" s="38" t="s">
        <v>618</v>
      </c>
    </row>
    <row r="1398" spans="1:6">
      <c r="A1398" s="38" t="s">
        <v>2016</v>
      </c>
      <c r="B1398" s="40">
        <v>1463.3499755859375</v>
      </c>
      <c r="C1398" s="40">
        <v>1229.251708984375</v>
      </c>
      <c r="D1398" s="38">
        <v>5366923</v>
      </c>
      <c r="E1398" s="38" t="s">
        <v>1919</v>
      </c>
      <c r="F1398" s="38" t="s">
        <v>618</v>
      </c>
    </row>
    <row r="1399" spans="1:6">
      <c r="A1399" s="38" t="s">
        <v>2017</v>
      </c>
      <c r="B1399" s="40">
        <v>1463.0999755859375</v>
      </c>
      <c r="C1399" s="40">
        <v>1229.0418701171875</v>
      </c>
      <c r="D1399" s="38">
        <v>3105863</v>
      </c>
      <c r="E1399" s="38" t="s">
        <v>1919</v>
      </c>
      <c r="F1399" s="38" t="s">
        <v>618</v>
      </c>
    </row>
    <row r="1400" spans="1:6">
      <c r="A1400" s="38" t="s">
        <v>2018</v>
      </c>
      <c r="B1400" s="40">
        <v>1449.5</v>
      </c>
      <c r="C1400" s="40">
        <v>1217.61767578125</v>
      </c>
      <c r="D1400" s="38">
        <v>1993944</v>
      </c>
      <c r="E1400" s="38" t="s">
        <v>1919</v>
      </c>
      <c r="F1400" s="38" t="s">
        <v>618</v>
      </c>
    </row>
    <row r="1401" spans="1:6">
      <c r="A1401" s="38" t="s">
        <v>2019</v>
      </c>
      <c r="B1401" s="40">
        <v>1445.4000244140625</v>
      </c>
      <c r="C1401" s="40">
        <v>1214.1734619140625</v>
      </c>
      <c r="D1401" s="38">
        <v>3097939</v>
      </c>
      <c r="E1401" s="38" t="s">
        <v>1919</v>
      </c>
      <c r="F1401" s="38" t="s">
        <v>618</v>
      </c>
    </row>
    <row r="1402" spans="1:6">
      <c r="A1402" s="38" t="s">
        <v>2020</v>
      </c>
      <c r="B1402" s="40">
        <v>1419.199951171875</v>
      </c>
      <c r="C1402" s="40">
        <v>1192.1646728515625</v>
      </c>
      <c r="D1402" s="38">
        <v>2742699</v>
      </c>
      <c r="E1402" s="38" t="s">
        <v>1919</v>
      </c>
      <c r="F1402" s="38" t="s">
        <v>618</v>
      </c>
    </row>
    <row r="1403" spans="1:6">
      <c r="A1403" s="38" t="s">
        <v>2021</v>
      </c>
      <c r="B1403" s="40">
        <v>1447.6500244140625</v>
      </c>
      <c r="C1403" s="40">
        <v>1216.0635986328125</v>
      </c>
      <c r="D1403" s="38">
        <v>6392991</v>
      </c>
      <c r="E1403" s="38" t="s">
        <v>1919</v>
      </c>
      <c r="F1403" s="38" t="s">
        <v>618</v>
      </c>
    </row>
    <row r="1404" spans="1:6">
      <c r="A1404" s="38" t="s">
        <v>2022</v>
      </c>
      <c r="B1404" s="40">
        <v>1436.300048828125</v>
      </c>
      <c r="C1404" s="40">
        <v>1206.5291748046875</v>
      </c>
      <c r="D1404" s="38">
        <v>1829925</v>
      </c>
      <c r="E1404" s="38" t="s">
        <v>1919</v>
      </c>
      <c r="F1404" s="38" t="s">
        <v>618</v>
      </c>
    </row>
    <row r="1405" spans="1:6">
      <c r="A1405" s="38" t="s">
        <v>2023</v>
      </c>
      <c r="B1405" s="40">
        <v>1437.800048828125</v>
      </c>
      <c r="C1405" s="40">
        <v>1207.789306640625</v>
      </c>
      <c r="D1405" s="38">
        <v>3860958</v>
      </c>
      <c r="E1405" s="38" t="s">
        <v>1919</v>
      </c>
      <c r="F1405" s="38" t="s">
        <v>618</v>
      </c>
    </row>
    <row r="1406" spans="1:6">
      <c r="A1406" s="38" t="s">
        <v>2024</v>
      </c>
      <c r="B1406" s="40">
        <v>1441.949951171875</v>
      </c>
      <c r="C1406" s="40">
        <v>1211.275146484375</v>
      </c>
      <c r="D1406" s="38">
        <v>1919590</v>
      </c>
      <c r="E1406" s="38" t="s">
        <v>1919</v>
      </c>
      <c r="F1406" s="38" t="s">
        <v>618</v>
      </c>
    </row>
    <row r="1407" spans="1:6">
      <c r="A1407" s="38" t="s">
        <v>2025</v>
      </c>
      <c r="B1407" s="40">
        <v>1461.1500244140625</v>
      </c>
      <c r="C1407" s="40">
        <v>1227.40380859375</v>
      </c>
      <c r="D1407" s="38">
        <v>1801171</v>
      </c>
      <c r="E1407" s="38" t="s">
        <v>1919</v>
      </c>
      <c r="F1407" s="38" t="s">
        <v>618</v>
      </c>
    </row>
    <row r="1408" spans="1:6">
      <c r="A1408" s="38" t="s">
        <v>2026</v>
      </c>
      <c r="B1408" s="40">
        <v>1435.199951171875</v>
      </c>
      <c r="C1408" s="40">
        <v>1205.605224609375</v>
      </c>
      <c r="D1408" s="38">
        <v>1940043</v>
      </c>
      <c r="E1408" s="38" t="s">
        <v>1919</v>
      </c>
      <c r="F1408" s="38" t="s">
        <v>618</v>
      </c>
    </row>
    <row r="1409" spans="1:6">
      <c r="A1409" s="38" t="s">
        <v>2027</v>
      </c>
      <c r="B1409" s="40">
        <v>1427.8499755859375</v>
      </c>
      <c r="C1409" s="40">
        <v>1199.4307861328125</v>
      </c>
      <c r="D1409" s="38">
        <v>2256454</v>
      </c>
      <c r="E1409" s="38" t="s">
        <v>1919</v>
      </c>
      <c r="F1409" s="38" t="s">
        <v>618</v>
      </c>
    </row>
    <row r="1410" spans="1:6">
      <c r="A1410" s="38" t="s">
        <v>2028</v>
      </c>
      <c r="B1410" s="40">
        <v>1433.25</v>
      </c>
      <c r="C1410" s="40">
        <v>1203.9671630859375</v>
      </c>
      <c r="D1410" s="38">
        <v>2303457</v>
      </c>
      <c r="E1410" s="38" t="s">
        <v>1919</v>
      </c>
      <c r="F1410" s="38" t="s">
        <v>618</v>
      </c>
    </row>
    <row r="1411" spans="1:6">
      <c r="A1411" s="38" t="s">
        <v>2029</v>
      </c>
      <c r="B1411" s="40">
        <v>1429.5</v>
      </c>
      <c r="C1411" s="40">
        <v>1200.816650390625</v>
      </c>
      <c r="D1411" s="38">
        <v>1937241</v>
      </c>
      <c r="E1411" s="38" t="s">
        <v>1919</v>
      </c>
      <c r="F1411" s="38" t="s">
        <v>618</v>
      </c>
    </row>
    <row r="1412" spans="1:6">
      <c r="A1412" s="38" t="s">
        <v>2030</v>
      </c>
      <c r="B1412" s="40">
        <v>1452.050048828125</v>
      </c>
      <c r="C1412" s="40">
        <v>1219.7596435546875</v>
      </c>
      <c r="D1412" s="38">
        <v>1554999</v>
      </c>
      <c r="E1412" s="38" t="s">
        <v>1919</v>
      </c>
      <c r="F1412" s="38" t="s">
        <v>618</v>
      </c>
    </row>
    <row r="1413" spans="1:6">
      <c r="A1413" s="38" t="s">
        <v>2031</v>
      </c>
      <c r="B1413" s="40">
        <v>1464.8499755859375</v>
      </c>
      <c r="C1413" s="40">
        <v>1230.511962890625</v>
      </c>
      <c r="D1413" s="38">
        <v>2410087</v>
      </c>
      <c r="E1413" s="38" t="s">
        <v>1919</v>
      </c>
      <c r="F1413" s="38" t="s">
        <v>618</v>
      </c>
    </row>
    <row r="1414" spans="1:6">
      <c r="A1414" s="38" t="s">
        <v>2032</v>
      </c>
      <c r="B1414" s="40">
        <v>1448.3499755859375</v>
      </c>
      <c r="C1414" s="40">
        <v>1216.6513671875</v>
      </c>
      <c r="D1414" s="38">
        <v>1800078</v>
      </c>
      <c r="E1414" s="38" t="s">
        <v>1919</v>
      </c>
      <c r="F1414" s="38" t="s">
        <v>618</v>
      </c>
    </row>
    <row r="1415" spans="1:6">
      <c r="A1415" s="38" t="s">
        <v>2033</v>
      </c>
      <c r="B1415" s="40">
        <v>1451.550048828125</v>
      </c>
      <c r="C1415" s="40">
        <v>1219.339599609375</v>
      </c>
      <c r="D1415" s="38">
        <v>2861623</v>
      </c>
      <c r="E1415" s="38" t="s">
        <v>1919</v>
      </c>
      <c r="F1415" s="38" t="s">
        <v>618</v>
      </c>
    </row>
    <row r="1416" spans="1:6">
      <c r="A1416" s="38" t="s">
        <v>2034</v>
      </c>
      <c r="B1416" s="40">
        <v>1431.300048828125</v>
      </c>
      <c r="C1416" s="40">
        <v>1202.3292236328125</v>
      </c>
      <c r="D1416" s="38">
        <v>2526342</v>
      </c>
      <c r="E1416" s="38" t="s">
        <v>1919</v>
      </c>
      <c r="F1416" s="38" t="s">
        <v>618</v>
      </c>
    </row>
    <row r="1417" spans="1:6">
      <c r="A1417" s="38" t="s">
        <v>2035</v>
      </c>
      <c r="B1417" s="40">
        <v>1461.699951171875</v>
      </c>
      <c r="C1417" s="40">
        <v>1227.8656005859375</v>
      </c>
      <c r="D1417" s="38">
        <v>1713705</v>
      </c>
      <c r="E1417" s="38" t="s">
        <v>1919</v>
      </c>
      <c r="F1417" s="38" t="s">
        <v>618</v>
      </c>
    </row>
    <row r="1418" spans="1:6">
      <c r="A1418" s="38" t="s">
        <v>2036</v>
      </c>
      <c r="B1418" s="40">
        <v>1513.5999755859375</v>
      </c>
      <c r="C1418" s="40">
        <v>1271.4630126953125</v>
      </c>
      <c r="D1418" s="38">
        <v>5145820</v>
      </c>
      <c r="E1418" s="38" t="s">
        <v>1919</v>
      </c>
      <c r="F1418" s="38" t="s">
        <v>618</v>
      </c>
    </row>
    <row r="1419" spans="1:6">
      <c r="A1419" s="38" t="s">
        <v>2037</v>
      </c>
      <c r="B1419" s="40">
        <v>1521.5</v>
      </c>
      <c r="C1419" s="40">
        <v>1278.09912109375</v>
      </c>
      <c r="D1419" s="38">
        <v>2015302</v>
      </c>
      <c r="E1419" s="38" t="s">
        <v>1919</v>
      </c>
      <c r="F1419" s="38" t="s">
        <v>618</v>
      </c>
    </row>
    <row r="1420" spans="1:6">
      <c r="A1420" s="38" t="s">
        <v>2038</v>
      </c>
      <c r="B1420" s="40">
        <v>1514.75</v>
      </c>
      <c r="C1420" s="40">
        <v>1272.42919921875</v>
      </c>
      <c r="D1420" s="38">
        <v>3592146</v>
      </c>
      <c r="E1420" s="38" t="s">
        <v>1919</v>
      </c>
      <c r="F1420" s="38" t="s">
        <v>618</v>
      </c>
    </row>
    <row r="1421" spans="1:6">
      <c r="A1421" s="38" t="s">
        <v>2039</v>
      </c>
      <c r="B1421" s="40">
        <v>1464.4000244140625</v>
      </c>
      <c r="C1421" s="40">
        <v>1230.1337890625</v>
      </c>
      <c r="D1421" s="38">
        <v>2728552</v>
      </c>
      <c r="E1421" s="38" t="s">
        <v>1919</v>
      </c>
      <c r="F1421" s="38" t="s">
        <v>618</v>
      </c>
    </row>
    <row r="1422" spans="1:6">
      <c r="A1422" s="38" t="s">
        <v>2040</v>
      </c>
      <c r="B1422" s="40">
        <v>1414.050048828125</v>
      </c>
      <c r="C1422" s="40">
        <v>1187.838623046875</v>
      </c>
      <c r="D1422" s="38">
        <v>3995669</v>
      </c>
      <c r="E1422" s="38" t="s">
        <v>1919</v>
      </c>
      <c r="F1422" s="38" t="s">
        <v>618</v>
      </c>
    </row>
    <row r="1423" spans="1:6">
      <c r="A1423" s="38" t="s">
        <v>2041</v>
      </c>
      <c r="B1423" s="40">
        <v>1395.3499755859375</v>
      </c>
      <c r="C1423" s="40">
        <v>1172.1300048828125</v>
      </c>
      <c r="D1423" s="38">
        <v>7948104</v>
      </c>
      <c r="E1423" s="38" t="s">
        <v>1919</v>
      </c>
      <c r="F1423" s="38" t="s">
        <v>618</v>
      </c>
    </row>
    <row r="1424" spans="1:6">
      <c r="A1424" s="38" t="s">
        <v>2042</v>
      </c>
      <c r="B1424" s="40">
        <v>1380.5999755859375</v>
      </c>
      <c r="C1424" s="40">
        <v>1159.739501953125</v>
      </c>
      <c r="D1424" s="38">
        <v>3856630</v>
      </c>
      <c r="E1424" s="38" t="s">
        <v>1919</v>
      </c>
      <c r="F1424" s="38" t="s">
        <v>618</v>
      </c>
    </row>
    <row r="1425" spans="1:6">
      <c r="A1425" s="38" t="s">
        <v>2043</v>
      </c>
      <c r="B1425" s="40">
        <v>1371.25</v>
      </c>
      <c r="C1425" s="40">
        <v>1151.885498046875</v>
      </c>
      <c r="D1425" s="38">
        <v>2661824</v>
      </c>
      <c r="E1425" s="38" t="s">
        <v>1919</v>
      </c>
      <c r="F1425" s="38" t="s">
        <v>618</v>
      </c>
    </row>
    <row r="1426" spans="1:6">
      <c r="A1426" s="38" t="s">
        <v>2044</v>
      </c>
      <c r="B1426" s="40">
        <v>1399.050048828125</v>
      </c>
      <c r="C1426" s="40">
        <v>1175.238037109375</v>
      </c>
      <c r="D1426" s="38">
        <v>2538936</v>
      </c>
      <c r="E1426" s="38" t="s">
        <v>1919</v>
      </c>
      <c r="F1426" s="38" t="s">
        <v>618</v>
      </c>
    </row>
    <row r="1427" spans="1:6">
      <c r="A1427" s="38" t="s">
        <v>2045</v>
      </c>
      <c r="B1427" s="40">
        <v>1413.050048828125</v>
      </c>
      <c r="C1427" s="40">
        <v>1186.99853515625</v>
      </c>
      <c r="D1427" s="38">
        <v>2481825</v>
      </c>
      <c r="E1427" s="38" t="s">
        <v>1919</v>
      </c>
      <c r="F1427" s="38" t="s">
        <v>618</v>
      </c>
    </row>
    <row r="1428" spans="1:6">
      <c r="A1428" s="38" t="s">
        <v>2046</v>
      </c>
      <c r="B1428" s="40">
        <v>1385.6500244140625</v>
      </c>
      <c r="C1428" s="40">
        <v>1163.9818115234375</v>
      </c>
      <c r="D1428" s="38">
        <v>2769341</v>
      </c>
      <c r="E1428" s="38" t="s">
        <v>1919</v>
      </c>
      <c r="F1428" s="38" t="s">
        <v>618</v>
      </c>
    </row>
    <row r="1429" spans="1:6">
      <c r="A1429" s="38" t="s">
        <v>2047</v>
      </c>
      <c r="B1429" s="40">
        <v>1417.199951171875</v>
      </c>
      <c r="C1429" s="40">
        <v>1190.4847412109375</v>
      </c>
      <c r="D1429" s="38">
        <v>1956325</v>
      </c>
      <c r="E1429" s="38" t="s">
        <v>1919</v>
      </c>
      <c r="F1429" s="38" t="s">
        <v>618</v>
      </c>
    </row>
    <row r="1430" spans="1:6">
      <c r="A1430" s="38" t="s">
        <v>2048</v>
      </c>
      <c r="B1430" s="40">
        <v>1439.949951171875</v>
      </c>
      <c r="C1430" s="40">
        <v>1209.59521484375</v>
      </c>
      <c r="D1430" s="38">
        <v>2665924</v>
      </c>
      <c r="E1430" s="38" t="s">
        <v>1919</v>
      </c>
      <c r="F1430" s="38" t="s">
        <v>618</v>
      </c>
    </row>
    <row r="1431" spans="1:6">
      <c r="A1431" s="38" t="s">
        <v>2049</v>
      </c>
      <c r="B1431" s="40">
        <v>1400.199951171875</v>
      </c>
      <c r="C1431" s="40">
        <v>1176.2041015625</v>
      </c>
      <c r="D1431" s="38">
        <v>3073366</v>
      </c>
      <c r="E1431" s="38" t="s">
        <v>1919</v>
      </c>
      <c r="F1431" s="38" t="s">
        <v>618</v>
      </c>
    </row>
    <row r="1432" spans="1:6">
      <c r="A1432" s="38" t="s">
        <v>2050</v>
      </c>
      <c r="B1432" s="40">
        <v>1374.449951171875</v>
      </c>
      <c r="C1432" s="40">
        <v>1154.573486328125</v>
      </c>
      <c r="D1432" s="38">
        <v>2965629</v>
      </c>
      <c r="E1432" s="38" t="s">
        <v>1919</v>
      </c>
      <c r="F1432" s="38" t="s">
        <v>618</v>
      </c>
    </row>
    <row r="1433" spans="1:6">
      <c r="A1433" s="38" t="s">
        <v>2051</v>
      </c>
      <c r="B1433" s="40">
        <v>1402.1500244140625</v>
      </c>
      <c r="C1433" s="40">
        <v>1177.8421630859375</v>
      </c>
      <c r="D1433" s="38">
        <v>1738985</v>
      </c>
      <c r="E1433" s="38" t="s">
        <v>1919</v>
      </c>
      <c r="F1433" s="38" t="s">
        <v>618</v>
      </c>
    </row>
    <row r="1434" spans="1:6">
      <c r="A1434" s="38" t="s">
        <v>2052</v>
      </c>
      <c r="B1434" s="40">
        <v>1430.800048828125</v>
      </c>
      <c r="C1434" s="40">
        <v>1201.9090576171875</v>
      </c>
      <c r="D1434" s="38">
        <v>4328124</v>
      </c>
      <c r="E1434" s="38" t="s">
        <v>1919</v>
      </c>
      <c r="F1434" s="38" t="s">
        <v>618</v>
      </c>
    </row>
    <row r="1435" spans="1:6">
      <c r="A1435" s="38" t="s">
        <v>2053</v>
      </c>
      <c r="B1435" s="40">
        <v>1479.6500244140625</v>
      </c>
      <c r="C1435" s="40">
        <v>1242.9443359375</v>
      </c>
      <c r="D1435" s="38">
        <v>3579606</v>
      </c>
      <c r="E1435" s="38" t="s">
        <v>1919</v>
      </c>
      <c r="F1435" s="38" t="s">
        <v>618</v>
      </c>
    </row>
    <row r="1436" spans="1:6">
      <c r="A1436" s="38" t="s">
        <v>2054</v>
      </c>
      <c r="B1436" s="40">
        <v>1539.0999755859375</v>
      </c>
      <c r="C1436" s="40">
        <v>1292.8837890625</v>
      </c>
      <c r="D1436" s="38">
        <v>8645334</v>
      </c>
      <c r="E1436" s="38" t="s">
        <v>1919</v>
      </c>
      <c r="F1436" s="38" t="s">
        <v>618</v>
      </c>
    </row>
    <row r="1437" spans="1:6">
      <c r="A1437" s="38" t="s">
        <v>2055</v>
      </c>
      <c r="B1437" s="40">
        <v>1539.300048828125</v>
      </c>
      <c r="C1437" s="40">
        <v>1293.0517578125</v>
      </c>
      <c r="D1437" s="38">
        <v>5159270</v>
      </c>
      <c r="E1437" s="38" t="s">
        <v>1919</v>
      </c>
      <c r="F1437" s="38" t="s">
        <v>618</v>
      </c>
    </row>
    <row r="1438" spans="1:6">
      <c r="A1438" s="38" t="s">
        <v>2056</v>
      </c>
      <c r="B1438" s="40">
        <v>1524.25</v>
      </c>
      <c r="C1438" s="40">
        <v>1280.4095458984375</v>
      </c>
      <c r="D1438" s="38">
        <v>4261416</v>
      </c>
      <c r="E1438" s="38" t="s">
        <v>1919</v>
      </c>
      <c r="F1438" s="38" t="s">
        <v>618</v>
      </c>
    </row>
    <row r="1439" spans="1:6">
      <c r="A1439" s="38" t="s">
        <v>2057</v>
      </c>
      <c r="B1439" s="40">
        <v>1517.449951171875</v>
      </c>
      <c r="C1439" s="40">
        <v>1274.697265625</v>
      </c>
      <c r="D1439" s="38">
        <v>5223521</v>
      </c>
      <c r="E1439" s="38" t="s">
        <v>1919</v>
      </c>
      <c r="F1439" s="38" t="s">
        <v>618</v>
      </c>
    </row>
    <row r="1440" spans="1:6">
      <c r="A1440" s="38" t="s">
        <v>2058</v>
      </c>
      <c r="B1440" s="40">
        <v>1524.0999755859375</v>
      </c>
      <c r="C1440" s="40">
        <v>1280.283447265625</v>
      </c>
      <c r="D1440" s="38">
        <v>3890467</v>
      </c>
      <c r="E1440" s="38" t="s">
        <v>1919</v>
      </c>
      <c r="F1440" s="38" t="s">
        <v>618</v>
      </c>
    </row>
    <row r="1441" spans="1:6">
      <c r="A1441" s="38" t="s">
        <v>2059</v>
      </c>
      <c r="B1441" s="40">
        <v>1563.300048828125</v>
      </c>
      <c r="C1441" s="40">
        <v>1313.21240234375</v>
      </c>
      <c r="D1441" s="38">
        <v>16978043</v>
      </c>
      <c r="E1441" s="38" t="s">
        <v>1919</v>
      </c>
      <c r="F1441" s="38" t="s">
        <v>618</v>
      </c>
    </row>
    <row r="1442" spans="1:6">
      <c r="A1442" s="38" t="s">
        <v>2060</v>
      </c>
      <c r="B1442" s="40">
        <v>1567.8499755859375</v>
      </c>
      <c r="C1442" s="40">
        <v>1317.0345458984375</v>
      </c>
      <c r="D1442" s="38">
        <v>3624131</v>
      </c>
      <c r="E1442" s="38" t="s">
        <v>1919</v>
      </c>
      <c r="F1442" s="38" t="s">
        <v>618</v>
      </c>
    </row>
    <row r="1443" spans="1:6">
      <c r="A1443" s="38" t="s">
        <v>2061</v>
      </c>
      <c r="B1443" s="40">
        <v>1533.300048828125</v>
      </c>
      <c r="C1443" s="40">
        <v>1288.01171875</v>
      </c>
      <c r="D1443" s="38">
        <v>3054565</v>
      </c>
      <c r="E1443" s="38" t="s">
        <v>1919</v>
      </c>
      <c r="F1443" s="38" t="s">
        <v>618</v>
      </c>
    </row>
    <row r="1444" spans="1:6">
      <c r="A1444" s="38" t="s">
        <v>2062</v>
      </c>
      <c r="B1444" s="40">
        <v>1477.8499755859375</v>
      </c>
      <c r="C1444" s="40">
        <v>1241.4320068359375</v>
      </c>
      <c r="D1444" s="38">
        <v>3795495</v>
      </c>
      <c r="E1444" s="38" t="s">
        <v>1919</v>
      </c>
      <c r="F1444" s="38" t="s">
        <v>618</v>
      </c>
    </row>
    <row r="1445" spans="1:6">
      <c r="A1445" s="38" t="s">
        <v>2063</v>
      </c>
      <c r="B1445" s="40">
        <v>1522.1500244140625</v>
      </c>
      <c r="C1445" s="40">
        <v>1278.645263671875</v>
      </c>
      <c r="D1445" s="38">
        <v>2271900</v>
      </c>
      <c r="E1445" s="38" t="s">
        <v>1919</v>
      </c>
      <c r="F1445" s="38" t="s">
        <v>618</v>
      </c>
    </row>
    <row r="1446" spans="1:6">
      <c r="A1446" s="38" t="s">
        <v>2064</v>
      </c>
      <c r="B1446" s="40">
        <v>1490.5999755859375</v>
      </c>
      <c r="C1446" s="40">
        <v>1264.6046142578125</v>
      </c>
      <c r="D1446" s="38">
        <v>2041689</v>
      </c>
      <c r="E1446" s="38" t="s">
        <v>1919</v>
      </c>
      <c r="F1446" s="38" t="s">
        <v>618</v>
      </c>
    </row>
    <row r="1447" spans="1:6">
      <c r="A1447" s="38" t="s">
        <v>2065</v>
      </c>
      <c r="B1447" s="40">
        <v>1498.550048828125</v>
      </c>
      <c r="C1447" s="40">
        <v>1271.3492431640625</v>
      </c>
      <c r="D1447" s="38">
        <v>2697346</v>
      </c>
      <c r="E1447" s="38" t="s">
        <v>1919</v>
      </c>
      <c r="F1447" s="38" t="s">
        <v>618</v>
      </c>
    </row>
    <row r="1448" spans="1:6">
      <c r="A1448" s="38" t="s">
        <v>2066</v>
      </c>
      <c r="B1448" s="40">
        <v>1505.8499755859375</v>
      </c>
      <c r="C1448" s="40">
        <v>1277.54248046875</v>
      </c>
      <c r="D1448" s="38">
        <v>166444</v>
      </c>
      <c r="E1448" s="38" t="s">
        <v>1919</v>
      </c>
      <c r="F1448" s="38" t="s">
        <v>618</v>
      </c>
    </row>
    <row r="1449" spans="1:6">
      <c r="A1449" s="38" t="s">
        <v>2067</v>
      </c>
      <c r="B1449" s="40">
        <v>1556.199951171875</v>
      </c>
      <c r="C1449" s="40">
        <v>1320.2586669921875</v>
      </c>
      <c r="D1449" s="38">
        <v>3050392</v>
      </c>
      <c r="E1449" s="38" t="s">
        <v>1919</v>
      </c>
      <c r="F1449" s="38" t="s">
        <v>618</v>
      </c>
    </row>
    <row r="1450" spans="1:6">
      <c r="A1450" s="38" t="s">
        <v>2068</v>
      </c>
      <c r="B1450" s="40">
        <v>1559.199951171875</v>
      </c>
      <c r="C1450" s="40">
        <v>1322.803955078125</v>
      </c>
      <c r="D1450" s="38">
        <v>2061369</v>
      </c>
      <c r="E1450" s="38" t="s">
        <v>1919</v>
      </c>
      <c r="F1450" s="38" t="s">
        <v>618</v>
      </c>
    </row>
    <row r="1451" spans="1:6">
      <c r="A1451" s="38" t="s">
        <v>2069</v>
      </c>
      <c r="B1451" s="40">
        <v>1566.5999755859375</v>
      </c>
      <c r="C1451" s="40">
        <v>1329.081787109375</v>
      </c>
      <c r="D1451" s="38">
        <v>1299996</v>
      </c>
      <c r="E1451" s="38" t="s">
        <v>1919</v>
      </c>
      <c r="F1451" s="38" t="s">
        <v>618</v>
      </c>
    </row>
    <row r="1452" spans="1:6">
      <c r="A1452" s="38" t="s">
        <v>2070</v>
      </c>
      <c r="B1452" s="40">
        <v>1521.949951171875</v>
      </c>
      <c r="C1452" s="40">
        <v>1291.2015380859375</v>
      </c>
      <c r="D1452" s="38">
        <v>3027565</v>
      </c>
      <c r="E1452" s="38" t="s">
        <v>1919</v>
      </c>
      <c r="F1452" s="38" t="s">
        <v>618</v>
      </c>
    </row>
    <row r="1453" spans="1:6">
      <c r="A1453" s="38" t="s">
        <v>2071</v>
      </c>
      <c r="B1453" s="40">
        <v>1585</v>
      </c>
      <c r="C1453" s="40">
        <v>1344.6922607421875</v>
      </c>
      <c r="D1453" s="38">
        <v>3713868</v>
      </c>
      <c r="E1453" s="38" t="s">
        <v>1919</v>
      </c>
      <c r="F1453" s="38" t="s">
        <v>618</v>
      </c>
    </row>
    <row r="1454" spans="1:6">
      <c r="A1454" s="38" t="s">
        <v>2072</v>
      </c>
      <c r="B1454" s="40">
        <v>1579.1500244140625</v>
      </c>
      <c r="C1454" s="40">
        <v>1339.729248046875</v>
      </c>
      <c r="D1454" s="38">
        <v>2448280</v>
      </c>
      <c r="E1454" s="38" t="s">
        <v>1919</v>
      </c>
      <c r="F1454" s="38" t="s">
        <v>618</v>
      </c>
    </row>
    <row r="1455" spans="1:6">
      <c r="A1455" s="38" t="s">
        <v>2073</v>
      </c>
      <c r="B1455" s="40">
        <v>1599.9000244140625</v>
      </c>
      <c r="C1455" s="40">
        <v>1357.3331298828125</v>
      </c>
      <c r="D1455" s="38">
        <v>2864344</v>
      </c>
      <c r="E1455" s="38" t="s">
        <v>1919</v>
      </c>
      <c r="F1455" s="38" t="s">
        <v>618</v>
      </c>
    </row>
    <row r="1456" spans="1:6">
      <c r="A1456" s="38" t="s">
        <v>2074</v>
      </c>
      <c r="B1456" s="40">
        <v>1618.449951171875</v>
      </c>
      <c r="C1456" s="40">
        <v>1373.07080078125</v>
      </c>
      <c r="D1456" s="38">
        <v>2304359</v>
      </c>
      <c r="E1456" s="38" t="s">
        <v>1919</v>
      </c>
      <c r="F1456" s="38" t="s">
        <v>618</v>
      </c>
    </row>
    <row r="1457" spans="1:6">
      <c r="A1457" s="38" t="s">
        <v>2075</v>
      </c>
      <c r="B1457" s="40">
        <v>1567.75</v>
      </c>
      <c r="C1457" s="40">
        <v>1330.0574951171875</v>
      </c>
      <c r="D1457" s="38">
        <v>2938804</v>
      </c>
      <c r="E1457" s="38" t="s">
        <v>1919</v>
      </c>
      <c r="F1457" s="38" t="s">
        <v>618</v>
      </c>
    </row>
    <row r="1458" spans="1:6">
      <c r="A1458" s="38" t="s">
        <v>2076</v>
      </c>
      <c r="B1458" s="40">
        <v>1541.300048828125</v>
      </c>
      <c r="C1458" s="40">
        <v>1307.6177978515625</v>
      </c>
      <c r="D1458" s="38">
        <v>1951782</v>
      </c>
      <c r="E1458" s="38" t="s">
        <v>1919</v>
      </c>
      <c r="F1458" s="38" t="s">
        <v>618</v>
      </c>
    </row>
    <row r="1459" spans="1:6">
      <c r="A1459" s="38" t="s">
        <v>2077</v>
      </c>
      <c r="B1459" s="40">
        <v>1560.550048828125</v>
      </c>
      <c r="C1459" s="40">
        <v>1323.94921875</v>
      </c>
      <c r="D1459" s="38">
        <v>1823592</v>
      </c>
      <c r="E1459" s="38" t="s">
        <v>1919</v>
      </c>
      <c r="F1459" s="38" t="s">
        <v>618</v>
      </c>
    </row>
    <row r="1460" spans="1:6">
      <c r="A1460" s="38" t="s">
        <v>2078</v>
      </c>
      <c r="B1460" s="40">
        <v>1538.0999755859375</v>
      </c>
      <c r="C1460" s="40">
        <v>1304.9029541015625</v>
      </c>
      <c r="D1460" s="38">
        <v>1644163</v>
      </c>
      <c r="E1460" s="38" t="s">
        <v>1919</v>
      </c>
      <c r="F1460" s="38" t="s">
        <v>618</v>
      </c>
    </row>
    <row r="1461" spans="1:6">
      <c r="A1461" s="38" t="s">
        <v>2079</v>
      </c>
      <c r="B1461" s="40">
        <v>1559.3499755859375</v>
      </c>
      <c r="C1461" s="40">
        <v>1322.9310302734375</v>
      </c>
      <c r="D1461" s="38">
        <v>1557493</v>
      </c>
      <c r="E1461" s="38" t="s">
        <v>1919</v>
      </c>
      <c r="F1461" s="38" t="s">
        <v>618</v>
      </c>
    </row>
    <row r="1462" spans="1:6">
      <c r="A1462" s="38" t="s">
        <v>2080</v>
      </c>
      <c r="B1462" s="40">
        <v>1527.4000244140625</v>
      </c>
      <c r="C1462" s="40">
        <v>1295.8253173828125</v>
      </c>
      <c r="D1462" s="38">
        <v>1522173</v>
      </c>
      <c r="E1462" s="38" t="s">
        <v>1919</v>
      </c>
      <c r="F1462" s="38" t="s">
        <v>618</v>
      </c>
    </row>
    <row r="1463" spans="1:6">
      <c r="A1463" s="38" t="s">
        <v>2081</v>
      </c>
      <c r="B1463" s="40">
        <v>1536.6500244140625</v>
      </c>
      <c r="C1463" s="40">
        <v>1303.6727294921875</v>
      </c>
      <c r="D1463" s="38">
        <v>1995524</v>
      </c>
      <c r="E1463" s="38" t="s">
        <v>1919</v>
      </c>
      <c r="F1463" s="38" t="s">
        <v>618</v>
      </c>
    </row>
    <row r="1464" spans="1:6">
      <c r="A1464" s="38" t="s">
        <v>2082</v>
      </c>
      <c r="B1464" s="40">
        <v>1541.449951171875</v>
      </c>
      <c r="C1464" s="40">
        <v>1307.7451171875</v>
      </c>
      <c r="D1464" s="38">
        <v>5662900</v>
      </c>
      <c r="E1464" s="38" t="s">
        <v>1919</v>
      </c>
      <c r="F1464" s="38" t="s">
        <v>618</v>
      </c>
    </row>
    <row r="1465" spans="1:6">
      <c r="A1465" s="38" t="s">
        <v>2083</v>
      </c>
      <c r="B1465" s="40">
        <v>1587.5999755859375</v>
      </c>
      <c r="C1465" s="40">
        <v>1346.8980712890625</v>
      </c>
      <c r="D1465" s="38">
        <v>2761193</v>
      </c>
      <c r="E1465" s="38" t="s">
        <v>1919</v>
      </c>
      <c r="F1465" s="38" t="s">
        <v>618</v>
      </c>
    </row>
    <row r="1466" spans="1:6">
      <c r="A1466" s="38" t="s">
        <v>2084</v>
      </c>
      <c r="B1466" s="40">
        <v>1629.6500244140625</v>
      </c>
      <c r="C1466" s="40">
        <v>1382.5726318359375</v>
      </c>
      <c r="D1466" s="38">
        <v>2664202</v>
      </c>
      <c r="E1466" s="38" t="s">
        <v>1919</v>
      </c>
      <c r="F1466" s="38" t="s">
        <v>618</v>
      </c>
    </row>
    <row r="1467" spans="1:6">
      <c r="A1467" s="38" t="s">
        <v>2085</v>
      </c>
      <c r="B1467" s="40">
        <v>1593.300048828125</v>
      </c>
      <c r="C1467" s="40">
        <v>1351.73388671875</v>
      </c>
      <c r="D1467" s="38">
        <v>2400296</v>
      </c>
      <c r="E1467" s="38" t="s">
        <v>1919</v>
      </c>
      <c r="F1467" s="38" t="s">
        <v>618</v>
      </c>
    </row>
    <row r="1468" spans="1:6">
      <c r="A1468" s="38" t="s">
        <v>2086</v>
      </c>
      <c r="B1468" s="40">
        <v>1551.75</v>
      </c>
      <c r="C1468" s="40">
        <v>1316.4833984375</v>
      </c>
      <c r="D1468" s="38">
        <v>2911781</v>
      </c>
      <c r="E1468" s="38" t="s">
        <v>1919</v>
      </c>
      <c r="F1468" s="38" t="s">
        <v>618</v>
      </c>
    </row>
    <row r="1469" spans="1:6">
      <c r="A1469" s="38" t="s">
        <v>2087</v>
      </c>
      <c r="B1469" s="40">
        <v>1576.6500244140625</v>
      </c>
      <c r="C1469" s="40">
        <v>1337.6082763671875</v>
      </c>
      <c r="D1469" s="38">
        <v>1758254</v>
      </c>
      <c r="E1469" s="38" t="s">
        <v>1919</v>
      </c>
      <c r="F1469" s="38" t="s">
        <v>618</v>
      </c>
    </row>
    <row r="1470" spans="1:6">
      <c r="A1470" s="38" t="s">
        <v>2088</v>
      </c>
      <c r="B1470" s="40">
        <v>1604.800048828125</v>
      </c>
      <c r="C1470" s="40">
        <v>1361.490234375</v>
      </c>
      <c r="D1470" s="38">
        <v>1604565</v>
      </c>
      <c r="E1470" s="38" t="s">
        <v>1919</v>
      </c>
      <c r="F1470" s="38" t="s">
        <v>618</v>
      </c>
    </row>
    <row r="1471" spans="1:6">
      <c r="A1471" s="38" t="s">
        <v>2089</v>
      </c>
      <c r="B1471" s="40">
        <v>1611.199951171875</v>
      </c>
      <c r="C1471" s="40">
        <v>1366.9197998046875</v>
      </c>
      <c r="D1471" s="38">
        <v>1947954</v>
      </c>
      <c r="E1471" s="38" t="s">
        <v>1919</v>
      </c>
      <c r="F1471" s="38" t="s">
        <v>618</v>
      </c>
    </row>
    <row r="1472" spans="1:6">
      <c r="A1472" s="38" t="s">
        <v>2090</v>
      </c>
      <c r="B1472" s="40">
        <v>1602.6500244140625</v>
      </c>
      <c r="C1472" s="40">
        <v>1359.6661376953125</v>
      </c>
      <c r="D1472" s="38">
        <v>1776362</v>
      </c>
      <c r="E1472" s="38" t="s">
        <v>1919</v>
      </c>
      <c r="F1472" s="38" t="s">
        <v>618</v>
      </c>
    </row>
    <row r="1473" spans="1:6">
      <c r="A1473" s="38" t="s">
        <v>2091</v>
      </c>
      <c r="B1473" s="40">
        <v>1638.1500244140625</v>
      </c>
      <c r="C1473" s="40">
        <v>1389.7840576171875</v>
      </c>
      <c r="D1473" s="38">
        <v>3163063</v>
      </c>
      <c r="E1473" s="38" t="s">
        <v>1919</v>
      </c>
      <c r="F1473" s="38" t="s">
        <v>618</v>
      </c>
    </row>
    <row r="1474" spans="1:6">
      <c r="A1474" s="38" t="s">
        <v>2092</v>
      </c>
      <c r="B1474" s="40">
        <v>1642.699951171875</v>
      </c>
      <c r="C1474" s="40">
        <v>1393.64404296875</v>
      </c>
      <c r="D1474" s="38">
        <v>2725454</v>
      </c>
      <c r="E1474" s="38" t="s">
        <v>1919</v>
      </c>
      <c r="F1474" s="38" t="s">
        <v>618</v>
      </c>
    </row>
    <row r="1475" spans="1:6">
      <c r="A1475" s="38" t="s">
        <v>2093</v>
      </c>
      <c r="B1475" s="40">
        <v>1641.5999755859375</v>
      </c>
      <c r="C1475" s="40">
        <v>1392.7109375</v>
      </c>
      <c r="D1475" s="38">
        <v>1622068</v>
      </c>
      <c r="E1475" s="38" t="s">
        <v>1919</v>
      </c>
      <c r="F1475" s="38" t="s">
        <v>618</v>
      </c>
    </row>
    <row r="1476" spans="1:6">
      <c r="A1476" s="38" t="s">
        <v>2094</v>
      </c>
      <c r="B1476" s="40">
        <v>1652.6500244140625</v>
      </c>
      <c r="C1476" s="40">
        <v>1402.0855712890625</v>
      </c>
      <c r="D1476" s="38">
        <v>2225836</v>
      </c>
      <c r="E1476" s="38" t="s">
        <v>1919</v>
      </c>
      <c r="F1476" s="38" t="s">
        <v>618</v>
      </c>
    </row>
    <row r="1477" spans="1:6">
      <c r="A1477" s="38" t="s">
        <v>2095</v>
      </c>
      <c r="B1477" s="40">
        <v>1642.8499755859375</v>
      </c>
      <c r="C1477" s="40">
        <v>1393.771240234375</v>
      </c>
      <c r="D1477" s="38">
        <v>3405084</v>
      </c>
      <c r="E1477" s="38" t="s">
        <v>1919</v>
      </c>
      <c r="F1477" s="38" t="s">
        <v>618</v>
      </c>
    </row>
    <row r="1478" spans="1:6">
      <c r="A1478" s="38" t="s">
        <v>2096</v>
      </c>
      <c r="B1478" s="40">
        <v>1598.050048828125</v>
      </c>
      <c r="C1478" s="40">
        <v>1355.763671875</v>
      </c>
      <c r="D1478" s="38">
        <v>2233189</v>
      </c>
      <c r="E1478" s="38" t="s">
        <v>1919</v>
      </c>
      <c r="F1478" s="38" t="s">
        <v>618</v>
      </c>
    </row>
    <row r="1479" spans="1:6">
      <c r="A1479" s="38" t="s">
        <v>2097</v>
      </c>
      <c r="B1479" s="40">
        <v>1632.949951171875</v>
      </c>
      <c r="C1479" s="40">
        <v>1385.3724365234375</v>
      </c>
      <c r="D1479" s="38">
        <v>2237445</v>
      </c>
      <c r="E1479" s="38" t="s">
        <v>1919</v>
      </c>
      <c r="F1479" s="38" t="s">
        <v>618</v>
      </c>
    </row>
    <row r="1480" spans="1:6">
      <c r="A1480" s="38" t="s">
        <v>2098</v>
      </c>
      <c r="B1480" s="40">
        <v>1659.75</v>
      </c>
      <c r="C1480" s="40">
        <v>1408.1090087890625</v>
      </c>
      <c r="D1480" s="38">
        <v>1656110</v>
      </c>
      <c r="E1480" s="38" t="s">
        <v>1919</v>
      </c>
      <c r="F1480" s="38" t="s">
        <v>618</v>
      </c>
    </row>
    <row r="1481" spans="1:6">
      <c r="A1481" s="38" t="s">
        <v>2099</v>
      </c>
      <c r="B1481" s="40">
        <v>1683.800048828125</v>
      </c>
      <c r="C1481" s="40">
        <v>1428.5128173828125</v>
      </c>
      <c r="D1481" s="38">
        <v>1715034</v>
      </c>
      <c r="E1481" s="38" t="s">
        <v>1919</v>
      </c>
      <c r="F1481" s="38" t="s">
        <v>618</v>
      </c>
    </row>
    <row r="1482" spans="1:6">
      <c r="A1482" s="38" t="s">
        <v>2100</v>
      </c>
      <c r="B1482" s="40">
        <v>1723.800048828125</v>
      </c>
      <c r="C1482" s="40">
        <v>1462.448486328125</v>
      </c>
      <c r="D1482" s="38">
        <v>3343946</v>
      </c>
      <c r="E1482" s="38" t="s">
        <v>1919</v>
      </c>
      <c r="F1482" s="38" t="s">
        <v>618</v>
      </c>
    </row>
    <row r="1483" spans="1:6">
      <c r="A1483" s="38" t="s">
        <v>2101</v>
      </c>
      <c r="B1483" s="40">
        <v>1785</v>
      </c>
      <c r="C1483" s="40">
        <v>1514.3695068359375</v>
      </c>
      <c r="D1483" s="38">
        <v>4512000</v>
      </c>
      <c r="E1483" s="38" t="s">
        <v>1919</v>
      </c>
      <c r="F1483" s="38" t="s">
        <v>618</v>
      </c>
    </row>
    <row r="1484" spans="1:6">
      <c r="A1484" s="38" t="s">
        <v>2102</v>
      </c>
      <c r="B1484" s="40">
        <v>1806.0999755859375</v>
      </c>
      <c r="C1484" s="40">
        <v>1532.2703857421875</v>
      </c>
      <c r="D1484" s="38">
        <v>3605483</v>
      </c>
      <c r="E1484" s="38" t="s">
        <v>1919</v>
      </c>
      <c r="F1484" s="38" t="s">
        <v>618</v>
      </c>
    </row>
    <row r="1485" spans="1:6">
      <c r="A1485" s="38" t="s">
        <v>2103</v>
      </c>
      <c r="B1485" s="40">
        <v>1786.8499755859375</v>
      </c>
      <c r="C1485" s="40">
        <v>1515.9388427734375</v>
      </c>
      <c r="D1485" s="38">
        <v>1902921</v>
      </c>
      <c r="E1485" s="38" t="s">
        <v>1919</v>
      </c>
      <c r="F1485" s="38" t="s">
        <v>618</v>
      </c>
    </row>
    <row r="1486" spans="1:6">
      <c r="A1486" s="38" t="s">
        <v>2104</v>
      </c>
      <c r="B1486" s="40">
        <v>1799.949951171875</v>
      </c>
      <c r="C1486" s="40">
        <v>1527.0528564453125</v>
      </c>
      <c r="D1486" s="38">
        <v>4650594</v>
      </c>
      <c r="E1486" s="38" t="s">
        <v>1919</v>
      </c>
      <c r="F1486" s="38" t="s">
        <v>618</v>
      </c>
    </row>
    <row r="1487" spans="1:6">
      <c r="A1487" s="38" t="s">
        <v>2105</v>
      </c>
      <c r="B1487" s="40">
        <v>1790.550048828125</v>
      </c>
      <c r="C1487" s="40">
        <v>1519.0780029296875</v>
      </c>
      <c r="D1487" s="38">
        <v>2378048</v>
      </c>
      <c r="E1487" s="38" t="s">
        <v>1919</v>
      </c>
      <c r="F1487" s="38" t="s">
        <v>618</v>
      </c>
    </row>
    <row r="1488" spans="1:6">
      <c r="A1488" s="38" t="s">
        <v>2106</v>
      </c>
      <c r="B1488" s="40">
        <v>1784.800048828125</v>
      </c>
      <c r="C1488" s="40">
        <v>1514.199951171875</v>
      </c>
      <c r="D1488" s="38">
        <v>1779147</v>
      </c>
      <c r="E1488" s="38" t="s">
        <v>1919</v>
      </c>
      <c r="F1488" s="38" t="s">
        <v>618</v>
      </c>
    </row>
    <row r="1489" spans="1:6">
      <c r="A1489" s="38" t="s">
        <v>2107</v>
      </c>
      <c r="B1489" s="40">
        <v>1789.800048828125</v>
      </c>
      <c r="C1489" s="40">
        <v>1518.44189453125</v>
      </c>
      <c r="D1489" s="38">
        <v>2701533</v>
      </c>
      <c r="E1489" s="38" t="s">
        <v>1919</v>
      </c>
      <c r="F1489" s="38" t="s">
        <v>618</v>
      </c>
    </row>
    <row r="1490" spans="1:6">
      <c r="A1490" s="38" t="s">
        <v>2108</v>
      </c>
      <c r="B1490" s="40">
        <v>1737.550048828125</v>
      </c>
      <c r="C1490" s="40">
        <v>1474.113525390625</v>
      </c>
      <c r="D1490" s="38">
        <v>3138050</v>
      </c>
      <c r="E1490" s="38" t="s">
        <v>1919</v>
      </c>
      <c r="F1490" s="38" t="s">
        <v>618</v>
      </c>
    </row>
    <row r="1491" spans="1:6">
      <c r="A1491" s="38" t="s">
        <v>2109</v>
      </c>
      <c r="B1491" s="40">
        <v>1692.0999755859375</v>
      </c>
      <c r="C1491" s="40">
        <v>1435.554443359375</v>
      </c>
      <c r="D1491" s="38">
        <v>4290750</v>
      </c>
      <c r="E1491" s="38" t="s">
        <v>1919</v>
      </c>
      <c r="F1491" s="38" t="s">
        <v>618</v>
      </c>
    </row>
    <row r="1492" spans="1:6">
      <c r="A1492" s="38" t="s">
        <v>2110</v>
      </c>
      <c r="B1492" s="40">
        <v>1703.8499755859375</v>
      </c>
      <c r="C1492" s="40">
        <v>1445.52294921875</v>
      </c>
      <c r="D1492" s="38">
        <v>2103362</v>
      </c>
      <c r="E1492" s="38" t="s">
        <v>1919</v>
      </c>
      <c r="F1492" s="38" t="s">
        <v>618</v>
      </c>
    </row>
    <row r="1493" spans="1:6">
      <c r="A1493" s="38" t="s">
        <v>2111</v>
      </c>
      <c r="B1493" s="40">
        <v>1716</v>
      </c>
      <c r="C1493" s="40">
        <v>1455.8306884765625</v>
      </c>
      <c r="D1493" s="38">
        <v>2330348</v>
      </c>
      <c r="E1493" s="38" t="s">
        <v>1919</v>
      </c>
      <c r="F1493" s="38" t="s">
        <v>618</v>
      </c>
    </row>
    <row r="1494" spans="1:6">
      <c r="A1494" s="38" t="s">
        <v>2112</v>
      </c>
      <c r="B1494" s="40">
        <v>1737.1500244140625</v>
      </c>
      <c r="C1494" s="40">
        <v>1473.7740478515625</v>
      </c>
      <c r="D1494" s="38">
        <v>2704832</v>
      </c>
      <c r="E1494" s="38" t="s">
        <v>1919</v>
      </c>
      <c r="F1494" s="38" t="s">
        <v>618</v>
      </c>
    </row>
    <row r="1495" spans="1:6">
      <c r="A1495" s="38" t="s">
        <v>2113</v>
      </c>
      <c r="B1495" s="40">
        <v>1730.449951171875</v>
      </c>
      <c r="C1495" s="40">
        <v>1468.0899658203125</v>
      </c>
      <c r="D1495" s="38">
        <v>3013194</v>
      </c>
      <c r="E1495" s="38" t="s">
        <v>1919</v>
      </c>
      <c r="F1495" s="38" t="s">
        <v>618</v>
      </c>
    </row>
    <row r="1496" spans="1:6">
      <c r="A1496" s="38" t="s">
        <v>2114</v>
      </c>
      <c r="B1496" s="40">
        <v>1718.800048828125</v>
      </c>
      <c r="C1496" s="40">
        <v>1458.206298828125</v>
      </c>
      <c r="D1496" s="38">
        <v>2768371</v>
      </c>
      <c r="E1496" s="38" t="s">
        <v>1919</v>
      </c>
      <c r="F1496" s="38" t="s">
        <v>618</v>
      </c>
    </row>
    <row r="1497" spans="1:6">
      <c r="A1497" s="38" t="s">
        <v>2115</v>
      </c>
      <c r="B1497" s="40">
        <v>1737.75</v>
      </c>
      <c r="C1497" s="40">
        <v>1474.2833251953125</v>
      </c>
      <c r="D1497" s="38">
        <v>1889385</v>
      </c>
      <c r="E1497" s="38" t="s">
        <v>1919</v>
      </c>
      <c r="F1497" s="38" t="s">
        <v>618</v>
      </c>
    </row>
    <row r="1498" spans="1:6">
      <c r="A1498" s="38" t="s">
        <v>2116</v>
      </c>
      <c r="B1498" s="40">
        <v>1722.4000244140625</v>
      </c>
      <c r="C1498" s="40">
        <v>1461.260498046875</v>
      </c>
      <c r="D1498" s="38">
        <v>2522806</v>
      </c>
      <c r="E1498" s="38" t="s">
        <v>1919</v>
      </c>
      <c r="F1498" s="38" t="s">
        <v>618</v>
      </c>
    </row>
    <row r="1499" spans="1:6">
      <c r="A1499" s="38" t="s">
        <v>2117</v>
      </c>
      <c r="B1499" s="40">
        <v>1660.75</v>
      </c>
      <c r="C1499" s="40">
        <v>1408.95751953125</v>
      </c>
      <c r="D1499" s="38">
        <v>4878369</v>
      </c>
      <c r="E1499" s="38" t="s">
        <v>1919</v>
      </c>
      <c r="F1499" s="38" t="s">
        <v>618</v>
      </c>
    </row>
    <row r="1500" spans="1:6">
      <c r="A1500" s="38" t="s">
        <v>2118</v>
      </c>
      <c r="B1500" s="40">
        <v>1670.0999755859375</v>
      </c>
      <c r="C1500" s="40">
        <v>1416.8900146484375</v>
      </c>
      <c r="D1500" s="38">
        <v>2610709</v>
      </c>
      <c r="E1500" s="38" t="s">
        <v>1919</v>
      </c>
      <c r="F1500" s="38" t="s">
        <v>618</v>
      </c>
    </row>
    <row r="1501" spans="1:6">
      <c r="A1501" s="38" t="s">
        <v>2119</v>
      </c>
      <c r="B1501" s="40">
        <v>1666.9000244140625</v>
      </c>
      <c r="C1501" s="40">
        <v>1414.1751708984375</v>
      </c>
      <c r="D1501" s="38">
        <v>2440011</v>
      </c>
      <c r="E1501" s="38" t="s">
        <v>1919</v>
      </c>
      <c r="F1501" s="38" t="s">
        <v>618</v>
      </c>
    </row>
    <row r="1502" spans="1:6">
      <c r="A1502" s="38" t="s">
        <v>2120</v>
      </c>
      <c r="B1502" s="40">
        <v>1593.550048828125</v>
      </c>
      <c r="C1502" s="40">
        <v>1351.9459228515625</v>
      </c>
      <c r="D1502" s="38">
        <v>4079190</v>
      </c>
      <c r="E1502" s="38" t="s">
        <v>1919</v>
      </c>
      <c r="F1502" s="38" t="s">
        <v>618</v>
      </c>
    </row>
    <row r="1503" spans="1:6">
      <c r="A1503" s="38" t="s">
        <v>2121</v>
      </c>
      <c r="B1503" s="40">
        <v>1513.1500244140625</v>
      </c>
      <c r="C1503" s="40">
        <v>1283.735595703125</v>
      </c>
      <c r="D1503" s="38">
        <v>3250275</v>
      </c>
      <c r="E1503" s="38" t="s">
        <v>1919</v>
      </c>
      <c r="F1503" s="38" t="s">
        <v>618</v>
      </c>
    </row>
    <row r="1504" spans="1:6">
      <c r="A1504" s="38" t="s">
        <v>2122</v>
      </c>
      <c r="B1504" s="40">
        <v>1500.5999755859375</v>
      </c>
      <c r="C1504" s="40">
        <v>1273.08837890625</v>
      </c>
      <c r="D1504" s="38">
        <v>3910618</v>
      </c>
      <c r="E1504" s="38" t="s">
        <v>1919</v>
      </c>
      <c r="F1504" s="38" t="s">
        <v>618</v>
      </c>
    </row>
    <row r="1505" spans="1:6">
      <c r="A1505" s="38" t="s">
        <v>2123</v>
      </c>
      <c r="B1505" s="40">
        <v>1445.5999755859375</v>
      </c>
      <c r="C1505" s="40">
        <v>1226.42724609375</v>
      </c>
      <c r="D1505" s="38">
        <v>4434890</v>
      </c>
      <c r="E1505" s="38" t="s">
        <v>1919</v>
      </c>
      <c r="F1505" s="38" t="s">
        <v>618</v>
      </c>
    </row>
    <row r="1506" spans="1:6">
      <c r="A1506" s="38" t="s">
        <v>2124</v>
      </c>
      <c r="B1506" s="40">
        <v>1410.6500244140625</v>
      </c>
      <c r="C1506" s="40">
        <v>1196.7760009765625</v>
      </c>
      <c r="D1506" s="38">
        <v>7080683</v>
      </c>
      <c r="E1506" s="38" t="s">
        <v>1919</v>
      </c>
      <c r="F1506" s="38" t="s">
        <v>618</v>
      </c>
    </row>
    <row r="1507" spans="1:6">
      <c r="A1507" s="38" t="s">
        <v>2125</v>
      </c>
      <c r="B1507" s="40">
        <v>1479</v>
      </c>
      <c r="C1507" s="40">
        <v>1254.763427734375</v>
      </c>
      <c r="D1507" s="38">
        <v>4406035</v>
      </c>
      <c r="E1507" s="38" t="s">
        <v>1919</v>
      </c>
      <c r="F1507" s="38" t="s">
        <v>618</v>
      </c>
    </row>
    <row r="1508" spans="1:6">
      <c r="A1508" s="38" t="s">
        <v>2126</v>
      </c>
      <c r="B1508" s="40">
        <v>1505.75</v>
      </c>
      <c r="C1508" s="40">
        <v>1277.4576416015625</v>
      </c>
      <c r="D1508" s="38">
        <v>2542754</v>
      </c>
      <c r="E1508" s="38" t="s">
        <v>1919</v>
      </c>
      <c r="F1508" s="38" t="s">
        <v>618</v>
      </c>
    </row>
    <row r="1509" spans="1:6">
      <c r="A1509" s="38" t="s">
        <v>2127</v>
      </c>
      <c r="B1509" s="40">
        <v>1482.949951171875</v>
      </c>
      <c r="C1509" s="40">
        <v>1258.1142578125</v>
      </c>
      <c r="D1509" s="38">
        <v>9031146</v>
      </c>
      <c r="E1509" s="38" t="s">
        <v>1919</v>
      </c>
      <c r="F1509" s="38" t="s">
        <v>618</v>
      </c>
    </row>
    <row r="1510" spans="1:6">
      <c r="A1510" s="38" t="s">
        <v>2128</v>
      </c>
      <c r="B1510" s="40">
        <v>1454.300048828125</v>
      </c>
      <c r="C1510" s="40">
        <v>1233.8082275390625</v>
      </c>
      <c r="D1510" s="38">
        <v>2433692</v>
      </c>
      <c r="E1510" s="38" t="s">
        <v>1919</v>
      </c>
      <c r="F1510" s="38" t="s">
        <v>618</v>
      </c>
    </row>
    <row r="1511" spans="1:6">
      <c r="A1511" s="38" t="s">
        <v>2129</v>
      </c>
      <c r="B1511" s="40">
        <v>1448.199951171875</v>
      </c>
      <c r="C1511" s="40">
        <v>1228.6328125</v>
      </c>
      <c r="D1511" s="38">
        <v>2406272</v>
      </c>
      <c r="E1511" s="38" t="s">
        <v>1919</v>
      </c>
      <c r="F1511" s="38" t="s">
        <v>618</v>
      </c>
    </row>
    <row r="1512" spans="1:6">
      <c r="A1512" s="38" t="s">
        <v>2130</v>
      </c>
      <c r="B1512" s="40">
        <v>1444.300048828125</v>
      </c>
      <c r="C1512" s="40">
        <v>1225.3243408203125</v>
      </c>
      <c r="D1512" s="38">
        <v>2741520</v>
      </c>
      <c r="E1512" s="38" t="s">
        <v>1919</v>
      </c>
      <c r="F1512" s="38" t="s">
        <v>618</v>
      </c>
    </row>
    <row r="1513" spans="1:6">
      <c r="A1513" s="38" t="s">
        <v>2131</v>
      </c>
      <c r="B1513" s="40">
        <v>1434.199951171875</v>
      </c>
      <c r="C1513" s="40">
        <v>1216.7557373046875</v>
      </c>
      <c r="D1513" s="38">
        <v>1981111</v>
      </c>
      <c r="E1513" s="38" t="s">
        <v>1919</v>
      </c>
      <c r="F1513" s="38" t="s">
        <v>618</v>
      </c>
    </row>
    <row r="1514" spans="1:6">
      <c r="A1514" s="38" t="s">
        <v>2132</v>
      </c>
      <c r="B1514" s="40">
        <v>1454.800048828125</v>
      </c>
      <c r="C1514" s="40">
        <v>1234.2322998046875</v>
      </c>
      <c r="D1514" s="38">
        <v>2282701</v>
      </c>
      <c r="E1514" s="38" t="s">
        <v>1919</v>
      </c>
      <c r="F1514" s="38" t="s">
        <v>618</v>
      </c>
    </row>
    <row r="1515" spans="1:6">
      <c r="A1515" s="38" t="s">
        <v>2133</v>
      </c>
      <c r="B1515" s="40">
        <v>1468.5</v>
      </c>
      <c r="C1515" s="40">
        <v>1245.855224609375</v>
      </c>
      <c r="D1515" s="38">
        <v>1850405</v>
      </c>
      <c r="E1515" s="38" t="s">
        <v>1919</v>
      </c>
      <c r="F1515" s="38" t="s">
        <v>618</v>
      </c>
    </row>
    <row r="1516" spans="1:6">
      <c r="A1516" s="38" t="s">
        <v>2134</v>
      </c>
      <c r="B1516" s="40">
        <v>1424.9000244140625</v>
      </c>
      <c r="C1516" s="40">
        <v>1208.8656005859375</v>
      </c>
      <c r="D1516" s="38">
        <v>2426039</v>
      </c>
      <c r="E1516" s="38" t="s">
        <v>1919</v>
      </c>
      <c r="F1516" s="38" t="s">
        <v>618</v>
      </c>
    </row>
    <row r="1517" spans="1:6">
      <c r="A1517" s="38" t="s">
        <v>2135</v>
      </c>
      <c r="B1517" s="40">
        <v>1390.1500244140625</v>
      </c>
      <c r="C1517" s="40">
        <v>1179.384033203125</v>
      </c>
      <c r="D1517" s="38">
        <v>2149302</v>
      </c>
      <c r="E1517" s="38" t="s">
        <v>1919</v>
      </c>
      <c r="F1517" s="38" t="s">
        <v>618</v>
      </c>
    </row>
    <row r="1518" spans="1:6">
      <c r="A1518" s="38" t="s">
        <v>2136</v>
      </c>
      <c r="B1518" s="40">
        <v>1439.6500244140625</v>
      </c>
      <c r="C1518" s="40">
        <v>1221.379150390625</v>
      </c>
      <c r="D1518" s="38">
        <v>1955525</v>
      </c>
      <c r="E1518" s="38" t="s">
        <v>1919</v>
      </c>
      <c r="F1518" s="38" t="s">
        <v>618</v>
      </c>
    </row>
    <row r="1519" spans="1:6">
      <c r="A1519" s="38" t="s">
        <v>2137</v>
      </c>
      <c r="B1519" s="40">
        <v>1444</v>
      </c>
      <c r="C1519" s="40">
        <v>1225.0694580078125</v>
      </c>
      <c r="D1519" s="38">
        <v>2164650</v>
      </c>
      <c r="E1519" s="38" t="s">
        <v>1919</v>
      </c>
      <c r="F1519" s="38" t="s">
        <v>618</v>
      </c>
    </row>
    <row r="1520" spans="1:6">
      <c r="A1520" s="38" t="s">
        <v>2138</v>
      </c>
      <c r="B1520" s="40">
        <v>1447.550048828125</v>
      </c>
      <c r="C1520" s="40">
        <v>1228.0814208984375</v>
      </c>
      <c r="D1520" s="38">
        <v>1669669</v>
      </c>
      <c r="E1520" s="38" t="s">
        <v>1919</v>
      </c>
      <c r="F1520" s="38" t="s">
        <v>618</v>
      </c>
    </row>
    <row r="1521" spans="1:6">
      <c r="A1521" s="38" t="s">
        <v>2139</v>
      </c>
      <c r="B1521" s="40">
        <v>1437.949951171875</v>
      </c>
      <c r="C1521" s="40">
        <v>1219.93701171875</v>
      </c>
      <c r="D1521" s="38">
        <v>2374188</v>
      </c>
      <c r="E1521" s="38" t="s">
        <v>1919</v>
      </c>
      <c r="F1521" s="38" t="s">
        <v>618</v>
      </c>
    </row>
    <row r="1522" spans="1:6">
      <c r="A1522" s="38" t="s">
        <v>2140</v>
      </c>
      <c r="B1522" s="40">
        <v>1418.199951171875</v>
      </c>
      <c r="C1522" s="40">
        <v>1203.1812744140625</v>
      </c>
      <c r="D1522" s="38">
        <v>2109461</v>
      </c>
      <c r="E1522" s="38" t="s">
        <v>1919</v>
      </c>
      <c r="F1522" s="38" t="s">
        <v>618</v>
      </c>
    </row>
    <row r="1523" spans="1:6">
      <c r="A1523" s="38" t="s">
        <v>2141</v>
      </c>
      <c r="B1523" s="40">
        <v>1412.550048828125</v>
      </c>
      <c r="C1523" s="40">
        <v>1198.3883056640625</v>
      </c>
      <c r="D1523" s="38">
        <v>2111878</v>
      </c>
      <c r="E1523" s="38" t="s">
        <v>1919</v>
      </c>
      <c r="F1523" s="38" t="s">
        <v>618</v>
      </c>
    </row>
    <row r="1524" spans="1:6">
      <c r="A1524" s="38" t="s">
        <v>2142</v>
      </c>
      <c r="B1524" s="40">
        <v>1413.300048828125</v>
      </c>
      <c r="C1524" s="40">
        <v>1199.0245361328125</v>
      </c>
      <c r="D1524" s="38">
        <v>1319711</v>
      </c>
      <c r="E1524" s="38" t="s">
        <v>1919</v>
      </c>
      <c r="F1524" s="38" t="s">
        <v>618</v>
      </c>
    </row>
    <row r="1525" spans="1:6">
      <c r="A1525" s="38" t="s">
        <v>2143</v>
      </c>
      <c r="B1525" s="40">
        <v>1333</v>
      </c>
      <c r="C1525" s="40">
        <v>1130.8990478515625</v>
      </c>
      <c r="D1525" s="38">
        <v>4108603</v>
      </c>
      <c r="E1525" s="38" t="s">
        <v>1919</v>
      </c>
      <c r="F1525" s="38" t="s">
        <v>618</v>
      </c>
    </row>
    <row r="1526" spans="1:6">
      <c r="A1526" s="38" t="s">
        <v>2144</v>
      </c>
      <c r="B1526" s="40">
        <v>1389.699951171875</v>
      </c>
      <c r="C1526" s="40">
        <v>1179.00244140625</v>
      </c>
      <c r="D1526" s="38">
        <v>1885454</v>
      </c>
      <c r="E1526" s="38" t="s">
        <v>1919</v>
      </c>
      <c r="F1526" s="38" t="s">
        <v>618</v>
      </c>
    </row>
    <row r="1527" spans="1:6">
      <c r="A1527" s="38" t="s">
        <v>2145</v>
      </c>
      <c r="B1527" s="40">
        <v>1410</v>
      </c>
      <c r="C1527" s="40">
        <v>1196.224609375</v>
      </c>
      <c r="D1527" s="38">
        <v>4983140</v>
      </c>
      <c r="E1527" s="38" t="s">
        <v>1919</v>
      </c>
      <c r="F1527" s="38" t="s">
        <v>618</v>
      </c>
    </row>
    <row r="1528" spans="1:6">
      <c r="A1528" s="38" t="s">
        <v>2146</v>
      </c>
      <c r="B1528" s="40">
        <v>1394.3499755859375</v>
      </c>
      <c r="C1528" s="40">
        <v>1182.947265625</v>
      </c>
      <c r="D1528" s="38">
        <v>2160190</v>
      </c>
      <c r="E1528" s="38" t="s">
        <v>1919</v>
      </c>
      <c r="F1528" s="38" t="s">
        <v>618</v>
      </c>
    </row>
    <row r="1529" spans="1:6">
      <c r="A1529" s="38" t="s">
        <v>2147</v>
      </c>
      <c r="B1529" s="40">
        <v>1426.6500244140625</v>
      </c>
      <c r="C1529" s="40">
        <v>1210.350341796875</v>
      </c>
      <c r="D1529" s="38">
        <v>2730530</v>
      </c>
      <c r="E1529" s="38" t="s">
        <v>1919</v>
      </c>
      <c r="F1529" s="38" t="s">
        <v>618</v>
      </c>
    </row>
    <row r="1530" spans="1:6">
      <c r="A1530" s="38" t="s">
        <v>2148</v>
      </c>
      <c r="B1530" s="40">
        <v>1453.5999755859375</v>
      </c>
      <c r="C1530" s="40">
        <v>1233.2142333984375</v>
      </c>
      <c r="D1530" s="38">
        <v>3567738</v>
      </c>
      <c r="E1530" s="38" t="s">
        <v>1919</v>
      </c>
      <c r="F1530" s="38" t="s">
        <v>618</v>
      </c>
    </row>
    <row r="1531" spans="1:6">
      <c r="A1531" s="38" t="s">
        <v>2149</v>
      </c>
      <c r="B1531" s="40">
        <v>1424.0999755859375</v>
      </c>
      <c r="C1531" s="40">
        <v>1208.18701171875</v>
      </c>
      <c r="D1531" s="38">
        <v>3341715</v>
      </c>
      <c r="E1531" s="38" t="s">
        <v>1919</v>
      </c>
      <c r="F1531" s="38" t="s">
        <v>618</v>
      </c>
    </row>
    <row r="1532" spans="1:6">
      <c r="A1532" s="38" t="s">
        <v>2150</v>
      </c>
      <c r="B1532" s="40">
        <v>1461.949951171875</v>
      </c>
      <c r="C1532" s="40">
        <v>1240.29833984375</v>
      </c>
      <c r="D1532" s="38">
        <v>2365949</v>
      </c>
      <c r="E1532" s="38" t="s">
        <v>1919</v>
      </c>
      <c r="F1532" s="38" t="s">
        <v>618</v>
      </c>
    </row>
    <row r="1533" spans="1:6">
      <c r="A1533" s="38" t="s">
        <v>2151</v>
      </c>
      <c r="B1533" s="40">
        <v>1504.75</v>
      </c>
      <c r="C1533" s="40">
        <v>1276.609375</v>
      </c>
      <c r="D1533" s="38">
        <v>3667977</v>
      </c>
      <c r="E1533" s="38" t="s">
        <v>1919</v>
      </c>
      <c r="F1533" s="38" t="s">
        <v>618</v>
      </c>
    </row>
    <row r="1534" spans="1:6">
      <c r="A1534" s="38" t="s">
        <v>2152</v>
      </c>
      <c r="B1534" s="40">
        <v>1485.3499755859375</v>
      </c>
      <c r="C1534" s="40">
        <v>1260.1505126953125</v>
      </c>
      <c r="D1534" s="38">
        <v>2835942</v>
      </c>
      <c r="E1534" s="38" t="s">
        <v>1919</v>
      </c>
      <c r="F1534" s="38" t="s">
        <v>618</v>
      </c>
    </row>
    <row r="1535" spans="1:6">
      <c r="A1535" s="38" t="s">
        <v>2153</v>
      </c>
      <c r="B1535" s="40">
        <v>1486.800048828125</v>
      </c>
      <c r="C1535" s="40">
        <v>1261.380859375</v>
      </c>
      <c r="D1535" s="38">
        <v>1116432</v>
      </c>
      <c r="E1535" s="38" t="s">
        <v>1919</v>
      </c>
      <c r="F1535" s="38" t="s">
        <v>618</v>
      </c>
    </row>
    <row r="1536" spans="1:6">
      <c r="A1536" s="38" t="s">
        <v>2154</v>
      </c>
      <c r="B1536" s="40">
        <v>1503</v>
      </c>
      <c r="C1536" s="40">
        <v>1275.1246337890625</v>
      </c>
      <c r="D1536" s="38">
        <v>1372791</v>
      </c>
      <c r="E1536" s="38" t="s">
        <v>1919</v>
      </c>
      <c r="F1536" s="38" t="s">
        <v>618</v>
      </c>
    </row>
    <row r="1537" spans="1:6">
      <c r="A1537" s="38" t="s">
        <v>2155</v>
      </c>
      <c r="B1537" s="40">
        <v>1458.5999755859375</v>
      </c>
      <c r="C1537" s="40">
        <v>1237.4561767578125</v>
      </c>
      <c r="D1537" s="38">
        <v>2188506</v>
      </c>
      <c r="E1537" s="38" t="s">
        <v>1919</v>
      </c>
      <c r="F1537" s="38" t="s">
        <v>618</v>
      </c>
    </row>
    <row r="1538" spans="1:6">
      <c r="A1538" s="38" t="s">
        <v>2156</v>
      </c>
      <c r="B1538" s="40">
        <v>1489.9000244140625</v>
      </c>
      <c r="C1538" s="40">
        <v>1264.0107421875</v>
      </c>
      <c r="D1538" s="38">
        <v>1453944</v>
      </c>
      <c r="E1538" s="38" t="s">
        <v>1919</v>
      </c>
      <c r="F1538" s="38" t="s">
        <v>618</v>
      </c>
    </row>
    <row r="1539" spans="1:6">
      <c r="A1539" s="38" t="s">
        <v>2157</v>
      </c>
      <c r="B1539" s="40">
        <v>1493.5</v>
      </c>
      <c r="C1539" s="40">
        <v>1267.06494140625</v>
      </c>
      <c r="D1539" s="38">
        <v>2346185</v>
      </c>
      <c r="E1539" s="38" t="s">
        <v>1919</v>
      </c>
      <c r="F1539" s="38" t="s">
        <v>618</v>
      </c>
    </row>
    <row r="1540" spans="1:6">
      <c r="A1540" s="38" t="s">
        <v>2158</v>
      </c>
      <c r="B1540" s="40">
        <v>1479.800048828125</v>
      </c>
      <c r="C1540" s="40">
        <v>1255.442138671875</v>
      </c>
      <c r="D1540" s="38">
        <v>2110200</v>
      </c>
      <c r="E1540" s="38" t="s">
        <v>1919</v>
      </c>
      <c r="F1540" s="38" t="s">
        <v>618</v>
      </c>
    </row>
    <row r="1541" spans="1:6">
      <c r="A1541" s="38" t="s">
        <v>2159</v>
      </c>
      <c r="B1541" s="40">
        <v>1538.199951171875</v>
      </c>
      <c r="C1541" s="40">
        <v>1304.9876708984375</v>
      </c>
      <c r="D1541" s="38">
        <v>3030660</v>
      </c>
      <c r="E1541" s="38" t="s">
        <v>1919</v>
      </c>
      <c r="F1541" s="38" t="s">
        <v>618</v>
      </c>
    </row>
    <row r="1542" spans="1:6">
      <c r="A1542" s="38" t="s">
        <v>2160</v>
      </c>
      <c r="B1542" s="40">
        <v>1542.1500244140625</v>
      </c>
      <c r="C1542" s="40">
        <v>1308.3387451171875</v>
      </c>
      <c r="D1542" s="38">
        <v>3741783</v>
      </c>
      <c r="E1542" s="38" t="s">
        <v>1919</v>
      </c>
      <c r="F1542" s="38" t="s">
        <v>618</v>
      </c>
    </row>
    <row r="1543" spans="1:6">
      <c r="A1543" s="38" t="s">
        <v>2161</v>
      </c>
      <c r="B1543" s="40">
        <v>1568.550048828125</v>
      </c>
      <c r="C1543" s="40">
        <v>1330.7364501953125</v>
      </c>
      <c r="D1543" s="38">
        <v>2085571</v>
      </c>
      <c r="E1543" s="38" t="s">
        <v>1919</v>
      </c>
      <c r="F1543" s="38" t="s">
        <v>618</v>
      </c>
    </row>
    <row r="1544" spans="1:6">
      <c r="A1544" s="38" t="s">
        <v>2162</v>
      </c>
      <c r="B1544" s="40">
        <v>1530.550048828125</v>
      </c>
      <c r="C1544" s="40">
        <v>1298.4976806640625</v>
      </c>
      <c r="D1544" s="38">
        <v>1755511</v>
      </c>
      <c r="E1544" s="38" t="s">
        <v>1919</v>
      </c>
      <c r="F1544" s="38" t="s">
        <v>618</v>
      </c>
    </row>
    <row r="1545" spans="1:6">
      <c r="A1545" s="38" t="s">
        <v>2163</v>
      </c>
      <c r="B1545" s="40">
        <v>1524.449951171875</v>
      </c>
      <c r="C1545" s="40">
        <v>1293.322509765625</v>
      </c>
      <c r="D1545" s="38">
        <v>1928306</v>
      </c>
      <c r="E1545" s="38" t="s">
        <v>1919</v>
      </c>
      <c r="F1545" s="38" t="s">
        <v>618</v>
      </c>
    </row>
    <row r="1546" spans="1:6">
      <c r="A1546" s="38" t="s">
        <v>2164</v>
      </c>
      <c r="B1546" s="40">
        <v>1522.3499755859375</v>
      </c>
      <c r="C1546" s="40">
        <v>1291.540771484375</v>
      </c>
      <c r="D1546" s="38">
        <v>2311150</v>
      </c>
      <c r="E1546" s="38" t="s">
        <v>1919</v>
      </c>
      <c r="F1546" s="38" t="s">
        <v>618</v>
      </c>
    </row>
    <row r="1547" spans="1:6">
      <c r="A1547" s="38" t="s">
        <v>2165</v>
      </c>
      <c r="B1547" s="40">
        <v>1496.300048828125</v>
      </c>
      <c r="C1547" s="40">
        <v>1269.4403076171875</v>
      </c>
      <c r="D1547" s="38">
        <v>3792481</v>
      </c>
      <c r="E1547" s="38" t="s">
        <v>1919</v>
      </c>
      <c r="F1547" s="38" t="s">
        <v>618</v>
      </c>
    </row>
    <row r="1548" spans="1:6">
      <c r="A1548" s="38" t="s">
        <v>2166</v>
      </c>
      <c r="B1548" s="40">
        <v>1499.449951171875</v>
      </c>
      <c r="C1548" s="40">
        <v>1272.1126708984375</v>
      </c>
      <c r="D1548" s="38">
        <v>2036984</v>
      </c>
      <c r="E1548" s="38" t="s">
        <v>1919</v>
      </c>
      <c r="F1548" s="38" t="s">
        <v>618</v>
      </c>
    </row>
    <row r="1549" spans="1:6">
      <c r="A1549" s="38" t="s">
        <v>2167</v>
      </c>
      <c r="B1549" s="40">
        <v>1487.0999755859375</v>
      </c>
      <c r="C1549" s="40">
        <v>1261.6351318359375</v>
      </c>
      <c r="D1549" s="38">
        <v>2537230</v>
      </c>
      <c r="E1549" s="38" t="s">
        <v>2168</v>
      </c>
      <c r="F1549" s="38" t="s">
        <v>618</v>
      </c>
    </row>
    <row r="1550" spans="1:6">
      <c r="A1550" s="38" t="s">
        <v>2169</v>
      </c>
      <c r="B1550" s="40">
        <v>1498.6500244140625</v>
      </c>
      <c r="C1550" s="40">
        <v>1271.4342041015625</v>
      </c>
      <c r="D1550" s="38">
        <v>1675276</v>
      </c>
      <c r="E1550" s="38" t="s">
        <v>2168</v>
      </c>
      <c r="F1550" s="38" t="s">
        <v>618</v>
      </c>
    </row>
    <row r="1551" spans="1:6">
      <c r="A1551" s="38" t="s">
        <v>2170</v>
      </c>
      <c r="B1551" s="40">
        <v>1489.050048828125</v>
      </c>
      <c r="C1551" s="40">
        <v>1263.2896728515625</v>
      </c>
      <c r="D1551" s="38">
        <v>3207223</v>
      </c>
      <c r="E1551" s="38" t="s">
        <v>2168</v>
      </c>
      <c r="F1551" s="38" t="s">
        <v>618</v>
      </c>
    </row>
    <row r="1552" spans="1:6">
      <c r="A1552" s="38" t="s">
        <v>2171</v>
      </c>
      <c r="B1552" s="40">
        <v>1459.3499755859375</v>
      </c>
      <c r="C1552" s="40">
        <v>1238.092529296875</v>
      </c>
      <c r="D1552" s="38">
        <v>2627895</v>
      </c>
      <c r="E1552" s="38" t="s">
        <v>2168</v>
      </c>
      <c r="F1552" s="38" t="s">
        <v>618</v>
      </c>
    </row>
    <row r="1553" spans="1:6">
      <c r="A1553" s="38" t="s">
        <v>2172</v>
      </c>
      <c r="B1553" s="40">
        <v>1468.550048828125</v>
      </c>
      <c r="C1553" s="40">
        <v>1245.897705078125</v>
      </c>
      <c r="D1553" s="38">
        <v>3336784</v>
      </c>
      <c r="E1553" s="38" t="s">
        <v>2168</v>
      </c>
      <c r="F1553" s="38" t="s">
        <v>618</v>
      </c>
    </row>
    <row r="1554" spans="1:6">
      <c r="A1554" s="38" t="s">
        <v>2173</v>
      </c>
      <c r="B1554" s="40">
        <v>1448.75</v>
      </c>
      <c r="C1554" s="40">
        <v>1229.0994873046875</v>
      </c>
      <c r="D1554" s="38">
        <v>5402943</v>
      </c>
      <c r="E1554" s="38" t="s">
        <v>2168</v>
      </c>
      <c r="F1554" s="38" t="s">
        <v>618</v>
      </c>
    </row>
    <row r="1555" spans="1:6">
      <c r="A1555" s="38" t="s">
        <v>2174</v>
      </c>
      <c r="B1555" s="40">
        <v>1449.199951171875</v>
      </c>
      <c r="C1555" s="40">
        <v>1229.4813232421875</v>
      </c>
      <c r="D1555" s="38">
        <v>3268704</v>
      </c>
      <c r="E1555" s="38" t="s">
        <v>2168</v>
      </c>
      <c r="F1555" s="38" t="s">
        <v>618</v>
      </c>
    </row>
    <row r="1556" spans="1:6">
      <c r="A1556" s="38" t="s">
        <v>2175</v>
      </c>
      <c r="B1556" s="40">
        <v>1415</v>
      </c>
      <c r="C1556" s="40">
        <v>1200.466552734375</v>
      </c>
      <c r="D1556" s="38">
        <v>2021088</v>
      </c>
      <c r="E1556" s="38" t="s">
        <v>2168</v>
      </c>
      <c r="F1556" s="38" t="s">
        <v>618</v>
      </c>
    </row>
    <row r="1557" spans="1:6">
      <c r="A1557" s="38" t="s">
        <v>2176</v>
      </c>
      <c r="B1557" s="40">
        <v>1410.449951171875</v>
      </c>
      <c r="C1557" s="40">
        <v>1196.6063232421875</v>
      </c>
      <c r="D1557" s="38">
        <v>1430399</v>
      </c>
      <c r="E1557" s="38" t="s">
        <v>2168</v>
      </c>
      <c r="F1557" s="38" t="s">
        <v>618</v>
      </c>
    </row>
    <row r="1558" spans="1:6">
      <c r="A1558" s="38" t="s">
        <v>2177</v>
      </c>
      <c r="B1558" s="40">
        <v>1344.550048828125</v>
      </c>
      <c r="C1558" s="40">
        <v>1140.697998046875</v>
      </c>
      <c r="D1558" s="38">
        <v>3968044</v>
      </c>
      <c r="E1558" s="38" t="s">
        <v>2168</v>
      </c>
      <c r="F1558" s="38" t="s">
        <v>618</v>
      </c>
    </row>
    <row r="1559" spans="1:6">
      <c r="A1559" s="38" t="s">
        <v>2178</v>
      </c>
      <c r="B1559" s="40">
        <v>1301.199951171875</v>
      </c>
      <c r="C1559" s="40">
        <v>1103.9200439453125</v>
      </c>
      <c r="D1559" s="38">
        <v>2677360</v>
      </c>
      <c r="E1559" s="38" t="s">
        <v>2168</v>
      </c>
      <c r="F1559" s="38" t="s">
        <v>618</v>
      </c>
    </row>
    <row r="1560" spans="1:6">
      <c r="A1560" s="38" t="s">
        <v>2179</v>
      </c>
      <c r="B1560" s="40">
        <v>1309.199951171875</v>
      </c>
      <c r="C1560" s="40">
        <v>1110.707275390625</v>
      </c>
      <c r="D1560" s="38">
        <v>3025261</v>
      </c>
      <c r="E1560" s="38" t="s">
        <v>2168</v>
      </c>
      <c r="F1560" s="38" t="s">
        <v>618</v>
      </c>
    </row>
    <row r="1561" spans="1:6">
      <c r="A1561" s="38" t="s">
        <v>2180</v>
      </c>
      <c r="B1561" s="40">
        <v>1312.699951171875</v>
      </c>
      <c r="C1561" s="40">
        <v>1113.6767578125</v>
      </c>
      <c r="D1561" s="38">
        <v>3728173</v>
      </c>
      <c r="E1561" s="38" t="s">
        <v>2168</v>
      </c>
      <c r="F1561" s="38" t="s">
        <v>618</v>
      </c>
    </row>
    <row r="1562" spans="1:6">
      <c r="A1562" s="38" t="s">
        <v>2181</v>
      </c>
      <c r="B1562" s="40">
        <v>1306.5</v>
      </c>
      <c r="C1562" s="40">
        <v>1108.4166259765625</v>
      </c>
      <c r="D1562" s="38">
        <v>1954666</v>
      </c>
      <c r="E1562" s="38" t="s">
        <v>2168</v>
      </c>
      <c r="F1562" s="38" t="s">
        <v>618</v>
      </c>
    </row>
    <row r="1563" spans="1:6">
      <c r="A1563" s="38" t="s">
        <v>2182</v>
      </c>
      <c r="B1563" s="40">
        <v>1270.4000244140625</v>
      </c>
      <c r="C1563" s="40">
        <v>1077.789794921875</v>
      </c>
      <c r="D1563" s="38">
        <v>2686619</v>
      </c>
      <c r="E1563" s="38" t="s">
        <v>2168</v>
      </c>
      <c r="F1563" s="38" t="s">
        <v>618</v>
      </c>
    </row>
    <row r="1564" spans="1:6">
      <c r="A1564" s="38" t="s">
        <v>2183</v>
      </c>
      <c r="B1564" s="40">
        <v>1275.449951171875</v>
      </c>
      <c r="C1564" s="40">
        <v>1082.07421875</v>
      </c>
      <c r="D1564" s="38">
        <v>2568317</v>
      </c>
      <c r="E1564" s="38" t="s">
        <v>2168</v>
      </c>
      <c r="F1564" s="38" t="s">
        <v>618</v>
      </c>
    </row>
    <row r="1565" spans="1:6">
      <c r="A1565" s="38" t="s">
        <v>2184</v>
      </c>
      <c r="B1565" s="40">
        <v>1261.25</v>
      </c>
      <c r="C1565" s="40">
        <v>1070.02734375</v>
      </c>
      <c r="D1565" s="38">
        <v>2382463</v>
      </c>
      <c r="E1565" s="38" t="s">
        <v>2168</v>
      </c>
      <c r="F1565" s="38" t="s">
        <v>618</v>
      </c>
    </row>
    <row r="1566" spans="1:6">
      <c r="A1566" s="38" t="s">
        <v>2185</v>
      </c>
      <c r="B1566" s="40">
        <v>1271.300048828125</v>
      </c>
      <c r="C1566" s="40">
        <v>1078.5535888671875</v>
      </c>
      <c r="D1566" s="38">
        <v>2576887</v>
      </c>
      <c r="E1566" s="38" t="s">
        <v>2168</v>
      </c>
      <c r="F1566" s="38" t="s">
        <v>618</v>
      </c>
    </row>
    <row r="1567" spans="1:6">
      <c r="A1567" s="38" t="s">
        <v>2186</v>
      </c>
      <c r="B1567" s="40">
        <v>1259</v>
      </c>
      <c r="C1567" s="40">
        <v>1068.1182861328125</v>
      </c>
      <c r="D1567" s="38">
        <v>3811317</v>
      </c>
      <c r="E1567" s="38" t="s">
        <v>2168</v>
      </c>
      <c r="F1567" s="38" t="s">
        <v>618</v>
      </c>
    </row>
    <row r="1568" spans="1:6">
      <c r="A1568" s="38" t="s">
        <v>2187</v>
      </c>
      <c r="B1568" s="40">
        <v>1231.199951171875</v>
      </c>
      <c r="C1568" s="40">
        <v>1044.5330810546875</v>
      </c>
      <c r="D1568" s="38">
        <v>2149957</v>
      </c>
      <c r="E1568" s="38" t="s">
        <v>2168</v>
      </c>
      <c r="F1568" s="38" t="s">
        <v>618</v>
      </c>
    </row>
    <row r="1569" spans="1:6">
      <c r="A1569" s="38" t="s">
        <v>2188</v>
      </c>
      <c r="B1569" s="40">
        <v>1212.800048828125</v>
      </c>
      <c r="C1569" s="40">
        <v>1028.922607421875</v>
      </c>
      <c r="D1569" s="38">
        <v>2797667</v>
      </c>
      <c r="E1569" s="38" t="s">
        <v>2168</v>
      </c>
      <c r="F1569" s="38" t="s">
        <v>618</v>
      </c>
    </row>
    <row r="1570" spans="1:6">
      <c r="A1570" s="38" t="s">
        <v>2189</v>
      </c>
      <c r="B1570" s="40">
        <v>1263.3499755859375</v>
      </c>
      <c r="C1570" s="40">
        <v>1071.80859375</v>
      </c>
      <c r="D1570" s="38">
        <v>3563713</v>
      </c>
      <c r="E1570" s="38" t="s">
        <v>2168</v>
      </c>
      <c r="F1570" s="38" t="s">
        <v>618</v>
      </c>
    </row>
    <row r="1571" spans="1:6">
      <c r="A1571" s="38" t="s">
        <v>2190</v>
      </c>
      <c r="B1571" s="40">
        <v>1290.75</v>
      </c>
      <c r="C1571" s="40">
        <v>1095.0546875</v>
      </c>
      <c r="D1571" s="38">
        <v>5745203</v>
      </c>
      <c r="E1571" s="38" t="s">
        <v>2168</v>
      </c>
      <c r="F1571" s="38" t="s">
        <v>618</v>
      </c>
    </row>
    <row r="1572" spans="1:6">
      <c r="A1572" s="38" t="s">
        <v>2191</v>
      </c>
      <c r="B1572" s="40">
        <v>1261.1500244140625</v>
      </c>
      <c r="C1572" s="40">
        <v>1069.9423828125</v>
      </c>
      <c r="D1572" s="38">
        <v>5712061</v>
      </c>
      <c r="E1572" s="38" t="s">
        <v>2168</v>
      </c>
      <c r="F1572" s="38" t="s">
        <v>618</v>
      </c>
    </row>
    <row r="1573" spans="1:6">
      <c r="A1573" s="38" t="s">
        <v>2192</v>
      </c>
      <c r="B1573" s="40">
        <v>1242.300048828125</v>
      </c>
      <c r="C1573" s="40">
        <v>1053.9501953125</v>
      </c>
      <c r="D1573" s="38">
        <v>2852416</v>
      </c>
      <c r="E1573" s="38" t="s">
        <v>2168</v>
      </c>
      <c r="F1573" s="38" t="s">
        <v>618</v>
      </c>
    </row>
    <row r="1574" spans="1:6">
      <c r="A1574" s="38" t="s">
        <v>2193</v>
      </c>
      <c r="B1574" s="40">
        <v>1224.449951171875</v>
      </c>
      <c r="C1574" s="40">
        <v>1038.8065185546875</v>
      </c>
      <c r="D1574" s="38">
        <v>3244609</v>
      </c>
      <c r="E1574" s="38" t="s">
        <v>2168</v>
      </c>
      <c r="F1574" s="38" t="s">
        <v>618</v>
      </c>
    </row>
    <row r="1575" spans="1:6">
      <c r="A1575" s="38" t="s">
        <v>2194</v>
      </c>
      <c r="B1575" s="40">
        <v>1212.800048828125</v>
      </c>
      <c r="C1575" s="40">
        <v>1028.922607421875</v>
      </c>
      <c r="D1575" s="38">
        <v>3110220</v>
      </c>
      <c r="E1575" s="38" t="s">
        <v>2168</v>
      </c>
      <c r="F1575" s="38" t="s">
        <v>618</v>
      </c>
    </row>
    <row r="1576" spans="1:6">
      <c r="A1576" s="38" t="s">
        <v>2195</v>
      </c>
      <c r="B1576" s="40">
        <v>1202.8499755859375</v>
      </c>
      <c r="C1576" s="40">
        <v>1020.4815063476563</v>
      </c>
      <c r="D1576" s="38">
        <v>1892084</v>
      </c>
      <c r="E1576" s="38" t="s">
        <v>2168</v>
      </c>
      <c r="F1576" s="38" t="s">
        <v>618</v>
      </c>
    </row>
    <row r="1577" spans="1:6">
      <c r="A1577" s="38" t="s">
        <v>2196</v>
      </c>
      <c r="B1577" s="40">
        <v>1189.050048828125</v>
      </c>
      <c r="C1577" s="40">
        <v>1008.7737426757813</v>
      </c>
      <c r="D1577" s="38">
        <v>3474480</v>
      </c>
      <c r="E1577" s="38" t="s">
        <v>2168</v>
      </c>
      <c r="F1577" s="38" t="s">
        <v>618</v>
      </c>
    </row>
    <row r="1578" spans="1:6">
      <c r="A1578" s="38" t="s">
        <v>2197</v>
      </c>
      <c r="B1578" s="40">
        <v>1198.199951171875</v>
      </c>
      <c r="C1578" s="40">
        <v>1016.5364990234375</v>
      </c>
      <c r="D1578" s="38">
        <v>4434968</v>
      </c>
      <c r="E1578" s="38" t="s">
        <v>2168</v>
      </c>
      <c r="F1578" s="38" t="s">
        <v>618</v>
      </c>
    </row>
    <row r="1579" spans="1:6">
      <c r="A1579" s="38" t="s">
        <v>2198</v>
      </c>
      <c r="B1579" s="40">
        <v>1172.050048828125</v>
      </c>
      <c r="C1579" s="40">
        <v>994.3511962890625</v>
      </c>
      <c r="D1579" s="38">
        <v>5294021</v>
      </c>
      <c r="E1579" s="38" t="s">
        <v>2168</v>
      </c>
      <c r="F1579" s="38" t="s">
        <v>618</v>
      </c>
    </row>
    <row r="1580" spans="1:6">
      <c r="A1580" s="38" t="s">
        <v>2199</v>
      </c>
      <c r="B1580" s="40">
        <v>1108.3499755859375</v>
      </c>
      <c r="C1580" s="40">
        <v>940.30877685546875</v>
      </c>
      <c r="D1580" s="38">
        <v>4393100</v>
      </c>
      <c r="E1580" s="38" t="s">
        <v>2168</v>
      </c>
      <c r="F1580" s="38" t="s">
        <v>618</v>
      </c>
    </row>
    <row r="1581" spans="1:6">
      <c r="A1581" s="38" t="s">
        <v>2200</v>
      </c>
      <c r="B1581" s="40">
        <v>1130.9000244140625</v>
      </c>
      <c r="C1581" s="40">
        <v>959.44012451171875</v>
      </c>
      <c r="D1581" s="38">
        <v>2461651</v>
      </c>
      <c r="E1581" s="38" t="s">
        <v>2168</v>
      </c>
      <c r="F1581" s="38" t="s">
        <v>618</v>
      </c>
    </row>
    <row r="1582" spans="1:6">
      <c r="A1582" s="38" t="s">
        <v>2201</v>
      </c>
      <c r="B1582" s="40">
        <v>1142.9000244140625</v>
      </c>
      <c r="C1582" s="40">
        <v>969.62066650390625</v>
      </c>
      <c r="D1582" s="38">
        <v>2783695</v>
      </c>
      <c r="E1582" s="38" t="s">
        <v>2168</v>
      </c>
      <c r="F1582" s="38" t="s">
        <v>618</v>
      </c>
    </row>
    <row r="1583" spans="1:6">
      <c r="A1583" s="38" t="s">
        <v>2202</v>
      </c>
      <c r="B1583" s="40">
        <v>1098.3499755859375</v>
      </c>
      <c r="C1583" s="40">
        <v>931.82501220703125</v>
      </c>
      <c r="D1583" s="38">
        <v>3666196</v>
      </c>
      <c r="E1583" s="38" t="s">
        <v>2168</v>
      </c>
      <c r="F1583" s="38" t="s">
        <v>618</v>
      </c>
    </row>
    <row r="1584" spans="1:6">
      <c r="A1584" s="38" t="s">
        <v>2203</v>
      </c>
      <c r="B1584" s="40">
        <v>1060.1500244140625</v>
      </c>
      <c r="C1584" s="40">
        <v>899.416748046875</v>
      </c>
      <c r="D1584" s="38">
        <v>4711542</v>
      </c>
      <c r="E1584" s="38" t="s">
        <v>2168</v>
      </c>
      <c r="F1584" s="38" t="s">
        <v>618</v>
      </c>
    </row>
    <row r="1585" spans="1:6">
      <c r="A1585" s="38" t="s">
        <v>2204</v>
      </c>
      <c r="B1585" s="40">
        <v>1078.5999755859375</v>
      </c>
      <c r="C1585" s="40">
        <v>915.0692138671875</v>
      </c>
      <c r="D1585" s="38">
        <v>2946857</v>
      </c>
      <c r="E1585" s="38" t="s">
        <v>2168</v>
      </c>
      <c r="F1585" s="38" t="s">
        <v>618</v>
      </c>
    </row>
    <row r="1586" spans="1:6">
      <c r="A1586" s="38" t="s">
        <v>2205</v>
      </c>
      <c r="B1586" s="40">
        <v>1123.25</v>
      </c>
      <c r="C1586" s="40">
        <v>952.94989013671875</v>
      </c>
      <c r="D1586" s="38">
        <v>3367600</v>
      </c>
      <c r="E1586" s="38" t="s">
        <v>2168</v>
      </c>
      <c r="F1586" s="38" t="s">
        <v>618</v>
      </c>
    </row>
    <row r="1587" spans="1:6">
      <c r="A1587" s="38" t="s">
        <v>2206</v>
      </c>
      <c r="B1587" s="40">
        <v>1164</v>
      </c>
      <c r="C1587" s="40">
        <v>987.52154541015625</v>
      </c>
      <c r="D1587" s="38">
        <v>2469771</v>
      </c>
      <c r="E1587" s="38" t="s">
        <v>2168</v>
      </c>
      <c r="F1587" s="38" t="s">
        <v>618</v>
      </c>
    </row>
    <row r="1588" spans="1:6">
      <c r="A1588" s="38" t="s">
        <v>2207</v>
      </c>
      <c r="B1588" s="40">
        <v>1180.25</v>
      </c>
      <c r="C1588" s="40">
        <v>1001.3079223632813</v>
      </c>
      <c r="D1588" s="38">
        <v>9674664</v>
      </c>
      <c r="E1588" s="38" t="s">
        <v>2168</v>
      </c>
      <c r="F1588" s="38" t="s">
        <v>618</v>
      </c>
    </row>
    <row r="1589" spans="1:6">
      <c r="A1589" s="38" t="s">
        <v>2208</v>
      </c>
      <c r="B1589" s="40">
        <v>1146.5999755859375</v>
      </c>
      <c r="C1589" s="40">
        <v>972.7596435546875</v>
      </c>
      <c r="D1589" s="38">
        <v>2419021</v>
      </c>
      <c r="E1589" s="38" t="s">
        <v>2168</v>
      </c>
      <c r="F1589" s="38" t="s">
        <v>618</v>
      </c>
    </row>
    <row r="1590" spans="1:6">
      <c r="A1590" s="38" t="s">
        <v>2209</v>
      </c>
      <c r="B1590" s="40">
        <v>1146</v>
      </c>
      <c r="C1590" s="40">
        <v>972.25067138671875</v>
      </c>
      <c r="D1590" s="38">
        <v>3206663</v>
      </c>
      <c r="E1590" s="38" t="s">
        <v>2168</v>
      </c>
      <c r="F1590" s="38" t="s">
        <v>618</v>
      </c>
    </row>
    <row r="1591" spans="1:6">
      <c r="A1591" s="38" t="s">
        <v>2210</v>
      </c>
      <c r="B1591" s="40">
        <v>1147.9000244140625</v>
      </c>
      <c r="C1591" s="40">
        <v>973.86273193359375</v>
      </c>
      <c r="D1591" s="38">
        <v>3229236</v>
      </c>
      <c r="E1591" s="38" t="s">
        <v>2168</v>
      </c>
      <c r="F1591" s="38" t="s">
        <v>618</v>
      </c>
    </row>
    <row r="1592" spans="1:6">
      <c r="A1592" s="38" t="s">
        <v>2211</v>
      </c>
      <c r="B1592" s="40">
        <v>1144.199951171875</v>
      </c>
      <c r="C1592" s="40">
        <v>970.7235107421875</v>
      </c>
      <c r="D1592" s="38">
        <v>3938875</v>
      </c>
      <c r="E1592" s="38" t="s">
        <v>2168</v>
      </c>
      <c r="F1592" s="38" t="s">
        <v>618</v>
      </c>
    </row>
    <row r="1593" spans="1:6">
      <c r="A1593" s="38" t="s">
        <v>2212</v>
      </c>
      <c r="B1593" s="40">
        <v>1130.300048828125</v>
      </c>
      <c r="C1593" s="40">
        <v>958.93109130859375</v>
      </c>
      <c r="D1593" s="38">
        <v>1656444</v>
      </c>
      <c r="E1593" s="38" t="s">
        <v>2168</v>
      </c>
      <c r="F1593" s="38" t="s">
        <v>618</v>
      </c>
    </row>
    <row r="1594" spans="1:6">
      <c r="A1594" s="38" t="s">
        <v>2213</v>
      </c>
      <c r="B1594" s="40">
        <v>1124.199951171875</v>
      </c>
      <c r="C1594" s="40">
        <v>953.7557373046875</v>
      </c>
      <c r="D1594" s="38">
        <v>1303551</v>
      </c>
      <c r="E1594" s="38" t="s">
        <v>2168</v>
      </c>
      <c r="F1594" s="38" t="s">
        <v>618</v>
      </c>
    </row>
    <row r="1595" spans="1:6">
      <c r="A1595" s="38" t="s">
        <v>2214</v>
      </c>
      <c r="B1595" s="40">
        <v>1138.5999755859375</v>
      </c>
      <c r="C1595" s="40">
        <v>965.97235107421875</v>
      </c>
      <c r="D1595" s="38">
        <v>1323539</v>
      </c>
      <c r="E1595" s="38" t="s">
        <v>2168</v>
      </c>
      <c r="F1595" s="38" t="s">
        <v>618</v>
      </c>
    </row>
    <row r="1596" spans="1:6">
      <c r="A1596" s="38" t="s">
        <v>2215</v>
      </c>
      <c r="B1596" s="40">
        <v>1109.8499755859375</v>
      </c>
      <c r="C1596" s="40">
        <v>941.5814208984375</v>
      </c>
      <c r="D1596" s="38">
        <v>3119792</v>
      </c>
      <c r="E1596" s="38" t="s">
        <v>2168</v>
      </c>
      <c r="F1596" s="38" t="s">
        <v>618</v>
      </c>
    </row>
    <row r="1597" spans="1:6">
      <c r="A1597" s="38" t="s">
        <v>2216</v>
      </c>
      <c r="B1597" s="40">
        <v>1051.949951171875</v>
      </c>
      <c r="C1597" s="40">
        <v>892.4599609375</v>
      </c>
      <c r="D1597" s="38">
        <v>2012004</v>
      </c>
      <c r="E1597" s="38" t="s">
        <v>2168</v>
      </c>
      <c r="F1597" s="38" t="s">
        <v>618</v>
      </c>
    </row>
    <row r="1598" spans="1:6">
      <c r="A1598" s="38" t="s">
        <v>2217</v>
      </c>
      <c r="B1598" s="40">
        <v>1030.1500244140625</v>
      </c>
      <c r="C1598" s="40">
        <v>873.96514892578125</v>
      </c>
      <c r="D1598" s="38">
        <v>5775453</v>
      </c>
      <c r="E1598" s="38" t="s">
        <v>2168</v>
      </c>
      <c r="F1598" s="38" t="s">
        <v>618</v>
      </c>
    </row>
    <row r="1599" spans="1:6">
      <c r="A1599" s="38" t="s">
        <v>2218</v>
      </c>
      <c r="B1599" s="40">
        <v>1020.0499877929688</v>
      </c>
      <c r="C1599" s="40">
        <v>865.39642333984375</v>
      </c>
      <c r="D1599" s="38">
        <v>3238141</v>
      </c>
      <c r="E1599" s="38" t="s">
        <v>2168</v>
      </c>
      <c r="F1599" s="38" t="s">
        <v>618</v>
      </c>
    </row>
    <row r="1600" spans="1:6">
      <c r="A1600" s="38" t="s">
        <v>2219</v>
      </c>
      <c r="B1600" s="40">
        <v>975.29998779296875</v>
      </c>
      <c r="C1600" s="40">
        <v>827.43121337890625</v>
      </c>
      <c r="D1600" s="38">
        <v>5600443</v>
      </c>
      <c r="E1600" s="38" t="s">
        <v>2168</v>
      </c>
      <c r="F1600" s="38" t="s">
        <v>618</v>
      </c>
    </row>
    <row r="1601" spans="1:6">
      <c r="A1601" s="38" t="s">
        <v>2220</v>
      </c>
      <c r="B1601" s="40">
        <v>965.04998779296875</v>
      </c>
      <c r="C1601" s="40">
        <v>818.7352294921875</v>
      </c>
      <c r="D1601" s="38">
        <v>7043370</v>
      </c>
      <c r="E1601" s="38" t="s">
        <v>2168</v>
      </c>
      <c r="F1601" s="38" t="s">
        <v>618</v>
      </c>
    </row>
    <row r="1602" spans="1:6">
      <c r="A1602" s="38" t="s">
        <v>2221</v>
      </c>
      <c r="B1602" s="40">
        <v>979.3499755859375</v>
      </c>
      <c r="C1602" s="40">
        <v>830.8670654296875</v>
      </c>
      <c r="D1602" s="38">
        <v>2985094</v>
      </c>
      <c r="E1602" s="38" t="s">
        <v>2168</v>
      </c>
      <c r="F1602" s="38" t="s">
        <v>618</v>
      </c>
    </row>
    <row r="1603" spans="1:6">
      <c r="A1603" s="38" t="s">
        <v>2222</v>
      </c>
      <c r="B1603" s="40">
        <v>1000.0999755859375</v>
      </c>
      <c r="C1603" s="40">
        <v>848.4710693359375</v>
      </c>
      <c r="D1603" s="38">
        <v>3433536</v>
      </c>
      <c r="E1603" s="38" t="s">
        <v>2168</v>
      </c>
      <c r="F1603" s="38" t="s">
        <v>618</v>
      </c>
    </row>
    <row r="1604" spans="1:6">
      <c r="A1604" s="38" t="s">
        <v>2223</v>
      </c>
      <c r="B1604" s="40">
        <v>980</v>
      </c>
      <c r="C1604" s="40">
        <v>831.41864013671875</v>
      </c>
      <c r="D1604" s="38">
        <v>2719988</v>
      </c>
      <c r="E1604" s="38" t="s">
        <v>2168</v>
      </c>
      <c r="F1604" s="38" t="s">
        <v>618</v>
      </c>
    </row>
    <row r="1605" spans="1:6">
      <c r="A1605" s="38" t="s">
        <v>2224</v>
      </c>
      <c r="B1605" s="40">
        <v>991.0999755859375</v>
      </c>
      <c r="C1605" s="40">
        <v>840.8355712890625</v>
      </c>
      <c r="D1605" s="38">
        <v>2915172</v>
      </c>
      <c r="E1605" s="38" t="s">
        <v>2168</v>
      </c>
      <c r="F1605" s="38" t="s">
        <v>618</v>
      </c>
    </row>
    <row r="1606" spans="1:6">
      <c r="A1606" s="38" t="s">
        <v>2225</v>
      </c>
      <c r="B1606" s="40">
        <v>981.20001220703125</v>
      </c>
      <c r="C1606" s="40">
        <v>832.4366455078125</v>
      </c>
      <c r="D1606" s="38">
        <v>4056588</v>
      </c>
      <c r="E1606" s="38" t="s">
        <v>2168</v>
      </c>
      <c r="F1606" s="38" t="s">
        <v>618</v>
      </c>
    </row>
    <row r="1607" spans="1:6">
      <c r="A1607" s="38" t="s">
        <v>2226</v>
      </c>
      <c r="B1607" s="40">
        <v>1007.2000122070313</v>
      </c>
      <c r="C1607" s="40">
        <v>854.49462890625</v>
      </c>
      <c r="D1607" s="38">
        <v>3796002</v>
      </c>
      <c r="E1607" s="38" t="s">
        <v>2168</v>
      </c>
      <c r="F1607" s="38" t="s">
        <v>618</v>
      </c>
    </row>
    <row r="1608" spans="1:6">
      <c r="A1608" s="38" t="s">
        <v>2227</v>
      </c>
      <c r="B1608" s="40">
        <v>1020.7000122070313</v>
      </c>
      <c r="C1608" s="40">
        <v>865.94793701171875</v>
      </c>
      <c r="D1608" s="38">
        <v>2755698</v>
      </c>
      <c r="E1608" s="38" t="s">
        <v>2168</v>
      </c>
      <c r="F1608" s="38" t="s">
        <v>618</v>
      </c>
    </row>
    <row r="1609" spans="1:6">
      <c r="A1609" s="38" t="s">
        <v>2228</v>
      </c>
      <c r="B1609" s="40">
        <v>1021.0999755859375</v>
      </c>
      <c r="C1609" s="40">
        <v>866.287109375</v>
      </c>
      <c r="D1609" s="38">
        <v>3770663</v>
      </c>
      <c r="E1609" s="38" t="s">
        <v>2168</v>
      </c>
      <c r="F1609" s="38" t="s">
        <v>618</v>
      </c>
    </row>
    <row r="1610" spans="1:6">
      <c r="A1610" s="38" t="s">
        <v>2229</v>
      </c>
      <c r="B1610" s="40">
        <v>1000</v>
      </c>
      <c r="C1610" s="40">
        <v>848.38629150390625</v>
      </c>
      <c r="D1610" s="38">
        <v>3264301</v>
      </c>
      <c r="E1610" s="38" t="s">
        <v>2168</v>
      </c>
      <c r="F1610" s="38" t="s">
        <v>618</v>
      </c>
    </row>
    <row r="1611" spans="1:6">
      <c r="A1611" s="38" t="s">
        <v>2230</v>
      </c>
      <c r="B1611" s="40">
        <v>1010.7000122070313</v>
      </c>
      <c r="C1611" s="40">
        <v>857.4639892578125</v>
      </c>
      <c r="D1611" s="38">
        <v>1842102</v>
      </c>
      <c r="E1611" s="38" t="s">
        <v>2168</v>
      </c>
      <c r="F1611" s="38" t="s">
        <v>618</v>
      </c>
    </row>
    <row r="1612" spans="1:6">
      <c r="A1612" s="38" t="s">
        <v>2231</v>
      </c>
      <c r="B1612" s="40">
        <v>999.95001220703125</v>
      </c>
      <c r="C1612" s="40">
        <v>848.3438720703125</v>
      </c>
      <c r="D1612" s="38">
        <v>1814322</v>
      </c>
      <c r="E1612" s="38" t="s">
        <v>2168</v>
      </c>
      <c r="F1612" s="38" t="s">
        <v>618</v>
      </c>
    </row>
    <row r="1613" spans="1:6">
      <c r="A1613" s="38" t="s">
        <v>2232</v>
      </c>
      <c r="B1613" s="40">
        <v>1003.2000122070313</v>
      </c>
      <c r="C1613" s="40">
        <v>851.10113525390625</v>
      </c>
      <c r="D1613" s="38">
        <v>3045188</v>
      </c>
      <c r="E1613" s="38" t="s">
        <v>2168</v>
      </c>
      <c r="F1613" s="38" t="s">
        <v>618</v>
      </c>
    </row>
    <row r="1614" spans="1:6">
      <c r="A1614" s="38" t="s">
        <v>2233</v>
      </c>
      <c r="B1614" s="40">
        <v>1009.9000244140625</v>
      </c>
      <c r="C1614" s="40">
        <v>856.785400390625</v>
      </c>
      <c r="D1614" s="38">
        <v>2188175</v>
      </c>
      <c r="E1614" s="38" t="s">
        <v>2168</v>
      </c>
      <c r="F1614" s="38" t="s">
        <v>618</v>
      </c>
    </row>
    <row r="1615" spans="1:6">
      <c r="A1615" s="38" t="s">
        <v>2234</v>
      </c>
      <c r="B1615" s="40">
        <v>1020.75</v>
      </c>
      <c r="C1615" s="40">
        <v>865.99029541015625</v>
      </c>
      <c r="D1615" s="38">
        <v>1901699</v>
      </c>
      <c r="E1615" s="38" t="s">
        <v>2168</v>
      </c>
      <c r="F1615" s="38" t="s">
        <v>618</v>
      </c>
    </row>
    <row r="1616" spans="1:6">
      <c r="A1616" s="38" t="s">
        <v>2235</v>
      </c>
      <c r="B1616" s="40">
        <v>1026.5</v>
      </c>
      <c r="C1616" s="40">
        <v>870.8685302734375</v>
      </c>
      <c r="D1616" s="38">
        <v>2841036</v>
      </c>
      <c r="E1616" s="38" t="s">
        <v>2168</v>
      </c>
      <c r="F1616" s="38" t="s">
        <v>618</v>
      </c>
    </row>
    <row r="1617" spans="1:6">
      <c r="A1617" s="38" t="s">
        <v>2236</v>
      </c>
      <c r="B1617" s="40">
        <v>1007.5499877929688</v>
      </c>
      <c r="C1617" s="40">
        <v>854.7916259765625</v>
      </c>
      <c r="D1617" s="38">
        <v>2892507</v>
      </c>
      <c r="E1617" s="38" t="s">
        <v>2168</v>
      </c>
      <c r="F1617" s="38" t="s">
        <v>618</v>
      </c>
    </row>
    <row r="1618" spans="1:6">
      <c r="A1618" s="38" t="s">
        <v>2237</v>
      </c>
      <c r="B1618" s="40">
        <v>997.3499755859375</v>
      </c>
      <c r="C1618" s="40">
        <v>846.13800048828125</v>
      </c>
      <c r="D1618" s="38">
        <v>2013304</v>
      </c>
      <c r="E1618" s="38" t="s">
        <v>2168</v>
      </c>
      <c r="F1618" s="38" t="s">
        <v>618</v>
      </c>
    </row>
    <row r="1619" spans="1:6">
      <c r="A1619" s="38" t="s">
        <v>2238</v>
      </c>
      <c r="B1619" s="40">
        <v>990.04998779296875</v>
      </c>
      <c r="C1619" s="40">
        <v>839.94482421875</v>
      </c>
      <c r="D1619" s="38">
        <v>2067142</v>
      </c>
      <c r="E1619" s="38" t="s">
        <v>2168</v>
      </c>
      <c r="F1619" s="38" t="s">
        <v>618</v>
      </c>
    </row>
    <row r="1620" spans="1:6">
      <c r="A1620" s="38" t="s">
        <v>2239</v>
      </c>
      <c r="B1620" s="40">
        <v>975.79998779296875</v>
      </c>
      <c r="C1620" s="40">
        <v>827.85528564453125</v>
      </c>
      <c r="D1620" s="38">
        <v>2212219</v>
      </c>
      <c r="E1620" s="38" t="s">
        <v>2168</v>
      </c>
      <c r="F1620" s="38" t="s">
        <v>618</v>
      </c>
    </row>
    <row r="1621" spans="1:6">
      <c r="A1621" s="38" t="s">
        <v>2240</v>
      </c>
      <c r="B1621" s="40">
        <v>973.79998779296875</v>
      </c>
      <c r="C1621" s="40">
        <v>826.15850830078125</v>
      </c>
      <c r="D1621" s="38">
        <v>2544737</v>
      </c>
      <c r="E1621" s="38" t="s">
        <v>2168</v>
      </c>
      <c r="F1621" s="38" t="s">
        <v>618</v>
      </c>
    </row>
    <row r="1622" spans="1:6">
      <c r="A1622" s="38" t="s">
        <v>2241</v>
      </c>
      <c r="B1622" s="40">
        <v>1008</v>
      </c>
      <c r="C1622" s="40">
        <v>855.17327880859375</v>
      </c>
      <c r="D1622" s="38">
        <v>3946821</v>
      </c>
      <c r="E1622" s="38" t="s">
        <v>2168</v>
      </c>
      <c r="F1622" s="38" t="s">
        <v>618</v>
      </c>
    </row>
    <row r="1623" spans="1:6">
      <c r="A1623" s="38" t="s">
        <v>2242</v>
      </c>
      <c r="B1623" s="40">
        <v>1007.7000122070313</v>
      </c>
      <c r="C1623" s="40">
        <v>854.91888427734375</v>
      </c>
      <c r="D1623" s="38">
        <v>2985845</v>
      </c>
      <c r="E1623" s="38" t="s">
        <v>2168</v>
      </c>
      <c r="F1623" s="38" t="s">
        <v>618</v>
      </c>
    </row>
    <row r="1624" spans="1:6">
      <c r="A1624" s="38" t="s">
        <v>2243</v>
      </c>
      <c r="B1624" s="40">
        <v>1045.5</v>
      </c>
      <c r="C1624" s="40">
        <v>886.98785400390625</v>
      </c>
      <c r="D1624" s="38">
        <v>5574762</v>
      </c>
      <c r="E1624" s="38" t="s">
        <v>2168</v>
      </c>
      <c r="F1624" s="38" t="s">
        <v>618</v>
      </c>
    </row>
    <row r="1625" spans="1:6">
      <c r="A1625" s="38" t="s">
        <v>2244</v>
      </c>
      <c r="B1625" s="40">
        <v>1032.75</v>
      </c>
      <c r="C1625" s="40">
        <v>902.0548095703125</v>
      </c>
      <c r="D1625" s="38">
        <v>4935223</v>
      </c>
      <c r="E1625" s="38" t="s">
        <v>2168</v>
      </c>
      <c r="F1625" s="38" t="s">
        <v>618</v>
      </c>
    </row>
    <row r="1626" spans="1:6">
      <c r="A1626" s="38" t="s">
        <v>2245</v>
      </c>
      <c r="B1626" s="40">
        <v>1028.699951171875</v>
      </c>
      <c r="C1626" s="40">
        <v>898.517333984375</v>
      </c>
      <c r="D1626" s="38">
        <v>2985409</v>
      </c>
      <c r="E1626" s="38" t="s">
        <v>2168</v>
      </c>
      <c r="F1626" s="38" t="s">
        <v>618</v>
      </c>
    </row>
    <row r="1627" spans="1:6">
      <c r="A1627" s="38" t="s">
        <v>2246</v>
      </c>
      <c r="B1627" s="40">
        <v>1017.25</v>
      </c>
      <c r="C1627" s="40">
        <v>888.516357421875</v>
      </c>
      <c r="D1627" s="38">
        <v>2888919</v>
      </c>
      <c r="E1627" s="38" t="s">
        <v>2168</v>
      </c>
      <c r="F1627" s="38" t="s">
        <v>618</v>
      </c>
    </row>
    <row r="1628" spans="1:6">
      <c r="A1628" s="38" t="s">
        <v>2247</v>
      </c>
      <c r="B1628" s="40">
        <v>999.3499755859375</v>
      </c>
      <c r="C1628" s="40">
        <v>872.88153076171875</v>
      </c>
      <c r="D1628" s="38">
        <v>5939871</v>
      </c>
      <c r="E1628" s="38" t="s">
        <v>2168</v>
      </c>
      <c r="F1628" s="38" t="s">
        <v>618</v>
      </c>
    </row>
    <row r="1629" spans="1:6">
      <c r="A1629" s="38" t="s">
        <v>2248</v>
      </c>
      <c r="B1629" s="40">
        <v>1007.6500244140625</v>
      </c>
      <c r="C1629" s="40">
        <v>880.13128662109375</v>
      </c>
      <c r="D1629" s="38">
        <v>2546052</v>
      </c>
      <c r="E1629" s="38" t="s">
        <v>2168</v>
      </c>
      <c r="F1629" s="38" t="s">
        <v>618</v>
      </c>
    </row>
    <row r="1630" spans="1:6">
      <c r="A1630" s="38" t="s">
        <v>2249</v>
      </c>
      <c r="B1630" s="40">
        <v>1038</v>
      </c>
      <c r="C1630" s="40">
        <v>906.64044189453125</v>
      </c>
      <c r="D1630" s="38">
        <v>3428026</v>
      </c>
      <c r="E1630" s="38" t="s">
        <v>2168</v>
      </c>
      <c r="F1630" s="38" t="s">
        <v>618</v>
      </c>
    </row>
    <row r="1631" spans="1:6">
      <c r="A1631" s="38" t="s">
        <v>2250</v>
      </c>
      <c r="B1631" s="40">
        <v>1048.6500244140625</v>
      </c>
      <c r="C1631" s="40">
        <v>915.94268798828125</v>
      </c>
      <c r="D1631" s="38">
        <v>6185909</v>
      </c>
      <c r="E1631" s="38" t="s">
        <v>2168</v>
      </c>
      <c r="F1631" s="38" t="s">
        <v>618</v>
      </c>
    </row>
    <row r="1632" spans="1:6">
      <c r="A1632" s="38" t="s">
        <v>2251</v>
      </c>
      <c r="B1632" s="40">
        <v>1049.5999755859375</v>
      </c>
      <c r="C1632" s="40">
        <v>916.7723388671875</v>
      </c>
      <c r="D1632" s="38">
        <v>2540084</v>
      </c>
      <c r="E1632" s="38" t="s">
        <v>2168</v>
      </c>
      <c r="F1632" s="38" t="s">
        <v>618</v>
      </c>
    </row>
    <row r="1633" spans="1:6">
      <c r="A1633" s="38" t="s">
        <v>2252</v>
      </c>
      <c r="B1633" s="40">
        <v>1032.5999755859375</v>
      </c>
      <c r="C1633" s="40">
        <v>901.92376708984375</v>
      </c>
      <c r="D1633" s="38">
        <v>2802273</v>
      </c>
      <c r="E1633" s="38" t="s">
        <v>2168</v>
      </c>
      <c r="F1633" s="38" t="s">
        <v>618</v>
      </c>
    </row>
    <row r="1634" spans="1:6">
      <c r="A1634" s="38" t="s">
        <v>2253</v>
      </c>
      <c r="B1634" s="40">
        <v>1052.6500244140625</v>
      </c>
      <c r="C1634" s="40">
        <v>919.4365234375</v>
      </c>
      <c r="D1634" s="38">
        <v>3509019</v>
      </c>
      <c r="E1634" s="38" t="s">
        <v>2168</v>
      </c>
      <c r="F1634" s="38" t="s">
        <v>618</v>
      </c>
    </row>
    <row r="1635" spans="1:6">
      <c r="A1635" s="38" t="s">
        <v>2254</v>
      </c>
      <c r="B1635" s="40">
        <v>1056.050048828125</v>
      </c>
      <c r="C1635" s="40">
        <v>922.40618896484375</v>
      </c>
      <c r="D1635" s="38">
        <v>5360632</v>
      </c>
      <c r="E1635" s="38" t="s">
        <v>2168</v>
      </c>
      <c r="F1635" s="38" t="s">
        <v>618</v>
      </c>
    </row>
    <row r="1636" spans="1:6">
      <c r="A1636" s="38" t="s">
        <v>2255</v>
      </c>
      <c r="B1636" s="40">
        <v>1058.199951171875</v>
      </c>
      <c r="C1636" s="40">
        <v>924.28399658203125</v>
      </c>
      <c r="D1636" s="38">
        <v>2641829</v>
      </c>
      <c r="E1636" s="38" t="s">
        <v>2168</v>
      </c>
      <c r="F1636" s="38" t="s">
        <v>618</v>
      </c>
    </row>
    <row r="1637" spans="1:6">
      <c r="A1637" s="38" t="s">
        <v>2256</v>
      </c>
      <c r="B1637" s="40">
        <v>1056.5999755859375</v>
      </c>
      <c r="C1637" s="40">
        <v>922.8865966796875</v>
      </c>
      <c r="D1637" s="38">
        <v>2579239</v>
      </c>
      <c r="E1637" s="38" t="s">
        <v>2168</v>
      </c>
      <c r="F1637" s="38" t="s">
        <v>618</v>
      </c>
    </row>
    <row r="1638" spans="1:6">
      <c r="A1638" s="38" t="s">
        <v>2257</v>
      </c>
      <c r="B1638" s="40">
        <v>1055.199951171875</v>
      </c>
      <c r="C1638" s="40">
        <v>921.6636962890625</v>
      </c>
      <c r="D1638" s="38">
        <v>2823021</v>
      </c>
      <c r="E1638" s="38" t="s">
        <v>2168</v>
      </c>
      <c r="F1638" s="38" t="s">
        <v>618</v>
      </c>
    </row>
    <row r="1639" spans="1:6">
      <c r="A1639" s="38" t="s">
        <v>2258</v>
      </c>
      <c r="B1639" s="40">
        <v>1077.25</v>
      </c>
      <c r="C1639" s="40">
        <v>940.92340087890625</v>
      </c>
      <c r="D1639" s="38">
        <v>3201408</v>
      </c>
      <c r="E1639" s="38" t="s">
        <v>2168</v>
      </c>
      <c r="F1639" s="38" t="s">
        <v>618</v>
      </c>
    </row>
    <row r="1640" spans="1:6">
      <c r="A1640" s="38" t="s">
        <v>2259</v>
      </c>
      <c r="B1640" s="40">
        <v>1065.9000244140625</v>
      </c>
      <c r="C1640" s="40">
        <v>931.0096435546875</v>
      </c>
      <c r="D1640" s="38">
        <v>1771561</v>
      </c>
      <c r="E1640" s="38" t="s">
        <v>2168</v>
      </c>
      <c r="F1640" s="38" t="s">
        <v>618</v>
      </c>
    </row>
    <row r="1641" spans="1:6">
      <c r="A1641" s="38" t="s">
        <v>2260</v>
      </c>
      <c r="B1641" s="40">
        <v>1077.699951171875</v>
      </c>
      <c r="C1641" s="40">
        <v>941.31634521484375</v>
      </c>
      <c r="D1641" s="38">
        <v>2222701</v>
      </c>
      <c r="E1641" s="38" t="s">
        <v>2168</v>
      </c>
      <c r="F1641" s="38" t="s">
        <v>618</v>
      </c>
    </row>
    <row r="1642" spans="1:6">
      <c r="A1642" s="38" t="s">
        <v>2261</v>
      </c>
      <c r="B1642" s="40">
        <v>1104.5</v>
      </c>
      <c r="C1642" s="40">
        <v>964.724853515625</v>
      </c>
      <c r="D1642" s="38">
        <v>4280823</v>
      </c>
      <c r="E1642" s="38" t="s">
        <v>2168</v>
      </c>
      <c r="F1642" s="38" t="s">
        <v>618</v>
      </c>
    </row>
    <row r="1643" spans="1:6">
      <c r="A1643" s="38" t="s">
        <v>2262</v>
      </c>
      <c r="B1643" s="40">
        <v>1105.1500244140625</v>
      </c>
      <c r="C1643" s="40">
        <v>965.29248046875</v>
      </c>
      <c r="D1643" s="38">
        <v>3041422</v>
      </c>
      <c r="E1643" s="38" t="s">
        <v>2168</v>
      </c>
      <c r="F1643" s="38" t="s">
        <v>618</v>
      </c>
    </row>
    <row r="1644" spans="1:6">
      <c r="A1644" s="38" t="s">
        <v>2263</v>
      </c>
      <c r="B1644" s="40">
        <v>1104.1500244140625</v>
      </c>
      <c r="C1644" s="40">
        <v>964.419189453125</v>
      </c>
      <c r="D1644" s="38">
        <v>4577717</v>
      </c>
      <c r="E1644" s="38" t="s">
        <v>2168</v>
      </c>
      <c r="F1644" s="38" t="s">
        <v>618</v>
      </c>
    </row>
    <row r="1645" spans="1:6">
      <c r="A1645" s="38" t="s">
        <v>2264</v>
      </c>
      <c r="B1645" s="40">
        <v>1078.699951171875</v>
      </c>
      <c r="C1645" s="40">
        <v>942.189697265625</v>
      </c>
      <c r="D1645" s="38">
        <v>2157609</v>
      </c>
      <c r="E1645" s="38" t="s">
        <v>2168</v>
      </c>
      <c r="F1645" s="38" t="s">
        <v>618</v>
      </c>
    </row>
    <row r="1646" spans="1:6">
      <c r="A1646" s="38" t="s">
        <v>2265</v>
      </c>
      <c r="B1646" s="40">
        <v>1065.9000244140625</v>
      </c>
      <c r="C1646" s="40">
        <v>931.0096435546875</v>
      </c>
      <c r="D1646" s="38">
        <v>2875768</v>
      </c>
      <c r="E1646" s="38" t="s">
        <v>2168</v>
      </c>
      <c r="F1646" s="38" t="s">
        <v>618</v>
      </c>
    </row>
    <row r="1647" spans="1:6">
      <c r="A1647" s="38" t="s">
        <v>2266</v>
      </c>
      <c r="B1647" s="40">
        <v>1070.949951171875</v>
      </c>
      <c r="C1647" s="40">
        <v>935.42047119140625</v>
      </c>
      <c r="D1647" s="38">
        <v>2180800</v>
      </c>
      <c r="E1647" s="38" t="s">
        <v>2168</v>
      </c>
      <c r="F1647" s="38" t="s">
        <v>618</v>
      </c>
    </row>
    <row r="1648" spans="1:6">
      <c r="A1648" s="38" t="s">
        <v>2267</v>
      </c>
      <c r="B1648" s="40">
        <v>1070.5999755859375</v>
      </c>
      <c r="C1648" s="40">
        <v>935.11492919921875</v>
      </c>
      <c r="D1648" s="38">
        <v>2734931</v>
      </c>
      <c r="E1648" s="38" t="s">
        <v>2168</v>
      </c>
      <c r="F1648" s="38" t="s">
        <v>618</v>
      </c>
    </row>
    <row r="1649" spans="1:6">
      <c r="A1649" s="38" t="s">
        <v>2268</v>
      </c>
      <c r="B1649" s="40">
        <v>1085.550048828125</v>
      </c>
      <c r="C1649" s="40">
        <v>948.17303466796875</v>
      </c>
      <c r="D1649" s="38">
        <v>2624896</v>
      </c>
      <c r="E1649" s="38" t="s">
        <v>2168</v>
      </c>
      <c r="F1649" s="38" t="s">
        <v>618</v>
      </c>
    </row>
    <row r="1650" spans="1:6">
      <c r="A1650" s="38" t="s">
        <v>2269</v>
      </c>
      <c r="B1650" s="40">
        <v>1035.550048828125</v>
      </c>
      <c r="C1650" s="40">
        <v>904.50048828125</v>
      </c>
      <c r="D1650" s="38">
        <v>6118233</v>
      </c>
      <c r="E1650" s="38" t="s">
        <v>2168</v>
      </c>
      <c r="F1650" s="38" t="s">
        <v>618</v>
      </c>
    </row>
    <row r="1651" spans="1:6">
      <c r="A1651" s="38" t="s">
        <v>2270</v>
      </c>
      <c r="B1651" s="40">
        <v>1076.0999755859375</v>
      </c>
      <c r="C1651" s="40">
        <v>939.91876220703125</v>
      </c>
      <c r="D1651" s="38">
        <v>4453769</v>
      </c>
      <c r="E1651" s="38" t="s">
        <v>2168</v>
      </c>
      <c r="F1651" s="38" t="s">
        <v>618</v>
      </c>
    </row>
    <row r="1652" spans="1:6">
      <c r="A1652" s="38" t="s">
        <v>2271</v>
      </c>
      <c r="B1652" s="40">
        <v>1052.9000244140625</v>
      </c>
      <c r="C1652" s="40">
        <v>919.65478515625</v>
      </c>
      <c r="D1652" s="38">
        <v>6112823</v>
      </c>
      <c r="E1652" s="38" t="s">
        <v>2168</v>
      </c>
      <c r="F1652" s="38" t="s">
        <v>618</v>
      </c>
    </row>
    <row r="1653" spans="1:6">
      <c r="A1653" s="38" t="s">
        <v>2272</v>
      </c>
      <c r="B1653" s="40">
        <v>1056.4000244140625</v>
      </c>
      <c r="C1653" s="40">
        <v>922.7119140625</v>
      </c>
      <c r="D1653" s="38">
        <v>1645341</v>
      </c>
      <c r="E1653" s="38" t="s">
        <v>2168</v>
      </c>
      <c r="F1653" s="38" t="s">
        <v>618</v>
      </c>
    </row>
    <row r="1654" spans="1:6">
      <c r="A1654" s="38" t="s">
        <v>2273</v>
      </c>
      <c r="B1654" s="40">
        <v>1065.050048828125</v>
      </c>
      <c r="C1654" s="40">
        <v>930.26715087890625</v>
      </c>
      <c r="D1654" s="38">
        <v>1677079</v>
      </c>
      <c r="E1654" s="38" t="s">
        <v>2168</v>
      </c>
      <c r="F1654" s="38" t="s">
        <v>618</v>
      </c>
    </row>
    <row r="1655" spans="1:6">
      <c r="A1655" s="38" t="s">
        <v>2274</v>
      </c>
      <c r="B1655" s="40">
        <v>1063.699951171875</v>
      </c>
      <c r="C1655" s="40">
        <v>929.088134765625</v>
      </c>
      <c r="D1655" s="38">
        <v>3051076</v>
      </c>
      <c r="E1655" s="38" t="s">
        <v>2168</v>
      </c>
      <c r="F1655" s="38" t="s">
        <v>618</v>
      </c>
    </row>
    <row r="1656" spans="1:6">
      <c r="A1656" s="38" t="s">
        <v>2275</v>
      </c>
      <c r="B1656" s="40">
        <v>1055.8499755859375</v>
      </c>
      <c r="C1656" s="40">
        <v>922.2314453125</v>
      </c>
      <c r="D1656" s="38">
        <v>2615897</v>
      </c>
      <c r="E1656" s="38" t="s">
        <v>2168</v>
      </c>
      <c r="F1656" s="38" t="s">
        <v>618</v>
      </c>
    </row>
    <row r="1657" spans="1:6">
      <c r="A1657" s="38" t="s">
        <v>2276</v>
      </c>
      <c r="B1657" s="40">
        <v>1089.5999755859375</v>
      </c>
      <c r="C1657" s="40">
        <v>951.71044921875</v>
      </c>
      <c r="D1657" s="38">
        <v>2634786</v>
      </c>
      <c r="E1657" s="38" t="s">
        <v>2168</v>
      </c>
      <c r="F1657" s="38" t="s">
        <v>618</v>
      </c>
    </row>
    <row r="1658" spans="1:6">
      <c r="A1658" s="38" t="s">
        <v>2277</v>
      </c>
      <c r="B1658" s="40">
        <v>1126.6500244140625</v>
      </c>
      <c r="C1658" s="40">
        <v>984.0716552734375</v>
      </c>
      <c r="D1658" s="38">
        <v>3394349</v>
      </c>
      <c r="E1658" s="38" t="s">
        <v>2168</v>
      </c>
      <c r="F1658" s="38" t="s">
        <v>618</v>
      </c>
    </row>
    <row r="1659" spans="1:6">
      <c r="A1659" s="38" t="s">
        <v>2278</v>
      </c>
      <c r="B1659" s="40">
        <v>1150.0999755859375</v>
      </c>
      <c r="C1659" s="40">
        <v>1004.5540161132813</v>
      </c>
      <c r="D1659" s="38">
        <v>5230075</v>
      </c>
      <c r="E1659" s="38" t="s">
        <v>2168</v>
      </c>
      <c r="F1659" s="38" t="s">
        <v>618</v>
      </c>
    </row>
    <row r="1660" spans="1:6">
      <c r="A1660" s="38" t="s">
        <v>2279</v>
      </c>
      <c r="B1660" s="40">
        <v>1147.449951171875</v>
      </c>
      <c r="C1660" s="40">
        <v>1002.2393188476563</v>
      </c>
      <c r="D1660" s="38">
        <v>2483685</v>
      </c>
      <c r="E1660" s="38" t="s">
        <v>2168</v>
      </c>
      <c r="F1660" s="38" t="s">
        <v>618</v>
      </c>
    </row>
    <row r="1661" spans="1:6">
      <c r="A1661" s="38" t="s">
        <v>2280</v>
      </c>
      <c r="B1661" s="40">
        <v>1114.699951171875</v>
      </c>
      <c r="C1661" s="40">
        <v>973.63385009765625</v>
      </c>
      <c r="D1661" s="38">
        <v>5179539</v>
      </c>
      <c r="E1661" s="38" t="s">
        <v>2168</v>
      </c>
      <c r="F1661" s="38" t="s">
        <v>618</v>
      </c>
    </row>
    <row r="1662" spans="1:6">
      <c r="A1662" s="38" t="s">
        <v>2281</v>
      </c>
      <c r="B1662" s="40">
        <v>1083</v>
      </c>
      <c r="C1662" s="40">
        <v>945.94561767578125</v>
      </c>
      <c r="D1662" s="38">
        <v>3392174</v>
      </c>
      <c r="E1662" s="38" t="s">
        <v>2168</v>
      </c>
      <c r="F1662" s="38" t="s">
        <v>618</v>
      </c>
    </row>
    <row r="1663" spans="1:6">
      <c r="A1663" s="38" t="s">
        <v>2282</v>
      </c>
      <c r="B1663" s="40">
        <v>1033.199951171875</v>
      </c>
      <c r="C1663" s="40">
        <v>902.4478759765625</v>
      </c>
      <c r="D1663" s="38">
        <v>6635089</v>
      </c>
      <c r="E1663" s="38" t="s">
        <v>2168</v>
      </c>
      <c r="F1663" s="38" t="s">
        <v>618</v>
      </c>
    </row>
    <row r="1664" spans="1:6">
      <c r="A1664" s="38" t="s">
        <v>2283</v>
      </c>
      <c r="B1664" s="40">
        <v>1039.5</v>
      </c>
      <c r="C1664" s="40">
        <v>907.9505615234375</v>
      </c>
      <c r="D1664" s="38">
        <v>2485826</v>
      </c>
      <c r="E1664" s="38" t="s">
        <v>2168</v>
      </c>
      <c r="F1664" s="38" t="s">
        <v>618</v>
      </c>
    </row>
    <row r="1665" spans="1:6">
      <c r="A1665" s="38" t="s">
        <v>2284</v>
      </c>
      <c r="B1665" s="40">
        <v>1056.1500244140625</v>
      </c>
      <c r="C1665" s="40">
        <v>922.49359130859375</v>
      </c>
      <c r="D1665" s="38">
        <v>2321528</v>
      </c>
      <c r="E1665" s="38" t="s">
        <v>2168</v>
      </c>
      <c r="F1665" s="38" t="s">
        <v>618</v>
      </c>
    </row>
    <row r="1666" spans="1:6">
      <c r="A1666" s="38" t="s">
        <v>2285</v>
      </c>
      <c r="B1666" s="40">
        <v>1060.1500244140625</v>
      </c>
      <c r="C1666" s="40">
        <v>925.98748779296875</v>
      </c>
      <c r="D1666" s="38">
        <v>2760138</v>
      </c>
      <c r="E1666" s="38" t="s">
        <v>2168</v>
      </c>
      <c r="F1666" s="38" t="s">
        <v>618</v>
      </c>
    </row>
    <row r="1667" spans="1:6">
      <c r="A1667" s="38" t="s">
        <v>2286</v>
      </c>
      <c r="B1667" s="40">
        <v>1048.4000244140625</v>
      </c>
      <c r="C1667" s="40">
        <v>915.72430419921875</v>
      </c>
      <c r="D1667" s="38">
        <v>3867282</v>
      </c>
      <c r="E1667" s="38" t="s">
        <v>2168</v>
      </c>
      <c r="F1667" s="38" t="s">
        <v>618</v>
      </c>
    </row>
    <row r="1668" spans="1:6">
      <c r="A1668" s="38" t="s">
        <v>2287</v>
      </c>
      <c r="B1668" s="40">
        <v>1035.0999755859375</v>
      </c>
      <c r="C1668" s="40">
        <v>904.10748291015625</v>
      </c>
      <c r="D1668" s="38">
        <v>3230711</v>
      </c>
      <c r="E1668" s="38" t="s">
        <v>2168</v>
      </c>
      <c r="F1668" s="38" t="s">
        <v>618</v>
      </c>
    </row>
    <row r="1669" spans="1:6">
      <c r="A1669" s="38" t="s">
        <v>2288</v>
      </c>
      <c r="B1669" s="40">
        <v>1032.9000244140625</v>
      </c>
      <c r="C1669" s="40">
        <v>902.18585205078125</v>
      </c>
      <c r="D1669" s="38">
        <v>3314114</v>
      </c>
      <c r="E1669" s="38" t="s">
        <v>2168</v>
      </c>
      <c r="F1669" s="38" t="s">
        <v>618</v>
      </c>
    </row>
    <row r="1670" spans="1:6">
      <c r="A1670" s="38" t="s">
        <v>2289</v>
      </c>
      <c r="B1670" s="40">
        <v>1022.5</v>
      </c>
      <c r="C1670" s="40">
        <v>893.10205078125</v>
      </c>
      <c r="D1670" s="38">
        <v>4448875</v>
      </c>
      <c r="E1670" s="38" t="s">
        <v>2168</v>
      </c>
      <c r="F1670" s="38" t="s">
        <v>618</v>
      </c>
    </row>
    <row r="1671" spans="1:6">
      <c r="A1671" s="38" t="s">
        <v>2290</v>
      </c>
      <c r="B1671" s="40">
        <v>1029.699951171875</v>
      </c>
      <c r="C1671" s="40">
        <v>899.39080810546875</v>
      </c>
      <c r="D1671" s="38">
        <v>1965519</v>
      </c>
      <c r="E1671" s="38" t="s">
        <v>2168</v>
      </c>
      <c r="F1671" s="38" t="s">
        <v>618</v>
      </c>
    </row>
    <row r="1672" spans="1:6">
      <c r="A1672" s="38" t="s">
        <v>2291</v>
      </c>
      <c r="B1672" s="40">
        <v>1007.0999755859375</v>
      </c>
      <c r="C1672" s="40">
        <v>879.65081787109375</v>
      </c>
      <c r="D1672" s="38">
        <v>3176310</v>
      </c>
      <c r="E1672" s="38" t="s">
        <v>2168</v>
      </c>
      <c r="F1672" s="38" t="s">
        <v>618</v>
      </c>
    </row>
    <row r="1673" spans="1:6">
      <c r="A1673" s="38" t="s">
        <v>2292</v>
      </c>
      <c r="B1673" s="40">
        <v>1008.5999755859375</v>
      </c>
      <c r="C1673" s="40">
        <v>880.9609375</v>
      </c>
      <c r="D1673" s="38">
        <v>3848885</v>
      </c>
      <c r="E1673" s="38" t="s">
        <v>2168</v>
      </c>
      <c r="F1673" s="38" t="s">
        <v>618</v>
      </c>
    </row>
    <row r="1674" spans="1:6">
      <c r="A1674" s="38" t="s">
        <v>2293</v>
      </c>
      <c r="B1674" s="40">
        <v>1005.5</v>
      </c>
      <c r="C1674" s="40">
        <v>878.25341796875</v>
      </c>
      <c r="D1674" s="38">
        <v>2431236</v>
      </c>
      <c r="E1674" s="38" t="s">
        <v>2168</v>
      </c>
      <c r="F1674" s="38" t="s">
        <v>618</v>
      </c>
    </row>
    <row r="1675" spans="1:6">
      <c r="A1675" s="38" t="s">
        <v>2294</v>
      </c>
      <c r="B1675" s="40">
        <v>1028.300048828125</v>
      </c>
      <c r="C1675" s="40">
        <v>898.16802978515625</v>
      </c>
      <c r="D1675" s="38">
        <v>2715420</v>
      </c>
      <c r="E1675" s="38" t="s">
        <v>2168</v>
      </c>
      <c r="F1675" s="38" t="s">
        <v>618</v>
      </c>
    </row>
    <row r="1676" spans="1:6">
      <c r="A1676" s="38" t="s">
        <v>2295</v>
      </c>
      <c r="B1676" s="40">
        <v>1031.300048828125</v>
      </c>
      <c r="C1676" s="40">
        <v>900.78839111328125</v>
      </c>
      <c r="D1676" s="38">
        <v>2397633</v>
      </c>
      <c r="E1676" s="38" t="s">
        <v>2168</v>
      </c>
      <c r="F1676" s="38" t="s">
        <v>618</v>
      </c>
    </row>
    <row r="1677" spans="1:6">
      <c r="A1677" s="38" t="s">
        <v>2296</v>
      </c>
      <c r="B1677" s="40">
        <v>1023.8499755859375</v>
      </c>
      <c r="C1677" s="40">
        <v>894.281005859375</v>
      </c>
      <c r="D1677" s="38">
        <v>1539126</v>
      </c>
      <c r="E1677" s="38" t="s">
        <v>2168</v>
      </c>
      <c r="F1677" s="38" t="s">
        <v>618</v>
      </c>
    </row>
    <row r="1678" spans="1:6">
      <c r="A1678" s="38" t="s">
        <v>2297</v>
      </c>
      <c r="B1678" s="40">
        <v>1029.3499755859375</v>
      </c>
      <c r="C1678" s="40">
        <v>899.0850830078125</v>
      </c>
      <c r="D1678" s="38">
        <v>1660433</v>
      </c>
      <c r="E1678" s="38" t="s">
        <v>2168</v>
      </c>
      <c r="F1678" s="38" t="s">
        <v>618</v>
      </c>
    </row>
    <row r="1679" spans="1:6">
      <c r="A1679" s="38" t="s">
        <v>2298</v>
      </c>
      <c r="B1679" s="40">
        <v>1004.8499755859375</v>
      </c>
      <c r="C1679" s="40">
        <v>877.68560791015625</v>
      </c>
      <c r="D1679" s="38">
        <v>2310765</v>
      </c>
      <c r="E1679" s="38" t="s">
        <v>2168</v>
      </c>
      <c r="F1679" s="38" t="s">
        <v>618</v>
      </c>
    </row>
    <row r="1680" spans="1:6">
      <c r="A1680" s="38" t="s">
        <v>2299</v>
      </c>
      <c r="B1680" s="40">
        <v>1015.9000244140625</v>
      </c>
      <c r="C1680" s="40">
        <v>887.33721923828125</v>
      </c>
      <c r="D1680" s="38">
        <v>2192421</v>
      </c>
      <c r="E1680" s="38" t="s">
        <v>2168</v>
      </c>
      <c r="F1680" s="38" t="s">
        <v>618</v>
      </c>
    </row>
    <row r="1681" spans="1:6">
      <c r="A1681" s="38" t="s">
        <v>2300</v>
      </c>
      <c r="B1681" s="40">
        <v>1012.9500122070313</v>
      </c>
      <c r="C1681" s="40">
        <v>884.76055908203125</v>
      </c>
      <c r="D1681" s="38">
        <v>1344162</v>
      </c>
      <c r="E1681" s="38" t="s">
        <v>2168</v>
      </c>
      <c r="F1681" s="38" t="s">
        <v>618</v>
      </c>
    </row>
    <row r="1682" spans="1:6">
      <c r="A1682" s="38" t="s">
        <v>2301</v>
      </c>
      <c r="B1682" s="40">
        <v>1019.8499755859375</v>
      </c>
      <c r="C1682" s="40">
        <v>890.7872314453125</v>
      </c>
      <c r="D1682" s="38">
        <v>3492929</v>
      </c>
      <c r="E1682" s="38" t="s">
        <v>2168</v>
      </c>
      <c r="F1682" s="38" t="s">
        <v>618</v>
      </c>
    </row>
    <row r="1683" spans="1:6">
      <c r="A1683" s="38" t="s">
        <v>2302</v>
      </c>
      <c r="B1683" s="40">
        <v>1023.25</v>
      </c>
      <c r="C1683" s="40">
        <v>893.75701904296875</v>
      </c>
      <c r="D1683" s="38">
        <v>1426207</v>
      </c>
      <c r="E1683" s="38" t="s">
        <v>2168</v>
      </c>
      <c r="F1683" s="38" t="s">
        <v>618</v>
      </c>
    </row>
    <row r="1684" spans="1:6">
      <c r="A1684" s="38" t="s">
        <v>2303</v>
      </c>
      <c r="B1684" s="40">
        <v>1019.4000244140625</v>
      </c>
      <c r="C1684" s="40">
        <v>890.394287109375</v>
      </c>
      <c r="D1684" s="38">
        <v>2395805</v>
      </c>
      <c r="E1684" s="38" t="s">
        <v>2168</v>
      </c>
      <c r="F1684" s="38" t="s">
        <v>618</v>
      </c>
    </row>
    <row r="1685" spans="1:6">
      <c r="A1685" s="38" t="s">
        <v>2304</v>
      </c>
      <c r="B1685" s="40">
        <v>1019.2000122070313</v>
      </c>
      <c r="C1685" s="40">
        <v>890.2197265625</v>
      </c>
      <c r="D1685" s="38">
        <v>1304927</v>
      </c>
      <c r="E1685" s="38" t="s">
        <v>2168</v>
      </c>
      <c r="F1685" s="38" t="s">
        <v>618</v>
      </c>
    </row>
    <row r="1686" spans="1:6">
      <c r="A1686" s="38" t="s">
        <v>2305</v>
      </c>
      <c r="B1686" s="40">
        <v>1041.6500244140625</v>
      </c>
      <c r="C1686" s="40">
        <v>909.82855224609375</v>
      </c>
      <c r="D1686" s="38">
        <v>1852905</v>
      </c>
      <c r="E1686" s="38" t="s">
        <v>2168</v>
      </c>
      <c r="F1686" s="38" t="s">
        <v>618</v>
      </c>
    </row>
    <row r="1687" spans="1:6">
      <c r="A1687" s="38" t="s">
        <v>2306</v>
      </c>
      <c r="B1687" s="40">
        <v>1041.1500244140625</v>
      </c>
      <c r="C1687" s="40">
        <v>909.391845703125</v>
      </c>
      <c r="D1687" s="38">
        <v>1202009</v>
      </c>
      <c r="E1687" s="38" t="s">
        <v>2168</v>
      </c>
      <c r="F1687" s="38" t="s">
        <v>618</v>
      </c>
    </row>
    <row r="1688" spans="1:6">
      <c r="A1688" s="38" t="s">
        <v>2307</v>
      </c>
      <c r="B1688" s="40">
        <v>1048.1500244140625</v>
      </c>
      <c r="C1688" s="40">
        <v>915.5059814453125</v>
      </c>
      <c r="D1688" s="38">
        <v>231316</v>
      </c>
      <c r="E1688" s="38" t="s">
        <v>2168</v>
      </c>
      <c r="F1688" s="38" t="s">
        <v>618</v>
      </c>
    </row>
    <row r="1689" spans="1:6">
      <c r="A1689" s="38" t="s">
        <v>2308</v>
      </c>
      <c r="B1689" s="40">
        <v>1082.5</v>
      </c>
      <c r="C1689" s="40">
        <v>945.5089111328125</v>
      </c>
      <c r="D1689" s="38">
        <v>3097049</v>
      </c>
      <c r="E1689" s="38" t="s">
        <v>2168</v>
      </c>
      <c r="F1689" s="38" t="s">
        <v>618</v>
      </c>
    </row>
    <row r="1690" spans="1:6">
      <c r="A1690" s="38" t="s">
        <v>2309</v>
      </c>
      <c r="B1690" s="40">
        <v>1075.8499755859375</v>
      </c>
      <c r="C1690" s="40">
        <v>939.70050048828125</v>
      </c>
      <c r="D1690" s="38">
        <v>2342818</v>
      </c>
      <c r="E1690" s="38" t="s">
        <v>2168</v>
      </c>
      <c r="F1690" s="38" t="s">
        <v>618</v>
      </c>
    </row>
    <row r="1691" spans="1:6">
      <c r="A1691" s="38" t="s">
        <v>2310</v>
      </c>
      <c r="B1691" s="40">
        <v>1048.949951171875</v>
      </c>
      <c r="C1691" s="40">
        <v>916.2047119140625</v>
      </c>
      <c r="D1691" s="38">
        <v>1542568</v>
      </c>
      <c r="E1691" s="38" t="s">
        <v>2168</v>
      </c>
      <c r="F1691" s="38" t="s">
        <v>618</v>
      </c>
    </row>
    <row r="1692" spans="1:6">
      <c r="A1692" s="38" t="s">
        <v>2311</v>
      </c>
      <c r="B1692" s="40">
        <v>1063.4000244140625</v>
      </c>
      <c r="C1692" s="40">
        <v>928.82611083984375</v>
      </c>
      <c r="D1692" s="38">
        <v>2629847</v>
      </c>
      <c r="E1692" s="38" t="s">
        <v>2168</v>
      </c>
      <c r="F1692" s="38" t="s">
        <v>618</v>
      </c>
    </row>
    <row r="1693" spans="1:6">
      <c r="A1693" s="38" t="s">
        <v>2312</v>
      </c>
      <c r="B1693" s="40">
        <v>1070.9000244140625</v>
      </c>
      <c r="C1693" s="40">
        <v>935.376953125</v>
      </c>
      <c r="D1693" s="38">
        <v>4709472</v>
      </c>
      <c r="E1693" s="38" t="s">
        <v>2168</v>
      </c>
      <c r="F1693" s="38" t="s">
        <v>618</v>
      </c>
    </row>
    <row r="1694" spans="1:6">
      <c r="A1694" s="38" t="s">
        <v>2313</v>
      </c>
      <c r="B1694" s="40">
        <v>1082</v>
      </c>
      <c r="C1694" s="40">
        <v>945.0721435546875</v>
      </c>
      <c r="D1694" s="38">
        <v>4104485</v>
      </c>
      <c r="E1694" s="38" t="s">
        <v>2168</v>
      </c>
      <c r="F1694" s="38" t="s">
        <v>618</v>
      </c>
    </row>
    <row r="1695" spans="1:6">
      <c r="A1695" s="38" t="s">
        <v>2314</v>
      </c>
      <c r="B1695" s="40">
        <v>1052.8499755859375</v>
      </c>
      <c r="C1695" s="40">
        <v>919.6112060546875</v>
      </c>
      <c r="D1695" s="38">
        <v>3460133</v>
      </c>
      <c r="E1695" s="38" t="s">
        <v>2168</v>
      </c>
      <c r="F1695" s="38" t="s">
        <v>618</v>
      </c>
    </row>
    <row r="1696" spans="1:6">
      <c r="A1696" s="38" t="s">
        <v>2315</v>
      </c>
      <c r="B1696" s="40">
        <v>1053.6500244140625</v>
      </c>
      <c r="C1696" s="40">
        <v>920.30999755859375</v>
      </c>
      <c r="D1696" s="38">
        <v>2531080</v>
      </c>
      <c r="E1696" s="38" t="s">
        <v>2168</v>
      </c>
      <c r="F1696" s="38" t="s">
        <v>618</v>
      </c>
    </row>
    <row r="1697" spans="1:6">
      <c r="A1697" s="38" t="s">
        <v>2316</v>
      </c>
      <c r="B1697" s="40">
        <v>1053.5</v>
      </c>
      <c r="C1697" s="40">
        <v>920.17889404296875</v>
      </c>
      <c r="D1697" s="38">
        <v>2588984</v>
      </c>
      <c r="E1697" s="38" t="s">
        <v>2168</v>
      </c>
      <c r="F1697" s="38" t="s">
        <v>618</v>
      </c>
    </row>
    <row r="1698" spans="1:6">
      <c r="A1698" s="38" t="s">
        <v>2317</v>
      </c>
      <c r="B1698" s="40">
        <v>1028.699951171875</v>
      </c>
      <c r="C1698" s="40">
        <v>914.13616943359375</v>
      </c>
      <c r="D1698" s="38">
        <v>2697639</v>
      </c>
      <c r="E1698" s="38" t="s">
        <v>2168</v>
      </c>
      <c r="F1698" s="38" t="s">
        <v>618</v>
      </c>
    </row>
    <row r="1699" spans="1:6">
      <c r="A1699" s="38" t="s">
        <v>2318</v>
      </c>
      <c r="B1699" s="40">
        <v>1021.0999755859375</v>
      </c>
      <c r="C1699" s="40">
        <v>907.382568359375</v>
      </c>
      <c r="D1699" s="38">
        <v>3285774</v>
      </c>
      <c r="E1699" s="38" t="s">
        <v>2168</v>
      </c>
      <c r="F1699" s="38" t="s">
        <v>618</v>
      </c>
    </row>
    <row r="1700" spans="1:6">
      <c r="A1700" s="38" t="s">
        <v>2319</v>
      </c>
      <c r="B1700" s="40">
        <v>1058.699951171875</v>
      </c>
      <c r="C1700" s="40">
        <v>940.795166015625</v>
      </c>
      <c r="D1700" s="38">
        <v>5299457</v>
      </c>
      <c r="E1700" s="38" t="s">
        <v>2168</v>
      </c>
      <c r="F1700" s="38" t="s">
        <v>618</v>
      </c>
    </row>
    <row r="1701" spans="1:6">
      <c r="A1701" s="38" t="s">
        <v>2320</v>
      </c>
      <c r="B1701" s="40">
        <v>1065.3499755859375</v>
      </c>
      <c r="C1701" s="40">
        <v>946.70452880859375</v>
      </c>
      <c r="D1701" s="38">
        <v>2229790</v>
      </c>
      <c r="E1701" s="38" t="s">
        <v>2168</v>
      </c>
      <c r="F1701" s="38" t="s">
        <v>618</v>
      </c>
    </row>
    <row r="1702" spans="1:6">
      <c r="A1702" s="38" t="s">
        <v>2321</v>
      </c>
      <c r="B1702" s="40">
        <v>1066.949951171875</v>
      </c>
      <c r="C1702" s="40">
        <v>948.12640380859375</v>
      </c>
      <c r="D1702" s="38">
        <v>1577944</v>
      </c>
      <c r="E1702" s="38" t="s">
        <v>2168</v>
      </c>
      <c r="F1702" s="38" t="s">
        <v>618</v>
      </c>
    </row>
    <row r="1703" spans="1:6">
      <c r="A1703" s="38" t="s">
        <v>2322</v>
      </c>
      <c r="B1703" s="40">
        <v>1066.8499755859375</v>
      </c>
      <c r="C1703" s="40">
        <v>948.03753662109375</v>
      </c>
      <c r="D1703" s="38">
        <v>2335937</v>
      </c>
      <c r="E1703" s="38" t="s">
        <v>2168</v>
      </c>
      <c r="F1703" s="38" t="s">
        <v>618</v>
      </c>
    </row>
    <row r="1704" spans="1:6">
      <c r="A1704" s="38" t="s">
        <v>2323</v>
      </c>
      <c r="B1704" s="40">
        <v>1058.550048828125</v>
      </c>
      <c r="C1704" s="40">
        <v>940.66192626953125</v>
      </c>
      <c r="D1704" s="38">
        <v>2089630</v>
      </c>
      <c r="E1704" s="38" t="s">
        <v>2168</v>
      </c>
      <c r="F1704" s="38" t="s">
        <v>618</v>
      </c>
    </row>
    <row r="1705" spans="1:6">
      <c r="A1705" s="38" t="s">
        <v>2324</v>
      </c>
      <c r="B1705" s="40">
        <v>1060.8499755859375</v>
      </c>
      <c r="C1705" s="40">
        <v>942.70574951171875</v>
      </c>
      <c r="D1705" s="38">
        <v>1617331</v>
      </c>
      <c r="E1705" s="38" t="s">
        <v>2168</v>
      </c>
      <c r="F1705" s="38" t="s">
        <v>618</v>
      </c>
    </row>
    <row r="1706" spans="1:6">
      <c r="A1706" s="38" t="s">
        <v>2325</v>
      </c>
      <c r="B1706" s="40">
        <v>1042.5999755859375</v>
      </c>
      <c r="C1706" s="40">
        <v>926.4881591796875</v>
      </c>
      <c r="D1706" s="38">
        <v>1475958</v>
      </c>
      <c r="E1706" s="38" t="s">
        <v>2168</v>
      </c>
      <c r="F1706" s="38" t="s">
        <v>618</v>
      </c>
    </row>
    <row r="1707" spans="1:6">
      <c r="A1707" s="38" t="s">
        <v>2326</v>
      </c>
      <c r="B1707" s="40">
        <v>1050.6500244140625</v>
      </c>
      <c r="C1707" s="40">
        <v>933.64166259765625</v>
      </c>
      <c r="D1707" s="38">
        <v>1696991</v>
      </c>
      <c r="E1707" s="38" t="s">
        <v>2168</v>
      </c>
      <c r="F1707" s="38" t="s">
        <v>618</v>
      </c>
    </row>
    <row r="1708" spans="1:6">
      <c r="A1708" s="38" t="s">
        <v>2327</v>
      </c>
      <c r="B1708" s="40">
        <v>1044.050048828125</v>
      </c>
      <c r="C1708" s="40">
        <v>927.7767333984375</v>
      </c>
      <c r="D1708" s="38">
        <v>1704144</v>
      </c>
      <c r="E1708" s="38" t="s">
        <v>2168</v>
      </c>
      <c r="F1708" s="38" t="s">
        <v>618</v>
      </c>
    </row>
    <row r="1709" spans="1:6">
      <c r="A1709" s="38" t="s">
        <v>2328</v>
      </c>
      <c r="B1709" s="40">
        <v>1069.300048828125</v>
      </c>
      <c r="C1709" s="40">
        <v>950.21478271484375</v>
      </c>
      <c r="D1709" s="38">
        <v>2208145</v>
      </c>
      <c r="E1709" s="38" t="s">
        <v>2168</v>
      </c>
      <c r="F1709" s="38" t="s">
        <v>618</v>
      </c>
    </row>
    <row r="1710" spans="1:6">
      <c r="A1710" s="38" t="s">
        <v>2329</v>
      </c>
      <c r="B1710" s="40">
        <v>1080.1500244140625</v>
      </c>
      <c r="C1710" s="40">
        <v>959.85638427734375</v>
      </c>
      <c r="D1710" s="38">
        <v>1943246</v>
      </c>
      <c r="E1710" s="38" t="s">
        <v>2168</v>
      </c>
      <c r="F1710" s="38" t="s">
        <v>618</v>
      </c>
    </row>
    <row r="1711" spans="1:6">
      <c r="A1711" s="38" t="s">
        <v>2330</v>
      </c>
      <c r="B1711" s="40">
        <v>1077.199951171875</v>
      </c>
      <c r="C1711" s="40">
        <v>957.23480224609375</v>
      </c>
      <c r="D1711" s="38">
        <v>1749691</v>
      </c>
      <c r="E1711" s="38" t="s">
        <v>2168</v>
      </c>
      <c r="F1711" s="38" t="s">
        <v>618</v>
      </c>
    </row>
    <row r="1712" spans="1:6">
      <c r="A1712" s="38" t="s">
        <v>2331</v>
      </c>
      <c r="B1712" s="40">
        <v>1074.550048828125</v>
      </c>
      <c r="C1712" s="40">
        <v>954.8800048828125</v>
      </c>
      <c r="D1712" s="38">
        <v>1233868</v>
      </c>
      <c r="E1712" s="38" t="s">
        <v>2168</v>
      </c>
      <c r="F1712" s="38" t="s">
        <v>618</v>
      </c>
    </row>
    <row r="1713" spans="1:6">
      <c r="A1713" s="38" t="s">
        <v>2332</v>
      </c>
      <c r="B1713" s="40">
        <v>1077</v>
      </c>
      <c r="C1713" s="40">
        <v>957.05712890625</v>
      </c>
      <c r="D1713" s="38">
        <v>3909954</v>
      </c>
      <c r="E1713" s="38" t="s">
        <v>2168</v>
      </c>
      <c r="F1713" s="38" t="s">
        <v>618</v>
      </c>
    </row>
    <row r="1714" spans="1:6">
      <c r="A1714" s="38" t="s">
        <v>2333</v>
      </c>
      <c r="B1714" s="40">
        <v>1101.5</v>
      </c>
      <c r="C1714" s="40">
        <v>978.8287353515625</v>
      </c>
      <c r="D1714" s="38">
        <v>4264917</v>
      </c>
      <c r="E1714" s="38" t="s">
        <v>2168</v>
      </c>
      <c r="F1714" s="38" t="s">
        <v>618</v>
      </c>
    </row>
    <row r="1715" spans="1:6">
      <c r="A1715" s="38" t="s">
        <v>2334</v>
      </c>
      <c r="B1715" s="40">
        <v>1114.75</v>
      </c>
      <c r="C1715" s="40">
        <v>990.60296630859375</v>
      </c>
      <c r="D1715" s="38">
        <v>3418928</v>
      </c>
      <c r="E1715" s="38" t="s">
        <v>2168</v>
      </c>
      <c r="F1715" s="38" t="s">
        <v>618</v>
      </c>
    </row>
    <row r="1716" spans="1:6">
      <c r="A1716" s="38" t="s">
        <v>2335</v>
      </c>
      <c r="B1716" s="40">
        <v>1099.75</v>
      </c>
      <c r="C1716" s="40">
        <v>977.27374267578125</v>
      </c>
      <c r="D1716" s="38">
        <v>2760688</v>
      </c>
      <c r="E1716" s="38" t="s">
        <v>2168</v>
      </c>
      <c r="F1716" s="38" t="s">
        <v>618</v>
      </c>
    </row>
    <row r="1717" spans="1:6">
      <c r="A1717" s="38" t="s">
        <v>2336</v>
      </c>
      <c r="B1717" s="40">
        <v>1088.800048828125</v>
      </c>
      <c r="C1717" s="40">
        <v>967.54302978515625</v>
      </c>
      <c r="D1717" s="38">
        <v>1838107</v>
      </c>
      <c r="E1717" s="38" t="s">
        <v>2168</v>
      </c>
      <c r="F1717" s="38" t="s">
        <v>618</v>
      </c>
    </row>
    <row r="1718" spans="1:6">
      <c r="A1718" s="38" t="s">
        <v>2337</v>
      </c>
      <c r="B1718" s="40">
        <v>1078.050048828125</v>
      </c>
      <c r="C1718" s="40">
        <v>957.99017333984375</v>
      </c>
      <c r="D1718" s="38">
        <v>1478573</v>
      </c>
      <c r="E1718" s="38" t="s">
        <v>2168</v>
      </c>
      <c r="F1718" s="38" t="s">
        <v>618</v>
      </c>
    </row>
    <row r="1719" spans="1:6">
      <c r="A1719" s="38" t="s">
        <v>2338</v>
      </c>
      <c r="B1719" s="40">
        <v>1074.1500244140625</v>
      </c>
      <c r="C1719" s="40">
        <v>954.524658203125</v>
      </c>
      <c r="D1719" s="38">
        <v>1110431</v>
      </c>
      <c r="E1719" s="38" t="s">
        <v>2168</v>
      </c>
      <c r="F1719" s="38" t="s">
        <v>618</v>
      </c>
    </row>
    <row r="1720" spans="1:6">
      <c r="A1720" s="38" t="s">
        <v>2339</v>
      </c>
      <c r="B1720" s="40">
        <v>1035.300048828125</v>
      </c>
      <c r="C1720" s="40">
        <v>920.00115966796875</v>
      </c>
      <c r="D1720" s="38">
        <v>3138360</v>
      </c>
      <c r="E1720" s="38" t="s">
        <v>2168</v>
      </c>
      <c r="F1720" s="38" t="s">
        <v>618</v>
      </c>
    </row>
    <row r="1721" spans="1:6">
      <c r="A1721" s="38" t="s">
        <v>2340</v>
      </c>
      <c r="B1721" s="40">
        <v>1032.0999755859375</v>
      </c>
      <c r="C1721" s="40">
        <v>917.1575927734375</v>
      </c>
      <c r="D1721" s="38">
        <v>1689393</v>
      </c>
      <c r="E1721" s="38" t="s">
        <v>2168</v>
      </c>
      <c r="F1721" s="38" t="s">
        <v>618</v>
      </c>
    </row>
    <row r="1722" spans="1:6">
      <c r="A1722" s="38" t="s">
        <v>2341</v>
      </c>
      <c r="B1722" s="40">
        <v>1045.75</v>
      </c>
      <c r="C1722" s="40">
        <v>929.287353515625</v>
      </c>
      <c r="D1722" s="38">
        <v>1983827</v>
      </c>
      <c r="E1722" s="38" t="s">
        <v>2168</v>
      </c>
      <c r="F1722" s="38" t="s">
        <v>618</v>
      </c>
    </row>
    <row r="1723" spans="1:6">
      <c r="A1723" s="38" t="s">
        <v>2342</v>
      </c>
      <c r="B1723" s="40">
        <v>1065.0999755859375</v>
      </c>
      <c r="C1723" s="40">
        <v>946.48236083984375</v>
      </c>
      <c r="D1723" s="38">
        <v>1983937</v>
      </c>
      <c r="E1723" s="38" t="s">
        <v>2168</v>
      </c>
      <c r="F1723" s="38" t="s">
        <v>618</v>
      </c>
    </row>
    <row r="1724" spans="1:6">
      <c r="A1724" s="38" t="s">
        <v>2343</v>
      </c>
      <c r="B1724" s="40">
        <v>1022.75</v>
      </c>
      <c r="C1724" s="40">
        <v>908.84881591796875</v>
      </c>
      <c r="D1724" s="38">
        <v>5184673</v>
      </c>
      <c r="E1724" s="38" t="s">
        <v>2168</v>
      </c>
      <c r="F1724" s="38" t="s">
        <v>618</v>
      </c>
    </row>
    <row r="1725" spans="1:6">
      <c r="A1725" s="38" t="s">
        <v>2344</v>
      </c>
      <c r="B1725" s="40">
        <v>1020.7999877929688</v>
      </c>
      <c r="C1725" s="40">
        <v>907.115966796875</v>
      </c>
      <c r="D1725" s="38">
        <v>2994364</v>
      </c>
      <c r="E1725" s="38" t="s">
        <v>2168</v>
      </c>
      <c r="F1725" s="38" t="s">
        <v>618</v>
      </c>
    </row>
    <row r="1726" spans="1:6">
      <c r="A1726" s="38" t="s">
        <v>2345</v>
      </c>
      <c r="B1726" s="40">
        <v>1026.699951171875</v>
      </c>
      <c r="C1726" s="40">
        <v>912.35888671875</v>
      </c>
      <c r="D1726" s="38">
        <v>1529622</v>
      </c>
      <c r="E1726" s="38" t="s">
        <v>2168</v>
      </c>
      <c r="F1726" s="38" t="s">
        <v>618</v>
      </c>
    </row>
    <row r="1727" spans="1:6">
      <c r="A1727" s="38" t="s">
        <v>2346</v>
      </c>
      <c r="B1727" s="40">
        <v>1017.9500122070313</v>
      </c>
      <c r="C1727" s="40">
        <v>904.58343505859375</v>
      </c>
      <c r="D1727" s="38">
        <v>2149130</v>
      </c>
      <c r="E1727" s="38" t="s">
        <v>2168</v>
      </c>
      <c r="F1727" s="38" t="s">
        <v>618</v>
      </c>
    </row>
    <row r="1728" spans="1:6">
      <c r="A1728" s="38" t="s">
        <v>2347</v>
      </c>
      <c r="B1728" s="40">
        <v>1026.050048828125</v>
      </c>
      <c r="C1728" s="40">
        <v>911.78131103515625</v>
      </c>
      <c r="D1728" s="38">
        <v>2037666</v>
      </c>
      <c r="E1728" s="38" t="s">
        <v>2168</v>
      </c>
      <c r="F1728" s="38" t="s">
        <v>618</v>
      </c>
    </row>
    <row r="1729" spans="1:6">
      <c r="A1729" s="38" t="s">
        <v>2348</v>
      </c>
      <c r="B1729" s="40">
        <v>1015.8499755859375</v>
      </c>
      <c r="C1729" s="40">
        <v>902.71722412109375</v>
      </c>
      <c r="D1729" s="38">
        <v>1925482</v>
      </c>
      <c r="E1729" s="38" t="s">
        <v>2168</v>
      </c>
      <c r="F1729" s="38" t="s">
        <v>618</v>
      </c>
    </row>
    <row r="1730" spans="1:6">
      <c r="A1730" s="38" t="s">
        <v>2349</v>
      </c>
      <c r="B1730" s="40">
        <v>995.75</v>
      </c>
      <c r="C1730" s="40">
        <v>884.855712890625</v>
      </c>
      <c r="D1730" s="38">
        <v>1504806</v>
      </c>
      <c r="E1730" s="38" t="s">
        <v>2168</v>
      </c>
      <c r="F1730" s="38" t="s">
        <v>618</v>
      </c>
    </row>
    <row r="1731" spans="1:6">
      <c r="A1731" s="38" t="s">
        <v>2350</v>
      </c>
      <c r="B1731" s="40">
        <v>1001</v>
      </c>
      <c r="C1731" s="40">
        <v>889.52105712890625</v>
      </c>
      <c r="D1731" s="38">
        <v>966423</v>
      </c>
      <c r="E1731" s="38" t="s">
        <v>2168</v>
      </c>
      <c r="F1731" s="38" t="s">
        <v>618</v>
      </c>
    </row>
    <row r="1732" spans="1:6">
      <c r="A1732" s="38" t="s">
        <v>2351</v>
      </c>
      <c r="B1732" s="40">
        <v>1009.5499877929688</v>
      </c>
      <c r="C1732" s="40">
        <v>897.118896484375</v>
      </c>
      <c r="D1732" s="38">
        <v>1615647</v>
      </c>
      <c r="E1732" s="38" t="s">
        <v>2168</v>
      </c>
      <c r="F1732" s="38" t="s">
        <v>618</v>
      </c>
    </row>
    <row r="1733" spans="1:6">
      <c r="A1733" s="38" t="s">
        <v>2352</v>
      </c>
      <c r="B1733" s="40">
        <v>1016.25</v>
      </c>
      <c r="C1733" s="40">
        <v>903.07275390625</v>
      </c>
      <c r="D1733" s="38">
        <v>1077963</v>
      </c>
      <c r="E1733" s="38" t="s">
        <v>2168</v>
      </c>
      <c r="F1733" s="38" t="s">
        <v>618</v>
      </c>
    </row>
    <row r="1734" spans="1:6">
      <c r="A1734" s="38" t="s">
        <v>2353</v>
      </c>
      <c r="B1734" s="40">
        <v>1013.2000122070313</v>
      </c>
      <c r="C1734" s="40">
        <v>900.3624267578125</v>
      </c>
      <c r="D1734" s="38">
        <v>1977329</v>
      </c>
      <c r="E1734" s="38" t="s">
        <v>2168</v>
      </c>
      <c r="F1734" s="38" t="s">
        <v>618</v>
      </c>
    </row>
    <row r="1735" spans="1:6">
      <c r="A1735" s="38" t="s">
        <v>2354</v>
      </c>
      <c r="B1735" s="40">
        <v>1016.4000244140625</v>
      </c>
      <c r="C1735" s="40">
        <v>903.20611572265625</v>
      </c>
      <c r="D1735" s="38">
        <v>1317151</v>
      </c>
      <c r="E1735" s="38" t="s">
        <v>2168</v>
      </c>
      <c r="F1735" s="38" t="s">
        <v>618</v>
      </c>
    </row>
    <row r="1736" spans="1:6">
      <c r="A1736" s="38" t="s">
        <v>2355</v>
      </c>
      <c r="B1736" s="40">
        <v>1009.5</v>
      </c>
      <c r="C1736" s="40">
        <v>897.07452392578125</v>
      </c>
      <c r="D1736" s="38">
        <v>1348611</v>
      </c>
      <c r="E1736" s="38" t="s">
        <v>2168</v>
      </c>
      <c r="F1736" s="38" t="s">
        <v>618</v>
      </c>
    </row>
    <row r="1737" spans="1:6">
      <c r="A1737" s="38" t="s">
        <v>2356</v>
      </c>
      <c r="B1737" s="40">
        <v>1023.7999877929688</v>
      </c>
      <c r="C1737" s="40">
        <v>909.78192138671875</v>
      </c>
      <c r="D1737" s="38">
        <v>1439615</v>
      </c>
      <c r="E1737" s="38" t="s">
        <v>2168</v>
      </c>
      <c r="F1737" s="38" t="s">
        <v>618</v>
      </c>
    </row>
    <row r="1738" spans="1:6">
      <c r="A1738" s="38" t="s">
        <v>2357</v>
      </c>
      <c r="B1738" s="40">
        <v>1020.2999877929688</v>
      </c>
      <c r="C1738" s="40">
        <v>906.67169189453125</v>
      </c>
      <c r="D1738" s="38">
        <v>1702044</v>
      </c>
      <c r="E1738" s="38" t="s">
        <v>2168</v>
      </c>
      <c r="F1738" s="38" t="s">
        <v>618</v>
      </c>
    </row>
    <row r="1739" spans="1:6">
      <c r="A1739" s="38" t="s">
        <v>2358</v>
      </c>
      <c r="B1739" s="40">
        <v>1011.6500244140625</v>
      </c>
      <c r="C1739" s="40">
        <v>898.9849853515625</v>
      </c>
      <c r="D1739" s="38">
        <v>1376035</v>
      </c>
      <c r="E1739" s="38" t="s">
        <v>2168</v>
      </c>
      <c r="F1739" s="38" t="s">
        <v>618</v>
      </c>
    </row>
    <row r="1740" spans="1:6">
      <c r="A1740" s="38" t="s">
        <v>2359</v>
      </c>
      <c r="B1740" s="40">
        <v>986.1500244140625</v>
      </c>
      <c r="C1740" s="40">
        <v>876.32489013671875</v>
      </c>
      <c r="D1740" s="38">
        <v>2346808</v>
      </c>
      <c r="E1740" s="38" t="s">
        <v>2168</v>
      </c>
      <c r="F1740" s="38" t="s">
        <v>618</v>
      </c>
    </row>
    <row r="1741" spans="1:6">
      <c r="A1741" s="38" t="s">
        <v>2360</v>
      </c>
      <c r="B1741" s="40">
        <v>1015.25</v>
      </c>
      <c r="C1741" s="40">
        <v>902.18408203125</v>
      </c>
      <c r="D1741" s="38">
        <v>2190779</v>
      </c>
      <c r="E1741" s="38" t="s">
        <v>2168</v>
      </c>
      <c r="F1741" s="38" t="s">
        <v>618</v>
      </c>
    </row>
    <row r="1742" spans="1:6">
      <c r="A1742" s="38" t="s">
        <v>2361</v>
      </c>
      <c r="B1742" s="40">
        <v>1002.6500244140625</v>
      </c>
      <c r="C1742" s="40">
        <v>890.9873046875</v>
      </c>
      <c r="D1742" s="38">
        <v>1411099</v>
      </c>
      <c r="E1742" s="38" t="s">
        <v>2168</v>
      </c>
      <c r="F1742" s="38" t="s">
        <v>618</v>
      </c>
    </row>
    <row r="1743" spans="1:6">
      <c r="A1743" s="38" t="s">
        <v>2362</v>
      </c>
      <c r="B1743" s="40">
        <v>1006.3499755859375</v>
      </c>
      <c r="C1743" s="40">
        <v>894.27520751953125</v>
      </c>
      <c r="D1743" s="38">
        <v>1294200</v>
      </c>
      <c r="E1743" s="38" t="s">
        <v>2168</v>
      </c>
      <c r="F1743" s="38" t="s">
        <v>618</v>
      </c>
    </row>
    <row r="1744" spans="1:6">
      <c r="A1744" s="38" t="s">
        <v>2363</v>
      </c>
      <c r="B1744" s="40">
        <v>1001.5499877929688</v>
      </c>
      <c r="C1744" s="40">
        <v>890.00982666015625</v>
      </c>
      <c r="D1744" s="38">
        <v>1948321</v>
      </c>
      <c r="E1744" s="38" t="s">
        <v>2168</v>
      </c>
      <c r="F1744" s="38" t="s">
        <v>618</v>
      </c>
    </row>
    <row r="1745" spans="1:6">
      <c r="A1745" s="38" t="s">
        <v>2364</v>
      </c>
      <c r="B1745" s="40">
        <v>1003.1500244140625</v>
      </c>
      <c r="C1745" s="40">
        <v>891.43170166015625</v>
      </c>
      <c r="D1745" s="38">
        <v>2837817</v>
      </c>
      <c r="E1745" s="38" t="s">
        <v>2168</v>
      </c>
      <c r="F1745" s="38" t="s">
        <v>618</v>
      </c>
    </row>
    <row r="1746" spans="1:6">
      <c r="A1746" s="38" t="s">
        <v>2365</v>
      </c>
      <c r="B1746" s="40">
        <v>1034.449951171875</v>
      </c>
      <c r="C1746" s="40">
        <v>919.245849609375</v>
      </c>
      <c r="D1746" s="38">
        <v>4286551</v>
      </c>
      <c r="E1746" s="38" t="s">
        <v>2168</v>
      </c>
      <c r="F1746" s="38" t="s">
        <v>618</v>
      </c>
    </row>
    <row r="1747" spans="1:6">
      <c r="A1747" s="38" t="s">
        <v>2366</v>
      </c>
      <c r="B1747" s="40">
        <v>1046.050048828125</v>
      </c>
      <c r="C1747" s="40">
        <v>929.55401611328125</v>
      </c>
      <c r="D1747" s="38">
        <v>2466876</v>
      </c>
      <c r="E1747" s="38" t="s">
        <v>2168</v>
      </c>
      <c r="F1747" s="38" t="s">
        <v>618</v>
      </c>
    </row>
    <row r="1748" spans="1:6">
      <c r="A1748" s="38" t="s">
        <v>2367</v>
      </c>
      <c r="B1748" s="40">
        <v>1048.3499755859375</v>
      </c>
      <c r="C1748" s="40">
        <v>931.59783935546875</v>
      </c>
      <c r="D1748" s="38">
        <v>1138627</v>
      </c>
      <c r="E1748" s="38" t="s">
        <v>2168</v>
      </c>
      <c r="F1748" s="38" t="s">
        <v>618</v>
      </c>
    </row>
    <row r="1749" spans="1:6">
      <c r="A1749" s="38" t="s">
        <v>2368</v>
      </c>
      <c r="B1749" s="40">
        <v>1053.300048828125</v>
      </c>
      <c r="C1749" s="40">
        <v>935.99664306640625</v>
      </c>
      <c r="D1749" s="38">
        <v>1768051</v>
      </c>
      <c r="E1749" s="38" t="s">
        <v>2168</v>
      </c>
      <c r="F1749" s="38" t="s">
        <v>618</v>
      </c>
    </row>
    <row r="1750" spans="1:6">
      <c r="A1750" s="38" t="s">
        <v>2369</v>
      </c>
      <c r="B1750" s="40">
        <v>1046.5</v>
      </c>
      <c r="C1750" s="40">
        <v>929.953857421875</v>
      </c>
      <c r="D1750" s="38">
        <v>1160517</v>
      </c>
      <c r="E1750" s="38" t="s">
        <v>2168</v>
      </c>
      <c r="F1750" s="38" t="s">
        <v>618</v>
      </c>
    </row>
    <row r="1751" spans="1:6">
      <c r="A1751" s="38" t="s">
        <v>2370</v>
      </c>
      <c r="B1751" s="40">
        <v>1065.300048828125</v>
      </c>
      <c r="C1751" s="40">
        <v>946.66015625</v>
      </c>
      <c r="D1751" s="38">
        <v>1344952</v>
      </c>
      <c r="E1751" s="38" t="s">
        <v>2168</v>
      </c>
      <c r="F1751" s="38" t="s">
        <v>618</v>
      </c>
    </row>
    <row r="1752" spans="1:6">
      <c r="A1752" s="38" t="s">
        <v>2371</v>
      </c>
      <c r="B1752" s="40">
        <v>1070.5999755859375</v>
      </c>
      <c r="C1752" s="40">
        <v>951.37005615234375</v>
      </c>
      <c r="D1752" s="38">
        <v>1578750</v>
      </c>
      <c r="E1752" s="38" t="s">
        <v>2168</v>
      </c>
      <c r="F1752" s="38" t="s">
        <v>618</v>
      </c>
    </row>
    <row r="1753" spans="1:6">
      <c r="A1753" s="38" t="s">
        <v>2372</v>
      </c>
      <c r="B1753" s="40">
        <v>1051.1500244140625</v>
      </c>
      <c r="C1753" s="40">
        <v>934.0860595703125</v>
      </c>
      <c r="D1753" s="38">
        <v>1049973</v>
      </c>
      <c r="E1753" s="38" t="s">
        <v>2168</v>
      </c>
      <c r="F1753" s="38" t="s">
        <v>618</v>
      </c>
    </row>
    <row r="1754" spans="1:6">
      <c r="A1754" s="38" t="s">
        <v>2373</v>
      </c>
      <c r="B1754" s="40">
        <v>1030.0999755859375</v>
      </c>
      <c r="C1754" s="40">
        <v>915.3802490234375</v>
      </c>
      <c r="D1754" s="38">
        <v>1651820</v>
      </c>
      <c r="E1754" s="38" t="s">
        <v>2168</v>
      </c>
      <c r="F1754" s="38" t="s">
        <v>618</v>
      </c>
    </row>
    <row r="1755" spans="1:6">
      <c r="A1755" s="38" t="s">
        <v>2374</v>
      </c>
      <c r="B1755" s="40">
        <v>1036.0999755859375</v>
      </c>
      <c r="C1755" s="40">
        <v>920.71209716796875</v>
      </c>
      <c r="D1755" s="38">
        <v>2654212</v>
      </c>
      <c r="E1755" s="38" t="s">
        <v>2168</v>
      </c>
      <c r="F1755" s="38" t="s">
        <v>618</v>
      </c>
    </row>
    <row r="1756" spans="1:6">
      <c r="A1756" s="38" t="s">
        <v>2375</v>
      </c>
      <c r="B1756" s="40">
        <v>1015</v>
      </c>
      <c r="C1756" s="40">
        <v>901.9619140625</v>
      </c>
      <c r="D1756" s="38">
        <v>5797831</v>
      </c>
      <c r="E1756" s="38" t="s">
        <v>2168</v>
      </c>
      <c r="F1756" s="38" t="s">
        <v>618</v>
      </c>
    </row>
    <row r="1757" spans="1:6">
      <c r="A1757" s="38" t="s">
        <v>2376</v>
      </c>
      <c r="B1757" s="40">
        <v>1023.75</v>
      </c>
      <c r="C1757" s="40">
        <v>909.73748779296875</v>
      </c>
      <c r="D1757" s="38">
        <v>1939670</v>
      </c>
      <c r="E1757" s="38" t="s">
        <v>2168</v>
      </c>
      <c r="F1757" s="38" t="s">
        <v>618</v>
      </c>
    </row>
    <row r="1758" spans="1:6">
      <c r="A1758" s="38" t="s">
        <v>2377</v>
      </c>
      <c r="B1758" s="40">
        <v>1016.6500244140625</v>
      </c>
      <c r="C1758" s="40">
        <v>903.42822265625</v>
      </c>
      <c r="D1758" s="38">
        <v>3860090</v>
      </c>
      <c r="E1758" s="38" t="s">
        <v>2168</v>
      </c>
      <c r="F1758" s="38" t="s">
        <v>618</v>
      </c>
    </row>
    <row r="1759" spans="1:6">
      <c r="A1759" s="38" t="s">
        <v>2378</v>
      </c>
      <c r="B1759" s="40">
        <v>1011.2999877929688</v>
      </c>
      <c r="C1759" s="40">
        <v>898.6739501953125</v>
      </c>
      <c r="D1759" s="38">
        <v>2980262</v>
      </c>
      <c r="E1759" s="38" t="s">
        <v>2168</v>
      </c>
      <c r="F1759" s="38" t="s">
        <v>618</v>
      </c>
    </row>
    <row r="1760" spans="1:6">
      <c r="A1760" s="38" t="s">
        <v>2379</v>
      </c>
      <c r="B1760" s="40">
        <v>1005.3499755859375</v>
      </c>
      <c r="C1760" s="40">
        <v>893.3865966796875</v>
      </c>
      <c r="D1760" s="38">
        <v>2003960</v>
      </c>
      <c r="E1760" s="38" t="s">
        <v>2168</v>
      </c>
      <c r="F1760" s="38" t="s">
        <v>618</v>
      </c>
    </row>
    <row r="1761" spans="1:6">
      <c r="A1761" s="38" t="s">
        <v>2380</v>
      </c>
      <c r="B1761" s="40">
        <v>1002.4500122070313</v>
      </c>
      <c r="C1761" s="40">
        <v>890.8095703125</v>
      </c>
      <c r="D1761" s="38">
        <v>1697633</v>
      </c>
      <c r="E1761" s="38" t="s">
        <v>2168</v>
      </c>
      <c r="F1761" s="38" t="s">
        <v>618</v>
      </c>
    </row>
    <row r="1762" spans="1:6">
      <c r="A1762" s="38" t="s">
        <v>2381</v>
      </c>
      <c r="B1762" s="40">
        <v>1011.0499877929688</v>
      </c>
      <c r="C1762" s="40">
        <v>898.45184326171875</v>
      </c>
      <c r="D1762" s="38">
        <v>2611176</v>
      </c>
      <c r="E1762" s="38" t="s">
        <v>2168</v>
      </c>
      <c r="F1762" s="38" t="s">
        <v>618</v>
      </c>
    </row>
    <row r="1763" spans="1:6">
      <c r="A1763" s="38" t="s">
        <v>2382</v>
      </c>
      <c r="B1763" s="40">
        <v>1016</v>
      </c>
      <c r="C1763" s="40">
        <v>902.8505859375</v>
      </c>
      <c r="D1763" s="38">
        <v>1782899</v>
      </c>
      <c r="E1763" s="38" t="s">
        <v>2168</v>
      </c>
      <c r="F1763" s="38" t="s">
        <v>618</v>
      </c>
    </row>
    <row r="1764" spans="1:6">
      <c r="A1764" s="38" t="s">
        <v>2383</v>
      </c>
      <c r="B1764" s="40">
        <v>1017.3499755859375</v>
      </c>
      <c r="C1764" s="40">
        <v>904.05023193359375</v>
      </c>
      <c r="D1764" s="38">
        <v>1116554</v>
      </c>
      <c r="E1764" s="38" t="s">
        <v>2168</v>
      </c>
      <c r="F1764" s="38" t="s">
        <v>618</v>
      </c>
    </row>
    <row r="1765" spans="1:6">
      <c r="A1765" s="38" t="s">
        <v>2384</v>
      </c>
      <c r="B1765" s="40">
        <v>1002.5</v>
      </c>
      <c r="C1765" s="40">
        <v>890.85406494140625</v>
      </c>
      <c r="D1765" s="38">
        <v>1682312</v>
      </c>
      <c r="E1765" s="38" t="s">
        <v>2168</v>
      </c>
      <c r="F1765" s="38" t="s">
        <v>618</v>
      </c>
    </row>
    <row r="1766" spans="1:6">
      <c r="A1766" s="38" t="s">
        <v>2385</v>
      </c>
      <c r="B1766" s="40">
        <v>1012.0499877929688</v>
      </c>
      <c r="C1766" s="40">
        <v>899.34051513671875</v>
      </c>
      <c r="D1766" s="38">
        <v>2440189</v>
      </c>
      <c r="E1766" s="38" t="s">
        <v>2168</v>
      </c>
      <c r="F1766" s="38" t="s">
        <v>618</v>
      </c>
    </row>
    <row r="1767" spans="1:6">
      <c r="A1767" s="38" t="s">
        <v>2386</v>
      </c>
      <c r="B1767" s="40">
        <v>1071.4000244140625</v>
      </c>
      <c r="C1767" s="40">
        <v>952.08087158203125</v>
      </c>
      <c r="D1767" s="38">
        <v>6712218</v>
      </c>
      <c r="E1767" s="38" t="s">
        <v>2168</v>
      </c>
      <c r="F1767" s="38" t="s">
        <v>618</v>
      </c>
    </row>
    <row r="1768" spans="1:6">
      <c r="A1768" s="38" t="s">
        <v>2387</v>
      </c>
      <c r="B1768" s="40">
        <v>1130.25</v>
      </c>
      <c r="C1768" s="40">
        <v>1004.3767700195313</v>
      </c>
      <c r="D1768" s="38">
        <v>14422445</v>
      </c>
      <c r="E1768" s="38" t="s">
        <v>2168</v>
      </c>
      <c r="F1768" s="38" t="s">
        <v>618</v>
      </c>
    </row>
    <row r="1769" spans="1:6">
      <c r="A1769" s="38" t="s">
        <v>2388</v>
      </c>
      <c r="B1769" s="40">
        <v>1129.199951171875</v>
      </c>
      <c r="C1769" s="40">
        <v>1003.4437866210938</v>
      </c>
      <c r="D1769" s="38">
        <v>5333732</v>
      </c>
      <c r="E1769" s="38" t="s">
        <v>2168</v>
      </c>
      <c r="F1769" s="38" t="s">
        <v>618</v>
      </c>
    </row>
    <row r="1770" spans="1:6">
      <c r="A1770" s="38" t="s">
        <v>2389</v>
      </c>
      <c r="B1770" s="40">
        <v>1144.199951171875</v>
      </c>
      <c r="C1770" s="40">
        <v>1016.773193359375</v>
      </c>
      <c r="D1770" s="38">
        <v>4590531</v>
      </c>
      <c r="E1770" s="38" t="s">
        <v>2168</v>
      </c>
      <c r="F1770" s="38" t="s">
        <v>618</v>
      </c>
    </row>
    <row r="1771" spans="1:6">
      <c r="A1771" s="38" t="s">
        <v>2390</v>
      </c>
      <c r="B1771" s="40">
        <v>1134.449951171875</v>
      </c>
      <c r="C1771" s="40">
        <v>1008.1090698242188</v>
      </c>
      <c r="D1771" s="38">
        <v>3494288</v>
      </c>
      <c r="E1771" s="38" t="s">
        <v>2168</v>
      </c>
      <c r="F1771" s="38" t="s">
        <v>618</v>
      </c>
    </row>
    <row r="1772" spans="1:6">
      <c r="A1772" s="38" t="s">
        <v>2391</v>
      </c>
      <c r="B1772" s="40">
        <v>1125.699951171875</v>
      </c>
      <c r="C1772" s="40">
        <v>1000.3334350585938</v>
      </c>
      <c r="D1772" s="38">
        <v>2674708</v>
      </c>
      <c r="E1772" s="38" t="s">
        <v>2168</v>
      </c>
      <c r="F1772" s="38" t="s">
        <v>618</v>
      </c>
    </row>
    <row r="1773" spans="1:6">
      <c r="A1773" s="38" t="s">
        <v>2392</v>
      </c>
      <c r="B1773" s="40">
        <v>1128.800048828125</v>
      </c>
      <c r="C1773" s="40">
        <v>1003.0883178710938</v>
      </c>
      <c r="D1773" s="38">
        <v>2576193</v>
      </c>
      <c r="E1773" s="38" t="s">
        <v>2168</v>
      </c>
      <c r="F1773" s="38" t="s">
        <v>618</v>
      </c>
    </row>
    <row r="1774" spans="1:6">
      <c r="A1774" s="38" t="s">
        <v>2393</v>
      </c>
      <c r="B1774" s="40">
        <v>1119</v>
      </c>
      <c r="C1774" s="40">
        <v>994.37969970703125</v>
      </c>
      <c r="D1774" s="38">
        <v>1913493</v>
      </c>
      <c r="E1774" s="38" t="s">
        <v>2168</v>
      </c>
      <c r="F1774" s="38" t="s">
        <v>618</v>
      </c>
    </row>
    <row r="1775" spans="1:6">
      <c r="A1775" s="38" t="s">
        <v>2394</v>
      </c>
      <c r="B1775" s="40">
        <v>1113.949951171875</v>
      </c>
      <c r="C1775" s="40">
        <v>989.8919677734375</v>
      </c>
      <c r="D1775" s="38">
        <v>2247105</v>
      </c>
      <c r="E1775" s="38" t="s">
        <v>2168</v>
      </c>
      <c r="F1775" s="38" t="s">
        <v>618</v>
      </c>
    </row>
    <row r="1776" spans="1:6">
      <c r="A1776" s="38" t="s">
        <v>2395</v>
      </c>
      <c r="B1776" s="40">
        <v>1100.25</v>
      </c>
      <c r="C1776" s="40">
        <v>977.7178955078125</v>
      </c>
      <c r="D1776" s="38">
        <v>3894204</v>
      </c>
      <c r="E1776" s="38" t="s">
        <v>2168</v>
      </c>
      <c r="F1776" s="38" t="s">
        <v>618</v>
      </c>
    </row>
    <row r="1777" spans="1:6">
      <c r="A1777" s="38" t="s">
        <v>2396</v>
      </c>
      <c r="B1777" s="40">
        <v>1126.9000244140625</v>
      </c>
      <c r="C1777" s="40">
        <v>1001.4000244140625</v>
      </c>
      <c r="D1777" s="38">
        <v>2084324</v>
      </c>
      <c r="E1777" s="38" t="s">
        <v>2168</v>
      </c>
      <c r="F1777" s="38" t="s">
        <v>618</v>
      </c>
    </row>
    <row r="1778" spans="1:6">
      <c r="A1778" s="38" t="s">
        <v>2397</v>
      </c>
      <c r="B1778" s="40">
        <v>1109.800048828125</v>
      </c>
      <c r="C1778" s="40">
        <v>986.204345703125</v>
      </c>
      <c r="D1778" s="38">
        <v>1838692</v>
      </c>
      <c r="E1778" s="38" t="s">
        <v>2168</v>
      </c>
      <c r="F1778" s="38" t="s">
        <v>618</v>
      </c>
    </row>
    <row r="1779" spans="1:6">
      <c r="A1779" s="38" t="s">
        <v>2398</v>
      </c>
      <c r="B1779" s="40">
        <v>1085.1500244140625</v>
      </c>
      <c r="C1779" s="40">
        <v>964.299560546875</v>
      </c>
      <c r="D1779" s="38">
        <v>2388401</v>
      </c>
      <c r="E1779" s="38" t="s">
        <v>2168</v>
      </c>
      <c r="F1779" s="38" t="s">
        <v>618</v>
      </c>
    </row>
    <row r="1780" spans="1:6">
      <c r="A1780" s="38" t="s">
        <v>2399</v>
      </c>
      <c r="B1780" s="40">
        <v>1090.050048828125</v>
      </c>
      <c r="C1780" s="40">
        <v>968.65374755859375</v>
      </c>
      <c r="D1780" s="38">
        <v>2076844</v>
      </c>
      <c r="E1780" s="38" t="s">
        <v>2168</v>
      </c>
      <c r="F1780" s="38" t="s">
        <v>618</v>
      </c>
    </row>
    <row r="1781" spans="1:6">
      <c r="A1781" s="38" t="s">
        <v>2400</v>
      </c>
      <c r="B1781" s="40">
        <v>1078.300048828125</v>
      </c>
      <c r="C1781" s="40">
        <v>958.21246337890625</v>
      </c>
      <c r="D1781" s="38">
        <v>2230530</v>
      </c>
      <c r="E1781" s="38" t="s">
        <v>2168</v>
      </c>
      <c r="F1781" s="38" t="s">
        <v>618</v>
      </c>
    </row>
    <row r="1782" spans="1:6">
      <c r="A1782" s="38" t="s">
        <v>2401</v>
      </c>
      <c r="B1782" s="40">
        <v>1060</v>
      </c>
      <c r="C1782" s="40">
        <v>941.950439453125</v>
      </c>
      <c r="D1782" s="38">
        <v>2550755</v>
      </c>
      <c r="E1782" s="38" t="s">
        <v>2168</v>
      </c>
      <c r="F1782" s="38" t="s">
        <v>618</v>
      </c>
    </row>
    <row r="1783" spans="1:6">
      <c r="A1783" s="38" t="s">
        <v>2402</v>
      </c>
      <c r="B1783" s="40">
        <v>1061.25</v>
      </c>
      <c r="C1783" s="40">
        <v>943.06121826171875</v>
      </c>
      <c r="D1783" s="38">
        <v>1400844</v>
      </c>
      <c r="E1783" s="38" t="s">
        <v>2168</v>
      </c>
      <c r="F1783" s="38" t="s">
        <v>618</v>
      </c>
    </row>
    <row r="1784" spans="1:6">
      <c r="A1784" s="38" t="s">
        <v>2403</v>
      </c>
      <c r="B1784" s="40">
        <v>1133.800048828125</v>
      </c>
      <c r="C1784" s="40">
        <v>1007.531494140625</v>
      </c>
      <c r="D1784" s="38">
        <v>13080169</v>
      </c>
      <c r="E1784" s="38" t="s">
        <v>2168</v>
      </c>
      <c r="F1784" s="38" t="s">
        <v>618</v>
      </c>
    </row>
    <row r="1785" spans="1:6">
      <c r="A1785" s="38" t="s">
        <v>2404</v>
      </c>
      <c r="B1785" s="40">
        <v>1115.300048828125</v>
      </c>
      <c r="C1785" s="40">
        <v>991.091796875</v>
      </c>
      <c r="D1785" s="38">
        <v>4325522</v>
      </c>
      <c r="E1785" s="38" t="s">
        <v>2168</v>
      </c>
      <c r="F1785" s="38" t="s">
        <v>618</v>
      </c>
    </row>
    <row r="1786" spans="1:6">
      <c r="A1786" s="38" t="s">
        <v>2405</v>
      </c>
      <c r="B1786" s="40">
        <v>1114.4000244140625</v>
      </c>
      <c r="C1786" s="40">
        <v>990.2919921875</v>
      </c>
      <c r="D1786" s="38">
        <v>2583351</v>
      </c>
      <c r="E1786" s="38" t="s">
        <v>2168</v>
      </c>
      <c r="F1786" s="38" t="s">
        <v>618</v>
      </c>
    </row>
    <row r="1787" spans="1:6">
      <c r="A1787" s="38" t="s">
        <v>2406</v>
      </c>
      <c r="B1787" s="40">
        <v>1117.75</v>
      </c>
      <c r="C1787" s="40">
        <v>993.26898193359375</v>
      </c>
      <c r="D1787" s="38">
        <v>2396839</v>
      </c>
      <c r="E1787" s="38" t="s">
        <v>2168</v>
      </c>
      <c r="F1787" s="38" t="s">
        <v>618</v>
      </c>
    </row>
    <row r="1788" spans="1:6">
      <c r="A1788" s="38" t="s">
        <v>2407</v>
      </c>
      <c r="B1788" s="40">
        <v>1127.1500244140625</v>
      </c>
      <c r="C1788" s="40">
        <v>1001.6220092773438</v>
      </c>
      <c r="D1788" s="38">
        <v>2507004</v>
      </c>
      <c r="E1788" s="38" t="s">
        <v>2168</v>
      </c>
      <c r="F1788" s="38" t="s">
        <v>618</v>
      </c>
    </row>
    <row r="1789" spans="1:6">
      <c r="A1789" s="38" t="s">
        <v>2408</v>
      </c>
      <c r="B1789" s="40">
        <v>1109</v>
      </c>
      <c r="C1789" s="40">
        <v>985.49334716796875</v>
      </c>
      <c r="D1789" s="38">
        <v>4007438</v>
      </c>
      <c r="E1789" s="38" t="s">
        <v>2168</v>
      </c>
      <c r="F1789" s="38" t="s">
        <v>618</v>
      </c>
    </row>
    <row r="1790" spans="1:6">
      <c r="A1790" s="38" t="s">
        <v>2409</v>
      </c>
      <c r="B1790" s="40">
        <v>1095.6500244140625</v>
      </c>
      <c r="C1790" s="40">
        <v>973.630126953125</v>
      </c>
      <c r="D1790" s="38">
        <v>3354949</v>
      </c>
      <c r="E1790" s="38" t="s">
        <v>2168</v>
      </c>
      <c r="F1790" s="38" t="s">
        <v>618</v>
      </c>
    </row>
    <row r="1791" spans="1:6">
      <c r="A1791" s="38" t="s">
        <v>2410</v>
      </c>
      <c r="B1791" s="40">
        <v>1099.5999755859375</v>
      </c>
      <c r="C1791" s="40">
        <v>977.1402587890625</v>
      </c>
      <c r="D1791" s="38">
        <v>1750203</v>
      </c>
      <c r="E1791" s="38" t="s">
        <v>2168</v>
      </c>
      <c r="F1791" s="38" t="s">
        <v>618</v>
      </c>
    </row>
    <row r="1792" spans="1:6">
      <c r="A1792" s="38" t="s">
        <v>2411</v>
      </c>
      <c r="B1792" s="40">
        <v>1099.449951171875</v>
      </c>
      <c r="C1792" s="40">
        <v>977.00701904296875</v>
      </c>
      <c r="D1792" s="38">
        <v>1720354</v>
      </c>
      <c r="E1792" s="38" t="s">
        <v>2168</v>
      </c>
      <c r="F1792" s="38" t="s">
        <v>618</v>
      </c>
    </row>
    <row r="1793" spans="1:6">
      <c r="A1793" s="38" t="s">
        <v>2412</v>
      </c>
      <c r="B1793" s="40">
        <v>1101.949951171875</v>
      </c>
      <c r="C1793" s="40">
        <v>979.22845458984375</v>
      </c>
      <c r="D1793" s="38">
        <v>1943460</v>
      </c>
      <c r="E1793" s="38" t="s">
        <v>2168</v>
      </c>
      <c r="F1793" s="38" t="s">
        <v>618</v>
      </c>
    </row>
    <row r="1794" spans="1:6">
      <c r="A1794" s="38" t="s">
        <v>2413</v>
      </c>
      <c r="B1794" s="40">
        <v>1103</v>
      </c>
      <c r="C1794" s="40">
        <v>980.16168212890625</v>
      </c>
      <c r="D1794" s="38">
        <v>1455300</v>
      </c>
      <c r="E1794" s="38" t="s">
        <v>2168</v>
      </c>
      <c r="F1794" s="38" t="s">
        <v>618</v>
      </c>
    </row>
    <row r="1795" spans="1:6">
      <c r="A1795" s="38" t="s">
        <v>2414</v>
      </c>
      <c r="B1795" s="40">
        <v>1070.300048828125</v>
      </c>
      <c r="C1795" s="40">
        <v>951.103515625</v>
      </c>
      <c r="D1795" s="38">
        <v>2431154</v>
      </c>
      <c r="E1795" s="38" t="s">
        <v>2168</v>
      </c>
      <c r="F1795" s="38" t="s">
        <v>618</v>
      </c>
    </row>
    <row r="1796" spans="1:6">
      <c r="A1796" s="38" t="s">
        <v>2415</v>
      </c>
      <c r="B1796" s="40">
        <v>1081.0999755859375</v>
      </c>
      <c r="C1796" s="40">
        <v>960.7005615234375</v>
      </c>
      <c r="D1796" s="38">
        <v>1642278</v>
      </c>
      <c r="E1796" s="38" t="s">
        <v>2168</v>
      </c>
      <c r="F1796" s="38" t="s">
        <v>618</v>
      </c>
    </row>
    <row r="1797" spans="1:6">
      <c r="A1797" s="38" t="s">
        <v>2416</v>
      </c>
      <c r="B1797" s="40">
        <v>1101.8499755859375</v>
      </c>
      <c r="C1797" s="40">
        <v>979.13970947265625</v>
      </c>
      <c r="D1797" s="38">
        <v>2281085</v>
      </c>
      <c r="E1797" s="38" t="s">
        <v>2168</v>
      </c>
      <c r="F1797" s="38" t="s">
        <v>618</v>
      </c>
    </row>
    <row r="1798" spans="1:6">
      <c r="A1798" s="38" t="s">
        <v>2417</v>
      </c>
      <c r="B1798" s="40">
        <v>1103.199951171875</v>
      </c>
      <c r="C1798" s="40">
        <v>980.33929443359375</v>
      </c>
      <c r="D1798" s="38">
        <v>1508662</v>
      </c>
      <c r="E1798" s="38" t="s">
        <v>2418</v>
      </c>
      <c r="F1798" s="38" t="s">
        <v>618</v>
      </c>
    </row>
    <row r="1799" spans="1:6">
      <c r="A1799" s="38" t="s">
        <v>2419</v>
      </c>
      <c r="B1799" s="40">
        <v>1103.5</v>
      </c>
      <c r="C1799" s="40">
        <v>980.60595703125</v>
      </c>
      <c r="D1799" s="38">
        <v>1947605</v>
      </c>
      <c r="E1799" s="38" t="s">
        <v>2418</v>
      </c>
      <c r="F1799" s="38" t="s">
        <v>618</v>
      </c>
    </row>
    <row r="1800" spans="1:6">
      <c r="A1800" s="38" t="s">
        <v>2420</v>
      </c>
      <c r="B1800" s="40">
        <v>1092.75</v>
      </c>
      <c r="C1800" s="40">
        <v>971.05316162109375</v>
      </c>
      <c r="D1800" s="38">
        <v>1355815</v>
      </c>
      <c r="E1800" s="38" t="s">
        <v>2418</v>
      </c>
      <c r="F1800" s="38" t="s">
        <v>618</v>
      </c>
    </row>
    <row r="1801" spans="1:6">
      <c r="A1801" s="38" t="s">
        <v>2421</v>
      </c>
      <c r="B1801" s="40">
        <v>1107.25</v>
      </c>
      <c r="C1801" s="40">
        <v>983.9383544921875</v>
      </c>
      <c r="D1801" s="38">
        <v>940829</v>
      </c>
      <c r="E1801" s="38" t="s">
        <v>2418</v>
      </c>
      <c r="F1801" s="38" t="s">
        <v>618</v>
      </c>
    </row>
    <row r="1802" spans="1:6">
      <c r="A1802" s="38" t="s">
        <v>2422</v>
      </c>
      <c r="B1802" s="40">
        <v>1098.25</v>
      </c>
      <c r="C1802" s="40">
        <v>975.94061279296875</v>
      </c>
      <c r="D1802" s="38">
        <v>1384483</v>
      </c>
      <c r="E1802" s="38" t="s">
        <v>2418</v>
      </c>
      <c r="F1802" s="38" t="s">
        <v>618</v>
      </c>
    </row>
    <row r="1803" spans="1:6">
      <c r="A1803" s="38" t="s">
        <v>2423</v>
      </c>
      <c r="B1803" s="40">
        <v>1109.9000244140625</v>
      </c>
      <c r="C1803" s="40">
        <v>986.293212890625</v>
      </c>
      <c r="D1803" s="38">
        <v>1376719</v>
      </c>
      <c r="E1803" s="38" t="s">
        <v>2418</v>
      </c>
      <c r="F1803" s="38" t="s">
        <v>618</v>
      </c>
    </row>
    <row r="1804" spans="1:6">
      <c r="A1804" s="38" t="s">
        <v>2424</v>
      </c>
      <c r="B1804" s="40">
        <v>1086.8499755859375</v>
      </c>
      <c r="C1804" s="40">
        <v>965.8101806640625</v>
      </c>
      <c r="D1804" s="38">
        <v>2725180</v>
      </c>
      <c r="E1804" s="38" t="s">
        <v>2418</v>
      </c>
      <c r="F1804" s="38" t="s">
        <v>618</v>
      </c>
    </row>
    <row r="1805" spans="1:6">
      <c r="A1805" s="38" t="s">
        <v>2425</v>
      </c>
      <c r="B1805" s="40">
        <v>1029.949951171875</v>
      </c>
      <c r="C1805" s="40">
        <v>915.2469482421875</v>
      </c>
      <c r="D1805" s="38">
        <v>4349422</v>
      </c>
      <c r="E1805" s="38" t="s">
        <v>2418</v>
      </c>
      <c r="F1805" s="38" t="s">
        <v>618</v>
      </c>
    </row>
    <row r="1806" spans="1:6">
      <c r="A1806" s="38" t="s">
        <v>2426</v>
      </c>
      <c r="B1806" s="40">
        <v>1025.199951171875</v>
      </c>
      <c r="C1806" s="40">
        <v>911.02587890625</v>
      </c>
      <c r="D1806" s="38">
        <v>2735592</v>
      </c>
      <c r="E1806" s="38" t="s">
        <v>2418</v>
      </c>
      <c r="F1806" s="38" t="s">
        <v>618</v>
      </c>
    </row>
    <row r="1807" spans="1:6">
      <c r="A1807" s="38" t="s">
        <v>2427</v>
      </c>
      <c r="B1807" s="40">
        <v>1013.9000244140625</v>
      </c>
      <c r="C1807" s="40">
        <v>900.984375</v>
      </c>
      <c r="D1807" s="38">
        <v>1953837</v>
      </c>
      <c r="E1807" s="38" t="s">
        <v>2418</v>
      </c>
      <c r="F1807" s="38" t="s">
        <v>618</v>
      </c>
    </row>
    <row r="1808" spans="1:6">
      <c r="A1808" s="38" t="s">
        <v>2428</v>
      </c>
      <c r="B1808" s="40">
        <v>1021.7999877929688</v>
      </c>
      <c r="C1808" s="40">
        <v>908.004638671875</v>
      </c>
      <c r="D1808" s="38">
        <v>1250758</v>
      </c>
      <c r="E1808" s="38" t="s">
        <v>2418</v>
      </c>
      <c r="F1808" s="38" t="s">
        <v>618</v>
      </c>
    </row>
    <row r="1809" spans="1:6">
      <c r="A1809" s="38" t="s">
        <v>2429</v>
      </c>
      <c r="B1809" s="40">
        <v>998.75</v>
      </c>
      <c r="C1809" s="40">
        <v>887.52166748046875</v>
      </c>
      <c r="D1809" s="38">
        <v>4269272</v>
      </c>
      <c r="E1809" s="38" t="s">
        <v>2418</v>
      </c>
      <c r="F1809" s="38" t="s">
        <v>618</v>
      </c>
    </row>
    <row r="1810" spans="1:6">
      <c r="A1810" s="38" t="s">
        <v>2430</v>
      </c>
      <c r="B1810" s="40">
        <v>1006.0999755859375</v>
      </c>
      <c r="C1810" s="40">
        <v>894.0531005859375</v>
      </c>
      <c r="D1810" s="38">
        <v>1625433</v>
      </c>
      <c r="E1810" s="38" t="s">
        <v>2418</v>
      </c>
      <c r="F1810" s="38" t="s">
        <v>618</v>
      </c>
    </row>
    <row r="1811" spans="1:6">
      <c r="A1811" s="38" t="s">
        <v>2431</v>
      </c>
      <c r="B1811" s="40">
        <v>997</v>
      </c>
      <c r="C1811" s="40">
        <v>885.96661376953125</v>
      </c>
      <c r="D1811" s="38">
        <v>1984203</v>
      </c>
      <c r="E1811" s="38" t="s">
        <v>2418</v>
      </c>
      <c r="F1811" s="38" t="s">
        <v>618</v>
      </c>
    </row>
    <row r="1812" spans="1:6">
      <c r="A1812" s="38" t="s">
        <v>2432</v>
      </c>
      <c r="B1812" s="40">
        <v>996.29998779296875</v>
      </c>
      <c r="C1812" s="40">
        <v>885.34454345703125</v>
      </c>
      <c r="D1812" s="38">
        <v>1589700</v>
      </c>
      <c r="E1812" s="38" t="s">
        <v>2418</v>
      </c>
      <c r="F1812" s="38" t="s">
        <v>618</v>
      </c>
    </row>
    <row r="1813" spans="1:6">
      <c r="A1813" s="38" t="s">
        <v>2433</v>
      </c>
      <c r="B1813" s="40">
        <v>1003.1500244140625</v>
      </c>
      <c r="C1813" s="40">
        <v>891.43170166015625</v>
      </c>
      <c r="D1813" s="38">
        <v>3543950</v>
      </c>
      <c r="E1813" s="38" t="s">
        <v>2418</v>
      </c>
      <c r="F1813" s="38" t="s">
        <v>618</v>
      </c>
    </row>
    <row r="1814" spans="1:6">
      <c r="A1814" s="38" t="s">
        <v>2434</v>
      </c>
      <c r="B1814" s="40">
        <v>1023.7000122070313</v>
      </c>
      <c r="C1814" s="40">
        <v>909.69305419921875</v>
      </c>
      <c r="D1814" s="38">
        <v>5146250</v>
      </c>
      <c r="E1814" s="38" t="s">
        <v>2418</v>
      </c>
      <c r="F1814" s="38" t="s">
        <v>618</v>
      </c>
    </row>
    <row r="1815" spans="1:6">
      <c r="A1815" s="38" t="s">
        <v>2435</v>
      </c>
      <c r="B1815" s="40">
        <v>1053.449951171875</v>
      </c>
      <c r="C1815" s="40">
        <v>936.12982177734375</v>
      </c>
      <c r="D1815" s="38">
        <v>4762884</v>
      </c>
      <c r="E1815" s="38" t="s">
        <v>2418</v>
      </c>
      <c r="F1815" s="38" t="s">
        <v>618</v>
      </c>
    </row>
    <row r="1816" spans="1:6">
      <c r="A1816" s="38" t="s">
        <v>2436</v>
      </c>
      <c r="B1816" s="40">
        <v>1039.5999755859375</v>
      </c>
      <c r="C1816" s="40">
        <v>923.822265625</v>
      </c>
      <c r="D1816" s="38">
        <v>2217136</v>
      </c>
      <c r="E1816" s="38" t="s">
        <v>2418</v>
      </c>
      <c r="F1816" s="38" t="s">
        <v>618</v>
      </c>
    </row>
    <row r="1817" spans="1:6">
      <c r="A1817" s="38" t="s">
        <v>2437</v>
      </c>
      <c r="B1817" s="40">
        <v>1045.449951171875</v>
      </c>
      <c r="C1817" s="40">
        <v>929.02069091796875</v>
      </c>
      <c r="D1817" s="38">
        <v>1744298</v>
      </c>
      <c r="E1817" s="38" t="s">
        <v>2418</v>
      </c>
      <c r="F1817" s="38" t="s">
        <v>618</v>
      </c>
    </row>
    <row r="1818" spans="1:6">
      <c r="A1818" s="38" t="s">
        <v>2438</v>
      </c>
      <c r="B1818" s="40">
        <v>1036.4000244140625</v>
      </c>
      <c r="C1818" s="40">
        <v>920.97869873046875</v>
      </c>
      <c r="D1818" s="38">
        <v>1222282</v>
      </c>
      <c r="E1818" s="38" t="s">
        <v>2418</v>
      </c>
      <c r="F1818" s="38" t="s">
        <v>618</v>
      </c>
    </row>
    <row r="1819" spans="1:6">
      <c r="A1819" s="38" t="s">
        <v>2439</v>
      </c>
      <c r="B1819" s="40">
        <v>1043.3499755859375</v>
      </c>
      <c r="C1819" s="40">
        <v>927.15460205078125</v>
      </c>
      <c r="D1819" s="38">
        <v>1487285</v>
      </c>
      <c r="E1819" s="38" t="s">
        <v>2418</v>
      </c>
      <c r="F1819" s="38" t="s">
        <v>618</v>
      </c>
    </row>
    <row r="1820" spans="1:6">
      <c r="A1820" s="38" t="s">
        <v>2440</v>
      </c>
      <c r="B1820" s="40">
        <v>1047.800048828125</v>
      </c>
      <c r="C1820" s="40">
        <v>931.10906982421875</v>
      </c>
      <c r="D1820" s="38">
        <v>1747630</v>
      </c>
      <c r="E1820" s="38" t="s">
        <v>2418</v>
      </c>
      <c r="F1820" s="38" t="s">
        <v>618</v>
      </c>
    </row>
    <row r="1821" spans="1:6">
      <c r="A1821" s="38" t="s">
        <v>2441</v>
      </c>
      <c r="B1821" s="40">
        <v>1046.1500244140625</v>
      </c>
      <c r="C1821" s="40">
        <v>929.642822265625</v>
      </c>
      <c r="D1821" s="38">
        <v>1186977</v>
      </c>
      <c r="E1821" s="38" t="s">
        <v>2418</v>
      </c>
      <c r="F1821" s="38" t="s">
        <v>618</v>
      </c>
    </row>
    <row r="1822" spans="1:6">
      <c r="A1822" s="38" t="s">
        <v>2442</v>
      </c>
      <c r="B1822" s="40">
        <v>1044.050048828125</v>
      </c>
      <c r="C1822" s="40">
        <v>927.7767333984375</v>
      </c>
      <c r="D1822" s="38">
        <v>1451786</v>
      </c>
      <c r="E1822" s="38" t="s">
        <v>2418</v>
      </c>
      <c r="F1822" s="38" t="s">
        <v>618</v>
      </c>
    </row>
    <row r="1823" spans="1:6">
      <c r="A1823" s="38" t="s">
        <v>2443</v>
      </c>
      <c r="B1823" s="40">
        <v>1046.3499755859375</v>
      </c>
      <c r="C1823" s="40">
        <v>929.820556640625</v>
      </c>
      <c r="D1823" s="38">
        <v>1140016</v>
      </c>
      <c r="E1823" s="38" t="s">
        <v>2418</v>
      </c>
      <c r="F1823" s="38" t="s">
        <v>618</v>
      </c>
    </row>
    <row r="1824" spans="1:6">
      <c r="A1824" s="38" t="s">
        <v>2444</v>
      </c>
      <c r="B1824" s="40">
        <v>1064.449951171875</v>
      </c>
      <c r="C1824" s="40">
        <v>945.90484619140625</v>
      </c>
      <c r="D1824" s="38">
        <v>2122222</v>
      </c>
      <c r="E1824" s="38" t="s">
        <v>2418</v>
      </c>
      <c r="F1824" s="38" t="s">
        <v>618</v>
      </c>
    </row>
    <row r="1825" spans="1:6">
      <c r="A1825" s="38" t="s">
        <v>2445</v>
      </c>
      <c r="B1825" s="40">
        <v>1057.199951171875</v>
      </c>
      <c r="C1825" s="40">
        <v>939.462158203125</v>
      </c>
      <c r="D1825" s="38">
        <v>1343911</v>
      </c>
      <c r="E1825" s="38" t="s">
        <v>2418</v>
      </c>
      <c r="F1825" s="38" t="s">
        <v>618</v>
      </c>
    </row>
    <row r="1826" spans="1:6">
      <c r="A1826" s="38" t="s">
        <v>2446</v>
      </c>
      <c r="B1826" s="40">
        <v>1054.1500244140625</v>
      </c>
      <c r="C1826" s="40">
        <v>936.75201416015625</v>
      </c>
      <c r="D1826" s="38">
        <v>2803566</v>
      </c>
      <c r="E1826" s="38" t="s">
        <v>2418</v>
      </c>
      <c r="F1826" s="38" t="s">
        <v>618</v>
      </c>
    </row>
    <row r="1827" spans="1:6">
      <c r="A1827" s="38" t="s">
        <v>2447</v>
      </c>
      <c r="B1827" s="40">
        <v>1048.699951171875</v>
      </c>
      <c r="C1827" s="40">
        <v>931.9088134765625</v>
      </c>
      <c r="D1827" s="38">
        <v>909923</v>
      </c>
      <c r="E1827" s="38" t="s">
        <v>2418</v>
      </c>
      <c r="F1827" s="38" t="s">
        <v>618</v>
      </c>
    </row>
    <row r="1828" spans="1:6">
      <c r="A1828" s="38" t="s">
        <v>2448</v>
      </c>
      <c r="B1828" s="40">
        <v>1072.1500244140625</v>
      </c>
      <c r="C1828" s="40">
        <v>952.74725341796875</v>
      </c>
      <c r="D1828" s="38">
        <v>2624323</v>
      </c>
      <c r="E1828" s="38" t="s">
        <v>2418</v>
      </c>
      <c r="F1828" s="38" t="s">
        <v>618</v>
      </c>
    </row>
    <row r="1829" spans="1:6">
      <c r="A1829" s="38" t="s">
        <v>2449</v>
      </c>
      <c r="B1829" s="40">
        <v>1104.449951171875</v>
      </c>
      <c r="C1829" s="40">
        <v>981.45013427734375</v>
      </c>
      <c r="D1829" s="38">
        <v>2996190</v>
      </c>
      <c r="E1829" s="38" t="s">
        <v>2418</v>
      </c>
      <c r="F1829" s="38" t="s">
        <v>618</v>
      </c>
    </row>
    <row r="1830" spans="1:6">
      <c r="A1830" s="38" t="s">
        <v>2450</v>
      </c>
      <c r="B1830" s="40">
        <v>1090.5</v>
      </c>
      <c r="C1830" s="40">
        <v>969.0535888671875</v>
      </c>
      <c r="D1830" s="38">
        <v>1414119</v>
      </c>
      <c r="E1830" s="38" t="s">
        <v>2418</v>
      </c>
      <c r="F1830" s="38" t="s">
        <v>618</v>
      </c>
    </row>
    <row r="1831" spans="1:6">
      <c r="A1831" s="38" t="s">
        <v>2451</v>
      </c>
      <c r="B1831" s="40">
        <v>1098.75</v>
      </c>
      <c r="C1831" s="40">
        <v>976.38494873046875</v>
      </c>
      <c r="D1831" s="38">
        <v>1782245</v>
      </c>
      <c r="E1831" s="38" t="s">
        <v>2418</v>
      </c>
      <c r="F1831" s="38" t="s">
        <v>618</v>
      </c>
    </row>
    <row r="1832" spans="1:6">
      <c r="A1832" s="38" t="s">
        <v>2452</v>
      </c>
      <c r="B1832" s="40">
        <v>1098.0999755859375</v>
      </c>
      <c r="C1832" s="40">
        <v>975.8072509765625</v>
      </c>
      <c r="D1832" s="38">
        <v>1200289</v>
      </c>
      <c r="E1832" s="38" t="s">
        <v>2418</v>
      </c>
      <c r="F1832" s="38" t="s">
        <v>618</v>
      </c>
    </row>
    <row r="1833" spans="1:6">
      <c r="A1833" s="38" t="s">
        <v>2453</v>
      </c>
      <c r="B1833" s="40">
        <v>1114.75</v>
      </c>
      <c r="C1833" s="40">
        <v>990.60296630859375</v>
      </c>
      <c r="D1833" s="38">
        <v>2104054</v>
      </c>
      <c r="E1833" s="38" t="s">
        <v>2418</v>
      </c>
      <c r="F1833" s="38" t="s">
        <v>618</v>
      </c>
    </row>
    <row r="1834" spans="1:6">
      <c r="A1834" s="38" t="s">
        <v>2454</v>
      </c>
      <c r="B1834" s="40">
        <v>1114.050048828125</v>
      </c>
      <c r="C1834" s="40">
        <v>989.98101806640625</v>
      </c>
      <c r="D1834" s="38">
        <v>1432241</v>
      </c>
      <c r="E1834" s="38" t="s">
        <v>2418</v>
      </c>
      <c r="F1834" s="38" t="s">
        <v>618</v>
      </c>
    </row>
    <row r="1835" spans="1:6">
      <c r="A1835" s="38" t="s">
        <v>2455</v>
      </c>
      <c r="B1835" s="40">
        <v>1098.4000244140625</v>
      </c>
      <c r="C1835" s="40">
        <v>976.0738525390625</v>
      </c>
      <c r="D1835" s="38">
        <v>2822485</v>
      </c>
      <c r="E1835" s="38" t="s">
        <v>2418</v>
      </c>
      <c r="F1835" s="38" t="s">
        <v>618</v>
      </c>
    </row>
    <row r="1836" spans="1:6">
      <c r="A1836" s="38" t="s">
        <v>2456</v>
      </c>
      <c r="B1836" s="40">
        <v>1115.550048828125</v>
      </c>
      <c r="C1836" s="40">
        <v>991.31378173828125</v>
      </c>
      <c r="D1836" s="38">
        <v>7599886</v>
      </c>
      <c r="E1836" s="38" t="s">
        <v>2418</v>
      </c>
      <c r="F1836" s="38" t="s">
        <v>618</v>
      </c>
    </row>
    <row r="1837" spans="1:6">
      <c r="A1837" s="38" t="s">
        <v>2457</v>
      </c>
      <c r="B1837" s="40">
        <v>1120.800048828125</v>
      </c>
      <c r="C1837" s="40">
        <v>995.979248046875</v>
      </c>
      <c r="D1837" s="38">
        <v>1412280</v>
      </c>
      <c r="E1837" s="38" t="s">
        <v>2418</v>
      </c>
      <c r="F1837" s="38" t="s">
        <v>618</v>
      </c>
    </row>
    <row r="1838" spans="1:6">
      <c r="A1838" s="38" t="s">
        <v>2458</v>
      </c>
      <c r="B1838" s="40">
        <v>1123.0999755859375</v>
      </c>
      <c r="C1838" s="40">
        <v>998.02313232421875</v>
      </c>
      <c r="D1838" s="38">
        <v>1907589</v>
      </c>
      <c r="E1838" s="38" t="s">
        <v>2418</v>
      </c>
      <c r="F1838" s="38" t="s">
        <v>618</v>
      </c>
    </row>
    <row r="1839" spans="1:6">
      <c r="A1839" s="38" t="s">
        <v>2459</v>
      </c>
      <c r="B1839" s="40">
        <v>1109.3499755859375</v>
      </c>
      <c r="C1839" s="40">
        <v>985.804443359375</v>
      </c>
      <c r="D1839" s="38">
        <v>1754521</v>
      </c>
      <c r="E1839" s="38" t="s">
        <v>2418</v>
      </c>
      <c r="F1839" s="38" t="s">
        <v>618</v>
      </c>
    </row>
    <row r="1840" spans="1:6">
      <c r="A1840" s="38" t="s">
        <v>2460</v>
      </c>
      <c r="B1840" s="40">
        <v>1086.25</v>
      </c>
      <c r="C1840" s="40">
        <v>965.27703857421875</v>
      </c>
      <c r="D1840" s="38">
        <v>3284841</v>
      </c>
      <c r="E1840" s="38" t="s">
        <v>2418</v>
      </c>
      <c r="F1840" s="38" t="s">
        <v>618</v>
      </c>
    </row>
    <row r="1841" spans="1:6">
      <c r="A1841" s="38" t="s">
        <v>2461</v>
      </c>
      <c r="B1841" s="40">
        <v>1095.699951171875</v>
      </c>
      <c r="C1841" s="40">
        <v>973.67449951171875</v>
      </c>
      <c r="D1841" s="38">
        <v>2086377</v>
      </c>
      <c r="E1841" s="38" t="s">
        <v>2418</v>
      </c>
      <c r="F1841" s="38" t="s">
        <v>618</v>
      </c>
    </row>
    <row r="1842" spans="1:6">
      <c r="A1842" s="38" t="s">
        <v>2462</v>
      </c>
      <c r="B1842" s="40">
        <v>1071.300048828125</v>
      </c>
      <c r="C1842" s="40">
        <v>951.99200439453125</v>
      </c>
      <c r="D1842" s="38">
        <v>4054486</v>
      </c>
      <c r="E1842" s="38" t="s">
        <v>2418</v>
      </c>
      <c r="F1842" s="38" t="s">
        <v>618</v>
      </c>
    </row>
    <row r="1843" spans="1:6">
      <c r="A1843" s="38" t="s">
        <v>2463</v>
      </c>
      <c r="B1843" s="40">
        <v>1063.050048828125</v>
      </c>
      <c r="C1843" s="40">
        <v>944.6607666015625</v>
      </c>
      <c r="D1843" s="38">
        <v>2782697</v>
      </c>
      <c r="E1843" s="38" t="s">
        <v>2418</v>
      </c>
      <c r="F1843" s="38" t="s">
        <v>618</v>
      </c>
    </row>
    <row r="1844" spans="1:6">
      <c r="A1844" s="38" t="s">
        <v>2464</v>
      </c>
      <c r="B1844" s="40">
        <v>1074.75</v>
      </c>
      <c r="C1844" s="40">
        <v>955.057861328125</v>
      </c>
      <c r="D1844" s="38">
        <v>1767945</v>
      </c>
      <c r="E1844" s="38" t="s">
        <v>2418</v>
      </c>
      <c r="F1844" s="38" t="s">
        <v>618</v>
      </c>
    </row>
    <row r="1845" spans="1:6">
      <c r="A1845" s="38" t="s">
        <v>2465</v>
      </c>
      <c r="B1845" s="40">
        <v>1079.4000244140625</v>
      </c>
      <c r="C1845" s="40">
        <v>959.1898193359375</v>
      </c>
      <c r="D1845" s="38">
        <v>1846534</v>
      </c>
      <c r="E1845" s="38" t="s">
        <v>2418</v>
      </c>
      <c r="F1845" s="38" t="s">
        <v>618</v>
      </c>
    </row>
    <row r="1846" spans="1:6">
      <c r="A1846" s="38" t="s">
        <v>2466</v>
      </c>
      <c r="B1846" s="40">
        <v>1077.5999755859375</v>
      </c>
      <c r="C1846" s="40">
        <v>957.59039306640625</v>
      </c>
      <c r="D1846" s="38">
        <v>1321534</v>
      </c>
      <c r="E1846" s="38" t="s">
        <v>2418</v>
      </c>
      <c r="F1846" s="38" t="s">
        <v>618</v>
      </c>
    </row>
    <row r="1847" spans="1:6">
      <c r="A1847" s="38" t="s">
        <v>2467</v>
      </c>
      <c r="B1847" s="40">
        <v>1081.5</v>
      </c>
      <c r="C1847" s="40">
        <v>961.055908203125</v>
      </c>
      <c r="D1847" s="38">
        <v>1389325</v>
      </c>
      <c r="E1847" s="38" t="s">
        <v>2418</v>
      </c>
      <c r="F1847" s="38" t="s">
        <v>618</v>
      </c>
    </row>
    <row r="1848" spans="1:6">
      <c r="A1848" s="38" t="s">
        <v>2468</v>
      </c>
      <c r="B1848" s="40">
        <v>1077.199951171875</v>
      </c>
      <c r="C1848" s="40">
        <v>957.23480224609375</v>
      </c>
      <c r="D1848" s="38">
        <v>4392418</v>
      </c>
      <c r="E1848" s="38" t="s">
        <v>2418</v>
      </c>
      <c r="F1848" s="38" t="s">
        <v>618</v>
      </c>
    </row>
    <row r="1849" spans="1:6">
      <c r="A1849" s="38" t="s">
        <v>2469</v>
      </c>
      <c r="B1849" s="40">
        <v>1093.5999755859375</v>
      </c>
      <c r="C1849" s="40">
        <v>971.80841064453125</v>
      </c>
      <c r="D1849" s="38">
        <v>2188899</v>
      </c>
      <c r="E1849" s="38" t="s">
        <v>2418</v>
      </c>
      <c r="F1849" s="38" t="s">
        <v>618</v>
      </c>
    </row>
    <row r="1850" spans="1:6">
      <c r="A1850" s="38" t="s">
        <v>2470</v>
      </c>
      <c r="B1850" s="40">
        <v>1107.3499755859375</v>
      </c>
      <c r="C1850" s="40">
        <v>984.02716064453125</v>
      </c>
      <c r="D1850" s="38">
        <v>3318866</v>
      </c>
      <c r="E1850" s="38" t="s">
        <v>2418</v>
      </c>
      <c r="F1850" s="38" t="s">
        <v>618</v>
      </c>
    </row>
    <row r="1851" spans="1:6">
      <c r="A1851" s="38" t="s">
        <v>2471</v>
      </c>
      <c r="B1851" s="40">
        <v>1119.9000244140625</v>
      </c>
      <c r="C1851" s="40">
        <v>995.17950439453125</v>
      </c>
      <c r="D1851" s="38">
        <v>1985965</v>
      </c>
      <c r="E1851" s="38" t="s">
        <v>2418</v>
      </c>
      <c r="F1851" s="38" t="s">
        <v>618</v>
      </c>
    </row>
    <row r="1852" spans="1:6">
      <c r="A1852" s="38" t="s">
        <v>2472</v>
      </c>
      <c r="B1852" s="40">
        <v>1119.050048828125</v>
      </c>
      <c r="C1852" s="40">
        <v>994.42431640625</v>
      </c>
      <c r="D1852" s="38">
        <v>2360795</v>
      </c>
      <c r="E1852" s="38" t="s">
        <v>2418</v>
      </c>
      <c r="F1852" s="38" t="s">
        <v>618</v>
      </c>
    </row>
    <row r="1853" spans="1:6">
      <c r="A1853" s="38" t="s">
        <v>2473</v>
      </c>
      <c r="B1853" s="40">
        <v>1115.5</v>
      </c>
      <c r="C1853" s="40">
        <v>991.26947021484375</v>
      </c>
      <c r="D1853" s="38">
        <v>3492348</v>
      </c>
      <c r="E1853" s="38" t="s">
        <v>2418</v>
      </c>
      <c r="F1853" s="38" t="s">
        <v>618</v>
      </c>
    </row>
    <row r="1854" spans="1:6">
      <c r="A1854" s="38" t="s">
        <v>2474</v>
      </c>
      <c r="B1854" s="40">
        <v>1111.9000244140625</v>
      </c>
      <c r="C1854" s="40">
        <v>988.070556640625</v>
      </c>
      <c r="D1854" s="38">
        <v>1432154</v>
      </c>
      <c r="E1854" s="38" t="s">
        <v>2418</v>
      </c>
      <c r="F1854" s="38" t="s">
        <v>618</v>
      </c>
    </row>
    <row r="1855" spans="1:6">
      <c r="A1855" s="38" t="s">
        <v>2475</v>
      </c>
      <c r="B1855" s="40">
        <v>1119.699951171875</v>
      </c>
      <c r="C1855" s="40">
        <v>995.00164794921875</v>
      </c>
      <c r="D1855" s="38">
        <v>1227245</v>
      </c>
      <c r="E1855" s="38" t="s">
        <v>2418</v>
      </c>
      <c r="F1855" s="38" t="s">
        <v>618</v>
      </c>
    </row>
    <row r="1856" spans="1:6">
      <c r="A1856" s="38" t="s">
        <v>2476</v>
      </c>
      <c r="B1856" s="40">
        <v>1108.0999755859375</v>
      </c>
      <c r="C1856" s="40">
        <v>984.693603515625</v>
      </c>
      <c r="D1856" s="38">
        <v>1876800</v>
      </c>
      <c r="E1856" s="38" t="s">
        <v>2418</v>
      </c>
      <c r="F1856" s="38" t="s">
        <v>618</v>
      </c>
    </row>
    <row r="1857" spans="1:6">
      <c r="A1857" s="38" t="s">
        <v>2477</v>
      </c>
      <c r="B1857" s="40">
        <v>1130.8499755859375</v>
      </c>
      <c r="C1857" s="40">
        <v>1004.9100952148438</v>
      </c>
      <c r="D1857" s="38">
        <v>2478834</v>
      </c>
      <c r="E1857" s="38" t="s">
        <v>2418</v>
      </c>
      <c r="F1857" s="38" t="s">
        <v>618</v>
      </c>
    </row>
    <row r="1858" spans="1:6">
      <c r="A1858" s="38" t="s">
        <v>2478</v>
      </c>
      <c r="B1858" s="40">
        <v>1121.449951171875</v>
      </c>
      <c r="C1858" s="40">
        <v>996.55682373046875</v>
      </c>
      <c r="D1858" s="38">
        <v>1899656</v>
      </c>
      <c r="E1858" s="38" t="s">
        <v>2418</v>
      </c>
      <c r="F1858" s="38" t="s">
        <v>618</v>
      </c>
    </row>
    <row r="1859" spans="1:6">
      <c r="A1859" s="38" t="s">
        <v>2479</v>
      </c>
      <c r="B1859" s="40">
        <v>1148</v>
      </c>
      <c r="C1859" s="40">
        <v>1020.1500244140625</v>
      </c>
      <c r="D1859" s="38">
        <v>2773593</v>
      </c>
      <c r="E1859" s="38" t="s">
        <v>2418</v>
      </c>
      <c r="F1859" s="38" t="s">
        <v>618</v>
      </c>
    </row>
    <row r="1860" spans="1:6">
      <c r="A1860" s="38" t="s">
        <v>2480</v>
      </c>
      <c r="B1860" s="40">
        <v>1175</v>
      </c>
      <c r="C1860" s="40">
        <v>1044.14306640625</v>
      </c>
      <c r="D1860" s="38">
        <v>3732838</v>
      </c>
      <c r="E1860" s="38" t="s">
        <v>2418</v>
      </c>
      <c r="F1860" s="38" t="s">
        <v>618</v>
      </c>
    </row>
    <row r="1861" spans="1:6">
      <c r="A1861" s="38" t="s">
        <v>2481</v>
      </c>
      <c r="B1861" s="40">
        <v>1179.25</v>
      </c>
      <c r="C1861" s="40">
        <v>1047.9197998046875</v>
      </c>
      <c r="D1861" s="38">
        <v>2520085</v>
      </c>
      <c r="E1861" s="38" t="s">
        <v>2418</v>
      </c>
      <c r="F1861" s="38" t="s">
        <v>618</v>
      </c>
    </row>
    <row r="1862" spans="1:6">
      <c r="A1862" s="38" t="s">
        <v>2482</v>
      </c>
      <c r="B1862" s="40">
        <v>1156</v>
      </c>
      <c r="C1862" s="40">
        <v>1027.259033203125</v>
      </c>
      <c r="D1862" s="38">
        <v>2261102</v>
      </c>
      <c r="E1862" s="38" t="s">
        <v>2418</v>
      </c>
      <c r="F1862" s="38" t="s">
        <v>618</v>
      </c>
    </row>
    <row r="1863" spans="1:6">
      <c r="A1863" s="38" t="s">
        <v>2483</v>
      </c>
      <c r="B1863" s="40">
        <v>1147.1500244140625</v>
      </c>
      <c r="C1863" s="40">
        <v>1019.3947143554688</v>
      </c>
      <c r="D1863" s="38">
        <v>2088505</v>
      </c>
      <c r="E1863" s="38" t="s">
        <v>2418</v>
      </c>
      <c r="F1863" s="38" t="s">
        <v>618</v>
      </c>
    </row>
    <row r="1864" spans="1:6">
      <c r="A1864" s="38" t="s">
        <v>2484</v>
      </c>
      <c r="B1864" s="40">
        <v>1161.449951171875</v>
      </c>
      <c r="C1864" s="40">
        <v>1032.10205078125</v>
      </c>
      <c r="D1864" s="38">
        <v>1212566</v>
      </c>
      <c r="E1864" s="38" t="s">
        <v>2418</v>
      </c>
      <c r="F1864" s="38" t="s">
        <v>618</v>
      </c>
    </row>
    <row r="1865" spans="1:6">
      <c r="A1865" s="38" t="s">
        <v>2485</v>
      </c>
      <c r="B1865" s="40">
        <v>1159.4000244140625</v>
      </c>
      <c r="C1865" s="40">
        <v>1030.2802734375</v>
      </c>
      <c r="D1865" s="38">
        <v>1274203</v>
      </c>
      <c r="E1865" s="38" t="s">
        <v>2418</v>
      </c>
      <c r="F1865" s="38" t="s">
        <v>618</v>
      </c>
    </row>
    <row r="1866" spans="1:6">
      <c r="A1866" s="38" t="s">
        <v>2486</v>
      </c>
      <c r="B1866" s="40">
        <v>1175.25</v>
      </c>
      <c r="C1866" s="40">
        <v>1044.365234375</v>
      </c>
      <c r="D1866" s="38">
        <v>3215610</v>
      </c>
      <c r="E1866" s="38" t="s">
        <v>2418</v>
      </c>
      <c r="F1866" s="38" t="s">
        <v>618</v>
      </c>
    </row>
    <row r="1867" spans="1:6">
      <c r="A1867" s="38" t="s">
        <v>2487</v>
      </c>
      <c r="B1867" s="40">
        <v>1228.6500244140625</v>
      </c>
      <c r="C1867" s="40">
        <v>1091.8182373046875</v>
      </c>
      <c r="D1867" s="38">
        <v>6033106</v>
      </c>
      <c r="E1867" s="38" t="s">
        <v>2418</v>
      </c>
      <c r="F1867" s="38" t="s">
        <v>618</v>
      </c>
    </row>
    <row r="1868" spans="1:6">
      <c r="A1868" s="38" t="s">
        <v>2488</v>
      </c>
      <c r="B1868" s="40">
        <v>1242.4000244140625</v>
      </c>
      <c r="C1868" s="40">
        <v>1104.036865234375</v>
      </c>
      <c r="D1868" s="38">
        <v>4880073</v>
      </c>
      <c r="E1868" s="38" t="s">
        <v>2418</v>
      </c>
      <c r="F1868" s="38" t="s">
        <v>618</v>
      </c>
    </row>
    <row r="1869" spans="1:6">
      <c r="A1869" s="38" t="s">
        <v>2489</v>
      </c>
      <c r="B1869" s="40">
        <v>1247.550048828125</v>
      </c>
      <c r="C1869" s="40">
        <v>1108.6134033203125</v>
      </c>
      <c r="D1869" s="38">
        <v>2666872</v>
      </c>
      <c r="E1869" s="38" t="s">
        <v>2418</v>
      </c>
      <c r="F1869" s="38" t="s">
        <v>618</v>
      </c>
    </row>
    <row r="1870" spans="1:6">
      <c r="A1870" s="38" t="s">
        <v>2490</v>
      </c>
      <c r="B1870" s="40">
        <v>1244.699951171875</v>
      </c>
      <c r="C1870" s="40">
        <v>1106.0806884765625</v>
      </c>
      <c r="D1870" s="38">
        <v>2293881</v>
      </c>
      <c r="E1870" s="38" t="s">
        <v>2418</v>
      </c>
      <c r="F1870" s="38" t="s">
        <v>618</v>
      </c>
    </row>
    <row r="1871" spans="1:6">
      <c r="A1871" s="38" t="s">
        <v>2491</v>
      </c>
      <c r="B1871" s="40">
        <v>1252.949951171875</v>
      </c>
      <c r="C1871" s="40">
        <v>1113.411865234375</v>
      </c>
      <c r="D1871" s="38">
        <v>2000345</v>
      </c>
      <c r="E1871" s="38" t="s">
        <v>2418</v>
      </c>
      <c r="F1871" s="38" t="s">
        <v>618</v>
      </c>
    </row>
    <row r="1872" spans="1:6">
      <c r="A1872" s="38" t="s">
        <v>2492</v>
      </c>
      <c r="B1872" s="40">
        <v>1195.0999755859375</v>
      </c>
      <c r="C1872" s="40">
        <v>1089.8387451171875</v>
      </c>
      <c r="D1872" s="38">
        <v>5032086</v>
      </c>
      <c r="E1872" s="38" t="s">
        <v>2418</v>
      </c>
      <c r="F1872" s="38" t="s">
        <v>618</v>
      </c>
    </row>
    <row r="1873" spans="1:6">
      <c r="A1873" s="38" t="s">
        <v>2493</v>
      </c>
      <c r="B1873" s="40">
        <v>1161.8499755859375</v>
      </c>
      <c r="C1873" s="40">
        <v>1059.5174560546875</v>
      </c>
      <c r="D1873" s="38">
        <v>2669308</v>
      </c>
      <c r="E1873" s="38" t="s">
        <v>2418</v>
      </c>
      <c r="F1873" s="38" t="s">
        <v>618</v>
      </c>
    </row>
    <row r="1874" spans="1:6">
      <c r="A1874" s="38" t="s">
        <v>2494</v>
      </c>
      <c r="B1874" s="40">
        <v>1156.5</v>
      </c>
      <c r="C1874" s="40">
        <v>1054.6387939453125</v>
      </c>
      <c r="D1874" s="38">
        <v>2557865</v>
      </c>
      <c r="E1874" s="38" t="s">
        <v>2418</v>
      </c>
      <c r="F1874" s="38" t="s">
        <v>618</v>
      </c>
    </row>
    <row r="1875" spans="1:6">
      <c r="A1875" s="38" t="s">
        <v>2495</v>
      </c>
      <c r="B1875" s="40">
        <v>1143.199951171875</v>
      </c>
      <c r="C1875" s="40">
        <v>1042.510009765625</v>
      </c>
      <c r="D1875" s="38">
        <v>3170213</v>
      </c>
      <c r="E1875" s="38" t="s">
        <v>2418</v>
      </c>
      <c r="F1875" s="38" t="s">
        <v>618</v>
      </c>
    </row>
    <row r="1876" spans="1:6">
      <c r="A1876" s="38" t="s">
        <v>2496</v>
      </c>
      <c r="B1876" s="40">
        <v>1099.9000244140625</v>
      </c>
      <c r="C1876" s="40">
        <v>1003.0238037109375</v>
      </c>
      <c r="D1876" s="38">
        <v>17594818</v>
      </c>
      <c r="E1876" s="38" t="s">
        <v>2418</v>
      </c>
      <c r="F1876" s="38" t="s">
        <v>618</v>
      </c>
    </row>
    <row r="1877" spans="1:6">
      <c r="A1877" s="38" t="s">
        <v>2497</v>
      </c>
      <c r="B1877" s="40">
        <v>1091.050048828125</v>
      </c>
      <c r="C1877" s="40">
        <v>994.9534912109375</v>
      </c>
      <c r="D1877" s="38">
        <v>4244321</v>
      </c>
      <c r="E1877" s="38" t="s">
        <v>2418</v>
      </c>
      <c r="F1877" s="38" t="s">
        <v>618</v>
      </c>
    </row>
    <row r="1878" spans="1:6">
      <c r="A1878" s="38" t="s">
        <v>2498</v>
      </c>
      <c r="B1878" s="40">
        <v>1115.5</v>
      </c>
      <c r="C1878" s="40">
        <v>1017.249755859375</v>
      </c>
      <c r="D1878" s="38">
        <v>4766331</v>
      </c>
      <c r="E1878" s="38" t="s">
        <v>2418</v>
      </c>
      <c r="F1878" s="38" t="s">
        <v>618</v>
      </c>
    </row>
    <row r="1879" spans="1:6">
      <c r="A1879" s="38" t="s">
        <v>2499</v>
      </c>
      <c r="B1879" s="40">
        <v>1143.5</v>
      </c>
      <c r="C1879" s="40">
        <v>1042.78369140625</v>
      </c>
      <c r="D1879" s="38">
        <v>3805214</v>
      </c>
      <c r="E1879" s="38" t="s">
        <v>2418</v>
      </c>
      <c r="F1879" s="38" t="s">
        <v>618</v>
      </c>
    </row>
    <row r="1880" spans="1:6">
      <c r="A1880" s="38" t="s">
        <v>2500</v>
      </c>
      <c r="B1880" s="40">
        <v>1145.6500244140625</v>
      </c>
      <c r="C1880" s="40">
        <v>1044.744384765625</v>
      </c>
      <c r="D1880" s="38">
        <v>2357217</v>
      </c>
      <c r="E1880" s="38" t="s">
        <v>2418</v>
      </c>
      <c r="F1880" s="38" t="s">
        <v>618</v>
      </c>
    </row>
    <row r="1881" spans="1:6">
      <c r="A1881" s="38" t="s">
        <v>2501</v>
      </c>
      <c r="B1881" s="40">
        <v>1142.800048828125</v>
      </c>
      <c r="C1881" s="40">
        <v>1042.1453857421875</v>
      </c>
      <c r="D1881" s="38">
        <v>2348236</v>
      </c>
      <c r="E1881" s="38" t="s">
        <v>2418</v>
      </c>
      <c r="F1881" s="38" t="s">
        <v>618</v>
      </c>
    </row>
    <row r="1882" spans="1:6">
      <c r="A1882" s="38" t="s">
        <v>2502</v>
      </c>
      <c r="B1882" s="40">
        <v>1175.199951171875</v>
      </c>
      <c r="C1882" s="40">
        <v>1071.6915283203125</v>
      </c>
      <c r="D1882" s="38">
        <v>3580506</v>
      </c>
      <c r="E1882" s="38" t="s">
        <v>2418</v>
      </c>
      <c r="F1882" s="38" t="s">
        <v>618</v>
      </c>
    </row>
    <row r="1883" spans="1:6">
      <c r="A1883" s="38" t="s">
        <v>2503</v>
      </c>
      <c r="B1883" s="40">
        <v>1183.6500244140625</v>
      </c>
      <c r="C1883" s="40">
        <v>1079.3973388671875</v>
      </c>
      <c r="D1883" s="38">
        <v>1694290</v>
      </c>
      <c r="E1883" s="38" t="s">
        <v>2418</v>
      </c>
      <c r="F1883" s="38" t="s">
        <v>618</v>
      </c>
    </row>
    <row r="1884" spans="1:6">
      <c r="A1884" s="38" t="s">
        <v>2504</v>
      </c>
      <c r="B1884" s="40">
        <v>1205.4000244140625</v>
      </c>
      <c r="C1884" s="40">
        <v>1099.231689453125</v>
      </c>
      <c r="D1884" s="38">
        <v>5137402</v>
      </c>
      <c r="E1884" s="38" t="s">
        <v>2418</v>
      </c>
      <c r="F1884" s="38" t="s">
        <v>618</v>
      </c>
    </row>
    <row r="1885" spans="1:6">
      <c r="A1885" s="38" t="s">
        <v>2505</v>
      </c>
      <c r="B1885" s="40">
        <v>1228</v>
      </c>
      <c r="C1885" s="40">
        <v>1119.841064453125</v>
      </c>
      <c r="D1885" s="38">
        <v>3396984</v>
      </c>
      <c r="E1885" s="38" t="s">
        <v>2418</v>
      </c>
      <c r="F1885" s="38" t="s">
        <v>618</v>
      </c>
    </row>
    <row r="1886" spans="1:6">
      <c r="A1886" s="38" t="s">
        <v>2506</v>
      </c>
      <c r="B1886" s="40">
        <v>1235.800048828125</v>
      </c>
      <c r="C1886" s="40">
        <v>1126.9541015625</v>
      </c>
      <c r="D1886" s="38">
        <v>3715680</v>
      </c>
      <c r="E1886" s="38" t="s">
        <v>2418</v>
      </c>
      <c r="F1886" s="38" t="s">
        <v>618</v>
      </c>
    </row>
    <row r="1887" spans="1:6">
      <c r="A1887" s="38" t="s">
        <v>2507</v>
      </c>
      <c r="B1887" s="40">
        <v>1220.449951171875</v>
      </c>
      <c r="C1887" s="40">
        <v>1112.9560546875</v>
      </c>
      <c r="D1887" s="38">
        <v>2933959</v>
      </c>
      <c r="E1887" s="38" t="s">
        <v>2418</v>
      </c>
      <c r="F1887" s="38" t="s">
        <v>618</v>
      </c>
    </row>
    <row r="1888" spans="1:6">
      <c r="A1888" s="38" t="s">
        <v>2508</v>
      </c>
      <c r="B1888" s="40">
        <v>1219.75</v>
      </c>
      <c r="C1888" s="40">
        <v>1112.317626953125</v>
      </c>
      <c r="D1888" s="38">
        <v>1842625</v>
      </c>
      <c r="E1888" s="38" t="s">
        <v>2418</v>
      </c>
      <c r="F1888" s="38" t="s">
        <v>618</v>
      </c>
    </row>
    <row r="1889" spans="1:6">
      <c r="A1889" s="38" t="s">
        <v>2509</v>
      </c>
      <c r="B1889" s="40">
        <v>1227.8499755859375</v>
      </c>
      <c r="C1889" s="40">
        <v>1119.7044677734375</v>
      </c>
      <c r="D1889" s="38">
        <v>2341456</v>
      </c>
      <c r="E1889" s="38" t="s">
        <v>2418</v>
      </c>
      <c r="F1889" s="38" t="s">
        <v>618</v>
      </c>
    </row>
    <row r="1890" spans="1:6">
      <c r="A1890" s="38" t="s">
        <v>2510</v>
      </c>
      <c r="B1890" s="40">
        <v>1231.75</v>
      </c>
      <c r="C1890" s="40">
        <v>1123.2608642578125</v>
      </c>
      <c r="D1890" s="38">
        <v>2636308</v>
      </c>
      <c r="E1890" s="38" t="s">
        <v>2418</v>
      </c>
      <c r="F1890" s="38" t="s">
        <v>618</v>
      </c>
    </row>
    <row r="1891" spans="1:6">
      <c r="A1891" s="38" t="s">
        <v>2511</v>
      </c>
      <c r="B1891" s="40">
        <v>1210.800048828125</v>
      </c>
      <c r="C1891" s="40">
        <v>1104.1561279296875</v>
      </c>
      <c r="D1891" s="38">
        <v>1794430</v>
      </c>
      <c r="E1891" s="38" t="s">
        <v>2418</v>
      </c>
      <c r="F1891" s="38" t="s">
        <v>618</v>
      </c>
    </row>
    <row r="1892" spans="1:6">
      <c r="A1892" s="38" t="s">
        <v>2512</v>
      </c>
      <c r="B1892" s="40">
        <v>1218.8499755859375</v>
      </c>
      <c r="C1892" s="40">
        <v>1111.4971923828125</v>
      </c>
      <c r="D1892" s="38">
        <v>1175945</v>
      </c>
      <c r="E1892" s="38" t="s">
        <v>2418</v>
      </c>
      <c r="F1892" s="38" t="s">
        <v>618</v>
      </c>
    </row>
    <row r="1893" spans="1:6">
      <c r="A1893" s="38" t="s">
        <v>2513</v>
      </c>
      <c r="B1893" s="40">
        <v>1213.199951171875</v>
      </c>
      <c r="C1893" s="40">
        <v>1106.3447265625</v>
      </c>
      <c r="D1893" s="38">
        <v>1003208</v>
      </c>
      <c r="E1893" s="38" t="s">
        <v>2418</v>
      </c>
      <c r="F1893" s="38" t="s">
        <v>618</v>
      </c>
    </row>
    <row r="1894" spans="1:6">
      <c r="A1894" s="38" t="s">
        <v>2514</v>
      </c>
      <c r="B1894" s="40">
        <v>1201</v>
      </c>
      <c r="C1894" s="40">
        <v>1095.21923828125</v>
      </c>
      <c r="D1894" s="38">
        <v>1569035</v>
      </c>
      <c r="E1894" s="38" t="s">
        <v>2418</v>
      </c>
      <c r="F1894" s="38" t="s">
        <v>618</v>
      </c>
    </row>
    <row r="1895" spans="1:6">
      <c r="A1895" s="38" t="s">
        <v>2515</v>
      </c>
      <c r="B1895" s="40">
        <v>1199.0999755859375</v>
      </c>
      <c r="C1895" s="40">
        <v>1093.4864501953125</v>
      </c>
      <c r="D1895" s="38">
        <v>1218843</v>
      </c>
      <c r="E1895" s="38" t="s">
        <v>2418</v>
      </c>
      <c r="F1895" s="38" t="s">
        <v>618</v>
      </c>
    </row>
    <row r="1896" spans="1:6">
      <c r="A1896" s="38" t="s">
        <v>2516</v>
      </c>
      <c r="B1896" s="40">
        <v>1189.5</v>
      </c>
      <c r="C1896" s="40">
        <v>1084.7320556640625</v>
      </c>
      <c r="D1896" s="38">
        <v>1213340</v>
      </c>
      <c r="E1896" s="38" t="s">
        <v>2418</v>
      </c>
      <c r="F1896" s="38" t="s">
        <v>618</v>
      </c>
    </row>
    <row r="1897" spans="1:6">
      <c r="A1897" s="38" t="s">
        <v>2517</v>
      </c>
      <c r="B1897" s="40">
        <v>1184.75</v>
      </c>
      <c r="C1897" s="40">
        <v>1080.400390625</v>
      </c>
      <c r="D1897" s="38">
        <v>950013</v>
      </c>
      <c r="E1897" s="38" t="s">
        <v>2418</v>
      </c>
      <c r="F1897" s="38" t="s">
        <v>618</v>
      </c>
    </row>
    <row r="1898" spans="1:6">
      <c r="A1898" s="38" t="s">
        <v>2518</v>
      </c>
      <c r="B1898" s="40">
        <v>1198</v>
      </c>
      <c r="C1898" s="40">
        <v>1092.4832763671875</v>
      </c>
      <c r="D1898" s="38">
        <v>1419344</v>
      </c>
      <c r="E1898" s="38" t="s">
        <v>2418</v>
      </c>
      <c r="F1898" s="38" t="s">
        <v>618</v>
      </c>
    </row>
    <row r="1899" spans="1:6">
      <c r="A1899" s="38" t="s">
        <v>2519</v>
      </c>
      <c r="B1899" s="40">
        <v>1197.199951171875</v>
      </c>
      <c r="C1899" s="40">
        <v>1091.7537841796875</v>
      </c>
      <c r="D1899" s="38">
        <v>2016339</v>
      </c>
      <c r="E1899" s="38" t="s">
        <v>2418</v>
      </c>
      <c r="F1899" s="38" t="s">
        <v>618</v>
      </c>
    </row>
    <row r="1900" spans="1:6">
      <c r="A1900" s="38" t="s">
        <v>2520</v>
      </c>
      <c r="B1900" s="40">
        <v>1201.949951171875</v>
      </c>
      <c r="C1900" s="40">
        <v>1096.08544921875</v>
      </c>
      <c r="D1900" s="38">
        <v>2817747</v>
      </c>
      <c r="E1900" s="38" t="s">
        <v>2418</v>
      </c>
      <c r="F1900" s="38" t="s">
        <v>618</v>
      </c>
    </row>
    <row r="1901" spans="1:6">
      <c r="A1901" s="38" t="s">
        <v>2521</v>
      </c>
      <c r="B1901" s="40">
        <v>1228.050048828125</v>
      </c>
      <c r="C1901" s="40">
        <v>1119.88671875</v>
      </c>
      <c r="D1901" s="38">
        <v>1686038</v>
      </c>
      <c r="E1901" s="38" t="s">
        <v>2418</v>
      </c>
      <c r="F1901" s="38" t="s">
        <v>618</v>
      </c>
    </row>
    <row r="1902" spans="1:6">
      <c r="A1902" s="38" t="s">
        <v>2522</v>
      </c>
      <c r="B1902" s="40">
        <v>1256.75</v>
      </c>
      <c r="C1902" s="40">
        <v>1146.0589599609375</v>
      </c>
      <c r="D1902" s="38">
        <v>3466873</v>
      </c>
      <c r="E1902" s="38" t="s">
        <v>2418</v>
      </c>
      <c r="F1902" s="38" t="s">
        <v>618</v>
      </c>
    </row>
    <row r="1903" spans="1:6">
      <c r="A1903" s="38" t="s">
        <v>2523</v>
      </c>
      <c r="B1903" s="40">
        <v>1254.550048828125</v>
      </c>
      <c r="C1903" s="40">
        <v>1144.052734375</v>
      </c>
      <c r="D1903" s="38">
        <v>2199985</v>
      </c>
      <c r="E1903" s="38" t="s">
        <v>2418</v>
      </c>
      <c r="F1903" s="38" t="s">
        <v>618</v>
      </c>
    </row>
    <row r="1904" spans="1:6">
      <c r="A1904" s="38" t="s">
        <v>2524</v>
      </c>
      <c r="B1904" s="40">
        <v>1248.949951171875</v>
      </c>
      <c r="C1904" s="40">
        <v>1138.9456787109375</v>
      </c>
      <c r="D1904" s="38">
        <v>1753376</v>
      </c>
      <c r="E1904" s="38" t="s">
        <v>2418</v>
      </c>
      <c r="F1904" s="38" t="s">
        <v>618</v>
      </c>
    </row>
    <row r="1905" spans="1:6">
      <c r="A1905" s="38" t="s">
        <v>2525</v>
      </c>
      <c r="B1905" s="40">
        <v>1269.25</v>
      </c>
      <c r="C1905" s="40">
        <v>1157.4580078125</v>
      </c>
      <c r="D1905" s="38">
        <v>2554884</v>
      </c>
      <c r="E1905" s="38" t="s">
        <v>2418</v>
      </c>
      <c r="F1905" s="38" t="s">
        <v>618</v>
      </c>
    </row>
    <row r="1906" spans="1:6">
      <c r="A1906" s="38" t="s">
        <v>2526</v>
      </c>
      <c r="B1906" s="40">
        <v>1262.949951171875</v>
      </c>
      <c r="C1906" s="40">
        <v>1151.7127685546875</v>
      </c>
      <c r="D1906" s="38">
        <v>1731105</v>
      </c>
      <c r="E1906" s="38" t="s">
        <v>2418</v>
      </c>
      <c r="F1906" s="38" t="s">
        <v>618</v>
      </c>
    </row>
    <row r="1907" spans="1:6">
      <c r="A1907" s="38" t="s">
        <v>2527</v>
      </c>
      <c r="B1907" s="40">
        <v>1268.8499755859375</v>
      </c>
      <c r="C1907" s="40">
        <v>1157.0931396484375</v>
      </c>
      <c r="D1907" s="38">
        <v>1293853</v>
      </c>
      <c r="E1907" s="38" t="s">
        <v>2418</v>
      </c>
      <c r="F1907" s="38" t="s">
        <v>618</v>
      </c>
    </row>
    <row r="1908" spans="1:6">
      <c r="A1908" s="38" t="s">
        <v>2528</v>
      </c>
      <c r="B1908" s="40">
        <v>1266</v>
      </c>
      <c r="C1908" s="40">
        <v>1154.4942626953125</v>
      </c>
      <c r="D1908" s="38">
        <v>2335224</v>
      </c>
      <c r="E1908" s="38" t="s">
        <v>2418</v>
      </c>
      <c r="F1908" s="38" t="s">
        <v>618</v>
      </c>
    </row>
    <row r="1909" spans="1:6">
      <c r="A1909" s="38" t="s">
        <v>2529</v>
      </c>
      <c r="B1909" s="40">
        <v>1260.4000244140625</v>
      </c>
      <c r="C1909" s="40">
        <v>1149.387451171875</v>
      </c>
      <c r="D1909" s="38">
        <v>1204376</v>
      </c>
      <c r="E1909" s="38" t="s">
        <v>2418</v>
      </c>
      <c r="F1909" s="38" t="s">
        <v>618</v>
      </c>
    </row>
    <row r="1910" spans="1:6">
      <c r="A1910" s="38" t="s">
        <v>2530</v>
      </c>
      <c r="B1910" s="40">
        <v>1279.8499755859375</v>
      </c>
      <c r="C1910" s="40">
        <v>1167.124267578125</v>
      </c>
      <c r="D1910" s="38">
        <v>3288631</v>
      </c>
      <c r="E1910" s="38" t="s">
        <v>2418</v>
      </c>
      <c r="F1910" s="38" t="s">
        <v>618</v>
      </c>
    </row>
    <row r="1911" spans="1:6">
      <c r="A1911" s="38" t="s">
        <v>2531</v>
      </c>
      <c r="B1911" s="40">
        <v>1300.050048828125</v>
      </c>
      <c r="C1911" s="40">
        <v>1185.545166015625</v>
      </c>
      <c r="D1911" s="38">
        <v>4316210</v>
      </c>
      <c r="E1911" s="38" t="s">
        <v>2418</v>
      </c>
      <c r="F1911" s="38" t="s">
        <v>618</v>
      </c>
    </row>
    <row r="1912" spans="1:6">
      <c r="A1912" s="38" t="s">
        <v>2532</v>
      </c>
      <c r="B1912" s="40">
        <v>1289.800048828125</v>
      </c>
      <c r="C1912" s="40">
        <v>1176.197998046875</v>
      </c>
      <c r="D1912" s="38">
        <v>1967717</v>
      </c>
      <c r="E1912" s="38" t="s">
        <v>2418</v>
      </c>
      <c r="F1912" s="38" t="s">
        <v>618</v>
      </c>
    </row>
    <row r="1913" spans="1:6">
      <c r="A1913" s="38" t="s">
        <v>2533</v>
      </c>
      <c r="B1913" s="40">
        <v>1274.3499755859375</v>
      </c>
      <c r="C1913" s="40">
        <v>1162.1087646484375</v>
      </c>
      <c r="D1913" s="38">
        <v>2843560</v>
      </c>
      <c r="E1913" s="38" t="s">
        <v>2418</v>
      </c>
      <c r="F1913" s="38" t="s">
        <v>618</v>
      </c>
    </row>
    <row r="1914" spans="1:6">
      <c r="A1914" s="38" t="s">
        <v>2534</v>
      </c>
      <c r="B1914" s="40">
        <v>1291.6500244140625</v>
      </c>
      <c r="C1914" s="40">
        <v>1177.885009765625</v>
      </c>
      <c r="D1914" s="38">
        <v>2960250</v>
      </c>
      <c r="E1914" s="38" t="s">
        <v>2418</v>
      </c>
      <c r="F1914" s="38" t="s">
        <v>618</v>
      </c>
    </row>
    <row r="1915" spans="1:6">
      <c r="A1915" s="38" t="s">
        <v>2535</v>
      </c>
      <c r="B1915" s="40">
        <v>1305.3499755859375</v>
      </c>
      <c r="C1915" s="40">
        <v>1190.3782958984375</v>
      </c>
      <c r="D1915" s="38">
        <v>3252940</v>
      </c>
      <c r="E1915" s="38" t="s">
        <v>2418</v>
      </c>
      <c r="F1915" s="38" t="s">
        <v>618</v>
      </c>
    </row>
    <row r="1916" spans="1:6">
      <c r="A1916" s="38" t="s">
        <v>2536</v>
      </c>
      <c r="B1916" s="40">
        <v>1299.449951171875</v>
      </c>
      <c r="C1916" s="40">
        <v>1184.9979248046875</v>
      </c>
      <c r="D1916" s="38">
        <v>2100302</v>
      </c>
      <c r="E1916" s="38" t="s">
        <v>2418</v>
      </c>
      <c r="F1916" s="38" t="s">
        <v>618</v>
      </c>
    </row>
    <row r="1917" spans="1:6">
      <c r="A1917" s="38" t="s">
        <v>2537</v>
      </c>
      <c r="B1917" s="40">
        <v>1282.300048828125</v>
      </c>
      <c r="C1917" s="40">
        <v>1169.358642578125</v>
      </c>
      <c r="D1917" s="38">
        <v>1141475</v>
      </c>
      <c r="E1917" s="38" t="s">
        <v>2418</v>
      </c>
      <c r="F1917" s="38" t="s">
        <v>618</v>
      </c>
    </row>
    <row r="1918" spans="1:6">
      <c r="A1918" s="38" t="s">
        <v>2538</v>
      </c>
      <c r="B1918" s="40">
        <v>1288.6500244140625</v>
      </c>
      <c r="C1918" s="40">
        <v>1175.1490478515625</v>
      </c>
      <c r="D1918" s="38">
        <v>1568115</v>
      </c>
      <c r="E1918" s="38" t="s">
        <v>2418</v>
      </c>
      <c r="F1918" s="38" t="s">
        <v>618</v>
      </c>
    </row>
    <row r="1919" spans="1:6">
      <c r="A1919" s="38" t="s">
        <v>2539</v>
      </c>
      <c r="B1919" s="40">
        <v>1229.5</v>
      </c>
      <c r="C1919" s="40">
        <v>1121.208984375</v>
      </c>
      <c r="D1919" s="38">
        <v>6570797</v>
      </c>
      <c r="E1919" s="38" t="s">
        <v>2418</v>
      </c>
      <c r="F1919" s="38" t="s">
        <v>618</v>
      </c>
    </row>
    <row r="1920" spans="1:6">
      <c r="A1920" s="38" t="s">
        <v>2540</v>
      </c>
      <c r="B1920" s="40">
        <v>1222.800048828125</v>
      </c>
      <c r="C1920" s="40">
        <v>1115.0992431640625</v>
      </c>
      <c r="D1920" s="38">
        <v>2861162</v>
      </c>
      <c r="E1920" s="38" t="s">
        <v>2418</v>
      </c>
      <c r="F1920" s="38" t="s">
        <v>618</v>
      </c>
    </row>
    <row r="1921" spans="1:6">
      <c r="A1921" s="38" t="s">
        <v>2541</v>
      </c>
      <c r="B1921" s="40">
        <v>1216.199951171875</v>
      </c>
      <c r="C1921" s="40">
        <v>1109.080322265625</v>
      </c>
      <c r="D1921" s="38">
        <v>1622290</v>
      </c>
      <c r="E1921" s="38" t="s">
        <v>2418</v>
      </c>
      <c r="F1921" s="38" t="s">
        <v>618</v>
      </c>
    </row>
    <row r="1922" spans="1:6">
      <c r="A1922" s="38" t="s">
        <v>2542</v>
      </c>
      <c r="B1922" s="40">
        <v>1205</v>
      </c>
      <c r="C1922" s="40">
        <v>1098.866943359375</v>
      </c>
      <c r="D1922" s="38">
        <v>2340603</v>
      </c>
      <c r="E1922" s="38" t="s">
        <v>2418</v>
      </c>
      <c r="F1922" s="38" t="s">
        <v>618</v>
      </c>
    </row>
    <row r="1923" spans="1:6">
      <c r="A1923" s="38" t="s">
        <v>2543</v>
      </c>
      <c r="B1923" s="40">
        <v>1205.5999755859375</v>
      </c>
      <c r="C1923" s="40">
        <v>1099.4140625</v>
      </c>
      <c r="D1923" s="38">
        <v>2497613</v>
      </c>
      <c r="E1923" s="38" t="s">
        <v>2418</v>
      </c>
      <c r="F1923" s="38" t="s">
        <v>618</v>
      </c>
    </row>
    <row r="1924" spans="1:6">
      <c r="A1924" s="38" t="s">
        <v>2544</v>
      </c>
      <c r="B1924" s="40">
        <v>1216.9000244140625</v>
      </c>
      <c r="C1924" s="40">
        <v>1109.718994140625</v>
      </c>
      <c r="D1924" s="38">
        <v>1446719</v>
      </c>
      <c r="E1924" s="38" t="s">
        <v>2418</v>
      </c>
      <c r="F1924" s="38" t="s">
        <v>618</v>
      </c>
    </row>
    <row r="1925" spans="1:6">
      <c r="A1925" s="38" t="s">
        <v>2545</v>
      </c>
      <c r="B1925" s="40">
        <v>1212.6500244140625</v>
      </c>
      <c r="C1925" s="40">
        <v>1105.84326171875</v>
      </c>
      <c r="D1925" s="38">
        <v>1451064</v>
      </c>
      <c r="E1925" s="38" t="s">
        <v>2418</v>
      </c>
      <c r="F1925" s="38" t="s">
        <v>618</v>
      </c>
    </row>
    <row r="1926" spans="1:6">
      <c r="A1926" s="38" t="s">
        <v>2546</v>
      </c>
      <c r="B1926" s="40">
        <v>1227.75</v>
      </c>
      <c r="C1926" s="40">
        <v>1119.6131591796875</v>
      </c>
      <c r="D1926" s="38">
        <v>1503359</v>
      </c>
      <c r="E1926" s="38" t="s">
        <v>2418</v>
      </c>
      <c r="F1926" s="38" t="s">
        <v>618</v>
      </c>
    </row>
    <row r="1927" spans="1:6">
      <c r="A1927" s="38" t="s">
        <v>2547</v>
      </c>
      <c r="B1927" s="40">
        <v>1231.5999755859375</v>
      </c>
      <c r="C1927" s="40">
        <v>1123.1240234375</v>
      </c>
      <c r="D1927" s="38">
        <v>1622663</v>
      </c>
      <c r="E1927" s="38" t="s">
        <v>2418</v>
      </c>
      <c r="F1927" s="38" t="s">
        <v>618</v>
      </c>
    </row>
    <row r="1928" spans="1:6">
      <c r="A1928" s="38" t="s">
        <v>2548</v>
      </c>
      <c r="B1928" s="40">
        <v>1198.75</v>
      </c>
      <c r="C1928" s="40">
        <v>1093.1673583984375</v>
      </c>
      <c r="D1928" s="38">
        <v>2452842</v>
      </c>
      <c r="E1928" s="38" t="s">
        <v>2418</v>
      </c>
      <c r="F1928" s="38" t="s">
        <v>618</v>
      </c>
    </row>
    <row r="1929" spans="1:6">
      <c r="A1929" s="38" t="s">
        <v>2549</v>
      </c>
      <c r="B1929" s="40">
        <v>1194.0999755859375</v>
      </c>
      <c r="C1929" s="40">
        <v>1088.927001953125</v>
      </c>
      <c r="D1929" s="38">
        <v>3266079</v>
      </c>
      <c r="E1929" s="38" t="s">
        <v>2418</v>
      </c>
      <c r="F1929" s="38" t="s">
        <v>618</v>
      </c>
    </row>
    <row r="1930" spans="1:6">
      <c r="A1930" s="38" t="s">
        <v>2550</v>
      </c>
      <c r="B1930" s="40">
        <v>1184.5999755859375</v>
      </c>
      <c r="C1930" s="40">
        <v>1080.263671875</v>
      </c>
      <c r="D1930" s="38">
        <v>2638043</v>
      </c>
      <c r="E1930" s="38" t="s">
        <v>2418</v>
      </c>
      <c r="F1930" s="38" t="s">
        <v>618</v>
      </c>
    </row>
    <row r="1931" spans="1:6">
      <c r="A1931" s="38" t="s">
        <v>2551</v>
      </c>
      <c r="B1931" s="40">
        <v>1197.5999755859375</v>
      </c>
      <c r="C1931" s="40">
        <v>1092.1187744140625</v>
      </c>
      <c r="D1931" s="38">
        <v>1163897</v>
      </c>
      <c r="E1931" s="38" t="s">
        <v>2418</v>
      </c>
      <c r="F1931" s="38" t="s">
        <v>618</v>
      </c>
    </row>
    <row r="1932" spans="1:6">
      <c r="A1932" s="38" t="s">
        <v>2552</v>
      </c>
      <c r="B1932" s="40">
        <v>1187.0999755859375</v>
      </c>
      <c r="C1932" s="40">
        <v>1082.5435791015625</v>
      </c>
      <c r="D1932" s="38">
        <v>2337078</v>
      </c>
      <c r="E1932" s="38" t="s">
        <v>2418</v>
      </c>
      <c r="F1932" s="38" t="s">
        <v>618</v>
      </c>
    </row>
    <row r="1933" spans="1:6">
      <c r="A1933" s="38" t="s">
        <v>2553</v>
      </c>
      <c r="B1933" s="40">
        <v>1172.1500244140625</v>
      </c>
      <c r="C1933" s="40">
        <v>1068.91015625</v>
      </c>
      <c r="D1933" s="38">
        <v>3107691</v>
      </c>
      <c r="E1933" s="38" t="s">
        <v>2418</v>
      </c>
      <c r="F1933" s="38" t="s">
        <v>618</v>
      </c>
    </row>
    <row r="1934" spans="1:6">
      <c r="A1934" s="38" t="s">
        <v>2554</v>
      </c>
      <c r="B1934" s="40">
        <v>1170.699951171875</v>
      </c>
      <c r="C1934" s="40">
        <v>1067.5877685546875</v>
      </c>
      <c r="D1934" s="38">
        <v>2962470</v>
      </c>
      <c r="E1934" s="38" t="s">
        <v>2418</v>
      </c>
      <c r="F1934" s="38" t="s">
        <v>618</v>
      </c>
    </row>
    <row r="1935" spans="1:6">
      <c r="A1935" s="38" t="s">
        <v>2555</v>
      </c>
      <c r="B1935" s="40">
        <v>1155.949951171875</v>
      </c>
      <c r="C1935" s="40">
        <v>1054.13720703125</v>
      </c>
      <c r="D1935" s="38">
        <v>1203959</v>
      </c>
      <c r="E1935" s="38" t="s">
        <v>2418</v>
      </c>
      <c r="F1935" s="38" t="s">
        <v>618</v>
      </c>
    </row>
    <row r="1936" spans="1:6">
      <c r="A1936" s="38" t="s">
        <v>2556</v>
      </c>
      <c r="B1936" s="40">
        <v>1142.1500244140625</v>
      </c>
      <c r="C1936" s="40">
        <v>1041.5526123046875</v>
      </c>
      <c r="D1936" s="38">
        <v>1555285</v>
      </c>
      <c r="E1936" s="38" t="s">
        <v>2418</v>
      </c>
      <c r="F1936" s="38" t="s">
        <v>618</v>
      </c>
    </row>
    <row r="1937" spans="1:6">
      <c r="A1937" s="38" t="s">
        <v>2557</v>
      </c>
      <c r="B1937" s="40">
        <v>1115.449951171875</v>
      </c>
      <c r="C1937" s="40">
        <v>1017.2042236328125</v>
      </c>
      <c r="D1937" s="38">
        <v>7099401</v>
      </c>
      <c r="E1937" s="38" t="s">
        <v>2418</v>
      </c>
      <c r="F1937" s="38" t="s">
        <v>618</v>
      </c>
    </row>
    <row r="1938" spans="1:6">
      <c r="A1938" s="38" t="s">
        <v>2558</v>
      </c>
      <c r="B1938" s="40">
        <v>1120.550048828125</v>
      </c>
      <c r="C1938" s="40">
        <v>1021.8551635742188</v>
      </c>
      <c r="D1938" s="38">
        <v>1382498</v>
      </c>
      <c r="E1938" s="38" t="s">
        <v>2418</v>
      </c>
      <c r="F1938" s="38" t="s">
        <v>618</v>
      </c>
    </row>
    <row r="1939" spans="1:6">
      <c r="A1939" s="38" t="s">
        <v>2559</v>
      </c>
      <c r="B1939" s="40">
        <v>1126.9000244140625</v>
      </c>
      <c r="C1939" s="40">
        <v>1027.645751953125</v>
      </c>
      <c r="D1939" s="38">
        <v>2255915</v>
      </c>
      <c r="E1939" s="38" t="s">
        <v>2418</v>
      </c>
      <c r="F1939" s="38" t="s">
        <v>618</v>
      </c>
    </row>
    <row r="1940" spans="1:6">
      <c r="A1940" s="38" t="s">
        <v>2560</v>
      </c>
      <c r="B1940" s="40">
        <v>1133.1500244140625</v>
      </c>
      <c r="C1940" s="40">
        <v>1033.3453369140625</v>
      </c>
      <c r="D1940" s="38">
        <v>1194765</v>
      </c>
      <c r="E1940" s="38" t="s">
        <v>2418</v>
      </c>
      <c r="F1940" s="38" t="s">
        <v>618</v>
      </c>
    </row>
    <row r="1941" spans="1:6">
      <c r="A1941" s="38" t="s">
        <v>2561</v>
      </c>
      <c r="B1941" s="40">
        <v>1125.0999755859375</v>
      </c>
      <c r="C1941" s="40">
        <v>1026.004150390625</v>
      </c>
      <c r="D1941" s="38">
        <v>1288497</v>
      </c>
      <c r="E1941" s="38" t="s">
        <v>2418</v>
      </c>
      <c r="F1941" s="38" t="s">
        <v>618</v>
      </c>
    </row>
    <row r="1942" spans="1:6">
      <c r="A1942" s="38" t="s">
        <v>2562</v>
      </c>
      <c r="B1942" s="40">
        <v>1115.5</v>
      </c>
      <c r="C1942" s="40">
        <v>1028.2164306640625</v>
      </c>
      <c r="D1942" s="38">
        <v>2493118</v>
      </c>
      <c r="E1942" s="38" t="s">
        <v>2418</v>
      </c>
      <c r="F1942" s="38" t="s">
        <v>618</v>
      </c>
    </row>
    <row r="1943" spans="1:6">
      <c r="A1943" s="38" t="s">
        <v>2563</v>
      </c>
      <c r="B1943" s="40">
        <v>1133.0999755859375</v>
      </c>
      <c r="C1943" s="40">
        <v>1044.439208984375</v>
      </c>
      <c r="D1943" s="38">
        <v>1108121</v>
      </c>
      <c r="E1943" s="38" t="s">
        <v>2418</v>
      </c>
      <c r="F1943" s="38" t="s">
        <v>618</v>
      </c>
    </row>
    <row r="1944" spans="1:6">
      <c r="A1944" s="38" t="s">
        <v>2564</v>
      </c>
      <c r="B1944" s="40">
        <v>1142.1500244140625</v>
      </c>
      <c r="C1944" s="40">
        <v>1052.78125</v>
      </c>
      <c r="D1944" s="38">
        <v>572330</v>
      </c>
      <c r="E1944" s="38" t="s">
        <v>2418</v>
      </c>
      <c r="F1944" s="38" t="s">
        <v>618</v>
      </c>
    </row>
    <row r="1945" spans="1:6">
      <c r="A1945" s="38" t="s">
        <v>2565</v>
      </c>
      <c r="B1945" s="40">
        <v>1149</v>
      </c>
      <c r="C1945" s="40">
        <v>1059.09521484375</v>
      </c>
      <c r="D1945" s="38">
        <v>902481</v>
      </c>
      <c r="E1945" s="38" t="s">
        <v>2418</v>
      </c>
      <c r="F1945" s="38" t="s">
        <v>618</v>
      </c>
    </row>
    <row r="1946" spans="1:6">
      <c r="A1946" s="38" t="s">
        <v>2566</v>
      </c>
      <c r="B1946" s="40">
        <v>1139.1500244140625</v>
      </c>
      <c r="C1946" s="40">
        <v>1050.015869140625</v>
      </c>
      <c r="D1946" s="38">
        <v>806162</v>
      </c>
      <c r="E1946" s="38" t="s">
        <v>2418</v>
      </c>
      <c r="F1946" s="38" t="s">
        <v>618</v>
      </c>
    </row>
    <row r="1947" spans="1:6">
      <c r="A1947" s="38" t="s">
        <v>2567</v>
      </c>
      <c r="B1947" s="40">
        <v>1123.949951171875</v>
      </c>
      <c r="C1947" s="40">
        <v>1036.0052490234375</v>
      </c>
      <c r="D1947" s="38">
        <v>6042108</v>
      </c>
      <c r="E1947" s="38" t="s">
        <v>2418</v>
      </c>
      <c r="F1947" s="38" t="s">
        <v>618</v>
      </c>
    </row>
    <row r="1948" spans="1:6">
      <c r="A1948" s="38" t="s">
        <v>2568</v>
      </c>
      <c r="B1948" s="40">
        <v>1138.1500244140625</v>
      </c>
      <c r="C1948" s="40">
        <v>1049.0941162109375</v>
      </c>
      <c r="D1948" s="38">
        <v>706806</v>
      </c>
      <c r="E1948" s="38" t="s">
        <v>2418</v>
      </c>
      <c r="F1948" s="38" t="s">
        <v>618</v>
      </c>
    </row>
    <row r="1949" spans="1:6">
      <c r="A1949" s="38" t="s">
        <v>2569</v>
      </c>
      <c r="B1949" s="40">
        <v>1131.3499755859375</v>
      </c>
      <c r="C1949" s="40">
        <v>1042.826171875</v>
      </c>
      <c r="D1949" s="38">
        <v>435537</v>
      </c>
      <c r="E1949" s="38" t="s">
        <v>2418</v>
      </c>
      <c r="F1949" s="38" t="s">
        <v>618</v>
      </c>
    </row>
    <row r="1950" spans="1:6">
      <c r="A1950" s="38" t="s">
        <v>2570</v>
      </c>
      <c r="B1950" s="40">
        <v>1173.75</v>
      </c>
      <c r="C1950" s="40">
        <v>1081.90869140625</v>
      </c>
      <c r="D1950" s="38">
        <v>2816201</v>
      </c>
      <c r="E1950" s="38" t="s">
        <v>2418</v>
      </c>
      <c r="F1950" s="38" t="s">
        <v>618</v>
      </c>
    </row>
    <row r="1951" spans="1:6">
      <c r="A1951" s="38" t="s">
        <v>2571</v>
      </c>
      <c r="B1951" s="40">
        <v>1207.199951171875</v>
      </c>
      <c r="C1951" s="40">
        <v>1112.7412109375</v>
      </c>
      <c r="D1951" s="38">
        <v>2294942</v>
      </c>
      <c r="E1951" s="38" t="s">
        <v>2418</v>
      </c>
      <c r="F1951" s="38" t="s">
        <v>618</v>
      </c>
    </row>
    <row r="1952" spans="1:6">
      <c r="A1952" s="38" t="s">
        <v>2572</v>
      </c>
      <c r="B1952" s="40">
        <v>1202.75</v>
      </c>
      <c r="C1952" s="40">
        <v>1108.639404296875</v>
      </c>
      <c r="D1952" s="38">
        <v>1176628</v>
      </c>
      <c r="E1952" s="38" t="s">
        <v>2418</v>
      </c>
      <c r="F1952" s="38" t="s">
        <v>618</v>
      </c>
    </row>
    <row r="1953" spans="1:6">
      <c r="A1953" s="38" t="s">
        <v>2573</v>
      </c>
      <c r="B1953" s="40">
        <v>1211.800048828125</v>
      </c>
      <c r="C1953" s="40">
        <v>1116.9814453125</v>
      </c>
      <c r="D1953" s="38">
        <v>1077366</v>
      </c>
      <c r="E1953" s="38" t="s">
        <v>2418</v>
      </c>
      <c r="F1953" s="38" t="s">
        <v>618</v>
      </c>
    </row>
    <row r="1954" spans="1:6">
      <c r="A1954" s="38" t="s">
        <v>2574</v>
      </c>
      <c r="B1954" s="40">
        <v>1204.5</v>
      </c>
      <c r="C1954" s="40">
        <v>1110.2525634765625</v>
      </c>
      <c r="D1954" s="38">
        <v>1129326</v>
      </c>
      <c r="E1954" s="38" t="s">
        <v>2418</v>
      </c>
      <c r="F1954" s="38" t="s">
        <v>618</v>
      </c>
    </row>
    <row r="1955" spans="1:6">
      <c r="A1955" s="38" t="s">
        <v>2575</v>
      </c>
      <c r="B1955" s="40">
        <v>1215.4000244140625</v>
      </c>
      <c r="C1955" s="40">
        <v>1120.2998046875</v>
      </c>
      <c r="D1955" s="38">
        <v>750622</v>
      </c>
      <c r="E1955" s="38" t="s">
        <v>2418</v>
      </c>
      <c r="F1955" s="38" t="s">
        <v>618</v>
      </c>
    </row>
    <row r="1956" spans="1:6">
      <c r="A1956" s="38" t="s">
        <v>2576</v>
      </c>
      <c r="B1956" s="40">
        <v>1210.9000244140625</v>
      </c>
      <c r="C1956" s="40">
        <v>1116.15185546875</v>
      </c>
      <c r="D1956" s="38">
        <v>651637</v>
      </c>
      <c r="E1956" s="38" t="s">
        <v>2418</v>
      </c>
      <c r="F1956" s="38" t="s">
        <v>618</v>
      </c>
    </row>
    <row r="1957" spans="1:6">
      <c r="A1957" s="38" t="s">
        <v>2577</v>
      </c>
      <c r="B1957" s="40">
        <v>1197.8499755859375</v>
      </c>
      <c r="C1957" s="40">
        <v>1104.1229248046875</v>
      </c>
      <c r="D1957" s="38">
        <v>884921</v>
      </c>
      <c r="E1957" s="38" t="s">
        <v>2418</v>
      </c>
      <c r="F1957" s="38" t="s">
        <v>618</v>
      </c>
    </row>
    <row r="1958" spans="1:6">
      <c r="A1958" s="38" t="s">
        <v>2578</v>
      </c>
      <c r="B1958" s="40">
        <v>1202.4000244140625</v>
      </c>
      <c r="C1958" s="40">
        <v>1108.31689453125</v>
      </c>
      <c r="D1958" s="38">
        <v>910795</v>
      </c>
      <c r="E1958" s="38" t="s">
        <v>2418</v>
      </c>
      <c r="F1958" s="38" t="s">
        <v>618</v>
      </c>
    </row>
    <row r="1959" spans="1:6">
      <c r="A1959" s="38" t="s">
        <v>2579</v>
      </c>
      <c r="B1959" s="40">
        <v>1221.699951171875</v>
      </c>
      <c r="C1959" s="40">
        <v>1126.10693359375</v>
      </c>
      <c r="D1959" s="38">
        <v>1898448</v>
      </c>
      <c r="E1959" s="38" t="s">
        <v>2418</v>
      </c>
      <c r="F1959" s="38" t="s">
        <v>618</v>
      </c>
    </row>
    <row r="1960" spans="1:6">
      <c r="A1960" s="38" t="s">
        <v>2580</v>
      </c>
      <c r="B1960" s="40">
        <v>1220.949951171875</v>
      </c>
      <c r="C1960" s="40">
        <v>1125.4154052734375</v>
      </c>
      <c r="D1960" s="38">
        <v>2978406</v>
      </c>
      <c r="E1960" s="38" t="s">
        <v>2418</v>
      </c>
      <c r="F1960" s="38" t="s">
        <v>618</v>
      </c>
    </row>
    <row r="1961" spans="1:6">
      <c r="A1961" s="38" t="s">
        <v>2581</v>
      </c>
      <c r="B1961" s="40">
        <v>1220.550048828125</v>
      </c>
      <c r="C1961" s="40">
        <v>1125.0467529296875</v>
      </c>
      <c r="D1961" s="38">
        <v>1017856</v>
      </c>
      <c r="E1961" s="38" t="s">
        <v>2418</v>
      </c>
      <c r="F1961" s="38" t="s">
        <v>618</v>
      </c>
    </row>
    <row r="1962" spans="1:6">
      <c r="A1962" s="38" t="s">
        <v>2582</v>
      </c>
      <c r="B1962" s="40">
        <v>1223.9000244140625</v>
      </c>
      <c r="C1962" s="40">
        <v>1128.1346435546875</v>
      </c>
      <c r="D1962" s="38">
        <v>1581599</v>
      </c>
      <c r="E1962" s="38" t="s">
        <v>2418</v>
      </c>
      <c r="F1962" s="38" t="s">
        <v>618</v>
      </c>
    </row>
    <row r="1963" spans="1:6">
      <c r="A1963" s="38" t="s">
        <v>2583</v>
      </c>
      <c r="B1963" s="40">
        <v>1220.5999755859375</v>
      </c>
      <c r="C1963" s="40">
        <v>1125.0927734375</v>
      </c>
      <c r="D1963" s="38">
        <v>1499843</v>
      </c>
      <c r="E1963" s="38" t="s">
        <v>2418</v>
      </c>
      <c r="F1963" s="38" t="s">
        <v>618</v>
      </c>
    </row>
    <row r="1964" spans="1:6">
      <c r="A1964" s="38" t="s">
        <v>2584</v>
      </c>
      <c r="B1964" s="40">
        <v>1225.199951171875</v>
      </c>
      <c r="C1964" s="40">
        <v>1129.332763671875</v>
      </c>
      <c r="D1964" s="38">
        <v>2637916</v>
      </c>
      <c r="E1964" s="38" t="s">
        <v>2418</v>
      </c>
      <c r="F1964" s="38" t="s">
        <v>618</v>
      </c>
    </row>
    <row r="1965" spans="1:6">
      <c r="A1965" s="38" t="s">
        <v>2585</v>
      </c>
      <c r="B1965" s="40">
        <v>1223.25</v>
      </c>
      <c r="C1965" s="40">
        <v>1127.5355224609375</v>
      </c>
      <c r="D1965" s="38">
        <v>1076885</v>
      </c>
      <c r="E1965" s="38" t="s">
        <v>2418</v>
      </c>
      <c r="F1965" s="38" t="s">
        <v>618</v>
      </c>
    </row>
    <row r="1966" spans="1:6">
      <c r="A1966" s="38" t="s">
        <v>2586</v>
      </c>
      <c r="B1966" s="40">
        <v>1225.300048828125</v>
      </c>
      <c r="C1966" s="40">
        <v>1129.4249267578125</v>
      </c>
      <c r="D1966" s="38">
        <v>2642571</v>
      </c>
      <c r="E1966" s="38" t="s">
        <v>2418</v>
      </c>
      <c r="F1966" s="38" t="s">
        <v>618</v>
      </c>
    </row>
    <row r="1967" spans="1:6">
      <c r="A1967" s="38" t="s">
        <v>2587</v>
      </c>
      <c r="B1967" s="40">
        <v>1233.300048828125</v>
      </c>
      <c r="C1967" s="40">
        <v>1136.7991943359375</v>
      </c>
      <c r="D1967" s="38">
        <v>1558876</v>
      </c>
      <c r="E1967" s="38" t="s">
        <v>2418</v>
      </c>
      <c r="F1967" s="38" t="s">
        <v>618</v>
      </c>
    </row>
    <row r="1968" spans="1:6">
      <c r="A1968" s="38" t="s">
        <v>2588</v>
      </c>
      <c r="B1968" s="40">
        <v>1226.1500244140625</v>
      </c>
      <c r="C1968" s="40">
        <v>1130.2086181640625</v>
      </c>
      <c r="D1968" s="38">
        <v>1114846</v>
      </c>
      <c r="E1968" s="38" t="s">
        <v>2418</v>
      </c>
      <c r="F1968" s="38" t="s">
        <v>618</v>
      </c>
    </row>
    <row r="1969" spans="1:6">
      <c r="A1969" s="38" t="s">
        <v>2589</v>
      </c>
      <c r="B1969" s="40">
        <v>1216.0999755859375</v>
      </c>
      <c r="C1969" s="40">
        <v>1120.94482421875</v>
      </c>
      <c r="D1969" s="38">
        <v>3025706</v>
      </c>
      <c r="E1969" s="38" t="s">
        <v>2418</v>
      </c>
      <c r="F1969" s="38" t="s">
        <v>618</v>
      </c>
    </row>
    <row r="1970" spans="1:6">
      <c r="A1970" s="38" t="s">
        <v>2590</v>
      </c>
      <c r="B1970" s="40">
        <v>1264.699951171875</v>
      </c>
      <c r="C1970" s="40">
        <v>1165.7421875</v>
      </c>
      <c r="D1970" s="38">
        <v>5287733</v>
      </c>
      <c r="E1970" s="38" t="s">
        <v>2418</v>
      </c>
      <c r="F1970" s="38" t="s">
        <v>618</v>
      </c>
    </row>
    <row r="1971" spans="1:6">
      <c r="A1971" s="38" t="s">
        <v>2591</v>
      </c>
      <c r="B1971" s="40">
        <v>1306.0999755859375</v>
      </c>
      <c r="C1971" s="40">
        <v>1203.90283203125</v>
      </c>
      <c r="D1971" s="38">
        <v>5900381</v>
      </c>
      <c r="E1971" s="38" t="s">
        <v>2418</v>
      </c>
      <c r="F1971" s="38" t="s">
        <v>618</v>
      </c>
    </row>
    <row r="1972" spans="1:6">
      <c r="A1972" s="38" t="s">
        <v>2592</v>
      </c>
      <c r="B1972" s="40">
        <v>1291.75</v>
      </c>
      <c r="C1972" s="40">
        <v>1190.6756591796875</v>
      </c>
      <c r="D1972" s="38">
        <v>2671348</v>
      </c>
      <c r="E1972" s="38" t="s">
        <v>2418</v>
      </c>
      <c r="F1972" s="38" t="s">
        <v>618</v>
      </c>
    </row>
    <row r="1973" spans="1:6">
      <c r="A1973" s="38" t="s">
        <v>2593</v>
      </c>
      <c r="B1973" s="40">
        <v>1281.449951171875</v>
      </c>
      <c r="C1973" s="40">
        <v>1181.181640625</v>
      </c>
      <c r="D1973" s="38">
        <v>1717860</v>
      </c>
      <c r="E1973" s="38" t="s">
        <v>2418</v>
      </c>
      <c r="F1973" s="38" t="s">
        <v>618</v>
      </c>
    </row>
    <row r="1974" spans="1:6">
      <c r="A1974" s="38" t="s">
        <v>2594</v>
      </c>
      <c r="B1974" s="40">
        <v>1248.5999755859375</v>
      </c>
      <c r="C1974" s="40">
        <v>1150.9019775390625</v>
      </c>
      <c r="D1974" s="38">
        <v>2860865</v>
      </c>
      <c r="E1974" s="38" t="s">
        <v>2418</v>
      </c>
      <c r="F1974" s="38" t="s">
        <v>618</v>
      </c>
    </row>
    <row r="1975" spans="1:6">
      <c r="A1975" s="38" t="s">
        <v>2595</v>
      </c>
      <c r="B1975" s="40">
        <v>1250.0999755859375</v>
      </c>
      <c r="C1975" s="40">
        <v>1152.2845458984375</v>
      </c>
      <c r="D1975" s="38">
        <v>3337533</v>
      </c>
      <c r="E1975" s="38" t="s">
        <v>2418</v>
      </c>
      <c r="F1975" s="38" t="s">
        <v>618</v>
      </c>
    </row>
    <row r="1976" spans="1:6">
      <c r="A1976" s="38" t="s">
        <v>2596</v>
      </c>
      <c r="B1976" s="40">
        <v>1275.1500244140625</v>
      </c>
      <c r="C1976" s="40">
        <v>1175.37451171875</v>
      </c>
      <c r="D1976" s="38">
        <v>2297352</v>
      </c>
      <c r="E1976" s="38" t="s">
        <v>2418</v>
      </c>
      <c r="F1976" s="38" t="s">
        <v>618</v>
      </c>
    </row>
    <row r="1977" spans="1:6">
      <c r="A1977" s="38" t="s">
        <v>2597</v>
      </c>
      <c r="B1977" s="40">
        <v>1282</v>
      </c>
      <c r="C1977" s="40">
        <v>1181.6885986328125</v>
      </c>
      <c r="D1977" s="38">
        <v>1720830</v>
      </c>
      <c r="E1977" s="38" t="s">
        <v>2418</v>
      </c>
      <c r="F1977" s="38" t="s">
        <v>618</v>
      </c>
    </row>
    <row r="1978" spans="1:6">
      <c r="A1978" s="38" t="s">
        <v>2598</v>
      </c>
      <c r="B1978" s="40">
        <v>1280.1500244140625</v>
      </c>
      <c r="C1978" s="40">
        <v>1179.9832763671875</v>
      </c>
      <c r="D1978" s="38">
        <v>1584695</v>
      </c>
      <c r="E1978" s="38" t="s">
        <v>2418</v>
      </c>
      <c r="F1978" s="38" t="s">
        <v>618</v>
      </c>
    </row>
    <row r="1979" spans="1:6">
      <c r="A1979" s="38" t="s">
        <v>2599</v>
      </c>
      <c r="B1979" s="40">
        <v>1285.949951171875</v>
      </c>
      <c r="C1979" s="40">
        <v>1185.3294677734375</v>
      </c>
      <c r="D1979" s="38">
        <v>2284964</v>
      </c>
      <c r="E1979" s="38" t="s">
        <v>2418</v>
      </c>
      <c r="F1979" s="38" t="s">
        <v>618</v>
      </c>
    </row>
    <row r="1980" spans="1:6">
      <c r="A1980" s="38" t="s">
        <v>2600</v>
      </c>
      <c r="B1980" s="40">
        <v>1272.6500244140625</v>
      </c>
      <c r="C1980" s="40">
        <v>1173.070068359375</v>
      </c>
      <c r="D1980" s="38">
        <v>1187193</v>
      </c>
      <c r="E1980" s="38" t="s">
        <v>2418</v>
      </c>
      <c r="F1980" s="38" t="s">
        <v>618</v>
      </c>
    </row>
    <row r="1981" spans="1:6">
      <c r="A1981" s="38" t="s">
        <v>2601</v>
      </c>
      <c r="B1981" s="40">
        <v>1297.1500244140625</v>
      </c>
      <c r="C1981" s="40">
        <v>1195.653076171875</v>
      </c>
      <c r="D1981" s="38">
        <v>1776828</v>
      </c>
      <c r="E1981" s="38" t="s">
        <v>2418</v>
      </c>
      <c r="F1981" s="38" t="s">
        <v>618</v>
      </c>
    </row>
    <row r="1982" spans="1:6">
      <c r="A1982" s="38" t="s">
        <v>2602</v>
      </c>
      <c r="B1982" s="40">
        <v>1278.0999755859375</v>
      </c>
      <c r="C1982" s="40">
        <v>1178.0936279296875</v>
      </c>
      <c r="D1982" s="38">
        <v>1615064</v>
      </c>
      <c r="E1982" s="38" t="s">
        <v>2418</v>
      </c>
      <c r="F1982" s="38" t="s">
        <v>618</v>
      </c>
    </row>
    <row r="1983" spans="1:6">
      <c r="A1983" s="38" t="s">
        <v>2603</v>
      </c>
      <c r="B1983" s="40">
        <v>1244.199951171875</v>
      </c>
      <c r="C1983" s="40">
        <v>1146.84619140625</v>
      </c>
      <c r="D1983" s="38">
        <v>2231707</v>
      </c>
      <c r="E1983" s="38" t="s">
        <v>2418</v>
      </c>
      <c r="F1983" s="38" t="s">
        <v>618</v>
      </c>
    </row>
    <row r="1984" spans="1:6">
      <c r="A1984" s="38" t="s">
        <v>2604</v>
      </c>
      <c r="B1984" s="40">
        <v>1247.5</v>
      </c>
      <c r="C1984" s="40">
        <v>1149.8880615234375</v>
      </c>
      <c r="D1984" s="38">
        <v>3355191</v>
      </c>
      <c r="E1984" s="38" t="s">
        <v>2418</v>
      </c>
      <c r="F1984" s="38" t="s">
        <v>618</v>
      </c>
    </row>
    <row r="1985" spans="1:6">
      <c r="A1985" s="38" t="s">
        <v>2605</v>
      </c>
      <c r="B1985" s="40">
        <v>1248.300048828125</v>
      </c>
      <c r="C1985" s="40">
        <v>1150.62548828125</v>
      </c>
      <c r="D1985" s="38">
        <v>1756868</v>
      </c>
      <c r="E1985" s="38" t="s">
        <v>2418</v>
      </c>
      <c r="F1985" s="38" t="s">
        <v>618</v>
      </c>
    </row>
    <row r="1986" spans="1:6">
      <c r="A1986" s="38" t="s">
        <v>2606</v>
      </c>
      <c r="B1986" s="40">
        <v>1228.949951171875</v>
      </c>
      <c r="C1986" s="40">
        <v>1132.7894287109375</v>
      </c>
      <c r="D1986" s="38">
        <v>1320667</v>
      </c>
      <c r="E1986" s="38" t="s">
        <v>2418</v>
      </c>
      <c r="F1986" s="38" t="s">
        <v>618</v>
      </c>
    </row>
    <row r="1987" spans="1:6">
      <c r="A1987" s="38" t="s">
        <v>2607</v>
      </c>
      <c r="B1987" s="40">
        <v>1235.6500244140625</v>
      </c>
      <c r="C1987" s="40">
        <v>1138.9652099609375</v>
      </c>
      <c r="D1987" s="38">
        <v>994439</v>
      </c>
      <c r="E1987" s="38" t="s">
        <v>2418</v>
      </c>
      <c r="F1987" s="38" t="s">
        <v>618</v>
      </c>
    </row>
    <row r="1988" spans="1:6">
      <c r="A1988" s="38" t="s">
        <v>2608</v>
      </c>
      <c r="B1988" s="40">
        <v>1240.9000244140625</v>
      </c>
      <c r="C1988" s="40">
        <v>1143.804443359375</v>
      </c>
      <c r="D1988" s="38">
        <v>808638</v>
      </c>
      <c r="E1988" s="38" t="s">
        <v>2418</v>
      </c>
      <c r="F1988" s="38" t="s">
        <v>618</v>
      </c>
    </row>
    <row r="1989" spans="1:6">
      <c r="A1989" s="38" t="s">
        <v>2609</v>
      </c>
      <c r="B1989" s="40">
        <v>1249.4000244140625</v>
      </c>
      <c r="C1989" s="40">
        <v>1151.6392822265625</v>
      </c>
      <c r="D1989" s="38">
        <v>930492</v>
      </c>
      <c r="E1989" s="38" t="s">
        <v>2418</v>
      </c>
      <c r="F1989" s="38" t="s">
        <v>618</v>
      </c>
    </row>
    <row r="1990" spans="1:6">
      <c r="A1990" s="38" t="s">
        <v>2610</v>
      </c>
      <c r="B1990" s="40">
        <v>1308.050048828125</v>
      </c>
      <c r="C1990" s="40">
        <v>1205.7001953125</v>
      </c>
      <c r="D1990" s="38">
        <v>5023455</v>
      </c>
      <c r="E1990" s="38" t="s">
        <v>2418</v>
      </c>
      <c r="F1990" s="38" t="s">
        <v>618</v>
      </c>
    </row>
    <row r="1991" spans="1:6">
      <c r="A1991" s="38" t="s">
        <v>2611</v>
      </c>
      <c r="B1991" s="40">
        <v>1337.6500244140625</v>
      </c>
      <c r="C1991" s="40">
        <v>1232.984130859375</v>
      </c>
      <c r="D1991" s="38">
        <v>6012767</v>
      </c>
      <c r="E1991" s="38" t="s">
        <v>2418</v>
      </c>
      <c r="F1991" s="38" t="s">
        <v>618</v>
      </c>
    </row>
    <row r="1992" spans="1:6">
      <c r="A1992" s="38" t="s">
        <v>2612</v>
      </c>
      <c r="B1992" s="40">
        <v>1320.4000244140625</v>
      </c>
      <c r="C1992" s="40">
        <v>1217.0838623046875</v>
      </c>
      <c r="D1992" s="38">
        <v>1883106</v>
      </c>
      <c r="E1992" s="38" t="s">
        <v>2418</v>
      </c>
      <c r="F1992" s="38" t="s">
        <v>618</v>
      </c>
    </row>
    <row r="1993" spans="1:6">
      <c r="A1993" s="38" t="s">
        <v>2613</v>
      </c>
      <c r="B1993" s="40">
        <v>1326.75</v>
      </c>
      <c r="C1993" s="40">
        <v>1222.93701171875</v>
      </c>
      <c r="D1993" s="38">
        <v>2313059</v>
      </c>
      <c r="E1993" s="38" t="s">
        <v>2418</v>
      </c>
      <c r="F1993" s="38" t="s">
        <v>618</v>
      </c>
    </row>
    <row r="1994" spans="1:6">
      <c r="A1994" s="38" t="s">
        <v>2614</v>
      </c>
      <c r="B1994" s="40">
        <v>1355.1500244140625</v>
      </c>
      <c r="C1994" s="40">
        <v>1249.1148681640625</v>
      </c>
      <c r="D1994" s="38">
        <v>4533782</v>
      </c>
      <c r="E1994" s="38" t="s">
        <v>2418</v>
      </c>
      <c r="F1994" s="38" t="s">
        <v>618</v>
      </c>
    </row>
    <row r="1995" spans="1:6">
      <c r="A1995" s="38" t="s">
        <v>2615</v>
      </c>
      <c r="B1995" s="40">
        <v>1389.9000244140625</v>
      </c>
      <c r="C1995" s="40">
        <v>1281.145751953125</v>
      </c>
      <c r="D1995" s="38">
        <v>4463826</v>
      </c>
      <c r="E1995" s="38" t="s">
        <v>2418</v>
      </c>
      <c r="F1995" s="38" t="s">
        <v>618</v>
      </c>
    </row>
    <row r="1996" spans="1:6">
      <c r="A1996" s="38" t="s">
        <v>2616</v>
      </c>
      <c r="B1996" s="40">
        <v>1366.6500244140625</v>
      </c>
      <c r="C1996" s="40">
        <v>1259.7149658203125</v>
      </c>
      <c r="D1996" s="38">
        <v>2683661</v>
      </c>
      <c r="E1996" s="38" t="s">
        <v>2418</v>
      </c>
      <c r="F1996" s="38" t="s">
        <v>618</v>
      </c>
    </row>
    <row r="1997" spans="1:6">
      <c r="A1997" s="38" t="s">
        <v>2617</v>
      </c>
      <c r="B1997" s="40">
        <v>1407.949951171875</v>
      </c>
      <c r="C1997" s="40">
        <v>1297.7833251953125</v>
      </c>
      <c r="D1997" s="38">
        <v>2008135</v>
      </c>
      <c r="E1997" s="38" t="s">
        <v>2418</v>
      </c>
      <c r="F1997" s="38" t="s">
        <v>618</v>
      </c>
    </row>
    <row r="1998" spans="1:6">
      <c r="A1998" s="38" t="s">
        <v>2618</v>
      </c>
      <c r="B1998" s="40">
        <v>1322.050048828125</v>
      </c>
      <c r="C1998" s="40">
        <v>1218.604736328125</v>
      </c>
      <c r="D1998" s="38">
        <v>8424862</v>
      </c>
      <c r="E1998" s="38" t="s">
        <v>2418</v>
      </c>
      <c r="F1998" s="38" t="s">
        <v>618</v>
      </c>
    </row>
    <row r="1999" spans="1:6">
      <c r="A1999" s="38" t="s">
        <v>2619</v>
      </c>
      <c r="B1999" s="40">
        <v>1314.3499755859375</v>
      </c>
      <c r="C1999" s="40">
        <v>1211.50732421875</v>
      </c>
      <c r="D1999" s="38">
        <v>2495791</v>
      </c>
      <c r="E1999" s="38" t="s">
        <v>2418</v>
      </c>
      <c r="F1999" s="38" t="s">
        <v>618</v>
      </c>
    </row>
    <row r="2000" spans="1:6">
      <c r="A2000" s="38" t="s">
        <v>2620</v>
      </c>
      <c r="B2000" s="40">
        <v>1317.8499755859375</v>
      </c>
      <c r="C2000" s="40">
        <v>1214.7332763671875</v>
      </c>
      <c r="D2000" s="38">
        <v>2293154</v>
      </c>
      <c r="E2000" s="38" t="s">
        <v>2418</v>
      </c>
      <c r="F2000" s="38" t="s">
        <v>618</v>
      </c>
    </row>
    <row r="2001" spans="1:6">
      <c r="A2001" s="38" t="s">
        <v>2621</v>
      </c>
      <c r="B2001" s="40">
        <v>1333.6500244140625</v>
      </c>
      <c r="C2001" s="40">
        <v>1229.2972412109375</v>
      </c>
      <c r="D2001" s="38">
        <v>1798462</v>
      </c>
      <c r="E2001" s="38" t="s">
        <v>2418</v>
      </c>
      <c r="F2001" s="38" t="s">
        <v>618</v>
      </c>
    </row>
    <row r="2002" spans="1:6">
      <c r="A2002" s="38" t="s">
        <v>2622</v>
      </c>
      <c r="B2002" s="40">
        <v>1312.5</v>
      </c>
      <c r="C2002" s="40">
        <v>1209.802001953125</v>
      </c>
      <c r="D2002" s="38">
        <v>2286420</v>
      </c>
      <c r="E2002" s="38" t="s">
        <v>2418</v>
      </c>
      <c r="F2002" s="38" t="s">
        <v>618</v>
      </c>
    </row>
    <row r="2003" spans="1:6">
      <c r="A2003" s="38" t="s">
        <v>2623</v>
      </c>
      <c r="B2003" s="40">
        <v>1338.0999755859375</v>
      </c>
      <c r="C2003" s="40">
        <v>1233.3988037109375</v>
      </c>
      <c r="D2003" s="38">
        <v>1838847</v>
      </c>
      <c r="E2003" s="38" t="s">
        <v>2418</v>
      </c>
      <c r="F2003" s="38" t="s">
        <v>618</v>
      </c>
    </row>
    <row r="2004" spans="1:6">
      <c r="A2004" s="38" t="s">
        <v>2624</v>
      </c>
      <c r="B2004" s="40">
        <v>1332.75</v>
      </c>
      <c r="C2004" s="40">
        <v>1228.467529296875</v>
      </c>
      <c r="D2004" s="38">
        <v>953919</v>
      </c>
      <c r="E2004" s="38" t="s">
        <v>2418</v>
      </c>
      <c r="F2004" s="38" t="s">
        <v>618</v>
      </c>
    </row>
    <row r="2005" spans="1:6">
      <c r="A2005" s="38" t="s">
        <v>2625</v>
      </c>
      <c r="B2005" s="40">
        <v>1351.050048828125</v>
      </c>
      <c r="C2005" s="40">
        <v>1245.335693359375</v>
      </c>
      <c r="D2005" s="38">
        <v>2713529</v>
      </c>
      <c r="E2005" s="38" t="s">
        <v>2418</v>
      </c>
      <c r="F2005" s="38" t="s">
        <v>618</v>
      </c>
    </row>
    <row r="2006" spans="1:6">
      <c r="A2006" s="38" t="s">
        <v>2626</v>
      </c>
      <c r="B2006" s="40">
        <v>1318</v>
      </c>
      <c r="C2006" s="40">
        <v>1214.8717041015625</v>
      </c>
      <c r="D2006" s="38">
        <v>2004588</v>
      </c>
      <c r="E2006" s="38" t="s">
        <v>2418</v>
      </c>
      <c r="F2006" s="38" t="s">
        <v>618</v>
      </c>
    </row>
    <row r="2007" spans="1:6">
      <c r="A2007" s="38" t="s">
        <v>2627</v>
      </c>
      <c r="B2007" s="40">
        <v>1309.25</v>
      </c>
      <c r="C2007" s="40">
        <v>1206.8062744140625</v>
      </c>
      <c r="D2007" s="38">
        <v>2308756</v>
      </c>
      <c r="E2007" s="38" t="s">
        <v>2418</v>
      </c>
      <c r="F2007" s="38" t="s">
        <v>618</v>
      </c>
    </row>
    <row r="2008" spans="1:6">
      <c r="A2008" s="38" t="s">
        <v>2628</v>
      </c>
      <c r="B2008" s="40">
        <v>1311.050048828125</v>
      </c>
      <c r="C2008" s="40">
        <v>1208.465576171875</v>
      </c>
      <c r="D2008" s="38">
        <v>1085349</v>
      </c>
      <c r="E2008" s="38" t="s">
        <v>2418</v>
      </c>
      <c r="F2008" s="38" t="s">
        <v>618</v>
      </c>
    </row>
    <row r="2009" spans="1:6">
      <c r="A2009" s="38" t="s">
        <v>2629</v>
      </c>
      <c r="B2009" s="40">
        <v>1318.800048828125</v>
      </c>
      <c r="C2009" s="40">
        <v>1215.6090087890625</v>
      </c>
      <c r="D2009" s="38">
        <v>1149683</v>
      </c>
      <c r="E2009" s="38" t="s">
        <v>2418</v>
      </c>
      <c r="F2009" s="38" t="s">
        <v>618</v>
      </c>
    </row>
    <row r="2010" spans="1:6">
      <c r="A2010" s="38" t="s">
        <v>2630</v>
      </c>
      <c r="B2010" s="40">
        <v>1328.449951171875</v>
      </c>
      <c r="C2010" s="40">
        <v>1224.50390625</v>
      </c>
      <c r="D2010" s="38">
        <v>1127361</v>
      </c>
      <c r="E2010" s="38" t="s">
        <v>2418</v>
      </c>
      <c r="F2010" s="38" t="s">
        <v>618</v>
      </c>
    </row>
    <row r="2011" spans="1:6">
      <c r="A2011" s="38" t="s">
        <v>2631</v>
      </c>
      <c r="B2011" s="40">
        <v>1292.9000244140625</v>
      </c>
      <c r="C2011" s="40">
        <v>1191.735595703125</v>
      </c>
      <c r="D2011" s="38">
        <v>3426103</v>
      </c>
      <c r="E2011" s="38" t="s">
        <v>2418</v>
      </c>
      <c r="F2011" s="38" t="s">
        <v>618</v>
      </c>
    </row>
    <row r="2012" spans="1:6">
      <c r="A2012" s="38" t="s">
        <v>2632</v>
      </c>
      <c r="B2012" s="40">
        <v>1300.3499755859375</v>
      </c>
      <c r="C2012" s="40">
        <v>1198.6026611328125</v>
      </c>
      <c r="D2012" s="38">
        <v>1703763</v>
      </c>
      <c r="E2012" s="38" t="s">
        <v>2418</v>
      </c>
      <c r="F2012" s="38" t="s">
        <v>618</v>
      </c>
    </row>
    <row r="2013" spans="1:6">
      <c r="A2013" s="38" t="s">
        <v>2633</v>
      </c>
      <c r="B2013" s="40">
        <v>1302.550048828125</v>
      </c>
      <c r="C2013" s="40">
        <v>1200.630615234375</v>
      </c>
      <c r="D2013" s="38">
        <v>1994659</v>
      </c>
      <c r="E2013" s="38" t="s">
        <v>2418</v>
      </c>
      <c r="F2013" s="38" t="s">
        <v>618</v>
      </c>
    </row>
    <row r="2014" spans="1:6">
      <c r="A2014" s="38" t="s">
        <v>2634</v>
      </c>
      <c r="B2014" s="40">
        <v>1310</v>
      </c>
      <c r="C2014" s="40">
        <v>1207.4976806640625</v>
      </c>
      <c r="D2014" s="38">
        <v>1496111</v>
      </c>
      <c r="E2014" s="38" t="s">
        <v>2418</v>
      </c>
      <c r="F2014" s="38" t="s">
        <v>618</v>
      </c>
    </row>
    <row r="2015" spans="1:6">
      <c r="A2015" s="38" t="s">
        <v>2635</v>
      </c>
      <c r="B2015" s="40">
        <v>1320.550048828125</v>
      </c>
      <c r="C2015" s="40">
        <v>1217.2220458984375</v>
      </c>
      <c r="D2015" s="38">
        <v>2113200</v>
      </c>
      <c r="E2015" s="38" t="s">
        <v>2418</v>
      </c>
      <c r="F2015" s="38" t="s">
        <v>618</v>
      </c>
    </row>
    <row r="2016" spans="1:6">
      <c r="A2016" s="38" t="s">
        <v>2636</v>
      </c>
      <c r="B2016" s="40">
        <v>1296.5999755859375</v>
      </c>
      <c r="C2016" s="40">
        <v>1195.1461181640625</v>
      </c>
      <c r="D2016" s="38">
        <v>1769508</v>
      </c>
      <c r="E2016" s="38" t="s">
        <v>2418</v>
      </c>
      <c r="F2016" s="38" t="s">
        <v>618</v>
      </c>
    </row>
    <row r="2017" spans="1:6">
      <c r="A2017" s="38" t="s">
        <v>2637</v>
      </c>
      <c r="B2017" s="40">
        <v>1328.0999755859375</v>
      </c>
      <c r="C2017" s="40">
        <v>1224.1812744140625</v>
      </c>
      <c r="D2017" s="38">
        <v>2201424</v>
      </c>
      <c r="E2017" s="38" t="s">
        <v>2418</v>
      </c>
      <c r="F2017" s="38" t="s">
        <v>618</v>
      </c>
    </row>
    <row r="2018" spans="1:6">
      <c r="A2018" s="38" t="s">
        <v>2638</v>
      </c>
      <c r="B2018" s="40">
        <v>1322.25</v>
      </c>
      <c r="C2018" s="40">
        <v>1218.7890625</v>
      </c>
      <c r="D2018" s="38">
        <v>1660506</v>
      </c>
      <c r="E2018" s="38" t="s">
        <v>2418</v>
      </c>
      <c r="F2018" s="38" t="s">
        <v>618</v>
      </c>
    </row>
    <row r="2019" spans="1:6">
      <c r="A2019" s="38" t="s">
        <v>2639</v>
      </c>
      <c r="B2019" s="40">
        <v>1298.25</v>
      </c>
      <c r="C2019" s="40">
        <v>1196.6668701171875</v>
      </c>
      <c r="D2019" s="38">
        <v>1196507</v>
      </c>
      <c r="E2019" s="38" t="s">
        <v>2418</v>
      </c>
      <c r="F2019" s="38" t="s">
        <v>618</v>
      </c>
    </row>
    <row r="2020" spans="1:6">
      <c r="A2020" s="38" t="s">
        <v>2640</v>
      </c>
      <c r="B2020" s="40">
        <v>1296.050048828125</v>
      </c>
      <c r="C2020" s="40">
        <v>1194.6392822265625</v>
      </c>
      <c r="D2020" s="38">
        <v>1488661</v>
      </c>
      <c r="E2020" s="38" t="s">
        <v>2418</v>
      </c>
      <c r="F2020" s="38" t="s">
        <v>618</v>
      </c>
    </row>
    <row r="2021" spans="1:6">
      <c r="A2021" s="38" t="s">
        <v>2641</v>
      </c>
      <c r="B2021" s="40">
        <v>1285.8499755859375</v>
      </c>
      <c r="C2021" s="40">
        <v>1185.2373046875</v>
      </c>
      <c r="D2021" s="38">
        <v>1289779</v>
      </c>
      <c r="E2021" s="38" t="s">
        <v>2418</v>
      </c>
      <c r="F2021" s="38" t="s">
        <v>618</v>
      </c>
    </row>
    <row r="2022" spans="1:6">
      <c r="A2022" s="38" t="s">
        <v>2642</v>
      </c>
      <c r="B2022" s="40">
        <v>1273.8499755859375</v>
      </c>
      <c r="C2022" s="40">
        <v>1174.1761474609375</v>
      </c>
      <c r="D2022" s="38">
        <v>2251498</v>
      </c>
      <c r="E2022" s="38" t="s">
        <v>2418</v>
      </c>
      <c r="F2022" s="38" t="s">
        <v>618</v>
      </c>
    </row>
    <row r="2023" spans="1:6">
      <c r="A2023" s="38" t="s">
        <v>2643</v>
      </c>
      <c r="B2023" s="40">
        <v>1271.800048828125</v>
      </c>
      <c r="C2023" s="40">
        <v>1172.2867431640625</v>
      </c>
      <c r="D2023" s="38">
        <v>1560034</v>
      </c>
      <c r="E2023" s="38" t="s">
        <v>2418</v>
      </c>
      <c r="F2023" s="38" t="s">
        <v>618</v>
      </c>
    </row>
    <row r="2024" spans="1:6">
      <c r="A2024" s="38" t="s">
        <v>2644</v>
      </c>
      <c r="B2024" s="40">
        <v>1280.050048828125</v>
      </c>
      <c r="C2024" s="40">
        <v>1179.8912353515625</v>
      </c>
      <c r="D2024" s="38">
        <v>1843831</v>
      </c>
      <c r="E2024" s="38" t="s">
        <v>2418</v>
      </c>
      <c r="F2024" s="38" t="s">
        <v>618</v>
      </c>
    </row>
    <row r="2025" spans="1:6">
      <c r="A2025" s="38" t="s">
        <v>2645</v>
      </c>
      <c r="B2025" s="40">
        <v>1272.5</v>
      </c>
      <c r="C2025" s="40">
        <v>1172.9317626953125</v>
      </c>
      <c r="D2025" s="38">
        <v>1420379</v>
      </c>
      <c r="E2025" s="38" t="s">
        <v>2418</v>
      </c>
      <c r="F2025" s="38" t="s">
        <v>618</v>
      </c>
    </row>
    <row r="2026" spans="1:6">
      <c r="A2026" s="38" t="s">
        <v>2646</v>
      </c>
      <c r="B2026" s="40">
        <v>1271</v>
      </c>
      <c r="C2026" s="40">
        <v>1171.54931640625</v>
      </c>
      <c r="D2026" s="38">
        <v>2064350</v>
      </c>
      <c r="E2026" s="38" t="s">
        <v>2418</v>
      </c>
      <c r="F2026" s="38" t="s">
        <v>618</v>
      </c>
    </row>
    <row r="2027" spans="1:6">
      <c r="A2027" s="38" t="s">
        <v>2647</v>
      </c>
      <c r="B2027" s="40">
        <v>1288.1500244140625</v>
      </c>
      <c r="C2027" s="40">
        <v>1187.3572998046875</v>
      </c>
      <c r="D2027" s="38">
        <v>2073691</v>
      </c>
      <c r="E2027" s="38" t="s">
        <v>2418</v>
      </c>
      <c r="F2027" s="38" t="s">
        <v>618</v>
      </c>
    </row>
    <row r="2028" spans="1:6">
      <c r="A2028" s="38" t="s">
        <v>2648</v>
      </c>
      <c r="B2028" s="40">
        <v>1289</v>
      </c>
      <c r="C2028" s="40">
        <v>1188.1407470703125</v>
      </c>
      <c r="D2028" s="38">
        <v>1577732</v>
      </c>
      <c r="E2028" s="38" t="s">
        <v>2418</v>
      </c>
      <c r="F2028" s="38" t="s">
        <v>618</v>
      </c>
    </row>
    <row r="2029" spans="1:6">
      <c r="A2029" s="38" t="s">
        <v>2649</v>
      </c>
      <c r="B2029" s="40">
        <v>1292.300048828125</v>
      </c>
      <c r="C2029" s="40">
        <v>1191.1826171875</v>
      </c>
      <c r="D2029" s="38">
        <v>1963068</v>
      </c>
      <c r="E2029" s="38" t="s">
        <v>2418</v>
      </c>
      <c r="F2029" s="38" t="s">
        <v>618</v>
      </c>
    </row>
    <row r="2030" spans="1:6">
      <c r="A2030" s="38" t="s">
        <v>2650</v>
      </c>
      <c r="B2030" s="40">
        <v>1277.199951171875</v>
      </c>
      <c r="C2030" s="40">
        <v>1177.2640380859375</v>
      </c>
      <c r="D2030" s="38">
        <v>2001399</v>
      </c>
      <c r="E2030" s="38" t="s">
        <v>2418</v>
      </c>
      <c r="F2030" s="38" t="s">
        <v>618</v>
      </c>
    </row>
    <row r="2031" spans="1:6">
      <c r="A2031" s="38" t="s">
        <v>2651</v>
      </c>
      <c r="B2031" s="40">
        <v>1293.3499755859375</v>
      </c>
      <c r="C2031" s="40">
        <v>1192.1505126953125</v>
      </c>
      <c r="D2031" s="38">
        <v>2129097</v>
      </c>
      <c r="E2031" s="38" t="s">
        <v>2418</v>
      </c>
      <c r="F2031" s="38" t="s">
        <v>618</v>
      </c>
    </row>
    <row r="2032" spans="1:6">
      <c r="A2032" s="38" t="s">
        <v>2652</v>
      </c>
      <c r="B2032" s="40">
        <v>1282.199951171875</v>
      </c>
      <c r="C2032" s="40">
        <v>1181.8726806640625</v>
      </c>
      <c r="D2032" s="38">
        <v>2499025</v>
      </c>
      <c r="E2032" s="38" t="s">
        <v>2418</v>
      </c>
      <c r="F2032" s="38" t="s">
        <v>618</v>
      </c>
    </row>
    <row r="2033" spans="1:6">
      <c r="A2033" s="38" t="s">
        <v>2653</v>
      </c>
      <c r="B2033" s="40">
        <v>1272.6500244140625</v>
      </c>
      <c r="C2033" s="40">
        <v>1173.070068359375</v>
      </c>
      <c r="D2033" s="38">
        <v>630807</v>
      </c>
      <c r="E2033" s="38" t="s">
        <v>2418</v>
      </c>
      <c r="F2033" s="38" t="s">
        <v>618</v>
      </c>
    </row>
    <row r="2034" spans="1:6">
      <c r="A2034" s="38" t="s">
        <v>2654</v>
      </c>
      <c r="B2034" s="40">
        <v>1252.25</v>
      </c>
      <c r="C2034" s="40">
        <v>1154.266357421875</v>
      </c>
      <c r="D2034" s="38">
        <v>1243420</v>
      </c>
      <c r="E2034" s="38" t="s">
        <v>2418</v>
      </c>
      <c r="F2034" s="38" t="s">
        <v>618</v>
      </c>
    </row>
    <row r="2035" spans="1:6">
      <c r="A2035" s="38" t="s">
        <v>2655</v>
      </c>
      <c r="B2035" s="40">
        <v>1264.300048828125</v>
      </c>
      <c r="C2035" s="40">
        <v>1165.3734130859375</v>
      </c>
      <c r="D2035" s="38">
        <v>1139621</v>
      </c>
      <c r="E2035" s="38" t="s">
        <v>2418</v>
      </c>
      <c r="F2035" s="38" t="s">
        <v>618</v>
      </c>
    </row>
    <row r="2036" spans="1:6">
      <c r="A2036" s="38" t="s">
        <v>2656</v>
      </c>
      <c r="B2036" s="40">
        <v>1282.75</v>
      </c>
      <c r="C2036" s="40">
        <v>1182.3797607421875</v>
      </c>
      <c r="D2036" s="38">
        <v>1420041</v>
      </c>
      <c r="E2036" s="38" t="s">
        <v>2418</v>
      </c>
      <c r="F2036" s="38" t="s">
        <v>618</v>
      </c>
    </row>
    <row r="2037" spans="1:6">
      <c r="A2037" s="38" t="s">
        <v>2657</v>
      </c>
      <c r="B2037" s="40">
        <v>1262.6500244140625</v>
      </c>
      <c r="C2037" s="40">
        <v>1163.8525390625</v>
      </c>
      <c r="D2037" s="38">
        <v>2990908</v>
      </c>
      <c r="E2037" s="38" t="s">
        <v>2418</v>
      </c>
      <c r="F2037" s="38" t="s">
        <v>618</v>
      </c>
    </row>
    <row r="2038" spans="1:6">
      <c r="A2038" s="38" t="s">
        <v>2658</v>
      </c>
      <c r="B2038" s="40">
        <v>1254.3499755859375</v>
      </c>
      <c r="C2038" s="40">
        <v>1156.201904296875</v>
      </c>
      <c r="D2038" s="38">
        <v>2144358</v>
      </c>
      <c r="E2038" s="38" t="s">
        <v>2418</v>
      </c>
      <c r="F2038" s="38" t="s">
        <v>618</v>
      </c>
    </row>
    <row r="2039" spans="1:6">
      <c r="A2039" s="38" t="s">
        <v>2659</v>
      </c>
      <c r="B2039" s="40">
        <v>1253.800048828125</v>
      </c>
      <c r="C2039" s="40">
        <v>1155.695068359375</v>
      </c>
      <c r="D2039" s="38">
        <v>2128854</v>
      </c>
      <c r="E2039" s="38" t="s">
        <v>2418</v>
      </c>
      <c r="F2039" s="38" t="s">
        <v>618</v>
      </c>
    </row>
    <row r="2040" spans="1:6">
      <c r="A2040" s="38" t="s">
        <v>2660</v>
      </c>
      <c r="B2040" s="40">
        <v>1248.0999755859375</v>
      </c>
      <c r="C2040" s="40">
        <v>1150.44091796875</v>
      </c>
      <c r="D2040" s="38">
        <v>2436133</v>
      </c>
      <c r="E2040" s="38" t="s">
        <v>2418</v>
      </c>
      <c r="F2040" s="38" t="s">
        <v>618</v>
      </c>
    </row>
    <row r="2041" spans="1:6">
      <c r="A2041" s="38" t="s">
        <v>2661</v>
      </c>
      <c r="B2041" s="40">
        <v>1244.550048828125</v>
      </c>
      <c r="C2041" s="40">
        <v>1147.1689453125</v>
      </c>
      <c r="D2041" s="38">
        <v>1397037</v>
      </c>
      <c r="E2041" s="38" t="s">
        <v>2662</v>
      </c>
      <c r="F2041" s="38" t="s">
        <v>618</v>
      </c>
    </row>
    <row r="2042" spans="1:6">
      <c r="A2042" s="38" t="s">
        <v>2663</v>
      </c>
      <c r="B2042" s="40">
        <v>1236.800048828125</v>
      </c>
      <c r="C2042" s="40">
        <v>1140.0252685546875</v>
      </c>
      <c r="D2042" s="38">
        <v>1320357</v>
      </c>
      <c r="E2042" s="38" t="s">
        <v>2662</v>
      </c>
      <c r="F2042" s="38" t="s">
        <v>618</v>
      </c>
    </row>
    <row r="2043" spans="1:6">
      <c r="A2043" s="38" t="s">
        <v>2664</v>
      </c>
      <c r="B2043" s="40">
        <v>1255.1500244140625</v>
      </c>
      <c r="C2043" s="40">
        <v>1156.9395751953125</v>
      </c>
      <c r="D2043" s="38">
        <v>1819093</v>
      </c>
      <c r="E2043" s="38" t="s">
        <v>2662</v>
      </c>
      <c r="F2043" s="38" t="s">
        <v>618</v>
      </c>
    </row>
    <row r="2044" spans="1:6">
      <c r="A2044" s="38" t="s">
        <v>2665</v>
      </c>
      <c r="B2044" s="40">
        <v>1279.25</v>
      </c>
      <c r="C2044" s="40">
        <v>1179.15380859375</v>
      </c>
      <c r="D2044" s="38">
        <v>2460669</v>
      </c>
      <c r="E2044" s="38" t="s">
        <v>2662</v>
      </c>
      <c r="F2044" s="38" t="s">
        <v>618</v>
      </c>
    </row>
    <row r="2045" spans="1:6">
      <c r="A2045" s="38" t="s">
        <v>2666</v>
      </c>
      <c r="B2045" s="40">
        <v>1263.4000244140625</v>
      </c>
      <c r="C2045" s="40">
        <v>1164.5438232421875</v>
      </c>
      <c r="D2045" s="38">
        <v>1184658</v>
      </c>
      <c r="E2045" s="38" t="s">
        <v>2662</v>
      </c>
      <c r="F2045" s="38" t="s">
        <v>618</v>
      </c>
    </row>
    <row r="2046" spans="1:6">
      <c r="A2046" s="38" t="s">
        <v>2667</v>
      </c>
      <c r="B2046" s="40">
        <v>1265.1500244140625</v>
      </c>
      <c r="C2046" s="40">
        <v>1166.156982421875</v>
      </c>
      <c r="D2046" s="38">
        <v>686932</v>
      </c>
      <c r="E2046" s="38" t="s">
        <v>2662</v>
      </c>
      <c r="F2046" s="38" t="s">
        <v>618</v>
      </c>
    </row>
    <row r="2047" spans="1:6">
      <c r="A2047" s="38" t="s">
        <v>2668</v>
      </c>
      <c r="B2047" s="40">
        <v>1251.4000244140625</v>
      </c>
      <c r="C2047" s="40">
        <v>1153.48291015625</v>
      </c>
      <c r="D2047" s="38">
        <v>1198161</v>
      </c>
      <c r="E2047" s="38" t="s">
        <v>2662</v>
      </c>
      <c r="F2047" s="38" t="s">
        <v>618</v>
      </c>
    </row>
    <row r="2048" spans="1:6">
      <c r="A2048" s="38" t="s">
        <v>2669</v>
      </c>
      <c r="B2048" s="40">
        <v>1266.300048828125</v>
      </c>
      <c r="C2048" s="40">
        <v>1167.217041015625</v>
      </c>
      <c r="D2048" s="38">
        <v>1994380</v>
      </c>
      <c r="E2048" s="38" t="s">
        <v>2662</v>
      </c>
      <c r="F2048" s="38" t="s">
        <v>618</v>
      </c>
    </row>
    <row r="2049" spans="1:6">
      <c r="A2049" s="38" t="s">
        <v>2670</v>
      </c>
      <c r="B2049" s="40">
        <v>1242.0999755859375</v>
      </c>
      <c r="C2049" s="40">
        <v>1144.91064453125</v>
      </c>
      <c r="D2049" s="38">
        <v>2887322</v>
      </c>
      <c r="E2049" s="38" t="s">
        <v>2662</v>
      </c>
      <c r="F2049" s="38" t="s">
        <v>618</v>
      </c>
    </row>
    <row r="2050" spans="1:6">
      <c r="A2050" s="38" t="s">
        <v>2671</v>
      </c>
      <c r="B2050" s="40">
        <v>1218.75</v>
      </c>
      <c r="C2050" s="40">
        <v>1123.3875732421875</v>
      </c>
      <c r="D2050" s="38">
        <v>2153147</v>
      </c>
      <c r="E2050" s="38" t="s">
        <v>2662</v>
      </c>
      <c r="F2050" s="38" t="s">
        <v>618</v>
      </c>
    </row>
    <row r="2051" spans="1:6">
      <c r="A2051" s="38" t="s">
        <v>2672</v>
      </c>
      <c r="B2051" s="40">
        <v>1195.800048828125</v>
      </c>
      <c r="C2051" s="40">
        <v>1102.2333984375</v>
      </c>
      <c r="D2051" s="38">
        <v>2085459</v>
      </c>
      <c r="E2051" s="38" t="s">
        <v>2662</v>
      </c>
      <c r="F2051" s="38" t="s">
        <v>618</v>
      </c>
    </row>
    <row r="2052" spans="1:6">
      <c r="A2052" s="38" t="s">
        <v>2673</v>
      </c>
      <c r="B2052" s="40">
        <v>1179.6500244140625</v>
      </c>
      <c r="C2052" s="40">
        <v>1087.3470458984375</v>
      </c>
      <c r="D2052" s="38">
        <v>3242357</v>
      </c>
      <c r="E2052" s="38" t="s">
        <v>2662</v>
      </c>
      <c r="F2052" s="38" t="s">
        <v>618</v>
      </c>
    </row>
    <row r="2053" spans="1:6">
      <c r="A2053" s="38" t="s">
        <v>2674</v>
      </c>
      <c r="B2053" s="40">
        <v>1193.6500244140625</v>
      </c>
      <c r="C2053" s="40">
        <v>1100.251708984375</v>
      </c>
      <c r="D2053" s="38">
        <v>2572144</v>
      </c>
      <c r="E2053" s="38" t="s">
        <v>2662</v>
      </c>
      <c r="F2053" s="38" t="s">
        <v>618</v>
      </c>
    </row>
    <row r="2054" spans="1:6">
      <c r="A2054" s="38" t="s">
        <v>2675</v>
      </c>
      <c r="B2054" s="40">
        <v>1208.050048828125</v>
      </c>
      <c r="C2054" s="40">
        <v>1113.5247802734375</v>
      </c>
      <c r="D2054" s="38">
        <v>1364143</v>
      </c>
      <c r="E2054" s="38" t="s">
        <v>2662</v>
      </c>
      <c r="F2054" s="38" t="s">
        <v>618</v>
      </c>
    </row>
    <row r="2055" spans="1:6">
      <c r="A2055" s="38" t="s">
        <v>2676</v>
      </c>
      <c r="B2055" s="40">
        <v>1200.25</v>
      </c>
      <c r="C2055" s="40">
        <v>1106.335205078125</v>
      </c>
      <c r="D2055" s="38">
        <v>1460983</v>
      </c>
      <c r="E2055" s="38" t="s">
        <v>2662</v>
      </c>
      <c r="F2055" s="38" t="s">
        <v>618</v>
      </c>
    </row>
    <row r="2056" spans="1:6">
      <c r="A2056" s="38" t="s">
        <v>2677</v>
      </c>
      <c r="B2056" s="40">
        <v>1185.699951171875</v>
      </c>
      <c r="C2056" s="40">
        <v>1092.923583984375</v>
      </c>
      <c r="D2056" s="38">
        <v>1375843</v>
      </c>
      <c r="E2056" s="38" t="s">
        <v>2662</v>
      </c>
      <c r="F2056" s="38" t="s">
        <v>618</v>
      </c>
    </row>
    <row r="2057" spans="1:6">
      <c r="A2057" s="38" t="s">
        <v>2678</v>
      </c>
      <c r="B2057" s="40">
        <v>1190.300048828125</v>
      </c>
      <c r="C2057" s="40">
        <v>1097.16357421875</v>
      </c>
      <c r="D2057" s="38">
        <v>3357065</v>
      </c>
      <c r="E2057" s="38" t="s">
        <v>2662</v>
      </c>
      <c r="F2057" s="38" t="s">
        <v>618</v>
      </c>
    </row>
    <row r="2058" spans="1:6">
      <c r="A2058" s="38" t="s">
        <v>2679</v>
      </c>
      <c r="B2058" s="40">
        <v>1278.75</v>
      </c>
      <c r="C2058" s="40">
        <v>1178.69287109375</v>
      </c>
      <c r="D2058" s="38">
        <v>20431926</v>
      </c>
      <c r="E2058" s="38" t="s">
        <v>2662</v>
      </c>
      <c r="F2058" s="38" t="s">
        <v>618</v>
      </c>
    </row>
    <row r="2059" spans="1:6">
      <c r="A2059" s="38" t="s">
        <v>2680</v>
      </c>
      <c r="B2059" s="40">
        <v>1288.300048828125</v>
      </c>
      <c r="C2059" s="40">
        <v>1187.4957275390625</v>
      </c>
      <c r="D2059" s="38">
        <v>4120529</v>
      </c>
      <c r="E2059" s="38" t="s">
        <v>2662</v>
      </c>
      <c r="F2059" s="38" t="s">
        <v>618</v>
      </c>
    </row>
    <row r="2060" spans="1:6">
      <c r="A2060" s="38" t="s">
        <v>2681</v>
      </c>
      <c r="B2060" s="40">
        <v>1263.5</v>
      </c>
      <c r="C2060" s="40">
        <v>1164.635986328125</v>
      </c>
      <c r="D2060" s="38">
        <v>2613213</v>
      </c>
      <c r="E2060" s="38" t="s">
        <v>2662</v>
      </c>
      <c r="F2060" s="38" t="s">
        <v>618</v>
      </c>
    </row>
    <row r="2061" spans="1:6">
      <c r="A2061" s="38" t="s">
        <v>2682</v>
      </c>
      <c r="B2061" s="40">
        <v>1266.9000244140625</v>
      </c>
      <c r="C2061" s="40">
        <v>1167.7701416015625</v>
      </c>
      <c r="D2061" s="38">
        <v>2124221</v>
      </c>
      <c r="E2061" s="38" t="s">
        <v>2662</v>
      </c>
      <c r="F2061" s="38" t="s">
        <v>618</v>
      </c>
    </row>
    <row r="2062" spans="1:6">
      <c r="A2062" s="38" t="s">
        <v>2683</v>
      </c>
      <c r="B2062" s="40">
        <v>1250.449951171875</v>
      </c>
      <c r="C2062" s="40">
        <v>1152.607177734375</v>
      </c>
      <c r="D2062" s="38">
        <v>2322455</v>
      </c>
      <c r="E2062" s="38" t="s">
        <v>2662</v>
      </c>
      <c r="F2062" s="38" t="s">
        <v>618</v>
      </c>
    </row>
    <row r="2063" spans="1:6">
      <c r="A2063" s="38" t="s">
        <v>2684</v>
      </c>
      <c r="B2063" s="40">
        <v>1262.25</v>
      </c>
      <c r="C2063" s="40">
        <v>1163.48388671875</v>
      </c>
      <c r="D2063" s="38">
        <v>1363667</v>
      </c>
      <c r="E2063" s="38" t="s">
        <v>2662</v>
      </c>
      <c r="F2063" s="38" t="s">
        <v>618</v>
      </c>
    </row>
    <row r="2064" spans="1:6">
      <c r="A2064" s="38" t="s">
        <v>2685</v>
      </c>
      <c r="B2064" s="40">
        <v>1292.449951171875</v>
      </c>
      <c r="C2064" s="40">
        <v>1191.32080078125</v>
      </c>
      <c r="D2064" s="38">
        <v>2350444</v>
      </c>
      <c r="E2064" s="38" t="s">
        <v>2662</v>
      </c>
      <c r="F2064" s="38" t="s">
        <v>618</v>
      </c>
    </row>
    <row r="2065" spans="1:6">
      <c r="A2065" s="38" t="s">
        <v>2686</v>
      </c>
      <c r="B2065" s="40">
        <v>1287</v>
      </c>
      <c r="C2065" s="40">
        <v>1186.2972412109375</v>
      </c>
      <c r="D2065" s="38">
        <v>1332284</v>
      </c>
      <c r="E2065" s="38" t="s">
        <v>2662</v>
      </c>
      <c r="F2065" s="38" t="s">
        <v>618</v>
      </c>
    </row>
    <row r="2066" spans="1:6">
      <c r="A2066" s="38" t="s">
        <v>2687</v>
      </c>
      <c r="B2066" s="40">
        <v>1269.0999755859375</v>
      </c>
      <c r="C2066" s="40">
        <v>1169.7977294921875</v>
      </c>
      <c r="D2066" s="38">
        <v>2420777</v>
      </c>
      <c r="E2066" s="38" t="s">
        <v>2662</v>
      </c>
      <c r="F2066" s="38" t="s">
        <v>618</v>
      </c>
    </row>
    <row r="2067" spans="1:6">
      <c r="A2067" s="38" t="s">
        <v>2688</v>
      </c>
      <c r="B2067" s="40">
        <v>1264.4000244140625</v>
      </c>
      <c r="C2067" s="40">
        <v>1165.4656982421875</v>
      </c>
      <c r="D2067" s="38">
        <v>1322206</v>
      </c>
      <c r="E2067" s="38" t="s">
        <v>2662</v>
      </c>
      <c r="F2067" s="38" t="s">
        <v>618</v>
      </c>
    </row>
    <row r="2068" spans="1:6">
      <c r="A2068" s="38" t="s">
        <v>2689</v>
      </c>
      <c r="B2068" s="40">
        <v>1262.050048828125</v>
      </c>
      <c r="C2068" s="40">
        <v>1163.299560546875</v>
      </c>
      <c r="D2068" s="38">
        <v>593453</v>
      </c>
      <c r="E2068" s="38" t="s">
        <v>2662</v>
      </c>
      <c r="F2068" s="38" t="s">
        <v>618</v>
      </c>
    </row>
    <row r="2069" spans="1:6">
      <c r="A2069" s="38" t="s">
        <v>2690</v>
      </c>
      <c r="B2069" s="40">
        <v>1275.5</v>
      </c>
      <c r="C2069" s="40">
        <v>1175.6971435546875</v>
      </c>
      <c r="D2069" s="38">
        <v>1386032</v>
      </c>
      <c r="E2069" s="38" t="s">
        <v>2662</v>
      </c>
      <c r="F2069" s="38" t="s">
        <v>618</v>
      </c>
    </row>
    <row r="2070" spans="1:6">
      <c r="A2070" s="38" t="s">
        <v>2691</v>
      </c>
      <c r="B2070" s="40">
        <v>1274.5</v>
      </c>
      <c r="C2070" s="40">
        <v>1174.7752685546875</v>
      </c>
      <c r="D2070" s="38">
        <v>1008105</v>
      </c>
      <c r="E2070" s="38" t="s">
        <v>2662</v>
      </c>
      <c r="F2070" s="38" t="s">
        <v>618</v>
      </c>
    </row>
    <row r="2071" spans="1:6">
      <c r="A2071" s="38" t="s">
        <v>2692</v>
      </c>
      <c r="B2071" s="40">
        <v>1307.949951171875</v>
      </c>
      <c r="C2071" s="40">
        <v>1205.60791015625</v>
      </c>
      <c r="D2071" s="38">
        <v>4868225</v>
      </c>
      <c r="E2071" s="38" t="s">
        <v>2662</v>
      </c>
      <c r="F2071" s="38" t="s">
        <v>618</v>
      </c>
    </row>
    <row r="2072" spans="1:6">
      <c r="A2072" s="38" t="s">
        <v>2693</v>
      </c>
      <c r="B2072" s="40">
        <v>1305.4000244140625</v>
      </c>
      <c r="C2072" s="40">
        <v>1203.2574462890625</v>
      </c>
      <c r="D2072" s="38">
        <v>1925387</v>
      </c>
      <c r="E2072" s="38" t="s">
        <v>2662</v>
      </c>
      <c r="F2072" s="38" t="s">
        <v>618</v>
      </c>
    </row>
    <row r="2073" spans="1:6">
      <c r="A2073" s="38" t="s">
        <v>2694</v>
      </c>
      <c r="B2073" s="40">
        <v>1323.9000244140625</v>
      </c>
      <c r="C2073" s="40">
        <v>1220.31005859375</v>
      </c>
      <c r="D2073" s="38">
        <v>1453689</v>
      </c>
      <c r="E2073" s="38" t="s">
        <v>2662</v>
      </c>
      <c r="F2073" s="38" t="s">
        <v>618</v>
      </c>
    </row>
    <row r="2074" spans="1:6">
      <c r="A2074" s="38" t="s">
        <v>2695</v>
      </c>
      <c r="B2074" s="40">
        <v>1330.4000244140625</v>
      </c>
      <c r="C2074" s="40">
        <v>1226.3013916015625</v>
      </c>
      <c r="D2074" s="38">
        <v>1411627</v>
      </c>
      <c r="E2074" s="38" t="s">
        <v>2662</v>
      </c>
      <c r="F2074" s="38" t="s">
        <v>618</v>
      </c>
    </row>
    <row r="2075" spans="1:6">
      <c r="A2075" s="38" t="s">
        <v>2696</v>
      </c>
      <c r="B2075" s="40">
        <v>1337.5</v>
      </c>
      <c r="C2075" s="40">
        <v>1232.8458251953125</v>
      </c>
      <c r="D2075" s="38">
        <v>1440740</v>
      </c>
      <c r="E2075" s="38" t="s">
        <v>2662</v>
      </c>
      <c r="F2075" s="38" t="s">
        <v>618</v>
      </c>
    </row>
    <row r="2076" spans="1:6">
      <c r="A2076" s="38" t="s">
        <v>2697</v>
      </c>
      <c r="B2076" s="40">
        <v>1321.75</v>
      </c>
      <c r="C2076" s="40">
        <v>1218.3282470703125</v>
      </c>
      <c r="D2076" s="38">
        <v>1288301</v>
      </c>
      <c r="E2076" s="38" t="s">
        <v>2662</v>
      </c>
      <c r="F2076" s="38" t="s">
        <v>618</v>
      </c>
    </row>
    <row r="2077" spans="1:6">
      <c r="A2077" s="38" t="s">
        <v>2698</v>
      </c>
      <c r="B2077" s="40">
        <v>1329.699951171875</v>
      </c>
      <c r="C2077" s="40">
        <v>1225.656005859375</v>
      </c>
      <c r="D2077" s="38">
        <v>980450</v>
      </c>
      <c r="E2077" s="38" t="s">
        <v>2662</v>
      </c>
      <c r="F2077" s="38" t="s">
        <v>618</v>
      </c>
    </row>
    <row r="2078" spans="1:6">
      <c r="A2078" s="38" t="s">
        <v>2699</v>
      </c>
      <c r="B2078" s="40">
        <v>1315.0999755859375</v>
      </c>
      <c r="C2078" s="40">
        <v>1212.1986083984375</v>
      </c>
      <c r="D2078" s="38">
        <v>1608944</v>
      </c>
      <c r="E2078" s="38" t="s">
        <v>2662</v>
      </c>
      <c r="F2078" s="38" t="s">
        <v>618</v>
      </c>
    </row>
    <row r="2079" spans="1:6">
      <c r="A2079" s="38" t="s">
        <v>2700</v>
      </c>
      <c r="B2079" s="40">
        <v>1286.449951171875</v>
      </c>
      <c r="C2079" s="40">
        <v>1185.790283203125</v>
      </c>
      <c r="D2079" s="38">
        <v>1405567</v>
      </c>
      <c r="E2079" s="38" t="s">
        <v>2662</v>
      </c>
      <c r="F2079" s="38" t="s">
        <v>618</v>
      </c>
    </row>
    <row r="2080" spans="1:6">
      <c r="A2080" s="38" t="s">
        <v>2701</v>
      </c>
      <c r="B2080" s="40">
        <v>1240.8499755859375</v>
      </c>
      <c r="C2080" s="40">
        <v>1143.75830078125</v>
      </c>
      <c r="D2080" s="38">
        <v>2610479</v>
      </c>
      <c r="E2080" s="38" t="s">
        <v>2662</v>
      </c>
      <c r="F2080" s="38" t="s">
        <v>618</v>
      </c>
    </row>
    <row r="2081" spans="1:6">
      <c r="A2081" s="38" t="s">
        <v>2702</v>
      </c>
      <c r="B2081" s="40">
        <v>1228.449951171875</v>
      </c>
      <c r="C2081" s="40">
        <v>1132.3284912109375</v>
      </c>
      <c r="D2081" s="38">
        <v>4649449</v>
      </c>
      <c r="E2081" s="38" t="s">
        <v>2662</v>
      </c>
      <c r="F2081" s="38" t="s">
        <v>618</v>
      </c>
    </row>
    <row r="2082" spans="1:6">
      <c r="A2082" s="38" t="s">
        <v>2703</v>
      </c>
      <c r="B2082" s="40">
        <v>1245.3499755859375</v>
      </c>
      <c r="C2082" s="40">
        <v>1147.9061279296875</v>
      </c>
      <c r="D2082" s="38">
        <v>1091287</v>
      </c>
      <c r="E2082" s="38" t="s">
        <v>2662</v>
      </c>
      <c r="F2082" s="38" t="s">
        <v>618</v>
      </c>
    </row>
    <row r="2083" spans="1:6">
      <c r="A2083" s="38" t="s">
        <v>2704</v>
      </c>
      <c r="B2083" s="40">
        <v>1239.300048828125</v>
      </c>
      <c r="C2083" s="40">
        <v>1142.32958984375</v>
      </c>
      <c r="D2083" s="38">
        <v>2471911</v>
      </c>
      <c r="E2083" s="38" t="s">
        <v>2662</v>
      </c>
      <c r="F2083" s="38" t="s">
        <v>618</v>
      </c>
    </row>
    <row r="2084" spans="1:6">
      <c r="A2084" s="38" t="s">
        <v>2705</v>
      </c>
      <c r="B2084" s="40">
        <v>1266.9000244140625</v>
      </c>
      <c r="C2084" s="40">
        <v>1167.7701416015625</v>
      </c>
      <c r="D2084" s="38">
        <v>2709585</v>
      </c>
      <c r="E2084" s="38" t="s">
        <v>2662</v>
      </c>
      <c r="F2084" s="38" t="s">
        <v>618</v>
      </c>
    </row>
    <row r="2085" spans="1:6">
      <c r="A2085" s="38" t="s">
        <v>2706</v>
      </c>
      <c r="B2085" s="40">
        <v>1317.449951171875</v>
      </c>
      <c r="C2085" s="40">
        <v>1214.36474609375</v>
      </c>
      <c r="D2085" s="38">
        <v>3205121</v>
      </c>
      <c r="E2085" s="38" t="s">
        <v>2662</v>
      </c>
      <c r="F2085" s="38" t="s">
        <v>618</v>
      </c>
    </row>
    <row r="2086" spans="1:6">
      <c r="A2086" s="38" t="s">
        <v>2707</v>
      </c>
      <c r="B2086" s="40">
        <v>1377.5999755859375</v>
      </c>
      <c r="C2086" s="40">
        <v>1269.80810546875</v>
      </c>
      <c r="D2086" s="38">
        <v>5790599</v>
      </c>
      <c r="E2086" s="38" t="s">
        <v>2662</v>
      </c>
      <c r="F2086" s="38" t="s">
        <v>618</v>
      </c>
    </row>
    <row r="2087" spans="1:6">
      <c r="A2087" s="38" t="s">
        <v>2708</v>
      </c>
      <c r="B2087" s="40">
        <v>1340.3499755859375</v>
      </c>
      <c r="C2087" s="40">
        <v>1235.472900390625</v>
      </c>
      <c r="D2087" s="38">
        <v>2532308</v>
      </c>
      <c r="E2087" s="38" t="s">
        <v>2662</v>
      </c>
      <c r="F2087" s="38" t="s">
        <v>618</v>
      </c>
    </row>
    <row r="2088" spans="1:6">
      <c r="A2088" s="38" t="s">
        <v>2709</v>
      </c>
      <c r="B2088" s="40">
        <v>1349.449951171875</v>
      </c>
      <c r="C2088" s="40">
        <v>1243.8607177734375</v>
      </c>
      <c r="D2088" s="38">
        <v>1465705</v>
      </c>
      <c r="E2088" s="38" t="s">
        <v>2662</v>
      </c>
      <c r="F2088" s="38" t="s">
        <v>618</v>
      </c>
    </row>
    <row r="2089" spans="1:6">
      <c r="A2089" s="38" t="s">
        <v>2710</v>
      </c>
      <c r="B2089" s="40">
        <v>1370.5999755859375</v>
      </c>
      <c r="C2089" s="40">
        <v>1263.3558349609375</v>
      </c>
      <c r="D2089" s="38">
        <v>2786009</v>
      </c>
      <c r="E2089" s="38" t="s">
        <v>2662</v>
      </c>
      <c r="F2089" s="38" t="s">
        <v>618</v>
      </c>
    </row>
    <row r="2090" spans="1:6">
      <c r="A2090" s="38" t="s">
        <v>2711</v>
      </c>
      <c r="B2090" s="40">
        <v>1388.949951171875</v>
      </c>
      <c r="C2090" s="40">
        <v>1280.2698974609375</v>
      </c>
      <c r="D2090" s="38">
        <v>1953367</v>
      </c>
      <c r="E2090" s="38" t="s">
        <v>2662</v>
      </c>
      <c r="F2090" s="38" t="s">
        <v>618</v>
      </c>
    </row>
    <row r="2091" spans="1:6">
      <c r="A2091" s="38" t="s">
        <v>2712</v>
      </c>
      <c r="B2091" s="40">
        <v>1371.449951171875</v>
      </c>
      <c r="C2091" s="40">
        <v>1264.1392822265625</v>
      </c>
      <c r="D2091" s="38">
        <v>1733356</v>
      </c>
      <c r="E2091" s="38" t="s">
        <v>2662</v>
      </c>
      <c r="F2091" s="38" t="s">
        <v>618</v>
      </c>
    </row>
    <row r="2092" spans="1:6">
      <c r="A2092" s="38" t="s">
        <v>2713</v>
      </c>
      <c r="B2092" s="40">
        <v>1371.3499755859375</v>
      </c>
      <c r="C2092" s="40">
        <v>1264.047119140625</v>
      </c>
      <c r="D2092" s="38">
        <v>950760</v>
      </c>
      <c r="E2092" s="38" t="s">
        <v>2662</v>
      </c>
      <c r="F2092" s="38" t="s">
        <v>618</v>
      </c>
    </row>
    <row r="2093" spans="1:6">
      <c r="A2093" s="38" t="s">
        <v>2714</v>
      </c>
      <c r="B2093" s="40">
        <v>1381.1500244140625</v>
      </c>
      <c r="C2093" s="40">
        <v>1273.080322265625</v>
      </c>
      <c r="D2093" s="38">
        <v>1313197</v>
      </c>
      <c r="E2093" s="38" t="s">
        <v>2662</v>
      </c>
      <c r="F2093" s="38" t="s">
        <v>618</v>
      </c>
    </row>
    <row r="2094" spans="1:6">
      <c r="A2094" s="38" t="s">
        <v>2715</v>
      </c>
      <c r="B2094" s="40">
        <v>1393.0999755859375</v>
      </c>
      <c r="C2094" s="40">
        <v>1284.0953369140625</v>
      </c>
      <c r="D2094" s="38">
        <v>1987190</v>
      </c>
      <c r="E2094" s="38" t="s">
        <v>2662</v>
      </c>
      <c r="F2094" s="38" t="s">
        <v>618</v>
      </c>
    </row>
    <row r="2095" spans="1:6">
      <c r="A2095" s="38" t="s">
        <v>2716</v>
      </c>
      <c r="B2095" s="40">
        <v>1399.800048828125</v>
      </c>
      <c r="C2095" s="40">
        <v>1290.2711181640625</v>
      </c>
      <c r="D2095" s="38">
        <v>6836535</v>
      </c>
      <c r="E2095" s="38" t="s">
        <v>2662</v>
      </c>
      <c r="F2095" s="38" t="s">
        <v>618</v>
      </c>
    </row>
    <row r="2096" spans="1:6">
      <c r="A2096" s="38" t="s">
        <v>2717</v>
      </c>
      <c r="B2096" s="40">
        <v>1401.699951171875</v>
      </c>
      <c r="C2096" s="40">
        <v>1292.0223388671875</v>
      </c>
      <c r="D2096" s="38">
        <v>1111433</v>
      </c>
      <c r="E2096" s="38" t="s">
        <v>2662</v>
      </c>
      <c r="F2096" s="38" t="s">
        <v>618</v>
      </c>
    </row>
    <row r="2097" spans="1:6">
      <c r="A2097" s="38" t="s">
        <v>2718</v>
      </c>
      <c r="B2097" s="40">
        <v>1427.75</v>
      </c>
      <c r="C2097" s="40">
        <v>1316.0340576171875</v>
      </c>
      <c r="D2097" s="38">
        <v>2201375</v>
      </c>
      <c r="E2097" s="38" t="s">
        <v>2662</v>
      </c>
      <c r="F2097" s="38" t="s">
        <v>618</v>
      </c>
    </row>
    <row r="2098" spans="1:6">
      <c r="A2098" s="38" t="s">
        <v>2719</v>
      </c>
      <c r="B2098" s="40">
        <v>1413.050048828125</v>
      </c>
      <c r="C2098" s="40">
        <v>1302.4842529296875</v>
      </c>
      <c r="D2098" s="38">
        <v>1565878</v>
      </c>
      <c r="E2098" s="38" t="s">
        <v>2662</v>
      </c>
      <c r="F2098" s="38" t="s">
        <v>618</v>
      </c>
    </row>
    <row r="2099" spans="1:6">
      <c r="A2099" s="38" t="s">
        <v>2720</v>
      </c>
      <c r="B2099" s="40">
        <v>1432.25</v>
      </c>
      <c r="C2099" s="40">
        <v>1320.18212890625</v>
      </c>
      <c r="D2099" s="38">
        <v>4286657</v>
      </c>
      <c r="E2099" s="38" t="s">
        <v>2662</v>
      </c>
      <c r="F2099" s="38" t="s">
        <v>618</v>
      </c>
    </row>
    <row r="2100" spans="1:6">
      <c r="A2100" s="38" t="s">
        <v>2721</v>
      </c>
      <c r="B2100" s="40">
        <v>1430.3499755859375</v>
      </c>
      <c r="C2100" s="40">
        <v>1318.4305419921875</v>
      </c>
      <c r="D2100" s="38">
        <v>2222285</v>
      </c>
      <c r="E2100" s="38" t="s">
        <v>2662</v>
      </c>
      <c r="F2100" s="38" t="s">
        <v>618</v>
      </c>
    </row>
    <row r="2101" spans="1:6">
      <c r="A2101" s="38" t="s">
        <v>2722</v>
      </c>
      <c r="B2101" s="40">
        <v>1472.0999755859375</v>
      </c>
      <c r="C2101" s="40">
        <v>1356.9139404296875</v>
      </c>
      <c r="D2101" s="38">
        <v>3837301</v>
      </c>
      <c r="E2101" s="38" t="s">
        <v>2662</v>
      </c>
      <c r="F2101" s="38" t="s">
        <v>618</v>
      </c>
    </row>
    <row r="2102" spans="1:6">
      <c r="A2102" s="38" t="s">
        <v>2723</v>
      </c>
      <c r="B2102" s="40">
        <v>1472.1500244140625</v>
      </c>
      <c r="C2102" s="40">
        <v>1356.9599609375</v>
      </c>
      <c r="D2102" s="38">
        <v>2092643</v>
      </c>
      <c r="E2102" s="38" t="s">
        <v>2662</v>
      </c>
      <c r="F2102" s="38" t="s">
        <v>618</v>
      </c>
    </row>
    <row r="2103" spans="1:6">
      <c r="A2103" s="38" t="s">
        <v>2724</v>
      </c>
      <c r="B2103" s="40">
        <v>1479.800048828125</v>
      </c>
      <c r="C2103" s="40">
        <v>1364.011474609375</v>
      </c>
      <c r="D2103" s="38">
        <v>896602</v>
      </c>
      <c r="E2103" s="38" t="s">
        <v>2662</v>
      </c>
      <c r="F2103" s="38" t="s">
        <v>618</v>
      </c>
    </row>
    <row r="2104" spans="1:6">
      <c r="A2104" s="38" t="s">
        <v>2725</v>
      </c>
      <c r="B2104" s="40">
        <v>1459.1500244140625</v>
      </c>
      <c r="C2104" s="40">
        <v>1344.977294921875</v>
      </c>
      <c r="D2104" s="38">
        <v>1322999</v>
      </c>
      <c r="E2104" s="38" t="s">
        <v>2662</v>
      </c>
      <c r="F2104" s="38" t="s">
        <v>618</v>
      </c>
    </row>
    <row r="2105" spans="1:6">
      <c r="A2105" s="38" t="s">
        <v>2726</v>
      </c>
      <c r="B2105" s="40">
        <v>1461.3499755859375</v>
      </c>
      <c r="C2105" s="40">
        <v>1347.0050048828125</v>
      </c>
      <c r="D2105" s="38">
        <v>1334838</v>
      </c>
      <c r="E2105" s="38" t="s">
        <v>2662</v>
      </c>
      <c r="F2105" s="38" t="s">
        <v>618</v>
      </c>
    </row>
    <row r="2106" spans="1:6">
      <c r="A2106" s="38" t="s">
        <v>2727</v>
      </c>
      <c r="B2106" s="40">
        <v>1467.5999755859375</v>
      </c>
      <c r="C2106" s="40">
        <v>1352.76611328125</v>
      </c>
      <c r="D2106" s="38">
        <v>807698</v>
      </c>
      <c r="E2106" s="38" t="s">
        <v>2662</v>
      </c>
      <c r="F2106" s="38" t="s">
        <v>618</v>
      </c>
    </row>
    <row r="2107" spans="1:6">
      <c r="A2107" s="38" t="s">
        <v>2728</v>
      </c>
      <c r="B2107" s="40">
        <v>1465.75</v>
      </c>
      <c r="C2107" s="40">
        <v>1351.060791015625</v>
      </c>
      <c r="D2107" s="38">
        <v>1049695</v>
      </c>
      <c r="E2107" s="38" t="s">
        <v>2662</v>
      </c>
      <c r="F2107" s="38" t="s">
        <v>618</v>
      </c>
    </row>
    <row r="2108" spans="1:6">
      <c r="A2108" s="38" t="s">
        <v>2729</v>
      </c>
      <c r="B2108" s="40">
        <v>1463.3499755859375</v>
      </c>
      <c r="C2108" s="40">
        <v>1348.8485107421875</v>
      </c>
      <c r="D2108" s="38">
        <v>802718</v>
      </c>
      <c r="E2108" s="38" t="s">
        <v>2662</v>
      </c>
      <c r="F2108" s="38" t="s">
        <v>618</v>
      </c>
    </row>
    <row r="2109" spans="1:6">
      <c r="A2109" s="38" t="s">
        <v>2730</v>
      </c>
      <c r="B2109" s="40">
        <v>1460.5999755859375</v>
      </c>
      <c r="C2109" s="40">
        <v>1346.3138427734375</v>
      </c>
      <c r="D2109" s="38">
        <v>1408434</v>
      </c>
      <c r="E2109" s="38" t="s">
        <v>2662</v>
      </c>
      <c r="F2109" s="38" t="s">
        <v>618</v>
      </c>
    </row>
    <row r="2110" spans="1:6">
      <c r="A2110" s="38" t="s">
        <v>2731</v>
      </c>
      <c r="B2110" s="40">
        <v>1505.050048828125</v>
      </c>
      <c r="C2110" s="40">
        <v>1387.285888671875</v>
      </c>
      <c r="D2110" s="38">
        <v>4372156</v>
      </c>
      <c r="E2110" s="38" t="s">
        <v>2662</v>
      </c>
      <c r="F2110" s="38" t="s">
        <v>618</v>
      </c>
    </row>
    <row r="2111" spans="1:6">
      <c r="A2111" s="38" t="s">
        <v>2732</v>
      </c>
      <c r="B2111" s="40">
        <v>1499.050048828125</v>
      </c>
      <c r="C2111" s="40">
        <v>1381.7552490234375</v>
      </c>
      <c r="D2111" s="38">
        <v>2374623</v>
      </c>
      <c r="E2111" s="38" t="s">
        <v>2662</v>
      </c>
      <c r="F2111" s="38" t="s">
        <v>618</v>
      </c>
    </row>
    <row r="2112" spans="1:6">
      <c r="A2112" s="38" t="s">
        <v>2733</v>
      </c>
      <c r="B2112" s="40">
        <v>1516.199951171875</v>
      </c>
      <c r="C2112" s="40">
        <v>1397.5631103515625</v>
      </c>
      <c r="D2112" s="38">
        <v>1794159</v>
      </c>
      <c r="E2112" s="38" t="s">
        <v>2662</v>
      </c>
      <c r="F2112" s="38" t="s">
        <v>618</v>
      </c>
    </row>
    <row r="2113" spans="1:6">
      <c r="A2113" s="38" t="s">
        <v>2734</v>
      </c>
      <c r="B2113" s="40">
        <v>1539.3499755859375</v>
      </c>
      <c r="C2113" s="40">
        <v>1418.90185546875</v>
      </c>
      <c r="D2113" s="38">
        <v>2752497</v>
      </c>
      <c r="E2113" s="38" t="s">
        <v>2662</v>
      </c>
      <c r="F2113" s="38" t="s">
        <v>618</v>
      </c>
    </row>
    <row r="2114" spans="1:6">
      <c r="A2114" s="38" t="s">
        <v>2735</v>
      </c>
      <c r="B2114" s="40">
        <v>1491.4000244140625</v>
      </c>
      <c r="C2114" s="40">
        <v>1400.1722412109375</v>
      </c>
      <c r="D2114" s="38">
        <v>2504915</v>
      </c>
      <c r="E2114" s="38" t="s">
        <v>2662</v>
      </c>
      <c r="F2114" s="38" t="s">
        <v>618</v>
      </c>
    </row>
    <row r="2115" spans="1:6">
      <c r="A2115" s="38" t="s">
        <v>2736</v>
      </c>
      <c r="B2115" s="40">
        <v>1495.550048828125</v>
      </c>
      <c r="C2115" s="40">
        <v>1404.068359375</v>
      </c>
      <c r="D2115" s="38">
        <v>2225781</v>
      </c>
      <c r="E2115" s="38" t="s">
        <v>2662</v>
      </c>
      <c r="F2115" s="38" t="s">
        <v>618</v>
      </c>
    </row>
    <row r="2116" spans="1:6">
      <c r="A2116" s="38" t="s">
        <v>2737</v>
      </c>
      <c r="B2116" s="40">
        <v>1493.4000244140625</v>
      </c>
      <c r="C2116" s="40">
        <v>1402.0498046875</v>
      </c>
      <c r="D2116" s="38">
        <v>1640492</v>
      </c>
      <c r="E2116" s="38" t="s">
        <v>2662</v>
      </c>
      <c r="F2116" s="38" t="s">
        <v>618</v>
      </c>
    </row>
    <row r="2117" spans="1:6">
      <c r="A2117" s="38" t="s">
        <v>2738</v>
      </c>
      <c r="B2117" s="40">
        <v>1533.300048828125</v>
      </c>
      <c r="C2117" s="40">
        <v>1439.5091552734375</v>
      </c>
      <c r="D2117" s="38">
        <v>2561617</v>
      </c>
      <c r="E2117" s="38" t="s">
        <v>2662</v>
      </c>
      <c r="F2117" s="38" t="s">
        <v>618</v>
      </c>
    </row>
    <row r="2118" spans="1:6">
      <c r="A2118" s="38" t="s">
        <v>2739</v>
      </c>
      <c r="B2118" s="40">
        <v>1530</v>
      </c>
      <c r="C2118" s="40">
        <v>1436.4110107421875</v>
      </c>
      <c r="D2118" s="38">
        <v>3283912</v>
      </c>
      <c r="E2118" s="38" t="s">
        <v>2662</v>
      </c>
      <c r="F2118" s="38" t="s">
        <v>618</v>
      </c>
    </row>
    <row r="2119" spans="1:6">
      <c r="A2119" s="38" t="s">
        <v>2740</v>
      </c>
      <c r="B2119" s="40">
        <v>1541.1500244140625</v>
      </c>
      <c r="C2119" s="40">
        <v>1446.8790283203125</v>
      </c>
      <c r="D2119" s="38">
        <v>7133745</v>
      </c>
      <c r="E2119" s="38" t="s">
        <v>2662</v>
      </c>
      <c r="F2119" s="38" t="s">
        <v>618</v>
      </c>
    </row>
    <row r="2120" spans="1:6">
      <c r="A2120" s="38" t="s">
        <v>2741</v>
      </c>
      <c r="B2120" s="40">
        <v>1525.3499755859375</v>
      </c>
      <c r="C2120" s="40">
        <v>1432.0455322265625</v>
      </c>
      <c r="D2120" s="38">
        <v>1755979</v>
      </c>
      <c r="E2120" s="38" t="s">
        <v>2662</v>
      </c>
      <c r="F2120" s="38" t="s">
        <v>618</v>
      </c>
    </row>
    <row r="2121" spans="1:6">
      <c r="A2121" s="38" t="s">
        <v>2742</v>
      </c>
      <c r="B2121" s="40">
        <v>1538.050048828125</v>
      </c>
      <c r="C2121" s="40">
        <v>1443.96875</v>
      </c>
      <c r="D2121" s="38">
        <v>1622543</v>
      </c>
      <c r="E2121" s="38" t="s">
        <v>2662</v>
      </c>
      <c r="F2121" s="38" t="s">
        <v>618</v>
      </c>
    </row>
    <row r="2122" spans="1:6">
      <c r="A2122" s="38" t="s">
        <v>2743</v>
      </c>
      <c r="B2122" s="40">
        <v>1554.4000244140625</v>
      </c>
      <c r="C2122" s="40">
        <v>1459.318603515625</v>
      </c>
      <c r="D2122" s="38">
        <v>2398955</v>
      </c>
      <c r="E2122" s="38" t="s">
        <v>2662</v>
      </c>
      <c r="F2122" s="38" t="s">
        <v>618</v>
      </c>
    </row>
    <row r="2123" spans="1:6">
      <c r="A2123" s="38" t="s">
        <v>2744</v>
      </c>
      <c r="B2123" s="40">
        <v>1544.449951171875</v>
      </c>
      <c r="C2123" s="40">
        <v>1449.97705078125</v>
      </c>
      <c r="D2123" s="38">
        <v>1315921</v>
      </c>
      <c r="E2123" s="38" t="s">
        <v>2662</v>
      </c>
      <c r="F2123" s="38" t="s">
        <v>618</v>
      </c>
    </row>
    <row r="2124" spans="1:6">
      <c r="A2124" s="38" t="s">
        <v>2745</v>
      </c>
      <c r="B2124" s="40">
        <v>1507.699951171875</v>
      </c>
      <c r="C2124" s="40">
        <v>1415.47509765625</v>
      </c>
      <c r="D2124" s="38">
        <v>2894949</v>
      </c>
      <c r="E2124" s="38" t="s">
        <v>2662</v>
      </c>
      <c r="F2124" s="38" t="s">
        <v>618</v>
      </c>
    </row>
    <row r="2125" spans="1:6">
      <c r="A2125" s="38" t="s">
        <v>2746</v>
      </c>
      <c r="B2125" s="40">
        <v>1456.3499755859375</v>
      </c>
      <c r="C2125" s="40">
        <v>1367.26611328125</v>
      </c>
      <c r="D2125" s="38">
        <v>2186582</v>
      </c>
      <c r="E2125" s="38" t="s">
        <v>2662</v>
      </c>
      <c r="F2125" s="38" t="s">
        <v>618</v>
      </c>
    </row>
    <row r="2126" spans="1:6">
      <c r="A2126" s="38" t="s">
        <v>2747</v>
      </c>
      <c r="B2126" s="40">
        <v>1483.4000244140625</v>
      </c>
      <c r="C2126" s="40">
        <v>1392.66162109375</v>
      </c>
      <c r="D2126" s="38">
        <v>1665788</v>
      </c>
      <c r="E2126" s="38" t="s">
        <v>2662</v>
      </c>
      <c r="F2126" s="38" t="s">
        <v>618</v>
      </c>
    </row>
    <row r="2127" spans="1:6">
      <c r="A2127" s="38" t="s">
        <v>2748</v>
      </c>
      <c r="B2127" s="40">
        <v>1473.6500244140625</v>
      </c>
      <c r="C2127" s="40">
        <v>1383.5078125</v>
      </c>
      <c r="D2127" s="38">
        <v>3002937</v>
      </c>
      <c r="E2127" s="38" t="s">
        <v>2662</v>
      </c>
      <c r="F2127" s="38" t="s">
        <v>618</v>
      </c>
    </row>
    <row r="2128" spans="1:6">
      <c r="A2128" s="38" t="s">
        <v>2749</v>
      </c>
      <c r="B2128" s="40">
        <v>1466.449951171875</v>
      </c>
      <c r="C2128" s="40">
        <v>1376.748291015625</v>
      </c>
      <c r="D2128" s="38">
        <v>2333194</v>
      </c>
      <c r="E2128" s="38" t="s">
        <v>2662</v>
      </c>
      <c r="F2128" s="38" t="s">
        <v>618</v>
      </c>
    </row>
    <row r="2129" spans="1:6">
      <c r="A2129" s="38" t="s">
        <v>2750</v>
      </c>
      <c r="B2129" s="40">
        <v>1506.699951171875</v>
      </c>
      <c r="C2129" s="40">
        <v>1414.5362548828125</v>
      </c>
      <c r="D2129" s="38">
        <v>1521252</v>
      </c>
      <c r="E2129" s="38" t="s">
        <v>2662</v>
      </c>
      <c r="F2129" s="38" t="s">
        <v>618</v>
      </c>
    </row>
    <row r="2130" spans="1:6">
      <c r="A2130" s="38" t="s">
        <v>2751</v>
      </c>
      <c r="B2130" s="40">
        <v>1512.5</v>
      </c>
      <c r="C2130" s="40">
        <v>1419.9815673828125</v>
      </c>
      <c r="D2130" s="38">
        <v>1809860</v>
      </c>
      <c r="E2130" s="38" t="s">
        <v>2662</v>
      </c>
      <c r="F2130" s="38" t="s">
        <v>618</v>
      </c>
    </row>
    <row r="2131" spans="1:6">
      <c r="A2131" s="38" t="s">
        <v>2752</v>
      </c>
      <c r="B2131" s="40">
        <v>1503.4000244140625</v>
      </c>
      <c r="C2131" s="40">
        <v>1411.43798828125</v>
      </c>
      <c r="D2131" s="38">
        <v>580901</v>
      </c>
      <c r="E2131" s="38" t="s">
        <v>2662</v>
      </c>
      <c r="F2131" s="38" t="s">
        <v>618</v>
      </c>
    </row>
    <row r="2132" spans="1:6">
      <c r="A2132" s="38" t="s">
        <v>2753</v>
      </c>
      <c r="B2132" s="40">
        <v>1524.4000244140625</v>
      </c>
      <c r="C2132" s="40">
        <v>1431.153564453125</v>
      </c>
      <c r="D2132" s="38">
        <v>2833790</v>
      </c>
      <c r="E2132" s="38" t="s">
        <v>2662</v>
      </c>
      <c r="F2132" s="38" t="s">
        <v>618</v>
      </c>
    </row>
    <row r="2133" spans="1:6">
      <c r="A2133" s="38" t="s">
        <v>2754</v>
      </c>
      <c r="B2133" s="40">
        <v>1585.300048828125</v>
      </c>
      <c r="C2133" s="40">
        <v>1488.328369140625</v>
      </c>
      <c r="D2133" s="38">
        <v>3224481</v>
      </c>
      <c r="E2133" s="38" t="s">
        <v>2662</v>
      </c>
      <c r="F2133" s="38" t="s">
        <v>618</v>
      </c>
    </row>
    <row r="2134" spans="1:6">
      <c r="A2134" s="38" t="s">
        <v>2755</v>
      </c>
      <c r="B2134" s="40">
        <v>1594.6500244140625</v>
      </c>
      <c r="C2134" s="40">
        <v>1497.1065673828125</v>
      </c>
      <c r="D2134" s="38">
        <v>1640507</v>
      </c>
      <c r="E2134" s="38" t="s">
        <v>2662</v>
      </c>
      <c r="F2134" s="38" t="s">
        <v>618</v>
      </c>
    </row>
    <row r="2135" spans="1:6">
      <c r="A2135" s="38" t="s">
        <v>2756</v>
      </c>
      <c r="B2135" s="40">
        <v>1628.5999755859375</v>
      </c>
      <c r="C2135" s="40">
        <v>1528.979736328125</v>
      </c>
      <c r="D2135" s="38">
        <v>2442281</v>
      </c>
      <c r="E2135" s="38" t="s">
        <v>2662</v>
      </c>
      <c r="F2135" s="38" t="s">
        <v>618</v>
      </c>
    </row>
    <row r="2136" spans="1:6">
      <c r="A2136" s="38" t="s">
        <v>2757</v>
      </c>
      <c r="B2136" s="40">
        <v>1604.6500244140625</v>
      </c>
      <c r="C2136" s="40">
        <v>1506.4947509765625</v>
      </c>
      <c r="D2136" s="38">
        <v>1935929</v>
      </c>
      <c r="E2136" s="38" t="s">
        <v>2662</v>
      </c>
      <c r="F2136" s="38" t="s">
        <v>618</v>
      </c>
    </row>
    <row r="2137" spans="1:6">
      <c r="A2137" s="38" t="s">
        <v>2758</v>
      </c>
      <c r="B2137" s="40">
        <v>1611.25</v>
      </c>
      <c r="C2137" s="40">
        <v>1512.6910400390625</v>
      </c>
      <c r="D2137" s="38">
        <v>1562554</v>
      </c>
      <c r="E2137" s="38" t="s">
        <v>2662</v>
      </c>
      <c r="F2137" s="38" t="s">
        <v>618</v>
      </c>
    </row>
    <row r="2138" spans="1:6">
      <c r="A2138" s="38" t="s">
        <v>2759</v>
      </c>
      <c r="B2138" s="40">
        <v>1598.4000244140625</v>
      </c>
      <c r="C2138" s="40">
        <v>1500.6270751953125</v>
      </c>
      <c r="D2138" s="38">
        <v>1020913</v>
      </c>
      <c r="E2138" s="38" t="s">
        <v>2662</v>
      </c>
      <c r="F2138" s="38" t="s">
        <v>618</v>
      </c>
    </row>
    <row r="2139" spans="1:6">
      <c r="A2139" s="38" t="s">
        <v>2760</v>
      </c>
      <c r="B2139" s="40">
        <v>1640.1500244140625</v>
      </c>
      <c r="C2139" s="40">
        <v>1539.8233642578125</v>
      </c>
      <c r="D2139" s="38">
        <v>1510157</v>
      </c>
      <c r="E2139" s="38" t="s">
        <v>2662</v>
      </c>
      <c r="F2139" s="38" t="s">
        <v>618</v>
      </c>
    </row>
    <row r="2140" spans="1:6">
      <c r="A2140" s="38" t="s">
        <v>2761</v>
      </c>
      <c r="B2140" s="40">
        <v>1624.5999755859375</v>
      </c>
      <c r="C2140" s="40">
        <v>1525.2244873046875</v>
      </c>
      <c r="D2140" s="38">
        <v>1083351</v>
      </c>
      <c r="E2140" s="38" t="s">
        <v>2662</v>
      </c>
      <c r="F2140" s="38" t="s">
        <v>618</v>
      </c>
    </row>
    <row r="2141" spans="1:6">
      <c r="A2141" s="38" t="s">
        <v>2762</v>
      </c>
      <c r="B2141" s="40">
        <v>1627.3499755859375</v>
      </c>
      <c r="C2141" s="40">
        <v>1527.80615234375</v>
      </c>
      <c r="D2141" s="38">
        <v>3033590</v>
      </c>
      <c r="E2141" s="38" t="s">
        <v>2662</v>
      </c>
      <c r="F2141" s="38" t="s">
        <v>618</v>
      </c>
    </row>
    <row r="2142" spans="1:6">
      <c r="A2142" s="38" t="s">
        <v>2763</v>
      </c>
      <c r="B2142" s="40">
        <v>1647.3499755859375</v>
      </c>
      <c r="C2142" s="40">
        <v>1546.582763671875</v>
      </c>
      <c r="D2142" s="38">
        <v>2194339</v>
      </c>
      <c r="E2142" s="38" t="s">
        <v>2662</v>
      </c>
      <c r="F2142" s="38" t="s">
        <v>618</v>
      </c>
    </row>
    <row r="2143" spans="1:6">
      <c r="A2143" s="38" t="s">
        <v>2764</v>
      </c>
      <c r="B2143" s="40">
        <v>1636.5</v>
      </c>
      <c r="C2143" s="40">
        <v>1536.396484375</v>
      </c>
      <c r="D2143" s="38">
        <v>1926984</v>
      </c>
      <c r="E2143" s="38" t="s">
        <v>2662</v>
      </c>
      <c r="F2143" s="38" t="s">
        <v>618</v>
      </c>
    </row>
    <row r="2144" spans="1:6">
      <c r="A2144" s="38" t="s">
        <v>2765</v>
      </c>
      <c r="B2144" s="40">
        <v>1646.6500244140625</v>
      </c>
      <c r="C2144" s="40">
        <v>1545.9256591796875</v>
      </c>
      <c r="D2144" s="38">
        <v>1582818</v>
      </c>
      <c r="E2144" s="38" t="s">
        <v>2662</v>
      </c>
      <c r="F2144" s="38" t="s">
        <v>618</v>
      </c>
    </row>
    <row r="2145" spans="1:6">
      <c r="A2145" s="38" t="s">
        <v>2766</v>
      </c>
      <c r="B2145" s="40">
        <v>1644.0999755859375</v>
      </c>
      <c r="C2145" s="40">
        <v>1543.531494140625</v>
      </c>
      <c r="D2145" s="38">
        <v>1739553</v>
      </c>
      <c r="E2145" s="38" t="s">
        <v>2662</v>
      </c>
      <c r="F2145" s="38" t="s">
        <v>618</v>
      </c>
    </row>
    <row r="2146" spans="1:6">
      <c r="A2146" s="38" t="s">
        <v>2767</v>
      </c>
      <c r="B2146" s="40">
        <v>1645.300048828125</v>
      </c>
      <c r="C2146" s="40">
        <v>1544.6583251953125</v>
      </c>
      <c r="D2146" s="38">
        <v>1643875</v>
      </c>
      <c r="E2146" s="38" t="s">
        <v>2662</v>
      </c>
      <c r="F2146" s="38" t="s">
        <v>618</v>
      </c>
    </row>
    <row r="2147" spans="1:6">
      <c r="A2147" s="38" t="s">
        <v>2768</v>
      </c>
      <c r="B2147" s="40">
        <v>1639.5</v>
      </c>
      <c r="C2147" s="40">
        <v>1539.2130126953125</v>
      </c>
      <c r="D2147" s="38">
        <v>1080904</v>
      </c>
      <c r="E2147" s="38" t="s">
        <v>2662</v>
      </c>
      <c r="F2147" s="38" t="s">
        <v>618</v>
      </c>
    </row>
    <row r="2148" spans="1:6">
      <c r="A2148" s="38" t="s">
        <v>2769</v>
      </c>
      <c r="B2148" s="40">
        <v>1623.25</v>
      </c>
      <c r="C2148" s="40">
        <v>1523.95703125</v>
      </c>
      <c r="D2148" s="38">
        <v>1672937</v>
      </c>
      <c r="E2148" s="38" t="s">
        <v>2662</v>
      </c>
      <c r="F2148" s="38" t="s">
        <v>618</v>
      </c>
    </row>
    <row r="2149" spans="1:6">
      <c r="A2149" s="38" t="s">
        <v>2770</v>
      </c>
      <c r="B2149" s="40">
        <v>1579.199951171875</v>
      </c>
      <c r="C2149" s="40">
        <v>1482.6015625</v>
      </c>
      <c r="D2149" s="38">
        <v>2965098</v>
      </c>
      <c r="E2149" s="38" t="s">
        <v>2662</v>
      </c>
      <c r="F2149" s="38" t="s">
        <v>618</v>
      </c>
    </row>
    <row r="2150" spans="1:6">
      <c r="A2150" s="38" t="s">
        <v>2771</v>
      </c>
      <c r="B2150" s="40">
        <v>1607.4000244140625</v>
      </c>
      <c r="C2150" s="40">
        <v>1509.0765380859375</v>
      </c>
      <c r="D2150" s="38">
        <v>2541973</v>
      </c>
      <c r="E2150" s="38" t="s">
        <v>2662</v>
      </c>
      <c r="F2150" s="38" t="s">
        <v>618</v>
      </c>
    </row>
    <row r="2151" spans="1:6">
      <c r="A2151" s="38" t="s">
        <v>2772</v>
      </c>
      <c r="B2151" s="40">
        <v>1602.5999755859375</v>
      </c>
      <c r="C2151" s="40">
        <v>1504.570068359375</v>
      </c>
      <c r="D2151" s="38">
        <v>1395340</v>
      </c>
      <c r="E2151" s="38" t="s">
        <v>2662</v>
      </c>
      <c r="F2151" s="38" t="s">
        <v>618</v>
      </c>
    </row>
    <row r="2152" spans="1:6">
      <c r="A2152" s="38" t="s">
        <v>2773</v>
      </c>
      <c r="B2152" s="40">
        <v>1643.25</v>
      </c>
      <c r="C2152" s="40">
        <v>1542.7335205078125</v>
      </c>
      <c r="D2152" s="38">
        <v>2356422</v>
      </c>
      <c r="E2152" s="38" t="s">
        <v>2662</v>
      </c>
      <c r="F2152" s="38" t="s">
        <v>618</v>
      </c>
    </row>
    <row r="2153" spans="1:6">
      <c r="A2153" s="38" t="s">
        <v>2774</v>
      </c>
      <c r="B2153" s="40">
        <v>1656.050048828125</v>
      </c>
      <c r="C2153" s="40">
        <v>1554.750732421875</v>
      </c>
      <c r="D2153" s="38">
        <v>1373924</v>
      </c>
      <c r="E2153" s="38" t="s">
        <v>2662</v>
      </c>
      <c r="F2153" s="38" t="s">
        <v>618</v>
      </c>
    </row>
    <row r="2154" spans="1:6">
      <c r="A2154" s="38" t="s">
        <v>2775</v>
      </c>
      <c r="B2154" s="40">
        <v>1649</v>
      </c>
      <c r="C2154" s="40">
        <v>1548.1319580078125</v>
      </c>
      <c r="D2154" s="38">
        <v>1060407</v>
      </c>
      <c r="E2154" s="38" t="s">
        <v>2662</v>
      </c>
      <c r="F2154" s="38" t="s">
        <v>618</v>
      </c>
    </row>
    <row r="2155" spans="1:6">
      <c r="A2155" s="38" t="s">
        <v>2776</v>
      </c>
      <c r="B2155" s="40">
        <v>1651.550048828125</v>
      </c>
      <c r="C2155" s="40">
        <v>1550.52587890625</v>
      </c>
      <c r="D2155" s="38">
        <v>1499644</v>
      </c>
      <c r="E2155" s="38" t="s">
        <v>2662</v>
      </c>
      <c r="F2155" s="38" t="s">
        <v>618</v>
      </c>
    </row>
    <row r="2156" spans="1:6">
      <c r="A2156" s="38" t="s">
        <v>2777</v>
      </c>
      <c r="B2156" s="40">
        <v>1605.4000244140625</v>
      </c>
      <c r="C2156" s="40">
        <v>1507.1988525390625</v>
      </c>
      <c r="D2156" s="38">
        <v>2930297</v>
      </c>
      <c r="E2156" s="38" t="s">
        <v>2662</v>
      </c>
      <c r="F2156" s="38" t="s">
        <v>618</v>
      </c>
    </row>
    <row r="2157" spans="1:6">
      <c r="A2157" s="38" t="s">
        <v>2778</v>
      </c>
      <c r="B2157" s="40">
        <v>1595.3499755859375</v>
      </c>
      <c r="C2157" s="40">
        <v>1497.7635498046875</v>
      </c>
      <c r="D2157" s="38">
        <v>3032379</v>
      </c>
      <c r="E2157" s="38" t="s">
        <v>2662</v>
      </c>
      <c r="F2157" s="38" t="s">
        <v>618</v>
      </c>
    </row>
    <row r="2158" spans="1:6">
      <c r="A2158" s="38" t="s">
        <v>2779</v>
      </c>
      <c r="B2158" s="40">
        <v>1622.050048828125</v>
      </c>
      <c r="C2158" s="40">
        <v>1522.8304443359375</v>
      </c>
      <c r="D2158" s="38">
        <v>3984683</v>
      </c>
      <c r="E2158" s="38" t="s">
        <v>2662</v>
      </c>
      <c r="F2158" s="38" t="s">
        <v>618</v>
      </c>
    </row>
    <row r="2159" spans="1:6">
      <c r="A2159" s="38" t="s">
        <v>2780</v>
      </c>
      <c r="B2159" s="40">
        <v>1607.1500244140625</v>
      </c>
      <c r="C2159" s="40">
        <v>1508.8419189453125</v>
      </c>
      <c r="D2159" s="38">
        <v>1535902</v>
      </c>
      <c r="E2159" s="38" t="s">
        <v>2662</v>
      </c>
      <c r="F2159" s="38" t="s">
        <v>618</v>
      </c>
    </row>
    <row r="2160" spans="1:6">
      <c r="A2160" s="38" t="s">
        <v>2781</v>
      </c>
      <c r="B2160" s="40">
        <v>1637.0999755859375</v>
      </c>
      <c r="C2160" s="40">
        <v>1536.9598388671875</v>
      </c>
      <c r="D2160" s="38">
        <v>1781972</v>
      </c>
      <c r="E2160" s="38" t="s">
        <v>2662</v>
      </c>
      <c r="F2160" s="38" t="s">
        <v>618</v>
      </c>
    </row>
    <row r="2161" spans="1:6">
      <c r="A2161" s="38" t="s">
        <v>2782</v>
      </c>
      <c r="B2161" s="40">
        <v>1602.75</v>
      </c>
      <c r="C2161" s="40">
        <v>1504.7109375</v>
      </c>
      <c r="D2161" s="38">
        <v>2505756</v>
      </c>
      <c r="E2161" s="38" t="s">
        <v>2662</v>
      </c>
      <c r="F2161" s="38" t="s">
        <v>618</v>
      </c>
    </row>
    <row r="2162" spans="1:6">
      <c r="A2162" s="38" t="s">
        <v>2783</v>
      </c>
      <c r="B2162" s="40">
        <v>1606.949951171875</v>
      </c>
      <c r="C2162" s="40">
        <v>1508.6539306640625</v>
      </c>
      <c r="D2162" s="38">
        <v>2173853</v>
      </c>
      <c r="E2162" s="38" t="s">
        <v>2662</v>
      </c>
      <c r="F2162" s="38" t="s">
        <v>618</v>
      </c>
    </row>
    <row r="2163" spans="1:6">
      <c r="A2163" s="38" t="s">
        <v>2784</v>
      </c>
      <c r="B2163" s="40">
        <v>1609.25</v>
      </c>
      <c r="C2163" s="40">
        <v>1510.8134765625</v>
      </c>
      <c r="D2163" s="38">
        <v>3539822</v>
      </c>
      <c r="E2163" s="38" t="s">
        <v>2662</v>
      </c>
      <c r="F2163" s="38" t="s">
        <v>618</v>
      </c>
    </row>
    <row r="2164" spans="1:6">
      <c r="A2164" s="38" t="s">
        <v>2785</v>
      </c>
      <c r="B2164" s="40">
        <v>1577.199951171875</v>
      </c>
      <c r="C2164" s="40">
        <v>1480.7237548828125</v>
      </c>
      <c r="D2164" s="38">
        <v>3460691</v>
      </c>
      <c r="E2164" s="38" t="s">
        <v>2662</v>
      </c>
      <c r="F2164" s="38" t="s">
        <v>618</v>
      </c>
    </row>
    <row r="2165" spans="1:6">
      <c r="A2165" s="38" t="s">
        <v>2786</v>
      </c>
      <c r="B2165" s="40">
        <v>1625.4000244140625</v>
      </c>
      <c r="C2165" s="40">
        <v>1525.9754638671875</v>
      </c>
      <c r="D2165" s="38">
        <v>5176596</v>
      </c>
      <c r="E2165" s="38" t="s">
        <v>2662</v>
      </c>
      <c r="F2165" s="38" t="s">
        <v>618</v>
      </c>
    </row>
    <row r="2166" spans="1:6">
      <c r="A2166" s="38" t="s">
        <v>2787</v>
      </c>
      <c r="B2166" s="40">
        <v>1604.050048828125</v>
      </c>
      <c r="C2166" s="40">
        <v>1505.9315185546875</v>
      </c>
      <c r="D2166" s="38">
        <v>2332279</v>
      </c>
      <c r="E2166" s="38" t="s">
        <v>2662</v>
      </c>
      <c r="F2166" s="38" t="s">
        <v>618</v>
      </c>
    </row>
    <row r="2167" spans="1:6">
      <c r="A2167" s="38" t="s">
        <v>2788</v>
      </c>
      <c r="B2167" s="40">
        <v>1616.449951171875</v>
      </c>
      <c r="C2167" s="40">
        <v>1517.572998046875</v>
      </c>
      <c r="D2167" s="38">
        <v>2927576</v>
      </c>
      <c r="E2167" s="38" t="s">
        <v>2662</v>
      </c>
      <c r="F2167" s="38" t="s">
        <v>618</v>
      </c>
    </row>
    <row r="2168" spans="1:6">
      <c r="A2168" s="38" t="s">
        <v>2789</v>
      </c>
      <c r="B2168" s="40">
        <v>1618.550048828125</v>
      </c>
      <c r="C2168" s="40">
        <v>1519.5445556640625</v>
      </c>
      <c r="D2168" s="38">
        <v>1619326</v>
      </c>
      <c r="E2168" s="38" t="s">
        <v>2662</v>
      </c>
      <c r="F2168" s="38" t="s">
        <v>618</v>
      </c>
    </row>
    <row r="2169" spans="1:6">
      <c r="A2169" s="38" t="s">
        <v>2790</v>
      </c>
      <c r="B2169" s="40">
        <v>1629.0999755859375</v>
      </c>
      <c r="C2169" s="40">
        <v>1529.4490966796875</v>
      </c>
      <c r="D2169" s="38">
        <v>1311331</v>
      </c>
      <c r="E2169" s="38" t="s">
        <v>2662</v>
      </c>
      <c r="F2169" s="38" t="s">
        <v>618</v>
      </c>
    </row>
    <row r="2170" spans="1:6">
      <c r="A2170" s="38" t="s">
        <v>2791</v>
      </c>
      <c r="B2170" s="40">
        <v>1658.800048828125</v>
      </c>
      <c r="C2170" s="40">
        <v>1557.3323974609375</v>
      </c>
      <c r="D2170" s="38">
        <v>2177241</v>
      </c>
      <c r="E2170" s="38" t="s">
        <v>2662</v>
      </c>
      <c r="F2170" s="38" t="s">
        <v>618</v>
      </c>
    </row>
    <row r="2171" spans="1:6">
      <c r="A2171" s="38" t="s">
        <v>2792</v>
      </c>
      <c r="B2171" s="40">
        <v>1619.699951171875</v>
      </c>
      <c r="C2171" s="40">
        <v>1520.6240234375</v>
      </c>
      <c r="D2171" s="38">
        <v>1518162</v>
      </c>
      <c r="E2171" s="38" t="s">
        <v>2662</v>
      </c>
      <c r="F2171" s="38" t="s">
        <v>618</v>
      </c>
    </row>
    <row r="2172" spans="1:6">
      <c r="A2172" s="38" t="s">
        <v>2793</v>
      </c>
      <c r="B2172" s="40">
        <v>1647.050048828125</v>
      </c>
      <c r="C2172" s="40">
        <v>1546.3011474609375</v>
      </c>
      <c r="D2172" s="38">
        <v>1019027</v>
      </c>
      <c r="E2172" s="38" t="s">
        <v>2662</v>
      </c>
      <c r="F2172" s="38" t="s">
        <v>618</v>
      </c>
    </row>
    <row r="2173" spans="1:6">
      <c r="A2173" s="38" t="s">
        <v>2794</v>
      </c>
      <c r="B2173" s="40">
        <v>1692.5</v>
      </c>
      <c r="C2173" s="40">
        <v>1588.97119140625</v>
      </c>
      <c r="D2173" s="38">
        <v>2070051</v>
      </c>
      <c r="E2173" s="38" t="s">
        <v>2662</v>
      </c>
      <c r="F2173" s="38" t="s">
        <v>618</v>
      </c>
    </row>
    <row r="2174" spans="1:6">
      <c r="A2174" s="38" t="s">
        <v>2795</v>
      </c>
      <c r="B2174" s="40">
        <v>1675.3499755859375</v>
      </c>
      <c r="C2174" s="40">
        <v>1572.8701171875</v>
      </c>
      <c r="D2174" s="38">
        <v>2503380</v>
      </c>
      <c r="E2174" s="38" t="s">
        <v>2662</v>
      </c>
      <c r="F2174" s="38" t="s">
        <v>618</v>
      </c>
    </row>
    <row r="2175" spans="1:6">
      <c r="A2175" s="38" t="s">
        <v>2796</v>
      </c>
      <c r="B2175" s="40">
        <v>1660.300048828125</v>
      </c>
      <c r="C2175" s="40">
        <v>1558.7408447265625</v>
      </c>
      <c r="D2175" s="38">
        <v>1070524</v>
      </c>
      <c r="E2175" s="38" t="s">
        <v>2662</v>
      </c>
      <c r="F2175" s="38" t="s">
        <v>618</v>
      </c>
    </row>
    <row r="2176" spans="1:6">
      <c r="A2176" s="38" t="s">
        <v>2797</v>
      </c>
      <c r="B2176" s="40">
        <v>1699</v>
      </c>
      <c r="C2176" s="40">
        <v>1595.073486328125</v>
      </c>
      <c r="D2176" s="38">
        <v>3771316</v>
      </c>
      <c r="E2176" s="38" t="s">
        <v>2662</v>
      </c>
      <c r="F2176" s="38" t="s">
        <v>618</v>
      </c>
    </row>
    <row r="2177" spans="1:6">
      <c r="A2177" s="38" t="s">
        <v>2798</v>
      </c>
      <c r="B2177" s="40">
        <v>1687.9000244140625</v>
      </c>
      <c r="C2177" s="40">
        <v>1584.6524658203125</v>
      </c>
      <c r="D2177" s="38">
        <v>3119646</v>
      </c>
      <c r="E2177" s="38" t="s">
        <v>2662</v>
      </c>
      <c r="F2177" s="38" t="s">
        <v>618</v>
      </c>
    </row>
    <row r="2178" spans="1:6">
      <c r="A2178" s="38" t="s">
        <v>2799</v>
      </c>
      <c r="B2178" s="40">
        <v>1701.199951171875</v>
      </c>
      <c r="C2178" s="40">
        <v>1597.1387939453125</v>
      </c>
      <c r="D2178" s="38">
        <v>5898020</v>
      </c>
      <c r="E2178" s="38" t="s">
        <v>2662</v>
      </c>
      <c r="F2178" s="38" t="s">
        <v>618</v>
      </c>
    </row>
    <row r="2179" spans="1:6">
      <c r="A2179" s="38" t="s">
        <v>2800</v>
      </c>
      <c r="B2179" s="40">
        <v>1696.550048828125</v>
      </c>
      <c r="C2179" s="40">
        <v>1592.7734375</v>
      </c>
      <c r="D2179" s="38">
        <v>2484594</v>
      </c>
      <c r="E2179" s="38" t="s">
        <v>2662</v>
      </c>
      <c r="F2179" s="38" t="s">
        <v>618</v>
      </c>
    </row>
    <row r="2180" spans="1:6">
      <c r="A2180" s="38" t="s">
        <v>2801</v>
      </c>
      <c r="B2180" s="40">
        <v>1735.949951171875</v>
      </c>
      <c r="C2180" s="40">
        <v>1629.7633056640625</v>
      </c>
      <c r="D2180" s="38">
        <v>4198781</v>
      </c>
      <c r="E2180" s="38" t="s">
        <v>2662</v>
      </c>
      <c r="F2180" s="38" t="s">
        <v>618</v>
      </c>
    </row>
    <row r="2181" spans="1:6">
      <c r="A2181" s="38" t="s">
        <v>2802</v>
      </c>
      <c r="B2181" s="40">
        <v>1735.75</v>
      </c>
      <c r="C2181" s="40">
        <v>1629.575439453125</v>
      </c>
      <c r="D2181" s="38">
        <v>1570443</v>
      </c>
      <c r="E2181" s="38" t="s">
        <v>2662</v>
      </c>
      <c r="F2181" s="38" t="s">
        <v>618</v>
      </c>
    </row>
    <row r="2182" spans="1:6">
      <c r="A2182" s="38" t="s">
        <v>2803</v>
      </c>
      <c r="B2182" s="40">
        <v>1716.449951171875</v>
      </c>
      <c r="C2182" s="40">
        <v>1611.4559326171875</v>
      </c>
      <c r="D2182" s="38">
        <v>1743714</v>
      </c>
      <c r="E2182" s="38" t="s">
        <v>2662</v>
      </c>
      <c r="F2182" s="38" t="s">
        <v>618</v>
      </c>
    </row>
    <row r="2183" spans="1:6">
      <c r="A2183" s="38" t="s">
        <v>2804</v>
      </c>
      <c r="B2183" s="40">
        <v>1702.550048828125</v>
      </c>
      <c r="C2183" s="40">
        <v>1598.40625</v>
      </c>
      <c r="D2183" s="38">
        <v>1271473</v>
      </c>
      <c r="E2183" s="38" t="s">
        <v>2662</v>
      </c>
      <c r="F2183" s="38" t="s">
        <v>618</v>
      </c>
    </row>
    <row r="2184" spans="1:6">
      <c r="A2184" s="38" t="s">
        <v>2805</v>
      </c>
      <c r="B2184" s="40">
        <v>1698.5</v>
      </c>
      <c r="C2184" s="40">
        <v>1594.60400390625</v>
      </c>
      <c r="D2184" s="38">
        <v>1499121</v>
      </c>
      <c r="E2184" s="38" t="s">
        <v>2662</v>
      </c>
      <c r="F2184" s="38" t="s">
        <v>618</v>
      </c>
    </row>
    <row r="2185" spans="1:6">
      <c r="A2185" s="38" t="s">
        <v>2806</v>
      </c>
      <c r="B2185" s="40">
        <v>1684.949951171875</v>
      </c>
      <c r="C2185" s="40">
        <v>1581.8828125</v>
      </c>
      <c r="D2185" s="38">
        <v>1305424</v>
      </c>
      <c r="E2185" s="38" t="s">
        <v>2662</v>
      </c>
      <c r="F2185" s="38" t="s">
        <v>618</v>
      </c>
    </row>
    <row r="2186" spans="1:6">
      <c r="A2186" s="38" t="s">
        <v>2807</v>
      </c>
      <c r="B2186" s="40">
        <v>1608.6500244140625</v>
      </c>
      <c r="C2186" s="40">
        <v>1523.815673828125</v>
      </c>
      <c r="D2186" s="38">
        <v>3638913</v>
      </c>
      <c r="E2186" s="38" t="s">
        <v>2662</v>
      </c>
      <c r="F2186" s="38" t="s">
        <v>618</v>
      </c>
    </row>
    <row r="2187" spans="1:6">
      <c r="A2187" s="38" t="s">
        <v>2808</v>
      </c>
      <c r="B2187" s="40">
        <v>1603.6500244140625</v>
      </c>
      <c r="C2187" s="40">
        <v>1519.0792236328125</v>
      </c>
      <c r="D2187" s="38">
        <v>249236</v>
      </c>
      <c r="E2187" s="38" t="s">
        <v>2662</v>
      </c>
      <c r="F2187" s="38" t="s">
        <v>618</v>
      </c>
    </row>
    <row r="2188" spans="1:6">
      <c r="A2188" s="38" t="s">
        <v>2809</v>
      </c>
      <c r="B2188" s="40">
        <v>1638.4000244140625</v>
      </c>
      <c r="C2188" s="40">
        <v>1551.9967041015625</v>
      </c>
      <c r="D2188" s="38">
        <v>2746587</v>
      </c>
      <c r="E2188" s="38" t="s">
        <v>2662</v>
      </c>
      <c r="F2188" s="38" t="s">
        <v>618</v>
      </c>
    </row>
    <row r="2189" spans="1:6">
      <c r="A2189" s="38" t="s">
        <v>2810</v>
      </c>
      <c r="B2189" s="40">
        <v>1632.6500244140625</v>
      </c>
      <c r="C2189" s="40">
        <v>1546.5499267578125</v>
      </c>
      <c r="D2189" s="38">
        <v>1376651</v>
      </c>
      <c r="E2189" s="38" t="s">
        <v>2662</v>
      </c>
      <c r="F2189" s="38" t="s">
        <v>618</v>
      </c>
    </row>
    <row r="2190" spans="1:6">
      <c r="A2190" s="38" t="s">
        <v>2811</v>
      </c>
      <c r="B2190" s="40">
        <v>1693.550048828125</v>
      </c>
      <c r="C2190" s="40">
        <v>1604.23828125</v>
      </c>
      <c r="D2190" s="38">
        <v>3164061</v>
      </c>
      <c r="E2190" s="38" t="s">
        <v>2662</v>
      </c>
      <c r="F2190" s="38" t="s">
        <v>618</v>
      </c>
    </row>
    <row r="2191" spans="1:6">
      <c r="A2191" s="38" t="s">
        <v>2812</v>
      </c>
      <c r="B2191" s="40">
        <v>1651</v>
      </c>
      <c r="C2191" s="40">
        <v>1563.93212890625</v>
      </c>
      <c r="D2191" s="38">
        <v>1285140</v>
      </c>
      <c r="E2191" s="38" t="s">
        <v>2662</v>
      </c>
      <c r="F2191" s="38" t="s">
        <v>618</v>
      </c>
    </row>
    <row r="2192" spans="1:6">
      <c r="A2192" s="38" t="s">
        <v>2813</v>
      </c>
      <c r="B2192" s="40">
        <v>1681.3499755859375</v>
      </c>
      <c r="C2192" s="40">
        <v>1592.681640625</v>
      </c>
      <c r="D2192" s="38">
        <v>1883257</v>
      </c>
      <c r="E2192" s="38" t="s">
        <v>2662</v>
      </c>
      <c r="F2192" s="38" t="s">
        <v>618</v>
      </c>
    </row>
    <row r="2193" spans="1:6">
      <c r="A2193" s="38" t="s">
        <v>2814</v>
      </c>
      <c r="B2193" s="40">
        <v>1704.1500244140625</v>
      </c>
      <c r="C2193" s="40">
        <v>1614.2791748046875</v>
      </c>
      <c r="D2193" s="38">
        <v>1587351</v>
      </c>
      <c r="E2193" s="38" t="s">
        <v>2662</v>
      </c>
      <c r="F2193" s="38" t="s">
        <v>618</v>
      </c>
    </row>
    <row r="2194" spans="1:6">
      <c r="A2194" s="38" t="s">
        <v>2815</v>
      </c>
      <c r="B2194" s="40">
        <v>1687</v>
      </c>
      <c r="C2194" s="40">
        <v>1598.03369140625</v>
      </c>
      <c r="D2194" s="38">
        <v>1414446</v>
      </c>
      <c r="E2194" s="38" t="s">
        <v>2662</v>
      </c>
      <c r="F2194" s="38" t="s">
        <v>618</v>
      </c>
    </row>
    <row r="2195" spans="1:6">
      <c r="A2195" s="38" t="s">
        <v>2816</v>
      </c>
      <c r="B2195" s="40">
        <v>1675.5999755859375</v>
      </c>
      <c r="C2195" s="40">
        <v>1587.23486328125</v>
      </c>
      <c r="D2195" s="38">
        <v>1063556</v>
      </c>
      <c r="E2195" s="38" t="s">
        <v>2662</v>
      </c>
      <c r="F2195" s="38" t="s">
        <v>618</v>
      </c>
    </row>
    <row r="2196" spans="1:6">
      <c r="A2196" s="38" t="s">
        <v>2817</v>
      </c>
      <c r="B2196" s="40">
        <v>1687.5</v>
      </c>
      <c r="C2196" s="40">
        <v>1598.50732421875</v>
      </c>
      <c r="D2196" s="38">
        <v>1919974</v>
      </c>
      <c r="E2196" s="38" t="s">
        <v>2662</v>
      </c>
      <c r="F2196" s="38" t="s">
        <v>618</v>
      </c>
    </row>
    <row r="2197" spans="1:6">
      <c r="A2197" s="38" t="s">
        <v>2818</v>
      </c>
      <c r="B2197" s="40">
        <v>1660.800048828125</v>
      </c>
      <c r="C2197" s="40">
        <v>1573.21533203125</v>
      </c>
      <c r="D2197" s="38">
        <v>1617013</v>
      </c>
      <c r="E2197" s="38" t="s">
        <v>2662</v>
      </c>
      <c r="F2197" s="38" t="s">
        <v>618</v>
      </c>
    </row>
    <row r="2198" spans="1:6">
      <c r="A2198" s="38" t="s">
        <v>2819</v>
      </c>
      <c r="B2198" s="40">
        <v>1699.6500244140625</v>
      </c>
      <c r="C2198" s="40">
        <v>1610.0167236328125</v>
      </c>
      <c r="D2198" s="38">
        <v>1982317</v>
      </c>
      <c r="E2198" s="38" t="s">
        <v>2662</v>
      </c>
      <c r="F2198" s="38" t="s">
        <v>618</v>
      </c>
    </row>
    <row r="2199" spans="1:6">
      <c r="A2199" s="38" t="s">
        <v>2820</v>
      </c>
      <c r="B2199" s="40">
        <v>1702.25</v>
      </c>
      <c r="C2199" s="40">
        <v>1612.4793701171875</v>
      </c>
      <c r="D2199" s="38">
        <v>2212146</v>
      </c>
      <c r="E2199" s="38" t="s">
        <v>2662</v>
      </c>
      <c r="F2199" s="38" t="s">
        <v>618</v>
      </c>
    </row>
    <row r="2200" spans="1:6">
      <c r="A2200" s="38" t="s">
        <v>2821</v>
      </c>
      <c r="B2200" s="40">
        <v>1747.449951171875</v>
      </c>
      <c r="C2200" s="40">
        <v>1655.295654296875</v>
      </c>
      <c r="D2200" s="38">
        <v>2344087</v>
      </c>
      <c r="E2200" s="38" t="s">
        <v>2662</v>
      </c>
      <c r="F2200" s="38" t="s">
        <v>618</v>
      </c>
    </row>
    <row r="2201" spans="1:6">
      <c r="A2201" s="38" t="s">
        <v>2822</v>
      </c>
      <c r="B2201" s="40">
        <v>1732.5999755859375</v>
      </c>
      <c r="C2201" s="40">
        <v>1641.2288818359375</v>
      </c>
      <c r="D2201" s="38">
        <v>3913302</v>
      </c>
      <c r="E2201" s="38" t="s">
        <v>2662</v>
      </c>
      <c r="F2201" s="38" t="s">
        <v>618</v>
      </c>
    </row>
    <row r="2202" spans="1:6">
      <c r="A2202" s="38" t="s">
        <v>2823</v>
      </c>
      <c r="B2202" s="40">
        <v>1745.4000244140625</v>
      </c>
      <c r="C2202" s="40">
        <v>1653.35400390625</v>
      </c>
      <c r="D2202" s="38">
        <v>1291712</v>
      </c>
      <c r="E2202" s="38" t="s">
        <v>2662</v>
      </c>
      <c r="F2202" s="38" t="s">
        <v>618</v>
      </c>
    </row>
    <row r="2203" spans="1:6">
      <c r="A2203" s="38" t="s">
        <v>2824</v>
      </c>
      <c r="B2203" s="40">
        <v>1756.800048828125</v>
      </c>
      <c r="C2203" s="40">
        <v>1664.1527099609375</v>
      </c>
      <c r="D2203" s="38">
        <v>2088228</v>
      </c>
      <c r="E2203" s="38" t="s">
        <v>2662</v>
      </c>
      <c r="F2203" s="38" t="s">
        <v>618</v>
      </c>
    </row>
    <row r="2204" spans="1:6">
      <c r="A2204" s="38" t="s">
        <v>2825</v>
      </c>
      <c r="B2204" s="40">
        <v>1713.3499755859375</v>
      </c>
      <c r="C2204" s="40">
        <v>1622.994140625</v>
      </c>
      <c r="D2204" s="38">
        <v>1787990</v>
      </c>
      <c r="E2204" s="38" t="s">
        <v>2662</v>
      </c>
      <c r="F2204" s="38" t="s">
        <v>618</v>
      </c>
    </row>
    <row r="2205" spans="1:6">
      <c r="A2205" s="38" t="s">
        <v>2826</v>
      </c>
      <c r="B2205" s="40">
        <v>1712.300048828125</v>
      </c>
      <c r="C2205" s="40">
        <v>1621.99951171875</v>
      </c>
      <c r="D2205" s="38">
        <v>1556942</v>
      </c>
      <c r="E2205" s="38" t="s">
        <v>2662</v>
      </c>
      <c r="F2205" s="38" t="s">
        <v>618</v>
      </c>
    </row>
    <row r="2206" spans="1:6">
      <c r="A2206" s="38" t="s">
        <v>2827</v>
      </c>
      <c r="B2206" s="40">
        <v>1745.949951171875</v>
      </c>
      <c r="C2206" s="40">
        <v>1653.8748779296875</v>
      </c>
      <c r="D2206" s="38">
        <v>1370756</v>
      </c>
      <c r="E2206" s="38" t="s">
        <v>2662</v>
      </c>
      <c r="F2206" s="38" t="s">
        <v>618</v>
      </c>
    </row>
    <row r="2207" spans="1:6">
      <c r="A2207" s="38" t="s">
        <v>2828</v>
      </c>
      <c r="B2207" s="40">
        <v>1749.5</v>
      </c>
      <c r="C2207" s="40">
        <v>1657.2376708984375</v>
      </c>
      <c r="D2207" s="38">
        <v>1824151</v>
      </c>
      <c r="E2207" s="38" t="s">
        <v>2662</v>
      </c>
      <c r="F2207" s="38" t="s">
        <v>618</v>
      </c>
    </row>
    <row r="2208" spans="1:6">
      <c r="A2208" s="38" t="s">
        <v>2829</v>
      </c>
      <c r="B2208" s="40">
        <v>1759.5999755859375</v>
      </c>
      <c r="C2208" s="40">
        <v>1666.804931640625</v>
      </c>
      <c r="D2208" s="38">
        <v>1811165</v>
      </c>
      <c r="E2208" s="38" t="s">
        <v>2662</v>
      </c>
      <c r="F2208" s="38" t="s">
        <v>618</v>
      </c>
    </row>
    <row r="2209" spans="1:6">
      <c r="A2209" s="38" t="s">
        <v>2830</v>
      </c>
      <c r="B2209" s="40">
        <v>1786.949951171875</v>
      </c>
      <c r="C2209" s="40">
        <v>1692.712646484375</v>
      </c>
      <c r="D2209" s="38">
        <v>2762694</v>
      </c>
      <c r="E2209" s="38" t="s">
        <v>2662</v>
      </c>
      <c r="F2209" s="38" t="s">
        <v>618</v>
      </c>
    </row>
    <row r="2210" spans="1:6">
      <c r="A2210" s="38" t="s">
        <v>2831</v>
      </c>
      <c r="B2210" s="40">
        <v>1782.800048828125</v>
      </c>
      <c r="C2210" s="40">
        <v>1688.7816162109375</v>
      </c>
      <c r="D2210" s="38">
        <v>1180840</v>
      </c>
      <c r="E2210" s="38" t="s">
        <v>2662</v>
      </c>
      <c r="F2210" s="38" t="s">
        <v>618</v>
      </c>
    </row>
    <row r="2211" spans="1:6">
      <c r="A2211" s="38" t="s">
        <v>2832</v>
      </c>
      <c r="B2211" s="40">
        <v>1777.8499755859375</v>
      </c>
      <c r="C2211" s="40">
        <v>1684.0926513671875</v>
      </c>
      <c r="D2211" s="38">
        <v>1069659</v>
      </c>
      <c r="E2211" s="38" t="s">
        <v>2662</v>
      </c>
      <c r="F2211" s="38" t="s">
        <v>618</v>
      </c>
    </row>
    <row r="2212" spans="1:6">
      <c r="A2212" s="38" t="s">
        <v>2833</v>
      </c>
      <c r="B2212" s="40">
        <v>1763.550048828125</v>
      </c>
      <c r="C2212" s="40">
        <v>1670.546875</v>
      </c>
      <c r="D2212" s="38">
        <v>1625591</v>
      </c>
      <c r="E2212" s="38" t="s">
        <v>2662</v>
      </c>
      <c r="F2212" s="38" t="s">
        <v>618</v>
      </c>
    </row>
    <row r="2213" spans="1:6">
      <c r="A2213" s="38" t="s">
        <v>2834</v>
      </c>
      <c r="B2213" s="40">
        <v>1762.800048828125</v>
      </c>
      <c r="C2213" s="40">
        <v>1669.8363037109375</v>
      </c>
      <c r="D2213" s="38">
        <v>1285654</v>
      </c>
      <c r="E2213" s="38" t="s">
        <v>2662</v>
      </c>
      <c r="F2213" s="38" t="s">
        <v>618</v>
      </c>
    </row>
    <row r="2214" spans="1:6">
      <c r="A2214" s="38" t="s">
        <v>2835</v>
      </c>
      <c r="B2214" s="40">
        <v>1789.5999755859375</v>
      </c>
      <c r="C2214" s="40">
        <v>1695.2227783203125</v>
      </c>
      <c r="D2214" s="38">
        <v>3018243</v>
      </c>
      <c r="E2214" s="38" t="s">
        <v>2662</v>
      </c>
      <c r="F2214" s="38" t="s">
        <v>618</v>
      </c>
    </row>
    <row r="2215" spans="1:6">
      <c r="A2215" s="38" t="s">
        <v>2836</v>
      </c>
      <c r="B2215" s="40">
        <v>1796.4000244140625</v>
      </c>
      <c r="C2215" s="40">
        <v>1701.664306640625</v>
      </c>
      <c r="D2215" s="38">
        <v>1503188</v>
      </c>
      <c r="E2215" s="38" t="s">
        <v>2662</v>
      </c>
      <c r="F2215" s="38" t="s">
        <v>618</v>
      </c>
    </row>
    <row r="2216" spans="1:6">
      <c r="A2216" s="38" t="s">
        <v>2837</v>
      </c>
      <c r="B2216" s="40">
        <v>1775.550048828125</v>
      </c>
      <c r="C2216" s="40">
        <v>1681.9139404296875</v>
      </c>
      <c r="D2216" s="38">
        <v>1075193</v>
      </c>
      <c r="E2216" s="38" t="s">
        <v>2662</v>
      </c>
      <c r="F2216" s="38" t="s">
        <v>618</v>
      </c>
    </row>
    <row r="2217" spans="1:6">
      <c r="A2217" s="38" t="s">
        <v>2838</v>
      </c>
      <c r="B2217" s="40">
        <v>1770.75</v>
      </c>
      <c r="C2217" s="40">
        <v>1677.3670654296875</v>
      </c>
      <c r="D2217" s="38">
        <v>1160899</v>
      </c>
      <c r="E2217" s="38" t="s">
        <v>2662</v>
      </c>
      <c r="F2217" s="38" t="s">
        <v>618</v>
      </c>
    </row>
    <row r="2218" spans="1:6">
      <c r="A2218" s="38" t="s">
        <v>2839</v>
      </c>
      <c r="B2218" s="40">
        <v>1778.9000244140625</v>
      </c>
      <c r="C2218" s="40">
        <v>1685.087158203125</v>
      </c>
      <c r="D2218" s="38">
        <v>1337600</v>
      </c>
      <c r="E2218" s="38" t="s">
        <v>2662</v>
      </c>
      <c r="F2218" s="38" t="s">
        <v>618</v>
      </c>
    </row>
    <row r="2219" spans="1:6">
      <c r="A2219" s="38" t="s">
        <v>2840</v>
      </c>
      <c r="B2219" s="40">
        <v>1754.3499755859375</v>
      </c>
      <c r="C2219" s="40">
        <v>1661.8319091796875</v>
      </c>
      <c r="D2219" s="38">
        <v>2402819</v>
      </c>
      <c r="E2219" s="38" t="s">
        <v>2662</v>
      </c>
      <c r="F2219" s="38" t="s">
        <v>618</v>
      </c>
    </row>
    <row r="2220" spans="1:6">
      <c r="A2220" s="38" t="s">
        <v>2841</v>
      </c>
      <c r="B2220" s="40">
        <v>1686.050048828125</v>
      </c>
      <c r="C2220" s="40">
        <v>1597.1337890625</v>
      </c>
      <c r="D2220" s="38">
        <v>2921154</v>
      </c>
      <c r="E2220" s="38" t="s">
        <v>2662</v>
      </c>
      <c r="F2220" s="38" t="s">
        <v>618</v>
      </c>
    </row>
    <row r="2221" spans="1:6">
      <c r="A2221" s="38" t="s">
        <v>2842</v>
      </c>
      <c r="B2221" s="40">
        <v>1712.4000244140625</v>
      </c>
      <c r="C2221" s="40">
        <v>1622.09423828125</v>
      </c>
      <c r="D2221" s="38">
        <v>1301223</v>
      </c>
      <c r="E2221" s="38" t="s">
        <v>2662</v>
      </c>
      <c r="F2221" s="38" t="s">
        <v>618</v>
      </c>
    </row>
    <row r="2222" spans="1:6">
      <c r="A2222" s="38" t="s">
        <v>2843</v>
      </c>
      <c r="B2222" s="40">
        <v>1704.9000244140625</v>
      </c>
      <c r="C2222" s="40">
        <v>1614.98974609375</v>
      </c>
      <c r="D2222" s="38">
        <v>711026</v>
      </c>
      <c r="E2222" s="38" t="s">
        <v>2662</v>
      </c>
      <c r="F2222" s="38" t="s">
        <v>618</v>
      </c>
    </row>
    <row r="2223" spans="1:6">
      <c r="A2223" s="38" t="s">
        <v>2844</v>
      </c>
      <c r="B2223" s="40">
        <v>1698.699951171875</v>
      </c>
      <c r="C2223" s="40">
        <v>1609.1165771484375</v>
      </c>
      <c r="D2223" s="38">
        <v>659638</v>
      </c>
      <c r="E2223" s="38" t="s">
        <v>2662</v>
      </c>
      <c r="F2223" s="38" t="s">
        <v>618</v>
      </c>
    </row>
    <row r="2224" spans="1:6">
      <c r="A2224" s="38" t="s">
        <v>2845</v>
      </c>
      <c r="B2224" s="40">
        <v>1711.6500244140625</v>
      </c>
      <c r="C2224" s="40">
        <v>1621.3837890625</v>
      </c>
      <c r="D2224" s="38">
        <v>647945</v>
      </c>
      <c r="E2224" s="38" t="s">
        <v>2662</v>
      </c>
      <c r="F2224" s="38" t="s">
        <v>618</v>
      </c>
    </row>
    <row r="2225" spans="1:6">
      <c r="A2225" s="38" t="s">
        <v>2846</v>
      </c>
      <c r="B2225" s="40">
        <v>1740.8499755859375</v>
      </c>
      <c r="C2225" s="40">
        <v>1649.043701171875</v>
      </c>
      <c r="D2225" s="38">
        <v>6781500</v>
      </c>
      <c r="E2225" s="38" t="s">
        <v>2662</v>
      </c>
      <c r="F2225" s="38" t="s">
        <v>618</v>
      </c>
    </row>
    <row r="2226" spans="1:6">
      <c r="A2226" s="38" t="s">
        <v>2847</v>
      </c>
      <c r="B2226" s="40">
        <v>1706.199951171875</v>
      </c>
      <c r="C2226" s="40">
        <v>1616.22119140625</v>
      </c>
      <c r="D2226" s="38">
        <v>1459630</v>
      </c>
      <c r="E2226" s="38" t="s">
        <v>2662</v>
      </c>
      <c r="F2226" s="38" t="s">
        <v>618</v>
      </c>
    </row>
    <row r="2227" spans="1:6">
      <c r="A2227" s="38" t="s">
        <v>2848</v>
      </c>
      <c r="B2227" s="40">
        <v>1703.8499755859375</v>
      </c>
      <c r="C2227" s="40">
        <v>1613.9949951171875</v>
      </c>
      <c r="D2227" s="38">
        <v>721479</v>
      </c>
      <c r="E2227" s="38" t="s">
        <v>2662</v>
      </c>
      <c r="F2227" s="38" t="s">
        <v>618</v>
      </c>
    </row>
    <row r="2228" spans="1:6">
      <c r="A2228" s="38" t="s">
        <v>2849</v>
      </c>
      <c r="B2228" s="40">
        <v>1726.949951171875</v>
      </c>
      <c r="C2228" s="40">
        <v>1635.8768310546875</v>
      </c>
      <c r="D2228" s="38">
        <v>1238954</v>
      </c>
      <c r="E2228" s="38" t="s">
        <v>2662</v>
      </c>
      <c r="F2228" s="38" t="s">
        <v>618</v>
      </c>
    </row>
    <row r="2229" spans="1:6">
      <c r="A2229" s="38" t="s">
        <v>2850</v>
      </c>
      <c r="B2229" s="40">
        <v>1689.449951171875</v>
      </c>
      <c r="C2229" s="40">
        <v>1600.3544921875</v>
      </c>
      <c r="D2229" s="38">
        <v>2448088</v>
      </c>
      <c r="E2229" s="38" t="s">
        <v>2662</v>
      </c>
      <c r="F2229" s="38" t="s">
        <v>618</v>
      </c>
    </row>
    <row r="2230" spans="1:6">
      <c r="A2230" s="38" t="s">
        <v>2851</v>
      </c>
      <c r="B2230" s="40">
        <v>1686.300048828125</v>
      </c>
      <c r="C2230" s="40">
        <v>1597.37060546875</v>
      </c>
      <c r="D2230" s="38">
        <v>945693</v>
      </c>
      <c r="E2230" s="38" t="s">
        <v>2662</v>
      </c>
      <c r="F2230" s="38" t="s">
        <v>618</v>
      </c>
    </row>
    <row r="2231" spans="1:6">
      <c r="A2231" s="38" t="s">
        <v>2852</v>
      </c>
      <c r="B2231" s="40">
        <v>1671.1500244140625</v>
      </c>
      <c r="C2231" s="40">
        <v>1583.01953125</v>
      </c>
      <c r="D2231" s="38">
        <v>1305847</v>
      </c>
      <c r="E2231" s="38" t="s">
        <v>2662</v>
      </c>
      <c r="F2231" s="38" t="s">
        <v>618</v>
      </c>
    </row>
    <row r="2232" spans="1:6">
      <c r="A2232" s="38" t="s">
        <v>2853</v>
      </c>
      <c r="B2232" s="40">
        <v>1663.75</v>
      </c>
      <c r="C2232" s="40">
        <v>1576.009765625</v>
      </c>
      <c r="D2232" s="38">
        <v>673344</v>
      </c>
      <c r="E2232" s="38" t="s">
        <v>2662</v>
      </c>
      <c r="F2232" s="38" t="s">
        <v>618</v>
      </c>
    </row>
    <row r="2233" spans="1:6">
      <c r="A2233" s="38" t="s">
        <v>2854</v>
      </c>
      <c r="B2233" s="40">
        <v>1642.800048828125</v>
      </c>
      <c r="C2233" s="40">
        <v>1556.1646728515625</v>
      </c>
      <c r="D2233" s="38">
        <v>774065</v>
      </c>
      <c r="E2233" s="38" t="s">
        <v>2662</v>
      </c>
      <c r="F2233" s="38" t="s">
        <v>618</v>
      </c>
    </row>
    <row r="2234" spans="1:6">
      <c r="A2234" s="38" t="s">
        <v>2855</v>
      </c>
      <c r="B2234" s="40">
        <v>1705.5999755859375</v>
      </c>
      <c r="C2234" s="40">
        <v>1615.65283203125</v>
      </c>
      <c r="D2234" s="38">
        <v>2208899</v>
      </c>
      <c r="E2234" s="38" t="s">
        <v>2662</v>
      </c>
      <c r="F2234" s="38" t="s">
        <v>618</v>
      </c>
    </row>
    <row r="2235" spans="1:6">
      <c r="A2235" s="38" t="s">
        <v>2856</v>
      </c>
      <c r="B2235" s="40">
        <v>1659.6500244140625</v>
      </c>
      <c r="C2235" s="40">
        <v>1572.1259765625</v>
      </c>
      <c r="D2235" s="38">
        <v>1401093</v>
      </c>
      <c r="E2235" s="38" t="s">
        <v>2662</v>
      </c>
      <c r="F2235" s="38" t="s">
        <v>618</v>
      </c>
    </row>
    <row r="2236" spans="1:6">
      <c r="A2236" s="38" t="s">
        <v>2857</v>
      </c>
      <c r="B2236" s="40">
        <v>1647.5</v>
      </c>
      <c r="C2236" s="40">
        <v>1560.61669921875</v>
      </c>
      <c r="D2236" s="38">
        <v>2480288</v>
      </c>
      <c r="E2236" s="38" t="s">
        <v>2662</v>
      </c>
      <c r="F2236" s="38" t="s">
        <v>618</v>
      </c>
    </row>
    <row r="2237" spans="1:6">
      <c r="A2237" s="38" t="s">
        <v>2858</v>
      </c>
      <c r="B2237" s="40">
        <v>1675.949951171875</v>
      </c>
      <c r="C2237" s="40">
        <v>1587.5662841796875</v>
      </c>
      <c r="D2237" s="38">
        <v>1079742</v>
      </c>
      <c r="E2237" s="38" t="s">
        <v>2662</v>
      </c>
      <c r="F2237" s="38" t="s">
        <v>618</v>
      </c>
    </row>
    <row r="2238" spans="1:6">
      <c r="A2238" s="38" t="s">
        <v>2859</v>
      </c>
      <c r="B2238" s="40">
        <v>1687.6500244140625</v>
      </c>
      <c r="C2238" s="40">
        <v>1598.6495361328125</v>
      </c>
      <c r="D2238" s="38">
        <v>2334315</v>
      </c>
      <c r="E2238" s="38" t="s">
        <v>2662</v>
      </c>
      <c r="F2238" s="38" t="s">
        <v>618</v>
      </c>
    </row>
    <row r="2239" spans="1:6">
      <c r="A2239" s="38" t="s">
        <v>2860</v>
      </c>
      <c r="B2239" s="40">
        <v>1660.300048828125</v>
      </c>
      <c r="C2239" s="40">
        <v>1572.7418212890625</v>
      </c>
      <c r="D2239" s="38">
        <v>2502285</v>
      </c>
      <c r="E2239" s="38" t="s">
        <v>2662</v>
      </c>
      <c r="F2239" s="38" t="s">
        <v>618</v>
      </c>
    </row>
    <row r="2240" spans="1:6">
      <c r="A2240" s="38" t="s">
        <v>2861</v>
      </c>
      <c r="B2240" s="40">
        <v>1674.5999755859375</v>
      </c>
      <c r="C2240" s="40">
        <v>1586.28759765625</v>
      </c>
      <c r="D2240" s="38">
        <v>4856268</v>
      </c>
      <c r="E2240" s="38" t="s">
        <v>2662</v>
      </c>
      <c r="F2240" s="38" t="s">
        <v>618</v>
      </c>
    </row>
    <row r="2241" spans="1:6">
      <c r="A2241" s="38" t="s">
        <v>2862</v>
      </c>
      <c r="B2241" s="40">
        <v>1640.5</v>
      </c>
      <c r="C2241" s="40">
        <v>1553.98583984375</v>
      </c>
      <c r="D2241" s="38">
        <v>2500061</v>
      </c>
      <c r="E2241" s="38" t="s">
        <v>2662</v>
      </c>
      <c r="F2241" s="38" t="s">
        <v>618</v>
      </c>
    </row>
    <row r="2242" spans="1:6">
      <c r="A2242" s="38" t="s">
        <v>2863</v>
      </c>
      <c r="B2242" s="40">
        <v>1683.949951171875</v>
      </c>
      <c r="C2242" s="40">
        <v>1595.1444091796875</v>
      </c>
      <c r="D2242" s="38">
        <v>2478559</v>
      </c>
      <c r="E2242" s="38" t="s">
        <v>2662</v>
      </c>
      <c r="F2242" s="38" t="s">
        <v>618</v>
      </c>
    </row>
    <row r="2243" spans="1:6">
      <c r="A2243" s="38" t="s">
        <v>2864</v>
      </c>
      <c r="B2243" s="40">
        <v>1713.4000244140625</v>
      </c>
      <c r="C2243" s="40">
        <v>1623.0413818359375</v>
      </c>
      <c r="D2243" s="38">
        <v>2255334</v>
      </c>
      <c r="E2243" s="38" t="s">
        <v>2662</v>
      </c>
      <c r="F2243" s="38" t="s">
        <v>618</v>
      </c>
    </row>
    <row r="2244" spans="1:6">
      <c r="A2244" s="38" t="s">
        <v>2865</v>
      </c>
      <c r="B2244" s="40">
        <v>1723.050048828125</v>
      </c>
      <c r="C2244" s="40">
        <v>1632.1826171875</v>
      </c>
      <c r="D2244" s="38">
        <v>1257165</v>
      </c>
      <c r="E2244" s="38" t="s">
        <v>2662</v>
      </c>
      <c r="F2244" s="38" t="s">
        <v>618</v>
      </c>
    </row>
    <row r="2245" spans="1:6">
      <c r="A2245" s="38" t="s">
        <v>2866</v>
      </c>
      <c r="B2245" s="40">
        <v>1653.9000244140625</v>
      </c>
      <c r="C2245" s="40">
        <v>1566.6793212890625</v>
      </c>
      <c r="D2245" s="38">
        <v>1174799</v>
      </c>
      <c r="E2245" s="38" t="s">
        <v>2662</v>
      </c>
      <c r="F2245" s="38" t="s">
        <v>618</v>
      </c>
    </row>
    <row r="2246" spans="1:6">
      <c r="A2246" s="38" t="s">
        <v>2867</v>
      </c>
      <c r="B2246" s="40">
        <v>1648.3499755859375</v>
      </c>
      <c r="C2246" s="40">
        <v>1561.421875</v>
      </c>
      <c r="D2246" s="38">
        <v>1820874</v>
      </c>
      <c r="E2246" s="38" t="s">
        <v>2662</v>
      </c>
      <c r="F2246" s="38" t="s">
        <v>618</v>
      </c>
    </row>
    <row r="2247" spans="1:6">
      <c r="A2247" s="38" t="s">
        <v>2868</v>
      </c>
      <c r="B2247" s="40">
        <v>1681.1500244140625</v>
      </c>
      <c r="C2247" s="40">
        <v>1592.4921875</v>
      </c>
      <c r="D2247" s="38">
        <v>1146508</v>
      </c>
      <c r="E2247" s="38" t="s">
        <v>2662</v>
      </c>
      <c r="F2247" s="38" t="s">
        <v>618</v>
      </c>
    </row>
    <row r="2248" spans="1:6">
      <c r="A2248" s="38" t="s">
        <v>2869</v>
      </c>
      <c r="B2248" s="40">
        <v>1670.0999755859375</v>
      </c>
      <c r="C2248" s="40">
        <v>1582.02490234375</v>
      </c>
      <c r="D2248" s="38">
        <v>868832</v>
      </c>
      <c r="E2248" s="38" t="s">
        <v>2662</v>
      </c>
      <c r="F2248" s="38" t="s">
        <v>618</v>
      </c>
    </row>
    <row r="2249" spans="1:6">
      <c r="A2249" s="38" t="s">
        <v>2870</v>
      </c>
      <c r="B2249" s="40">
        <v>1674.449951171875</v>
      </c>
      <c r="C2249" s="40">
        <v>1586.1455078125</v>
      </c>
      <c r="D2249" s="38">
        <v>1065425</v>
      </c>
      <c r="E2249" s="38" t="s">
        <v>2662</v>
      </c>
      <c r="F2249" s="38" t="s">
        <v>618</v>
      </c>
    </row>
    <row r="2250" spans="1:6">
      <c r="A2250" s="38" t="s">
        <v>2871</v>
      </c>
      <c r="B2250" s="40">
        <v>1646.4000244140625</v>
      </c>
      <c r="C2250" s="40">
        <v>1559.5748291015625</v>
      </c>
      <c r="D2250" s="38">
        <v>410470</v>
      </c>
      <c r="E2250" s="38" t="s">
        <v>2662</v>
      </c>
      <c r="F2250" s="38" t="s">
        <v>618</v>
      </c>
    </row>
    <row r="2251" spans="1:6">
      <c r="A2251" s="38" t="s">
        <v>2872</v>
      </c>
      <c r="B2251" s="40">
        <v>1654.699951171875</v>
      </c>
      <c r="C2251" s="40">
        <v>1567.43701171875</v>
      </c>
      <c r="D2251" s="38">
        <v>1415698</v>
      </c>
      <c r="E2251" s="38" t="s">
        <v>2662</v>
      </c>
      <c r="F2251" s="38" t="s">
        <v>618</v>
      </c>
    </row>
    <row r="2252" spans="1:6">
      <c r="A2252" s="38" t="s">
        <v>2873</v>
      </c>
      <c r="B2252" s="40">
        <v>1659.050048828125</v>
      </c>
      <c r="C2252" s="40">
        <v>1571.5577392578125</v>
      </c>
      <c r="D2252" s="38">
        <v>1467006</v>
      </c>
      <c r="E2252" s="38" t="s">
        <v>2662</v>
      </c>
      <c r="F2252" s="38" t="s">
        <v>618</v>
      </c>
    </row>
    <row r="2253" spans="1:6">
      <c r="A2253" s="38" t="s">
        <v>2874</v>
      </c>
      <c r="B2253" s="40">
        <v>1661</v>
      </c>
      <c r="C2253" s="40">
        <v>1573.4049072265625</v>
      </c>
      <c r="D2253" s="38">
        <v>1449280</v>
      </c>
      <c r="E2253" s="38" t="s">
        <v>2662</v>
      </c>
      <c r="F2253" s="38" t="s">
        <v>618</v>
      </c>
    </row>
    <row r="2254" spans="1:6">
      <c r="A2254" s="38" t="s">
        <v>2875</v>
      </c>
      <c r="B2254" s="40">
        <v>1669.5999755859375</v>
      </c>
      <c r="C2254" s="40">
        <v>1581.5513916015625</v>
      </c>
      <c r="D2254" s="38">
        <v>1288106</v>
      </c>
      <c r="E2254" s="38" t="s">
        <v>2662</v>
      </c>
      <c r="F2254" s="38" t="s">
        <v>618</v>
      </c>
    </row>
    <row r="2255" spans="1:6">
      <c r="A2255" s="38" t="s">
        <v>2876</v>
      </c>
      <c r="B2255" s="40">
        <v>1692.0999755859375</v>
      </c>
      <c r="C2255" s="40">
        <v>1602.8646240234375</v>
      </c>
      <c r="D2255" s="38">
        <v>1582031</v>
      </c>
      <c r="E2255" s="38" t="s">
        <v>2662</v>
      </c>
      <c r="F2255" s="38" t="s">
        <v>618</v>
      </c>
    </row>
    <row r="2256" spans="1:6">
      <c r="A2256" s="38" t="s">
        <v>2877</v>
      </c>
      <c r="B2256" s="40">
        <v>1699.050048828125</v>
      </c>
      <c r="C2256" s="40">
        <v>1609.4483642578125</v>
      </c>
      <c r="D2256" s="38">
        <v>1235699</v>
      </c>
      <c r="E2256" s="38" t="s">
        <v>2662</v>
      </c>
      <c r="F2256" s="38" t="s">
        <v>618</v>
      </c>
    </row>
    <row r="2257" spans="1:6">
      <c r="A2257" s="38" t="s">
        <v>2878</v>
      </c>
      <c r="B2257" s="40">
        <v>1669.0999755859375</v>
      </c>
      <c r="C2257" s="40">
        <v>1581.0775146484375</v>
      </c>
      <c r="D2257" s="38">
        <v>1800036</v>
      </c>
      <c r="E2257" s="38" t="s">
        <v>2662</v>
      </c>
      <c r="F2257" s="38" t="s">
        <v>618</v>
      </c>
    </row>
    <row r="2258" spans="1:6">
      <c r="A2258" s="38" t="s">
        <v>2879</v>
      </c>
      <c r="B2258" s="40">
        <v>1680.199951171875</v>
      </c>
      <c r="C2258" s="40">
        <v>1591.59228515625</v>
      </c>
      <c r="D2258" s="38">
        <v>1889477</v>
      </c>
      <c r="E2258" s="38" t="s">
        <v>2662</v>
      </c>
      <c r="F2258" s="38" t="s">
        <v>618</v>
      </c>
    </row>
    <row r="2259" spans="1:6">
      <c r="A2259" s="38" t="s">
        <v>2880</v>
      </c>
      <c r="B2259" s="40">
        <v>1675.300048828125</v>
      </c>
      <c r="C2259" s="40">
        <v>1586.95068359375</v>
      </c>
      <c r="D2259" s="38">
        <v>1555491</v>
      </c>
      <c r="E2259" s="38" t="s">
        <v>2662</v>
      </c>
      <c r="F2259" s="38" t="s">
        <v>618</v>
      </c>
    </row>
    <row r="2260" spans="1:6">
      <c r="A2260" s="38" t="s">
        <v>2881</v>
      </c>
      <c r="B2260" s="40">
        <v>1659.0999755859375</v>
      </c>
      <c r="C2260" s="40">
        <v>1571.60498046875</v>
      </c>
      <c r="D2260" s="38">
        <v>961944</v>
      </c>
      <c r="E2260" s="38" t="s">
        <v>2662</v>
      </c>
      <c r="F2260" s="38" t="s">
        <v>618</v>
      </c>
    </row>
    <row r="2261" spans="1:6">
      <c r="A2261" s="38" t="s">
        <v>2882</v>
      </c>
      <c r="B2261" s="40">
        <v>1664.949951171875</v>
      </c>
      <c r="C2261" s="40">
        <v>1577.1463623046875</v>
      </c>
      <c r="D2261" s="38">
        <v>1114005</v>
      </c>
      <c r="E2261" s="38" t="s">
        <v>2662</v>
      </c>
      <c r="F2261" s="38" t="s">
        <v>618</v>
      </c>
    </row>
    <row r="2262" spans="1:6">
      <c r="A2262" s="38" t="s">
        <v>2883</v>
      </c>
      <c r="B2262" s="40">
        <v>1705</v>
      </c>
      <c r="C2262" s="40">
        <v>1615.08447265625</v>
      </c>
      <c r="D2262" s="38">
        <v>2654136</v>
      </c>
      <c r="E2262" s="38" t="s">
        <v>2662</v>
      </c>
      <c r="F2262" s="38" t="s">
        <v>618</v>
      </c>
    </row>
    <row r="2263" spans="1:6">
      <c r="A2263" s="38" t="s">
        <v>2884</v>
      </c>
      <c r="B2263" s="40">
        <v>1685.800048828125</v>
      </c>
      <c r="C2263" s="40">
        <v>1596.89697265625</v>
      </c>
      <c r="D2263" s="38">
        <v>1113961</v>
      </c>
      <c r="E2263" s="38" t="s">
        <v>2662</v>
      </c>
      <c r="F2263" s="38" t="s">
        <v>618</v>
      </c>
    </row>
    <row r="2264" spans="1:6">
      <c r="A2264" s="38" t="s">
        <v>2885</v>
      </c>
      <c r="B2264" s="40">
        <v>1657.8499755859375</v>
      </c>
      <c r="C2264" s="40">
        <v>1570.4208984375</v>
      </c>
      <c r="D2264" s="38">
        <v>1485087</v>
      </c>
      <c r="E2264" s="38" t="s">
        <v>2662</v>
      </c>
      <c r="F2264" s="38" t="s">
        <v>618</v>
      </c>
    </row>
    <row r="2265" spans="1:6">
      <c r="A2265" s="38" t="s">
        <v>2886</v>
      </c>
      <c r="B2265" s="40">
        <v>1649.5</v>
      </c>
      <c r="C2265" s="40">
        <v>1562.51123046875</v>
      </c>
      <c r="D2265" s="38">
        <v>1479239</v>
      </c>
      <c r="E2265" s="38" t="s">
        <v>2662</v>
      </c>
      <c r="F2265" s="38" t="s">
        <v>618</v>
      </c>
    </row>
    <row r="2266" spans="1:6">
      <c r="A2266" s="38" t="s">
        <v>2887</v>
      </c>
      <c r="B2266" s="40">
        <v>1613.699951171875</v>
      </c>
      <c r="C2266" s="40">
        <v>1528.5992431640625</v>
      </c>
      <c r="D2266" s="38">
        <v>1672609</v>
      </c>
      <c r="E2266" s="38" t="s">
        <v>2662</v>
      </c>
      <c r="F2266" s="38" t="s">
        <v>618</v>
      </c>
    </row>
    <row r="2267" spans="1:6">
      <c r="A2267" s="38" t="s">
        <v>2888</v>
      </c>
      <c r="B2267" s="40">
        <v>1593.949951171875</v>
      </c>
      <c r="C2267" s="40">
        <v>1509.8907470703125</v>
      </c>
      <c r="D2267" s="38">
        <v>1425126</v>
      </c>
      <c r="E2267" s="38" t="s">
        <v>2662</v>
      </c>
      <c r="F2267" s="38" t="s">
        <v>618</v>
      </c>
    </row>
    <row r="2268" spans="1:6">
      <c r="A2268" s="38" t="s">
        <v>2889</v>
      </c>
      <c r="B2268" s="40">
        <v>1588.25</v>
      </c>
      <c r="C2268" s="40">
        <v>1504.491455078125</v>
      </c>
      <c r="D2268" s="38">
        <v>2208643</v>
      </c>
      <c r="E2268" s="38" t="s">
        <v>2662</v>
      </c>
      <c r="F2268" s="38" t="s">
        <v>618</v>
      </c>
    </row>
    <row r="2269" spans="1:6">
      <c r="A2269" s="38" t="s">
        <v>2890</v>
      </c>
      <c r="B2269" s="40">
        <v>1487.8499755859375</v>
      </c>
      <c r="C2269" s="40">
        <v>1409.3861083984375</v>
      </c>
      <c r="D2269" s="38">
        <v>4155992</v>
      </c>
      <c r="E2269" s="38" t="s">
        <v>2662</v>
      </c>
      <c r="F2269" s="38" t="s">
        <v>618</v>
      </c>
    </row>
    <row r="2270" spans="1:6">
      <c r="A2270" s="38" t="s">
        <v>2891</v>
      </c>
      <c r="B2270" s="40">
        <v>1493.050048828125</v>
      </c>
      <c r="C2270" s="40">
        <v>1414.31201171875</v>
      </c>
      <c r="D2270" s="38">
        <v>2851006</v>
      </c>
      <c r="E2270" s="38" t="s">
        <v>2662</v>
      </c>
      <c r="F2270" s="38" t="s">
        <v>618</v>
      </c>
    </row>
    <row r="2271" spans="1:6">
      <c r="A2271" s="38" t="s">
        <v>2892</v>
      </c>
      <c r="B2271" s="40">
        <v>1488.25</v>
      </c>
      <c r="C2271" s="40">
        <v>1409.7650146484375</v>
      </c>
      <c r="D2271" s="38">
        <v>2386196</v>
      </c>
      <c r="E2271" s="38" t="s">
        <v>2662</v>
      </c>
      <c r="F2271" s="38" t="s">
        <v>618</v>
      </c>
    </row>
    <row r="2272" spans="1:6">
      <c r="A2272" s="38" t="s">
        <v>2893</v>
      </c>
      <c r="B2272" s="40">
        <v>1538.0999755859375</v>
      </c>
      <c r="C2272" s="40">
        <v>1456.9862060546875</v>
      </c>
      <c r="D2272" s="38">
        <v>1967418</v>
      </c>
      <c r="E2272" s="38" t="s">
        <v>2662</v>
      </c>
      <c r="F2272" s="38" t="s">
        <v>618</v>
      </c>
    </row>
    <row r="2273" spans="1:6">
      <c r="A2273" s="38" t="s">
        <v>2894</v>
      </c>
      <c r="B2273" s="40">
        <v>1503.449951171875</v>
      </c>
      <c r="C2273" s="40">
        <v>1424.163330078125</v>
      </c>
      <c r="D2273" s="38">
        <v>2246380</v>
      </c>
      <c r="E2273" s="38" t="s">
        <v>2662</v>
      </c>
      <c r="F2273" s="38" t="s">
        <v>618</v>
      </c>
    </row>
    <row r="2274" spans="1:6">
      <c r="A2274" s="38" t="s">
        <v>2895</v>
      </c>
      <c r="B2274" s="40">
        <v>1492.3499755859375</v>
      </c>
      <c r="C2274" s="40">
        <v>1413.64892578125</v>
      </c>
      <c r="D2274" s="38">
        <v>893696</v>
      </c>
      <c r="E2274" s="38" t="s">
        <v>2662</v>
      </c>
      <c r="F2274" s="38" t="s">
        <v>618</v>
      </c>
    </row>
    <row r="2275" spans="1:6">
      <c r="A2275" s="38" t="s">
        <v>2896</v>
      </c>
      <c r="B2275" s="40">
        <v>1486.8499755859375</v>
      </c>
      <c r="C2275" s="40">
        <v>1408.4388427734375</v>
      </c>
      <c r="D2275" s="38">
        <v>798491</v>
      </c>
      <c r="E2275" s="38" t="s">
        <v>2662</v>
      </c>
      <c r="F2275" s="38" t="s">
        <v>618</v>
      </c>
    </row>
    <row r="2276" spans="1:6">
      <c r="A2276" s="38" t="s">
        <v>2897</v>
      </c>
      <c r="B2276" s="40">
        <v>1479.199951171875</v>
      </c>
      <c r="C2276" s="40">
        <v>1401.1923828125</v>
      </c>
      <c r="D2276" s="38">
        <v>1769157</v>
      </c>
      <c r="E2276" s="38" t="s">
        <v>2662</v>
      </c>
      <c r="F2276" s="38" t="s">
        <v>618</v>
      </c>
    </row>
    <row r="2277" spans="1:6">
      <c r="A2277" s="38" t="s">
        <v>2898</v>
      </c>
      <c r="B2277" s="40">
        <v>1438.300048828125</v>
      </c>
      <c r="C2277" s="40">
        <v>1362.44921875</v>
      </c>
      <c r="D2277" s="38">
        <v>2665932</v>
      </c>
      <c r="E2277" s="38" t="s">
        <v>2662</v>
      </c>
      <c r="F2277" s="38" t="s">
        <v>618</v>
      </c>
    </row>
    <row r="2278" spans="1:6">
      <c r="A2278" s="38" t="s">
        <v>2899</v>
      </c>
      <c r="B2278" s="40">
        <v>1440.6500244140625</v>
      </c>
      <c r="C2278" s="40">
        <v>1364.67529296875</v>
      </c>
      <c r="D2278" s="38">
        <v>995812</v>
      </c>
      <c r="E2278" s="38" t="s">
        <v>2662</v>
      </c>
      <c r="F2278" s="38" t="s">
        <v>618</v>
      </c>
    </row>
    <row r="2279" spans="1:6">
      <c r="A2279" s="38" t="s">
        <v>2900</v>
      </c>
      <c r="B2279" s="40">
        <v>1440.0999755859375</v>
      </c>
      <c r="C2279" s="40">
        <v>1364.154296875</v>
      </c>
      <c r="D2279" s="38">
        <v>1747569</v>
      </c>
      <c r="E2279" s="38" t="s">
        <v>2662</v>
      </c>
      <c r="F2279" s="38" t="s">
        <v>618</v>
      </c>
    </row>
    <row r="2280" spans="1:6">
      <c r="A2280" s="38" t="s">
        <v>2901</v>
      </c>
      <c r="B2280" s="40">
        <v>1440.0999755859375</v>
      </c>
      <c r="C2280" s="40">
        <v>1364.154296875</v>
      </c>
      <c r="D2280" s="38">
        <v>0</v>
      </c>
      <c r="E2280" s="38" t="s">
        <v>2662</v>
      </c>
      <c r="F2280" s="38" t="s">
        <v>618</v>
      </c>
    </row>
    <row r="2281" spans="1:6">
      <c r="A2281" s="38" t="s">
        <v>2902</v>
      </c>
      <c r="B2281" s="40">
        <v>1396.1500244140625</v>
      </c>
      <c r="C2281" s="40">
        <v>1322.52197265625</v>
      </c>
      <c r="D2281" s="38">
        <v>5557840</v>
      </c>
      <c r="E2281" s="38" t="s">
        <v>2662</v>
      </c>
      <c r="F2281" s="38" t="s">
        <v>618</v>
      </c>
    </row>
    <row r="2282" spans="1:6">
      <c r="A2282" s="38" t="s">
        <v>2903</v>
      </c>
      <c r="B2282" s="40">
        <v>1410.550048828125</v>
      </c>
      <c r="C2282" s="40">
        <v>1336.162841796875</v>
      </c>
      <c r="D2282" s="38">
        <v>2863413</v>
      </c>
      <c r="E2282" s="38" t="s">
        <v>2662</v>
      </c>
      <c r="F2282" s="38" t="s">
        <v>618</v>
      </c>
    </row>
    <row r="2283" spans="1:6">
      <c r="A2283" s="38" t="s">
        <v>2904</v>
      </c>
      <c r="B2283" s="40">
        <v>1409.25</v>
      </c>
      <c r="C2283" s="40">
        <v>1334.9312744140625</v>
      </c>
      <c r="D2283" s="38">
        <v>4056023</v>
      </c>
      <c r="E2283" s="38" t="s">
        <v>2662</v>
      </c>
      <c r="F2283" s="38" t="s">
        <v>618</v>
      </c>
    </row>
    <row r="2284" spans="1:6">
      <c r="A2284" s="38" t="s">
        <v>2905</v>
      </c>
      <c r="B2284" s="40">
        <v>1458.6500244140625</v>
      </c>
      <c r="C2284" s="40">
        <v>1381.72607421875</v>
      </c>
      <c r="D2284" s="38">
        <v>3072831</v>
      </c>
      <c r="E2284" s="38" t="s">
        <v>2662</v>
      </c>
      <c r="F2284" s="38" t="s">
        <v>618</v>
      </c>
    </row>
    <row r="2285" spans="1:6">
      <c r="A2285" s="38" t="s">
        <v>2906</v>
      </c>
      <c r="B2285" s="40">
        <v>1455.5</v>
      </c>
      <c r="C2285" s="40">
        <v>1378.7420654296875</v>
      </c>
      <c r="D2285" s="38">
        <v>2056315</v>
      </c>
      <c r="E2285" s="38" t="s">
        <v>2662</v>
      </c>
      <c r="F2285" s="38" t="s">
        <v>618</v>
      </c>
    </row>
    <row r="2286" spans="1:6">
      <c r="A2286" s="38" t="s">
        <v>2907</v>
      </c>
      <c r="B2286" s="40">
        <v>1416.300048828125</v>
      </c>
      <c r="C2286" s="40">
        <v>1341.609375</v>
      </c>
      <c r="D2286" s="38">
        <v>2231144</v>
      </c>
      <c r="E2286" s="38" t="s">
        <v>2662</v>
      </c>
      <c r="F2286" s="38" t="s">
        <v>618</v>
      </c>
    </row>
    <row r="2287" spans="1:6">
      <c r="A2287" s="38" t="s">
        <v>2908</v>
      </c>
      <c r="B2287" s="40">
        <v>1423.9000244140625</v>
      </c>
      <c r="C2287" s="40">
        <v>1348.80859375</v>
      </c>
      <c r="D2287" s="38">
        <v>2541022</v>
      </c>
      <c r="E2287" s="38" t="s">
        <v>2662</v>
      </c>
      <c r="F2287" s="38" t="s">
        <v>618</v>
      </c>
    </row>
    <row r="2288" spans="1:6">
      <c r="A2288" s="38" t="s">
        <v>2909</v>
      </c>
      <c r="B2288" s="40">
        <v>1418.25</v>
      </c>
      <c r="C2288" s="40">
        <v>1343.4566650390625</v>
      </c>
      <c r="D2288" s="38">
        <v>1642693</v>
      </c>
      <c r="E2288" s="38" t="s">
        <v>2662</v>
      </c>
      <c r="F2288" s="38" t="s">
        <v>618</v>
      </c>
    </row>
    <row r="2289" spans="1:6">
      <c r="A2289" s="38" t="s">
        <v>2910</v>
      </c>
      <c r="B2289" s="40">
        <v>1395.1500244140625</v>
      </c>
      <c r="C2289" s="40">
        <v>1321.57470703125</v>
      </c>
      <c r="D2289" s="38">
        <v>1578367</v>
      </c>
      <c r="E2289" s="38" t="s">
        <v>2911</v>
      </c>
      <c r="F2289" s="38" t="s">
        <v>618</v>
      </c>
    </row>
    <row r="2290" spans="1:6">
      <c r="A2290" s="38" t="s">
        <v>2912</v>
      </c>
      <c r="B2290" s="40">
        <v>1423.050048828125</v>
      </c>
      <c r="C2290" s="40">
        <v>1348.0035400390625</v>
      </c>
      <c r="D2290" s="38">
        <v>1617949</v>
      </c>
      <c r="E2290" s="38" t="s">
        <v>2911</v>
      </c>
      <c r="F2290" s="38" t="s">
        <v>618</v>
      </c>
    </row>
    <row r="2291" spans="1:6">
      <c r="A2291" s="38" t="s">
        <v>2913</v>
      </c>
      <c r="B2291" s="40">
        <v>1369.3499755859375</v>
      </c>
      <c r="C2291" s="40">
        <v>1297.1353759765625</v>
      </c>
      <c r="D2291" s="38">
        <v>1943422</v>
      </c>
      <c r="E2291" s="38" t="s">
        <v>2911</v>
      </c>
      <c r="F2291" s="38" t="s">
        <v>618</v>
      </c>
    </row>
    <row r="2292" spans="1:6">
      <c r="A2292" s="38" t="s">
        <v>2914</v>
      </c>
      <c r="B2292" s="40">
        <v>1320.949951171875</v>
      </c>
      <c r="C2292" s="40">
        <v>1251.2877197265625</v>
      </c>
      <c r="D2292" s="38">
        <v>1757493</v>
      </c>
      <c r="E2292" s="38" t="s">
        <v>2911</v>
      </c>
      <c r="F2292" s="38" t="s">
        <v>618</v>
      </c>
    </row>
    <row r="2293" spans="1:6">
      <c r="A2293" s="38" t="s">
        <v>2915</v>
      </c>
      <c r="B2293" s="40">
        <v>1288</v>
      </c>
      <c r="C2293" s="40">
        <v>1220.0755615234375</v>
      </c>
      <c r="D2293" s="38">
        <v>3044730</v>
      </c>
      <c r="E2293" s="38" t="s">
        <v>2911</v>
      </c>
      <c r="F2293" s="38" t="s">
        <v>618</v>
      </c>
    </row>
    <row r="2294" spans="1:6">
      <c r="A2294" s="38" t="s">
        <v>2916</v>
      </c>
      <c r="B2294" s="40">
        <v>1314.4000244140625</v>
      </c>
      <c r="C2294" s="40">
        <v>1245.083251953125</v>
      </c>
      <c r="D2294" s="38">
        <v>2868814</v>
      </c>
      <c r="E2294" s="38" t="s">
        <v>2911</v>
      </c>
      <c r="F2294" s="38" t="s">
        <v>618</v>
      </c>
    </row>
    <row r="2295" spans="1:6">
      <c r="A2295" s="38" t="s">
        <v>2917</v>
      </c>
      <c r="B2295" s="40">
        <v>1272.75</v>
      </c>
      <c r="C2295" s="40">
        <v>1205.6297607421875</v>
      </c>
      <c r="D2295" s="38">
        <v>3724878</v>
      </c>
      <c r="E2295" s="38" t="s">
        <v>2911</v>
      </c>
      <c r="F2295" s="38" t="s">
        <v>618</v>
      </c>
    </row>
    <row r="2296" spans="1:6">
      <c r="A2296" s="38" t="s">
        <v>2918</v>
      </c>
      <c r="B2296" s="40">
        <v>1282.25</v>
      </c>
      <c r="C2296" s="40">
        <v>1214.6287841796875</v>
      </c>
      <c r="D2296" s="38">
        <v>1803181</v>
      </c>
      <c r="E2296" s="38" t="s">
        <v>2911</v>
      </c>
      <c r="F2296" s="38" t="s">
        <v>618</v>
      </c>
    </row>
    <row r="2297" spans="1:6">
      <c r="A2297" s="38" t="s">
        <v>2919</v>
      </c>
      <c r="B2297" s="40">
        <v>1301.699951171875</v>
      </c>
      <c r="C2297" s="40">
        <v>1233.052978515625</v>
      </c>
      <c r="D2297" s="38">
        <v>1511866</v>
      </c>
      <c r="E2297" s="38" t="s">
        <v>2911</v>
      </c>
      <c r="F2297" s="38" t="s">
        <v>618</v>
      </c>
    </row>
    <row r="2298" spans="1:6">
      <c r="A2298" s="38" t="s">
        <v>2920</v>
      </c>
      <c r="B2298" s="40">
        <v>1308.699951171875</v>
      </c>
      <c r="C2298" s="40">
        <v>1239.683837890625</v>
      </c>
      <c r="D2298" s="38">
        <v>1093342</v>
      </c>
      <c r="E2298" s="38" t="s">
        <v>2911</v>
      </c>
      <c r="F2298" s="38" t="s">
        <v>618</v>
      </c>
    </row>
    <row r="2299" spans="1:6">
      <c r="A2299" s="38" t="s">
        <v>2921</v>
      </c>
      <c r="B2299" s="40">
        <v>1306.800048828125</v>
      </c>
      <c r="C2299" s="40">
        <v>1237.884033203125</v>
      </c>
      <c r="D2299" s="38">
        <v>3027966</v>
      </c>
      <c r="E2299" s="38" t="s">
        <v>2911</v>
      </c>
      <c r="F2299" s="38" t="s">
        <v>618</v>
      </c>
    </row>
    <row r="2300" spans="1:6">
      <c r="A2300" s="38" t="s">
        <v>2922</v>
      </c>
      <c r="B2300" s="40">
        <v>1373.5</v>
      </c>
      <c r="C2300" s="40">
        <v>1301.0665283203125</v>
      </c>
      <c r="D2300" s="38">
        <v>3759267</v>
      </c>
      <c r="E2300" s="38" t="s">
        <v>2911</v>
      </c>
      <c r="F2300" s="38" t="s">
        <v>618</v>
      </c>
    </row>
    <row r="2301" spans="1:6">
      <c r="A2301" s="38" t="s">
        <v>2923</v>
      </c>
      <c r="B2301" s="40">
        <v>1376.5</v>
      </c>
      <c r="C2301" s="40">
        <v>1303.9083251953125</v>
      </c>
      <c r="D2301" s="38">
        <v>2471135</v>
      </c>
      <c r="E2301" s="38" t="s">
        <v>2911</v>
      </c>
      <c r="F2301" s="38" t="s">
        <v>618</v>
      </c>
    </row>
    <row r="2302" spans="1:6">
      <c r="A2302" s="38" t="s">
        <v>2924</v>
      </c>
      <c r="B2302" s="40">
        <v>1439.5999755859375</v>
      </c>
      <c r="C2302" s="40">
        <v>1363.6806640625</v>
      </c>
      <c r="D2302" s="38">
        <v>5944062</v>
      </c>
      <c r="E2302" s="38" t="s">
        <v>2911</v>
      </c>
      <c r="F2302" s="38" t="s">
        <v>618</v>
      </c>
    </row>
    <row r="2303" spans="1:6">
      <c r="A2303" s="38" t="s">
        <v>2925</v>
      </c>
      <c r="B2303" s="40">
        <v>1445.199951171875</v>
      </c>
      <c r="C2303" s="40">
        <v>1368.9852294921875</v>
      </c>
      <c r="D2303" s="38">
        <v>2501415</v>
      </c>
      <c r="E2303" s="38" t="s">
        <v>2911</v>
      </c>
      <c r="F2303" s="38" t="s">
        <v>618</v>
      </c>
    </row>
    <row r="2304" spans="1:6">
      <c r="A2304" s="38" t="s">
        <v>2926</v>
      </c>
      <c r="B2304" s="40">
        <v>1462</v>
      </c>
      <c r="C2304" s="40">
        <v>1384.8994140625</v>
      </c>
      <c r="D2304" s="38">
        <v>8211667</v>
      </c>
      <c r="E2304" s="38" t="s">
        <v>2911</v>
      </c>
      <c r="F2304" s="38" t="s">
        <v>618</v>
      </c>
    </row>
    <row r="2305" spans="1:6">
      <c r="A2305" s="38" t="s">
        <v>2927</v>
      </c>
      <c r="B2305" s="40">
        <v>1461.5</v>
      </c>
      <c r="C2305" s="40">
        <v>1384.4256591796875</v>
      </c>
      <c r="D2305" s="38">
        <v>2079431</v>
      </c>
      <c r="E2305" s="38" t="s">
        <v>2911</v>
      </c>
      <c r="F2305" s="38" t="s">
        <v>618</v>
      </c>
    </row>
    <row r="2306" spans="1:6">
      <c r="A2306" s="38" t="s">
        <v>2928</v>
      </c>
      <c r="B2306" s="40">
        <v>1495.300048828125</v>
      </c>
      <c r="C2306" s="40">
        <v>1416.443359375</v>
      </c>
      <c r="D2306" s="38">
        <v>2652788</v>
      </c>
      <c r="E2306" s="38" t="s">
        <v>2911</v>
      </c>
      <c r="F2306" s="38" t="s">
        <v>618</v>
      </c>
    </row>
    <row r="2307" spans="1:6">
      <c r="A2307" s="38" t="s">
        <v>2929</v>
      </c>
      <c r="B2307" s="40">
        <v>1503</v>
      </c>
      <c r="C2307" s="40">
        <v>1423.7371826171875</v>
      </c>
      <c r="D2307" s="38">
        <v>1858465</v>
      </c>
      <c r="E2307" s="38" t="s">
        <v>2911</v>
      </c>
      <c r="F2307" s="38" t="s">
        <v>618</v>
      </c>
    </row>
    <row r="2308" spans="1:6">
      <c r="A2308" s="38" t="s">
        <v>2930</v>
      </c>
      <c r="B2308" s="40">
        <v>1494.0999755859375</v>
      </c>
      <c r="C2308" s="40">
        <v>1415.3065185546875</v>
      </c>
      <c r="D2308" s="38">
        <v>1582577</v>
      </c>
      <c r="E2308" s="38" t="s">
        <v>2911</v>
      </c>
      <c r="F2308" s="38" t="s">
        <v>618</v>
      </c>
    </row>
    <row r="2309" spans="1:6">
      <c r="A2309" s="38" t="s">
        <v>2931</v>
      </c>
      <c r="B2309" s="40">
        <v>1494.5999755859375</v>
      </c>
      <c r="C2309" s="40">
        <v>1415.7801513671875</v>
      </c>
      <c r="D2309" s="38">
        <v>846022</v>
      </c>
      <c r="E2309" s="38" t="s">
        <v>2911</v>
      </c>
      <c r="F2309" s="38" t="s">
        <v>618</v>
      </c>
    </row>
    <row r="2310" spans="1:6">
      <c r="A2310" s="38" t="s">
        <v>2932</v>
      </c>
      <c r="B2310" s="40">
        <v>1496.199951171875</v>
      </c>
      <c r="C2310" s="40">
        <v>1417.2957763671875</v>
      </c>
      <c r="D2310" s="38">
        <v>1545773</v>
      </c>
      <c r="E2310" s="38" t="s">
        <v>2911</v>
      </c>
      <c r="F2310" s="38" t="s">
        <v>618</v>
      </c>
    </row>
    <row r="2311" spans="1:6">
      <c r="A2311" s="38" t="s">
        <v>2933</v>
      </c>
      <c r="B2311" s="40">
        <v>1495.199951171875</v>
      </c>
      <c r="C2311" s="40">
        <v>1416.3485107421875</v>
      </c>
      <c r="D2311" s="38">
        <v>1272555</v>
      </c>
      <c r="E2311" s="38" t="s">
        <v>2911</v>
      </c>
      <c r="F2311" s="38" t="s">
        <v>618</v>
      </c>
    </row>
    <row r="2312" spans="1:6">
      <c r="A2312" s="38" t="s">
        <v>2934</v>
      </c>
      <c r="B2312" s="40">
        <v>1502.800048828125</v>
      </c>
      <c r="C2312" s="40">
        <v>1423.547607421875</v>
      </c>
      <c r="D2312" s="38">
        <v>2829448</v>
      </c>
      <c r="E2312" s="38" t="s">
        <v>2911</v>
      </c>
      <c r="F2312" s="38" t="s">
        <v>618</v>
      </c>
    </row>
    <row r="2313" spans="1:6">
      <c r="A2313" s="38" t="s">
        <v>2935</v>
      </c>
      <c r="B2313" s="40">
        <v>1493.699951171875</v>
      </c>
      <c r="C2313" s="40">
        <v>1414.9276123046875</v>
      </c>
      <c r="D2313" s="38">
        <v>923174</v>
      </c>
      <c r="E2313" s="38" t="s">
        <v>2911</v>
      </c>
      <c r="F2313" s="38" t="s">
        <v>618</v>
      </c>
    </row>
    <row r="2314" spans="1:6">
      <c r="A2314" s="38" t="s">
        <v>2936</v>
      </c>
      <c r="B2314" s="40">
        <v>1573.0999755859375</v>
      </c>
      <c r="C2314" s="40">
        <v>1490.140380859375</v>
      </c>
      <c r="D2314" s="38">
        <v>1891418</v>
      </c>
      <c r="E2314" s="38" t="s">
        <v>2911</v>
      </c>
      <c r="F2314" s="38" t="s">
        <v>618</v>
      </c>
    </row>
    <row r="2315" spans="1:6">
      <c r="A2315" s="38" t="s">
        <v>2937</v>
      </c>
      <c r="B2315" s="40">
        <v>1572.5</v>
      </c>
      <c r="C2315" s="40">
        <v>1489.572021484375</v>
      </c>
      <c r="D2315" s="38">
        <v>3724272</v>
      </c>
      <c r="E2315" s="38" t="s">
        <v>2911</v>
      </c>
      <c r="F2315" s="38" t="s">
        <v>618</v>
      </c>
    </row>
    <row r="2316" spans="1:6">
      <c r="A2316" s="38" t="s">
        <v>2938</v>
      </c>
      <c r="B2316" s="40">
        <v>1603.199951171875</v>
      </c>
      <c r="C2316" s="40">
        <v>1518.6529541015625</v>
      </c>
      <c r="D2316" s="38">
        <v>2354571</v>
      </c>
      <c r="E2316" s="38" t="s">
        <v>2911</v>
      </c>
      <c r="F2316" s="38" t="s">
        <v>618</v>
      </c>
    </row>
    <row r="2317" spans="1:6">
      <c r="A2317" s="38" t="s">
        <v>2939</v>
      </c>
      <c r="B2317" s="40">
        <v>1629.0999755859375</v>
      </c>
      <c r="C2317" s="40">
        <v>1543.1871337890625</v>
      </c>
      <c r="D2317" s="38">
        <v>2972408</v>
      </c>
      <c r="E2317" s="38" t="s">
        <v>2911</v>
      </c>
      <c r="F2317" s="38" t="s">
        <v>618</v>
      </c>
    </row>
    <row r="2318" spans="1:6">
      <c r="A2318" s="38" t="s">
        <v>2940</v>
      </c>
      <c r="B2318" s="40">
        <v>1617</v>
      </c>
      <c r="C2318" s="40">
        <v>1531.7252197265625</v>
      </c>
      <c r="D2318" s="38">
        <v>1159095</v>
      </c>
      <c r="E2318" s="38" t="s">
        <v>2911</v>
      </c>
      <c r="F2318" s="38" t="s">
        <v>618</v>
      </c>
    </row>
    <row r="2319" spans="1:6">
      <c r="A2319" s="38" t="s">
        <v>2941</v>
      </c>
      <c r="B2319" s="40">
        <v>1597.800048828125</v>
      </c>
      <c r="C2319" s="40">
        <v>1513.537841796875</v>
      </c>
      <c r="D2319" s="38">
        <v>681874</v>
      </c>
      <c r="E2319" s="38" t="s">
        <v>2911</v>
      </c>
      <c r="F2319" s="38" t="s">
        <v>618</v>
      </c>
    </row>
    <row r="2320" spans="1:6">
      <c r="A2320" s="38" t="s">
        <v>2942</v>
      </c>
      <c r="B2320" s="40">
        <v>1576</v>
      </c>
      <c r="C2320" s="40">
        <v>1492.8873291015625</v>
      </c>
      <c r="D2320" s="38">
        <v>1869716</v>
      </c>
      <c r="E2320" s="38" t="s">
        <v>2911</v>
      </c>
      <c r="F2320" s="38" t="s">
        <v>618</v>
      </c>
    </row>
    <row r="2321" spans="1:6">
      <c r="A2321" s="38" t="s">
        <v>2943</v>
      </c>
      <c r="B2321" s="40">
        <v>1598.199951171875</v>
      </c>
      <c r="C2321" s="40">
        <v>1513.9166259765625</v>
      </c>
      <c r="D2321" s="38">
        <v>930031</v>
      </c>
      <c r="E2321" s="38" t="s">
        <v>2911</v>
      </c>
      <c r="F2321" s="38" t="s">
        <v>618</v>
      </c>
    </row>
    <row r="2322" spans="1:6">
      <c r="A2322" s="38" t="s">
        <v>2944</v>
      </c>
      <c r="B2322" s="40">
        <v>1565.5999755859375</v>
      </c>
      <c r="C2322" s="40">
        <v>1483.0357666015625</v>
      </c>
      <c r="D2322" s="38">
        <v>1789310</v>
      </c>
      <c r="E2322" s="38" t="s">
        <v>2911</v>
      </c>
      <c r="F2322" s="38" t="s">
        <v>618</v>
      </c>
    </row>
    <row r="2323" spans="1:6">
      <c r="A2323" s="38" t="s">
        <v>2945</v>
      </c>
      <c r="B2323" s="40">
        <v>1580.300048828125</v>
      </c>
      <c r="C2323" s="40">
        <v>1496.960693359375</v>
      </c>
      <c r="D2323" s="38">
        <v>1159290</v>
      </c>
      <c r="E2323" s="38" t="s">
        <v>2911</v>
      </c>
      <c r="F2323" s="38" t="s">
        <v>618</v>
      </c>
    </row>
    <row r="2324" spans="1:6">
      <c r="A2324" s="38" t="s">
        <v>2946</v>
      </c>
      <c r="B2324" s="40">
        <v>1601.4000244140625</v>
      </c>
      <c r="C2324" s="40">
        <v>1516.947998046875</v>
      </c>
      <c r="D2324" s="38">
        <v>711029</v>
      </c>
      <c r="E2324" s="38" t="s">
        <v>2911</v>
      </c>
      <c r="F2324" s="38" t="s">
        <v>618</v>
      </c>
    </row>
    <row r="2325" spans="1:6">
      <c r="A2325" s="38" t="s">
        <v>2947</v>
      </c>
      <c r="B2325" s="40">
        <v>1592.4000244140625</v>
      </c>
      <c r="C2325" s="40">
        <v>1508.422607421875</v>
      </c>
      <c r="D2325" s="38">
        <v>1394001</v>
      </c>
      <c r="E2325" s="38" t="s">
        <v>2911</v>
      </c>
      <c r="F2325" s="38" t="s">
        <v>618</v>
      </c>
    </row>
    <row r="2326" spans="1:6">
      <c r="A2326" s="38" t="s">
        <v>2948</v>
      </c>
      <c r="B2326" s="40">
        <v>1580.300048828125</v>
      </c>
      <c r="C2326" s="40">
        <v>1496.960693359375</v>
      </c>
      <c r="D2326" s="38">
        <v>820958</v>
      </c>
      <c r="E2326" s="38" t="s">
        <v>2911</v>
      </c>
      <c r="F2326" s="38" t="s">
        <v>618</v>
      </c>
    </row>
    <row r="2327" spans="1:6">
      <c r="A2327" s="38" t="s">
        <v>2949</v>
      </c>
      <c r="B2327" s="40">
        <v>1600</v>
      </c>
      <c r="C2327" s="40">
        <v>1515.621826171875</v>
      </c>
      <c r="D2327" s="38">
        <v>1799251</v>
      </c>
      <c r="E2327" s="38" t="s">
        <v>2911</v>
      </c>
      <c r="F2327" s="38" t="s">
        <v>618</v>
      </c>
    </row>
    <row r="2328" spans="1:6">
      <c r="A2328" s="38" t="s">
        <v>2950</v>
      </c>
      <c r="B2328" s="40">
        <v>1573.9000244140625</v>
      </c>
      <c r="C2328" s="40">
        <v>1490.8980712890625</v>
      </c>
      <c r="D2328" s="38">
        <v>2780942</v>
      </c>
      <c r="E2328" s="38" t="s">
        <v>2911</v>
      </c>
      <c r="F2328" s="38" t="s">
        <v>618</v>
      </c>
    </row>
    <row r="2329" spans="1:6">
      <c r="A2329" s="38" t="s">
        <v>2951</v>
      </c>
      <c r="B2329" s="40">
        <v>1549.0999755859375</v>
      </c>
      <c r="C2329" s="40">
        <v>1467.4061279296875</v>
      </c>
      <c r="D2329" s="38">
        <v>2120693</v>
      </c>
      <c r="E2329" s="38" t="s">
        <v>2911</v>
      </c>
      <c r="F2329" s="38" t="s">
        <v>618</v>
      </c>
    </row>
    <row r="2330" spans="1:6">
      <c r="A2330" s="38" t="s">
        <v>2952</v>
      </c>
      <c r="B2330" s="40">
        <v>1543.800048828125</v>
      </c>
      <c r="C2330" s="40">
        <v>1462.3856201171875</v>
      </c>
      <c r="D2330" s="38">
        <v>2316285</v>
      </c>
      <c r="E2330" s="38" t="s">
        <v>2911</v>
      </c>
      <c r="F2330" s="38" t="s">
        <v>618</v>
      </c>
    </row>
    <row r="2331" spans="1:6">
      <c r="A2331" s="38" t="s">
        <v>2953</v>
      </c>
      <c r="B2331" s="40">
        <v>1556.699951171875</v>
      </c>
      <c r="C2331" s="40">
        <v>1474.6051025390625</v>
      </c>
      <c r="D2331" s="38">
        <v>1439090</v>
      </c>
      <c r="E2331" s="38" t="s">
        <v>2911</v>
      </c>
      <c r="F2331" s="38" t="s">
        <v>618</v>
      </c>
    </row>
    <row r="2332" spans="1:6">
      <c r="A2332" s="38" t="s">
        <v>2954</v>
      </c>
      <c r="B2332" s="40">
        <v>1562.800048828125</v>
      </c>
      <c r="C2332" s="40">
        <v>1480.3836669921875</v>
      </c>
      <c r="D2332" s="38">
        <v>1529586</v>
      </c>
      <c r="E2332" s="38" t="s">
        <v>2911</v>
      </c>
      <c r="F2332" s="38" t="s">
        <v>618</v>
      </c>
    </row>
    <row r="2333" spans="1:6">
      <c r="A2333" s="38" t="s">
        <v>2955</v>
      </c>
      <c r="B2333" s="40">
        <v>1571.0999755859375</v>
      </c>
      <c r="C2333" s="40">
        <v>1488.245849609375</v>
      </c>
      <c r="D2333" s="38">
        <v>828051</v>
      </c>
      <c r="E2333" s="38" t="s">
        <v>2911</v>
      </c>
      <c r="F2333" s="38" t="s">
        <v>618</v>
      </c>
    </row>
    <row r="2334" spans="1:6">
      <c r="A2334" s="38" t="s">
        <v>2956</v>
      </c>
      <c r="B2334" s="40">
        <v>1579.0999755859375</v>
      </c>
      <c r="C2334" s="40">
        <v>1495.823974609375</v>
      </c>
      <c r="D2334" s="38">
        <v>598108</v>
      </c>
      <c r="E2334" s="38" t="s">
        <v>2911</v>
      </c>
      <c r="F2334" s="38" t="s">
        <v>618</v>
      </c>
    </row>
    <row r="2335" spans="1:6">
      <c r="A2335" s="38" t="s">
        <v>2957</v>
      </c>
      <c r="B2335" s="40">
        <v>1610.9000244140625</v>
      </c>
      <c r="C2335" s="40">
        <v>1525.9468994140625</v>
      </c>
      <c r="D2335" s="38">
        <v>3324373</v>
      </c>
      <c r="E2335" s="38" t="s">
        <v>2911</v>
      </c>
      <c r="F2335" s="38" t="s">
        <v>618</v>
      </c>
    </row>
    <row r="2336" spans="1:6">
      <c r="A2336" s="38" t="s">
        <v>2958</v>
      </c>
      <c r="B2336" s="40">
        <v>1637.5</v>
      </c>
      <c r="C2336" s="40">
        <v>1551.1441650390625</v>
      </c>
      <c r="D2336" s="38">
        <v>2660949</v>
      </c>
      <c r="E2336" s="38" t="s">
        <v>2911</v>
      </c>
      <c r="F2336" s="38" t="s">
        <v>618</v>
      </c>
    </row>
    <row r="2337" spans="1:6">
      <c r="A2337" s="38" t="s">
        <v>2959</v>
      </c>
      <c r="B2337" s="40">
        <v>1644.4000244140625</v>
      </c>
      <c r="C2337" s="40">
        <v>1557.68017578125</v>
      </c>
      <c r="D2337" s="38">
        <v>2316173</v>
      </c>
      <c r="E2337" s="38" t="s">
        <v>2911</v>
      </c>
      <c r="F2337" s="38" t="s">
        <v>618</v>
      </c>
    </row>
    <row r="2338" spans="1:6">
      <c r="A2338" s="38" t="s">
        <v>2960</v>
      </c>
      <c r="B2338" s="40">
        <v>1659</v>
      </c>
      <c r="C2338" s="40">
        <v>1571.51025390625</v>
      </c>
      <c r="D2338" s="38">
        <v>2511076</v>
      </c>
      <c r="E2338" s="38" t="s">
        <v>2911</v>
      </c>
      <c r="F2338" s="38" t="s">
        <v>618</v>
      </c>
    </row>
    <row r="2339" spans="1:6">
      <c r="A2339" s="38" t="s">
        <v>2961</v>
      </c>
      <c r="B2339" s="40">
        <v>1693.9000244140625</v>
      </c>
      <c r="C2339" s="40">
        <v>1604.56982421875</v>
      </c>
      <c r="D2339" s="38">
        <v>2160406</v>
      </c>
      <c r="E2339" s="38" t="s">
        <v>2911</v>
      </c>
      <c r="F2339" s="38" t="s">
        <v>618</v>
      </c>
    </row>
    <row r="2340" spans="1:6">
      <c r="A2340" s="38" t="s">
        <v>2962</v>
      </c>
      <c r="B2340" s="40">
        <v>1718.5999755859375</v>
      </c>
      <c r="C2340" s="40">
        <v>1627.9671630859375</v>
      </c>
      <c r="D2340" s="38">
        <v>2105126</v>
      </c>
      <c r="E2340" s="38" t="s">
        <v>2911</v>
      </c>
      <c r="F2340" s="38" t="s">
        <v>618</v>
      </c>
    </row>
    <row r="2341" spans="1:6">
      <c r="A2341" s="38" t="s">
        <v>2963</v>
      </c>
      <c r="B2341" s="40">
        <v>1710.699951171875</v>
      </c>
      <c r="C2341" s="40">
        <v>1620.483642578125</v>
      </c>
      <c r="D2341" s="38">
        <v>1299278</v>
      </c>
      <c r="E2341" s="38" t="s">
        <v>2911</v>
      </c>
      <c r="F2341" s="38" t="s">
        <v>618</v>
      </c>
    </row>
    <row r="2342" spans="1:6">
      <c r="A2342" s="38" t="s">
        <v>2964</v>
      </c>
      <c r="B2342" s="40">
        <v>1684</v>
      </c>
      <c r="C2342" s="40">
        <v>1595.19189453125</v>
      </c>
      <c r="D2342" s="38">
        <v>3056884</v>
      </c>
      <c r="E2342" s="38" t="s">
        <v>2911</v>
      </c>
      <c r="F2342" s="38" t="s">
        <v>618</v>
      </c>
    </row>
    <row r="2343" spans="1:6">
      <c r="A2343" s="38" t="s">
        <v>2965</v>
      </c>
      <c r="B2343" s="40">
        <v>1696.0999755859375</v>
      </c>
      <c r="C2343" s="40">
        <v>1606.65380859375</v>
      </c>
      <c r="D2343" s="38">
        <v>3425550</v>
      </c>
      <c r="E2343" s="38" t="s">
        <v>2911</v>
      </c>
      <c r="F2343" s="38" t="s">
        <v>618</v>
      </c>
    </row>
    <row r="2344" spans="1:6">
      <c r="A2344" s="38" t="s">
        <v>2966</v>
      </c>
      <c r="B2344" s="40">
        <v>1681.800048828125</v>
      </c>
      <c r="C2344" s="40">
        <v>1593.10791015625</v>
      </c>
      <c r="D2344" s="38">
        <v>732380</v>
      </c>
      <c r="E2344" s="38" t="s">
        <v>2911</v>
      </c>
      <c r="F2344" s="38" t="s">
        <v>618</v>
      </c>
    </row>
    <row r="2345" spans="1:6">
      <c r="A2345" s="38" t="s">
        <v>2967</v>
      </c>
      <c r="B2345" s="40">
        <v>1677.0999755859375</v>
      </c>
      <c r="C2345" s="40">
        <v>1588.6556396484375</v>
      </c>
      <c r="D2345" s="38">
        <v>1923989</v>
      </c>
      <c r="E2345" s="38" t="s">
        <v>2911</v>
      </c>
      <c r="F2345" s="38" t="s">
        <v>618</v>
      </c>
    </row>
    <row r="2346" spans="1:6">
      <c r="A2346" s="38" t="s">
        <v>2968</v>
      </c>
      <c r="B2346" s="40">
        <v>1705</v>
      </c>
      <c r="C2346" s="40">
        <v>1615.08447265625</v>
      </c>
      <c r="D2346" s="38">
        <v>1416375</v>
      </c>
      <c r="E2346" s="38" t="s">
        <v>2911</v>
      </c>
      <c r="F2346" s="38" t="s">
        <v>618</v>
      </c>
    </row>
    <row r="2347" spans="1:6">
      <c r="A2347" s="38" t="s">
        <v>2969</v>
      </c>
      <c r="B2347" s="40">
        <v>1690.199951171875</v>
      </c>
      <c r="C2347" s="40">
        <v>1601.0648193359375</v>
      </c>
      <c r="D2347" s="38">
        <v>2528268</v>
      </c>
      <c r="E2347" s="38" t="s">
        <v>2911</v>
      </c>
      <c r="F2347" s="38" t="s">
        <v>618</v>
      </c>
    </row>
    <row r="2348" spans="1:6">
      <c r="A2348" s="38" t="s">
        <v>2970</v>
      </c>
      <c r="B2348" s="40">
        <v>1674.4000244140625</v>
      </c>
      <c r="C2348" s="40">
        <v>1586.09814453125</v>
      </c>
      <c r="D2348" s="38">
        <v>6183785</v>
      </c>
      <c r="E2348" s="38" t="s">
        <v>2911</v>
      </c>
      <c r="F2348" s="38" t="s">
        <v>618</v>
      </c>
    </row>
    <row r="2349" spans="1:6">
      <c r="A2349" s="38" t="s">
        <v>2971</v>
      </c>
      <c r="B2349" s="40">
        <v>1687</v>
      </c>
      <c r="C2349" s="40">
        <v>1598.03369140625</v>
      </c>
      <c r="D2349" s="38">
        <v>1546996</v>
      </c>
      <c r="E2349" s="38" t="s">
        <v>2911</v>
      </c>
      <c r="F2349" s="38" t="s">
        <v>618</v>
      </c>
    </row>
    <row r="2350" spans="1:6">
      <c r="A2350" s="38" t="s">
        <v>2972</v>
      </c>
      <c r="B2350" s="40">
        <v>1671.199951171875</v>
      </c>
      <c r="C2350" s="40">
        <v>1583.06689453125</v>
      </c>
      <c r="D2350" s="38">
        <v>1689051</v>
      </c>
      <c r="E2350" s="38" t="s">
        <v>2911</v>
      </c>
      <c r="F2350" s="38" t="s">
        <v>618</v>
      </c>
    </row>
    <row r="2351" spans="1:6">
      <c r="A2351" s="38" t="s">
        <v>2973</v>
      </c>
      <c r="B2351" s="40">
        <v>1677.0999755859375</v>
      </c>
      <c r="C2351" s="40">
        <v>1588.6556396484375</v>
      </c>
      <c r="D2351" s="38">
        <v>1931642</v>
      </c>
      <c r="E2351" s="38" t="s">
        <v>2911</v>
      </c>
      <c r="F2351" s="38" t="s">
        <v>618</v>
      </c>
    </row>
    <row r="2352" spans="1:6">
      <c r="A2352" s="38" t="s">
        <v>2974</v>
      </c>
      <c r="B2352" s="40">
        <v>1671.9000244140625</v>
      </c>
      <c r="C2352" s="40">
        <v>1583.7301025390625</v>
      </c>
      <c r="D2352" s="38">
        <v>1713273</v>
      </c>
      <c r="E2352" s="38" t="s">
        <v>2911</v>
      </c>
      <c r="F2352" s="38" t="s">
        <v>618</v>
      </c>
    </row>
    <row r="2353" spans="1:6">
      <c r="A2353" s="38" t="s">
        <v>2975</v>
      </c>
      <c r="B2353" s="40">
        <v>1655.199951171875</v>
      </c>
      <c r="C2353" s="40">
        <v>1596.558837890625</v>
      </c>
      <c r="D2353" s="38">
        <v>1310544</v>
      </c>
      <c r="E2353" s="38" t="s">
        <v>2911</v>
      </c>
      <c r="F2353" s="38" t="s">
        <v>618</v>
      </c>
    </row>
    <row r="2354" spans="1:6">
      <c r="A2354" s="38" t="s">
        <v>2976</v>
      </c>
      <c r="B2354" s="40">
        <v>1623.9000244140625</v>
      </c>
      <c r="C2354" s="40">
        <v>1566.3677978515625</v>
      </c>
      <c r="D2354" s="38">
        <v>1550115</v>
      </c>
      <c r="E2354" s="38" t="s">
        <v>2911</v>
      </c>
      <c r="F2354" s="38" t="s">
        <v>618</v>
      </c>
    </row>
    <row r="2355" spans="1:6">
      <c r="A2355" s="38" t="s">
        <v>2977</v>
      </c>
      <c r="B2355" s="40">
        <v>1635.4000244140625</v>
      </c>
      <c r="C2355" s="40">
        <v>1577.4603271484375</v>
      </c>
      <c r="D2355" s="38">
        <v>1318755</v>
      </c>
      <c r="E2355" s="38" t="s">
        <v>2911</v>
      </c>
      <c r="F2355" s="38" t="s">
        <v>618</v>
      </c>
    </row>
    <row r="2356" spans="1:6">
      <c r="A2356" s="38" t="s">
        <v>2978</v>
      </c>
      <c r="B2356" s="40">
        <v>1614.800048828125</v>
      </c>
      <c r="C2356" s="40">
        <v>1557.5902099609375</v>
      </c>
      <c r="D2356" s="38">
        <v>1173847</v>
      </c>
      <c r="E2356" s="38" t="s">
        <v>2911</v>
      </c>
      <c r="F2356" s="38" t="s">
        <v>618</v>
      </c>
    </row>
    <row r="2357" spans="1:6">
      <c r="A2357" s="38" t="s">
        <v>2979</v>
      </c>
      <c r="B2357" s="40">
        <v>1600.0999755859375</v>
      </c>
      <c r="C2357" s="40">
        <v>1543.410888671875</v>
      </c>
      <c r="D2357" s="38">
        <v>1631315</v>
      </c>
      <c r="E2357" s="38" t="s">
        <v>2911</v>
      </c>
      <c r="F2357" s="38" t="s">
        <v>618</v>
      </c>
    </row>
    <row r="2358" spans="1:6">
      <c r="A2358" s="38" t="s">
        <v>2980</v>
      </c>
      <c r="B2358" s="40">
        <v>1602.5</v>
      </c>
      <c r="C2358" s="40">
        <v>1545.725830078125</v>
      </c>
      <c r="D2358" s="38">
        <v>2559235</v>
      </c>
      <c r="E2358" s="38" t="s">
        <v>2911</v>
      </c>
      <c r="F2358" s="38" t="s">
        <v>618</v>
      </c>
    </row>
    <row r="2359" spans="1:6">
      <c r="A2359" s="38" t="s">
        <v>2981</v>
      </c>
      <c r="B2359" s="40">
        <v>1576.699951171875</v>
      </c>
      <c r="C2359" s="40">
        <v>1520.83984375</v>
      </c>
      <c r="D2359" s="38">
        <v>2068336</v>
      </c>
      <c r="E2359" s="38" t="s">
        <v>2911</v>
      </c>
      <c r="F2359" s="38" t="s">
        <v>618</v>
      </c>
    </row>
    <row r="2360" spans="1:6">
      <c r="A2360" s="38" t="s">
        <v>2982</v>
      </c>
      <c r="B2360" s="40">
        <v>1579</v>
      </c>
      <c r="C2360" s="40">
        <v>1523.0584716796875</v>
      </c>
      <c r="D2360" s="38">
        <v>2574760</v>
      </c>
      <c r="E2360" s="38" t="s">
        <v>2911</v>
      </c>
      <c r="F2360" s="38" t="s">
        <v>618</v>
      </c>
    </row>
    <row r="2361" spans="1:6">
      <c r="A2361" s="38" t="s">
        <v>2983</v>
      </c>
      <c r="B2361" s="40">
        <v>1607.9000244140625</v>
      </c>
      <c r="C2361" s="40">
        <v>1550.9345703125</v>
      </c>
      <c r="D2361" s="38">
        <v>2207039</v>
      </c>
      <c r="E2361" s="38" t="s">
        <v>2911</v>
      </c>
      <c r="F2361" s="38" t="s">
        <v>618</v>
      </c>
    </row>
    <row r="2362" spans="1:6">
      <c r="A2362" s="38" t="s">
        <v>2984</v>
      </c>
      <c r="B2362" s="40">
        <v>1563.699951171875</v>
      </c>
      <c r="C2362" s="40">
        <v>1508.300537109375</v>
      </c>
      <c r="D2362" s="38">
        <v>7617296</v>
      </c>
      <c r="E2362" s="38" t="s">
        <v>2911</v>
      </c>
      <c r="F2362" s="38" t="s">
        <v>618</v>
      </c>
    </row>
    <row r="2363" spans="1:6">
      <c r="A2363" s="38" t="s">
        <v>2985</v>
      </c>
      <c r="B2363" s="40">
        <v>1548.9000244140625</v>
      </c>
      <c r="C2363" s="40">
        <v>1494.02490234375</v>
      </c>
      <c r="D2363" s="38">
        <v>3619191</v>
      </c>
      <c r="E2363" s="38" t="s">
        <v>2911</v>
      </c>
      <c r="F2363" s="38" t="s">
        <v>618</v>
      </c>
    </row>
    <row r="2364" spans="1:6">
      <c r="A2364" s="38" t="s">
        <v>2986</v>
      </c>
      <c r="B2364" s="40">
        <v>1543.800048828125</v>
      </c>
      <c r="C2364" s="40">
        <v>1489.1055908203125</v>
      </c>
      <c r="D2364" s="38">
        <v>988104</v>
      </c>
      <c r="E2364" s="38" t="s">
        <v>2911</v>
      </c>
      <c r="F2364" s="38" t="s">
        <v>618</v>
      </c>
    </row>
    <row r="2365" spans="1:6">
      <c r="A2365" s="38" t="s">
        <v>2987</v>
      </c>
      <c r="B2365" s="40">
        <v>1547.199951171875</v>
      </c>
      <c r="C2365" s="40">
        <v>1492.3851318359375</v>
      </c>
      <c r="D2365" s="38">
        <v>1404790</v>
      </c>
      <c r="E2365" s="38" t="s">
        <v>2911</v>
      </c>
      <c r="F2365" s="38" t="s">
        <v>618</v>
      </c>
    </row>
    <row r="2366" spans="1:6">
      <c r="A2366" s="38" t="s">
        <v>2988</v>
      </c>
      <c r="B2366" s="40">
        <v>1546.5999755859375</v>
      </c>
      <c r="C2366" s="40">
        <v>1491.8062744140625</v>
      </c>
      <c r="D2366" s="38">
        <v>2887100</v>
      </c>
      <c r="E2366" s="38" t="s">
        <v>2911</v>
      </c>
      <c r="F2366" s="38" t="s">
        <v>618</v>
      </c>
    </row>
    <row r="2367" spans="1:6">
      <c r="A2367" s="38" t="s">
        <v>2989</v>
      </c>
      <c r="B2367" s="40">
        <v>1498.5999755859375</v>
      </c>
      <c r="C2367" s="40">
        <v>1445.5069580078125</v>
      </c>
      <c r="D2367" s="38">
        <v>2207437</v>
      </c>
      <c r="E2367" s="38" t="s">
        <v>2911</v>
      </c>
      <c r="F2367" s="38" t="s">
        <v>618</v>
      </c>
    </row>
    <row r="2368" spans="1:6">
      <c r="A2368" s="38" t="s">
        <v>2990</v>
      </c>
      <c r="B2368" s="40">
        <v>1461.9000244140625</v>
      </c>
      <c r="C2368" s="40">
        <v>1410.107177734375</v>
      </c>
      <c r="D2368" s="38">
        <v>1179664</v>
      </c>
      <c r="E2368" s="38" t="s">
        <v>2911</v>
      </c>
      <c r="F2368" s="38" t="s">
        <v>618</v>
      </c>
    </row>
    <row r="2369" spans="1:6">
      <c r="A2369" s="38" t="s">
        <v>2991</v>
      </c>
      <c r="B2369" s="40">
        <v>1450.5999755859375</v>
      </c>
      <c r="C2369" s="40">
        <v>1399.2073974609375</v>
      </c>
      <c r="D2369" s="38">
        <v>1070496</v>
      </c>
      <c r="E2369" s="38" t="s">
        <v>2911</v>
      </c>
      <c r="F2369" s="38" t="s">
        <v>618</v>
      </c>
    </row>
    <row r="2370" spans="1:6">
      <c r="A2370" s="38" t="s">
        <v>2992</v>
      </c>
      <c r="B2370" s="40">
        <v>1453.800048828125</v>
      </c>
      <c r="C2370" s="40">
        <v>1402.294189453125</v>
      </c>
      <c r="D2370" s="38">
        <v>1458817</v>
      </c>
      <c r="E2370" s="38" t="s">
        <v>2911</v>
      </c>
      <c r="F2370" s="38" t="s">
        <v>618</v>
      </c>
    </row>
    <row r="2371" spans="1:6">
      <c r="A2371" s="38" t="s">
        <v>2993</v>
      </c>
      <c r="B2371" s="40">
        <v>1463.199951171875</v>
      </c>
      <c r="C2371" s="40">
        <v>1411.361083984375</v>
      </c>
      <c r="D2371" s="38">
        <v>1299448</v>
      </c>
      <c r="E2371" s="38" t="s">
        <v>2911</v>
      </c>
      <c r="F2371" s="38" t="s">
        <v>618</v>
      </c>
    </row>
    <row r="2372" spans="1:6">
      <c r="A2372" s="38" t="s">
        <v>2994</v>
      </c>
      <c r="B2372" s="40">
        <v>1463.699951171875</v>
      </c>
      <c r="C2372" s="40">
        <v>1411.84326171875</v>
      </c>
      <c r="D2372" s="38">
        <v>1382994</v>
      </c>
      <c r="E2372" s="38" t="s">
        <v>2911</v>
      </c>
      <c r="F2372" s="38" t="s">
        <v>618</v>
      </c>
    </row>
    <row r="2373" spans="1:6">
      <c r="A2373" s="38" t="s">
        <v>2995</v>
      </c>
      <c r="B2373" s="40">
        <v>1438.800048828125</v>
      </c>
      <c r="C2373" s="40">
        <v>1387.8255615234375</v>
      </c>
      <c r="D2373" s="38">
        <v>1620011</v>
      </c>
      <c r="E2373" s="38" t="s">
        <v>2911</v>
      </c>
      <c r="F2373" s="38" t="s">
        <v>618</v>
      </c>
    </row>
    <row r="2374" spans="1:6">
      <c r="A2374" s="38" t="s">
        <v>2996</v>
      </c>
      <c r="B2374" s="40">
        <v>1475</v>
      </c>
      <c r="C2374" s="40">
        <v>1422.7430419921875</v>
      </c>
      <c r="D2374" s="38">
        <v>1581473</v>
      </c>
      <c r="E2374" s="38" t="s">
        <v>2911</v>
      </c>
      <c r="F2374" s="38" t="s">
        <v>618</v>
      </c>
    </row>
    <row r="2375" spans="1:6">
      <c r="A2375" s="38" t="s">
        <v>2997</v>
      </c>
      <c r="B2375" s="40">
        <v>1485.4000244140625</v>
      </c>
      <c r="C2375" s="40">
        <v>1432.7745361328125</v>
      </c>
      <c r="D2375" s="38">
        <v>2929677</v>
      </c>
      <c r="E2375" s="38" t="s">
        <v>2911</v>
      </c>
      <c r="F2375" s="38" t="s">
        <v>618</v>
      </c>
    </row>
    <row r="2376" spans="1:6">
      <c r="A2376" s="38" t="s">
        <v>2998</v>
      </c>
      <c r="B2376" s="40">
        <v>1459</v>
      </c>
      <c r="C2376" s="40">
        <v>1407.309814453125</v>
      </c>
      <c r="D2376" s="38">
        <v>1039973</v>
      </c>
      <c r="E2376" s="38" t="s">
        <v>2911</v>
      </c>
      <c r="F2376" s="38" t="s">
        <v>618</v>
      </c>
    </row>
    <row r="2377" spans="1:6">
      <c r="A2377" s="38" t="s">
        <v>2999</v>
      </c>
      <c r="B2377" s="40">
        <v>1482</v>
      </c>
      <c r="C2377" s="40">
        <v>1429.4949951171875</v>
      </c>
      <c r="D2377" s="38">
        <v>1587489</v>
      </c>
      <c r="E2377" s="38" t="s">
        <v>2911</v>
      </c>
      <c r="F2377" s="38" t="s">
        <v>618</v>
      </c>
    </row>
    <row r="2378" spans="1:6">
      <c r="A2378" s="38" t="s">
        <v>3000</v>
      </c>
      <c r="B2378" s="40">
        <v>1480.4000244140625</v>
      </c>
      <c r="C2378" s="40">
        <v>1427.9517822265625</v>
      </c>
      <c r="D2378" s="38">
        <v>1371665</v>
      </c>
      <c r="E2378" s="38" t="s">
        <v>2911</v>
      </c>
      <c r="F2378" s="38" t="s">
        <v>618</v>
      </c>
    </row>
    <row r="2379" spans="1:6">
      <c r="A2379" s="38" t="s">
        <v>3001</v>
      </c>
      <c r="B2379" s="40">
        <v>1481.0999755859375</v>
      </c>
      <c r="C2379" s="40">
        <v>1428.6268310546875</v>
      </c>
      <c r="D2379" s="38">
        <v>888886</v>
      </c>
      <c r="E2379" s="38" t="s">
        <v>2911</v>
      </c>
      <c r="F2379" s="38" t="s">
        <v>618</v>
      </c>
    </row>
    <row r="2380" spans="1:6">
      <c r="A2380" s="38" t="s">
        <v>3002</v>
      </c>
      <c r="B2380" s="40">
        <v>1509.300048828125</v>
      </c>
      <c r="C2380" s="40">
        <v>1455.827880859375</v>
      </c>
      <c r="D2380" s="38">
        <v>2532937</v>
      </c>
      <c r="E2380" s="38" t="s">
        <v>2911</v>
      </c>
      <c r="F2380" s="38" t="s">
        <v>618</v>
      </c>
    </row>
    <row r="2381" spans="1:6">
      <c r="A2381" s="38" t="s">
        <v>3003</v>
      </c>
      <c r="B2381" s="40">
        <v>1506.300048828125</v>
      </c>
      <c r="C2381" s="40">
        <v>1452.93408203125</v>
      </c>
      <c r="D2381" s="38">
        <v>1815196</v>
      </c>
      <c r="E2381" s="38" t="s">
        <v>2911</v>
      </c>
      <c r="F2381" s="38" t="s">
        <v>618</v>
      </c>
    </row>
    <row r="2382" spans="1:6">
      <c r="A2382" s="38" t="s">
        <v>3004</v>
      </c>
      <c r="B2382" s="40">
        <v>1486.699951171875</v>
      </c>
      <c r="C2382" s="40">
        <v>1434.0284423828125</v>
      </c>
      <c r="D2382" s="38">
        <v>1715172</v>
      </c>
      <c r="E2382" s="38" t="s">
        <v>2911</v>
      </c>
      <c r="F2382" s="38" t="s">
        <v>618</v>
      </c>
    </row>
    <row r="2383" spans="1:6">
      <c r="A2383" s="38" t="s">
        <v>3005</v>
      </c>
      <c r="B2383" s="40">
        <v>1471.199951171875</v>
      </c>
      <c r="C2383" s="40">
        <v>1419.07763671875</v>
      </c>
      <c r="D2383" s="38">
        <v>1249405</v>
      </c>
      <c r="E2383" s="38" t="s">
        <v>2911</v>
      </c>
      <c r="F2383" s="38" t="s">
        <v>618</v>
      </c>
    </row>
    <row r="2384" spans="1:6">
      <c r="A2384" s="38" t="s">
        <v>3006</v>
      </c>
      <c r="B2384" s="40">
        <v>1496.699951171875</v>
      </c>
      <c r="C2384" s="40">
        <v>1443.6741943359375</v>
      </c>
      <c r="D2384" s="38">
        <v>1807647</v>
      </c>
      <c r="E2384" s="38" t="s">
        <v>2911</v>
      </c>
      <c r="F2384" s="38" t="s">
        <v>618</v>
      </c>
    </row>
    <row r="2385" spans="1:6">
      <c r="A2385" s="38" t="s">
        <v>3007</v>
      </c>
      <c r="B2385" s="40">
        <v>1524.0999755859375</v>
      </c>
      <c r="C2385" s="40">
        <v>1470.1033935546875</v>
      </c>
      <c r="D2385" s="38">
        <v>2329633</v>
      </c>
      <c r="E2385" s="38" t="s">
        <v>2911</v>
      </c>
      <c r="F2385" s="38" t="s">
        <v>618</v>
      </c>
    </row>
    <row r="2386" spans="1:6">
      <c r="A2386" s="38" t="s">
        <v>3008</v>
      </c>
      <c r="B2386" s="40">
        <v>1521.300048828125</v>
      </c>
      <c r="C2386" s="40">
        <v>1467.4027099609375</v>
      </c>
      <c r="D2386" s="38">
        <v>1251760</v>
      </c>
      <c r="E2386" s="38" t="s">
        <v>2911</v>
      </c>
      <c r="F2386" s="38" t="s">
        <v>618</v>
      </c>
    </row>
    <row r="2387" spans="1:6">
      <c r="A2387" s="38" t="s">
        <v>3009</v>
      </c>
      <c r="B2387" s="40">
        <v>1505</v>
      </c>
      <c r="C2387" s="40">
        <v>1451.68017578125</v>
      </c>
      <c r="D2387" s="38">
        <v>969599</v>
      </c>
      <c r="E2387" s="38" t="s">
        <v>2911</v>
      </c>
      <c r="F2387" s="38" t="s">
        <v>618</v>
      </c>
    </row>
    <row r="2388" spans="1:6">
      <c r="A2388" s="38" t="s">
        <v>3010</v>
      </c>
      <c r="B2388" s="40">
        <v>1527.0999755859375</v>
      </c>
      <c r="C2388" s="40">
        <v>1472.9971923828125</v>
      </c>
      <c r="D2388" s="38">
        <v>1386218</v>
      </c>
      <c r="E2388" s="38" t="s">
        <v>2911</v>
      </c>
      <c r="F2388" s="38" t="s">
        <v>618</v>
      </c>
    </row>
    <row r="2389" spans="1:6">
      <c r="A2389" s="38" t="s">
        <v>3011</v>
      </c>
      <c r="B2389" s="40">
        <v>1502.199951171875</v>
      </c>
      <c r="C2389" s="40">
        <v>1448.979248046875</v>
      </c>
      <c r="D2389" s="38">
        <v>1510822</v>
      </c>
      <c r="E2389" s="38" t="s">
        <v>2911</v>
      </c>
      <c r="F2389" s="38" t="s">
        <v>618</v>
      </c>
    </row>
    <row r="2390" spans="1:6">
      <c r="A2390" s="38" t="s">
        <v>3012</v>
      </c>
      <c r="B2390" s="40">
        <v>1495.5999755859375</v>
      </c>
      <c r="C2390" s="40">
        <v>1442.61328125</v>
      </c>
      <c r="D2390" s="38">
        <v>1771867</v>
      </c>
      <c r="E2390" s="38" t="s">
        <v>2911</v>
      </c>
      <c r="F2390" s="38" t="s">
        <v>618</v>
      </c>
    </row>
    <row r="2391" spans="1:6">
      <c r="A2391" s="38" t="s">
        <v>3013</v>
      </c>
      <c r="B2391" s="40">
        <v>1481.4000244140625</v>
      </c>
      <c r="C2391" s="40">
        <v>1428.9163818359375</v>
      </c>
      <c r="D2391" s="38">
        <v>2279980</v>
      </c>
      <c r="E2391" s="38" t="s">
        <v>2911</v>
      </c>
      <c r="F2391" s="38" t="s">
        <v>618</v>
      </c>
    </row>
    <row r="2392" spans="1:6">
      <c r="A2392" s="38" t="s">
        <v>3014</v>
      </c>
      <c r="B2392" s="40">
        <v>1505.5</v>
      </c>
      <c r="C2392" s="40">
        <v>1452.1624755859375</v>
      </c>
      <c r="D2392" s="38">
        <v>1241192</v>
      </c>
      <c r="E2392" s="38" t="s">
        <v>2911</v>
      </c>
      <c r="F2392" s="38" t="s">
        <v>618</v>
      </c>
    </row>
    <row r="2393" spans="1:6">
      <c r="A2393" s="38" t="s">
        <v>3015</v>
      </c>
      <c r="B2393" s="40">
        <v>1512.800048828125</v>
      </c>
      <c r="C2393" s="40">
        <v>1459.2039794921875</v>
      </c>
      <c r="D2393" s="38">
        <v>1137022</v>
      </c>
      <c r="E2393" s="38" t="s">
        <v>2911</v>
      </c>
      <c r="F2393" s="38" t="s">
        <v>618</v>
      </c>
    </row>
    <row r="2394" spans="1:6">
      <c r="A2394" s="38" t="s">
        <v>3016</v>
      </c>
      <c r="B2394" s="40">
        <v>1508.199951171875</v>
      </c>
      <c r="C2394" s="40">
        <v>1454.7667236328125</v>
      </c>
      <c r="D2394" s="38">
        <v>1431929</v>
      </c>
      <c r="E2394" s="38" t="s">
        <v>2911</v>
      </c>
      <c r="F2394" s="38" t="s">
        <v>618</v>
      </c>
    </row>
    <row r="2395" spans="1:6">
      <c r="A2395" s="38" t="s">
        <v>3017</v>
      </c>
      <c r="B2395" s="40">
        <v>1500.4000244140625</v>
      </c>
      <c r="C2395" s="40">
        <v>1447.2431640625</v>
      </c>
      <c r="D2395" s="38">
        <v>1038934</v>
      </c>
      <c r="E2395" s="38" t="s">
        <v>2911</v>
      </c>
      <c r="F2395" s="38" t="s">
        <v>618</v>
      </c>
    </row>
    <row r="2396" spans="1:6">
      <c r="A2396" s="38" t="s">
        <v>3018</v>
      </c>
      <c r="B2396" s="40">
        <v>1477.9000244140625</v>
      </c>
      <c r="C2396" s="40">
        <v>1425.540283203125</v>
      </c>
      <c r="D2396" s="38">
        <v>1875965</v>
      </c>
      <c r="E2396" s="38" t="s">
        <v>2911</v>
      </c>
      <c r="F2396" s="38" t="s">
        <v>618</v>
      </c>
    </row>
    <row r="2397" spans="1:6">
      <c r="A2397" s="38" t="s">
        <v>3019</v>
      </c>
      <c r="B2397" s="40">
        <v>1460.699951171875</v>
      </c>
      <c r="C2397" s="40">
        <v>1408.9495849609375</v>
      </c>
      <c r="D2397" s="38">
        <v>1308412</v>
      </c>
      <c r="E2397" s="38" t="s">
        <v>2911</v>
      </c>
      <c r="F2397" s="38" t="s">
        <v>618</v>
      </c>
    </row>
    <row r="2398" spans="1:6">
      <c r="A2398" s="38" t="s">
        <v>3020</v>
      </c>
      <c r="B2398" s="40">
        <v>1498.199951171875</v>
      </c>
      <c r="C2398" s="40">
        <v>1445.12109375</v>
      </c>
      <c r="D2398" s="38">
        <v>1749566</v>
      </c>
      <c r="E2398" s="38" t="s">
        <v>2911</v>
      </c>
      <c r="F2398" s="38" t="s">
        <v>618</v>
      </c>
    </row>
    <row r="2399" spans="1:6">
      <c r="A2399" s="38" t="s">
        <v>3021</v>
      </c>
      <c r="B2399" s="40">
        <v>1526</v>
      </c>
      <c r="C2399" s="40">
        <v>1471.9361572265625</v>
      </c>
      <c r="D2399" s="38">
        <v>1660976</v>
      </c>
      <c r="E2399" s="38" t="s">
        <v>2911</v>
      </c>
      <c r="F2399" s="38" t="s">
        <v>618</v>
      </c>
    </row>
    <row r="2400" spans="1:6">
      <c r="A2400" s="38" t="s">
        <v>3022</v>
      </c>
      <c r="B2400" s="40">
        <v>1521.199951171875</v>
      </c>
      <c r="C2400" s="40">
        <v>1467.3062744140625</v>
      </c>
      <c r="D2400" s="38">
        <v>896908</v>
      </c>
      <c r="E2400" s="38" t="s">
        <v>2911</v>
      </c>
      <c r="F2400" s="38" t="s">
        <v>618</v>
      </c>
    </row>
    <row r="2401" spans="1:6">
      <c r="A2401" s="38" t="s">
        <v>3023</v>
      </c>
      <c r="B2401" s="40">
        <v>1525.5</v>
      </c>
      <c r="C2401" s="40">
        <v>1471.4539794921875</v>
      </c>
      <c r="D2401" s="38">
        <v>770698</v>
      </c>
      <c r="E2401" s="38" t="s">
        <v>2911</v>
      </c>
      <c r="F2401" s="38" t="s">
        <v>618</v>
      </c>
    </row>
    <row r="2402" spans="1:6">
      <c r="A2402" s="38" t="s">
        <v>3024</v>
      </c>
      <c r="B2402" s="40">
        <v>1519.800048828125</v>
      </c>
      <c r="C2402" s="40">
        <v>1465.955810546875</v>
      </c>
      <c r="D2402" s="38">
        <v>825515</v>
      </c>
      <c r="E2402" s="38" t="s">
        <v>2911</v>
      </c>
      <c r="F2402" s="38" t="s">
        <v>618</v>
      </c>
    </row>
    <row r="2403" spans="1:6">
      <c r="A2403" s="38" t="s">
        <v>3025</v>
      </c>
      <c r="B2403" s="40">
        <v>1531.5</v>
      </c>
      <c r="C2403" s="40">
        <v>1477.2413330078125</v>
      </c>
      <c r="D2403" s="38">
        <v>1011289</v>
      </c>
      <c r="E2403" s="38" t="s">
        <v>2911</v>
      </c>
      <c r="F2403" s="38" t="s">
        <v>618</v>
      </c>
    </row>
    <row r="2404" spans="1:6">
      <c r="A2404" s="38" t="s">
        <v>3026</v>
      </c>
      <c r="B2404" s="40">
        <v>1547.199951171875</v>
      </c>
      <c r="C2404" s="40">
        <v>1492.3851318359375</v>
      </c>
      <c r="D2404" s="38">
        <v>1946337</v>
      </c>
      <c r="E2404" s="38" t="s">
        <v>2911</v>
      </c>
      <c r="F2404" s="38" t="s">
        <v>618</v>
      </c>
    </row>
    <row r="2405" spans="1:6">
      <c r="A2405" s="38" t="s">
        <v>3027</v>
      </c>
      <c r="B2405" s="40">
        <v>1550.699951171875</v>
      </c>
      <c r="C2405" s="40">
        <v>1495.760986328125</v>
      </c>
      <c r="D2405" s="38">
        <v>2246114</v>
      </c>
      <c r="E2405" s="38" t="s">
        <v>2911</v>
      </c>
      <c r="F2405" s="38" t="s">
        <v>618</v>
      </c>
    </row>
    <row r="2406" spans="1:6">
      <c r="A2406" s="38" t="s">
        <v>3028</v>
      </c>
      <c r="B2406" s="40">
        <v>1553.800048828125</v>
      </c>
      <c r="C2406" s="40">
        <v>1498.7513427734375</v>
      </c>
      <c r="D2406" s="38">
        <v>2621234</v>
      </c>
      <c r="E2406" s="38" t="s">
        <v>2911</v>
      </c>
      <c r="F2406" s="38" t="s">
        <v>618</v>
      </c>
    </row>
    <row r="2407" spans="1:6">
      <c r="A2407" s="38" t="s">
        <v>3029</v>
      </c>
      <c r="B2407" s="40">
        <v>1505.4000244140625</v>
      </c>
      <c r="C2407" s="40">
        <v>1452.0660400390625</v>
      </c>
      <c r="D2407" s="38">
        <v>5723501</v>
      </c>
      <c r="E2407" s="38" t="s">
        <v>2911</v>
      </c>
      <c r="F2407" s="38" t="s">
        <v>618</v>
      </c>
    </row>
    <row r="2408" spans="1:6">
      <c r="A2408" s="38" t="s">
        <v>3030</v>
      </c>
      <c r="B2408" s="40">
        <v>1471.9000244140625</v>
      </c>
      <c r="C2408" s="40">
        <v>1419.7528076171875</v>
      </c>
      <c r="D2408" s="38">
        <v>1380054</v>
      </c>
      <c r="E2408" s="38" t="s">
        <v>2911</v>
      </c>
      <c r="F2408" s="38" t="s">
        <v>618</v>
      </c>
    </row>
    <row r="2409" spans="1:6">
      <c r="A2409" s="38" t="s">
        <v>3031</v>
      </c>
      <c r="B2409" s="40">
        <v>1452.4000244140625</v>
      </c>
      <c r="C2409" s="40">
        <v>1400.94384765625</v>
      </c>
      <c r="D2409" s="38">
        <v>2122106</v>
      </c>
      <c r="E2409" s="38" t="s">
        <v>2911</v>
      </c>
      <c r="F2409" s="38" t="s">
        <v>618</v>
      </c>
    </row>
    <row r="2410" spans="1:6">
      <c r="A2410" s="38" t="s">
        <v>3032</v>
      </c>
      <c r="B2410" s="40">
        <v>1444.300048828125</v>
      </c>
      <c r="C2410" s="40">
        <v>1393.1307373046875</v>
      </c>
      <c r="D2410" s="38">
        <v>1581629</v>
      </c>
      <c r="E2410" s="38" t="s">
        <v>2911</v>
      </c>
      <c r="F2410" s="38" t="s">
        <v>618</v>
      </c>
    </row>
    <row r="2411" spans="1:6">
      <c r="A2411" s="38" t="s">
        <v>3033</v>
      </c>
      <c r="B2411" s="40">
        <v>1407.699951171875</v>
      </c>
      <c r="C2411" s="40">
        <v>1357.8272705078125</v>
      </c>
      <c r="D2411" s="38">
        <v>1851067</v>
      </c>
      <c r="E2411" s="38" t="s">
        <v>2911</v>
      </c>
      <c r="F2411" s="38" t="s">
        <v>618</v>
      </c>
    </row>
    <row r="2412" spans="1:6">
      <c r="A2412" s="38" t="s">
        <v>3034</v>
      </c>
      <c r="B2412" s="40">
        <v>1410.699951171875</v>
      </c>
      <c r="C2412" s="40">
        <v>1360.720947265625</v>
      </c>
      <c r="D2412" s="38">
        <v>2708118</v>
      </c>
      <c r="E2412" s="38" t="s">
        <v>2911</v>
      </c>
      <c r="F2412" s="38" t="s">
        <v>618</v>
      </c>
    </row>
    <row r="2413" spans="1:6">
      <c r="A2413" s="38" t="s">
        <v>3035</v>
      </c>
      <c r="B2413" s="40">
        <v>1400.300048828125</v>
      </c>
      <c r="C2413" s="40">
        <v>1350.6895751953125</v>
      </c>
      <c r="D2413" s="38">
        <v>2225340</v>
      </c>
      <c r="E2413" s="38" t="s">
        <v>2911</v>
      </c>
      <c r="F2413" s="38" t="s">
        <v>618</v>
      </c>
    </row>
    <row r="2414" spans="1:6">
      <c r="A2414" s="38" t="s">
        <v>3036</v>
      </c>
      <c r="B2414" s="40">
        <v>1416</v>
      </c>
      <c r="C2414" s="40">
        <v>1365.833251953125</v>
      </c>
      <c r="D2414" s="38">
        <v>1683484</v>
      </c>
      <c r="E2414" s="38" t="s">
        <v>2911</v>
      </c>
      <c r="F2414" s="38" t="s">
        <v>618</v>
      </c>
    </row>
    <row r="2415" spans="1:6">
      <c r="A2415" s="38" t="s">
        <v>3037</v>
      </c>
      <c r="B2415" s="40">
        <v>1400.5999755859375</v>
      </c>
      <c r="C2415" s="40">
        <v>1350.9788818359375</v>
      </c>
      <c r="D2415" s="38">
        <v>2568702</v>
      </c>
      <c r="E2415" s="38" t="s">
        <v>2911</v>
      </c>
      <c r="F2415" s="38" t="s">
        <v>618</v>
      </c>
    </row>
    <row r="2416" spans="1:6">
      <c r="A2416" s="38" t="s">
        <v>3038</v>
      </c>
      <c r="B2416" s="40">
        <v>1439.300048828125</v>
      </c>
      <c r="C2416" s="40">
        <v>1388.3079833984375</v>
      </c>
      <c r="D2416" s="38">
        <v>3036770</v>
      </c>
      <c r="E2416" s="38" t="s">
        <v>2911</v>
      </c>
      <c r="F2416" s="38" t="s">
        <v>618</v>
      </c>
    </row>
    <row r="2417" spans="1:6">
      <c r="A2417" s="38" t="s">
        <v>3039</v>
      </c>
      <c r="B2417" s="40">
        <v>1438.9000244140625</v>
      </c>
      <c r="C2417" s="40">
        <v>1387.922119140625</v>
      </c>
      <c r="D2417" s="38">
        <v>1105550</v>
      </c>
      <c r="E2417" s="38" t="s">
        <v>2911</v>
      </c>
      <c r="F2417" s="38" t="s">
        <v>618</v>
      </c>
    </row>
    <row r="2418" spans="1:6">
      <c r="A2418" s="38" t="s">
        <v>3040</v>
      </c>
      <c r="B2418" s="40">
        <v>1458.199951171875</v>
      </c>
      <c r="C2418" s="40">
        <v>1406.5382080078125</v>
      </c>
      <c r="D2418" s="38">
        <v>1154614</v>
      </c>
      <c r="E2418" s="38" t="s">
        <v>2911</v>
      </c>
      <c r="F2418" s="38" t="s">
        <v>618</v>
      </c>
    </row>
    <row r="2419" spans="1:6">
      <c r="A2419" s="38" t="s">
        <v>3041</v>
      </c>
      <c r="B2419" s="40">
        <v>1466.5999755859375</v>
      </c>
      <c r="C2419" s="40">
        <v>1414.640625</v>
      </c>
      <c r="D2419" s="38">
        <v>1354036</v>
      </c>
      <c r="E2419" s="38" t="s">
        <v>2911</v>
      </c>
      <c r="F2419" s="38" t="s">
        <v>618</v>
      </c>
    </row>
    <row r="2420" spans="1:6">
      <c r="A2420" s="38" t="s">
        <v>3042</v>
      </c>
      <c r="B2420" s="40">
        <v>1457.199951171875</v>
      </c>
      <c r="C2420" s="40">
        <v>1405.5736083984375</v>
      </c>
      <c r="D2420" s="38">
        <v>937053</v>
      </c>
      <c r="E2420" s="38" t="s">
        <v>2911</v>
      </c>
      <c r="F2420" s="38" t="s">
        <v>618</v>
      </c>
    </row>
    <row r="2421" spans="1:6">
      <c r="A2421" s="38" t="s">
        <v>3043</v>
      </c>
      <c r="B2421" s="40">
        <v>1450.9000244140625</v>
      </c>
      <c r="C2421" s="40">
        <v>1399.4969482421875</v>
      </c>
      <c r="D2421" s="38">
        <v>1229414</v>
      </c>
      <c r="E2421" s="38" t="s">
        <v>2911</v>
      </c>
      <c r="F2421" s="38" t="s">
        <v>618</v>
      </c>
    </row>
    <row r="2422" spans="1:6">
      <c r="A2422" s="38" t="s">
        <v>3044</v>
      </c>
      <c r="B2422" s="40">
        <v>1468</v>
      </c>
      <c r="C2422" s="40">
        <v>1415.990966796875</v>
      </c>
      <c r="D2422" s="38">
        <v>1430713</v>
      </c>
      <c r="E2422" s="38" t="s">
        <v>2911</v>
      </c>
      <c r="F2422" s="38" t="s">
        <v>618</v>
      </c>
    </row>
    <row r="2423" spans="1:6">
      <c r="A2423" s="38" t="s">
        <v>3045</v>
      </c>
      <c r="B2423" s="40">
        <v>1459</v>
      </c>
      <c r="C2423" s="40">
        <v>1407.309814453125</v>
      </c>
      <c r="D2423" s="38">
        <v>2810322</v>
      </c>
      <c r="E2423" s="38" t="s">
        <v>2911</v>
      </c>
      <c r="F2423" s="38" t="s">
        <v>618</v>
      </c>
    </row>
    <row r="2424" spans="1:6">
      <c r="A2424" s="38" t="s">
        <v>3046</v>
      </c>
      <c r="B2424" s="40">
        <v>1463.800048828125</v>
      </c>
      <c r="C2424" s="40">
        <v>1411.93994140625</v>
      </c>
      <c r="D2424" s="38">
        <v>1619438</v>
      </c>
      <c r="E2424" s="38" t="s">
        <v>2911</v>
      </c>
      <c r="F2424" s="38" t="s">
        <v>618</v>
      </c>
    </row>
    <row r="2425" spans="1:6">
      <c r="A2425" s="38" t="s">
        <v>3047</v>
      </c>
      <c r="B2425" s="40">
        <v>1447.5999755859375</v>
      </c>
      <c r="C2425" s="40">
        <v>1396.313720703125</v>
      </c>
      <c r="D2425" s="38">
        <v>1433539</v>
      </c>
      <c r="E2425" s="38" t="s">
        <v>2911</v>
      </c>
      <c r="F2425" s="38" t="s">
        <v>618</v>
      </c>
    </row>
    <row r="2426" spans="1:6">
      <c r="A2426" s="38" t="s">
        <v>3048</v>
      </c>
      <c r="B2426" s="40">
        <v>1444.4000244140625</v>
      </c>
      <c r="C2426" s="40">
        <v>1407.81494140625</v>
      </c>
      <c r="D2426" s="38">
        <v>1800507</v>
      </c>
      <c r="E2426" s="38" t="s">
        <v>2911</v>
      </c>
      <c r="F2426" s="38" t="s">
        <v>618</v>
      </c>
    </row>
    <row r="2427" spans="1:6">
      <c r="A2427" s="38" t="s">
        <v>3049</v>
      </c>
      <c r="B2427" s="40">
        <v>1448.699951171875</v>
      </c>
      <c r="C2427" s="40">
        <v>1412.0059814453125</v>
      </c>
      <c r="D2427" s="38">
        <v>114229</v>
      </c>
      <c r="E2427" s="38" t="s">
        <v>2911</v>
      </c>
      <c r="F2427" s="38" t="s">
        <v>618</v>
      </c>
    </row>
    <row r="2428" spans="1:6">
      <c r="A2428" s="38" t="s">
        <v>3050</v>
      </c>
      <c r="B2428" s="40">
        <v>1463.4000244140625</v>
      </c>
      <c r="C2428" s="40">
        <v>1426.3336181640625</v>
      </c>
      <c r="D2428" s="38">
        <v>3244860</v>
      </c>
      <c r="E2428" s="38" t="s">
        <v>2911</v>
      </c>
      <c r="F2428" s="38" t="s">
        <v>618</v>
      </c>
    </row>
    <row r="2429" spans="1:6">
      <c r="A2429" s="38" t="s">
        <v>3051</v>
      </c>
      <c r="B2429" s="40">
        <v>1453.699951171875</v>
      </c>
      <c r="C2429" s="40">
        <v>1416.8792724609375</v>
      </c>
      <c r="D2429" s="38">
        <v>969361</v>
      </c>
      <c r="E2429" s="38" t="s">
        <v>2911</v>
      </c>
      <c r="F2429" s="38" t="s">
        <v>618</v>
      </c>
    </row>
    <row r="2430" spans="1:6">
      <c r="A2430" s="38" t="s">
        <v>3052</v>
      </c>
      <c r="B2430" s="40">
        <v>1462.800048828125</v>
      </c>
      <c r="C2430" s="40">
        <v>1425.7489013671875</v>
      </c>
      <c r="D2430" s="38">
        <v>1036807</v>
      </c>
      <c r="E2430" s="38" t="s">
        <v>2911</v>
      </c>
      <c r="F2430" s="38" t="s">
        <v>618</v>
      </c>
    </row>
    <row r="2431" spans="1:6">
      <c r="A2431" s="38" t="s">
        <v>3053</v>
      </c>
      <c r="B2431" s="40">
        <v>1447.4000244140625</v>
      </c>
      <c r="C2431" s="40">
        <v>1410.7388916015625</v>
      </c>
      <c r="D2431" s="38">
        <v>1432913</v>
      </c>
      <c r="E2431" s="38" t="s">
        <v>2911</v>
      </c>
      <c r="F2431" s="38" t="s">
        <v>618</v>
      </c>
    </row>
    <row r="2432" spans="1:6">
      <c r="A2432" s="38" t="s">
        <v>3054</v>
      </c>
      <c r="B2432" s="40">
        <v>1452.199951171875</v>
      </c>
      <c r="C2432" s="40">
        <v>1415.417236328125</v>
      </c>
      <c r="D2432" s="38">
        <v>1311858</v>
      </c>
      <c r="E2432" s="38" t="s">
        <v>2911</v>
      </c>
      <c r="F2432" s="38" t="s">
        <v>618</v>
      </c>
    </row>
    <row r="2433" spans="1:6">
      <c r="A2433" s="38" t="s">
        <v>3055</v>
      </c>
      <c r="B2433" s="40">
        <v>1433.800048828125</v>
      </c>
      <c r="C2433" s="40">
        <v>1397.4833984375</v>
      </c>
      <c r="D2433" s="38">
        <v>1797868</v>
      </c>
      <c r="E2433" s="38" t="s">
        <v>2911</v>
      </c>
      <c r="F2433" s="38" t="s">
        <v>618</v>
      </c>
    </row>
    <row r="2434" spans="1:6">
      <c r="A2434" s="38" t="s">
        <v>3056</v>
      </c>
      <c r="B2434" s="40">
        <v>1424.4000244140625</v>
      </c>
      <c r="C2434" s="40">
        <v>1388.321533203125</v>
      </c>
      <c r="D2434" s="38">
        <v>1757591</v>
      </c>
      <c r="E2434" s="38" t="s">
        <v>2911</v>
      </c>
      <c r="F2434" s="38" t="s">
        <v>618</v>
      </c>
    </row>
    <row r="2435" spans="1:6">
      <c r="A2435" s="38" t="s">
        <v>3057</v>
      </c>
      <c r="B2435" s="40">
        <v>1419.800048828125</v>
      </c>
      <c r="C2435" s="40">
        <v>1383.8380126953125</v>
      </c>
      <c r="D2435" s="38">
        <v>2136091</v>
      </c>
      <c r="E2435" s="38" t="s">
        <v>2911</v>
      </c>
      <c r="F2435" s="38" t="s">
        <v>618</v>
      </c>
    </row>
    <row r="2436" spans="1:6">
      <c r="A2436" s="38" t="s">
        <v>3058</v>
      </c>
      <c r="B2436" s="40">
        <v>1409.199951171875</v>
      </c>
      <c r="C2436" s="40">
        <v>1373.5064697265625</v>
      </c>
      <c r="D2436" s="38">
        <v>1191278</v>
      </c>
      <c r="E2436" s="38" t="s">
        <v>2911</v>
      </c>
      <c r="F2436" s="38" t="s">
        <v>618</v>
      </c>
    </row>
    <row r="2437" spans="1:6">
      <c r="A2437" s="38" t="s">
        <v>3059</v>
      </c>
      <c r="B2437" s="40">
        <v>1413.5999755859375</v>
      </c>
      <c r="C2437" s="40">
        <v>1377.7950439453125</v>
      </c>
      <c r="D2437" s="38">
        <v>2502412</v>
      </c>
      <c r="E2437" s="38" t="s">
        <v>2911</v>
      </c>
      <c r="F2437" s="38" t="s">
        <v>618</v>
      </c>
    </row>
    <row r="2438" spans="1:6">
      <c r="A2438" s="38" t="s">
        <v>3060</v>
      </c>
      <c r="B2438" s="40">
        <v>1386.699951171875</v>
      </c>
      <c r="C2438" s="40">
        <v>1351.5762939453125</v>
      </c>
      <c r="D2438" s="38">
        <v>1209479</v>
      </c>
      <c r="E2438" s="38" t="s">
        <v>2911</v>
      </c>
      <c r="F2438" s="38" t="s">
        <v>618</v>
      </c>
    </row>
    <row r="2439" spans="1:6">
      <c r="A2439" s="38" t="s">
        <v>3061</v>
      </c>
      <c r="B2439" s="40">
        <v>1397.800048828125</v>
      </c>
      <c r="C2439" s="40">
        <v>1362.395263671875</v>
      </c>
      <c r="D2439" s="38">
        <v>2883323</v>
      </c>
      <c r="E2439" s="38" t="s">
        <v>2911</v>
      </c>
      <c r="F2439" s="38" t="s">
        <v>618</v>
      </c>
    </row>
    <row r="2440" spans="1:6">
      <c r="A2440" s="38" t="s">
        <v>3062</v>
      </c>
      <c r="B2440" s="40">
        <v>1408</v>
      </c>
      <c r="C2440" s="40">
        <v>1372.3369140625</v>
      </c>
      <c r="D2440" s="38">
        <v>2488036</v>
      </c>
      <c r="E2440" s="38" t="s">
        <v>2911</v>
      </c>
      <c r="F2440" s="38" t="s">
        <v>618</v>
      </c>
    </row>
    <row r="2441" spans="1:6">
      <c r="A2441" s="38" t="s">
        <v>3063</v>
      </c>
      <c r="B2441" s="40">
        <v>1456.0999755859375</v>
      </c>
      <c r="C2441" s="40">
        <v>1419.218505859375</v>
      </c>
      <c r="D2441" s="38">
        <v>2958869</v>
      </c>
      <c r="E2441" s="38" t="s">
        <v>2911</v>
      </c>
      <c r="F2441" s="38" t="s">
        <v>618</v>
      </c>
    </row>
    <row r="2442" spans="1:6">
      <c r="A2442" s="38" t="s">
        <v>3064</v>
      </c>
      <c r="B2442" s="40">
        <v>1451.4000244140625</v>
      </c>
      <c r="C2442" s="40">
        <v>1414.6375732421875</v>
      </c>
      <c r="D2442" s="38">
        <v>1178211</v>
      </c>
      <c r="E2442" s="38" t="s">
        <v>2911</v>
      </c>
      <c r="F2442" s="38" t="s">
        <v>618</v>
      </c>
    </row>
    <row r="2443" spans="1:6">
      <c r="A2443" s="38" t="s">
        <v>3065</v>
      </c>
      <c r="B2443" s="40">
        <v>1439.199951171875</v>
      </c>
      <c r="C2443" s="40">
        <v>1402.74658203125</v>
      </c>
      <c r="D2443" s="38">
        <v>1220596</v>
      </c>
      <c r="E2443" s="38" t="s">
        <v>2911</v>
      </c>
      <c r="F2443" s="38" t="s">
        <v>618</v>
      </c>
    </row>
    <row r="2444" spans="1:6">
      <c r="A2444" s="38" t="s">
        <v>3066</v>
      </c>
      <c r="B2444" s="40">
        <v>1452.800048828125</v>
      </c>
      <c r="C2444" s="40">
        <v>1416.002197265625</v>
      </c>
      <c r="D2444" s="38">
        <v>999416</v>
      </c>
      <c r="E2444" s="38" t="s">
        <v>2911</v>
      </c>
      <c r="F2444" s="38" t="s">
        <v>618</v>
      </c>
    </row>
    <row r="2445" spans="1:6">
      <c r="A2445" s="38" t="s">
        <v>3067</v>
      </c>
      <c r="B2445" s="40">
        <v>1422</v>
      </c>
      <c r="C2445" s="40">
        <v>1385.9822998046875</v>
      </c>
      <c r="D2445" s="38">
        <v>1553597</v>
      </c>
      <c r="E2445" s="38" t="s">
        <v>2911</v>
      </c>
      <c r="F2445" s="38" t="s">
        <v>618</v>
      </c>
    </row>
    <row r="2446" spans="1:6">
      <c r="A2446" s="38" t="s">
        <v>3068</v>
      </c>
      <c r="B2446" s="40">
        <v>1433.9000244140625</v>
      </c>
      <c r="C2446" s="40">
        <v>1397.580810546875</v>
      </c>
      <c r="D2446" s="38">
        <v>5777445</v>
      </c>
      <c r="E2446" s="38" t="s">
        <v>2911</v>
      </c>
      <c r="F2446" s="38" t="s">
        <v>618</v>
      </c>
    </row>
    <row r="2447" spans="1:6">
      <c r="A2447" s="38" t="s">
        <v>3069</v>
      </c>
      <c r="B2447" s="40">
        <v>1456</v>
      </c>
      <c r="C2447" s="40">
        <v>1419.12109375</v>
      </c>
      <c r="D2447" s="38">
        <v>2818268</v>
      </c>
      <c r="E2447" s="38" t="s">
        <v>2911</v>
      </c>
      <c r="F2447" s="38" t="s">
        <v>618</v>
      </c>
    </row>
    <row r="2448" spans="1:6">
      <c r="A2448" s="38" t="s">
        <v>3070</v>
      </c>
      <c r="B2448" s="40">
        <v>1461.5</v>
      </c>
      <c r="C2448" s="40">
        <v>1424.4818115234375</v>
      </c>
      <c r="D2448" s="38">
        <v>2615232</v>
      </c>
      <c r="E2448" s="38" t="s">
        <v>2911</v>
      </c>
      <c r="F2448" s="38" t="s">
        <v>618</v>
      </c>
    </row>
    <row r="2449" spans="1:6">
      <c r="A2449" s="38" t="s">
        <v>3071</v>
      </c>
      <c r="B2449" s="40">
        <v>1494.699951171875</v>
      </c>
      <c r="C2449" s="40">
        <v>1456.8408203125</v>
      </c>
      <c r="D2449" s="38">
        <v>6808658</v>
      </c>
      <c r="E2449" s="38" t="s">
        <v>2911</v>
      </c>
      <c r="F2449" s="38" t="s">
        <v>618</v>
      </c>
    </row>
    <row r="2450" spans="1:6">
      <c r="A2450" s="38" t="s">
        <v>3072</v>
      </c>
      <c r="B2450" s="40">
        <v>1494.699951171875</v>
      </c>
      <c r="C2450" s="40">
        <v>1456.8408203125</v>
      </c>
      <c r="D2450" s="38">
        <v>1675981</v>
      </c>
      <c r="E2450" s="38" t="s">
        <v>2911</v>
      </c>
      <c r="F2450" s="38" t="s">
        <v>618</v>
      </c>
    </row>
    <row r="2451" spans="1:6">
      <c r="A2451" s="38" t="s">
        <v>3073</v>
      </c>
      <c r="B2451" s="40">
        <v>1520.4000244140625</v>
      </c>
      <c r="C2451" s="40">
        <v>1481.889892578125</v>
      </c>
      <c r="D2451" s="38">
        <v>1592891</v>
      </c>
      <c r="E2451" s="38" t="s">
        <v>2911</v>
      </c>
      <c r="F2451" s="38" t="s">
        <v>618</v>
      </c>
    </row>
    <row r="2452" spans="1:6">
      <c r="A2452" s="38" t="s">
        <v>3074</v>
      </c>
      <c r="B2452" s="40">
        <v>1509.800048828125</v>
      </c>
      <c r="C2452" s="40">
        <v>1471.5584716796875</v>
      </c>
      <c r="D2452" s="38">
        <v>1426194</v>
      </c>
      <c r="E2452" s="38" t="s">
        <v>2911</v>
      </c>
      <c r="F2452" s="38" t="s">
        <v>618</v>
      </c>
    </row>
    <row r="2453" spans="1:6">
      <c r="A2453" s="38" t="s">
        <v>3075</v>
      </c>
      <c r="B2453" s="40">
        <v>1517.300048828125</v>
      </c>
      <c r="C2453" s="40">
        <v>1478.868408203125</v>
      </c>
      <c r="D2453" s="38">
        <v>1247146</v>
      </c>
      <c r="E2453" s="38" t="s">
        <v>2911</v>
      </c>
      <c r="F2453" s="38" t="s">
        <v>618</v>
      </c>
    </row>
    <row r="2454" spans="1:6">
      <c r="A2454" s="38" t="s">
        <v>3076</v>
      </c>
      <c r="B2454" s="40">
        <v>1529.5</v>
      </c>
      <c r="C2454" s="40">
        <v>1490.7593994140625</v>
      </c>
      <c r="D2454" s="38">
        <v>1527101</v>
      </c>
      <c r="E2454" s="38" t="s">
        <v>2911</v>
      </c>
      <c r="F2454" s="38" t="s">
        <v>618</v>
      </c>
    </row>
    <row r="2455" spans="1:6">
      <c r="A2455" s="38" t="s">
        <v>3077</v>
      </c>
      <c r="B2455" s="40">
        <v>1536.699951171875</v>
      </c>
      <c r="C2455" s="40">
        <v>1497.7769775390625</v>
      </c>
      <c r="D2455" s="38">
        <v>1754978</v>
      </c>
      <c r="E2455" s="38" t="s">
        <v>2911</v>
      </c>
      <c r="F2455" s="38" t="s">
        <v>618</v>
      </c>
    </row>
    <row r="2456" spans="1:6">
      <c r="A2456" s="38" t="s">
        <v>3078</v>
      </c>
      <c r="B2456" s="40">
        <v>1541.699951171875</v>
      </c>
      <c r="C2456" s="40">
        <v>1502.650390625</v>
      </c>
      <c r="D2456" s="38">
        <v>2142830</v>
      </c>
      <c r="E2456" s="38" t="s">
        <v>2911</v>
      </c>
      <c r="F2456" s="38" t="s">
        <v>618</v>
      </c>
    </row>
    <row r="2457" spans="1:6">
      <c r="A2457" s="38" t="s">
        <v>3079</v>
      </c>
      <c r="B2457" s="40">
        <v>1562.300048828125</v>
      </c>
      <c r="C2457" s="40">
        <v>1522.7286376953125</v>
      </c>
      <c r="D2457" s="38">
        <v>2422663</v>
      </c>
      <c r="E2457" s="38" t="s">
        <v>2911</v>
      </c>
      <c r="F2457" s="38" t="s">
        <v>618</v>
      </c>
    </row>
    <row r="2458" spans="1:6">
      <c r="A2458" s="38" t="s">
        <v>3080</v>
      </c>
      <c r="B2458" s="40">
        <v>1570.800048828125</v>
      </c>
      <c r="C2458" s="40">
        <v>1531.0133056640625</v>
      </c>
      <c r="D2458" s="38">
        <v>2223397</v>
      </c>
      <c r="E2458" s="38" t="s">
        <v>2911</v>
      </c>
      <c r="F2458" s="38" t="s">
        <v>618</v>
      </c>
    </row>
    <row r="2459" spans="1:6">
      <c r="A2459" s="38" t="s">
        <v>3081</v>
      </c>
      <c r="B2459" s="40">
        <v>1591.800048828125</v>
      </c>
      <c r="C2459" s="40">
        <v>1551.4814453125</v>
      </c>
      <c r="D2459" s="38">
        <v>2833786</v>
      </c>
      <c r="E2459" s="38" t="s">
        <v>2911</v>
      </c>
      <c r="F2459" s="38" t="s">
        <v>618</v>
      </c>
    </row>
    <row r="2460" spans="1:6">
      <c r="A2460" s="38" t="s">
        <v>3082</v>
      </c>
      <c r="B2460" s="40">
        <v>1561.5999755859375</v>
      </c>
      <c r="C2460" s="40">
        <v>1522.0462646484375</v>
      </c>
      <c r="D2460" s="38">
        <v>1533609</v>
      </c>
      <c r="E2460" s="38" t="s">
        <v>2911</v>
      </c>
      <c r="F2460" s="38" t="s">
        <v>618</v>
      </c>
    </row>
    <row r="2461" spans="1:6">
      <c r="A2461" s="38" t="s">
        <v>3083</v>
      </c>
      <c r="B2461" s="40">
        <v>1550.800048828125</v>
      </c>
      <c r="C2461" s="40">
        <v>1511.5198974609375</v>
      </c>
      <c r="D2461" s="38">
        <v>735586</v>
      </c>
      <c r="E2461" s="38" t="s">
        <v>2911</v>
      </c>
      <c r="F2461" s="38" t="s">
        <v>618</v>
      </c>
    </row>
    <row r="2462" spans="1:6">
      <c r="A2462" s="38" t="s">
        <v>3084</v>
      </c>
      <c r="B2462" s="40">
        <v>1568.199951171875</v>
      </c>
      <c r="C2462" s="40">
        <v>1528.4791259765625</v>
      </c>
      <c r="D2462" s="38">
        <v>1248064</v>
      </c>
      <c r="E2462" s="38" t="s">
        <v>2911</v>
      </c>
      <c r="F2462" s="38" t="s">
        <v>618</v>
      </c>
    </row>
    <row r="2463" spans="1:6">
      <c r="A2463" s="38" t="s">
        <v>3085</v>
      </c>
      <c r="B2463" s="40">
        <v>1578.4000244140625</v>
      </c>
      <c r="C2463" s="40">
        <v>1538.4207763671875</v>
      </c>
      <c r="D2463" s="38">
        <v>754479</v>
      </c>
      <c r="E2463" s="38" t="s">
        <v>2911</v>
      </c>
      <c r="F2463" s="38" t="s">
        <v>618</v>
      </c>
    </row>
    <row r="2464" spans="1:6">
      <c r="A2464" s="38" t="s">
        <v>3086</v>
      </c>
      <c r="B2464" s="40">
        <v>1575.4000244140625</v>
      </c>
      <c r="C2464" s="40">
        <v>1535.496826171875</v>
      </c>
      <c r="D2464" s="38">
        <v>784781</v>
      </c>
      <c r="E2464" s="38" t="s">
        <v>2911</v>
      </c>
      <c r="F2464" s="38" t="s">
        <v>618</v>
      </c>
    </row>
    <row r="2465" spans="1:6">
      <c r="A2465" s="38" t="s">
        <v>3087</v>
      </c>
      <c r="B2465" s="40">
        <v>1578.199951171875</v>
      </c>
      <c r="C2465" s="40">
        <v>1538.225830078125</v>
      </c>
      <c r="D2465" s="38">
        <v>999338</v>
      </c>
      <c r="E2465" s="38" t="s">
        <v>2911</v>
      </c>
      <c r="F2465" s="38" t="s">
        <v>618</v>
      </c>
    </row>
    <row r="2466" spans="1:6">
      <c r="A2466" s="38" t="s">
        <v>3088</v>
      </c>
      <c r="B2466" s="40">
        <v>1579.4000244140625</v>
      </c>
      <c r="C2466" s="40">
        <v>1539.3955078125</v>
      </c>
      <c r="D2466" s="38">
        <v>582251</v>
      </c>
      <c r="E2466" s="38" t="s">
        <v>2911</v>
      </c>
      <c r="F2466" s="38" t="s">
        <v>618</v>
      </c>
    </row>
    <row r="2467" spans="1:6">
      <c r="A2467" s="38" t="s">
        <v>3089</v>
      </c>
      <c r="B2467" s="40">
        <v>1605.5999755859375</v>
      </c>
      <c r="C2467" s="40">
        <v>1564.931884765625</v>
      </c>
      <c r="D2467" s="38">
        <v>1748780</v>
      </c>
      <c r="E2467" s="38" t="s">
        <v>2911</v>
      </c>
      <c r="F2467" s="38" t="s">
        <v>618</v>
      </c>
    </row>
    <row r="2468" spans="1:6">
      <c r="A2468" s="38" t="s">
        <v>3090</v>
      </c>
      <c r="B2468" s="40">
        <v>1612.5</v>
      </c>
      <c r="C2468" s="40">
        <v>1571.6571044921875</v>
      </c>
      <c r="D2468" s="38">
        <v>1802793</v>
      </c>
      <c r="E2468" s="38" t="s">
        <v>2911</v>
      </c>
      <c r="F2468" s="38" t="s">
        <v>618</v>
      </c>
    </row>
    <row r="2469" spans="1:6">
      <c r="A2469" s="38" t="s">
        <v>3091</v>
      </c>
      <c r="B2469" s="40">
        <v>1646.699951171875</v>
      </c>
      <c r="C2469" s="40">
        <v>1604.9908447265625</v>
      </c>
      <c r="D2469" s="38">
        <v>1466208</v>
      </c>
      <c r="E2469" s="38" t="s">
        <v>2911</v>
      </c>
      <c r="F2469" s="38" t="s">
        <v>618</v>
      </c>
    </row>
    <row r="2470" spans="1:6">
      <c r="A2470" s="38" t="s">
        <v>3092</v>
      </c>
      <c r="B2470" s="40">
        <v>1633</v>
      </c>
      <c r="C2470" s="40">
        <v>1591.6378173828125</v>
      </c>
      <c r="D2470" s="38">
        <v>1161166</v>
      </c>
      <c r="E2470" s="38" t="s">
        <v>2911</v>
      </c>
      <c r="F2470" s="38" t="s">
        <v>618</v>
      </c>
    </row>
    <row r="2471" spans="1:6">
      <c r="A2471" s="38" t="s">
        <v>3093</v>
      </c>
      <c r="B2471" s="40">
        <v>1631.5</v>
      </c>
      <c r="C2471" s="40">
        <v>1590.1759033203125</v>
      </c>
      <c r="D2471" s="38">
        <v>955523</v>
      </c>
      <c r="E2471" s="38" t="s">
        <v>2911</v>
      </c>
      <c r="F2471" s="38" t="s">
        <v>618</v>
      </c>
    </row>
    <row r="2472" spans="1:6">
      <c r="A2472" s="38" t="s">
        <v>3094</v>
      </c>
      <c r="B2472" s="40">
        <v>1612.300048828125</v>
      </c>
      <c r="C2472" s="40">
        <v>1571.462158203125</v>
      </c>
      <c r="D2472" s="38">
        <v>461192</v>
      </c>
      <c r="E2472" s="38" t="s">
        <v>2911</v>
      </c>
      <c r="F2472" s="38" t="s">
        <v>618</v>
      </c>
    </row>
    <row r="2473" spans="1:6">
      <c r="A2473" s="38" t="s">
        <v>3095</v>
      </c>
      <c r="B2473" s="40">
        <v>1612.4000244140625</v>
      </c>
      <c r="C2473" s="40">
        <v>1571.5596923828125</v>
      </c>
      <c r="D2473" s="38">
        <v>891096</v>
      </c>
      <c r="E2473" s="38" t="s">
        <v>2911</v>
      </c>
      <c r="F2473" s="38" t="s">
        <v>618</v>
      </c>
    </row>
    <row r="2474" spans="1:6">
      <c r="A2474" s="38" t="s">
        <v>3096</v>
      </c>
      <c r="B2474" s="40">
        <v>1604.5999755859375</v>
      </c>
      <c r="C2474" s="40">
        <v>1563.9571533203125</v>
      </c>
      <c r="D2474" s="38">
        <v>1973547</v>
      </c>
      <c r="E2474" s="38" t="s">
        <v>2911</v>
      </c>
      <c r="F2474" s="38" t="s">
        <v>618</v>
      </c>
    </row>
    <row r="2475" spans="1:6">
      <c r="A2475" s="38" t="s">
        <v>3097</v>
      </c>
      <c r="B2475" s="40">
        <v>1590.9000244140625</v>
      </c>
      <c r="C2475" s="40">
        <v>1550.604248046875</v>
      </c>
      <c r="D2475" s="38">
        <v>729913</v>
      </c>
      <c r="E2475" s="38" t="s">
        <v>2911</v>
      </c>
      <c r="F2475" s="38" t="s">
        <v>618</v>
      </c>
    </row>
    <row r="2476" spans="1:6">
      <c r="A2476" s="38" t="s">
        <v>3098</v>
      </c>
      <c r="B2476" s="40">
        <v>1607.699951171875</v>
      </c>
      <c r="C2476" s="40">
        <v>1566.9786376953125</v>
      </c>
      <c r="D2476" s="38">
        <v>565878</v>
      </c>
      <c r="E2476" s="38" t="s">
        <v>2911</v>
      </c>
      <c r="F2476" s="38" t="s">
        <v>618</v>
      </c>
    </row>
    <row r="2477" spans="1:6">
      <c r="A2477" s="38" t="s">
        <v>3099</v>
      </c>
      <c r="B2477" s="40">
        <v>1612</v>
      </c>
      <c r="C2477" s="40">
        <v>1571.1697998046875</v>
      </c>
      <c r="D2477" s="38">
        <v>637080</v>
      </c>
      <c r="E2477" s="38" t="s">
        <v>2911</v>
      </c>
      <c r="F2477" s="38" t="s">
        <v>618</v>
      </c>
    </row>
    <row r="2478" spans="1:6">
      <c r="A2478" s="38" t="s">
        <v>3100</v>
      </c>
      <c r="B2478" s="40">
        <v>1596.9000244140625</v>
      </c>
      <c r="C2478" s="40">
        <v>1556.4522705078125</v>
      </c>
      <c r="D2478" s="38">
        <v>907810</v>
      </c>
      <c r="E2478" s="38" t="s">
        <v>2911</v>
      </c>
      <c r="F2478" s="38" t="s">
        <v>618</v>
      </c>
    </row>
    <row r="2479" spans="1:6">
      <c r="A2479" s="38" t="s">
        <v>3101</v>
      </c>
      <c r="B2479" s="40">
        <v>1601.800048828125</v>
      </c>
      <c r="C2479" s="40">
        <v>1561.2281494140625</v>
      </c>
      <c r="D2479" s="38">
        <v>570335</v>
      </c>
      <c r="E2479" s="38" t="s">
        <v>2911</v>
      </c>
      <c r="F2479" s="38" t="s">
        <v>618</v>
      </c>
    </row>
    <row r="2480" spans="1:6">
      <c r="A2480" s="38" t="s">
        <v>3102</v>
      </c>
      <c r="B2480" s="40">
        <v>1625.199951171875</v>
      </c>
      <c r="C2480" s="40">
        <v>1584.035400390625</v>
      </c>
      <c r="D2480" s="38">
        <v>1309781</v>
      </c>
      <c r="E2480" s="38" t="s">
        <v>2911</v>
      </c>
      <c r="F2480" s="38" t="s">
        <v>618</v>
      </c>
    </row>
    <row r="2481" spans="1:6">
      <c r="A2481" s="38" t="s">
        <v>3103</v>
      </c>
      <c r="B2481" s="40">
        <v>1577.9000244140625</v>
      </c>
      <c r="C2481" s="40">
        <v>1537.9334716796875</v>
      </c>
      <c r="D2481" s="38">
        <v>1657201</v>
      </c>
      <c r="E2481" s="38" t="s">
        <v>2911</v>
      </c>
      <c r="F2481" s="38" t="s">
        <v>618</v>
      </c>
    </row>
    <row r="2482" spans="1:6">
      <c r="A2482" s="38" t="s">
        <v>3104</v>
      </c>
      <c r="B2482" s="40">
        <v>1582.199951171875</v>
      </c>
      <c r="C2482" s="40">
        <v>1542.12451171875</v>
      </c>
      <c r="D2482" s="38">
        <v>1410053</v>
      </c>
      <c r="E2482" s="38" t="s">
        <v>2911</v>
      </c>
      <c r="F2482" s="38" t="s">
        <v>618</v>
      </c>
    </row>
    <row r="2483" spans="1:6">
      <c r="A2483" s="38" t="s">
        <v>3105</v>
      </c>
      <c r="B2483" s="40">
        <v>1586.0999755859375</v>
      </c>
      <c r="C2483" s="40">
        <v>1545.92578125</v>
      </c>
      <c r="D2483" s="38">
        <v>652320</v>
      </c>
      <c r="E2483" s="38" t="s">
        <v>2911</v>
      </c>
      <c r="F2483" s="38" t="s">
        <v>618</v>
      </c>
    </row>
    <row r="2484" spans="1:6">
      <c r="A2484" s="38" t="s">
        <v>3106</v>
      </c>
      <c r="B2484" s="40">
        <v>1614.800048828125</v>
      </c>
      <c r="C2484" s="40">
        <v>1573.89892578125</v>
      </c>
      <c r="D2484" s="38">
        <v>2573438</v>
      </c>
      <c r="E2484" s="38" t="s">
        <v>2911</v>
      </c>
      <c r="F2484" s="38" t="s">
        <v>618</v>
      </c>
    </row>
    <row r="2485" spans="1:6">
      <c r="A2485" s="38" t="s">
        <v>3107</v>
      </c>
      <c r="B2485" s="40">
        <v>1588.5</v>
      </c>
      <c r="C2485" s="40">
        <v>1548.2650146484375</v>
      </c>
      <c r="D2485" s="38">
        <v>1570385</v>
      </c>
      <c r="E2485" s="38" t="s">
        <v>2911</v>
      </c>
      <c r="F2485" s="38" t="s">
        <v>618</v>
      </c>
    </row>
    <row r="2486" spans="1:6">
      <c r="A2486" s="38" t="s">
        <v>3108</v>
      </c>
      <c r="B2486" s="40">
        <v>1588.5</v>
      </c>
      <c r="C2486" s="40">
        <v>1548.2650146484375</v>
      </c>
      <c r="D2486" s="38">
        <v>0</v>
      </c>
      <c r="E2486" s="38" t="s">
        <v>2911</v>
      </c>
      <c r="F2486" s="38" t="s">
        <v>618</v>
      </c>
    </row>
    <row r="2487" spans="1:6">
      <c r="A2487" s="38" t="s">
        <v>3109</v>
      </c>
      <c r="B2487" s="40">
        <v>1670.5</v>
      </c>
      <c r="C2487" s="40">
        <v>1628.18798828125</v>
      </c>
      <c r="D2487" s="38">
        <v>3733401</v>
      </c>
      <c r="E2487" s="38" t="s">
        <v>2911</v>
      </c>
      <c r="F2487" s="38" t="s">
        <v>618</v>
      </c>
    </row>
    <row r="2488" spans="1:6">
      <c r="A2488" s="38" t="s">
        <v>3110</v>
      </c>
      <c r="B2488" s="40">
        <v>1718.300048828125</v>
      </c>
      <c r="C2488" s="40">
        <v>1674.77734375</v>
      </c>
      <c r="D2488" s="38">
        <v>10621562</v>
      </c>
      <c r="E2488" s="38" t="s">
        <v>2911</v>
      </c>
      <c r="F2488" s="38" t="s">
        <v>618</v>
      </c>
    </row>
    <row r="2489" spans="1:6">
      <c r="A2489" s="38" t="s">
        <v>3111</v>
      </c>
      <c r="B2489" s="40">
        <v>1678.5</v>
      </c>
      <c r="C2489" s="40">
        <v>1635.9853515625</v>
      </c>
      <c r="D2489" s="38">
        <v>1825981</v>
      </c>
      <c r="E2489" s="38" t="s">
        <v>2911</v>
      </c>
      <c r="F2489" s="38" t="s">
        <v>618</v>
      </c>
    </row>
    <row r="2490" spans="1:6">
      <c r="A2490" s="38" t="s">
        <v>3112</v>
      </c>
      <c r="B2490" s="40">
        <v>1686.699951171875</v>
      </c>
      <c r="C2490" s="40">
        <v>1643.9776611328125</v>
      </c>
      <c r="D2490" s="38">
        <v>1766163</v>
      </c>
      <c r="E2490" s="38" t="s">
        <v>2911</v>
      </c>
      <c r="F2490" s="38" t="s">
        <v>618</v>
      </c>
    </row>
    <row r="2491" spans="1:6">
      <c r="A2491" s="38" t="s">
        <v>3113</v>
      </c>
      <c r="B2491" s="40">
        <v>1687.4000244140625</v>
      </c>
      <c r="C2491" s="40">
        <v>1644.6600341796875</v>
      </c>
      <c r="D2491" s="38">
        <v>3123567</v>
      </c>
      <c r="E2491" s="38" t="s">
        <v>2911</v>
      </c>
      <c r="F2491" s="38" t="s">
        <v>618</v>
      </c>
    </row>
    <row r="2492" spans="1:6">
      <c r="A2492" s="38" t="s">
        <v>3114</v>
      </c>
      <c r="B2492" s="40">
        <v>1701.0999755859375</v>
      </c>
      <c r="C2492" s="40">
        <v>1658.012939453125</v>
      </c>
      <c r="D2492" s="38">
        <v>1831521</v>
      </c>
      <c r="E2492" s="38" t="s">
        <v>2911</v>
      </c>
      <c r="F2492" s="38" t="s">
        <v>618</v>
      </c>
    </row>
    <row r="2493" spans="1:6">
      <c r="A2493" s="38" t="s">
        <v>3115</v>
      </c>
      <c r="B2493" s="40">
        <v>1745.0999755859375</v>
      </c>
      <c r="C2493" s="40">
        <v>1700.8984375</v>
      </c>
      <c r="D2493" s="38">
        <v>2932973</v>
      </c>
      <c r="E2493" s="38" t="s">
        <v>2911</v>
      </c>
      <c r="F2493" s="38" t="s">
        <v>618</v>
      </c>
    </row>
    <row r="2494" spans="1:6">
      <c r="A2494" s="38" t="s">
        <v>3116</v>
      </c>
      <c r="B2494" s="40">
        <v>1762.9000244140625</v>
      </c>
      <c r="C2494" s="40">
        <v>1718.2476806640625</v>
      </c>
      <c r="D2494" s="38">
        <v>2534826</v>
      </c>
      <c r="E2494" s="38" t="s">
        <v>2911</v>
      </c>
      <c r="F2494" s="38" t="s">
        <v>618</v>
      </c>
    </row>
    <row r="2495" spans="1:6">
      <c r="A2495" s="38" t="s">
        <v>3117</v>
      </c>
      <c r="B2495" s="40">
        <v>1768.4000244140625</v>
      </c>
      <c r="C2495" s="40">
        <v>1723.6082763671875</v>
      </c>
      <c r="D2495" s="38">
        <v>1893136</v>
      </c>
      <c r="E2495" s="38" t="s">
        <v>2911</v>
      </c>
      <c r="F2495" s="38" t="s">
        <v>618</v>
      </c>
    </row>
    <row r="2496" spans="1:6">
      <c r="A2496" s="38" t="s">
        <v>3118</v>
      </c>
      <c r="B2496" s="40">
        <v>1743.0999755859375</v>
      </c>
      <c r="C2496" s="40">
        <v>1698.9490966796875</v>
      </c>
      <c r="D2496" s="38">
        <v>1672787</v>
      </c>
      <c r="E2496" s="38" t="s">
        <v>2911</v>
      </c>
      <c r="F2496" s="38" t="s">
        <v>618</v>
      </c>
    </row>
    <row r="2497" spans="1:6">
      <c r="A2497" s="38" t="s">
        <v>3119</v>
      </c>
      <c r="B2497" s="40">
        <v>1724</v>
      </c>
      <c r="C2497" s="40">
        <v>1680.3328857421875</v>
      </c>
      <c r="D2497" s="38">
        <v>1030696</v>
      </c>
      <c r="E2497" s="38" t="s">
        <v>2911</v>
      </c>
      <c r="F2497" s="38" t="s">
        <v>618</v>
      </c>
    </row>
    <row r="2498" spans="1:6">
      <c r="A2498" s="38" t="s">
        <v>3120</v>
      </c>
      <c r="B2498" s="40">
        <v>1716.5</v>
      </c>
      <c r="C2498" s="40">
        <v>1673.0228271484375</v>
      </c>
      <c r="D2498" s="38">
        <v>2711705</v>
      </c>
      <c r="E2498" s="38" t="s">
        <v>2911</v>
      </c>
      <c r="F2498" s="38" t="s">
        <v>618</v>
      </c>
    </row>
    <row r="2499" spans="1:6">
      <c r="A2499" s="38" t="s">
        <v>3121</v>
      </c>
      <c r="B2499" s="40">
        <v>1645.300048828125</v>
      </c>
      <c r="C2499" s="40">
        <v>1603.6263427734375</v>
      </c>
      <c r="D2499" s="38">
        <v>4823180</v>
      </c>
      <c r="E2499" s="38" t="s">
        <v>2911</v>
      </c>
      <c r="F2499" s="38" t="s">
        <v>618</v>
      </c>
    </row>
    <row r="2500" spans="1:6">
      <c r="A2500" s="38" t="s">
        <v>3122</v>
      </c>
      <c r="B2500" s="40">
        <v>1646.199951171875</v>
      </c>
      <c r="C2500" s="40">
        <v>1604.50341796875</v>
      </c>
      <c r="D2500" s="38">
        <v>1720981</v>
      </c>
      <c r="E2500" s="38" t="s">
        <v>2911</v>
      </c>
      <c r="F2500" s="38" t="s">
        <v>618</v>
      </c>
    </row>
    <row r="2501" spans="1:6">
      <c r="A2501" s="38" t="s">
        <v>3123</v>
      </c>
      <c r="B2501" s="40">
        <v>1619.9000244140625</v>
      </c>
      <c r="C2501" s="40">
        <v>1578.86962890625</v>
      </c>
      <c r="D2501" s="38">
        <v>1988639</v>
      </c>
      <c r="E2501" s="38" t="s">
        <v>2911</v>
      </c>
      <c r="F2501" s="38" t="s">
        <v>618</v>
      </c>
    </row>
    <row r="2502" spans="1:6">
      <c r="A2502" s="38" t="s">
        <v>3124</v>
      </c>
      <c r="B2502" s="40">
        <v>1621.699951171875</v>
      </c>
      <c r="C2502" s="40">
        <v>1580.6240234375</v>
      </c>
      <c r="D2502" s="38">
        <v>933821</v>
      </c>
      <c r="E2502" s="38" t="s">
        <v>2911</v>
      </c>
      <c r="F2502" s="38" t="s">
        <v>618</v>
      </c>
    </row>
    <row r="2503" spans="1:6">
      <c r="A2503" s="38" t="s">
        <v>3125</v>
      </c>
      <c r="B2503" s="40">
        <v>1644.5999755859375</v>
      </c>
      <c r="C2503" s="40">
        <v>1602.9439697265625</v>
      </c>
      <c r="D2503" s="38">
        <v>1527966</v>
      </c>
      <c r="E2503" s="38" t="s">
        <v>2911</v>
      </c>
      <c r="F2503" s="38" t="s">
        <v>618</v>
      </c>
    </row>
    <row r="2504" spans="1:6">
      <c r="A2504" s="38" t="s">
        <v>3126</v>
      </c>
      <c r="B2504" s="40">
        <v>1634.4000244140625</v>
      </c>
      <c r="C2504" s="40">
        <v>1593.00244140625</v>
      </c>
      <c r="D2504" s="38">
        <v>1521823</v>
      </c>
      <c r="E2504" s="38" t="s">
        <v>2911</v>
      </c>
      <c r="F2504" s="38" t="s">
        <v>618</v>
      </c>
    </row>
    <row r="2505" spans="1:6">
      <c r="A2505" s="38" t="s">
        <v>3127</v>
      </c>
      <c r="B2505" s="40">
        <v>1536.5999755859375</v>
      </c>
      <c r="C2505" s="40">
        <v>1497.6795654296875</v>
      </c>
      <c r="D2505" s="38">
        <v>5343729</v>
      </c>
      <c r="E2505" s="38" t="s">
        <v>2911</v>
      </c>
      <c r="F2505" s="38" t="s">
        <v>618</v>
      </c>
    </row>
    <row r="2506" spans="1:6">
      <c r="A2506" s="38" t="s">
        <v>3128</v>
      </c>
      <c r="B2506" s="40">
        <v>1534.4000244140625</v>
      </c>
      <c r="C2506" s="40">
        <v>1495.5352783203125</v>
      </c>
      <c r="D2506" s="38">
        <v>7058376</v>
      </c>
      <c r="E2506" s="38" t="s">
        <v>2911</v>
      </c>
      <c r="F2506" s="38" t="s">
        <v>618</v>
      </c>
    </row>
    <row r="2507" spans="1:6">
      <c r="A2507" s="38" t="s">
        <v>3129</v>
      </c>
      <c r="B2507" s="40">
        <v>1512.699951171875</v>
      </c>
      <c r="C2507" s="40">
        <v>1474.3848876953125</v>
      </c>
      <c r="D2507" s="38">
        <v>1873472</v>
      </c>
      <c r="E2507" s="38" t="s">
        <v>2911</v>
      </c>
      <c r="F2507" s="38" t="s">
        <v>618</v>
      </c>
    </row>
    <row r="2508" spans="1:6">
      <c r="A2508" s="38" t="s">
        <v>3130</v>
      </c>
      <c r="B2508" s="40">
        <v>1523.800048828125</v>
      </c>
      <c r="C2508" s="40">
        <v>1485.203857421875</v>
      </c>
      <c r="D2508" s="38">
        <v>1781501</v>
      </c>
      <c r="E2508" s="38" t="s">
        <v>2911</v>
      </c>
      <c r="F2508" s="38" t="s">
        <v>618</v>
      </c>
    </row>
    <row r="2509" spans="1:6">
      <c r="A2509" s="38" t="s">
        <v>3131</v>
      </c>
      <c r="B2509" s="40">
        <v>1504.800048828125</v>
      </c>
      <c r="C2509" s="40">
        <v>1466.68505859375</v>
      </c>
      <c r="D2509" s="38">
        <v>1989222</v>
      </c>
      <c r="E2509" s="38" t="s">
        <v>2911</v>
      </c>
      <c r="F2509" s="38" t="s">
        <v>618</v>
      </c>
    </row>
    <row r="2510" spans="1:6">
      <c r="A2510" s="38" t="s">
        <v>3132</v>
      </c>
      <c r="B2510" s="40">
        <v>1479.300048828125</v>
      </c>
      <c r="C2510" s="40">
        <v>1441.8309326171875</v>
      </c>
      <c r="D2510" s="38">
        <v>1108260</v>
      </c>
      <c r="E2510" s="38" t="s">
        <v>2911</v>
      </c>
      <c r="F2510" s="38" t="s">
        <v>618</v>
      </c>
    </row>
    <row r="2511" spans="1:6">
      <c r="A2511" s="38" t="s">
        <v>3133</v>
      </c>
      <c r="B2511" s="40">
        <v>1456.9000244140625</v>
      </c>
      <c r="C2511" s="40">
        <v>1419.998291015625</v>
      </c>
      <c r="D2511" s="38">
        <v>1599813</v>
      </c>
      <c r="E2511" s="38" t="s">
        <v>2911</v>
      </c>
      <c r="F2511" s="38" t="s">
        <v>618</v>
      </c>
    </row>
    <row r="2512" spans="1:6">
      <c r="A2512" s="38" t="s">
        <v>3134</v>
      </c>
      <c r="B2512" s="40">
        <v>1440.9000244140625</v>
      </c>
      <c r="C2512" s="40">
        <v>1404.403564453125</v>
      </c>
      <c r="D2512" s="38">
        <v>2660793</v>
      </c>
      <c r="E2512" s="38" t="s">
        <v>2911</v>
      </c>
      <c r="F2512" s="38" t="s">
        <v>618</v>
      </c>
    </row>
    <row r="2513" spans="1:6">
      <c r="A2513" s="38" t="s">
        <v>3135</v>
      </c>
      <c r="B2513" s="40">
        <v>1345.4000244140625</v>
      </c>
      <c r="C2513" s="40">
        <v>1311.322509765625</v>
      </c>
      <c r="D2513" s="38">
        <v>7441035</v>
      </c>
      <c r="E2513" s="38" t="s">
        <v>2911</v>
      </c>
      <c r="F2513" s="38" t="s">
        <v>618</v>
      </c>
    </row>
    <row r="2514" spans="1:6">
      <c r="A2514" s="38" t="s">
        <v>3136</v>
      </c>
      <c r="B2514" s="40">
        <v>1361.800048828125</v>
      </c>
      <c r="C2514" s="40">
        <v>1327.30712890625</v>
      </c>
      <c r="D2514" s="38">
        <v>2683571</v>
      </c>
      <c r="E2514" s="38" t="s">
        <v>2911</v>
      </c>
      <c r="F2514" s="38" t="s">
        <v>618</v>
      </c>
    </row>
    <row r="2515" spans="1:6">
      <c r="A2515" s="38" t="s">
        <v>3137</v>
      </c>
      <c r="B2515" s="40">
        <v>1361.800048828125</v>
      </c>
      <c r="C2515" s="40">
        <v>1327.30712890625</v>
      </c>
      <c r="D2515" s="38">
        <v>1587449</v>
      </c>
      <c r="E2515" s="38" t="s">
        <v>2911</v>
      </c>
      <c r="F2515" s="38" t="s">
        <v>618</v>
      </c>
    </row>
    <row r="2516" spans="1:6">
      <c r="A2516" s="38" t="s">
        <v>3138</v>
      </c>
      <c r="B2516" s="40">
        <v>1357.800048828125</v>
      </c>
      <c r="C2516" s="40">
        <v>1323.408447265625</v>
      </c>
      <c r="D2516" s="38">
        <v>2601590</v>
      </c>
      <c r="E2516" s="38" t="s">
        <v>2911</v>
      </c>
      <c r="F2516" s="38" t="s">
        <v>618</v>
      </c>
    </row>
    <row r="2517" spans="1:6">
      <c r="A2517" s="38" t="s">
        <v>3139</v>
      </c>
      <c r="B2517" s="40">
        <v>1345.4000244140625</v>
      </c>
      <c r="C2517" s="40">
        <v>1311.322509765625</v>
      </c>
      <c r="D2517" s="38">
        <v>1564363</v>
      </c>
      <c r="E2517" s="38" t="s">
        <v>2911</v>
      </c>
      <c r="F2517" s="38" t="s">
        <v>618</v>
      </c>
    </row>
    <row r="2518" spans="1:6">
      <c r="A2518" s="38" t="s">
        <v>3140</v>
      </c>
      <c r="B2518" s="40">
        <v>1351.199951171875</v>
      </c>
      <c r="C2518" s="40">
        <v>1316.9754638671875</v>
      </c>
      <c r="D2518" s="38">
        <v>1820421</v>
      </c>
      <c r="E2518" s="38" t="s">
        <v>2911</v>
      </c>
      <c r="F2518" s="38" t="s">
        <v>618</v>
      </c>
    </row>
    <row r="2519" spans="1:6">
      <c r="A2519" s="38" t="s">
        <v>3141</v>
      </c>
      <c r="B2519" s="40">
        <v>1333.300048828125</v>
      </c>
      <c r="C2519" s="40">
        <v>1299.5289306640625</v>
      </c>
      <c r="D2519" s="38">
        <v>1210010</v>
      </c>
      <c r="E2519" s="38" t="s">
        <v>2911</v>
      </c>
      <c r="F2519" s="38" t="s">
        <v>618</v>
      </c>
    </row>
    <row r="2520" spans="1:6">
      <c r="A2520" s="38" t="s">
        <v>3142</v>
      </c>
      <c r="B2520" s="40">
        <v>1331.699951171875</v>
      </c>
      <c r="C2520" s="40">
        <v>1297.9693603515625</v>
      </c>
      <c r="D2520" s="38">
        <v>1033627</v>
      </c>
      <c r="E2520" s="38" t="s">
        <v>2911</v>
      </c>
      <c r="F2520" s="38" t="s">
        <v>618</v>
      </c>
    </row>
    <row r="2521" spans="1:6">
      <c r="A2521" s="38" t="s">
        <v>3143</v>
      </c>
      <c r="B2521" s="40">
        <v>1336.300048828125</v>
      </c>
      <c r="C2521" s="40">
        <v>1302.4530029296875</v>
      </c>
      <c r="D2521" s="38">
        <v>1032250</v>
      </c>
      <c r="E2521" s="38" t="s">
        <v>2911</v>
      </c>
      <c r="F2521" s="38" t="s">
        <v>618</v>
      </c>
    </row>
    <row r="2522" spans="1:6">
      <c r="A2522" s="38" t="s">
        <v>3144</v>
      </c>
      <c r="B2522" s="40">
        <v>1336.5999755859375</v>
      </c>
      <c r="C2522" s="40">
        <v>1302.745361328125</v>
      </c>
      <c r="D2522" s="38">
        <v>1069187</v>
      </c>
      <c r="E2522" s="38" t="s">
        <v>2911</v>
      </c>
      <c r="F2522" s="38" t="s">
        <v>618</v>
      </c>
    </row>
    <row r="2523" spans="1:6">
      <c r="A2523" s="38" t="s">
        <v>3145</v>
      </c>
      <c r="B2523" s="40">
        <v>1334.4000244140625</v>
      </c>
      <c r="C2523" s="40">
        <v>1300.60107421875</v>
      </c>
      <c r="D2523" s="38">
        <v>1499971</v>
      </c>
      <c r="E2523" s="38" t="s">
        <v>2911</v>
      </c>
      <c r="F2523" s="38" t="s">
        <v>618</v>
      </c>
    </row>
    <row r="2524" spans="1:6">
      <c r="A2524" s="38" t="s">
        <v>3146</v>
      </c>
      <c r="B2524" s="40">
        <v>1349.800048828125</v>
      </c>
      <c r="C2524" s="40">
        <v>1315.611083984375</v>
      </c>
      <c r="D2524" s="38">
        <v>3067753</v>
      </c>
      <c r="E2524" s="38" t="s">
        <v>2911</v>
      </c>
      <c r="F2524" s="38" t="s">
        <v>618</v>
      </c>
    </row>
    <row r="2525" spans="1:6">
      <c r="A2525" s="38" t="s">
        <v>3147</v>
      </c>
      <c r="B2525" s="40">
        <v>1332.800048828125</v>
      </c>
      <c r="C2525" s="40">
        <v>1299.0416259765625</v>
      </c>
      <c r="D2525" s="38">
        <v>1150005</v>
      </c>
      <c r="E2525" s="38" t="s">
        <v>2911</v>
      </c>
      <c r="F2525" s="38" t="s">
        <v>618</v>
      </c>
    </row>
    <row r="2526" spans="1:6">
      <c r="A2526" s="38" t="s">
        <v>3148</v>
      </c>
      <c r="B2526" s="40">
        <v>1339.5</v>
      </c>
      <c r="C2526" s="40">
        <v>1305.5718994140625</v>
      </c>
      <c r="D2526" s="38">
        <v>2062060</v>
      </c>
      <c r="E2526" s="38" t="s">
        <v>2911</v>
      </c>
      <c r="F2526" s="38" t="s">
        <v>618</v>
      </c>
    </row>
    <row r="2527" spans="1:6">
      <c r="A2527" s="38" t="s">
        <v>3149</v>
      </c>
      <c r="B2527" s="40">
        <v>1341.800048828125</v>
      </c>
      <c r="C2527" s="40">
        <v>1307.813720703125</v>
      </c>
      <c r="D2527" s="38">
        <v>1634005</v>
      </c>
      <c r="E2527" s="38" t="s">
        <v>2911</v>
      </c>
      <c r="F2527" s="38" t="s">
        <v>618</v>
      </c>
    </row>
    <row r="2528" spans="1:6">
      <c r="A2528" s="38" t="s">
        <v>3150</v>
      </c>
      <c r="B2528" s="40">
        <v>1385.199951171875</v>
      </c>
      <c r="C2528" s="40">
        <v>1350.1142578125</v>
      </c>
      <c r="D2528" s="38">
        <v>2969039</v>
      </c>
      <c r="E2528" s="38" t="s">
        <v>2911</v>
      </c>
      <c r="F2528" s="38" t="s">
        <v>618</v>
      </c>
    </row>
    <row r="2529" spans="1:6">
      <c r="A2529" s="38" t="s">
        <v>3151</v>
      </c>
      <c r="B2529" s="40">
        <v>1340.5999755859375</v>
      </c>
      <c r="C2529" s="40">
        <v>1306.64404296875</v>
      </c>
      <c r="D2529" s="38">
        <v>1219405</v>
      </c>
      <c r="E2529" s="38" t="s">
        <v>2911</v>
      </c>
      <c r="F2529" s="38" t="s">
        <v>618</v>
      </c>
    </row>
    <row r="2530" spans="1:6">
      <c r="A2530" s="38" t="s">
        <v>3152</v>
      </c>
      <c r="B2530" s="40">
        <v>1384.800048828125</v>
      </c>
      <c r="C2530" s="40">
        <v>1349.7244873046875</v>
      </c>
      <c r="D2530" s="38">
        <v>3397016</v>
      </c>
      <c r="E2530" s="38" t="s">
        <v>2911</v>
      </c>
      <c r="F2530" s="38" t="s">
        <v>618</v>
      </c>
    </row>
    <row r="2531" spans="1:6">
      <c r="A2531" s="38" t="s">
        <v>3153</v>
      </c>
      <c r="B2531" s="40">
        <v>1384</v>
      </c>
      <c r="C2531" s="40">
        <v>1348.9447021484375</v>
      </c>
      <c r="D2531" s="38">
        <v>3647386</v>
      </c>
      <c r="E2531" s="38" t="s">
        <v>2911</v>
      </c>
      <c r="F2531" s="38" t="s">
        <v>618</v>
      </c>
    </row>
    <row r="2532" spans="1:6">
      <c r="A2532" s="38" t="s">
        <v>3154</v>
      </c>
      <c r="B2532" s="40">
        <v>1432.699951171875</v>
      </c>
      <c r="C2532" s="40">
        <v>1396.4111328125</v>
      </c>
      <c r="D2532" s="38">
        <v>3988700</v>
      </c>
      <c r="E2532" s="38" t="s">
        <v>2911</v>
      </c>
      <c r="F2532" s="38" t="s">
        <v>618</v>
      </c>
    </row>
    <row r="2533" spans="1:6">
      <c r="A2533" s="38" t="s">
        <v>3155</v>
      </c>
      <c r="B2533" s="40">
        <v>1408.5</v>
      </c>
      <c r="C2533" s="40">
        <v>1372.82421875</v>
      </c>
      <c r="D2533" s="38">
        <v>4938929</v>
      </c>
      <c r="E2533" s="38" t="s">
        <v>2911</v>
      </c>
      <c r="F2533" s="38" t="s">
        <v>618</v>
      </c>
    </row>
    <row r="2534" spans="1:6">
      <c r="A2534" s="38" t="s">
        <v>3156</v>
      </c>
      <c r="B2534" s="40">
        <v>1391.5999755859375</v>
      </c>
      <c r="C2534" s="40">
        <v>1356.3521728515625</v>
      </c>
      <c r="D2534" s="38">
        <v>2584016</v>
      </c>
      <c r="E2534" s="38" t="s">
        <v>2911</v>
      </c>
      <c r="F2534" s="38" t="s">
        <v>618</v>
      </c>
    </row>
    <row r="2535" spans="1:6">
      <c r="A2535" s="38" t="s">
        <v>3157</v>
      </c>
      <c r="B2535" s="40">
        <v>1384</v>
      </c>
      <c r="C2535" s="40">
        <v>1348.9447021484375</v>
      </c>
      <c r="D2535" s="38">
        <v>3048646</v>
      </c>
      <c r="E2535" s="38" t="s">
        <v>2911</v>
      </c>
      <c r="F2535" s="38" t="s">
        <v>618</v>
      </c>
    </row>
    <row r="2536" spans="1:6">
      <c r="A2536" s="38" t="s">
        <v>3158</v>
      </c>
      <c r="B2536" s="40">
        <v>1404.5</v>
      </c>
      <c r="C2536" s="40">
        <v>1368.925537109375</v>
      </c>
      <c r="D2536" s="38">
        <v>1624500</v>
      </c>
      <c r="E2536" s="38" t="s">
        <v>3159</v>
      </c>
      <c r="F2536" s="38" t="s">
        <v>618</v>
      </c>
    </row>
    <row r="2537" spans="1:6">
      <c r="A2537" s="38" t="s">
        <v>3160</v>
      </c>
      <c r="B2537" s="40">
        <v>1441.5</v>
      </c>
      <c r="C2537" s="40">
        <v>1404.98828125</v>
      </c>
      <c r="D2537" s="38">
        <v>2501510</v>
      </c>
      <c r="E2537" s="38" t="s">
        <v>3159</v>
      </c>
      <c r="F2537" s="38" t="s">
        <v>618</v>
      </c>
    </row>
    <row r="2538" spans="1:6">
      <c r="A2538" s="38" t="s">
        <v>3161</v>
      </c>
      <c r="B2538" s="40">
        <v>1449.5</v>
      </c>
      <c r="C2538" s="40">
        <v>1412.7857666015625</v>
      </c>
      <c r="D2538" s="38">
        <v>1476736</v>
      </c>
      <c r="E2538" s="38" t="s">
        <v>3159</v>
      </c>
      <c r="F2538" s="38" t="s">
        <v>618</v>
      </c>
    </row>
    <row r="2539" spans="1:6">
      <c r="A2539" s="38" t="s">
        <v>3162</v>
      </c>
      <c r="B2539" s="40">
        <v>1473.4000244140625</v>
      </c>
      <c r="C2539" s="40">
        <v>1436.080322265625</v>
      </c>
      <c r="D2539" s="38">
        <v>1673236</v>
      </c>
      <c r="E2539" s="38" t="s">
        <v>3159</v>
      </c>
      <c r="F2539" s="38" t="s">
        <v>618</v>
      </c>
    </row>
    <row r="2540" spans="1:6">
      <c r="A2540" s="38" t="s">
        <v>3163</v>
      </c>
      <c r="B2540" s="40">
        <v>1451.4000244140625</v>
      </c>
      <c r="C2540" s="40">
        <v>1414.6375732421875</v>
      </c>
      <c r="D2540" s="38">
        <v>2736951</v>
      </c>
      <c r="E2540" s="38" t="s">
        <v>3159</v>
      </c>
      <c r="F2540" s="38" t="s">
        <v>618</v>
      </c>
    </row>
    <row r="2541" spans="1:6">
      <c r="A2541" s="38" t="s">
        <v>3164</v>
      </c>
      <c r="B2541" s="40">
        <v>1461.5999755859375</v>
      </c>
      <c r="C2541" s="40">
        <v>1424.5792236328125</v>
      </c>
      <c r="D2541" s="38">
        <v>1805451</v>
      </c>
      <c r="E2541" s="38" t="s">
        <v>3159</v>
      </c>
      <c r="F2541" s="38" t="s">
        <v>618</v>
      </c>
    </row>
    <row r="2542" spans="1:6">
      <c r="A2542" s="38" t="s">
        <v>3165</v>
      </c>
      <c r="B2542" s="40">
        <v>1440.199951171875</v>
      </c>
      <c r="C2542" s="40">
        <v>1403.72119140625</v>
      </c>
      <c r="D2542" s="38">
        <v>2045026</v>
      </c>
      <c r="E2542" s="38" t="s">
        <v>3159</v>
      </c>
      <c r="F2542" s="38" t="s">
        <v>618</v>
      </c>
    </row>
    <row r="2543" spans="1:6">
      <c r="A2543" s="38" t="s">
        <v>3166</v>
      </c>
      <c r="B2543" s="40">
        <v>1435.4000244140625</v>
      </c>
      <c r="C2543" s="40">
        <v>1399.0428466796875</v>
      </c>
      <c r="D2543" s="38">
        <v>1285567</v>
      </c>
      <c r="E2543" s="38" t="s">
        <v>3159</v>
      </c>
      <c r="F2543" s="38" t="s">
        <v>618</v>
      </c>
    </row>
    <row r="2544" spans="1:6">
      <c r="A2544" s="38" t="s">
        <v>3167</v>
      </c>
      <c r="B2544" s="40">
        <v>1483.800048828125</v>
      </c>
      <c r="C2544" s="40">
        <v>1446.2169189453125</v>
      </c>
      <c r="D2544" s="38">
        <v>1678561</v>
      </c>
      <c r="E2544" s="38" t="s">
        <v>3159</v>
      </c>
      <c r="F2544" s="38" t="s">
        <v>618</v>
      </c>
    </row>
    <row r="2545" spans="1:6">
      <c r="A2545" s="38" t="s">
        <v>3168</v>
      </c>
      <c r="B2545" s="40">
        <v>1491</v>
      </c>
      <c r="C2545" s="40">
        <v>1453.234619140625</v>
      </c>
      <c r="D2545" s="38">
        <v>1768783</v>
      </c>
      <c r="E2545" s="38" t="s">
        <v>3159</v>
      </c>
      <c r="F2545" s="38" t="s">
        <v>618</v>
      </c>
    </row>
    <row r="2546" spans="1:6">
      <c r="A2546" s="38" t="s">
        <v>3169</v>
      </c>
      <c r="B2546" s="40">
        <v>1511.4000244140625</v>
      </c>
      <c r="C2546" s="40">
        <v>1473.117919921875</v>
      </c>
      <c r="D2546" s="38">
        <v>1859402</v>
      </c>
      <c r="E2546" s="38" t="s">
        <v>3159</v>
      </c>
      <c r="F2546" s="38" t="s">
        <v>618</v>
      </c>
    </row>
    <row r="2547" spans="1:6">
      <c r="A2547" s="38" t="s">
        <v>3170</v>
      </c>
      <c r="B2547" s="40">
        <v>1504.4000244140625</v>
      </c>
      <c r="C2547" s="40">
        <v>1466.295166015625</v>
      </c>
      <c r="D2547" s="38">
        <v>1341688</v>
      </c>
      <c r="E2547" s="38" t="s">
        <v>3159</v>
      </c>
      <c r="F2547" s="38" t="s">
        <v>618</v>
      </c>
    </row>
    <row r="2548" spans="1:6">
      <c r="A2548" s="38" t="s">
        <v>3171</v>
      </c>
      <c r="B2548" s="40">
        <v>1500.800048828125</v>
      </c>
      <c r="C2548" s="40">
        <v>1462.786376953125</v>
      </c>
      <c r="D2548" s="38">
        <v>2001948</v>
      </c>
      <c r="E2548" s="38" t="s">
        <v>3159</v>
      </c>
      <c r="F2548" s="38" t="s">
        <v>618</v>
      </c>
    </row>
    <row r="2549" spans="1:6">
      <c r="A2549" s="38" t="s">
        <v>3172</v>
      </c>
      <c r="B2549" s="40">
        <v>1462.5999755859375</v>
      </c>
      <c r="C2549" s="40">
        <v>1425.5538330078125</v>
      </c>
      <c r="D2549" s="38">
        <v>11668801</v>
      </c>
      <c r="E2549" s="38" t="s">
        <v>3159</v>
      </c>
      <c r="F2549" s="38" t="s">
        <v>618</v>
      </c>
    </row>
    <row r="2550" spans="1:6">
      <c r="A2550" s="38" t="s">
        <v>3173</v>
      </c>
      <c r="B2550" s="40">
        <v>1421.5</v>
      </c>
      <c r="C2550" s="40">
        <v>1385.494873046875</v>
      </c>
      <c r="D2550" s="38">
        <v>4101549</v>
      </c>
      <c r="E2550" s="38" t="s">
        <v>3159</v>
      </c>
      <c r="F2550" s="38" t="s">
        <v>618</v>
      </c>
    </row>
    <row r="2551" spans="1:6">
      <c r="A2551" s="38" t="s">
        <v>3174</v>
      </c>
      <c r="B2551" s="40">
        <v>1358.5</v>
      </c>
      <c r="C2551" s="40">
        <v>1324.0906982421875</v>
      </c>
      <c r="D2551" s="38">
        <v>3693260</v>
      </c>
      <c r="E2551" s="38" t="s">
        <v>3159</v>
      </c>
      <c r="F2551" s="38" t="s">
        <v>618</v>
      </c>
    </row>
    <row r="2552" spans="1:6">
      <c r="A2552" s="38" t="s">
        <v>3175</v>
      </c>
      <c r="B2552" s="40">
        <v>1396.0999755859375</v>
      </c>
      <c r="C2552" s="40">
        <v>1360.73828125</v>
      </c>
      <c r="D2552" s="38">
        <v>1834277</v>
      </c>
      <c r="E2552" s="38" t="s">
        <v>3159</v>
      </c>
      <c r="F2552" s="38" t="s">
        <v>618</v>
      </c>
    </row>
    <row r="2553" spans="1:6">
      <c r="A2553" s="38" t="s">
        <v>3176</v>
      </c>
      <c r="B2553" s="40">
        <v>1408.0999755859375</v>
      </c>
      <c r="C2553" s="40">
        <v>1372.434326171875</v>
      </c>
      <c r="D2553" s="38">
        <v>2009200</v>
      </c>
      <c r="E2553" s="38" t="s">
        <v>3159</v>
      </c>
      <c r="F2553" s="38" t="s">
        <v>618</v>
      </c>
    </row>
    <row r="2554" spans="1:6">
      <c r="A2554" s="38" t="s">
        <v>3177</v>
      </c>
      <c r="B2554" s="40">
        <v>1459.800048828125</v>
      </c>
      <c r="C2554" s="40">
        <v>1422.8248291015625</v>
      </c>
      <c r="D2554" s="38">
        <v>3334783</v>
      </c>
      <c r="E2554" s="38" t="s">
        <v>3159</v>
      </c>
      <c r="F2554" s="38" t="s">
        <v>618</v>
      </c>
    </row>
    <row r="2555" spans="1:6">
      <c r="A2555" s="38" t="s">
        <v>3178</v>
      </c>
      <c r="B2555" s="40">
        <v>1473.5</v>
      </c>
      <c r="C2555" s="40">
        <v>1436.1778564453125</v>
      </c>
      <c r="D2555" s="38">
        <v>2635309</v>
      </c>
      <c r="E2555" s="38" t="s">
        <v>3159</v>
      </c>
      <c r="F2555" s="38" t="s">
        <v>618</v>
      </c>
    </row>
    <row r="2556" spans="1:6">
      <c r="A2556" s="38" t="s">
        <v>3179</v>
      </c>
      <c r="B2556" s="40">
        <v>1473.5</v>
      </c>
      <c r="C2556" s="40">
        <v>1436.1778564453125</v>
      </c>
      <c r="D2556" s="38">
        <v>0</v>
      </c>
      <c r="E2556" s="38" t="s">
        <v>3159</v>
      </c>
      <c r="F2556" s="38" t="s">
        <v>618</v>
      </c>
    </row>
    <row r="2557" spans="1:6">
      <c r="A2557" s="38" t="s">
        <v>3180</v>
      </c>
      <c r="B2557" s="40">
        <v>1471.5999755859375</v>
      </c>
      <c r="C2557" s="40">
        <v>1434.325927734375</v>
      </c>
      <c r="D2557" s="38">
        <v>1483759</v>
      </c>
      <c r="E2557" s="38" t="s">
        <v>3159</v>
      </c>
      <c r="F2557" s="38" t="s">
        <v>618</v>
      </c>
    </row>
    <row r="2558" spans="1:6">
      <c r="A2558" s="38" t="s">
        <v>3181</v>
      </c>
      <c r="B2558" s="40">
        <v>1452.199951171875</v>
      </c>
      <c r="C2558" s="40">
        <v>1415.417236328125</v>
      </c>
      <c r="D2558" s="38">
        <v>711081</v>
      </c>
      <c r="E2558" s="38" t="s">
        <v>3159</v>
      </c>
      <c r="F2558" s="38" t="s">
        <v>618</v>
      </c>
    </row>
    <row r="2559" spans="1:6">
      <c r="A2559" s="38" t="s">
        <v>3182</v>
      </c>
      <c r="B2559" s="40">
        <v>1466.699951171875</v>
      </c>
      <c r="C2559" s="40">
        <v>1429.550048828125</v>
      </c>
      <c r="D2559" s="38">
        <v>877900</v>
      </c>
      <c r="E2559" s="38" t="s">
        <v>3159</v>
      </c>
      <c r="F2559" s="38" t="s">
        <v>618</v>
      </c>
    </row>
    <row r="2560" spans="1:6">
      <c r="A2560" s="38" t="s">
        <v>3183</v>
      </c>
      <c r="B2560" s="40">
        <v>1448.199951171875</v>
      </c>
      <c r="C2560" s="40">
        <v>1411.5185546875</v>
      </c>
      <c r="D2560" s="38">
        <v>1147147</v>
      </c>
      <c r="E2560" s="38" t="s">
        <v>3159</v>
      </c>
      <c r="F2560" s="38" t="s">
        <v>618</v>
      </c>
    </row>
    <row r="2561" spans="1:6">
      <c r="A2561" s="38" t="s">
        <v>3184</v>
      </c>
      <c r="B2561" s="40">
        <v>1463</v>
      </c>
      <c r="C2561" s="40">
        <v>1425.9437255859375</v>
      </c>
      <c r="D2561" s="38">
        <v>1360644</v>
      </c>
      <c r="E2561" s="38" t="s">
        <v>3159</v>
      </c>
      <c r="F2561" s="38" t="s">
        <v>618</v>
      </c>
    </row>
    <row r="2562" spans="1:6">
      <c r="A2562" s="38" t="s">
        <v>3185</v>
      </c>
      <c r="B2562" s="40">
        <v>1457.4000244140625</v>
      </c>
      <c r="C2562" s="40">
        <v>1420.485595703125</v>
      </c>
      <c r="D2562" s="38">
        <v>1348443</v>
      </c>
      <c r="E2562" s="38" t="s">
        <v>3159</v>
      </c>
      <c r="F2562" s="38" t="s">
        <v>618</v>
      </c>
    </row>
    <row r="2563" spans="1:6">
      <c r="A2563" s="38" t="s">
        <v>3186</v>
      </c>
      <c r="B2563" s="40">
        <v>1392.9000244140625</v>
      </c>
      <c r="C2563" s="40">
        <v>1357.619384765625</v>
      </c>
      <c r="D2563" s="38">
        <v>1474910</v>
      </c>
      <c r="E2563" s="38" t="s">
        <v>3159</v>
      </c>
      <c r="F2563" s="38" t="s">
        <v>618</v>
      </c>
    </row>
    <row r="2564" spans="1:6">
      <c r="A2564" s="38" t="s">
        <v>3187</v>
      </c>
      <c r="B2564" s="40">
        <v>1375</v>
      </c>
      <c r="C2564" s="40">
        <v>1340.1727294921875</v>
      </c>
      <c r="D2564" s="38">
        <v>2142904</v>
      </c>
      <c r="E2564" s="38" t="s">
        <v>3159</v>
      </c>
      <c r="F2564" s="38" t="s">
        <v>618</v>
      </c>
    </row>
    <row r="2565" spans="1:6">
      <c r="A2565" s="38" t="s">
        <v>3188</v>
      </c>
      <c r="B2565" s="40">
        <v>1343.4000244140625</v>
      </c>
      <c r="C2565" s="40">
        <v>1309.3731689453125</v>
      </c>
      <c r="D2565" s="38">
        <v>2337353</v>
      </c>
      <c r="E2565" s="38" t="s">
        <v>3159</v>
      </c>
      <c r="F2565" s="38" t="s">
        <v>618</v>
      </c>
    </row>
    <row r="2566" spans="1:6">
      <c r="A2566" s="38" t="s">
        <v>3189</v>
      </c>
      <c r="B2566" s="40">
        <v>1370.5</v>
      </c>
      <c r="C2566" s="40">
        <v>1335.7867431640625</v>
      </c>
      <c r="D2566" s="38">
        <v>5306932</v>
      </c>
      <c r="E2566" s="38" t="s">
        <v>3159</v>
      </c>
      <c r="F2566" s="38" t="s">
        <v>618</v>
      </c>
    </row>
    <row r="2567" spans="1:6">
      <c r="A2567" s="38" t="s">
        <v>3190</v>
      </c>
      <c r="B2567" s="40">
        <v>1430</v>
      </c>
      <c r="C2567" s="40">
        <v>1393.7796630859375</v>
      </c>
      <c r="D2567" s="38">
        <v>6204623</v>
      </c>
      <c r="E2567" s="38" t="s">
        <v>3159</v>
      </c>
      <c r="F2567" s="38" t="s">
        <v>618</v>
      </c>
    </row>
    <row r="2568" spans="1:6">
      <c r="A2568" s="38" t="s">
        <v>3191</v>
      </c>
      <c r="B2568" s="40">
        <v>1467.0999755859375</v>
      </c>
      <c r="C2568" s="40">
        <v>1429.93994140625</v>
      </c>
      <c r="D2568" s="38">
        <v>6697277</v>
      </c>
      <c r="E2568" s="38" t="s">
        <v>3159</v>
      </c>
      <c r="F2568" s="38" t="s">
        <v>618</v>
      </c>
    </row>
    <row r="2569" spans="1:6">
      <c r="A2569" s="38" t="s">
        <v>3192</v>
      </c>
      <c r="B2569" s="40">
        <v>1439</v>
      </c>
      <c r="C2569" s="40">
        <v>1402.5516357421875</v>
      </c>
      <c r="D2569" s="38">
        <v>2216454</v>
      </c>
      <c r="E2569" s="38" t="s">
        <v>3159</v>
      </c>
      <c r="F2569" s="38" t="s">
        <v>618</v>
      </c>
    </row>
    <row r="2570" spans="1:6">
      <c r="A2570" s="38" t="s">
        <v>3193</v>
      </c>
      <c r="B2570" s="40">
        <v>1420</v>
      </c>
      <c r="C2570" s="40">
        <v>1384.032958984375</v>
      </c>
      <c r="D2570" s="38">
        <v>999422</v>
      </c>
      <c r="E2570" s="38" t="s">
        <v>3159</v>
      </c>
      <c r="F2570" s="38" t="s">
        <v>618</v>
      </c>
    </row>
    <row r="2571" spans="1:6">
      <c r="A2571" s="38" t="s">
        <v>3194</v>
      </c>
      <c r="B2571" s="40">
        <v>1422.199951171875</v>
      </c>
      <c r="C2571" s="40">
        <v>1386.1771240234375</v>
      </c>
      <c r="D2571" s="38">
        <v>654078</v>
      </c>
      <c r="E2571" s="38" t="s">
        <v>3159</v>
      </c>
      <c r="F2571" s="38" t="s">
        <v>618</v>
      </c>
    </row>
    <row r="2572" spans="1:6">
      <c r="A2572" s="38" t="s">
        <v>3195</v>
      </c>
      <c r="B2572" s="40">
        <v>1435.5</v>
      </c>
      <c r="C2572" s="40">
        <v>1399.1402587890625</v>
      </c>
      <c r="D2572" s="38">
        <v>887430</v>
      </c>
      <c r="E2572" s="38" t="s">
        <v>3159</v>
      </c>
      <c r="F2572" s="38" t="s">
        <v>618</v>
      </c>
    </row>
    <row r="2573" spans="1:6">
      <c r="A2573" s="38" t="s">
        <v>3196</v>
      </c>
      <c r="B2573" s="40">
        <v>1458.699951171875</v>
      </c>
      <c r="C2573" s="40">
        <v>1421.752685546875</v>
      </c>
      <c r="D2573" s="38">
        <v>1725570</v>
      </c>
      <c r="E2573" s="38" t="s">
        <v>3159</v>
      </c>
      <c r="F2573" s="38" t="s">
        <v>618</v>
      </c>
    </row>
    <row r="2574" spans="1:6">
      <c r="A2574" s="38" t="s">
        <v>3197</v>
      </c>
      <c r="B2574" s="40">
        <v>1455.5999755859375</v>
      </c>
      <c r="C2574" s="40">
        <v>1418.731201171875</v>
      </c>
      <c r="D2574" s="38">
        <v>1825192</v>
      </c>
      <c r="E2574" s="38" t="s">
        <v>3159</v>
      </c>
      <c r="F2574" s="38" t="s">
        <v>618</v>
      </c>
    </row>
    <row r="2575" spans="1:6">
      <c r="A2575" s="38" t="s">
        <v>3198</v>
      </c>
      <c r="B2575" s="40">
        <v>1455.5999755859375</v>
      </c>
      <c r="C2575" s="40">
        <v>1418.731201171875</v>
      </c>
      <c r="D2575" s="38">
        <v>0</v>
      </c>
      <c r="E2575" s="38" t="s">
        <v>3159</v>
      </c>
      <c r="F2575" s="38" t="s">
        <v>618</v>
      </c>
    </row>
    <row r="2576" spans="1:6">
      <c r="A2576" s="38" t="s">
        <v>3199</v>
      </c>
      <c r="B2576" s="40">
        <v>1483.9000244140625</v>
      </c>
      <c r="C2576" s="40">
        <v>1446.314453125</v>
      </c>
      <c r="D2576" s="38">
        <v>3955137</v>
      </c>
      <c r="E2576" s="38" t="s">
        <v>3159</v>
      </c>
      <c r="F2576" s="38" t="s">
        <v>618</v>
      </c>
    </row>
    <row r="2577" spans="1:6">
      <c r="A2577" s="38" t="s">
        <v>3200</v>
      </c>
      <c r="B2577" s="40">
        <v>1543.199951171875</v>
      </c>
      <c r="C2577" s="40">
        <v>1504.1123046875</v>
      </c>
      <c r="D2577" s="38">
        <v>5243443</v>
      </c>
      <c r="E2577" s="38" t="s">
        <v>3159</v>
      </c>
      <c r="F2577" s="38" t="s">
        <v>618</v>
      </c>
    </row>
    <row r="2578" spans="1:6">
      <c r="A2578" s="38" t="s">
        <v>3201</v>
      </c>
      <c r="B2578" s="40">
        <v>1571.4000244140625</v>
      </c>
      <c r="C2578" s="40">
        <v>1531.59814453125</v>
      </c>
      <c r="D2578" s="38">
        <v>4169279</v>
      </c>
      <c r="E2578" s="38" t="s">
        <v>3159</v>
      </c>
      <c r="F2578" s="38" t="s">
        <v>618</v>
      </c>
    </row>
    <row r="2579" spans="1:6">
      <c r="A2579" s="38" t="s">
        <v>3202</v>
      </c>
      <c r="B2579" s="40">
        <v>1472.300048828125</v>
      </c>
      <c r="C2579" s="40">
        <v>1435.00830078125</v>
      </c>
      <c r="D2579" s="38">
        <v>3493572</v>
      </c>
      <c r="E2579" s="38" t="s">
        <v>3159</v>
      </c>
      <c r="F2579" s="38" t="s">
        <v>618</v>
      </c>
    </row>
    <row r="2580" spans="1:6">
      <c r="A2580" s="38" t="s">
        <v>3203</v>
      </c>
      <c r="B2580" s="40">
        <v>1487.300048828125</v>
      </c>
      <c r="C2580" s="40">
        <v>1449.6282958984375</v>
      </c>
      <c r="D2580" s="38">
        <v>2061503</v>
      </c>
      <c r="E2580" s="38" t="s">
        <v>3159</v>
      </c>
      <c r="F2580" s="38" t="s">
        <v>618</v>
      </c>
    </row>
    <row r="2581" spans="1:6">
      <c r="A2581" s="38" t="s">
        <v>3204</v>
      </c>
      <c r="B2581" s="40">
        <v>1483.5</v>
      </c>
      <c r="C2581" s="40">
        <v>1445.924560546875</v>
      </c>
      <c r="D2581" s="38">
        <v>2201977</v>
      </c>
      <c r="E2581" s="38" t="s">
        <v>3159</v>
      </c>
      <c r="F2581" s="38" t="s">
        <v>618</v>
      </c>
    </row>
    <row r="2582" spans="1:6">
      <c r="A2582" s="38" t="s">
        <v>3205</v>
      </c>
      <c r="B2582" s="40">
        <v>1503.4000244140625</v>
      </c>
      <c r="C2582" s="40">
        <v>1465.320556640625</v>
      </c>
      <c r="D2582" s="38">
        <v>2467960</v>
      </c>
      <c r="E2582" s="38" t="s">
        <v>3159</v>
      </c>
      <c r="F2582" s="38" t="s">
        <v>618</v>
      </c>
    </row>
    <row r="2583" spans="1:6">
      <c r="A2583" s="38" t="s">
        <v>3206</v>
      </c>
      <c r="B2583" s="40">
        <v>1483.800048828125</v>
      </c>
      <c r="C2583" s="40">
        <v>1446.2169189453125</v>
      </c>
      <c r="D2583" s="38">
        <v>1330108</v>
      </c>
      <c r="E2583" s="38" t="s">
        <v>3159</v>
      </c>
      <c r="F2583" s="38" t="s">
        <v>618</v>
      </c>
    </row>
    <row r="2584" spans="1:6">
      <c r="A2584" s="38" t="s">
        <v>3207</v>
      </c>
      <c r="B2584" s="40">
        <v>1478.9000244140625</v>
      </c>
      <c r="C2584" s="40">
        <v>1441.4410400390625</v>
      </c>
      <c r="D2584" s="38">
        <v>1082678</v>
      </c>
      <c r="E2584" s="38" t="s">
        <v>3159</v>
      </c>
      <c r="F2584" s="38" t="s">
        <v>618</v>
      </c>
    </row>
    <row r="2585" spans="1:6">
      <c r="A2585" s="38" t="s">
        <v>3208</v>
      </c>
      <c r="B2585" s="40">
        <v>1465.0999755859375</v>
      </c>
      <c r="C2585" s="40">
        <v>1427.9906005859375</v>
      </c>
      <c r="D2585" s="38">
        <v>2088978</v>
      </c>
      <c r="E2585" s="38" t="s">
        <v>3159</v>
      </c>
      <c r="F2585" s="38" t="s">
        <v>618</v>
      </c>
    </row>
    <row r="2586" spans="1:6">
      <c r="A2586" s="38" t="s">
        <v>3209</v>
      </c>
      <c r="B2586" s="40">
        <v>1429.199951171875</v>
      </c>
      <c r="C2586" s="40">
        <v>1392.9998779296875</v>
      </c>
      <c r="D2586" s="38">
        <v>2460369</v>
      </c>
      <c r="E2586" s="38" t="s">
        <v>3159</v>
      </c>
      <c r="F2586" s="38" t="s">
        <v>618</v>
      </c>
    </row>
    <row r="2587" spans="1:6">
      <c r="A2587" s="38" t="s">
        <v>3210</v>
      </c>
      <c r="B2587" s="40">
        <v>1425.5999755859375</v>
      </c>
      <c r="C2587" s="40">
        <v>1389.4910888671875</v>
      </c>
      <c r="D2587" s="38">
        <v>1926338</v>
      </c>
      <c r="E2587" s="38" t="s">
        <v>3159</v>
      </c>
      <c r="F2587" s="38" t="s">
        <v>618</v>
      </c>
    </row>
    <row r="2588" spans="1:6">
      <c r="A2588" s="38" t="s">
        <v>3211</v>
      </c>
      <c r="B2588" s="40">
        <v>1446.800048828125</v>
      </c>
      <c r="C2588" s="40">
        <v>1410.1541748046875</v>
      </c>
      <c r="D2588" s="38">
        <v>1987359</v>
      </c>
      <c r="E2588" s="38" t="s">
        <v>3159</v>
      </c>
      <c r="F2588" s="38" t="s">
        <v>618</v>
      </c>
    </row>
    <row r="2589" spans="1:6">
      <c r="A2589" s="38" t="s">
        <v>3212</v>
      </c>
      <c r="B2589" s="40">
        <v>1462.4000244140625</v>
      </c>
      <c r="C2589" s="40">
        <v>1425.3590087890625</v>
      </c>
      <c r="D2589" s="38">
        <v>2126833</v>
      </c>
      <c r="E2589" s="38" t="s">
        <v>3159</v>
      </c>
      <c r="F2589" s="38" t="s">
        <v>618</v>
      </c>
    </row>
    <row r="2590" spans="1:6">
      <c r="A2590" s="38" t="s">
        <v>3213</v>
      </c>
      <c r="B2590" s="40">
        <v>1447.699951171875</v>
      </c>
      <c r="C2590" s="40">
        <v>1411.03125</v>
      </c>
      <c r="D2590" s="38">
        <v>2273483</v>
      </c>
      <c r="E2590" s="38" t="s">
        <v>3159</v>
      </c>
      <c r="F2590" s="38" t="s">
        <v>618</v>
      </c>
    </row>
    <row r="2591" spans="1:6">
      <c r="A2591" s="38" t="s">
        <v>3214</v>
      </c>
      <c r="B2591" s="40">
        <v>1409.5999755859375</v>
      </c>
      <c r="C2591" s="40">
        <v>1373.8963623046875</v>
      </c>
      <c r="D2591" s="38">
        <v>5864187</v>
      </c>
      <c r="E2591" s="38" t="s">
        <v>3159</v>
      </c>
      <c r="F2591" s="38" t="s">
        <v>618</v>
      </c>
    </row>
    <row r="2592" spans="1:6">
      <c r="A2592" s="38" t="s">
        <v>3215</v>
      </c>
      <c r="B2592" s="40">
        <v>1435.199951171875</v>
      </c>
      <c r="C2592" s="40">
        <v>1398.847900390625</v>
      </c>
      <c r="D2592" s="38">
        <v>2165308</v>
      </c>
      <c r="E2592" s="38" t="s">
        <v>3159</v>
      </c>
      <c r="F2592" s="38" t="s">
        <v>618</v>
      </c>
    </row>
    <row r="2593" spans="1:6">
      <c r="A2593" s="38" t="s">
        <v>3216</v>
      </c>
      <c r="B2593" s="40">
        <v>1415.5999755859375</v>
      </c>
      <c r="C2593" s="40">
        <v>1379.744384765625</v>
      </c>
      <c r="D2593" s="38">
        <v>2402816</v>
      </c>
      <c r="E2593" s="38" t="s">
        <v>3159</v>
      </c>
      <c r="F2593" s="38" t="s">
        <v>618</v>
      </c>
    </row>
    <row r="2594" spans="1:6">
      <c r="A2594" s="38" t="s">
        <v>3217</v>
      </c>
      <c r="B2594" s="40">
        <v>1461.5999755859375</v>
      </c>
      <c r="C2594" s="40">
        <v>1424.5792236328125</v>
      </c>
      <c r="D2594" s="38">
        <v>3451553</v>
      </c>
      <c r="E2594" s="38" t="s">
        <v>3159</v>
      </c>
      <c r="F2594" s="38" t="s">
        <v>618</v>
      </c>
    </row>
    <row r="2595" spans="1:6">
      <c r="A2595" s="38" t="s">
        <v>3218</v>
      </c>
      <c r="B2595" s="40">
        <v>1437.0999755859375</v>
      </c>
      <c r="C2595" s="40">
        <v>1400.69970703125</v>
      </c>
      <c r="D2595" s="38">
        <v>2553830</v>
      </c>
      <c r="E2595" s="38" t="s">
        <v>3159</v>
      </c>
      <c r="F2595" s="38" t="s">
        <v>618</v>
      </c>
    </row>
    <row r="2596" spans="1:6">
      <c r="A2596" s="38" t="s">
        <v>3219</v>
      </c>
      <c r="B2596" s="40">
        <v>1437.0999755859375</v>
      </c>
      <c r="C2596" s="40">
        <v>1400.69970703125</v>
      </c>
      <c r="D2596" s="38">
        <v>0</v>
      </c>
      <c r="E2596" s="38" t="s">
        <v>3159</v>
      </c>
      <c r="F2596" s="38" t="s">
        <v>618</v>
      </c>
    </row>
    <row r="2597" spans="1:6">
      <c r="A2597" s="38" t="s">
        <v>3220</v>
      </c>
      <c r="B2597" s="40">
        <v>1433.800048828125</v>
      </c>
      <c r="C2597" s="40">
        <v>1397.4833984375</v>
      </c>
      <c r="D2597" s="38">
        <v>2466821</v>
      </c>
      <c r="E2597" s="38" t="s">
        <v>3159</v>
      </c>
      <c r="F2597" s="38" t="s">
        <v>618</v>
      </c>
    </row>
    <row r="2598" spans="1:6">
      <c r="A2598" s="38" t="s">
        <v>3221</v>
      </c>
      <c r="B2598" s="40">
        <v>1404.699951171875</v>
      </c>
      <c r="C2598" s="40">
        <v>1369.120361328125</v>
      </c>
      <c r="D2598" s="38">
        <v>2421536</v>
      </c>
      <c r="E2598" s="38" t="s">
        <v>3159</v>
      </c>
      <c r="F2598" s="38" t="s">
        <v>618</v>
      </c>
    </row>
    <row r="2599" spans="1:6">
      <c r="A2599" s="38" t="s">
        <v>3222</v>
      </c>
      <c r="B2599" s="40">
        <v>1362.199951171875</v>
      </c>
      <c r="C2599" s="40">
        <v>1327.6968994140625</v>
      </c>
      <c r="D2599" s="38">
        <v>3793024</v>
      </c>
      <c r="E2599" s="38" t="s">
        <v>3159</v>
      </c>
      <c r="F2599" s="38" t="s">
        <v>618</v>
      </c>
    </row>
    <row r="2600" spans="1:6">
      <c r="A2600" s="38" t="s">
        <v>3223</v>
      </c>
      <c r="B2600" s="40">
        <v>1421.300048828125</v>
      </c>
      <c r="C2600" s="40">
        <v>1385.300048828125</v>
      </c>
      <c r="D2600" s="38">
        <v>3034626</v>
      </c>
      <c r="E2600" s="38" t="s">
        <v>3159</v>
      </c>
      <c r="F2600" s="38" t="s">
        <v>618</v>
      </c>
    </row>
    <row r="2601" spans="1:6">
      <c r="A2601" s="38" t="s">
        <v>3224</v>
      </c>
      <c r="B2601" s="40">
        <v>1410.0999755859375</v>
      </c>
      <c r="C2601" s="40">
        <v>1410.0999755859375</v>
      </c>
      <c r="D2601" s="38">
        <v>2849871</v>
      </c>
      <c r="E2601" s="38" t="s">
        <v>3159</v>
      </c>
      <c r="F2601" s="38" t="s">
        <v>618</v>
      </c>
    </row>
    <row r="2602" spans="1:6">
      <c r="A2602" s="38" t="s">
        <v>3225</v>
      </c>
      <c r="B2602" s="40">
        <v>1406.5</v>
      </c>
      <c r="C2602" s="40">
        <v>1406.5</v>
      </c>
      <c r="D2602" s="38">
        <v>1158020</v>
      </c>
      <c r="E2602" s="38" t="s">
        <v>3159</v>
      </c>
      <c r="F2602" s="38" t="s">
        <v>618</v>
      </c>
    </row>
    <row r="2603" spans="1:6">
      <c r="A2603" s="38" t="s">
        <v>3226</v>
      </c>
      <c r="B2603" s="40">
        <v>1447.5</v>
      </c>
      <c r="C2603" s="40">
        <v>1447.5</v>
      </c>
      <c r="D2603" s="38">
        <v>4066916</v>
      </c>
      <c r="E2603" s="38" t="s">
        <v>3159</v>
      </c>
      <c r="F2603" s="38" t="s">
        <v>618</v>
      </c>
    </row>
    <row r="2604" spans="1:6">
      <c r="A2604" s="38" t="s">
        <v>3227</v>
      </c>
      <c r="B2604" s="40">
        <v>1428.800048828125</v>
      </c>
      <c r="C2604" s="40">
        <v>1428.800048828125</v>
      </c>
      <c r="D2604" s="38">
        <v>1489170</v>
      </c>
      <c r="E2604" s="38" t="s">
        <v>3159</v>
      </c>
      <c r="F2604" s="38" t="s">
        <v>618</v>
      </c>
    </row>
    <row r="2605" spans="1:6">
      <c r="A2605" s="38" t="s">
        <v>3228</v>
      </c>
      <c r="B2605" s="40">
        <v>1426.300048828125</v>
      </c>
      <c r="C2605" s="40">
        <v>1426.300048828125</v>
      </c>
      <c r="D2605" s="38">
        <v>1379708</v>
      </c>
      <c r="E2605" s="38" t="s">
        <v>3159</v>
      </c>
      <c r="F2605" s="38" t="s">
        <v>618</v>
      </c>
    </row>
    <row r="2606" spans="1:6">
      <c r="A2606" s="38" t="s">
        <v>3229</v>
      </c>
      <c r="B2606" s="40">
        <v>1454.800048828125</v>
      </c>
      <c r="C2606" s="40">
        <v>1454.800048828125</v>
      </c>
      <c r="D2606" s="38">
        <v>1732609</v>
      </c>
      <c r="E2606" s="38" t="s">
        <v>3159</v>
      </c>
      <c r="F2606" s="38" t="s">
        <v>618</v>
      </c>
    </row>
    <row r="2607" spans="1:6">
      <c r="A2607" s="38" t="s">
        <v>3230</v>
      </c>
      <c r="B2607" s="40">
        <v>1504.5</v>
      </c>
      <c r="C2607" s="40">
        <v>1504.5</v>
      </c>
      <c r="D2607" s="38">
        <v>2285072</v>
      </c>
      <c r="E2607" s="38" t="s">
        <v>3159</v>
      </c>
      <c r="F2607" s="38" t="s">
        <v>618</v>
      </c>
    </row>
    <row r="2608" spans="1:6">
      <c r="A2608" s="38" t="s">
        <v>3231</v>
      </c>
      <c r="B2608" s="40">
        <v>1484.300048828125</v>
      </c>
      <c r="C2608" s="40">
        <v>1484.300048828125</v>
      </c>
      <c r="D2608" s="38">
        <v>2011058</v>
      </c>
      <c r="E2608" s="38" t="s">
        <v>3159</v>
      </c>
      <c r="F2608" s="38" t="s">
        <v>618</v>
      </c>
    </row>
    <row r="2609" spans="1:6">
      <c r="A2609" s="38" t="s">
        <v>3232</v>
      </c>
      <c r="B2609" s="40">
        <v>1498.699951171875</v>
      </c>
      <c r="C2609" s="40">
        <v>1498.699951171875</v>
      </c>
      <c r="D2609" s="38">
        <v>1834279</v>
      </c>
      <c r="E2609" s="38" t="s">
        <v>3159</v>
      </c>
      <c r="F2609" s="38" t="s">
        <v>618</v>
      </c>
    </row>
    <row r="2610" spans="1:6">
      <c r="A2610" s="38" t="s">
        <v>3233</v>
      </c>
      <c r="B2610" s="40">
        <v>1510.300048828125</v>
      </c>
      <c r="C2610" s="40">
        <v>1510.300048828125</v>
      </c>
      <c r="D2610" s="38">
        <v>2903245</v>
      </c>
      <c r="E2610" s="38" t="s">
        <v>3159</v>
      </c>
      <c r="F2610" s="38" t="s">
        <v>618</v>
      </c>
    </row>
    <row r="2611" spans="1:6">
      <c r="A2611" s="38" t="s">
        <v>3234</v>
      </c>
      <c r="B2611" s="40">
        <v>1572.9000244140625</v>
      </c>
      <c r="C2611" s="40">
        <v>1572.9000244140625</v>
      </c>
      <c r="D2611" s="38">
        <v>10632264</v>
      </c>
      <c r="E2611" s="38" t="s">
        <v>3159</v>
      </c>
      <c r="F2611" s="38" t="s">
        <v>618</v>
      </c>
    </row>
    <row r="2612" spans="1:6">
      <c r="A2612" s="38" t="s">
        <v>3235</v>
      </c>
      <c r="B2612" s="40">
        <v>1576.4000244140625</v>
      </c>
      <c r="C2612" s="40">
        <v>1576.4000244140625</v>
      </c>
      <c r="D2612" s="38">
        <v>2324331</v>
      </c>
      <c r="E2612" s="38" t="s">
        <v>3159</v>
      </c>
      <c r="F2612" s="38" t="s">
        <v>618</v>
      </c>
    </row>
    <row r="2613" spans="1:6">
      <c r="A2613" s="38" t="s">
        <v>3236</v>
      </c>
      <c r="B2613" s="40">
        <v>1576.300048828125</v>
      </c>
      <c r="C2613" s="40">
        <v>1576.300048828125</v>
      </c>
      <c r="D2613" s="38">
        <v>2624717</v>
      </c>
      <c r="E2613" s="38" t="s">
        <v>3159</v>
      </c>
      <c r="F2613" s="38" t="s">
        <v>618</v>
      </c>
    </row>
    <row r="2614" spans="1:6">
      <c r="A2614" s="38" t="s">
        <v>3237</v>
      </c>
      <c r="B2614" s="40">
        <v>1560.5999755859375</v>
      </c>
      <c r="C2614" s="40">
        <v>1560.5999755859375</v>
      </c>
      <c r="D2614" s="38">
        <v>975901</v>
      </c>
      <c r="E2614" s="38" t="s">
        <v>3159</v>
      </c>
      <c r="F2614" s="38" t="s">
        <v>618</v>
      </c>
    </row>
    <row r="2615" spans="1:6">
      <c r="A2615" s="38" t="s">
        <v>3238</v>
      </c>
      <c r="B2615" s="40">
        <v>1555.800048828125</v>
      </c>
      <c r="C2615" s="40">
        <v>1555.800048828125</v>
      </c>
      <c r="D2615" s="38">
        <v>2424854</v>
      </c>
      <c r="E2615" s="38" t="s">
        <v>3159</v>
      </c>
      <c r="F2615" s="38" t="s">
        <v>618</v>
      </c>
    </row>
    <row r="2616" spans="1:6">
      <c r="A2616" s="38" t="s">
        <v>3239</v>
      </c>
      <c r="B2616" s="40">
        <v>1559.5</v>
      </c>
      <c r="C2616" s="40">
        <v>1559.5</v>
      </c>
      <c r="D2616" s="38">
        <v>1231512</v>
      </c>
      <c r="E2616" s="38" t="s">
        <v>3159</v>
      </c>
      <c r="F2616" s="38" t="s">
        <v>618</v>
      </c>
    </row>
    <row r="2617" spans="1:6">
      <c r="A2617" s="38" t="s">
        <v>3240</v>
      </c>
      <c r="B2617" s="40">
        <v>1575</v>
      </c>
      <c r="C2617" s="40">
        <v>1575</v>
      </c>
      <c r="D2617" s="38">
        <v>1513324</v>
      </c>
      <c r="E2617" s="38" t="s">
        <v>3159</v>
      </c>
      <c r="F2617" s="38" t="s">
        <v>618</v>
      </c>
    </row>
    <row r="2618" spans="1:6">
      <c r="A2618" s="38" t="s">
        <v>3241</v>
      </c>
      <c r="B2618" s="40">
        <v>1635.199951171875</v>
      </c>
      <c r="C2618" s="40">
        <v>1635.199951171875</v>
      </c>
      <c r="D2618" s="38">
        <v>5082959</v>
      </c>
      <c r="E2618" s="38" t="s">
        <v>3159</v>
      </c>
      <c r="F2618" s="38" t="s">
        <v>618</v>
      </c>
    </row>
    <row r="2619" spans="1:6">
      <c r="A2619" s="38" t="s">
        <v>3242</v>
      </c>
      <c r="B2619" s="40">
        <v>1644.199951171875</v>
      </c>
      <c r="C2619" s="40">
        <v>1644.199951171875</v>
      </c>
      <c r="D2619" s="38">
        <v>2189575</v>
      </c>
      <c r="E2619" s="38" t="s">
        <v>3159</v>
      </c>
      <c r="F2619" s="38" t="s">
        <v>618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T300"/>
  <sheetViews>
    <sheetView showGridLines="0" workbookViewId="0"/>
  </sheetViews>
  <sheetFormatPr defaultRowHeight="13.8"/>
  <cols>
    <col min="1" max="1" width="42" customWidth="1"/>
    <col min="2" max="17" width="11" customWidth="1"/>
  </cols>
  <sheetData>
    <row r="1" spans="1:46" ht="25.95" customHeight="1">
      <c r="A1" s="68" t="s">
        <v>3243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3244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5" t="s">
        <v>26</v>
      </c>
      <c r="B5" s="45" t="s">
        <v>27</v>
      </c>
      <c r="C5" s="45" t="s">
        <v>28</v>
      </c>
      <c r="D5" s="45" t="s">
        <v>29</v>
      </c>
      <c r="E5" s="45" t="s">
        <v>30</v>
      </c>
      <c r="F5" s="45" t="s">
        <v>31</v>
      </c>
      <c r="G5" s="45" t="s">
        <v>32</v>
      </c>
      <c r="H5" s="45" t="s">
        <v>33</v>
      </c>
      <c r="I5" s="45" t="s">
        <v>34</v>
      </c>
      <c r="J5" s="45" t="s">
        <v>35</v>
      </c>
      <c r="K5" s="45" t="s">
        <v>36</v>
      </c>
      <c r="L5" s="45" t="s">
        <v>37</v>
      </c>
      <c r="M5" s="45" t="s">
        <v>38</v>
      </c>
      <c r="N5" s="46" t="s">
        <v>39</v>
      </c>
      <c r="O5" s="46" t="s">
        <v>40</v>
      </c>
      <c r="P5" s="46" t="s">
        <v>41</v>
      </c>
      <c r="Q5" s="46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6"/>
      <c r="O6" s="36"/>
      <c r="P6" s="36"/>
      <c r="Q6" s="3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71</v>
      </c>
      <c r="B7" s="1" t="s">
        <v>57</v>
      </c>
      <c r="C7" s="39">
        <v>474.95001220703125</v>
      </c>
      <c r="D7" s="39">
        <v>459.14999389648438</v>
      </c>
      <c r="E7" s="39">
        <v>638.70001220703125</v>
      </c>
      <c r="F7" s="39">
        <v>771.70001220703125</v>
      </c>
      <c r="G7" s="39">
        <v>565.5</v>
      </c>
      <c r="H7" s="39">
        <v>991.45001220703125</v>
      </c>
      <c r="I7" s="39">
        <v>1499.449951171875</v>
      </c>
      <c r="J7" s="39">
        <v>1101.8499755859375</v>
      </c>
      <c r="K7" s="39">
        <v>1248.0999755859375</v>
      </c>
      <c r="L7" s="39">
        <v>1418.25</v>
      </c>
      <c r="M7" s="39">
        <v>1384</v>
      </c>
      <c r="N7" s="41">
        <f>'Annual P&amp;L'!N40*N19</f>
        <v>1506.2749735143705</v>
      </c>
      <c r="O7" s="41">
        <f>'Annual P&amp;L'!O40*O19</f>
        <v>1692.8716721571855</v>
      </c>
      <c r="P7" s="41">
        <f>'Annual P&amp;L'!P40*P19</f>
        <v>1918.469601161695</v>
      </c>
      <c r="Q7" s="41">
        <f>'Annual P&amp;L'!Q40*Q19</f>
        <v>2165.0698003983002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488</v>
      </c>
      <c r="B8" s="1" t="s">
        <v>487</v>
      </c>
      <c r="C8" s="21">
        <f>'Annual P&amp;L'!C38</f>
        <v>88.772400692946917</v>
      </c>
      <c r="D8" s="21">
        <f>'Annual P&amp;L'!D38</f>
        <v>88.890953959715645</v>
      </c>
      <c r="E8" s="21">
        <f>'Annual P&amp;L'!E38</f>
        <v>89.061094503672166</v>
      </c>
      <c r="F8" s="21">
        <f>'Annual P&amp;L'!F38</f>
        <v>90.058074015135162</v>
      </c>
      <c r="G8" s="21">
        <f>'Annual P&amp;L'!G38</f>
        <v>87.959476553980366</v>
      </c>
      <c r="H8" s="21">
        <f>'Annual P&amp;L'!H38</f>
        <v>88.225921498306448</v>
      </c>
      <c r="I8" s="21">
        <f>'Annual P&amp;L'!I38</f>
        <v>88.618261423340229</v>
      </c>
      <c r="J8" s="21">
        <f>'Annual P&amp;L'!J38</f>
        <v>88.549780058651038</v>
      </c>
      <c r="K8" s="21">
        <f>'Annual P&amp;L'!K38</f>
        <v>88.742792623259319</v>
      </c>
      <c r="L8" s="21">
        <f>'Annual P&amp;L'!L38</f>
        <v>88.747346817495739</v>
      </c>
      <c r="M8" s="21">
        <f>'Annual P&amp;L'!M38</f>
        <v>88.779840818771319</v>
      </c>
      <c r="N8" s="30">
        <f>'Annual P&amp;L'!N38</f>
        <v>88.779840818771319</v>
      </c>
      <c r="O8" s="30">
        <f>'Annual P&amp;L'!O38</f>
        <v>88.779840818771319</v>
      </c>
      <c r="P8" s="30">
        <f>'Annual P&amp;L'!P38</f>
        <v>88.779840818771319</v>
      </c>
      <c r="Q8" s="30">
        <f>'Annual P&amp;L'!Q38</f>
        <v>88.779840818771319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3245</v>
      </c>
      <c r="B9" s="1" t="s">
        <v>44</v>
      </c>
      <c r="C9" s="18">
        <f t="shared" ref="C9:Q9" si="0">C7*C8</f>
        <v>42162.452792762604</v>
      </c>
      <c r="D9" s="18">
        <f t="shared" si="0"/>
        <v>40814.280968056111</v>
      </c>
      <c r="E9" s="18">
        <f t="shared" si="0"/>
        <v>56883.322146666978</v>
      </c>
      <c r="F9" s="18">
        <f t="shared" si="0"/>
        <v>69497.816816821534</v>
      </c>
      <c r="G9" s="18">
        <f t="shared" si="0"/>
        <v>49741.083991275897</v>
      </c>
      <c r="H9" s="18">
        <f t="shared" si="0"/>
        <v>87471.590946472512</v>
      </c>
      <c r="I9" s="18">
        <f t="shared" si="0"/>
        <v>132878.64776416396</v>
      </c>
      <c r="J9" s="18">
        <f t="shared" si="0"/>
        <v>97568.572995764785</v>
      </c>
      <c r="K9" s="18">
        <f t="shared" si="0"/>
        <v>110759.87730651787</v>
      </c>
      <c r="L9" s="18">
        <f t="shared" si="0"/>
        <v>125865.92462391334</v>
      </c>
      <c r="M9" s="18">
        <f t="shared" si="0"/>
        <v>122871.29969317951</v>
      </c>
      <c r="N9" s="32">
        <f t="shared" si="0"/>
        <v>133726.85237790478</v>
      </c>
      <c r="O9" s="32">
        <f t="shared" si="0"/>
        <v>150292.87758072215</v>
      </c>
      <c r="P9" s="32">
        <f t="shared" si="0"/>
        <v>170321.42580678698</v>
      </c>
      <c r="Q9" s="32">
        <f t="shared" si="0"/>
        <v>192214.5522408901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61</v>
      </c>
      <c r="B10" s="1" t="s">
        <v>44</v>
      </c>
      <c r="C10" s="18">
        <f>'Annual Balance Sheet'!C62</f>
        <v>6507.1237355621697</v>
      </c>
      <c r="D10" s="18">
        <f>'Annual Balance Sheet'!D62</f>
        <v>5614.1408370851605</v>
      </c>
      <c r="E10" s="18">
        <f>'Annual Balance Sheet'!E62</f>
        <v>7735.0749277000004</v>
      </c>
      <c r="F10" s="18">
        <f>'Annual Balance Sheet'!F62</f>
        <v>9664.4913061718016</v>
      </c>
      <c r="G10" s="18">
        <f>'Annual Balance Sheet'!G62</f>
        <v>8976.8872794880008</v>
      </c>
      <c r="H10" s="18">
        <f>'Annual Balance Sheet'!H62</f>
        <v>13044.901287252898</v>
      </c>
      <c r="I10" s="18">
        <f>'Annual Balance Sheet'!I62</f>
        <v>8661.3735723110003</v>
      </c>
      <c r="J10" s="18">
        <f>'Annual Balance Sheet'!J62</f>
        <v>7469.9120274289999</v>
      </c>
      <c r="K10" s="18">
        <f>'Annual Balance Sheet'!K62</f>
        <v>7927.1260000000002</v>
      </c>
      <c r="L10" s="18">
        <f>'Annual Balance Sheet'!L62</f>
        <v>7670.4000000000005</v>
      </c>
      <c r="M10" s="18">
        <f>'Annual Balance Sheet'!M62</f>
        <v>8476.0999999999985</v>
      </c>
      <c r="N10" s="32">
        <f>'Annual Balance Sheet'!N62</f>
        <v>10016.23161361209</v>
      </c>
      <c r="O10" s="32">
        <f>'Annual Balance Sheet'!O62</f>
        <v>11812.01165610201</v>
      </c>
      <c r="P10" s="32">
        <f>'Annual Balance Sheet'!P62</f>
        <v>13637.378774846116</v>
      </c>
      <c r="Q10" s="32">
        <f>'Annual Balance Sheet'!Q62</f>
        <v>15595.339648555404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499</v>
      </c>
      <c r="B11" s="1" t="s">
        <v>44</v>
      </c>
      <c r="C11" s="18">
        <f>'Annual Balance Sheet'!C60</f>
        <v>1002.2015826362644</v>
      </c>
      <c r="D11" s="18">
        <f>'Annual Balance Sheet'!D60</f>
        <v>1219.4356694000001</v>
      </c>
      <c r="E11" s="18">
        <f>'Annual Balance Sheet'!E60</f>
        <v>1725.9530795000001</v>
      </c>
      <c r="F11" s="18">
        <f>'Annual Balance Sheet'!F60</f>
        <v>1404.7000000000003</v>
      </c>
      <c r="G11" s="18">
        <f>'Annual Balance Sheet'!G60</f>
        <v>2428.1999999999998</v>
      </c>
      <c r="H11" s="18">
        <f>'Annual Balance Sheet'!H60</f>
        <v>1661.8</v>
      </c>
      <c r="I11" s="18">
        <f>'Annual Balance Sheet'!I60</f>
        <v>1581.7360922</v>
      </c>
      <c r="J11" s="18">
        <f>'Annual Balance Sheet'!J60</f>
        <v>1578.2</v>
      </c>
      <c r="K11" s="18">
        <f>'Annual Balance Sheet'!K60</f>
        <v>1531</v>
      </c>
      <c r="L11" s="18">
        <f>'Annual Balance Sheet'!L60</f>
        <v>471.40000000000003</v>
      </c>
      <c r="M11" s="18">
        <f>'Annual Balance Sheet'!M60</f>
        <v>69.600000000000009</v>
      </c>
      <c r="N11" s="32">
        <f>'Annual Balance Sheet'!N60</f>
        <v>69.600000000000009</v>
      </c>
      <c r="O11" s="32">
        <f>'Annual Balance Sheet'!O60</f>
        <v>69.600000000000009</v>
      </c>
      <c r="P11" s="32">
        <f>'Annual Balance Sheet'!P60</f>
        <v>69.600000000000009</v>
      </c>
      <c r="Q11" s="32">
        <f>'Annual Balance Sheet'!Q60</f>
        <v>69.600000000000009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3246</v>
      </c>
      <c r="B12" s="1" t="s">
        <v>44</v>
      </c>
      <c r="C12" s="18">
        <f>'Annual Balance Sheet'!C61</f>
        <v>0</v>
      </c>
      <c r="D12" s="18">
        <f>'Annual Balance Sheet'!D61</f>
        <v>0</v>
      </c>
      <c r="E12" s="18">
        <f>'Annual Balance Sheet'!E61</f>
        <v>0</v>
      </c>
      <c r="F12" s="18">
        <f>'Annual Balance Sheet'!F61</f>
        <v>0</v>
      </c>
      <c r="G12" s="18">
        <f>'Annual Balance Sheet'!G61</f>
        <v>1199.8000000000002</v>
      </c>
      <c r="H12" s="18">
        <f>'Annual Balance Sheet'!H61</f>
        <v>1208</v>
      </c>
      <c r="I12" s="18">
        <f>'Annual Balance Sheet'!I61</f>
        <v>1036.7</v>
      </c>
      <c r="J12" s="18">
        <f>'Annual Balance Sheet'!J61</f>
        <v>1162</v>
      </c>
      <c r="K12" s="18">
        <f>'Annual Balance Sheet'!K61</f>
        <v>1005.7</v>
      </c>
      <c r="L12" s="18">
        <f>'Annual Balance Sheet'!L61</f>
        <v>1553.8000000000002</v>
      </c>
      <c r="M12" s="18">
        <f>'Annual Balance Sheet'!M61</f>
        <v>2116.6000000000004</v>
      </c>
      <c r="N12" s="32">
        <f>'Annual Balance Sheet'!N61</f>
        <v>2180.3305360550607</v>
      </c>
      <c r="O12" s="32">
        <f>'Annual Balance Sheet'!O61</f>
        <v>2251.7526369251041</v>
      </c>
      <c r="P12" s="32">
        <f>'Annual Balance Sheet'!P61</f>
        <v>2336.2826253172279</v>
      </c>
      <c r="Q12" s="32">
        <f>'Annual Balance Sheet'!Q61</f>
        <v>2436.4360015859979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3247</v>
      </c>
      <c r="B13" s="1" t="s">
        <v>44</v>
      </c>
      <c r="C13" s="18">
        <f t="shared" ref="C13:Q13" si="1">C9-C10+C11+C12</f>
        <v>36657.530639836696</v>
      </c>
      <c r="D13" s="18">
        <f t="shared" si="1"/>
        <v>36419.575800370949</v>
      </c>
      <c r="E13" s="18">
        <f t="shared" si="1"/>
        <v>50874.200298466982</v>
      </c>
      <c r="F13" s="18">
        <f t="shared" si="1"/>
        <v>61238.025510649728</v>
      </c>
      <c r="G13" s="18">
        <f t="shared" si="1"/>
        <v>44392.196711787896</v>
      </c>
      <c r="H13" s="18">
        <f t="shared" si="1"/>
        <v>77296.489659219616</v>
      </c>
      <c r="I13" s="18">
        <f t="shared" si="1"/>
        <v>126835.71028405296</v>
      </c>
      <c r="J13" s="18">
        <f t="shared" si="1"/>
        <v>92838.860968335779</v>
      </c>
      <c r="K13" s="18">
        <f t="shared" si="1"/>
        <v>105369.45130651786</v>
      </c>
      <c r="L13" s="18">
        <f t="shared" si="1"/>
        <v>120220.72462391334</v>
      </c>
      <c r="M13" s="18">
        <f t="shared" si="1"/>
        <v>116581.39969317953</v>
      </c>
      <c r="N13" s="32">
        <f t="shared" si="1"/>
        <v>125960.55130034775</v>
      </c>
      <c r="O13" s="32">
        <f t="shared" si="1"/>
        <v>140802.21856154528</v>
      </c>
      <c r="P13" s="32">
        <f t="shared" si="1"/>
        <v>159089.92965725809</v>
      </c>
      <c r="Q13" s="32">
        <f t="shared" si="1"/>
        <v>179125.2485939207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72</v>
      </c>
      <c r="B14" s="1" t="s">
        <v>73</v>
      </c>
      <c r="C14" s="21">
        <f>IFERROR(C7/'Annual P&amp;L'!C40,"")</f>
        <v>14.087557199935144</v>
      </c>
      <c r="D14" s="21">
        <f>IFERROR(D7/'Annual P&amp;L'!D40,"")</f>
        <v>14.509510120969507</v>
      </c>
      <c r="E14" s="21">
        <f>IFERROR(E7/'Annual P&amp;L'!E40,"")</f>
        <v>14.970260400247247</v>
      </c>
      <c r="F14" s="21">
        <f>IFERROR(F7/'Annual P&amp;L'!F40,"")</f>
        <v>16.171246755535769</v>
      </c>
      <c r="G14" s="21">
        <f>IFERROR(G7/'Annual P&amp;L'!G40,"")</f>
        <v>12.333696837513632</v>
      </c>
      <c r="H14" s="21">
        <f>IFERROR(H7/'Annual P&amp;L'!H40,"")</f>
        <v>19.753935290038481</v>
      </c>
      <c r="I14" s="21">
        <f>IFERROR(I7/'Annual P&amp;L'!I40,"")</f>
        <v>23.872790179459876</v>
      </c>
      <c r="J14" s="21">
        <f>IFERROR(J7/'Annual P&amp;L'!J40,"")</f>
        <v>20.195197499742257</v>
      </c>
      <c r="K14" s="21">
        <f>IFERROR(K7/'Annual P&amp;L'!K40,"")</f>
        <v>46.974029943016092</v>
      </c>
      <c r="L14" s="21">
        <f>IFERROR(L7/'Annual P&amp;L'!L40,"")</f>
        <v>29.604772078994866</v>
      </c>
      <c r="M14" s="21">
        <f>IFERROR(M7/'Annual P&amp;L'!M40,"")</f>
        <v>25.540191993940645</v>
      </c>
      <c r="N14" s="30">
        <f>IFERROR(N7/'Annual P&amp;L'!N40,"")</f>
        <v>22.5</v>
      </c>
      <c r="O14" s="30">
        <f>IFERROR(O7/'Annual P&amp;L'!O40,"")</f>
        <v>23</v>
      </c>
      <c r="P14" s="30">
        <f>IFERROR(P7/'Annual P&amp;L'!P40,"")</f>
        <v>23.5</v>
      </c>
      <c r="Q14" s="30">
        <f>IFERROR(Q7/'Annual P&amp;L'!Q40,"")</f>
        <v>24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74</v>
      </c>
      <c r="B15" s="1" t="s">
        <v>73</v>
      </c>
      <c r="C15" s="21">
        <f>IFERROR(C13/'Annual P&amp;L'!C15,"")</f>
        <v>8.5835142306293637</v>
      </c>
      <c r="D15" s="21">
        <f>IFERROR(D13/'Annual P&amp;L'!D15,"")</f>
        <v>8.7035829852127407</v>
      </c>
      <c r="E15" s="21">
        <f>IFERROR(E13/'Annual P&amp;L'!E15,"")</f>
        <v>10.802327347036334</v>
      </c>
      <c r="F15" s="21">
        <f>IFERROR(F13/'Annual P&amp;L'!F15,"")</f>
        <v>9.6636928309218924</v>
      </c>
      <c r="G15" s="21">
        <f>IFERROR(G13/'Annual P&amp;L'!G15,"")</f>
        <v>7.752688501036741</v>
      </c>
      <c r="H15" s="21">
        <f>IFERROR(H13/'Annual P&amp;L'!H15,"")</f>
        <v>11.289025715643493</v>
      </c>
      <c r="I15" s="21">
        <f>IFERROR(I13/'Annual P&amp;L'!I15,"")</f>
        <v>15.814958020371723</v>
      </c>
      <c r="J15" s="21">
        <f>IFERROR(J13/'Annual P&amp;L'!J15,"")</f>
        <v>11.563264558425308</v>
      </c>
      <c r="K15" s="21">
        <f>IFERROR(K13/'Annual P&amp;L'!K15,"")</f>
        <v>21.224161570051891</v>
      </c>
      <c r="L15" s="21">
        <f>IFERROR(L13/'Annual P&amp;L'!L15,"")</f>
        <v>17.196290837941039</v>
      </c>
      <c r="M15" s="21">
        <f>IFERROR(M13/'Annual P&amp;L'!M15,"")</f>
        <v>12.904595466687365</v>
      </c>
      <c r="N15" s="30">
        <f>IFERROR(N13/'Annual P&amp;L'!N15,"")</f>
        <v>12.953944604257194</v>
      </c>
      <c r="O15" s="30">
        <f>IFERROR(O13/'Annual P&amp;L'!O15,"")</f>
        <v>13.461532270464</v>
      </c>
      <c r="P15" s="30">
        <f>IFERROR(P13/'Annual P&amp;L'!P15,"")</f>
        <v>13.954232829969973</v>
      </c>
      <c r="Q15" s="30">
        <f>IFERROR(Q13/'Annual P&amp;L'!Q15,"")</f>
        <v>14.426862754548647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3248</v>
      </c>
      <c r="B16" s="1" t="s">
        <v>73</v>
      </c>
      <c r="C16" s="21">
        <f>IFERROR(C9/'Annual Balance Sheet'!C40,"")</f>
        <v>2.8938531892502306</v>
      </c>
      <c r="D16" s="21">
        <f>IFERROR(D9/'Annual Balance Sheet'!D40,"")</f>
        <v>2.4148548947629496</v>
      </c>
      <c r="E16" s="21">
        <f>IFERROR(E9/'Annual Balance Sheet'!E40,"")</f>
        <v>2.9394151178523353</v>
      </c>
      <c r="F16" s="21">
        <f>IFERROR(F9/'Annual Balance Sheet'!F40,"")</f>
        <v>3.3473348602404638</v>
      </c>
      <c r="G16" s="21">
        <f>IFERROR(G9/'Annual Balance Sheet'!G40,"")</f>
        <v>2.2399462549196483</v>
      </c>
      <c r="H16" s="21">
        <f>IFERROR(H9/'Annual Balance Sheet'!H40,"")</f>
        <v>3.4649776002990449</v>
      </c>
      <c r="I16" s="21">
        <f>IFERROR(I9/'Annual Balance Sheet'!I40,"")</f>
        <v>4.8529320122081501</v>
      </c>
      <c r="J16" s="21">
        <f>IFERROR(J9/'Annual Balance Sheet'!J40,"")</f>
        <v>3.4361543878176133</v>
      </c>
      <c r="K16" s="21">
        <f>IFERROR(K9/'Annual Balance Sheet'!K40,"")</f>
        <v>4.0800340793924033</v>
      </c>
      <c r="L16" s="21">
        <f>IFERROR(L9/'Annual Balance Sheet'!L40,"")</f>
        <v>4.5289034000767616</v>
      </c>
      <c r="M16" s="21">
        <f>IFERROR(M9/'Annual Balance Sheet'!M40,"")</f>
        <v>4.0852245800172726</v>
      </c>
      <c r="N16" s="30">
        <f>IFERROR(N9/'Annual Balance Sheet'!N40,"")</f>
        <v>4.2612413990975364</v>
      </c>
      <c r="O16" s="30">
        <f>IFERROR(O9/'Annual Balance Sheet'!O40,"")</f>
        <v>4.5807103948090111</v>
      </c>
      <c r="P16" s="30">
        <f>IFERROR(P9/'Annual Balance Sheet'!P40,"")</f>
        <v>4.9531956393627592</v>
      </c>
      <c r="Q16" s="30">
        <f>IFERROR(Q9/'Annual Balance Sheet'!Q40,"")</f>
        <v>5.3213389210447506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493</v>
      </c>
      <c r="B17" s="1" t="s">
        <v>57</v>
      </c>
      <c r="C17" s="35">
        <f>'Annual P&amp;L'!C44</f>
        <v>7.0348441083628073</v>
      </c>
      <c r="D17" s="35">
        <f>'Annual P&amp;L'!D44</f>
        <v>13.940278685293165</v>
      </c>
      <c r="E17" s="35">
        <f>'Annual P&amp;L'!E44</f>
        <v>10.597024274148865</v>
      </c>
      <c r="F17" s="35">
        <f>'Annual P&amp;L'!F44</f>
        <v>16.552652455675133</v>
      </c>
      <c r="G17" s="35">
        <f>'Annual P&amp;L'!G44</f>
        <v>28.327817508905415</v>
      </c>
      <c r="H17" s="35">
        <f>'Annual P&amp;L'!H44</f>
        <v>19.941474910338815</v>
      </c>
      <c r="I17" s="35">
        <f>'Annual P&amp;L'!I44</f>
        <v>44.920854190347924</v>
      </c>
      <c r="J17" s="35">
        <f>'Annual P&amp;L'!J44</f>
        <v>48.145833870803479</v>
      </c>
      <c r="K17" s="35">
        <f>'Annual P&amp;L'!K44</f>
        <v>44.138795773859407</v>
      </c>
      <c r="L17" s="35">
        <f>'Annual P&amp;L'!L44</f>
        <v>43.289181454635035</v>
      </c>
      <c r="M17" s="35">
        <f>'Annual P&amp;L'!M44</f>
        <v>45.342500762277346</v>
      </c>
      <c r="N17" s="37">
        <f>'Annual P&amp;L'!N44</f>
        <v>53.556443502733174</v>
      </c>
      <c r="O17" s="37">
        <f>'Annual P&amp;L'!O44</f>
        <v>58.882492944597757</v>
      </c>
      <c r="P17" s="37">
        <f>'Annual P&amp;L'!P44</f>
        <v>65.309603443802388</v>
      </c>
      <c r="Q17" s="37">
        <f>'Annual P&amp;L'!Q44</f>
        <v>72.168993346610009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75</v>
      </c>
      <c r="B18" s="1" t="s">
        <v>46</v>
      </c>
      <c r="C18" s="19">
        <f t="shared" ref="C18:Q18" si="2">IFERROR(C17/C7,"")</f>
        <v>1.4811756874524115E-2</v>
      </c>
      <c r="D18" s="19">
        <f t="shared" si="2"/>
        <v>3.0361056017864194E-2</v>
      </c>
      <c r="E18" s="19">
        <f t="shared" si="2"/>
        <v>1.6591551701292118E-2</v>
      </c>
      <c r="F18" s="19">
        <f t="shared" si="2"/>
        <v>2.1449594653154415E-2</v>
      </c>
      <c r="G18" s="19">
        <f t="shared" si="2"/>
        <v>5.0093399662078542E-2</v>
      </c>
      <c r="H18" s="19">
        <f t="shared" si="2"/>
        <v>2.0113444616282585E-2</v>
      </c>
      <c r="I18" s="19">
        <f t="shared" si="2"/>
        <v>2.9958221783421737E-2</v>
      </c>
      <c r="J18" s="19">
        <f t="shared" si="2"/>
        <v>4.3695453044958026E-2</v>
      </c>
      <c r="K18" s="19">
        <f t="shared" si="2"/>
        <v>3.5364791793331983E-2</v>
      </c>
      <c r="L18" s="19">
        <f t="shared" si="2"/>
        <v>3.0522955370798542E-2</v>
      </c>
      <c r="M18" s="19">
        <f t="shared" si="2"/>
        <v>3.2761922516096345E-2</v>
      </c>
      <c r="N18" s="28">
        <f t="shared" si="2"/>
        <v>3.5555555555555556E-2</v>
      </c>
      <c r="O18" s="28">
        <f t="shared" si="2"/>
        <v>3.4782608695652174E-2</v>
      </c>
      <c r="P18" s="28">
        <f t="shared" si="2"/>
        <v>3.4042553191489362E-2</v>
      </c>
      <c r="Q18" s="28">
        <f t="shared" si="2"/>
        <v>3.3333333333333333E-2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3249</v>
      </c>
      <c r="B19" s="1" t="s">
        <v>73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0">
        <f>Assumptions!C44</f>
        <v>22.5</v>
      </c>
      <c r="O19" s="30">
        <f>Assumptions!D44</f>
        <v>23</v>
      </c>
      <c r="P19" s="30">
        <f>Assumptions!E44</f>
        <v>23.5</v>
      </c>
      <c r="Q19" s="30">
        <f>Assumptions!F44</f>
        <v>24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3250</v>
      </c>
      <c r="B20" s="1" t="s">
        <v>57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1">
        <f>N7</f>
        <v>1506.2749735143705</v>
      </c>
      <c r="O20" s="41">
        <f>O7</f>
        <v>1692.8716721571855</v>
      </c>
      <c r="P20" s="41">
        <f>P7</f>
        <v>1918.469601161695</v>
      </c>
      <c r="Q20" s="41">
        <f>Q7</f>
        <v>2165.0698003983002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3251</v>
      </c>
      <c r="B21" s="1" t="s">
        <v>46</v>
      </c>
      <c r="C21" s="1"/>
      <c r="D21" s="19">
        <f t="shared" ref="D21:Q21" si="3">IFERROR(D7/C7-1,"")</f>
        <v>-3.3266697345950669E-2</v>
      </c>
      <c r="E21" s="19">
        <f t="shared" si="3"/>
        <v>0.39104872198043972</v>
      </c>
      <c r="F21" s="19">
        <f t="shared" si="3"/>
        <v>0.20823547433546752</v>
      </c>
      <c r="G21" s="19">
        <f t="shared" si="3"/>
        <v>-0.26720229227068104</v>
      </c>
      <c r="H21" s="19">
        <f t="shared" si="3"/>
        <v>0.75322725412383962</v>
      </c>
      <c r="I21" s="19">
        <f t="shared" si="3"/>
        <v>0.51238078845145529</v>
      </c>
      <c r="J21" s="19">
        <f t="shared" si="3"/>
        <v>-0.26516388578038141</v>
      </c>
      <c r="K21" s="19">
        <f t="shared" si="3"/>
        <v>0.13273131845578856</v>
      </c>
      <c r="L21" s="19">
        <f t="shared" si="3"/>
        <v>0.13632723959808057</v>
      </c>
      <c r="M21" s="19">
        <f t="shared" si="3"/>
        <v>-2.414947999294903E-2</v>
      </c>
      <c r="N21" s="28">
        <f t="shared" si="3"/>
        <v>8.8348969302290747E-2</v>
      </c>
      <c r="O21" s="28">
        <f t="shared" si="3"/>
        <v>0.12387957174078013</v>
      </c>
      <c r="P21" s="28">
        <f t="shared" si="3"/>
        <v>0.13326345565050168</v>
      </c>
      <c r="Q21" s="28">
        <f t="shared" si="3"/>
        <v>0.12854006083144665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6"/>
      <c r="O22" s="36"/>
      <c r="P22" s="36"/>
      <c r="Q22" s="3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6"/>
      <c r="O23" s="36"/>
      <c r="P23" s="36"/>
      <c r="Q23" s="3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6"/>
      <c r="O24" s="36"/>
      <c r="P24" s="36"/>
      <c r="Q24" s="3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6"/>
      <c r="O25" s="36"/>
      <c r="P25" s="36"/>
      <c r="Q25" s="36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6"/>
      <c r="O26" s="36"/>
      <c r="P26" s="36"/>
      <c r="Q26" s="3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6"/>
      <c r="O27" s="36"/>
      <c r="P27" s="36"/>
      <c r="Q27" s="3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6"/>
      <c r="O28" s="36"/>
      <c r="P28" s="36"/>
      <c r="Q28" s="3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6"/>
      <c r="O29" s="36"/>
      <c r="P29" s="36"/>
      <c r="Q29" s="36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6"/>
      <c r="O30" s="36"/>
      <c r="P30" s="36"/>
      <c r="Q30" s="3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6"/>
      <c r="O31" s="36"/>
      <c r="P31" s="36"/>
      <c r="Q31" s="3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6"/>
      <c r="O32" s="36"/>
      <c r="P32" s="36"/>
      <c r="Q32" s="36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6"/>
      <c r="O33" s="36"/>
      <c r="P33" s="36"/>
      <c r="Q33" s="3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6"/>
      <c r="O34" s="36"/>
      <c r="P34" s="36"/>
      <c r="Q34" s="3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6"/>
      <c r="O35" s="36"/>
      <c r="P35" s="36"/>
      <c r="Q35" s="3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6"/>
      <c r="O36" s="36"/>
      <c r="P36" s="36"/>
      <c r="Q36" s="3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6"/>
      <c r="O37" s="36"/>
      <c r="P37" s="36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6"/>
      <c r="O38" s="36"/>
      <c r="P38" s="36"/>
      <c r="Q38" s="3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6"/>
      <c r="O39" s="36"/>
      <c r="P39" s="36"/>
      <c r="Q39" s="3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6"/>
      <c r="O40" s="36"/>
      <c r="P40" s="36"/>
      <c r="Q40" s="3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6"/>
      <c r="O41" s="36"/>
      <c r="P41" s="36"/>
      <c r="Q41" s="3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6"/>
      <c r="O42" s="36"/>
      <c r="P42" s="36"/>
      <c r="Q42" s="3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6"/>
      <c r="O43" s="36"/>
      <c r="P43" s="36"/>
      <c r="Q43" s="3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6"/>
      <c r="O44" s="36"/>
      <c r="P44" s="36"/>
      <c r="Q44" s="3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6"/>
      <c r="O45" s="36"/>
      <c r="P45" s="36"/>
      <c r="Q45" s="3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6"/>
      <c r="O46" s="36"/>
      <c r="P46" s="36"/>
      <c r="Q46" s="3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6"/>
      <c r="O47" s="36"/>
      <c r="P47" s="36"/>
      <c r="Q47" s="3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6"/>
      <c r="O48" s="36"/>
      <c r="P48" s="36"/>
      <c r="Q48" s="3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6"/>
      <c r="O49" s="36"/>
      <c r="P49" s="36"/>
      <c r="Q49" s="3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6"/>
      <c r="O50" s="36"/>
      <c r="P50" s="36"/>
      <c r="Q50" s="3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6"/>
      <c r="O51" s="36"/>
      <c r="P51" s="36"/>
      <c r="Q51" s="3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6"/>
      <c r="O52" s="36"/>
      <c r="P52" s="36"/>
      <c r="Q52" s="3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6"/>
      <c r="O53" s="36"/>
      <c r="P53" s="36"/>
      <c r="Q53" s="3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6"/>
      <c r="O54" s="36"/>
      <c r="P54" s="36"/>
      <c r="Q54" s="3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6"/>
      <c r="O55" s="36"/>
      <c r="P55" s="36"/>
      <c r="Q55" s="3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6"/>
      <c r="O56" s="36"/>
      <c r="P56" s="36"/>
      <c r="Q56" s="3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6"/>
      <c r="O57" s="36"/>
      <c r="P57" s="36"/>
      <c r="Q57" s="3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6"/>
      <c r="O58" s="36"/>
      <c r="P58" s="36"/>
      <c r="Q58" s="3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6"/>
      <c r="O59" s="36"/>
      <c r="P59" s="36"/>
      <c r="Q59" s="3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6"/>
      <c r="O60" s="36"/>
      <c r="P60" s="36"/>
      <c r="Q60" s="3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6"/>
      <c r="O61" s="36"/>
      <c r="P61" s="36"/>
      <c r="Q61" s="3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6"/>
      <c r="O62" s="36"/>
      <c r="P62" s="36"/>
      <c r="Q62" s="3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6"/>
      <c r="O63" s="36"/>
      <c r="P63" s="36"/>
      <c r="Q63" s="3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6"/>
      <c r="O64" s="36"/>
      <c r="P64" s="36"/>
      <c r="Q64" s="3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6"/>
      <c r="O65" s="36"/>
      <c r="P65" s="36"/>
      <c r="Q65" s="3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6"/>
      <c r="O66" s="36"/>
      <c r="P66" s="36"/>
      <c r="Q66" s="3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6"/>
      <c r="O67" s="36"/>
      <c r="P67" s="36"/>
      <c r="Q67" s="3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6"/>
      <c r="O68" s="36"/>
      <c r="P68" s="36"/>
      <c r="Q68" s="3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6"/>
      <c r="O69" s="36"/>
      <c r="P69" s="36"/>
      <c r="Q69" s="3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6"/>
      <c r="O70" s="36"/>
      <c r="P70" s="36"/>
      <c r="Q70" s="3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6"/>
      <c r="O71" s="36"/>
      <c r="P71" s="36"/>
      <c r="Q71" s="3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6"/>
      <c r="O72" s="36"/>
      <c r="P72" s="36"/>
      <c r="Q72" s="3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6"/>
      <c r="O73" s="36"/>
      <c r="P73" s="36"/>
      <c r="Q73" s="3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6"/>
      <c r="O74" s="36"/>
      <c r="P74" s="36"/>
      <c r="Q74" s="3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6"/>
      <c r="O75" s="36"/>
      <c r="P75" s="36"/>
      <c r="Q75" s="3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6"/>
      <c r="O76" s="36"/>
      <c r="P76" s="36"/>
      <c r="Q76" s="3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6"/>
      <c r="O77" s="36"/>
      <c r="P77" s="36"/>
      <c r="Q77" s="3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6"/>
      <c r="O78" s="36"/>
      <c r="P78" s="36"/>
      <c r="Q78" s="3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6"/>
      <c r="O79" s="36"/>
      <c r="P79" s="36"/>
      <c r="Q79" s="3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6"/>
      <c r="O80" s="36"/>
      <c r="P80" s="36"/>
      <c r="Q80" s="3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6"/>
      <c r="O81" s="36"/>
      <c r="P81" s="36"/>
      <c r="Q81" s="3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6"/>
      <c r="O82" s="36"/>
      <c r="P82" s="36"/>
      <c r="Q82" s="3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6"/>
      <c r="O83" s="36"/>
      <c r="P83" s="36"/>
      <c r="Q83" s="3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6"/>
      <c r="O84" s="36"/>
      <c r="P84" s="36"/>
      <c r="Q84" s="3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6"/>
      <c r="O85" s="36"/>
      <c r="P85" s="36"/>
      <c r="Q85" s="3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6"/>
      <c r="O86" s="36"/>
      <c r="P86" s="36"/>
      <c r="Q86" s="3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6"/>
      <c r="O87" s="36"/>
      <c r="P87" s="36"/>
      <c r="Q87" s="3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6"/>
      <c r="O88" s="36"/>
      <c r="P88" s="36"/>
      <c r="Q88" s="3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6"/>
      <c r="O89" s="36"/>
      <c r="P89" s="36"/>
      <c r="Q89" s="3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6"/>
      <c r="O90" s="36"/>
      <c r="P90" s="36"/>
      <c r="Q90" s="3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6"/>
      <c r="O91" s="36"/>
      <c r="P91" s="36"/>
      <c r="Q91" s="3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6"/>
      <c r="O92" s="36"/>
      <c r="P92" s="36"/>
      <c r="Q92" s="3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6"/>
      <c r="O93" s="36"/>
      <c r="P93" s="36"/>
      <c r="Q93" s="3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6"/>
      <c r="O94" s="36"/>
      <c r="P94" s="36"/>
      <c r="Q94" s="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6"/>
      <c r="O95" s="36"/>
      <c r="P95" s="36"/>
      <c r="Q95" s="3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6"/>
      <c r="O96" s="36"/>
      <c r="P96" s="36"/>
      <c r="Q96" s="3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6"/>
      <c r="O97" s="36"/>
      <c r="P97" s="36"/>
      <c r="Q97" s="3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6"/>
      <c r="O98" s="36"/>
      <c r="P98" s="36"/>
      <c r="Q98" s="3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6"/>
      <c r="O99" s="36"/>
      <c r="P99" s="36"/>
      <c r="Q99" s="3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6"/>
      <c r="O100" s="36"/>
      <c r="P100" s="36"/>
      <c r="Q100" s="3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6"/>
      <c r="O101" s="36"/>
      <c r="P101" s="36"/>
      <c r="Q101" s="3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6"/>
      <c r="O102" s="36"/>
      <c r="P102" s="36"/>
      <c r="Q102" s="3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6"/>
      <c r="O103" s="36"/>
      <c r="P103" s="36"/>
      <c r="Q103" s="3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6"/>
      <c r="O104" s="36"/>
      <c r="P104" s="36"/>
      <c r="Q104" s="3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6"/>
      <c r="O105" s="36"/>
      <c r="P105" s="36"/>
      <c r="Q105" s="3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6"/>
      <c r="O106" s="36"/>
      <c r="P106" s="36"/>
      <c r="Q106" s="3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6"/>
      <c r="O107" s="36"/>
      <c r="P107" s="36"/>
      <c r="Q107" s="3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6"/>
      <c r="O108" s="36"/>
      <c r="P108" s="36"/>
      <c r="Q108" s="3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6"/>
      <c r="O109" s="36"/>
      <c r="P109" s="36"/>
      <c r="Q109" s="3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6"/>
      <c r="O110" s="36"/>
      <c r="P110" s="36"/>
      <c r="Q110" s="3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6"/>
      <c r="O111" s="36"/>
      <c r="P111" s="36"/>
      <c r="Q111" s="3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6"/>
      <c r="O112" s="36"/>
      <c r="P112" s="36"/>
      <c r="Q112" s="3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6"/>
      <c r="O113" s="36"/>
      <c r="P113" s="36"/>
      <c r="Q113" s="3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6"/>
      <c r="O114" s="36"/>
      <c r="P114" s="36"/>
      <c r="Q114" s="3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6"/>
      <c r="O115" s="36"/>
      <c r="P115" s="36"/>
      <c r="Q115" s="3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6"/>
      <c r="O116" s="36"/>
      <c r="P116" s="36"/>
      <c r="Q116" s="3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6"/>
      <c r="O117" s="36"/>
      <c r="P117" s="36"/>
      <c r="Q117" s="3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6"/>
      <c r="O118" s="36"/>
      <c r="P118" s="36"/>
      <c r="Q118" s="3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6"/>
      <c r="O119" s="36"/>
      <c r="P119" s="36"/>
      <c r="Q119" s="3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6"/>
      <c r="O120" s="36"/>
      <c r="P120" s="36"/>
      <c r="Q120" s="3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6"/>
      <c r="O121" s="36"/>
      <c r="P121" s="36"/>
      <c r="Q121" s="3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6"/>
      <c r="O122" s="36"/>
      <c r="P122" s="36"/>
      <c r="Q122" s="3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6"/>
      <c r="O123" s="36"/>
      <c r="P123" s="36"/>
      <c r="Q123" s="3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6"/>
      <c r="O124" s="36"/>
      <c r="P124" s="36"/>
      <c r="Q124" s="3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6"/>
      <c r="O125" s="36"/>
      <c r="P125" s="36"/>
      <c r="Q125" s="3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6"/>
      <c r="O126" s="36"/>
      <c r="P126" s="36"/>
      <c r="Q126" s="3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6"/>
      <c r="O127" s="36"/>
      <c r="P127" s="36"/>
      <c r="Q127" s="3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6"/>
      <c r="O128" s="36"/>
      <c r="P128" s="36"/>
      <c r="Q128" s="3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6"/>
      <c r="O129" s="36"/>
      <c r="P129" s="36"/>
      <c r="Q129" s="3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6"/>
      <c r="O130" s="36"/>
      <c r="P130" s="36"/>
      <c r="Q130" s="3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6"/>
      <c r="O131" s="36"/>
      <c r="P131" s="36"/>
      <c r="Q131" s="3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6"/>
      <c r="O132" s="36"/>
      <c r="P132" s="36"/>
      <c r="Q132" s="3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6"/>
      <c r="O133" s="36"/>
      <c r="P133" s="36"/>
      <c r="Q133" s="3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6"/>
      <c r="O134" s="36"/>
      <c r="P134" s="36"/>
      <c r="Q134" s="3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6"/>
      <c r="O135" s="36"/>
      <c r="P135" s="36"/>
      <c r="Q135" s="3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6"/>
      <c r="O136" s="36"/>
      <c r="P136" s="36"/>
      <c r="Q136" s="3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6"/>
      <c r="O137" s="36"/>
      <c r="P137" s="36"/>
      <c r="Q137" s="3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6"/>
      <c r="O138" s="36"/>
      <c r="P138" s="36"/>
      <c r="Q138" s="3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6"/>
      <c r="O139" s="36"/>
      <c r="P139" s="36"/>
      <c r="Q139" s="3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6"/>
      <c r="O140" s="36"/>
      <c r="P140" s="36"/>
      <c r="Q140" s="3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6"/>
      <c r="O141" s="36"/>
      <c r="P141" s="36"/>
      <c r="Q141" s="3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6"/>
      <c r="O142" s="36"/>
      <c r="P142" s="36"/>
      <c r="Q142" s="3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6"/>
      <c r="O143" s="36"/>
      <c r="P143" s="36"/>
      <c r="Q143" s="3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6"/>
      <c r="O144" s="36"/>
      <c r="P144" s="36"/>
      <c r="Q144" s="3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6"/>
      <c r="O145" s="36"/>
      <c r="P145" s="36"/>
      <c r="Q145" s="3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6"/>
      <c r="O146" s="36"/>
      <c r="P146" s="36"/>
      <c r="Q146" s="3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6"/>
      <c r="O147" s="36"/>
      <c r="P147" s="36"/>
      <c r="Q147" s="3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6"/>
      <c r="O148" s="36"/>
      <c r="P148" s="36"/>
      <c r="Q148" s="3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6"/>
      <c r="O149" s="36"/>
      <c r="P149" s="36"/>
      <c r="Q149" s="3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6"/>
      <c r="O150" s="36"/>
      <c r="P150" s="36"/>
      <c r="Q150" s="3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6"/>
      <c r="O151" s="36"/>
      <c r="P151" s="36"/>
      <c r="Q151" s="3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6"/>
      <c r="O152" s="36"/>
      <c r="P152" s="36"/>
      <c r="Q152" s="3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6"/>
      <c r="O153" s="36"/>
      <c r="P153" s="36"/>
      <c r="Q153" s="3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6"/>
      <c r="O154" s="36"/>
      <c r="P154" s="36"/>
      <c r="Q154" s="3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6"/>
      <c r="O155" s="36"/>
      <c r="P155" s="36"/>
      <c r="Q155" s="3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6"/>
      <c r="O156" s="36"/>
      <c r="P156" s="36"/>
      <c r="Q156" s="3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6"/>
      <c r="O157" s="36"/>
      <c r="P157" s="36"/>
      <c r="Q157" s="3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6"/>
      <c r="O158" s="36"/>
      <c r="P158" s="36"/>
      <c r="Q158" s="3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6"/>
      <c r="O159" s="36"/>
      <c r="P159" s="36"/>
      <c r="Q159" s="3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6"/>
      <c r="O160" s="36"/>
      <c r="P160" s="36"/>
      <c r="Q160" s="3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6"/>
      <c r="O161" s="36"/>
      <c r="P161" s="36"/>
      <c r="Q161" s="3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6"/>
      <c r="O162" s="36"/>
      <c r="P162" s="36"/>
      <c r="Q162" s="3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6"/>
      <c r="O163" s="36"/>
      <c r="P163" s="36"/>
      <c r="Q163" s="3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6"/>
      <c r="O164" s="36"/>
      <c r="P164" s="36"/>
      <c r="Q164" s="3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6"/>
      <c r="O165" s="36"/>
      <c r="P165" s="36"/>
      <c r="Q165" s="3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6"/>
      <c r="O166" s="36"/>
      <c r="P166" s="36"/>
      <c r="Q166" s="3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6"/>
      <c r="O167" s="36"/>
      <c r="P167" s="36"/>
      <c r="Q167" s="3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6"/>
      <c r="O168" s="36"/>
      <c r="P168" s="36"/>
      <c r="Q168" s="3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6"/>
      <c r="O169" s="36"/>
      <c r="P169" s="36"/>
      <c r="Q169" s="3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6"/>
      <c r="O170" s="36"/>
      <c r="P170" s="36"/>
      <c r="Q170" s="3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6"/>
      <c r="O171" s="36"/>
      <c r="P171" s="36"/>
      <c r="Q171" s="3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6"/>
      <c r="O172" s="36"/>
      <c r="P172" s="36"/>
      <c r="Q172" s="3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6"/>
      <c r="O173" s="36"/>
      <c r="P173" s="36"/>
      <c r="Q173" s="3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6"/>
      <c r="O174" s="36"/>
      <c r="P174" s="36"/>
      <c r="Q174" s="3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6"/>
      <c r="O175" s="36"/>
      <c r="P175" s="36"/>
      <c r="Q175" s="3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6"/>
      <c r="O176" s="36"/>
      <c r="P176" s="36"/>
      <c r="Q176" s="3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6"/>
      <c r="O177" s="36"/>
      <c r="P177" s="36"/>
      <c r="Q177" s="3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6"/>
      <c r="O178" s="36"/>
      <c r="P178" s="36"/>
      <c r="Q178" s="3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6"/>
      <c r="O179" s="36"/>
      <c r="P179" s="36"/>
      <c r="Q179" s="3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6"/>
      <c r="O180" s="36"/>
      <c r="P180" s="36"/>
      <c r="Q180" s="3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6"/>
      <c r="O181" s="36"/>
      <c r="P181" s="36"/>
      <c r="Q181" s="3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6"/>
      <c r="O182" s="36"/>
      <c r="P182" s="36"/>
      <c r="Q182" s="3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6"/>
      <c r="O183" s="36"/>
      <c r="P183" s="36"/>
      <c r="Q183" s="3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6"/>
      <c r="O184" s="36"/>
      <c r="P184" s="36"/>
      <c r="Q184" s="3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6"/>
      <c r="O185" s="36"/>
      <c r="P185" s="36"/>
      <c r="Q185" s="3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6"/>
      <c r="O186" s="36"/>
      <c r="P186" s="36"/>
      <c r="Q186" s="3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6"/>
      <c r="O187" s="36"/>
      <c r="P187" s="36"/>
      <c r="Q187" s="3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6"/>
      <c r="O188" s="36"/>
      <c r="P188" s="36"/>
      <c r="Q188" s="3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6"/>
      <c r="O189" s="36"/>
      <c r="P189" s="36"/>
      <c r="Q189" s="3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6"/>
      <c r="O190" s="36"/>
      <c r="P190" s="36"/>
      <c r="Q190" s="3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6"/>
      <c r="O191" s="36"/>
      <c r="P191" s="36"/>
      <c r="Q191" s="3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6"/>
      <c r="O192" s="36"/>
      <c r="P192" s="36"/>
      <c r="Q192" s="3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6"/>
      <c r="O193" s="36"/>
      <c r="P193" s="36"/>
      <c r="Q193" s="3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6"/>
      <c r="O194" s="36"/>
      <c r="P194" s="36"/>
      <c r="Q194" s="3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6"/>
      <c r="O195" s="36"/>
      <c r="P195" s="36"/>
      <c r="Q195" s="3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6"/>
      <c r="O196" s="36"/>
      <c r="P196" s="36"/>
      <c r="Q196" s="3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6"/>
      <c r="O197" s="36"/>
      <c r="P197" s="36"/>
      <c r="Q197" s="3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6"/>
      <c r="O198" s="36"/>
      <c r="P198" s="36"/>
      <c r="Q198" s="3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6"/>
      <c r="O199" s="36"/>
      <c r="P199" s="36"/>
      <c r="Q199" s="3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6"/>
      <c r="O200" s="36"/>
      <c r="P200" s="36"/>
      <c r="Q200" s="3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300"/>
  <sheetViews>
    <sheetView showGridLines="0" workbookViewId="0"/>
  </sheetViews>
  <sheetFormatPr defaultRowHeight="13.8"/>
  <cols>
    <col min="1" max="1" width="45" customWidth="1"/>
    <col min="2" max="2" width="12" customWidth="1"/>
    <col min="3" max="5" width="16" customWidth="1"/>
    <col min="6" max="6" width="12" customWidth="1"/>
  </cols>
  <sheetData>
    <row r="1" spans="1:46" ht="25.95" customHeight="1">
      <c r="A1" s="68" t="s">
        <v>3252</v>
      </c>
      <c r="B1" s="68"/>
      <c r="C1" s="68"/>
      <c r="D1" s="68"/>
      <c r="E1" s="68"/>
      <c r="F1" s="6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9" t="s">
        <v>3253</v>
      </c>
      <c r="B2" s="69"/>
      <c r="C2" s="69"/>
      <c r="D2" s="69"/>
      <c r="E2" s="69"/>
      <c r="F2" s="6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6" t="s">
        <v>3254</v>
      </c>
      <c r="B5" s="6" t="s">
        <v>81</v>
      </c>
      <c r="C5" s="6" t="s">
        <v>3255</v>
      </c>
      <c r="D5" s="6" t="s">
        <v>3256</v>
      </c>
      <c r="E5" s="6" t="s">
        <v>3257</v>
      </c>
      <c r="F5" s="6" t="s">
        <v>3258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9" t="s">
        <v>3259</v>
      </c>
      <c r="B6" s="44" t="str">
        <f>IF(COUNTIF(B7:B230,"FAIL")=0,"OK","REVIEW")</f>
        <v>OK</v>
      </c>
      <c r="C6" s="9"/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3260</v>
      </c>
      <c r="B7" s="18" t="str">
        <f t="shared" ref="B7:B70" si="0">IF(ABS(E7)&lt;=F7,"OK","FAIL")</f>
        <v>OK</v>
      </c>
      <c r="C7" s="18">
        <f>'Annual Balance Sheet'!C35</f>
        <v>23507.012797857806</v>
      </c>
      <c r="D7" s="18">
        <f>'Annual Balance Sheet'!C58</f>
        <v>23506.954745938216</v>
      </c>
      <c r="E7" s="18">
        <f t="shared" ref="E7:E70" si="1">C7-D7</f>
        <v>5.8051919590070611E-2</v>
      </c>
      <c r="F7" s="1">
        <v>0.5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3261</v>
      </c>
      <c r="B8" s="18" t="str">
        <f t="shared" si="0"/>
        <v>OK</v>
      </c>
      <c r="C8" s="18">
        <f>'Annual Cash Flow'!C85+'Annual Cash Flow'!C87</f>
        <v>4013.8061358907798</v>
      </c>
      <c r="D8" s="18">
        <f>'Annual Cash Flow'!C86</f>
        <v>4013.8061358907798</v>
      </c>
      <c r="E8" s="18">
        <f t="shared" si="1"/>
        <v>0</v>
      </c>
      <c r="F8" s="1">
        <v>0.5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3262</v>
      </c>
      <c r="B9" s="18" t="str">
        <f t="shared" si="0"/>
        <v>OK</v>
      </c>
      <c r="C9" s="18">
        <f>'Annual Balance Sheet'!D35</f>
        <v>26066.5</v>
      </c>
      <c r="D9" s="18">
        <f>'Annual Balance Sheet'!D58</f>
        <v>26066.497456500001</v>
      </c>
      <c r="E9" s="18">
        <f t="shared" si="1"/>
        <v>2.5434999988647178E-3</v>
      </c>
      <c r="F9" s="1">
        <v>0.5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3263</v>
      </c>
      <c r="B10" s="18" t="str">
        <f t="shared" si="0"/>
        <v>OK</v>
      </c>
      <c r="C10" s="18">
        <f>'Annual Cash Flow'!D85+'Annual Cash Flow'!D87</f>
        <v>2001.2741679999999</v>
      </c>
      <c r="D10" s="18">
        <f>'Annual Cash Flow'!D86</f>
        <v>2001.2741679999999</v>
      </c>
      <c r="E10" s="18">
        <f t="shared" si="1"/>
        <v>0</v>
      </c>
      <c r="F10" s="1">
        <v>0.5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3264</v>
      </c>
      <c r="B11" s="18" t="str">
        <f t="shared" si="0"/>
        <v>OK</v>
      </c>
      <c r="C11" s="18">
        <f>'Annual Balance Sheet'!E35</f>
        <v>30437.18221915227</v>
      </c>
      <c r="D11" s="18">
        <f>'Annual Balance Sheet'!E58</f>
        <v>30437.227020300001</v>
      </c>
      <c r="E11" s="18">
        <f t="shared" si="1"/>
        <v>-4.480114773105015E-2</v>
      </c>
      <c r="F11" s="1">
        <v>0.5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3265</v>
      </c>
      <c r="B12" s="18" t="str">
        <f t="shared" si="0"/>
        <v>OK</v>
      </c>
      <c r="C12" s="18">
        <f>'Annual Cash Flow'!E85+'Annual Cash Flow'!E87</f>
        <v>1966.0826939000003</v>
      </c>
      <c r="D12" s="18">
        <f>'Annual Cash Flow'!E86</f>
        <v>1966.0826939000003</v>
      </c>
      <c r="E12" s="18">
        <f t="shared" si="1"/>
        <v>0</v>
      </c>
      <c r="F12" s="1">
        <v>0.5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3266</v>
      </c>
      <c r="B13" s="18" t="str">
        <f t="shared" si="0"/>
        <v>OK</v>
      </c>
      <c r="C13" s="18">
        <f>'Annual Balance Sheet'!F35</f>
        <v>33446.851252524059</v>
      </c>
      <c r="D13" s="18">
        <f>'Annual Balance Sheet'!F58</f>
        <v>33446.9345693</v>
      </c>
      <c r="E13" s="18">
        <f t="shared" si="1"/>
        <v>-8.3316775941057131E-2</v>
      </c>
      <c r="F13" s="1">
        <v>0.5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3267</v>
      </c>
      <c r="B14" s="18" t="str">
        <f t="shared" si="0"/>
        <v>OK</v>
      </c>
      <c r="C14" s="18">
        <f>'Annual Cash Flow'!F85+'Annual Cash Flow'!F87</f>
        <v>2042.7</v>
      </c>
      <c r="D14" s="18">
        <f>'Annual Cash Flow'!F86</f>
        <v>2042.7</v>
      </c>
      <c r="E14" s="18">
        <f t="shared" si="1"/>
        <v>0</v>
      </c>
      <c r="F14" s="1">
        <v>0.5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3268</v>
      </c>
      <c r="B15" s="18" t="str">
        <f t="shared" si="0"/>
        <v>OK</v>
      </c>
      <c r="C15" s="18">
        <f>'Annual Balance Sheet'!G35</f>
        <v>37353.510161108003</v>
      </c>
      <c r="D15" s="18">
        <f>'Annual Balance Sheet'!G58</f>
        <v>37353.4738727</v>
      </c>
      <c r="E15" s="18">
        <f t="shared" si="1"/>
        <v>3.6288408002292272E-2</v>
      </c>
      <c r="F15" s="1">
        <v>0.5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3269</v>
      </c>
      <c r="B16" s="18" t="str">
        <f t="shared" si="0"/>
        <v>OK</v>
      </c>
      <c r="C16" s="18">
        <f>'Annual Cash Flow'!G85+'Annual Cash Flow'!G87</f>
        <v>3016.7000000000003</v>
      </c>
      <c r="D16" s="18">
        <f>'Annual Cash Flow'!G86</f>
        <v>3016.7000000000003</v>
      </c>
      <c r="E16" s="18">
        <f t="shared" si="1"/>
        <v>0</v>
      </c>
      <c r="F16" s="1">
        <v>0.5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3270</v>
      </c>
      <c r="B17" s="18" t="str">
        <f t="shared" si="0"/>
        <v>OK</v>
      </c>
      <c r="C17" s="18">
        <f>'Annual Balance Sheet'!H35</f>
        <v>39678.014190232905</v>
      </c>
      <c r="D17" s="18">
        <f>'Annual Balance Sheet'!H58</f>
        <v>39677.989586000003</v>
      </c>
      <c r="E17" s="18">
        <f t="shared" si="1"/>
        <v>2.4604232901765499E-2</v>
      </c>
      <c r="F17" s="1">
        <v>0.5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3271</v>
      </c>
      <c r="B18" s="18" t="str">
        <f t="shared" si="0"/>
        <v>OK</v>
      </c>
      <c r="C18" s="18">
        <f>'Annual Cash Flow'!H85+'Annual Cash Flow'!H87</f>
        <v>2690.4</v>
      </c>
      <c r="D18" s="18">
        <f>'Annual Cash Flow'!H86</f>
        <v>2690.4</v>
      </c>
      <c r="E18" s="18">
        <f t="shared" si="1"/>
        <v>0</v>
      </c>
      <c r="F18" s="1">
        <v>0.5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3272</v>
      </c>
      <c r="B19" s="18" t="str">
        <f t="shared" si="0"/>
        <v>OK</v>
      </c>
      <c r="C19" s="18">
        <f>'Annual Balance Sheet'!I35</f>
        <v>44870.720410423135</v>
      </c>
      <c r="D19" s="18">
        <f>'Annual Balance Sheet'!I58</f>
        <v>44870.742489300006</v>
      </c>
      <c r="E19" s="18">
        <f t="shared" si="1"/>
        <v>-2.2078876871091779E-2</v>
      </c>
      <c r="F19" s="1">
        <v>0.5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3273</v>
      </c>
      <c r="B20" s="18" t="str">
        <f t="shared" si="0"/>
        <v>OK</v>
      </c>
      <c r="C20" s="18">
        <f>'Annual Cash Flow'!I85+'Annual Cash Flow'!I87</f>
        <v>3788.9</v>
      </c>
      <c r="D20" s="18">
        <f>'Annual Cash Flow'!I86</f>
        <v>3788.9</v>
      </c>
      <c r="E20" s="18">
        <f t="shared" si="1"/>
        <v>0</v>
      </c>
      <c r="F20" s="1">
        <v>0.5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3274</v>
      </c>
      <c r="B21" s="18" t="str">
        <f t="shared" si="0"/>
        <v>OK</v>
      </c>
      <c r="C21" s="18">
        <f>'Annual Balance Sheet'!J35</f>
        <v>46153.266733229</v>
      </c>
      <c r="D21" s="18">
        <f>'Annual Balance Sheet'!J58</f>
        <v>46153.3</v>
      </c>
      <c r="E21" s="18">
        <f t="shared" si="1"/>
        <v>-3.3266771002672613E-2</v>
      </c>
      <c r="F21" s="1">
        <v>0.5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3275</v>
      </c>
      <c r="B22" s="18" t="str">
        <f t="shared" si="0"/>
        <v>OK</v>
      </c>
      <c r="C22" s="18">
        <f>'Annual Cash Flow'!J85+'Annual Cash Flow'!J87</f>
        <v>4056.3</v>
      </c>
      <c r="D22" s="18">
        <f>'Annual Cash Flow'!J86</f>
        <v>4056.3</v>
      </c>
      <c r="E22" s="18">
        <f t="shared" si="1"/>
        <v>0</v>
      </c>
      <c r="F22" s="1">
        <v>0.5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3276</v>
      </c>
      <c r="B23" s="18" t="str">
        <f t="shared" si="0"/>
        <v>OK</v>
      </c>
      <c r="C23" s="18">
        <f>'Annual Balance Sheet'!K35</f>
        <v>43423.583000000006</v>
      </c>
      <c r="D23" s="18">
        <f>'Annual Balance Sheet'!K58</f>
        <v>43423.602000000006</v>
      </c>
      <c r="E23" s="18">
        <f t="shared" si="1"/>
        <v>-1.9000000000232831E-2</v>
      </c>
      <c r="F23" s="1">
        <v>0.5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3277</v>
      </c>
      <c r="B24" s="18" t="str">
        <f t="shared" si="0"/>
        <v>OK</v>
      </c>
      <c r="C24" s="18">
        <f>'Annual Cash Flow'!K85+'Annual Cash Flow'!K87</f>
        <v>4347.1000000000004</v>
      </c>
      <c r="D24" s="18">
        <f>'Annual Cash Flow'!K86</f>
        <v>4347.1000000000004</v>
      </c>
      <c r="E24" s="18">
        <f t="shared" si="1"/>
        <v>0</v>
      </c>
      <c r="F24" s="1">
        <v>0.5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3278</v>
      </c>
      <c r="B25" s="18" t="str">
        <f t="shared" si="0"/>
        <v>OK</v>
      </c>
      <c r="C25" s="18">
        <f>'Annual Balance Sheet'!L35</f>
        <v>44494.475071200002</v>
      </c>
      <c r="D25" s="18">
        <f>'Annual Balance Sheet'!L58</f>
        <v>44494.5</v>
      </c>
      <c r="E25" s="18">
        <f t="shared" si="1"/>
        <v>-2.4928799997724127E-2</v>
      </c>
      <c r="F25" s="1">
        <v>0.5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3279</v>
      </c>
      <c r="B26" s="18" t="str">
        <f t="shared" si="0"/>
        <v>OK</v>
      </c>
      <c r="C26" s="18">
        <f>'Annual Cash Flow'!L85+'Annual Cash Flow'!L87</f>
        <v>4318.5</v>
      </c>
      <c r="D26" s="18">
        <f>'Annual Cash Flow'!L86</f>
        <v>4318.5</v>
      </c>
      <c r="E26" s="18">
        <f t="shared" si="1"/>
        <v>0</v>
      </c>
      <c r="F26" s="1">
        <v>0.5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3280</v>
      </c>
      <c r="B27" s="18" t="str">
        <f t="shared" si="0"/>
        <v>OK</v>
      </c>
      <c r="C27" s="18">
        <f>'Annual Balance Sheet'!M35</f>
        <v>49369.4</v>
      </c>
      <c r="D27" s="18">
        <f>'Annual Balance Sheet'!M58</f>
        <v>49369.4</v>
      </c>
      <c r="E27" s="18">
        <f t="shared" si="1"/>
        <v>0</v>
      </c>
      <c r="F27" s="1">
        <v>0.5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3281</v>
      </c>
      <c r="B28" s="18" t="str">
        <f t="shared" si="0"/>
        <v>OK</v>
      </c>
      <c r="C28" s="18">
        <f>'Annual Cash Flow'!M85+'Annual Cash Flow'!M87</f>
        <v>5046.1000000000004</v>
      </c>
      <c r="D28" s="18">
        <f>'Annual Cash Flow'!M86</f>
        <v>5046.1000000000004</v>
      </c>
      <c r="E28" s="18">
        <f t="shared" si="1"/>
        <v>0</v>
      </c>
      <c r="F28" s="1">
        <v>0.5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3282</v>
      </c>
      <c r="B29" s="18" t="str">
        <f t="shared" si="0"/>
        <v>OK</v>
      </c>
      <c r="C29" s="18">
        <f>'Annual Balance Sheet'!N35</f>
        <v>50961.92069258097</v>
      </c>
      <c r="D29" s="18">
        <f>'Annual Balance Sheet'!N58</f>
        <v>50961.920692580963</v>
      </c>
      <c r="E29" s="18">
        <f t="shared" si="1"/>
        <v>0</v>
      </c>
      <c r="F29" s="1">
        <v>0.5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3283</v>
      </c>
      <c r="B30" s="18" t="str">
        <f t="shared" si="0"/>
        <v>OK</v>
      </c>
      <c r="C30" s="18">
        <f>'Annual Cash Flow'!N85+'Annual Cash Flow'!N87</f>
        <v>6429.2530553321994</v>
      </c>
      <c r="D30" s="18">
        <f>'Annual Cash Flow'!N86</f>
        <v>6429.2530553321994</v>
      </c>
      <c r="E30" s="18">
        <f t="shared" si="1"/>
        <v>0</v>
      </c>
      <c r="F30" s="1">
        <v>0.5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3284</v>
      </c>
      <c r="B31" s="18" t="str">
        <f t="shared" si="0"/>
        <v>OK</v>
      </c>
      <c r="C31" s="18">
        <f>'Annual Balance Sheet'!O35</f>
        <v>52716.160763639775</v>
      </c>
      <c r="D31" s="18">
        <f>'Annual Balance Sheet'!O58</f>
        <v>52716.160763639775</v>
      </c>
      <c r="E31" s="18">
        <f t="shared" si="1"/>
        <v>0</v>
      </c>
      <c r="F31" s="1">
        <v>0.5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3285</v>
      </c>
      <c r="B32" s="18" t="str">
        <f t="shared" si="0"/>
        <v>OK</v>
      </c>
      <c r="C32" s="18">
        <f>'Annual Cash Flow'!O85+'Annual Cash Flow'!O87</f>
        <v>8088.7452425286583</v>
      </c>
      <c r="D32" s="18">
        <f>'Annual Cash Flow'!O86</f>
        <v>8088.7452425286583</v>
      </c>
      <c r="E32" s="18">
        <f t="shared" si="1"/>
        <v>0</v>
      </c>
      <c r="F32" s="1">
        <v>0.5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3286</v>
      </c>
      <c r="B33" s="18" t="str">
        <f t="shared" si="0"/>
        <v>OK</v>
      </c>
      <c r="C33" s="18">
        <f>'Annual Balance Sheet'!P35</f>
        <v>54775.348463322051</v>
      </c>
      <c r="D33" s="18">
        <f>'Annual Balance Sheet'!P58</f>
        <v>54775.348463322043</v>
      </c>
      <c r="E33" s="18">
        <f t="shared" si="1"/>
        <v>0</v>
      </c>
      <c r="F33" s="1">
        <v>0.5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3287</v>
      </c>
      <c r="B34" s="18" t="str">
        <f t="shared" si="0"/>
        <v>OK</v>
      </c>
      <c r="C34" s="18">
        <f>'Annual Cash Flow'!P85+'Annual Cash Flow'!P87</f>
        <v>9738.5618958753694</v>
      </c>
      <c r="D34" s="18">
        <f>'Annual Cash Flow'!P86</f>
        <v>9738.5618958753694</v>
      </c>
      <c r="E34" s="18">
        <f t="shared" si="1"/>
        <v>0</v>
      </c>
      <c r="F34" s="1">
        <v>0.5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3288</v>
      </c>
      <c r="B35" s="18" t="str">
        <f t="shared" si="0"/>
        <v>OK</v>
      </c>
      <c r="C35" s="18">
        <f>'Annual Balance Sheet'!Q35</f>
        <v>57180.350289989568</v>
      </c>
      <c r="D35" s="18">
        <f>'Annual Balance Sheet'!Q58</f>
        <v>57180.350289989561</v>
      </c>
      <c r="E35" s="18">
        <f t="shared" si="1"/>
        <v>0</v>
      </c>
      <c r="F35" s="1">
        <v>0.5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3289</v>
      </c>
      <c r="B36" s="18" t="str">
        <f t="shared" si="0"/>
        <v>OK</v>
      </c>
      <c r="C36" s="18">
        <f>'Annual Cash Flow'!Q85+'Annual Cash Flow'!Q87</f>
        <v>11488.195648913717</v>
      </c>
      <c r="D36" s="18">
        <f>'Annual Cash Flow'!Q86</f>
        <v>11488.195648913717</v>
      </c>
      <c r="E36" s="18">
        <f t="shared" si="1"/>
        <v>0</v>
      </c>
      <c r="F36" s="1">
        <v>0.5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3290</v>
      </c>
      <c r="B37" s="18" t="str">
        <f t="shared" si="0"/>
        <v>OK</v>
      </c>
      <c r="C37" s="18">
        <f>SUM('Quarterly P&amp;L'!C6:F6)</f>
        <v>26494.332199701166</v>
      </c>
      <c r="D37" s="18">
        <f>'Annual P&amp;L'!C7</f>
        <v>26494.232248126711</v>
      </c>
      <c r="E37" s="18">
        <f t="shared" si="1"/>
        <v>9.9951574455189984E-2</v>
      </c>
      <c r="F37" s="1">
        <v>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3291</v>
      </c>
      <c r="B38" s="18" t="str">
        <f t="shared" si="0"/>
        <v>OK</v>
      </c>
      <c r="C38" s="18">
        <f>SUM('Quarterly P&amp;L'!C13:F13)</f>
        <v>4270.6902137316756</v>
      </c>
      <c r="D38" s="18">
        <f>'Annual P&amp;L'!C15</f>
        <v>4270.6902621572144</v>
      </c>
      <c r="E38" s="18">
        <f t="shared" si="1"/>
        <v>-4.8425538807350677E-5</v>
      </c>
      <c r="F38" s="1">
        <v>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3292</v>
      </c>
      <c r="B39" s="18" t="str">
        <f t="shared" si="0"/>
        <v>OK</v>
      </c>
      <c r="C39" s="18">
        <f>SUM('Quarterly P&amp;L'!C16:F16)</f>
        <v>3511.767210733462</v>
      </c>
      <c r="D39" s="18">
        <f>'Annual P&amp;L'!C20</f>
        <v>3511.7672591590026</v>
      </c>
      <c r="E39" s="18">
        <f t="shared" si="1"/>
        <v>-4.842554062634008E-5</v>
      </c>
      <c r="F39" s="1">
        <v>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3293</v>
      </c>
      <c r="B40" s="18" t="str">
        <f t="shared" si="0"/>
        <v>OK</v>
      </c>
      <c r="C40" s="18">
        <f>SUM('Quarterly P&amp;L'!C25:F25)</f>
        <v>3856.6749468917151</v>
      </c>
      <c r="D40" s="18">
        <f>'Annual P&amp;L'!C29</f>
        <v>3856.7369953172565</v>
      </c>
      <c r="E40" s="18">
        <f t="shared" si="1"/>
        <v>-6.2048425541433971E-2</v>
      </c>
      <c r="F40" s="1">
        <v>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3294</v>
      </c>
      <c r="B41" s="18" t="str">
        <f t="shared" si="0"/>
        <v>OK</v>
      </c>
      <c r="C41" s="18">
        <f>SUM('Quarterly P&amp;L'!C29:F29)</f>
        <v>2992.8249568896117</v>
      </c>
      <c r="D41" s="18">
        <f>'Annual P&amp;L'!C35</f>
        <v>2992.8860053151525</v>
      </c>
      <c r="E41" s="18">
        <f t="shared" si="1"/>
        <v>-6.1048425540775497E-2</v>
      </c>
      <c r="F41" s="1">
        <v>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3295</v>
      </c>
      <c r="B42" s="18" t="str">
        <f t="shared" si="0"/>
        <v>OK</v>
      </c>
      <c r="C42" s="18">
        <f>'Annual P&amp;L'!C40</f>
        <v>33.714149690140587</v>
      </c>
      <c r="D42" s="18">
        <f>'Annual P&amp;L'!C42</f>
        <v>33.714149690140587</v>
      </c>
      <c r="E42" s="18">
        <f t="shared" si="1"/>
        <v>0</v>
      </c>
      <c r="F42" s="1">
        <v>0.02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3296</v>
      </c>
      <c r="B43" s="18" t="str">
        <f t="shared" si="0"/>
        <v>OK</v>
      </c>
      <c r="C43" s="18">
        <f>'Annual P&amp;L'!C29</f>
        <v>3856.7369953172565</v>
      </c>
      <c r="D43" s="18">
        <f>IF('Raw Financials'!C21=0,SUM('Quarterly P&amp;L'!C25:F25),'Raw Financials'!C21)</f>
        <v>3856.6749468917151</v>
      </c>
      <c r="E43" s="18">
        <f t="shared" si="1"/>
        <v>6.2048425541433971E-2</v>
      </c>
      <c r="F43" s="1">
        <v>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3297</v>
      </c>
      <c r="B44" s="18" t="str">
        <f t="shared" si="0"/>
        <v>OK</v>
      </c>
      <c r="C44" s="18">
        <f>'Annual P&amp;L'!C35</f>
        <v>2992.8860053151525</v>
      </c>
      <c r="D44" s="18">
        <f>'Raw Financials'!C25</f>
        <v>2992.886005315152</v>
      </c>
      <c r="E44" s="18">
        <f t="shared" si="1"/>
        <v>0</v>
      </c>
      <c r="F44" s="1">
        <v>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3298</v>
      </c>
      <c r="B45" s="18" t="str">
        <f t="shared" si="0"/>
        <v>OK</v>
      </c>
      <c r="C45" s="18">
        <f>MAX(0,'Revenue Drivers'!C9-'Revenue Drivers'!C6)</f>
        <v>0</v>
      </c>
      <c r="D45" s="18">
        <f>0</f>
        <v>0</v>
      </c>
      <c r="E45" s="18">
        <f t="shared" si="1"/>
        <v>0</v>
      </c>
      <c r="F45" s="1"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3299</v>
      </c>
      <c r="B46" s="18" t="str">
        <f t="shared" si="0"/>
        <v>OK</v>
      </c>
      <c r="C46" s="18">
        <f>MAX(0,'Revenue Drivers'!C11-'Revenue Drivers'!C9)</f>
        <v>0</v>
      </c>
      <c r="D46" s="18">
        <f>0</f>
        <v>0</v>
      </c>
      <c r="E46" s="18">
        <f t="shared" si="1"/>
        <v>0</v>
      </c>
      <c r="F46" s="1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3300</v>
      </c>
      <c r="B47" s="18" t="str">
        <f t="shared" si="0"/>
        <v>OK</v>
      </c>
      <c r="C47" s="18">
        <f>'Geography &amp; Currency'!C14</f>
        <v>1</v>
      </c>
      <c r="D47" s="18">
        <f>1</f>
        <v>1</v>
      </c>
      <c r="E47" s="18">
        <f t="shared" si="1"/>
        <v>0</v>
      </c>
      <c r="F47" s="1">
        <v>2E-3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3301</v>
      </c>
      <c r="B48" s="18" t="str">
        <f t="shared" si="0"/>
        <v>OK</v>
      </c>
      <c r="C48" s="18">
        <f>'Geography &amp; Currency'!C35</f>
        <v>1</v>
      </c>
      <c r="D48" s="18">
        <f>1</f>
        <v>1</v>
      </c>
      <c r="E48" s="18">
        <f t="shared" si="1"/>
        <v>0</v>
      </c>
      <c r="F48" s="1">
        <v>6.0000000000000001E-3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3302</v>
      </c>
      <c r="B49" s="18" t="str">
        <f t="shared" si="0"/>
        <v>OK</v>
      </c>
      <c r="C49" s="18">
        <f>SUM('Quarterly P&amp;L'!G6:J6)</f>
        <v>29140.8414557</v>
      </c>
      <c r="D49" s="18">
        <f>'Annual P&amp;L'!D7</f>
        <v>29140.8414557</v>
      </c>
      <c r="E49" s="18">
        <f t="shared" si="1"/>
        <v>0</v>
      </c>
      <c r="F49" s="1">
        <v>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3303</v>
      </c>
      <c r="B50" s="18" t="str">
        <f t="shared" si="0"/>
        <v>OK</v>
      </c>
      <c r="C50" s="18">
        <f>SUM('Quarterly P&amp;L'!G13:J13)</f>
        <v>4184.4348312927286</v>
      </c>
      <c r="D50" s="18">
        <f>'Annual P&amp;L'!D15</f>
        <v>4184.4348312927295</v>
      </c>
      <c r="E50" s="18">
        <f t="shared" si="1"/>
        <v>0</v>
      </c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3304</v>
      </c>
      <c r="B51" s="18" t="str">
        <f t="shared" si="0"/>
        <v>OK</v>
      </c>
      <c r="C51" s="18">
        <f>SUM('Quarterly P&amp;L'!G16:J16)</f>
        <v>3206.3796350927282</v>
      </c>
      <c r="D51" s="18">
        <f>'Annual P&amp;L'!D20</f>
        <v>3206.3796350927296</v>
      </c>
      <c r="E51" s="18">
        <f t="shared" si="1"/>
        <v>0</v>
      </c>
      <c r="F51" s="1">
        <v>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3305</v>
      </c>
      <c r="B52" s="18" t="str">
        <f t="shared" si="0"/>
        <v>OK</v>
      </c>
      <c r="C52" s="18">
        <f>SUM('Quarterly P&amp;L'!G25:J25)</f>
        <v>3853.0145989838538</v>
      </c>
      <c r="D52" s="18">
        <f>'Annual P&amp;L'!D29</f>
        <v>3853.0145989838556</v>
      </c>
      <c r="E52" s="18">
        <f t="shared" si="1"/>
        <v>0</v>
      </c>
      <c r="F52" s="1">
        <v>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3306</v>
      </c>
      <c r="B53" s="18" t="str">
        <f t="shared" si="0"/>
        <v>OK</v>
      </c>
      <c r="C53" s="18">
        <f>SUM('Quarterly P&amp;L'!G29:J29)</f>
        <v>2812.9330782209017</v>
      </c>
      <c r="D53" s="18">
        <f>'Annual P&amp;L'!D35</f>
        <v>2812.9330782209036</v>
      </c>
      <c r="E53" s="18">
        <f t="shared" si="1"/>
        <v>0</v>
      </c>
      <c r="F53" s="1">
        <v>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3307</v>
      </c>
      <c r="B54" s="18" t="str">
        <f t="shared" si="0"/>
        <v>OK</v>
      </c>
      <c r="C54" s="18">
        <f>'Annual P&amp;L'!D40</f>
        <v>31.644761957394365</v>
      </c>
      <c r="D54" s="18">
        <f>'Annual P&amp;L'!D42</f>
        <v>31.644761957394365</v>
      </c>
      <c r="E54" s="18">
        <f t="shared" si="1"/>
        <v>0</v>
      </c>
      <c r="F54" s="1">
        <v>0.02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3308</v>
      </c>
      <c r="B55" s="18" t="str">
        <f t="shared" si="0"/>
        <v>OK</v>
      </c>
      <c r="C55" s="18">
        <f>'Annual P&amp;L'!D29</f>
        <v>3853.0145989838556</v>
      </c>
      <c r="D55" s="18">
        <f>IF('Raw Financials'!D21=0,SUM('Quarterly P&amp;L'!G25:J25),'Raw Financials'!D21)</f>
        <v>3853.0145989838538</v>
      </c>
      <c r="E55" s="18">
        <f t="shared" si="1"/>
        <v>0</v>
      </c>
      <c r="F55" s="1">
        <v>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3309</v>
      </c>
      <c r="B56" s="18" t="str">
        <f t="shared" si="0"/>
        <v>OK</v>
      </c>
      <c r="C56" s="18">
        <f>'Annual P&amp;L'!D35</f>
        <v>2812.9330782209036</v>
      </c>
      <c r="D56" s="18">
        <f>'Raw Financials'!D25</f>
        <v>2812.9330782209031</v>
      </c>
      <c r="E56" s="18">
        <f t="shared" si="1"/>
        <v>0</v>
      </c>
      <c r="F56" s="1">
        <v>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3310</v>
      </c>
      <c r="B57" s="18" t="str">
        <f t="shared" si="0"/>
        <v>OK</v>
      </c>
      <c r="C57" s="18">
        <f>MAX(0,'Revenue Drivers'!D9-'Revenue Drivers'!D6)</f>
        <v>0</v>
      </c>
      <c r="D57" s="18">
        <f>0</f>
        <v>0</v>
      </c>
      <c r="E57" s="18">
        <f t="shared" si="1"/>
        <v>0</v>
      </c>
      <c r="F57" s="1"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3311</v>
      </c>
      <c r="B58" s="18" t="str">
        <f t="shared" si="0"/>
        <v>OK</v>
      </c>
      <c r="C58" s="18">
        <f>MAX(0,'Revenue Drivers'!D11-'Revenue Drivers'!D9)</f>
        <v>0</v>
      </c>
      <c r="D58" s="18">
        <f>0</f>
        <v>0</v>
      </c>
      <c r="E58" s="18">
        <f t="shared" si="1"/>
        <v>0</v>
      </c>
      <c r="F58" s="1"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3312</v>
      </c>
      <c r="B59" s="18" t="str">
        <f t="shared" si="0"/>
        <v>OK</v>
      </c>
      <c r="C59" s="18">
        <f>'Geography &amp; Currency'!D14</f>
        <v>1.0000000000000002</v>
      </c>
      <c r="D59" s="18">
        <f>1</f>
        <v>1</v>
      </c>
      <c r="E59" s="18">
        <f t="shared" si="1"/>
        <v>0</v>
      </c>
      <c r="F59" s="1">
        <v>2E-3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3313</v>
      </c>
      <c r="B60" s="18" t="str">
        <f t="shared" si="0"/>
        <v>OK</v>
      </c>
      <c r="C60" s="18">
        <f>'Geography &amp; Currency'!D35</f>
        <v>1.0000000000000002</v>
      </c>
      <c r="D60" s="18">
        <f>1</f>
        <v>1</v>
      </c>
      <c r="E60" s="18">
        <f t="shared" si="1"/>
        <v>0</v>
      </c>
      <c r="F60" s="1">
        <v>6.0000000000000001E-3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3314</v>
      </c>
      <c r="B61" s="18" t="str">
        <f t="shared" si="0"/>
        <v>OK</v>
      </c>
      <c r="C61" s="18">
        <f>SUM('Quarterly P&amp;L'!K6:N6)</f>
        <v>30772.881154600003</v>
      </c>
      <c r="D61" s="18">
        <f>'Annual P&amp;L'!E7</f>
        <v>30772.881154600007</v>
      </c>
      <c r="E61" s="18">
        <f t="shared" si="1"/>
        <v>0</v>
      </c>
      <c r="F61" s="1">
        <v>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 t="s">
        <v>3315</v>
      </c>
      <c r="B62" s="18" t="str">
        <f t="shared" si="0"/>
        <v>OK</v>
      </c>
      <c r="C62" s="18">
        <f>SUM('Quarterly P&amp;L'!K13:N13)</f>
        <v>4709.5992147949946</v>
      </c>
      <c r="D62" s="18">
        <f>'Annual P&amp;L'!E15</f>
        <v>4709.5592147949992</v>
      </c>
      <c r="E62" s="18">
        <f t="shared" si="1"/>
        <v>3.9999999995416147E-2</v>
      </c>
      <c r="F62" s="1">
        <v>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 t="s">
        <v>3316</v>
      </c>
      <c r="B63" s="18" t="str">
        <f t="shared" si="0"/>
        <v>OK</v>
      </c>
      <c r="C63" s="18">
        <f>SUM('Quarterly P&amp;L'!K16:N16)</f>
        <v>3624.5612042949942</v>
      </c>
      <c r="D63" s="18">
        <f>'Annual P&amp;L'!E20</f>
        <v>3624.5722042950001</v>
      </c>
      <c r="E63" s="18">
        <f t="shared" si="1"/>
        <v>-1.1000000005878974E-2</v>
      </c>
      <c r="F63" s="1">
        <v>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3317</v>
      </c>
      <c r="B64" s="18" t="str">
        <f t="shared" si="0"/>
        <v>OK</v>
      </c>
      <c r="C64" s="18">
        <f>SUM('Quarterly P&amp;L'!K25:N25)</f>
        <v>4878.747592619995</v>
      </c>
      <c r="D64" s="18">
        <f>'Annual P&amp;L'!E29</f>
        <v>4878.73659262</v>
      </c>
      <c r="E64" s="18">
        <f t="shared" si="1"/>
        <v>1.0999999994965037E-2</v>
      </c>
      <c r="F64" s="1">
        <v>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 t="s">
        <v>3318</v>
      </c>
      <c r="B65" s="18" t="str">
        <f t="shared" si="0"/>
        <v>OK</v>
      </c>
      <c r="C65" s="18">
        <f>SUM('Quarterly P&amp;L'!K29:N29)</f>
        <v>3799.7660226799944</v>
      </c>
      <c r="D65" s="18">
        <f>'Annual P&amp;L'!E35</f>
        <v>3799.7550226799999</v>
      </c>
      <c r="E65" s="18">
        <f t="shared" si="1"/>
        <v>1.099999999451029E-2</v>
      </c>
      <c r="F65" s="1">
        <v>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3319</v>
      </c>
      <c r="B66" s="18" t="str">
        <f t="shared" si="0"/>
        <v>OK</v>
      </c>
      <c r="C66" s="18">
        <f>'Annual P&amp;L'!E40</f>
        <v>42.664589334496988</v>
      </c>
      <c r="D66" s="18">
        <f>'Annual P&amp;L'!E42</f>
        <v>42.664589334496988</v>
      </c>
      <c r="E66" s="18">
        <f t="shared" si="1"/>
        <v>0</v>
      </c>
      <c r="F66" s="1">
        <v>0.02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3320</v>
      </c>
      <c r="B67" s="18" t="str">
        <f t="shared" si="0"/>
        <v>OK</v>
      </c>
      <c r="C67" s="18">
        <f>'Annual P&amp;L'!E29</f>
        <v>4878.73659262</v>
      </c>
      <c r="D67" s="18">
        <f>IF('Raw Financials'!E21=0,SUM('Quarterly P&amp;L'!K25:N25),'Raw Financials'!E21)</f>
        <v>4878.747592619995</v>
      </c>
      <c r="E67" s="18">
        <f t="shared" si="1"/>
        <v>-1.0999999994965037E-2</v>
      </c>
      <c r="F67" s="1">
        <v>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3321</v>
      </c>
      <c r="B68" s="18" t="str">
        <f t="shared" si="0"/>
        <v>OK</v>
      </c>
      <c r="C68" s="18">
        <f>'Annual P&amp;L'!E35</f>
        <v>3799.7550226799999</v>
      </c>
      <c r="D68" s="18">
        <f>'Raw Financials'!E25</f>
        <v>3799.7690226800005</v>
      </c>
      <c r="E68" s="18">
        <f t="shared" si="1"/>
        <v>-1.4000000000578439E-2</v>
      </c>
      <c r="F68" s="1">
        <v>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3322</v>
      </c>
      <c r="B69" s="18" t="str">
        <f t="shared" si="0"/>
        <v>OK</v>
      </c>
      <c r="C69" s="18">
        <f>MAX(0,'Revenue Drivers'!E9-'Revenue Drivers'!E6)</f>
        <v>0</v>
      </c>
      <c r="D69" s="18">
        <f>0</f>
        <v>0</v>
      </c>
      <c r="E69" s="18">
        <f t="shared" si="1"/>
        <v>0</v>
      </c>
      <c r="F69" s="1"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3323</v>
      </c>
      <c r="B70" s="18" t="str">
        <f t="shared" si="0"/>
        <v>OK</v>
      </c>
      <c r="C70" s="18">
        <f>MAX(0,'Revenue Drivers'!E11-'Revenue Drivers'!E9)</f>
        <v>0</v>
      </c>
      <c r="D70" s="18">
        <f>0</f>
        <v>0</v>
      </c>
      <c r="E70" s="18">
        <f t="shared" si="1"/>
        <v>0</v>
      </c>
      <c r="F70" s="1"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3324</v>
      </c>
      <c r="B71" s="18" t="str">
        <f t="shared" ref="B71:B134" si="2">IF(ABS(E71)&lt;=F71,"OK","FAIL")</f>
        <v>OK</v>
      </c>
      <c r="C71" s="18">
        <f>'Geography &amp; Currency'!E14</f>
        <v>1</v>
      </c>
      <c r="D71" s="18">
        <f>1</f>
        <v>1</v>
      </c>
      <c r="E71" s="18">
        <f t="shared" ref="E71:E134" si="3">C71-D71</f>
        <v>0</v>
      </c>
      <c r="F71" s="1">
        <v>2E-3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3325</v>
      </c>
      <c r="B72" s="18" t="str">
        <f t="shared" si="2"/>
        <v>OK</v>
      </c>
      <c r="C72" s="18">
        <f>'Geography &amp; Currency'!E35</f>
        <v>1.00004883607907</v>
      </c>
      <c r="D72" s="18">
        <f>1</f>
        <v>1</v>
      </c>
      <c r="E72" s="18">
        <f t="shared" si="3"/>
        <v>4.8836079070024851E-5</v>
      </c>
      <c r="F72" s="1">
        <v>6.0000000000000001E-3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3326</v>
      </c>
      <c r="B73" s="18" t="str">
        <f t="shared" si="2"/>
        <v>OK</v>
      </c>
      <c r="C73" s="18">
        <f>SUM('Quarterly P&amp;L'!O6:R6)</f>
        <v>34742.131633800003</v>
      </c>
      <c r="D73" s="18">
        <f>'Annual P&amp;L'!F7</f>
        <v>34742.131633800003</v>
      </c>
      <c r="E73" s="18">
        <f t="shared" si="3"/>
        <v>0</v>
      </c>
      <c r="F73" s="1">
        <v>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3327</v>
      </c>
      <c r="B74" s="18" t="str">
        <f t="shared" si="2"/>
        <v>OK</v>
      </c>
      <c r="C74" s="18">
        <f>SUM('Quarterly P&amp;L'!O13:R13)</f>
        <v>6337.0176340849976</v>
      </c>
      <c r="D74" s="18">
        <f>'Annual P&amp;L'!F15</f>
        <v>6336.917634084999</v>
      </c>
      <c r="E74" s="18">
        <f t="shared" si="3"/>
        <v>9.9999999998544808E-2</v>
      </c>
      <c r="F74" s="1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 t="s">
        <v>3328</v>
      </c>
      <c r="B75" s="18" t="str">
        <f t="shared" si="2"/>
        <v>OK</v>
      </c>
      <c r="C75" s="18">
        <f>SUM('Quarterly P&amp;L'!O16:R16)</f>
        <v>5207.8176340849977</v>
      </c>
      <c r="D75" s="18">
        <f>'Annual P&amp;L'!F20</f>
        <v>5207.7176340850001</v>
      </c>
      <c r="E75" s="18">
        <f t="shared" si="3"/>
        <v>9.9999999997635314E-2</v>
      </c>
      <c r="F75" s="1">
        <v>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 t="s">
        <v>3329</v>
      </c>
      <c r="B76" s="18" t="str">
        <f t="shared" si="2"/>
        <v>OK</v>
      </c>
      <c r="C76" s="18">
        <f>SUM('Quarterly P&amp;L'!O25:R25)</f>
        <v>5543.0904959914642</v>
      </c>
      <c r="D76" s="18">
        <f>'Annual P&amp;L'!F29</f>
        <v>5543.2104959914668</v>
      </c>
      <c r="E76" s="18">
        <f t="shared" si="3"/>
        <v>-0.12000000000261934</v>
      </c>
      <c r="F76" s="1">
        <v>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 t="s">
        <v>3330</v>
      </c>
      <c r="B77" s="18" t="str">
        <f t="shared" si="2"/>
        <v>OK</v>
      </c>
      <c r="C77" s="18">
        <f>SUM('Quarterly P&amp;L'!O29:R29)</f>
        <v>4297.4964959594654</v>
      </c>
      <c r="D77" s="18">
        <f>'Annual P&amp;L'!F35</f>
        <v>4297.6164959594671</v>
      </c>
      <c r="E77" s="18">
        <f t="shared" si="3"/>
        <v>-0.12000000000170985</v>
      </c>
      <c r="F77" s="1">
        <v>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 t="s">
        <v>3331</v>
      </c>
      <c r="B78" s="18" t="str">
        <f t="shared" si="2"/>
        <v>OK</v>
      </c>
      <c r="C78" s="18">
        <f>'Annual P&amp;L'!F40</f>
        <v>47.72050194230458</v>
      </c>
      <c r="D78" s="18">
        <f>'Annual P&amp;L'!F42</f>
        <v>47.72050194230458</v>
      </c>
      <c r="E78" s="18">
        <f t="shared" si="3"/>
        <v>0</v>
      </c>
      <c r="F78" s="1">
        <v>0.02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3332</v>
      </c>
      <c r="B79" s="18" t="str">
        <f t="shared" si="2"/>
        <v>OK</v>
      </c>
      <c r="C79" s="18">
        <f>'Annual P&amp;L'!F29</f>
        <v>5543.2104959914668</v>
      </c>
      <c r="D79" s="18">
        <f>IF('Raw Financials'!F21=0,SUM('Quarterly P&amp;L'!O25:R25),'Raw Financials'!F21)</f>
        <v>5543.0904959914642</v>
      </c>
      <c r="E79" s="18">
        <f t="shared" si="3"/>
        <v>0.12000000000261934</v>
      </c>
      <c r="F79" s="1">
        <v>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3333</v>
      </c>
      <c r="B80" s="18" t="str">
        <f t="shared" si="2"/>
        <v>OK</v>
      </c>
      <c r="C80" s="18">
        <f>'Annual P&amp;L'!F35</f>
        <v>4297.6164959594671</v>
      </c>
      <c r="D80" s="18">
        <f>'Raw Financials'!F25</f>
        <v>4297.5664959594669</v>
      </c>
      <c r="E80" s="18">
        <f t="shared" si="3"/>
        <v>5.0000000000181899E-2</v>
      </c>
      <c r="F80" s="1">
        <v>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3334</v>
      </c>
      <c r="B81" s="18" t="str">
        <f t="shared" si="2"/>
        <v>OK</v>
      </c>
      <c r="C81" s="18">
        <f>MAX(0,'Revenue Drivers'!F9-'Revenue Drivers'!F6)</f>
        <v>0</v>
      </c>
      <c r="D81" s="18">
        <f>0</f>
        <v>0</v>
      </c>
      <c r="E81" s="18">
        <f t="shared" si="3"/>
        <v>0</v>
      </c>
      <c r="F81" s="1"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3335</v>
      </c>
      <c r="B82" s="18" t="str">
        <f t="shared" si="2"/>
        <v>OK</v>
      </c>
      <c r="C82" s="18">
        <f>MAX(0,'Revenue Drivers'!F11-'Revenue Drivers'!F9)</f>
        <v>0</v>
      </c>
      <c r="D82" s="18">
        <f>0</f>
        <v>0</v>
      </c>
      <c r="E82" s="18">
        <f t="shared" si="3"/>
        <v>0</v>
      </c>
      <c r="F82" s="1"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3336</v>
      </c>
      <c r="B83" s="18" t="str">
        <f t="shared" si="2"/>
        <v>OK</v>
      </c>
      <c r="C83" s="18">
        <f>'Geography &amp; Currency'!F14</f>
        <v>0.99999999999999989</v>
      </c>
      <c r="D83" s="18">
        <f>1</f>
        <v>1</v>
      </c>
      <c r="E83" s="18">
        <f t="shared" si="3"/>
        <v>0</v>
      </c>
      <c r="F83" s="1">
        <v>2E-3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 t="s">
        <v>3337</v>
      </c>
      <c r="B84" s="18" t="str">
        <f t="shared" si="2"/>
        <v>OK</v>
      </c>
      <c r="C84" s="18">
        <f>'Geography &amp; Currency'!F35</f>
        <v>1.0048086448039528</v>
      </c>
      <c r="D84" s="18">
        <f>1</f>
        <v>1</v>
      </c>
      <c r="E84" s="18">
        <f t="shared" si="3"/>
        <v>4.8086448039528218E-3</v>
      </c>
      <c r="F84" s="1">
        <v>6.0000000000000001E-3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 t="s">
        <v>3338</v>
      </c>
      <c r="B85" s="18" t="str">
        <f t="shared" si="2"/>
        <v>OK</v>
      </c>
      <c r="C85" s="18">
        <f>SUM('Quarterly P&amp;L'!S6:V6)</f>
        <v>36867.679151699987</v>
      </c>
      <c r="D85" s="18">
        <f>'Annual P&amp;L'!G7</f>
        <v>36867.678999999996</v>
      </c>
      <c r="E85" s="18">
        <f t="shared" si="3"/>
        <v>1.5169999096542597E-4</v>
      </c>
      <c r="F85" s="1">
        <v>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 t="s">
        <v>3339</v>
      </c>
      <c r="B86" s="18" t="str">
        <f t="shared" si="2"/>
        <v>OK</v>
      </c>
      <c r="C86" s="18">
        <f>SUM('Quarterly P&amp;L'!S13:V13)</f>
        <v>5726.1391516999756</v>
      </c>
      <c r="D86" s="18">
        <f>'Annual P&amp;L'!G15</f>
        <v>5726.038999999997</v>
      </c>
      <c r="E86" s="18">
        <f t="shared" si="3"/>
        <v>0.1001516999785963</v>
      </c>
      <c r="F86" s="1">
        <v>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 t="s">
        <v>3340</v>
      </c>
      <c r="B87" s="18" t="str">
        <f t="shared" si="2"/>
        <v>OK</v>
      </c>
      <c r="C87" s="18">
        <f>SUM('Quarterly P&amp;L'!S16:V16)</f>
        <v>4280.3701516999763</v>
      </c>
      <c r="D87" s="18">
        <f>'Annual P&amp;L'!G20</f>
        <v>4280.2699999999995</v>
      </c>
      <c r="E87" s="18">
        <f t="shared" si="3"/>
        <v>0.10015169997677731</v>
      </c>
      <c r="F87" s="1">
        <v>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 t="s">
        <v>3341</v>
      </c>
      <c r="B88" s="18" t="str">
        <f t="shared" si="2"/>
        <v>OK</v>
      </c>
      <c r="C88" s="18">
        <f>SUM('Quarterly P&amp;L'!S25:V25)</f>
        <v>5057.8421516999761</v>
      </c>
      <c r="D88" s="18">
        <f>'Annual P&amp;L'!G29</f>
        <v>5057.7420000000002</v>
      </c>
      <c r="E88" s="18">
        <f t="shared" si="3"/>
        <v>0.10015169997586781</v>
      </c>
      <c r="F88" s="1">
        <v>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 t="s">
        <v>3342</v>
      </c>
      <c r="B89" s="18" t="str">
        <f t="shared" si="2"/>
        <v>OK</v>
      </c>
      <c r="C89" s="18">
        <f>SUM('Quarterly P&amp;L'!S29:V29)</f>
        <v>4033.0421516999759</v>
      </c>
      <c r="D89" s="18">
        <f>'Annual P&amp;L'!G35</f>
        <v>4032.942</v>
      </c>
      <c r="E89" s="18">
        <f t="shared" si="3"/>
        <v>0.10015169997586781</v>
      </c>
      <c r="F89" s="1">
        <v>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 t="s">
        <v>3343</v>
      </c>
      <c r="B90" s="18" t="str">
        <f t="shared" si="2"/>
        <v>OK</v>
      </c>
      <c r="C90" s="18">
        <f>'Annual P&amp;L'!G40</f>
        <v>45.85</v>
      </c>
      <c r="D90" s="18">
        <f>'Annual P&amp;L'!G42</f>
        <v>45.85</v>
      </c>
      <c r="E90" s="18">
        <f t="shared" si="3"/>
        <v>0</v>
      </c>
      <c r="F90" s="1">
        <v>0.02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 t="s">
        <v>3344</v>
      </c>
      <c r="B91" s="18" t="str">
        <f t="shared" si="2"/>
        <v>OK</v>
      </c>
      <c r="C91" s="18">
        <f>'Annual P&amp;L'!G29</f>
        <v>5057.7420000000002</v>
      </c>
      <c r="D91" s="18">
        <f>IF('Raw Financials'!G21=0,SUM('Quarterly P&amp;L'!S25:V25),'Raw Financials'!G21)</f>
        <v>5057.8420000000006</v>
      </c>
      <c r="E91" s="18">
        <f t="shared" si="3"/>
        <v>-0.1000000000003638</v>
      </c>
      <c r="F91" s="1">
        <v>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 t="s">
        <v>3345</v>
      </c>
      <c r="B92" s="18" t="str">
        <f t="shared" si="2"/>
        <v>OK</v>
      </c>
      <c r="C92" s="18">
        <f>'Annual P&amp;L'!G35</f>
        <v>4032.942</v>
      </c>
      <c r="D92" s="18">
        <f>'Raw Financials'!G25</f>
        <v>4033.0419999999999</v>
      </c>
      <c r="E92" s="18">
        <f t="shared" si="3"/>
        <v>-9.9999999999909051E-2</v>
      </c>
      <c r="F92" s="1">
        <v>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 t="s">
        <v>3346</v>
      </c>
      <c r="B93" s="18" t="str">
        <f t="shared" si="2"/>
        <v>OK</v>
      </c>
      <c r="C93" s="18">
        <f>MAX(0,'Revenue Drivers'!G9-'Revenue Drivers'!G6)</f>
        <v>0</v>
      </c>
      <c r="D93" s="18">
        <f>0</f>
        <v>0</v>
      </c>
      <c r="E93" s="18">
        <f t="shared" si="3"/>
        <v>0</v>
      </c>
      <c r="F93" s="1"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 t="s">
        <v>3347</v>
      </c>
      <c r="B94" s="18" t="str">
        <f t="shared" si="2"/>
        <v>OK</v>
      </c>
      <c r="C94" s="18">
        <f>MAX(0,'Revenue Drivers'!G11-'Revenue Drivers'!G9)</f>
        <v>0</v>
      </c>
      <c r="D94" s="18">
        <f>0</f>
        <v>0</v>
      </c>
      <c r="E94" s="18">
        <f t="shared" si="3"/>
        <v>0</v>
      </c>
      <c r="F94" s="1"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 t="s">
        <v>3348</v>
      </c>
      <c r="B95" s="18" t="str">
        <f t="shared" si="2"/>
        <v>OK</v>
      </c>
      <c r="C95" s="18">
        <f>'Geography &amp; Currency'!G14</f>
        <v>0.99960000000000004</v>
      </c>
      <c r="D95" s="18">
        <f>1</f>
        <v>1</v>
      </c>
      <c r="E95" s="18">
        <f t="shared" si="3"/>
        <v>-3.9999999999995595E-4</v>
      </c>
      <c r="F95" s="1">
        <v>2E-3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 t="s">
        <v>3349</v>
      </c>
      <c r="B96" s="18" t="str">
        <f t="shared" si="2"/>
        <v>OK</v>
      </c>
      <c r="C96" s="18">
        <f>'Geography &amp; Currency'!G35</f>
        <v>1.00004</v>
      </c>
      <c r="D96" s="18">
        <f>1</f>
        <v>1</v>
      </c>
      <c r="E96" s="18">
        <f t="shared" si="3"/>
        <v>4.0000000000040004E-5</v>
      </c>
      <c r="F96" s="1">
        <v>6.0000000000000001E-3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 t="s">
        <v>3350</v>
      </c>
      <c r="B97" s="18" t="str">
        <f t="shared" si="2"/>
        <v>OK</v>
      </c>
      <c r="C97" s="18">
        <f>SUM('Quarterly P&amp;L'!W6:Z6)</f>
        <v>37855.080631800003</v>
      </c>
      <c r="D97" s="18">
        <f>'Annual P&amp;L'!H7</f>
        <v>37855.080999999998</v>
      </c>
      <c r="E97" s="18">
        <f t="shared" si="3"/>
        <v>-3.6819999513681978E-4</v>
      </c>
      <c r="F97" s="1">
        <v>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 t="s">
        <v>3351</v>
      </c>
      <c r="B98" s="18" t="str">
        <f t="shared" si="2"/>
        <v>OK</v>
      </c>
      <c r="C98" s="18">
        <f>SUM('Quarterly P&amp;L'!W13:Z13)</f>
        <v>6846.9637578999955</v>
      </c>
      <c r="D98" s="18">
        <f>'Annual P&amp;L'!H15</f>
        <v>6847.0469999999987</v>
      </c>
      <c r="E98" s="18">
        <f t="shared" si="3"/>
        <v>-8.3242100003189989E-2</v>
      </c>
      <c r="F98" s="1">
        <v>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 t="s">
        <v>3352</v>
      </c>
      <c r="B99" s="18" t="str">
        <f t="shared" si="2"/>
        <v>OK</v>
      </c>
      <c r="C99" s="18">
        <f>SUM('Quarterly P&amp;L'!W16:Z16)</f>
        <v>5389.3541605999962</v>
      </c>
      <c r="D99" s="18">
        <f>'Annual P&amp;L'!H20</f>
        <v>5389.3370000000004</v>
      </c>
      <c r="E99" s="18">
        <f t="shared" si="3"/>
        <v>1.716059999580466E-2</v>
      </c>
      <c r="F99" s="1">
        <v>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 t="s">
        <v>3353</v>
      </c>
      <c r="B100" s="18" t="str">
        <f t="shared" si="2"/>
        <v>OK</v>
      </c>
      <c r="C100" s="18">
        <f>SUM('Quarterly P&amp;L'!W25:Z25)</f>
        <v>5952.9701605999962</v>
      </c>
      <c r="D100" s="18">
        <f>'Annual P&amp;L'!H29</f>
        <v>5952.9530000000004</v>
      </c>
      <c r="E100" s="18">
        <f t="shared" si="3"/>
        <v>1.716059999580466E-2</v>
      </c>
      <c r="F100" s="1">
        <v>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 t="s">
        <v>3354</v>
      </c>
      <c r="B101" s="18" t="str">
        <f t="shared" si="2"/>
        <v>OK</v>
      </c>
      <c r="C101" s="18">
        <f>SUM('Quarterly P&amp;L'!W29:Z29)</f>
        <v>4428.0761605999969</v>
      </c>
      <c r="D101" s="18">
        <f>'Annual P&amp;L'!H35</f>
        <v>4428.0590000000002</v>
      </c>
      <c r="E101" s="18">
        <f t="shared" si="3"/>
        <v>1.7160599996714154E-2</v>
      </c>
      <c r="F101" s="1"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 t="s">
        <v>3355</v>
      </c>
      <c r="B102" s="18" t="str">
        <f t="shared" si="2"/>
        <v>OK</v>
      </c>
      <c r="C102" s="18">
        <f>'Annual P&amp;L'!H40</f>
        <v>50.19</v>
      </c>
      <c r="D102" s="18">
        <f>'Annual P&amp;L'!H42</f>
        <v>50.19</v>
      </c>
      <c r="E102" s="18">
        <f t="shared" si="3"/>
        <v>0</v>
      </c>
      <c r="F102" s="1">
        <v>0.02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 t="s">
        <v>3356</v>
      </c>
      <c r="B103" s="18" t="str">
        <f t="shared" si="2"/>
        <v>OK</v>
      </c>
      <c r="C103" s="18">
        <f>'Annual P&amp;L'!H29</f>
        <v>5952.9530000000004</v>
      </c>
      <c r="D103" s="18">
        <f>IF('Raw Financials'!H21=0,SUM('Quarterly P&amp;L'!W25:Z25),'Raw Financials'!H21)</f>
        <v>5952.8530000000001</v>
      </c>
      <c r="E103" s="18">
        <f t="shared" si="3"/>
        <v>0.1000000000003638</v>
      </c>
      <c r="F103" s="1">
        <v>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 t="s">
        <v>3357</v>
      </c>
      <c r="B104" s="18" t="str">
        <f t="shared" si="2"/>
        <v>OK</v>
      </c>
      <c r="C104" s="18">
        <f>'Annual P&amp;L'!H35</f>
        <v>4428.0590000000002</v>
      </c>
      <c r="D104" s="18">
        <f>'Raw Financials'!H25</f>
        <v>4427.9589999999998</v>
      </c>
      <c r="E104" s="18">
        <f t="shared" si="3"/>
        <v>0.1000000000003638</v>
      </c>
      <c r="F104" s="1">
        <v>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 t="s">
        <v>3358</v>
      </c>
      <c r="B105" s="18" t="str">
        <f t="shared" si="2"/>
        <v>OK</v>
      </c>
      <c r="C105" s="18">
        <f>MAX(0,'Revenue Drivers'!H9-'Revenue Drivers'!H6)</f>
        <v>0</v>
      </c>
      <c r="D105" s="18">
        <f>0</f>
        <v>0</v>
      </c>
      <c r="E105" s="18">
        <f t="shared" si="3"/>
        <v>0</v>
      </c>
      <c r="F105" s="1"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 t="s">
        <v>3359</v>
      </c>
      <c r="B106" s="18" t="str">
        <f t="shared" si="2"/>
        <v>OK</v>
      </c>
      <c r="C106" s="18">
        <f>MAX(0,'Revenue Drivers'!H11-'Revenue Drivers'!H9)</f>
        <v>0</v>
      </c>
      <c r="D106" s="18">
        <f>0</f>
        <v>0</v>
      </c>
      <c r="E106" s="18">
        <f t="shared" si="3"/>
        <v>0</v>
      </c>
      <c r="F106" s="1"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 t="s">
        <v>3360</v>
      </c>
      <c r="B107" s="18" t="str">
        <f t="shared" si="2"/>
        <v>OK</v>
      </c>
      <c r="C107" s="18">
        <f>'Geography &amp; Currency'!H14</f>
        <v>0.99940000000000007</v>
      </c>
      <c r="D107" s="18">
        <f>1</f>
        <v>1</v>
      </c>
      <c r="E107" s="18">
        <f t="shared" si="3"/>
        <v>-5.9999999999993392E-4</v>
      </c>
      <c r="F107" s="1">
        <v>2E-3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 t="s">
        <v>3361</v>
      </c>
      <c r="B108" s="18" t="str">
        <f t="shared" si="2"/>
        <v>OK</v>
      </c>
      <c r="C108" s="18">
        <f>'Geography &amp; Currency'!H35</f>
        <v>1.0000000000000002</v>
      </c>
      <c r="D108" s="18">
        <f>1</f>
        <v>1</v>
      </c>
      <c r="E108" s="18">
        <f t="shared" si="3"/>
        <v>0</v>
      </c>
      <c r="F108" s="1">
        <v>6.0000000000000001E-3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 t="s">
        <v>3362</v>
      </c>
      <c r="B109" s="18" t="str">
        <f t="shared" si="2"/>
        <v>OK</v>
      </c>
      <c r="C109" s="18">
        <f>SUM('Quarterly P&amp;L'!AA6:AD6)</f>
        <v>44645.963840500008</v>
      </c>
      <c r="D109" s="18">
        <f>'Annual P&amp;L'!I7</f>
        <v>44645.964000000007</v>
      </c>
      <c r="E109" s="18">
        <f t="shared" si="3"/>
        <v>-1.5949999942677096E-4</v>
      </c>
      <c r="F109" s="1">
        <v>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 t="s">
        <v>3363</v>
      </c>
      <c r="B110" s="18" t="str">
        <f t="shared" si="2"/>
        <v>OK</v>
      </c>
      <c r="C110" s="18">
        <f>SUM('Quarterly P&amp;L'!AA13:AD13)</f>
        <v>8019.9836167000012</v>
      </c>
      <c r="D110" s="18">
        <f>'Annual P&amp;L'!I15</f>
        <v>8019.984000000004</v>
      </c>
      <c r="E110" s="18">
        <f t="shared" si="3"/>
        <v>-3.8330000279529486E-4</v>
      </c>
      <c r="F110" s="1">
        <v>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 t="s">
        <v>3364</v>
      </c>
      <c r="B111" s="18" t="str">
        <f t="shared" si="2"/>
        <v>OK</v>
      </c>
      <c r="C111" s="18">
        <f>SUM('Quarterly P&amp;L'!AA16:AD16)</f>
        <v>6499.5914275000005</v>
      </c>
      <c r="D111" s="18">
        <f>'Annual P&amp;L'!I20</f>
        <v>6499.5910000000003</v>
      </c>
      <c r="E111" s="18">
        <f t="shared" si="3"/>
        <v>4.2750000011437805E-4</v>
      </c>
      <c r="F111" s="1">
        <v>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 t="s">
        <v>3365</v>
      </c>
      <c r="B112" s="18" t="str">
        <f t="shared" si="2"/>
        <v>OK</v>
      </c>
      <c r="C112" s="18">
        <f>SUM('Quarterly P&amp;L'!AA25:AD25)</f>
        <v>7452.107427500001</v>
      </c>
      <c r="D112" s="18">
        <f>'Annual P&amp;L'!I29</f>
        <v>7452.107</v>
      </c>
      <c r="E112" s="18">
        <f t="shared" si="3"/>
        <v>4.2750000102387276E-4</v>
      </c>
      <c r="F112" s="1">
        <v>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 t="s">
        <v>3366</v>
      </c>
      <c r="B113" s="18" t="str">
        <f t="shared" si="2"/>
        <v>OK</v>
      </c>
      <c r="C113" s="18">
        <f>SUM('Quarterly P&amp;L'!AA29:AD29)</f>
        <v>5566.1134275000004</v>
      </c>
      <c r="D113" s="18">
        <f>'Annual P&amp;L'!I35</f>
        <v>5566.1130000000003</v>
      </c>
      <c r="E113" s="18">
        <f t="shared" si="3"/>
        <v>4.2750000011437805E-4</v>
      </c>
      <c r="F113" s="1">
        <v>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 t="s">
        <v>3367</v>
      </c>
      <c r="B114" s="18" t="str">
        <f t="shared" si="2"/>
        <v>OK</v>
      </c>
      <c r="C114" s="18">
        <f>'Annual P&amp;L'!I40</f>
        <v>62.81</v>
      </c>
      <c r="D114" s="18">
        <f>'Annual P&amp;L'!I42</f>
        <v>62.81</v>
      </c>
      <c r="E114" s="18">
        <f t="shared" si="3"/>
        <v>0</v>
      </c>
      <c r="F114" s="1">
        <v>0.02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 t="s">
        <v>3368</v>
      </c>
      <c r="B115" s="18" t="str">
        <f t="shared" si="2"/>
        <v>OK</v>
      </c>
      <c r="C115" s="18">
        <f>'Annual P&amp;L'!I29</f>
        <v>7452.107</v>
      </c>
      <c r="D115" s="18">
        <f>IF('Raw Financials'!I21=0,SUM('Quarterly P&amp;L'!AA25:AD25),'Raw Financials'!I21)</f>
        <v>7452.1070000000009</v>
      </c>
      <c r="E115" s="18">
        <f t="shared" si="3"/>
        <v>0</v>
      </c>
      <c r="F115" s="1">
        <v>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 t="s">
        <v>3369</v>
      </c>
      <c r="B116" s="18" t="str">
        <f t="shared" si="2"/>
        <v>OK</v>
      </c>
      <c r="C116" s="18">
        <f>'Annual P&amp;L'!I35</f>
        <v>5566.1130000000003</v>
      </c>
      <c r="D116" s="18">
        <f>'Raw Financials'!I25</f>
        <v>5566.1130000000003</v>
      </c>
      <c r="E116" s="18">
        <f t="shared" si="3"/>
        <v>0</v>
      </c>
      <c r="F116" s="1">
        <v>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 t="s">
        <v>3370</v>
      </c>
      <c r="B117" s="18" t="str">
        <f t="shared" si="2"/>
        <v>OK</v>
      </c>
      <c r="C117" s="18">
        <f>MAX(0,'Revenue Drivers'!I9-'Revenue Drivers'!I6)</f>
        <v>0</v>
      </c>
      <c r="D117" s="18">
        <f>0</f>
        <v>0</v>
      </c>
      <c r="E117" s="18">
        <f t="shared" si="3"/>
        <v>0</v>
      </c>
      <c r="F117" s="1"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 t="s">
        <v>3371</v>
      </c>
      <c r="B118" s="18" t="str">
        <f t="shared" si="2"/>
        <v>OK</v>
      </c>
      <c r="C118" s="18">
        <f>MAX(0,'Revenue Drivers'!I11-'Revenue Drivers'!I9)</f>
        <v>0</v>
      </c>
      <c r="D118" s="18">
        <f>0</f>
        <v>0</v>
      </c>
      <c r="E118" s="18">
        <f t="shared" si="3"/>
        <v>0</v>
      </c>
      <c r="F118" s="1"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 t="s">
        <v>3372</v>
      </c>
      <c r="B119" s="18" t="str">
        <f t="shared" si="2"/>
        <v>OK</v>
      </c>
      <c r="C119" s="18">
        <f>'Geography &amp; Currency'!I14</f>
        <v>0.99950000000000006</v>
      </c>
      <c r="D119" s="18">
        <f>1</f>
        <v>1</v>
      </c>
      <c r="E119" s="18">
        <f t="shared" si="3"/>
        <v>-4.9999999999994493E-4</v>
      </c>
      <c r="F119" s="1">
        <v>2E-3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 t="s">
        <v>3373</v>
      </c>
      <c r="B120" s="18" t="str">
        <f t="shared" si="2"/>
        <v>OK</v>
      </c>
      <c r="C120" s="18">
        <f>'Geography &amp; Currency'!I35</f>
        <v>1.0001</v>
      </c>
      <c r="D120" s="18">
        <f>1</f>
        <v>1</v>
      </c>
      <c r="E120" s="18">
        <f t="shared" si="3"/>
        <v>9.9999999999988987E-5</v>
      </c>
      <c r="F120" s="1">
        <v>6.0000000000000001E-3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 t="s">
        <v>3374</v>
      </c>
      <c r="B121" s="18" t="str">
        <f t="shared" si="2"/>
        <v>OK</v>
      </c>
      <c r="C121" s="18">
        <f>SUM('Quarterly P&amp;L'!AE6:AH6)</f>
        <v>53290.167422958002</v>
      </c>
      <c r="D121" s="18">
        <f>'Annual P&amp;L'!J7</f>
        <v>53290.167000000009</v>
      </c>
      <c r="E121" s="18">
        <f t="shared" si="3"/>
        <v>4.2295799357816577E-4</v>
      </c>
      <c r="F121" s="1">
        <v>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 t="s">
        <v>3375</v>
      </c>
      <c r="B122" s="18" t="str">
        <f t="shared" si="2"/>
        <v>OK</v>
      </c>
      <c r="C122" s="18">
        <f>SUM('Quarterly P&amp;L'!AE13:AH13)</f>
        <v>8028.7732502580038</v>
      </c>
      <c r="D122" s="18">
        <f>'Annual P&amp;L'!J15</f>
        <v>8028.7760000000062</v>
      </c>
      <c r="E122" s="18">
        <f t="shared" si="3"/>
        <v>-2.7497420023792074E-3</v>
      </c>
      <c r="F122" s="1">
        <v>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 t="s">
        <v>3376</v>
      </c>
      <c r="B123" s="18" t="str">
        <f t="shared" si="2"/>
        <v>OK</v>
      </c>
      <c r="C123" s="18">
        <f>SUM('Quarterly P&amp;L'!AE16:AH16)</f>
        <v>6072.073111382002</v>
      </c>
      <c r="D123" s="18">
        <f>'Annual P&amp;L'!J20</f>
        <v>6072.0760000000009</v>
      </c>
      <c r="E123" s="18">
        <f t="shared" si="3"/>
        <v>-2.8886179989058292E-3</v>
      </c>
      <c r="F123" s="1">
        <v>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 t="s">
        <v>3377</v>
      </c>
      <c r="B124" s="18" t="str">
        <f t="shared" si="2"/>
        <v>OK</v>
      </c>
      <c r="C124" s="18">
        <f>SUM('Quarterly P&amp;L'!AE25:AH25)</f>
        <v>6445.4735933497741</v>
      </c>
      <c r="D124" s="18">
        <f>'Annual P&amp;L'!J29</f>
        <v>6445.4760000000006</v>
      </c>
      <c r="E124" s="18">
        <f t="shared" si="3"/>
        <v>-2.4066502264759038E-3</v>
      </c>
      <c r="F124" s="1">
        <v>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 t="s">
        <v>3378</v>
      </c>
      <c r="B125" s="18" t="str">
        <f t="shared" si="2"/>
        <v>OK</v>
      </c>
      <c r="C125" s="18">
        <f>SUM('Quarterly P&amp;L'!AE29:AH29)</f>
        <v>4831.2735933497734</v>
      </c>
      <c r="D125" s="18">
        <f>'Annual P&amp;L'!J35</f>
        <v>4831.2760000000007</v>
      </c>
      <c r="E125" s="18">
        <f t="shared" si="3"/>
        <v>-2.4066502273853985E-3</v>
      </c>
      <c r="F125" s="1">
        <v>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 t="s">
        <v>3379</v>
      </c>
      <c r="B126" s="18" t="str">
        <f t="shared" si="2"/>
        <v>OK</v>
      </c>
      <c r="C126" s="18">
        <f>'Annual P&amp;L'!J40</f>
        <v>54.56</v>
      </c>
      <c r="D126" s="18">
        <f>'Annual P&amp;L'!J42</f>
        <v>54.56</v>
      </c>
      <c r="E126" s="18">
        <f t="shared" si="3"/>
        <v>0</v>
      </c>
      <c r="F126" s="1">
        <v>0.02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 t="s">
        <v>3380</v>
      </c>
      <c r="B127" s="18" t="str">
        <f t="shared" si="2"/>
        <v>OK</v>
      </c>
      <c r="C127" s="18">
        <f>'Annual P&amp;L'!J29</f>
        <v>6445.4760000000006</v>
      </c>
      <c r="D127" s="18">
        <f>IF('Raw Financials'!J21=0,SUM('Quarterly P&amp;L'!AE25:AH25),'Raw Financials'!J21)</f>
        <v>6445.4769999999999</v>
      </c>
      <c r="E127" s="18">
        <f t="shared" si="3"/>
        <v>-9.9999999929423211E-4</v>
      </c>
      <c r="F127" s="1">
        <v>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 t="s">
        <v>3381</v>
      </c>
      <c r="B128" s="18" t="str">
        <f t="shared" si="2"/>
        <v>OK</v>
      </c>
      <c r="C128" s="18">
        <f>'Annual P&amp;L'!J35</f>
        <v>4831.2760000000007</v>
      </c>
      <c r="D128" s="18">
        <f>'Raw Financials'!J25</f>
        <v>4831.277</v>
      </c>
      <c r="E128" s="18">
        <f t="shared" si="3"/>
        <v>-9.9999999929423211E-4</v>
      </c>
      <c r="F128" s="1">
        <v>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 t="s">
        <v>3382</v>
      </c>
      <c r="B129" s="18" t="str">
        <f t="shared" si="2"/>
        <v>OK</v>
      </c>
      <c r="C129" s="18">
        <f>MAX(0,'Revenue Drivers'!J9-'Revenue Drivers'!J6)</f>
        <v>0</v>
      </c>
      <c r="D129" s="18">
        <f>0</f>
        <v>0</v>
      </c>
      <c r="E129" s="18">
        <f t="shared" si="3"/>
        <v>0</v>
      </c>
      <c r="F129" s="1">
        <v>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 t="s">
        <v>3383</v>
      </c>
      <c r="B130" s="18" t="str">
        <f t="shared" si="2"/>
        <v>OK</v>
      </c>
      <c r="C130" s="18">
        <f>MAX(0,'Revenue Drivers'!J11-'Revenue Drivers'!J9)</f>
        <v>0</v>
      </c>
      <c r="D130" s="18">
        <f>0</f>
        <v>0</v>
      </c>
      <c r="E130" s="18">
        <f t="shared" si="3"/>
        <v>0</v>
      </c>
      <c r="F130" s="1"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 t="s">
        <v>3384</v>
      </c>
      <c r="B131" s="18" t="str">
        <f t="shared" si="2"/>
        <v>OK</v>
      </c>
      <c r="C131" s="18">
        <f>'Geography &amp; Currency'!J14</f>
        <v>0.99990000000000001</v>
      </c>
      <c r="D131" s="18">
        <f>1</f>
        <v>1</v>
      </c>
      <c r="E131" s="18">
        <f t="shared" si="3"/>
        <v>-9.9999999999988987E-5</v>
      </c>
      <c r="F131" s="1">
        <v>2E-3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 t="s">
        <v>3385</v>
      </c>
      <c r="B132" s="18" t="str">
        <f t="shared" si="2"/>
        <v>OK</v>
      </c>
      <c r="C132" s="18">
        <f>'Geography &amp; Currency'!J35</f>
        <v>0.99999999999999989</v>
      </c>
      <c r="D132" s="18">
        <f>1</f>
        <v>1</v>
      </c>
      <c r="E132" s="18">
        <f t="shared" si="3"/>
        <v>0</v>
      </c>
      <c r="F132" s="1">
        <v>6.0000000000000001E-3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 t="s">
        <v>3386</v>
      </c>
      <c r="B133" s="18" t="str">
        <f t="shared" si="2"/>
        <v>OK</v>
      </c>
      <c r="C133" s="18">
        <f>SUM('Quarterly P&amp;L'!AI6:AL6)</f>
        <v>51995.552000000003</v>
      </c>
      <c r="D133" s="18">
        <f>'Annual P&amp;L'!K7</f>
        <v>51995.540999999997</v>
      </c>
      <c r="E133" s="18">
        <f t="shared" si="3"/>
        <v>1.1000000005878974E-2</v>
      </c>
      <c r="F133" s="1">
        <v>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 t="s">
        <v>3387</v>
      </c>
      <c r="B134" s="18" t="str">
        <f t="shared" si="2"/>
        <v>OK</v>
      </c>
      <c r="C134" s="18">
        <f>SUM('Quarterly P&amp;L'!AI13:AL13)</f>
        <v>4964.5599999999995</v>
      </c>
      <c r="D134" s="18">
        <f>'Annual P&amp;L'!K15</f>
        <v>4964.5989999999911</v>
      </c>
      <c r="E134" s="18">
        <f t="shared" si="3"/>
        <v>-3.8999999991574441E-2</v>
      </c>
      <c r="F134" s="1">
        <v>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 t="s">
        <v>3388</v>
      </c>
      <c r="B135" s="18" t="str">
        <f t="shared" ref="B135:B198" si="4">IF(ABS(E135)&lt;=F135,"OK","FAIL")</f>
        <v>OK</v>
      </c>
      <c r="C135" s="18">
        <f>SUM('Quarterly P&amp;L'!AI16:AL16)</f>
        <v>3147.4599999999991</v>
      </c>
      <c r="D135" s="18">
        <f>'Annual P&amp;L'!K20</f>
        <v>3147.5110000000004</v>
      </c>
      <c r="E135" s="18">
        <f t="shared" ref="E135:E198" si="5">C135-D135</f>
        <v>-5.100000000129512E-2</v>
      </c>
      <c r="F135" s="1">
        <v>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 t="s">
        <v>3389</v>
      </c>
      <c r="B136" s="18" t="str">
        <f t="shared" si="4"/>
        <v>OK</v>
      </c>
      <c r="C136" s="18">
        <f>SUM('Quarterly P&amp;L'!AI25:AL25)</f>
        <v>3224.4607564759986</v>
      </c>
      <c r="D136" s="18">
        <f>'Annual P&amp;L'!K29</f>
        <v>3224.491</v>
      </c>
      <c r="E136" s="18">
        <f t="shared" si="5"/>
        <v>-3.0243524001434707E-2</v>
      </c>
      <c r="F136" s="1">
        <v>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 t="s">
        <v>3390</v>
      </c>
      <c r="B137" s="18" t="str">
        <f t="shared" si="4"/>
        <v>OK</v>
      </c>
      <c r="C137" s="18">
        <f>SUM('Quarterly P&amp;L'!AI29:AL29)</f>
        <v>2357.8607564759986</v>
      </c>
      <c r="D137" s="18">
        <f>'Annual P&amp;L'!K35</f>
        <v>2357.8960000000002</v>
      </c>
      <c r="E137" s="18">
        <f t="shared" si="5"/>
        <v>-3.5243524001543847E-2</v>
      </c>
      <c r="F137" s="1">
        <v>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 t="s">
        <v>3391</v>
      </c>
      <c r="B138" s="18" t="str">
        <f t="shared" si="4"/>
        <v>OK</v>
      </c>
      <c r="C138" s="18">
        <f>'Annual P&amp;L'!K40</f>
        <v>26.57</v>
      </c>
      <c r="D138" s="18">
        <f>'Annual P&amp;L'!K42</f>
        <v>26.57</v>
      </c>
      <c r="E138" s="18">
        <f t="shared" si="5"/>
        <v>0</v>
      </c>
      <c r="F138" s="1">
        <v>0.02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 t="s">
        <v>3392</v>
      </c>
      <c r="B139" s="18" t="str">
        <f t="shared" si="4"/>
        <v>OK</v>
      </c>
      <c r="C139" s="18">
        <f>'Annual P&amp;L'!K29</f>
        <v>3224.491</v>
      </c>
      <c r="D139" s="18">
        <f>IF('Raw Financials'!K21=0,SUM('Quarterly P&amp;L'!AI25:AL25),'Raw Financials'!K21)</f>
        <v>3224.3900000000003</v>
      </c>
      <c r="E139" s="18">
        <f t="shared" si="5"/>
        <v>0.10099999999965803</v>
      </c>
      <c r="F139" s="1">
        <v>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 t="s">
        <v>3393</v>
      </c>
      <c r="B140" s="18" t="str">
        <f t="shared" si="4"/>
        <v>OK</v>
      </c>
      <c r="C140" s="18">
        <f>'Annual P&amp;L'!K35</f>
        <v>2357.8960000000002</v>
      </c>
      <c r="D140" s="18">
        <f>'Raw Financials'!K25</f>
        <v>2357.7930000000001</v>
      </c>
      <c r="E140" s="18">
        <f t="shared" si="5"/>
        <v>0.10300000000006548</v>
      </c>
      <c r="F140" s="1">
        <v>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 t="s">
        <v>3394</v>
      </c>
      <c r="B141" s="18" t="str">
        <f t="shared" si="4"/>
        <v>OK</v>
      </c>
      <c r="C141" s="18">
        <f>MAX(0,'Revenue Drivers'!K9-'Revenue Drivers'!K6)</f>
        <v>0</v>
      </c>
      <c r="D141" s="18">
        <f>0</f>
        <v>0</v>
      </c>
      <c r="E141" s="18">
        <f t="shared" si="5"/>
        <v>0</v>
      </c>
      <c r="F141" s="1"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 t="s">
        <v>3395</v>
      </c>
      <c r="B142" s="18" t="str">
        <f t="shared" si="4"/>
        <v>OK</v>
      </c>
      <c r="C142" s="18">
        <f>MAX(0,'Revenue Drivers'!K11-'Revenue Drivers'!K9)</f>
        <v>0</v>
      </c>
      <c r="D142" s="18">
        <f>0</f>
        <v>0</v>
      </c>
      <c r="E142" s="18">
        <f t="shared" si="5"/>
        <v>0</v>
      </c>
      <c r="F142" s="1"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 t="s">
        <v>3396</v>
      </c>
      <c r="B143" s="18" t="str">
        <f t="shared" si="4"/>
        <v>OK</v>
      </c>
      <c r="C143" s="18">
        <f>'Geography &amp; Currency'!K14</f>
        <v>1</v>
      </c>
      <c r="D143" s="18">
        <f>1</f>
        <v>1</v>
      </c>
      <c r="E143" s="18">
        <f t="shared" si="5"/>
        <v>0</v>
      </c>
      <c r="F143" s="1">
        <v>2E-3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 t="s">
        <v>3397</v>
      </c>
      <c r="B144" s="18" t="str">
        <f t="shared" si="4"/>
        <v>OK</v>
      </c>
      <c r="C144" s="18">
        <f>'Geography &amp; Currency'!K35</f>
        <v>0.99999999999999989</v>
      </c>
      <c r="D144" s="18">
        <f>1</f>
        <v>1</v>
      </c>
      <c r="E144" s="18">
        <f t="shared" si="5"/>
        <v>0</v>
      </c>
      <c r="F144" s="1">
        <v>6.0000000000000001E-3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 t="s">
        <v>3398</v>
      </c>
      <c r="B145" s="18" t="str">
        <f t="shared" si="4"/>
        <v>OK</v>
      </c>
      <c r="C145" s="18">
        <f>SUM('Quarterly P&amp;L'!AM6:AP6)</f>
        <v>52988.300303977921</v>
      </c>
      <c r="D145" s="18">
        <f>'Annual P&amp;L'!L7</f>
        <v>52988.300303977914</v>
      </c>
      <c r="E145" s="18">
        <f t="shared" si="5"/>
        <v>0</v>
      </c>
      <c r="F145" s="1">
        <v>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 t="s">
        <v>3399</v>
      </c>
      <c r="B146" s="18" t="str">
        <f t="shared" si="4"/>
        <v>OK</v>
      </c>
      <c r="C146" s="18">
        <f>SUM('Quarterly P&amp;L'!AM13:AP13)</f>
        <v>6991.0867365779159</v>
      </c>
      <c r="D146" s="18">
        <f>'Annual P&amp;L'!L15</f>
        <v>6991.0846331270659</v>
      </c>
      <c r="E146" s="18">
        <f t="shared" si="5"/>
        <v>2.1034508499724325E-3</v>
      </c>
      <c r="F146" s="1">
        <v>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 t="s">
        <v>3400</v>
      </c>
      <c r="B147" s="18" t="str">
        <f t="shared" si="4"/>
        <v>OK</v>
      </c>
      <c r="C147" s="18">
        <f>SUM('Quarterly P&amp;L'!AM16:AP16)</f>
        <v>5138.1867365779162</v>
      </c>
      <c r="D147" s="18">
        <f>'Annual P&amp;L'!L20</f>
        <v>5138.2428334690994</v>
      </c>
      <c r="E147" s="18">
        <f t="shared" si="5"/>
        <v>-5.6096891183187836E-2</v>
      </c>
      <c r="F147" s="1">
        <v>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 t="s">
        <v>3401</v>
      </c>
      <c r="B148" s="18" t="str">
        <f t="shared" si="4"/>
        <v>OK</v>
      </c>
      <c r="C148" s="18">
        <f>SUM('Quarterly P&amp;L'!AM25:AP25)</f>
        <v>5653.1863697739154</v>
      </c>
      <c r="D148" s="18">
        <f>'Annual P&amp;L'!L29</f>
        <v>5653.2417544192995</v>
      </c>
      <c r="E148" s="18">
        <f t="shared" si="5"/>
        <v>-5.5384645384037867E-2</v>
      </c>
      <c r="F148" s="1">
        <v>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 t="s">
        <v>3402</v>
      </c>
      <c r="B149" s="18" t="str">
        <f t="shared" si="4"/>
        <v>OK</v>
      </c>
      <c r="C149" s="18">
        <f>SUM('Quarterly P&amp;L'!AM29:AP29)</f>
        <v>4251.4863697739147</v>
      </c>
      <c r="D149" s="18">
        <f>'Annual P&amp;L'!L35</f>
        <v>4251.5417544192997</v>
      </c>
      <c r="E149" s="18">
        <f t="shared" si="5"/>
        <v>-5.5384645384947362E-2</v>
      </c>
      <c r="F149" s="1">
        <v>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 t="s">
        <v>3403</v>
      </c>
      <c r="B150" s="18" t="str">
        <f t="shared" si="4"/>
        <v>OK</v>
      </c>
      <c r="C150" s="18">
        <f>'Annual P&amp;L'!L40</f>
        <v>47.906127978815775</v>
      </c>
      <c r="D150" s="18">
        <f>'Annual P&amp;L'!L42</f>
        <v>47.906127978815775</v>
      </c>
      <c r="E150" s="18">
        <f t="shared" si="5"/>
        <v>0</v>
      </c>
      <c r="F150" s="1">
        <v>0.02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 t="s">
        <v>3404</v>
      </c>
      <c r="B151" s="18" t="str">
        <f t="shared" si="4"/>
        <v>OK</v>
      </c>
      <c r="C151" s="18">
        <f>'Annual P&amp;L'!L29</f>
        <v>5653.2417544192995</v>
      </c>
      <c r="D151" s="18">
        <f>IF('Raw Financials'!L21=0,SUM('Quarterly P&amp;L'!AM25:AP25),'Raw Financials'!L21)</f>
        <v>5653.2417544192986</v>
      </c>
      <c r="E151" s="18">
        <f t="shared" si="5"/>
        <v>0</v>
      </c>
      <c r="F151" s="1">
        <v>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 t="s">
        <v>3405</v>
      </c>
      <c r="B152" s="18" t="str">
        <f t="shared" si="4"/>
        <v>OK</v>
      </c>
      <c r="C152" s="18">
        <f>'Annual P&amp;L'!L35</f>
        <v>4251.5417544192997</v>
      </c>
      <c r="D152" s="18">
        <f>'Raw Financials'!L25</f>
        <v>4251.5417544192997</v>
      </c>
      <c r="E152" s="18">
        <f t="shared" si="5"/>
        <v>0</v>
      </c>
      <c r="F152" s="1">
        <v>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 t="s">
        <v>3406</v>
      </c>
      <c r="B153" s="18" t="str">
        <f t="shared" si="4"/>
        <v>OK</v>
      </c>
      <c r="C153" s="18">
        <f>MAX(0,'Revenue Drivers'!L9-'Revenue Drivers'!L6)</f>
        <v>0</v>
      </c>
      <c r="D153" s="18">
        <f>0</f>
        <v>0</v>
      </c>
      <c r="E153" s="18">
        <f t="shared" si="5"/>
        <v>0</v>
      </c>
      <c r="F153" s="1"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 t="s">
        <v>3407</v>
      </c>
      <c r="B154" s="18" t="str">
        <f t="shared" si="4"/>
        <v>OK</v>
      </c>
      <c r="C154" s="18">
        <f>MAX(0,'Revenue Drivers'!L11-'Revenue Drivers'!L9)</f>
        <v>0</v>
      </c>
      <c r="D154" s="18">
        <f>0</f>
        <v>0</v>
      </c>
      <c r="E154" s="18">
        <f t="shared" si="5"/>
        <v>0</v>
      </c>
      <c r="F154" s="1"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 t="s">
        <v>3408</v>
      </c>
      <c r="B155" s="18" t="str">
        <f t="shared" si="4"/>
        <v>OK</v>
      </c>
      <c r="C155" s="18">
        <f>'Geography &amp; Currency'!L14</f>
        <v>1.0000999999999998</v>
      </c>
      <c r="D155" s="18">
        <f>1</f>
        <v>1</v>
      </c>
      <c r="E155" s="18">
        <f t="shared" si="5"/>
        <v>9.9999999999766942E-5</v>
      </c>
      <c r="F155" s="1">
        <v>2E-3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 t="s">
        <v>3409</v>
      </c>
      <c r="B156" s="18" t="str">
        <f t="shared" si="4"/>
        <v>OK</v>
      </c>
      <c r="C156" s="18">
        <f>'Geography &amp; Currency'!L35</f>
        <v>0.99986350501229548</v>
      </c>
      <c r="D156" s="18">
        <f>1</f>
        <v>1</v>
      </c>
      <c r="E156" s="18">
        <f t="shared" si="5"/>
        <v>-1.3649498770451629E-4</v>
      </c>
      <c r="F156" s="1">
        <v>6.0000000000000001E-3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 t="s">
        <v>3410</v>
      </c>
      <c r="B157" s="18" t="str">
        <f t="shared" si="4"/>
        <v>OK</v>
      </c>
      <c r="C157" s="18">
        <f>SUM('Quarterly P&amp;L'!AQ6:AT6)</f>
        <v>56815.399599999771</v>
      </c>
      <c r="D157" s="18">
        <f>'Annual P&amp;L'!M7</f>
        <v>56815.399599999764</v>
      </c>
      <c r="E157" s="18">
        <f t="shared" si="5"/>
        <v>0</v>
      </c>
      <c r="F157" s="1">
        <v>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 t="s">
        <v>3411</v>
      </c>
      <c r="B158" s="18" t="str">
        <f t="shared" si="4"/>
        <v>OK</v>
      </c>
      <c r="C158" s="18">
        <f>SUM('Quarterly P&amp;L'!AQ13:AT13)</f>
        <v>9034.099518588504</v>
      </c>
      <c r="D158" s="18">
        <f>'Annual P&amp;L'!M15</f>
        <v>9034.0995185884894</v>
      </c>
      <c r="E158" s="18">
        <f t="shared" si="5"/>
        <v>1.4551915228366852E-11</v>
      </c>
      <c r="F158" s="1">
        <v>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 t="s">
        <v>3412</v>
      </c>
      <c r="B159" s="18" t="str">
        <f t="shared" si="4"/>
        <v>OK</v>
      </c>
      <c r="C159" s="18">
        <f>SUM('Quarterly P&amp;L'!AQ16:AT16)</f>
        <v>7152.4995185881107</v>
      </c>
      <c r="D159" s="18">
        <f>'Annual P&amp;L'!M20</f>
        <v>7152.4995185881071</v>
      </c>
      <c r="E159" s="18">
        <f t="shared" si="5"/>
        <v>0</v>
      </c>
      <c r="F159" s="1">
        <v>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 t="s">
        <v>3413</v>
      </c>
      <c r="B160" s="18" t="str">
        <f t="shared" si="4"/>
        <v>OK</v>
      </c>
      <c r="C160" s="18">
        <f>SUM('Quarterly P&amp;L'!AQ25:AT25)</f>
        <v>6573.0995185123529</v>
      </c>
      <c r="D160" s="18">
        <f>'Annual P&amp;L'!M29</f>
        <v>6573.0995185123502</v>
      </c>
      <c r="E160" s="18">
        <f t="shared" si="5"/>
        <v>0</v>
      </c>
      <c r="F160" s="1">
        <v>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 t="s">
        <v>3414</v>
      </c>
      <c r="B161" s="18" t="str">
        <f t="shared" si="4"/>
        <v>OK</v>
      </c>
      <c r="C161" s="18">
        <f>SUM('Quarterly P&amp;L'!AQ29:AT29)</f>
        <v>4810.8996096165029</v>
      </c>
      <c r="D161" s="18">
        <f>'Annual P&amp;L'!M35</f>
        <v>4810.8996096165001</v>
      </c>
      <c r="E161" s="18">
        <f t="shared" si="5"/>
        <v>0</v>
      </c>
      <c r="F161" s="1">
        <v>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 t="s">
        <v>3415</v>
      </c>
      <c r="B162" s="18" t="str">
        <f t="shared" si="4"/>
        <v>OK</v>
      </c>
      <c r="C162" s="18">
        <f>'Annual P&amp;L'!M40</f>
        <v>54.189099296056625</v>
      </c>
      <c r="D162" s="18">
        <f>'Annual P&amp;L'!M42</f>
        <v>54.189099296056625</v>
      </c>
      <c r="E162" s="18">
        <f t="shared" si="5"/>
        <v>0</v>
      </c>
      <c r="F162" s="1">
        <v>0.02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 t="s">
        <v>3416</v>
      </c>
      <c r="B163" s="18" t="str">
        <f t="shared" si="4"/>
        <v>OK</v>
      </c>
      <c r="C163" s="18">
        <f>'Annual P&amp;L'!M29</f>
        <v>6573.0995185123502</v>
      </c>
      <c r="D163" s="18">
        <f>IF('Raw Financials'!M21=0,SUM('Quarterly P&amp;L'!AQ25:AT25),'Raw Financials'!M21)</f>
        <v>6573.0995185123511</v>
      </c>
      <c r="E163" s="18">
        <f t="shared" si="5"/>
        <v>0</v>
      </c>
      <c r="F163" s="1">
        <v>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 t="s">
        <v>3417</v>
      </c>
      <c r="B164" s="18" t="str">
        <f t="shared" si="4"/>
        <v>OK</v>
      </c>
      <c r="C164" s="18">
        <f>'Annual P&amp;L'!M35</f>
        <v>4810.8996096165001</v>
      </c>
      <c r="D164" s="18">
        <f>'Raw Financials'!M25</f>
        <v>4810.8996096165001</v>
      </c>
      <c r="E164" s="18">
        <f t="shared" si="5"/>
        <v>0</v>
      </c>
      <c r="F164" s="1">
        <v>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 t="s">
        <v>3418</v>
      </c>
      <c r="B165" s="18" t="str">
        <f t="shared" si="4"/>
        <v>OK</v>
      </c>
      <c r="C165" s="18">
        <f>MAX(0,'Revenue Drivers'!M9-'Revenue Drivers'!M6)</f>
        <v>0</v>
      </c>
      <c r="D165" s="18">
        <f>0</f>
        <v>0</v>
      </c>
      <c r="E165" s="18">
        <f t="shared" si="5"/>
        <v>0</v>
      </c>
      <c r="F165" s="1"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 t="s">
        <v>3419</v>
      </c>
      <c r="B166" s="18" t="str">
        <f t="shared" si="4"/>
        <v>OK</v>
      </c>
      <c r="C166" s="18">
        <f>MAX(0,'Revenue Drivers'!M11-'Revenue Drivers'!M9)</f>
        <v>0</v>
      </c>
      <c r="D166" s="18">
        <f>0</f>
        <v>0</v>
      </c>
      <c r="E166" s="18">
        <f t="shared" si="5"/>
        <v>0</v>
      </c>
      <c r="F166" s="1"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 t="s">
        <v>3420</v>
      </c>
      <c r="B167" s="18" t="str">
        <f t="shared" si="4"/>
        <v>OK</v>
      </c>
      <c r="C167" s="18">
        <f>'Geography &amp; Currency'!M14</f>
        <v>0.99998922858878059</v>
      </c>
      <c r="D167" s="18">
        <f>1</f>
        <v>1</v>
      </c>
      <c r="E167" s="18">
        <f t="shared" si="5"/>
        <v>-1.0771411219412386E-5</v>
      </c>
      <c r="F167" s="1">
        <v>2E-3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 t="s">
        <v>3421</v>
      </c>
      <c r="B168" s="18" t="str">
        <f t="shared" si="4"/>
        <v>OK</v>
      </c>
      <c r="C168" s="18">
        <f>'Geography &amp; Currency'!M35</f>
        <v>1</v>
      </c>
      <c r="D168" s="18">
        <f>1</f>
        <v>1</v>
      </c>
      <c r="E168" s="18">
        <f t="shared" si="5"/>
        <v>0</v>
      </c>
      <c r="F168" s="1">
        <v>6.0000000000000001E-3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 t="s">
        <v>3422</v>
      </c>
      <c r="B169" s="18" t="str">
        <f t="shared" si="4"/>
        <v>OK</v>
      </c>
      <c r="C169" s="18">
        <f>'Revenue Drivers'!N30</f>
        <v>58225.878004588383</v>
      </c>
      <c r="D169" s="18">
        <f>'Annual P&amp;L'!N7</f>
        <v>58225.878004588383</v>
      </c>
      <c r="E169" s="18">
        <f t="shared" si="5"/>
        <v>0</v>
      </c>
      <c r="F169" s="1">
        <v>0.5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 t="s">
        <v>3423</v>
      </c>
      <c r="B170" s="18" t="str">
        <f t="shared" si="4"/>
        <v>OK</v>
      </c>
      <c r="C170" s="18">
        <f>'Industry Revenue'!N58</f>
        <v>1</v>
      </c>
      <c r="D170" s="18">
        <f>1</f>
        <v>1</v>
      </c>
      <c r="E170" s="18">
        <f t="shared" si="5"/>
        <v>0</v>
      </c>
      <c r="F170" s="1">
        <v>2E-3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 t="s">
        <v>3424</v>
      </c>
      <c r="B171" s="18" t="str">
        <f t="shared" si="4"/>
        <v>OK</v>
      </c>
      <c r="C171" s="18">
        <f>'Industry Revenue'!N59</f>
        <v>58225.878004588383</v>
      </c>
      <c r="D171" s="18">
        <f>'Annual P&amp;L'!N7</f>
        <v>58225.878004588383</v>
      </c>
      <c r="E171" s="18">
        <f t="shared" si="5"/>
        <v>0</v>
      </c>
      <c r="F171" s="1">
        <v>0.5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 t="s">
        <v>3425</v>
      </c>
      <c r="B172" s="18" t="str">
        <f t="shared" si="4"/>
        <v>OK</v>
      </c>
      <c r="C172" s="18">
        <f>MAX(0,'Revenue Drivers'!N9-'Revenue Drivers'!N6)</f>
        <v>0</v>
      </c>
      <c r="D172" s="18">
        <f>0</f>
        <v>0</v>
      </c>
      <c r="E172" s="18">
        <f t="shared" si="5"/>
        <v>0</v>
      </c>
      <c r="F172" s="1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 t="s">
        <v>3426</v>
      </c>
      <c r="B173" s="18" t="str">
        <f t="shared" si="4"/>
        <v>OK</v>
      </c>
      <c r="C173" s="18">
        <f>MAX(0,'Revenue Drivers'!N11-'Revenue Drivers'!N9)</f>
        <v>0</v>
      </c>
      <c r="D173" s="18">
        <f>0</f>
        <v>0</v>
      </c>
      <c r="E173" s="18">
        <f t="shared" si="5"/>
        <v>0</v>
      </c>
      <c r="F173" s="1"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 t="s">
        <v>3427</v>
      </c>
      <c r="B174" s="18" t="str">
        <f t="shared" si="4"/>
        <v>OK</v>
      </c>
      <c r="C174" s="18">
        <f>'Revenue Drivers'!O30</f>
        <v>60460.105140546773</v>
      </c>
      <c r="D174" s="18">
        <f>'Annual P&amp;L'!O7</f>
        <v>60460.105140546773</v>
      </c>
      <c r="E174" s="18">
        <f t="shared" si="5"/>
        <v>0</v>
      </c>
      <c r="F174" s="1">
        <v>0.5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 t="s">
        <v>3428</v>
      </c>
      <c r="B175" s="18" t="str">
        <f t="shared" si="4"/>
        <v>OK</v>
      </c>
      <c r="C175" s="18">
        <f>'Industry Revenue'!O58</f>
        <v>1</v>
      </c>
      <c r="D175" s="18">
        <f>1</f>
        <v>1</v>
      </c>
      <c r="E175" s="18">
        <f t="shared" si="5"/>
        <v>0</v>
      </c>
      <c r="F175" s="1">
        <v>2E-3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 t="s">
        <v>3429</v>
      </c>
      <c r="B176" s="18" t="str">
        <f t="shared" si="4"/>
        <v>OK</v>
      </c>
      <c r="C176" s="18">
        <f>'Industry Revenue'!O59</f>
        <v>60460.105140546766</v>
      </c>
      <c r="D176" s="18">
        <f>'Annual P&amp;L'!O7</f>
        <v>60460.105140546773</v>
      </c>
      <c r="E176" s="18">
        <f t="shared" si="5"/>
        <v>0</v>
      </c>
      <c r="F176" s="1">
        <v>0.5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 t="s">
        <v>3430</v>
      </c>
      <c r="B177" s="18" t="str">
        <f t="shared" si="4"/>
        <v>OK</v>
      </c>
      <c r="C177" s="18">
        <f>MAX(0,'Revenue Drivers'!O9-'Revenue Drivers'!O6)</f>
        <v>0</v>
      </c>
      <c r="D177" s="18">
        <f>0</f>
        <v>0</v>
      </c>
      <c r="E177" s="18">
        <f t="shared" si="5"/>
        <v>0</v>
      </c>
      <c r="F177" s="1"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 t="s">
        <v>3431</v>
      </c>
      <c r="B178" s="18" t="str">
        <f t="shared" si="4"/>
        <v>OK</v>
      </c>
      <c r="C178" s="18">
        <f>MAX(0,'Revenue Drivers'!O11-'Revenue Drivers'!O9)</f>
        <v>0</v>
      </c>
      <c r="D178" s="18">
        <f>0</f>
        <v>0</v>
      </c>
      <c r="E178" s="18">
        <f t="shared" si="5"/>
        <v>0</v>
      </c>
      <c r="F178" s="1"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 t="s">
        <v>3432</v>
      </c>
      <c r="B179" s="18" t="str">
        <f t="shared" si="4"/>
        <v>OK</v>
      </c>
      <c r="C179" s="18">
        <f>'Revenue Drivers'!P30</f>
        <v>63337.981622471256</v>
      </c>
      <c r="D179" s="18">
        <f>'Annual P&amp;L'!P7</f>
        <v>63337.981622471256</v>
      </c>
      <c r="E179" s="18">
        <f t="shared" si="5"/>
        <v>0</v>
      </c>
      <c r="F179" s="1">
        <v>0.5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 t="s">
        <v>3433</v>
      </c>
      <c r="B180" s="18" t="str">
        <f t="shared" si="4"/>
        <v>OK</v>
      </c>
      <c r="C180" s="18">
        <f>'Industry Revenue'!P58</f>
        <v>1</v>
      </c>
      <c r="D180" s="18">
        <f>1</f>
        <v>1</v>
      </c>
      <c r="E180" s="18">
        <f t="shared" si="5"/>
        <v>0</v>
      </c>
      <c r="F180" s="1">
        <v>2E-3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 t="s">
        <v>3434</v>
      </c>
      <c r="B181" s="18" t="str">
        <f t="shared" si="4"/>
        <v>OK</v>
      </c>
      <c r="C181" s="18">
        <f>'Industry Revenue'!P59</f>
        <v>63337.981622471256</v>
      </c>
      <c r="D181" s="18">
        <f>'Annual P&amp;L'!P7</f>
        <v>63337.981622471256</v>
      </c>
      <c r="E181" s="18">
        <f t="shared" si="5"/>
        <v>0</v>
      </c>
      <c r="F181" s="1">
        <v>0.5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 t="s">
        <v>3435</v>
      </c>
      <c r="B182" s="18" t="str">
        <f t="shared" si="4"/>
        <v>OK</v>
      </c>
      <c r="C182" s="18">
        <f>MAX(0,'Revenue Drivers'!P9-'Revenue Drivers'!P6)</f>
        <v>0</v>
      </c>
      <c r="D182" s="18">
        <f>0</f>
        <v>0</v>
      </c>
      <c r="E182" s="18">
        <f t="shared" si="5"/>
        <v>0</v>
      </c>
      <c r="F182" s="1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 t="s">
        <v>3436</v>
      </c>
      <c r="B183" s="18" t="str">
        <f t="shared" si="4"/>
        <v>OK</v>
      </c>
      <c r="C183" s="18">
        <f>MAX(0,'Revenue Drivers'!P11-'Revenue Drivers'!P9)</f>
        <v>0</v>
      </c>
      <c r="D183" s="18">
        <f>0</f>
        <v>0</v>
      </c>
      <c r="E183" s="18">
        <f t="shared" si="5"/>
        <v>0</v>
      </c>
      <c r="F183" s="1">
        <v>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 t="s">
        <v>3437</v>
      </c>
      <c r="B184" s="18" t="str">
        <f t="shared" si="4"/>
        <v>OK</v>
      </c>
      <c r="C184" s="18">
        <f>'Revenue Drivers'!Q30</f>
        <v>66753.180321994849</v>
      </c>
      <c r="D184" s="18">
        <f>'Annual P&amp;L'!Q7</f>
        <v>66753.180321994849</v>
      </c>
      <c r="E184" s="18">
        <f t="shared" si="5"/>
        <v>0</v>
      </c>
      <c r="F184" s="1">
        <v>0.5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 t="s">
        <v>3438</v>
      </c>
      <c r="B185" s="18" t="str">
        <f t="shared" si="4"/>
        <v>OK</v>
      </c>
      <c r="C185" s="18">
        <f>'Industry Revenue'!Q58</f>
        <v>1</v>
      </c>
      <c r="D185" s="18">
        <f>1</f>
        <v>1</v>
      </c>
      <c r="E185" s="18">
        <f t="shared" si="5"/>
        <v>0</v>
      </c>
      <c r="F185" s="1">
        <v>2E-3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 t="s">
        <v>3439</v>
      </c>
      <c r="B186" s="18" t="str">
        <f t="shared" si="4"/>
        <v>OK</v>
      </c>
      <c r="C186" s="18">
        <f>'Industry Revenue'!Q59</f>
        <v>66753.180321994834</v>
      </c>
      <c r="D186" s="18">
        <f>'Annual P&amp;L'!Q7</f>
        <v>66753.180321994849</v>
      </c>
      <c r="E186" s="18">
        <f t="shared" si="5"/>
        <v>0</v>
      </c>
      <c r="F186" s="1">
        <v>0.5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 t="s">
        <v>3440</v>
      </c>
      <c r="B187" s="18" t="str">
        <f t="shared" si="4"/>
        <v>OK</v>
      </c>
      <c r="C187" s="18">
        <f>MAX(0,'Revenue Drivers'!Q9-'Revenue Drivers'!Q6)</f>
        <v>0</v>
      </c>
      <c r="D187" s="18">
        <f>0</f>
        <v>0</v>
      </c>
      <c r="E187" s="18">
        <f t="shared" si="5"/>
        <v>0</v>
      </c>
      <c r="F187" s="1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 t="s">
        <v>3441</v>
      </c>
      <c r="B188" s="18" t="str">
        <f t="shared" si="4"/>
        <v>OK</v>
      </c>
      <c r="C188" s="18">
        <f>MAX(0,'Revenue Drivers'!Q11-'Revenue Drivers'!Q9)</f>
        <v>0</v>
      </c>
      <c r="D188" s="18">
        <f>0</f>
        <v>0</v>
      </c>
      <c r="E188" s="18">
        <f t="shared" si="5"/>
        <v>0</v>
      </c>
      <c r="F188" s="1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 t="s">
        <v>3442</v>
      </c>
      <c r="B189" s="18" t="str">
        <f t="shared" si="4"/>
        <v>OK</v>
      </c>
      <c r="C189" s="18">
        <f>COUNT('Annual Cash Flow'!C65:M65)</f>
        <v>11</v>
      </c>
      <c r="D189" s="18">
        <f>11</f>
        <v>11</v>
      </c>
      <c r="E189" s="18">
        <f t="shared" si="5"/>
        <v>0</v>
      </c>
      <c r="F189" s="1"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 t="s">
        <v>3443</v>
      </c>
      <c r="B190" s="18" t="str">
        <f t="shared" si="4"/>
        <v>OK</v>
      </c>
      <c r="C190" s="18">
        <f>COUNT('Raw Financials'!C91:M91)+COUNT('Raw Financials'!C114:M114)</f>
        <v>22</v>
      </c>
      <c r="D190" s="18">
        <f>22</f>
        <v>22</v>
      </c>
      <c r="E190" s="18">
        <f t="shared" si="5"/>
        <v>0</v>
      </c>
      <c r="F190" s="1"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 t="s">
        <v>3444</v>
      </c>
      <c r="B191" s="2" t="str">
        <f t="shared" si="4"/>
        <v>OK</v>
      </c>
      <c r="C191" s="21">
        <f>'Quarterly P&amp;L'!AU10</f>
        <v>4786</v>
      </c>
      <c r="D191" s="21">
        <f>'Quarterly P&amp;L'!AU6-'Quarterly P&amp;L'!AU9</f>
        <v>4786</v>
      </c>
      <c r="E191" s="21">
        <f t="shared" si="5"/>
        <v>0</v>
      </c>
      <c r="F191" s="55">
        <v>0.1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 t="s">
        <v>3445</v>
      </c>
      <c r="B192" s="2" t="str">
        <f t="shared" si="4"/>
        <v>OK</v>
      </c>
      <c r="C192" s="21">
        <f>'Quarterly P&amp;L'!AU13</f>
        <v>2742.5</v>
      </c>
      <c r="D192" s="21">
        <f>'Quarterly P&amp;L'!AU10-'Quarterly P&amp;L'!AU12</f>
        <v>2742.5</v>
      </c>
      <c r="E192" s="21">
        <f t="shared" si="5"/>
        <v>0</v>
      </c>
      <c r="F192" s="55">
        <v>0.1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 t="s">
        <v>3446</v>
      </c>
      <c r="B193" s="2" t="str">
        <f t="shared" si="4"/>
        <v>OK</v>
      </c>
      <c r="C193" s="21">
        <f>'Quarterly P&amp;L'!AU16</f>
        <v>2263.9</v>
      </c>
      <c r="D193" s="21">
        <f>'Quarterly P&amp;L'!AU13-'Quarterly P&amp;L'!AU15</f>
        <v>2263.9</v>
      </c>
      <c r="E193" s="21">
        <f t="shared" si="5"/>
        <v>0</v>
      </c>
      <c r="F193" s="55">
        <v>0.1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 t="s">
        <v>3447</v>
      </c>
      <c r="B194" s="2" t="str">
        <f t="shared" si="4"/>
        <v>OK</v>
      </c>
      <c r="C194" s="21">
        <f>'Quarterly P&amp;L'!AU25</f>
        <v>2041.9</v>
      </c>
      <c r="D194" s="21">
        <f>SUM('Quarterly P&amp;L'!AU16,-'Quarterly P&amp;L'!AU18,'Quarterly P&amp;L'!AU19:AU20,-'Quarterly P&amp;L'!AU21,'Quarterly P&amp;L'!AU22)-'Quarterly P&amp;L'!AU24</f>
        <v>2041.9</v>
      </c>
      <c r="E194" s="21">
        <f t="shared" si="5"/>
        <v>0</v>
      </c>
      <c r="F194" s="55">
        <v>0.1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 t="s">
        <v>3448</v>
      </c>
      <c r="B195" s="2" t="str">
        <f t="shared" si="4"/>
        <v>OK</v>
      </c>
      <c r="C195" s="21">
        <f>'Quarterly P&amp;L'!AU29</f>
        <v>1465.1000000000001</v>
      </c>
      <c r="D195" s="21">
        <f>'Quarterly P&amp;L'!AU27-'Quarterly P&amp;L'!AU28</f>
        <v>1465.1000000000001</v>
      </c>
      <c r="E195" s="21">
        <f t="shared" si="5"/>
        <v>0</v>
      </c>
      <c r="F195" s="55">
        <v>0.1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 t="s">
        <v>3449</v>
      </c>
      <c r="B196" s="2" t="str">
        <f t="shared" si="4"/>
        <v>OK</v>
      </c>
      <c r="C196" s="21">
        <f>SUM('Q1 FY27 Update'!E33:E35)</f>
        <v>146760</v>
      </c>
      <c r="D196" s="21">
        <f>'Q1 FY27 Update'!E32</f>
        <v>146760</v>
      </c>
      <c r="E196" s="21">
        <f t="shared" si="5"/>
        <v>0</v>
      </c>
      <c r="F196" s="55"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 t="s">
        <v>3450</v>
      </c>
      <c r="B197" s="2" t="str">
        <f t="shared" si="4"/>
        <v>OK</v>
      </c>
      <c r="C197" s="21">
        <f>SUM('Q1 FY27 Update'!E60:E66)</f>
        <v>1</v>
      </c>
      <c r="D197" s="21">
        <f>1</f>
        <v>1</v>
      </c>
      <c r="E197" s="21">
        <f t="shared" si="5"/>
        <v>0</v>
      </c>
      <c r="F197" s="55">
        <v>2E-3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 t="s">
        <v>3451</v>
      </c>
      <c r="B198" s="2" t="str">
        <f t="shared" si="4"/>
        <v>OK</v>
      </c>
      <c r="C198" s="21">
        <f>SUM('Q1 FY27 Update'!E57:E59)</f>
        <v>1</v>
      </c>
      <c r="D198" s="21">
        <f>1</f>
        <v>1</v>
      </c>
      <c r="E198" s="21">
        <f t="shared" si="5"/>
        <v>0</v>
      </c>
      <c r="F198" s="55">
        <v>2E-3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 t="s">
        <v>3452</v>
      </c>
      <c r="B199" s="2" t="str">
        <f t="shared" ref="B199:B230" si="6">IF(ABS(E199)&lt;=F199,"OK","FAIL")</f>
        <v>OK</v>
      </c>
      <c r="C199" s="21">
        <f>SUM('Q1 FY27 Update'!E67:E71)</f>
        <v>1</v>
      </c>
      <c r="D199" s="21">
        <f>1</f>
        <v>1</v>
      </c>
      <c r="E199" s="21">
        <f t="shared" ref="E199:E262" si="7">C199-D199</f>
        <v>0</v>
      </c>
      <c r="F199" s="55">
        <v>2E-3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 t="s">
        <v>3453</v>
      </c>
      <c r="B200" s="2" t="str">
        <f t="shared" si="6"/>
        <v>OK</v>
      </c>
      <c r="C200" s="21">
        <f>'Q1 FY27 Update'!C76</f>
        <v>50390.9</v>
      </c>
      <c r="D200" s="21">
        <f>'Q1 FY27 Update'!C77</f>
        <v>50390.9</v>
      </c>
      <c r="E200" s="21">
        <f t="shared" si="7"/>
        <v>0</v>
      </c>
      <c r="F200" s="55">
        <v>0.1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 t="s">
        <v>3454</v>
      </c>
      <c r="B201" s="2" t="str">
        <f t="shared" si="6"/>
        <v>OK</v>
      </c>
      <c r="C201" s="21">
        <f>'Q1 FY27 Update'!C86</f>
        <v>4673.7</v>
      </c>
      <c r="D201" s="21">
        <f>'Q1 FY27 Update'!D86</f>
        <v>4673.7000000000007</v>
      </c>
      <c r="E201" s="21">
        <f t="shared" si="7"/>
        <v>0</v>
      </c>
      <c r="F201" s="55">
        <v>0.1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 t="s">
        <v>3455</v>
      </c>
      <c r="B202" s="2" t="str">
        <f t="shared" si="6"/>
        <v>OK</v>
      </c>
      <c r="C202" s="21">
        <f>'Annual Balance Sheet'!N25</f>
        <v>3493.5526802753029</v>
      </c>
      <c r="D202" s="21">
        <f>'Annual P&amp;L'!N7*Assumptions!C61</f>
        <v>3493.5526802753029</v>
      </c>
      <c r="E202" s="21">
        <f t="shared" si="7"/>
        <v>0</v>
      </c>
      <c r="F202" s="55">
        <v>0.1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 t="s">
        <v>3456</v>
      </c>
      <c r="B203" s="2" t="str">
        <f t="shared" si="6"/>
        <v>OK</v>
      </c>
      <c r="C203" s="21">
        <f>'Annual Balance Sheet'!N7</f>
        <v>2338.8595378910545</v>
      </c>
      <c r="D203" s="21">
        <f>'BS Forecast Schedules'!D19</f>
        <v>2338.8595378910545</v>
      </c>
      <c r="E203" s="21">
        <f t="shared" si="7"/>
        <v>0</v>
      </c>
      <c r="F203" s="55">
        <v>0.1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 t="s">
        <v>3457</v>
      </c>
      <c r="B204" s="2" t="str">
        <f t="shared" si="6"/>
        <v>OK</v>
      </c>
      <c r="C204" s="21">
        <f>'Annual Balance Sheet'!N61</f>
        <v>2180.3305360550607</v>
      </c>
      <c r="D204" s="21">
        <f>'BS Forecast Schedules'!D29</f>
        <v>2180.3305360550607</v>
      </c>
      <c r="E204" s="21">
        <f t="shared" si="7"/>
        <v>0</v>
      </c>
      <c r="F204" s="55">
        <v>0.1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 t="s">
        <v>3458</v>
      </c>
      <c r="B205" s="2" t="str">
        <f t="shared" si="6"/>
        <v>OK</v>
      </c>
      <c r="C205" s="21">
        <f>'Annual Balance Sheet'!N60</f>
        <v>69.600000000000009</v>
      </c>
      <c r="D205" s="21">
        <f>'Annual Balance Sheet'!M60+Assumptions!C39</f>
        <v>69.600000000000009</v>
      </c>
      <c r="E205" s="21">
        <f t="shared" si="7"/>
        <v>0</v>
      </c>
      <c r="F205" s="55">
        <v>0.1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 t="s">
        <v>3459</v>
      </c>
      <c r="B206" s="2" t="str">
        <f t="shared" si="6"/>
        <v>OK</v>
      </c>
      <c r="C206" s="21">
        <f>'Annual Balance Sheet'!N37</f>
        <v>30477.734888257219</v>
      </c>
      <c r="D206" s="21">
        <f>'BS Forecast Schedules'!D46</f>
        <v>30477.734888257219</v>
      </c>
      <c r="E206" s="21">
        <f t="shared" si="7"/>
        <v>0</v>
      </c>
      <c r="F206" s="55">
        <v>0.1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 t="s">
        <v>3460</v>
      </c>
      <c r="B207" s="2" t="str">
        <f t="shared" si="6"/>
        <v>OK</v>
      </c>
      <c r="C207" s="21">
        <f>'Annual Balance Sheet'!N28</f>
        <v>6429.2530553321994</v>
      </c>
      <c r="D207" s="21">
        <f>'Annual Cash Flow'!N85</f>
        <v>6429.2530553321994</v>
      </c>
      <c r="E207" s="21">
        <f t="shared" si="7"/>
        <v>0</v>
      </c>
      <c r="F207" s="55">
        <v>0.1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 t="s">
        <v>3461</v>
      </c>
      <c r="B208" s="2" t="str">
        <f t="shared" si="6"/>
        <v>OK</v>
      </c>
      <c r="C208" s="21">
        <f>'BS Forecast Schedules'!D13</f>
        <v>0</v>
      </c>
      <c r="D208" s="21">
        <f>0</f>
        <v>0</v>
      </c>
      <c r="E208" s="21">
        <f t="shared" si="7"/>
        <v>0</v>
      </c>
      <c r="F208" s="55">
        <v>0.1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 t="s">
        <v>3462</v>
      </c>
      <c r="B209" s="2" t="str">
        <f t="shared" si="6"/>
        <v>OK</v>
      </c>
      <c r="C209" s="21">
        <f>'Annual Balance Sheet'!O25</f>
        <v>3627.6063084328061</v>
      </c>
      <c r="D209" s="21">
        <f>'Annual P&amp;L'!O7*Assumptions!D61</f>
        <v>3627.6063084328061</v>
      </c>
      <c r="E209" s="21">
        <f t="shared" si="7"/>
        <v>0</v>
      </c>
      <c r="F209" s="55">
        <v>0.1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 t="s">
        <v>3463</v>
      </c>
      <c r="B210" s="2" t="str">
        <f t="shared" si="6"/>
        <v>OK</v>
      </c>
      <c r="C210" s="21">
        <f>'Annual Balance Sheet'!O7</f>
        <v>2265.4137208680154</v>
      </c>
      <c r="D210" s="21">
        <f>'BS Forecast Schedules'!E19</f>
        <v>2265.4137208680154</v>
      </c>
      <c r="E210" s="21">
        <f t="shared" si="7"/>
        <v>0</v>
      </c>
      <c r="F210" s="55">
        <v>0.1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 t="s">
        <v>3464</v>
      </c>
      <c r="B211" s="2" t="str">
        <f t="shared" si="6"/>
        <v>OK</v>
      </c>
      <c r="C211" s="21">
        <f>'Annual Balance Sheet'!O61</f>
        <v>2251.7526369251041</v>
      </c>
      <c r="D211" s="21">
        <f>'BS Forecast Schedules'!E29</f>
        <v>2251.7526369251041</v>
      </c>
      <c r="E211" s="21">
        <f t="shared" si="7"/>
        <v>0</v>
      </c>
      <c r="F211" s="55">
        <v>0.1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 t="s">
        <v>3465</v>
      </c>
      <c r="B212" s="2" t="str">
        <f t="shared" si="6"/>
        <v>OK</v>
      </c>
      <c r="C212" s="21">
        <f>'Annual Balance Sheet'!O60</f>
        <v>69.600000000000009</v>
      </c>
      <c r="D212" s="21">
        <f>'Annual Balance Sheet'!N60+Assumptions!D39</f>
        <v>69.600000000000009</v>
      </c>
      <c r="E212" s="21">
        <f t="shared" si="7"/>
        <v>0</v>
      </c>
      <c r="F212" s="55">
        <v>0.1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 t="s">
        <v>3466</v>
      </c>
      <c r="B213" s="2" t="str">
        <f t="shared" si="6"/>
        <v>OK</v>
      </c>
      <c r="C213" s="21">
        <f>'Annual Balance Sheet'!O37</f>
        <v>31905.549686196766</v>
      </c>
      <c r="D213" s="21">
        <f>'BS Forecast Schedules'!E46</f>
        <v>31905.549686196766</v>
      </c>
      <c r="E213" s="21">
        <f t="shared" si="7"/>
        <v>0</v>
      </c>
      <c r="F213" s="55">
        <v>0.1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 t="s">
        <v>3467</v>
      </c>
      <c r="B214" s="2" t="str">
        <f t="shared" si="6"/>
        <v>OK</v>
      </c>
      <c r="C214" s="21">
        <f>'Annual Balance Sheet'!O28</f>
        <v>8088.7452425286583</v>
      </c>
      <c r="D214" s="21">
        <f>'Annual Cash Flow'!O85</f>
        <v>8088.7452425286583</v>
      </c>
      <c r="E214" s="21">
        <f t="shared" si="7"/>
        <v>0</v>
      </c>
      <c r="F214" s="55">
        <v>0.1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 t="s">
        <v>3468</v>
      </c>
      <c r="B215" s="2" t="str">
        <f t="shared" si="6"/>
        <v>OK</v>
      </c>
      <c r="C215" s="21">
        <f>'BS Forecast Schedules'!E13</f>
        <v>0</v>
      </c>
      <c r="D215" s="21">
        <f>0</f>
        <v>0</v>
      </c>
      <c r="E215" s="21">
        <f t="shared" si="7"/>
        <v>0</v>
      </c>
      <c r="F215" s="55">
        <v>0.1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 t="s">
        <v>3469</v>
      </c>
      <c r="B216" s="2" t="str">
        <f t="shared" si="6"/>
        <v>OK</v>
      </c>
      <c r="C216" s="21">
        <f>'Annual Balance Sheet'!P25</f>
        <v>3800.2788973482752</v>
      </c>
      <c r="D216" s="21">
        <f>'Annual P&amp;L'!P7*Assumptions!E61</f>
        <v>3800.2788973482752</v>
      </c>
      <c r="E216" s="21">
        <f t="shared" si="7"/>
        <v>0</v>
      </c>
      <c r="F216" s="55">
        <v>0.1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 t="s">
        <v>3470</v>
      </c>
      <c r="B217" s="2" t="str">
        <f t="shared" si="6"/>
        <v>OK</v>
      </c>
      <c r="C217" s="21">
        <f>'Annual Balance Sheet'!P7</f>
        <v>2210.4252858961449</v>
      </c>
      <c r="D217" s="21">
        <f>'BS Forecast Schedules'!F19</f>
        <v>2210.4252858961449</v>
      </c>
      <c r="E217" s="21">
        <f t="shared" si="7"/>
        <v>0</v>
      </c>
      <c r="F217" s="55">
        <v>0.1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 t="s">
        <v>3471</v>
      </c>
      <c r="B218" s="2" t="str">
        <f t="shared" si="6"/>
        <v>OK</v>
      </c>
      <c r="C218" s="21">
        <f>'Annual Balance Sheet'!P61</f>
        <v>2336.2826253172279</v>
      </c>
      <c r="D218" s="21">
        <f>'BS Forecast Schedules'!F29</f>
        <v>2336.2826253172279</v>
      </c>
      <c r="E218" s="21">
        <f t="shared" si="7"/>
        <v>0</v>
      </c>
      <c r="F218" s="55">
        <v>0.1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 t="s">
        <v>3472</v>
      </c>
      <c r="B219" s="2" t="str">
        <f t="shared" si="6"/>
        <v>OK</v>
      </c>
      <c r="C219" s="21">
        <f>'Annual Balance Sheet'!P60</f>
        <v>69.600000000000009</v>
      </c>
      <c r="D219" s="21">
        <f>'Annual Balance Sheet'!O60+Assumptions!E39</f>
        <v>69.600000000000009</v>
      </c>
      <c r="E219" s="21">
        <f t="shared" si="7"/>
        <v>0</v>
      </c>
      <c r="F219" s="55">
        <v>0.1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 t="s">
        <v>3473</v>
      </c>
      <c r="B220" s="2" t="str">
        <f t="shared" si="6"/>
        <v>OK</v>
      </c>
      <c r="C220" s="21">
        <f>'Annual Balance Sheet'!P37</f>
        <v>33481.769698861164</v>
      </c>
      <c r="D220" s="21">
        <f>'BS Forecast Schedules'!F46</f>
        <v>33481.769698861164</v>
      </c>
      <c r="E220" s="21">
        <f t="shared" si="7"/>
        <v>0</v>
      </c>
      <c r="F220" s="55">
        <v>0.1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 t="s">
        <v>3474</v>
      </c>
      <c r="B221" s="2" t="str">
        <f t="shared" si="6"/>
        <v>OK</v>
      </c>
      <c r="C221" s="21">
        <f>'Annual Balance Sheet'!P28</f>
        <v>9738.5618958753694</v>
      </c>
      <c r="D221" s="21">
        <f>'Annual Cash Flow'!P85</f>
        <v>9738.5618958753694</v>
      </c>
      <c r="E221" s="21">
        <f t="shared" si="7"/>
        <v>0</v>
      </c>
      <c r="F221" s="55">
        <v>0.1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 t="s">
        <v>3475</v>
      </c>
      <c r="B222" s="2" t="str">
        <f t="shared" si="6"/>
        <v>OK</v>
      </c>
      <c r="C222" s="21">
        <f>'BS Forecast Schedules'!F13</f>
        <v>0</v>
      </c>
      <c r="D222" s="21">
        <f>0</f>
        <v>0</v>
      </c>
      <c r="E222" s="21">
        <f t="shared" si="7"/>
        <v>0</v>
      </c>
      <c r="F222" s="55">
        <v>0.1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 t="s">
        <v>3476</v>
      </c>
      <c r="B223" s="2" t="str">
        <f t="shared" si="6"/>
        <v>OK</v>
      </c>
      <c r="C223" s="21">
        <f>'Annual Balance Sheet'!Q25</f>
        <v>4005.1908193196909</v>
      </c>
      <c r="D223" s="21">
        <f>'Annual P&amp;L'!Q7*Assumptions!F61</f>
        <v>4005.1908193196909</v>
      </c>
      <c r="E223" s="21">
        <f t="shared" si="7"/>
        <v>0</v>
      </c>
      <c r="F223" s="55">
        <v>0.1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 t="s">
        <v>3477</v>
      </c>
      <c r="B224" s="2" t="str">
        <f t="shared" si="6"/>
        <v>OK</v>
      </c>
      <c r="C224" s="21">
        <f>'Annual Balance Sheet'!Q7</f>
        <v>2175.682616255338</v>
      </c>
      <c r="D224" s="21">
        <f>'BS Forecast Schedules'!G19</f>
        <v>2175.682616255338</v>
      </c>
      <c r="E224" s="21">
        <f t="shared" si="7"/>
        <v>0</v>
      </c>
      <c r="F224" s="55">
        <v>0.1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 t="s">
        <v>3478</v>
      </c>
      <c r="B225" s="2" t="str">
        <f t="shared" si="6"/>
        <v>OK</v>
      </c>
      <c r="C225" s="21">
        <f>'Annual Balance Sheet'!Q61</f>
        <v>2436.4360015859979</v>
      </c>
      <c r="D225" s="21">
        <f>'BS Forecast Schedules'!G29</f>
        <v>2436.4360015859979</v>
      </c>
      <c r="E225" s="21">
        <f t="shared" si="7"/>
        <v>0</v>
      </c>
      <c r="F225" s="55">
        <v>0.1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 t="s">
        <v>3479</v>
      </c>
      <c r="B226" s="2" t="str">
        <f t="shared" si="6"/>
        <v>OK</v>
      </c>
      <c r="C226" s="21">
        <f>'Annual Balance Sheet'!Q60</f>
        <v>69.600000000000009</v>
      </c>
      <c r="D226" s="21">
        <f>'Annual Balance Sheet'!P60+Assumptions!F39</f>
        <v>69.600000000000009</v>
      </c>
      <c r="E226" s="21">
        <f t="shared" si="7"/>
        <v>0</v>
      </c>
      <c r="F226" s="55">
        <v>0.1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 t="s">
        <v>3480</v>
      </c>
      <c r="B227" s="2" t="str">
        <f t="shared" si="6"/>
        <v>OK</v>
      </c>
      <c r="C227" s="21">
        <f>'Annual Balance Sheet'!Q37</f>
        <v>35217.063994845899</v>
      </c>
      <c r="D227" s="21">
        <f>'BS Forecast Schedules'!G46</f>
        <v>35217.063994845899</v>
      </c>
      <c r="E227" s="21">
        <f t="shared" si="7"/>
        <v>0</v>
      </c>
      <c r="F227" s="55">
        <v>0.1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 t="s">
        <v>3481</v>
      </c>
      <c r="B228" s="2" t="str">
        <f t="shared" si="6"/>
        <v>OK</v>
      </c>
      <c r="C228" s="21">
        <f>'Annual Balance Sheet'!Q28</f>
        <v>11488.195648913717</v>
      </c>
      <c r="D228" s="21">
        <f>'Annual Cash Flow'!Q85</f>
        <v>11488.195648913717</v>
      </c>
      <c r="E228" s="21">
        <f t="shared" si="7"/>
        <v>0</v>
      </c>
      <c r="F228" s="55">
        <v>0.1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 t="s">
        <v>3482</v>
      </c>
      <c r="B229" s="2" t="str">
        <f t="shared" si="6"/>
        <v>OK</v>
      </c>
      <c r="C229" s="21">
        <f>'BS Forecast Schedules'!G13</f>
        <v>0</v>
      </c>
      <c r="D229" s="21">
        <f>0</f>
        <v>0</v>
      </c>
      <c r="E229" s="21">
        <f t="shared" si="7"/>
        <v>0</v>
      </c>
      <c r="F229" s="55">
        <v>0.1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 t="s">
        <v>3483</v>
      </c>
      <c r="B230" s="2" t="str">
        <f t="shared" si="6"/>
        <v>OK</v>
      </c>
      <c r="C230" s="21">
        <f>0</f>
        <v>0</v>
      </c>
      <c r="D230" s="21">
        <f>0</f>
        <v>0</v>
      </c>
      <c r="E230" s="21">
        <f t="shared" si="7"/>
        <v>0</v>
      </c>
      <c r="F230" s="55">
        <v>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F1"/>
    <mergeCell ref="A2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05"/>
  <sheetViews>
    <sheetView showGridLines="0" workbookViewId="0"/>
  </sheetViews>
  <sheetFormatPr defaultRowHeight="13.8"/>
  <cols>
    <col min="1" max="1" width="38" customWidth="1"/>
    <col min="2" max="7" width="12" customWidth="1"/>
    <col min="8" max="8" width="22" customWidth="1"/>
    <col min="10" max="10" width="24" customWidth="1"/>
    <col min="11" max="16" width="14" customWidth="1"/>
  </cols>
  <sheetData>
    <row r="1" spans="1:16" ht="25.95" customHeight="1">
      <c r="A1" s="76" t="s">
        <v>3484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18" customHeight="1">
      <c r="A2" s="78" t="s">
        <v>3485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1:16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8" customHeight="1">
      <c r="A4" s="79" t="s">
        <v>3486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14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8" customHeight="1">
      <c r="A6" s="77" t="s">
        <v>3487</v>
      </c>
      <c r="B6" s="77"/>
      <c r="C6" s="77"/>
      <c r="D6" s="77"/>
      <c r="E6" s="77"/>
      <c r="F6" s="77"/>
      <c r="G6" s="77"/>
      <c r="H6" s="77"/>
      <c r="I6" s="2"/>
      <c r="J6" s="77" t="s">
        <v>3488</v>
      </c>
      <c r="K6" s="77"/>
      <c r="L6" s="77"/>
      <c r="M6" s="77"/>
      <c r="N6" s="77"/>
      <c r="O6" s="77"/>
      <c r="P6" s="77"/>
    </row>
    <row r="7" spans="1:16" ht="19.95" customHeight="1">
      <c r="A7" s="47" t="s">
        <v>26</v>
      </c>
      <c r="B7" s="47" t="s">
        <v>27</v>
      </c>
      <c r="C7" s="47" t="s">
        <v>276</v>
      </c>
      <c r="D7" s="47" t="s">
        <v>279</v>
      </c>
      <c r="E7" s="47" t="s">
        <v>280</v>
      </c>
      <c r="F7" s="47" t="s">
        <v>3489</v>
      </c>
      <c r="G7" s="47" t="s">
        <v>3490</v>
      </c>
      <c r="H7" s="47" t="s">
        <v>615</v>
      </c>
      <c r="I7" s="2"/>
      <c r="J7" s="47" t="s">
        <v>26</v>
      </c>
      <c r="K7" s="47" t="s">
        <v>27</v>
      </c>
      <c r="L7" s="47" t="s">
        <v>39</v>
      </c>
      <c r="M7" s="47" t="s">
        <v>280</v>
      </c>
      <c r="N7" s="47" t="s">
        <v>3491</v>
      </c>
      <c r="O7" s="47" t="s">
        <v>3492</v>
      </c>
      <c r="P7" s="47" t="s">
        <v>3493</v>
      </c>
    </row>
    <row r="8" spans="1:16" ht="14.4">
      <c r="A8" s="2" t="s">
        <v>43</v>
      </c>
      <c r="B8" s="2" t="s">
        <v>44</v>
      </c>
      <c r="C8" s="21">
        <f>'Quarterly P&amp;L'!AQ6</f>
        <v>13351.2</v>
      </c>
      <c r="D8" s="21">
        <f>'Quarterly P&amp;L'!AT6</f>
        <v>15076.100000000431</v>
      </c>
      <c r="E8" s="21">
        <f>'Quarterly P&amp;L'!AU6</f>
        <v>15711.9</v>
      </c>
      <c r="F8" s="19">
        <f>IFERROR(E8/D8-1,"")</f>
        <v>4.2172710448958872E-2</v>
      </c>
      <c r="G8" s="19">
        <f>IFERROR(E8/C8-1,"")</f>
        <v>0.17681556714003221</v>
      </c>
      <c r="H8" s="10" t="s">
        <v>128</v>
      </c>
      <c r="I8" s="2"/>
      <c r="J8" s="2" t="s">
        <v>43</v>
      </c>
      <c r="K8" s="2" t="s">
        <v>44</v>
      </c>
      <c r="L8" s="21">
        <f>'Annual P&amp;L'!N7</f>
        <v>58225.878004588383</v>
      </c>
      <c r="M8" s="21">
        <f>'Quarterly P&amp;L'!AU6</f>
        <v>15711.9</v>
      </c>
      <c r="N8" s="21">
        <f t="shared" ref="N8:N13" si="0">L8-M8</f>
        <v>42513.978004588382</v>
      </c>
      <c r="O8" s="21">
        <f t="shared" ref="O8:O13" si="1">N8/3</f>
        <v>14171.32600152946</v>
      </c>
      <c r="P8" s="21">
        <f t="shared" ref="P8:P13" si="2">M8*4</f>
        <v>62847.6</v>
      </c>
    </row>
    <row r="9" spans="1:16" ht="14.4">
      <c r="A9" s="2" t="s">
        <v>216</v>
      </c>
      <c r="B9" s="2" t="s">
        <v>44</v>
      </c>
      <c r="C9" s="21">
        <f>'Quarterly P&amp;L'!AQ9</f>
        <v>9523.6221278591602</v>
      </c>
      <c r="D9" s="21">
        <f>'Quarterly P&amp;L'!AT9</f>
        <v>10401.755520443112</v>
      </c>
      <c r="E9" s="21">
        <f>'Quarterly P&amp;L'!AU9</f>
        <v>10925.9</v>
      </c>
      <c r="F9" s="19">
        <f>IFERROR(E9/D9-1,"")</f>
        <v>5.0390001815247443E-2</v>
      </c>
      <c r="G9" s="19">
        <f>IFERROR(E9/C9-1,"")</f>
        <v>0.14724207379446508</v>
      </c>
      <c r="H9" s="10" t="s">
        <v>128</v>
      </c>
      <c r="I9" s="2"/>
      <c r="J9" s="2" t="s">
        <v>50</v>
      </c>
      <c r="K9" s="2" t="s">
        <v>44</v>
      </c>
      <c r="L9" s="21">
        <f>'Annual P&amp;L'!N15</f>
        <v>9723.7216267662589</v>
      </c>
      <c r="M9" s="21">
        <f>'Quarterly P&amp;L'!AU13</f>
        <v>2742.5</v>
      </c>
      <c r="N9" s="21">
        <f t="shared" si="0"/>
        <v>6981.2216267662589</v>
      </c>
      <c r="O9" s="21">
        <f t="shared" si="1"/>
        <v>2327.0738755887528</v>
      </c>
      <c r="P9" s="21">
        <f t="shared" si="2"/>
        <v>10970</v>
      </c>
    </row>
    <row r="10" spans="1:16" ht="14.4">
      <c r="A10" s="51" t="s">
        <v>217</v>
      </c>
      <c r="B10" s="51" t="s">
        <v>44</v>
      </c>
      <c r="C10" s="52">
        <f>'Quarterly P&amp;L'!AQ10</f>
        <v>3827.5778721408406</v>
      </c>
      <c r="D10" s="52">
        <f>'Quarterly P&amp;L'!AT10</f>
        <v>4674.3444795573196</v>
      </c>
      <c r="E10" s="52">
        <f>'Quarterly P&amp;L'!AU10</f>
        <v>4786</v>
      </c>
      <c r="F10" s="53">
        <f>IFERROR(E10/D10-1,"")</f>
        <v>2.3886883162118844E-2</v>
      </c>
      <c r="G10" s="53">
        <f>IFERROR(E10/C10-1,"")</f>
        <v>0.25039911920148472</v>
      </c>
      <c r="H10" s="54" t="s">
        <v>128</v>
      </c>
      <c r="I10" s="2"/>
      <c r="J10" s="2" t="s">
        <v>52</v>
      </c>
      <c r="K10" s="2" t="s">
        <v>44</v>
      </c>
      <c r="L10" s="21">
        <f>'Annual P&amp;L'!N20</f>
        <v>7802.2676526148425</v>
      </c>
      <c r="M10" s="21">
        <f>'Quarterly P&amp;L'!AU16</f>
        <v>2263.9</v>
      </c>
      <c r="N10" s="21">
        <f t="shared" si="0"/>
        <v>5538.3676526148429</v>
      </c>
      <c r="O10" s="21">
        <f t="shared" si="1"/>
        <v>1846.1225508716143</v>
      </c>
      <c r="P10" s="21">
        <f t="shared" si="2"/>
        <v>9055.6</v>
      </c>
    </row>
    <row r="11" spans="1:16" ht="14.4">
      <c r="A11" s="2" t="s">
        <v>151</v>
      </c>
      <c r="B11" s="2" t="s">
        <v>46</v>
      </c>
      <c r="C11" s="19">
        <f>'Quarterly P&amp;L'!AQ11</f>
        <v>0.28668418360453296</v>
      </c>
      <c r="D11" s="19">
        <f>'Quarterly P&amp;L'!AT11</f>
        <v>0.31004997841332876</v>
      </c>
      <c r="E11" s="19">
        <f>'Quarterly P&amp;L'!AU11</f>
        <v>0.30460988168203718</v>
      </c>
      <c r="F11" s="19">
        <f>E11-D11</f>
        <v>-5.4400967312915882E-3</v>
      </c>
      <c r="G11" s="19">
        <f>E11-C11</f>
        <v>1.7925698077504215E-2</v>
      </c>
      <c r="H11" s="10" t="s">
        <v>128</v>
      </c>
      <c r="I11" s="2"/>
      <c r="J11" s="2" t="s">
        <v>228</v>
      </c>
      <c r="K11" s="2" t="s">
        <v>44</v>
      </c>
      <c r="L11" s="21">
        <f>'Annual P&amp;L'!N29</f>
        <v>8009.9941526148423</v>
      </c>
      <c r="M11" s="21">
        <f>'Quarterly P&amp;L'!AU25</f>
        <v>2041.9</v>
      </c>
      <c r="N11" s="21">
        <f t="shared" si="0"/>
        <v>5968.0941526148417</v>
      </c>
      <c r="O11" s="21">
        <f t="shared" si="1"/>
        <v>1989.3647175382805</v>
      </c>
      <c r="P11" s="21">
        <f t="shared" si="2"/>
        <v>8167.6</v>
      </c>
    </row>
    <row r="12" spans="1:16" ht="14.4">
      <c r="A12" s="2" t="s">
        <v>218</v>
      </c>
      <c r="B12" s="2" t="s">
        <v>44</v>
      </c>
      <c r="C12" s="21">
        <f>'Quarterly P&amp;L'!AQ12</f>
        <v>1892.3778721408389</v>
      </c>
      <c r="D12" s="21">
        <f>'Quarterly P&amp;L'!AT12</f>
        <v>2109.0445281603284</v>
      </c>
      <c r="E12" s="21">
        <f>'Quarterly P&amp;L'!AU12</f>
        <v>2043.5</v>
      </c>
      <c r="F12" s="19">
        <f>IFERROR(E12/D12-1,"")</f>
        <v>-3.107783040384704E-2</v>
      </c>
      <c r="G12" s="19">
        <f>IFERROR(E12/C12-1,"")</f>
        <v>7.9858325382021755E-2</v>
      </c>
      <c r="H12" s="10" t="s">
        <v>128</v>
      </c>
      <c r="I12" s="2"/>
      <c r="J12" s="2" t="s">
        <v>54</v>
      </c>
      <c r="K12" s="2" t="s">
        <v>44</v>
      </c>
      <c r="L12" s="21">
        <f>'Annual P&amp;L'!N35</f>
        <v>5943.415661240213</v>
      </c>
      <c r="M12" s="21">
        <f>'Quarterly P&amp;L'!AU29</f>
        <v>1465.1000000000001</v>
      </c>
      <c r="N12" s="21">
        <f t="shared" si="0"/>
        <v>4478.3156612402126</v>
      </c>
      <c r="O12" s="21">
        <f t="shared" si="1"/>
        <v>1492.7718870800709</v>
      </c>
      <c r="P12" s="21">
        <f t="shared" si="2"/>
        <v>5860.4000000000005</v>
      </c>
    </row>
    <row r="13" spans="1:16" ht="14.4">
      <c r="A13" s="51" t="s">
        <v>50</v>
      </c>
      <c r="B13" s="51" t="s">
        <v>44</v>
      </c>
      <c r="C13" s="52">
        <f>'Quarterly P&amp;L'!AQ13</f>
        <v>1935.2000000000016</v>
      </c>
      <c r="D13" s="52">
        <f>'Quarterly P&amp;L'!AT13</f>
        <v>2565.2999513969912</v>
      </c>
      <c r="E13" s="52">
        <f>'Quarterly P&amp;L'!AU13</f>
        <v>2742.5</v>
      </c>
      <c r="F13" s="53">
        <f>IFERROR(E13/D13-1,"")</f>
        <v>6.907576188371678E-2</v>
      </c>
      <c r="G13" s="53">
        <f>IFERROR(E13/C13-1,"")</f>
        <v>0.41716618437370689</v>
      </c>
      <c r="H13" s="54" t="s">
        <v>128</v>
      </c>
      <c r="I13" s="2"/>
      <c r="J13" s="2" t="s">
        <v>56</v>
      </c>
      <c r="K13" s="2" t="s">
        <v>57</v>
      </c>
      <c r="L13" s="35">
        <f>'Annual P&amp;L'!N42</f>
        <v>66.94555437841646</v>
      </c>
      <c r="M13" s="35">
        <f>'Raw Financials'!AU55</f>
        <v>16.5</v>
      </c>
      <c r="N13" s="35">
        <f t="shared" si="0"/>
        <v>50.44555437841646</v>
      </c>
      <c r="O13" s="35">
        <f t="shared" si="1"/>
        <v>16.815184792805486</v>
      </c>
      <c r="P13" s="35">
        <f t="shared" si="2"/>
        <v>66</v>
      </c>
    </row>
    <row r="14" spans="1:16" ht="14.4">
      <c r="A14" s="2" t="s">
        <v>51</v>
      </c>
      <c r="B14" s="2" t="s">
        <v>46</v>
      </c>
      <c r="C14" s="19">
        <f>'Quarterly P&amp;L'!AQ14</f>
        <v>0.14494577266462952</v>
      </c>
      <c r="D14" s="19">
        <f>'Quarterly P&amp;L'!AT14</f>
        <v>0.17015673492461034</v>
      </c>
      <c r="E14" s="19">
        <f>'Quarterly P&amp;L'!AU14</f>
        <v>0.17454922701901107</v>
      </c>
      <c r="F14" s="19">
        <f>E14-D14</f>
        <v>4.3924920944007351E-3</v>
      </c>
      <c r="G14" s="19">
        <f>E14-C14</f>
        <v>2.9603454354381553E-2</v>
      </c>
      <c r="H14" s="10" t="s">
        <v>128</v>
      </c>
      <c r="I14" s="2"/>
      <c r="J14" s="2"/>
      <c r="K14" s="2"/>
      <c r="L14" s="2"/>
      <c r="M14" s="2"/>
      <c r="N14" s="2"/>
      <c r="O14" s="2"/>
      <c r="P14" s="2"/>
    </row>
    <row r="15" spans="1:16" ht="14.4">
      <c r="A15" s="2" t="s">
        <v>219</v>
      </c>
      <c r="B15" s="2" t="s">
        <v>44</v>
      </c>
      <c r="C15" s="21">
        <f>'Quarterly P&amp;L'!AQ15</f>
        <v>458.1</v>
      </c>
      <c r="D15" s="21">
        <f>'Quarterly P&amp;L'!AT15</f>
        <v>481.10000000041504</v>
      </c>
      <c r="E15" s="21">
        <f>'Quarterly P&amp;L'!AU15</f>
        <v>478.6</v>
      </c>
      <c r="F15" s="19">
        <f>IFERROR(E15/D15-1,"")</f>
        <v>-5.1964248605547159E-3</v>
      </c>
      <c r="G15" s="19">
        <f>IFERROR(E15/C15-1,"")</f>
        <v>4.475005457323733E-2</v>
      </c>
      <c r="H15" s="10" t="s">
        <v>128</v>
      </c>
      <c r="I15" s="2"/>
      <c r="J15" s="80" t="s">
        <v>3494</v>
      </c>
      <c r="K15" s="80"/>
      <c r="L15" s="80"/>
      <c r="M15" s="80"/>
      <c r="N15" s="80"/>
      <c r="O15" s="80"/>
      <c r="P15" s="80"/>
    </row>
    <row r="16" spans="1:16" ht="14.4">
      <c r="A16" s="51" t="s">
        <v>52</v>
      </c>
      <c r="B16" s="51" t="s">
        <v>44</v>
      </c>
      <c r="C16" s="52">
        <f>'Quarterly P&amp;L'!AQ16</f>
        <v>1477.1000000000017</v>
      </c>
      <c r="D16" s="52">
        <f>'Quarterly P&amp;L'!AT16</f>
        <v>2084.1999513965761</v>
      </c>
      <c r="E16" s="52">
        <f>'Quarterly P&amp;L'!AU16</f>
        <v>2263.9</v>
      </c>
      <c r="F16" s="53">
        <f>IFERROR(E16/D16-1,"")</f>
        <v>8.6220157755502846E-2</v>
      </c>
      <c r="G16" s="53">
        <f>IFERROR(E16/C16-1,"")</f>
        <v>0.53266535779567903</v>
      </c>
      <c r="H16" s="54" t="s">
        <v>128</v>
      </c>
      <c r="I16" s="2"/>
      <c r="J16" s="80"/>
      <c r="K16" s="80"/>
      <c r="L16" s="80"/>
      <c r="M16" s="80"/>
      <c r="N16" s="80"/>
      <c r="O16" s="80"/>
      <c r="P16" s="80"/>
    </row>
    <row r="17" spans="1:16" ht="14.4">
      <c r="A17" s="2" t="s">
        <v>53</v>
      </c>
      <c r="B17" s="2" t="s">
        <v>46</v>
      </c>
      <c r="C17" s="19">
        <f>'Quarterly P&amp;L'!AQ17</f>
        <v>0.11063425010485961</v>
      </c>
      <c r="D17" s="19">
        <f>'Quarterly P&amp;L'!AT17</f>
        <v>0.13824529894312962</v>
      </c>
      <c r="E17" s="19">
        <f>'Quarterly P&amp;L'!AU17</f>
        <v>0.14408823885080735</v>
      </c>
      <c r="F17" s="19">
        <f>E17-D17</f>
        <v>5.84293990767773E-3</v>
      </c>
      <c r="G17" s="19">
        <f>E17-C17</f>
        <v>3.3453988745947738E-2</v>
      </c>
      <c r="H17" s="10" t="s">
        <v>128</v>
      </c>
      <c r="I17" s="2"/>
      <c r="J17" s="80"/>
      <c r="K17" s="80"/>
      <c r="L17" s="80"/>
      <c r="M17" s="80"/>
      <c r="N17" s="80"/>
      <c r="O17" s="80"/>
      <c r="P17" s="80"/>
    </row>
    <row r="18" spans="1:16" ht="14.4">
      <c r="A18" s="51" t="s">
        <v>228</v>
      </c>
      <c r="B18" s="51" t="s">
        <v>44</v>
      </c>
      <c r="C18" s="52">
        <f>'Quarterly P&amp;L'!AQ25</f>
        <v>1618.100000000002</v>
      </c>
      <c r="D18" s="52">
        <f>'Quarterly P&amp;L'!AT25</f>
        <v>1790.5999513967581</v>
      </c>
      <c r="E18" s="52">
        <f>'Quarterly P&amp;L'!AU25</f>
        <v>2041.9</v>
      </c>
      <c r="F18" s="53">
        <f>IFERROR(E18/D18-1,"")</f>
        <v>0.14034404971764647</v>
      </c>
      <c r="G18" s="53">
        <f>IFERROR(E18/C18-1,"")</f>
        <v>0.26191211915209056</v>
      </c>
      <c r="H18" s="54" t="s">
        <v>128</v>
      </c>
      <c r="I18" s="2"/>
      <c r="J18" s="2"/>
      <c r="K18" s="2"/>
      <c r="L18" s="2"/>
      <c r="M18" s="2"/>
      <c r="N18" s="2"/>
      <c r="O18" s="2"/>
      <c r="P18" s="2"/>
    </row>
    <row r="19" spans="1:16" ht="14.4">
      <c r="A19" s="2" t="s">
        <v>229</v>
      </c>
      <c r="B19" s="2" t="s">
        <v>44</v>
      </c>
      <c r="C19" s="21">
        <f>'Quarterly P&amp;L'!AQ26</f>
        <v>489.29999999999995</v>
      </c>
      <c r="D19" s="21">
        <f>'Quarterly P&amp;L'!AT26</f>
        <v>434.199535372127</v>
      </c>
      <c r="E19" s="21">
        <f>'Quarterly P&amp;L'!AU26</f>
        <v>555.6</v>
      </c>
      <c r="F19" s="19">
        <f>IFERROR(E19/D19-1,"")</f>
        <v>0.27959602610773815</v>
      </c>
      <c r="G19" s="19">
        <f>IFERROR(E19/C19-1,"")</f>
        <v>0.13549969343960777</v>
      </c>
      <c r="H19" s="10" t="s">
        <v>128</v>
      </c>
      <c r="I19" s="2"/>
      <c r="J19" s="2"/>
      <c r="K19" s="2"/>
      <c r="L19" s="2"/>
      <c r="M19" s="2"/>
      <c r="N19" s="2"/>
      <c r="O19" s="2"/>
      <c r="P19" s="2"/>
    </row>
    <row r="20" spans="1:16" ht="14.4">
      <c r="A20" s="2" t="s">
        <v>230</v>
      </c>
      <c r="B20" s="2" t="s">
        <v>44</v>
      </c>
      <c r="C20" s="21">
        <f>'Quarterly P&amp;L'!AQ27</f>
        <v>1128.800000000002</v>
      </c>
      <c r="D20" s="21">
        <f>'Quarterly P&amp;L'!AT27</f>
        <v>1356.4004160246311</v>
      </c>
      <c r="E20" s="21">
        <f>'Quarterly P&amp;L'!AU27</f>
        <v>1486.3000000000002</v>
      </c>
      <c r="F20" s="19">
        <f>IFERROR(E20/D20-1,"")</f>
        <v>9.5767873882022014E-2</v>
      </c>
      <c r="G20" s="19">
        <f>IFERROR(E20/C20-1,"")</f>
        <v>0.31670800850460457</v>
      </c>
      <c r="H20" s="10" t="s">
        <v>128</v>
      </c>
      <c r="I20" s="2"/>
      <c r="J20" s="2"/>
      <c r="K20" s="2"/>
      <c r="L20" s="2"/>
      <c r="M20" s="2"/>
      <c r="N20" s="2"/>
      <c r="O20" s="2"/>
      <c r="P20" s="2"/>
    </row>
    <row r="21" spans="1:16" ht="14.4">
      <c r="A21" s="2" t="s">
        <v>231</v>
      </c>
      <c r="B21" s="2" t="s">
        <v>44</v>
      </c>
      <c r="C21" s="21">
        <f>'Quarterly P&amp;L'!AQ28</f>
        <v>-11.8</v>
      </c>
      <c r="D21" s="21">
        <f>'Quarterly P&amp;L'!AT28</f>
        <v>2.6</v>
      </c>
      <c r="E21" s="21">
        <f>'Quarterly P&amp;L'!AU28</f>
        <v>21.2</v>
      </c>
      <c r="F21" s="19">
        <f>IFERROR(E21/D21-1,"")</f>
        <v>7.1538461538461533</v>
      </c>
      <c r="G21" s="19">
        <f>IFERROR(E21/C21-1,"")</f>
        <v>-2.7966101694915251</v>
      </c>
      <c r="H21" s="10" t="s">
        <v>128</v>
      </c>
      <c r="I21" s="2"/>
      <c r="J21" s="2"/>
      <c r="K21" s="2"/>
      <c r="L21" s="2"/>
      <c r="M21" s="2"/>
      <c r="N21" s="2"/>
      <c r="O21" s="2"/>
      <c r="P21" s="2"/>
    </row>
    <row r="22" spans="1:16" ht="14.4">
      <c r="A22" s="51" t="s">
        <v>232</v>
      </c>
      <c r="B22" s="51" t="s">
        <v>44</v>
      </c>
      <c r="C22" s="52">
        <f>'Quarterly P&amp;L'!AQ29</f>
        <v>1140.600000000002</v>
      </c>
      <c r="D22" s="52">
        <f>'Quarterly P&amp;L'!AT29</f>
        <v>1353.8004160246312</v>
      </c>
      <c r="E22" s="52">
        <f>'Quarterly P&amp;L'!AU29</f>
        <v>1465.1000000000001</v>
      </c>
      <c r="F22" s="53">
        <f>IFERROR(E22/D22-1,"")</f>
        <v>8.2212697424185022E-2</v>
      </c>
      <c r="G22" s="53">
        <f>IFERROR(E22/C22-1,"")</f>
        <v>0.2844993862879166</v>
      </c>
      <c r="H22" s="54" t="s">
        <v>128</v>
      </c>
      <c r="I22" s="2"/>
      <c r="J22" s="2"/>
      <c r="K22" s="2"/>
      <c r="L22" s="2"/>
      <c r="M22" s="2"/>
      <c r="N22" s="2"/>
      <c r="O22" s="2"/>
      <c r="P22" s="2"/>
    </row>
    <row r="23" spans="1:16" ht="14.4">
      <c r="A23" s="2" t="s">
        <v>55</v>
      </c>
      <c r="B23" s="2" t="s">
        <v>46</v>
      </c>
      <c r="C23" s="19">
        <f>'Quarterly P&amp;L'!AQ30</f>
        <v>8.5430523099047417E-2</v>
      </c>
      <c r="D23" s="19">
        <f>'Quarterly P&amp;L'!AT30</f>
        <v>8.9797786962449999E-2</v>
      </c>
      <c r="E23" s="19">
        <f>'Quarterly P&amp;L'!AU30</f>
        <v>9.3247793074039437E-2</v>
      </c>
      <c r="F23" s="19">
        <f>E23-D23</f>
        <v>3.4500061115894376E-3</v>
      </c>
      <c r="G23" s="19">
        <f>E23-C23</f>
        <v>7.8172699749920194E-3</v>
      </c>
      <c r="H23" s="10" t="s">
        <v>128</v>
      </c>
      <c r="I23" s="2"/>
      <c r="J23" s="2"/>
      <c r="K23" s="2"/>
      <c r="L23" s="2"/>
      <c r="M23" s="2"/>
      <c r="N23" s="2"/>
      <c r="O23" s="2"/>
      <c r="P23" s="2"/>
    </row>
    <row r="24" spans="1:16" ht="14.4">
      <c r="A24" s="2" t="s">
        <v>489</v>
      </c>
      <c r="B24" s="2" t="s">
        <v>57</v>
      </c>
      <c r="C24" s="35">
        <f>'Raw Financials'!AQ54</f>
        <v>12.8728071043</v>
      </c>
      <c r="D24" s="35">
        <f>'Raw Financials'!AT54</f>
        <v>15.2716269677</v>
      </c>
      <c r="E24" s="35">
        <f>'Raw Financials'!AU54</f>
        <v>16.53</v>
      </c>
      <c r="F24" s="19">
        <f>IFERROR(E24/D24-1,"")</f>
        <v>8.2399408717977574E-2</v>
      </c>
      <c r="G24" s="19">
        <f>IFERROR(E24/C24-1,"")</f>
        <v>0.2841022059965741</v>
      </c>
      <c r="H24" s="10" t="s">
        <v>128</v>
      </c>
      <c r="I24" s="2"/>
      <c r="J24" s="2"/>
      <c r="K24" s="2"/>
      <c r="L24" s="2"/>
      <c r="M24" s="2"/>
      <c r="N24" s="2"/>
      <c r="O24" s="2"/>
      <c r="P24" s="2"/>
    </row>
    <row r="25" spans="1:16" ht="14.4">
      <c r="A25" s="2" t="s">
        <v>56</v>
      </c>
      <c r="B25" s="2" t="s">
        <v>57</v>
      </c>
      <c r="C25" s="35">
        <f>'Raw Financials'!AQ55</f>
        <v>12.858221929700001</v>
      </c>
      <c r="D25" s="35">
        <f>'Raw Financials'!AT55</f>
        <v>15.239825249000001</v>
      </c>
      <c r="E25" s="35">
        <f>'Raw Financials'!AU55</f>
        <v>16.5</v>
      </c>
      <c r="F25" s="19">
        <f>IFERROR(E25/D25-1,"")</f>
        <v>8.2689580123806783E-2</v>
      </c>
      <c r="G25" s="19">
        <f>IFERROR(E25/C25-1,"")</f>
        <v>0.28322563494476616</v>
      </c>
      <c r="H25" s="10" t="s">
        <v>128</v>
      </c>
      <c r="I25" s="2"/>
      <c r="J25" s="2"/>
      <c r="K25" s="2"/>
      <c r="L25" s="2"/>
      <c r="M25" s="2"/>
      <c r="N25" s="2"/>
      <c r="O25" s="2"/>
      <c r="P25" s="2"/>
    </row>
    <row r="26" spans="1:16" ht="14.4">
      <c r="A26" s="2" t="s">
        <v>47</v>
      </c>
      <c r="B26" s="2" t="s">
        <v>48</v>
      </c>
      <c r="C26" s="21">
        <f>'Quarterly P&amp;L'!AQ31</f>
        <v>1564.4110198129597</v>
      </c>
      <c r="D26" s="21">
        <f>'Quarterly P&amp;L'!AT31</f>
        <v>1624.671013287063</v>
      </c>
      <c r="E26" s="21">
        <f>'Quarterly P&amp;L'!AU31</f>
        <v>1660.4</v>
      </c>
      <c r="F26" s="19">
        <f>IFERROR(E26/D26-1,"")</f>
        <v>2.1991521003781322E-2</v>
      </c>
      <c r="G26" s="19">
        <f>IFERROR(E26/C26-1,"")</f>
        <v>6.1357903371530131E-2</v>
      </c>
      <c r="H26" s="10" t="s">
        <v>128</v>
      </c>
      <c r="I26" s="2"/>
      <c r="J26" s="2"/>
      <c r="K26" s="2"/>
      <c r="L26" s="2"/>
      <c r="M26" s="2"/>
      <c r="N26" s="2"/>
      <c r="O26" s="2"/>
      <c r="P26" s="2"/>
    </row>
    <row r="27" spans="1:16" ht="14.4">
      <c r="A27" s="2" t="s">
        <v>478</v>
      </c>
      <c r="B27" s="2" t="s">
        <v>150</v>
      </c>
      <c r="C27" s="21">
        <f>'Quarterly P&amp;L'!AQ33</f>
        <v>85.343300647398053</v>
      </c>
      <c r="D27" s="21">
        <f>'Quarterly P&amp;L'!AT33</f>
        <v>92.79478661651136</v>
      </c>
      <c r="E27" s="21">
        <f>'Quarterly P&amp;L'!AU33</f>
        <v>94.627198265478199</v>
      </c>
      <c r="F27" s="19">
        <f>IFERROR(E27/D27-1,"")</f>
        <v>1.9746924539409294E-2</v>
      </c>
      <c r="G27" s="19">
        <f>IFERROR(E27/C27-1,"")</f>
        <v>0.10878296887575556</v>
      </c>
      <c r="H27" s="10" t="s">
        <v>128</v>
      </c>
      <c r="I27" s="2"/>
      <c r="J27" s="2"/>
      <c r="K27" s="2"/>
      <c r="L27" s="2"/>
      <c r="M27" s="2"/>
      <c r="N27" s="2"/>
      <c r="O27" s="2"/>
      <c r="P27" s="2"/>
    </row>
    <row r="28" spans="1:1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8" customHeight="1">
      <c r="A30" s="77" t="s">
        <v>3495</v>
      </c>
      <c r="B30" s="77"/>
      <c r="C30" s="77"/>
      <c r="D30" s="77"/>
      <c r="E30" s="77"/>
      <c r="F30" s="77"/>
      <c r="G30" s="77"/>
      <c r="H30" s="77"/>
      <c r="I30" s="2"/>
      <c r="J30" s="2"/>
      <c r="K30" s="2"/>
      <c r="L30" s="2"/>
      <c r="M30" s="2"/>
      <c r="N30" s="2"/>
      <c r="O30" s="2"/>
      <c r="P30" s="2"/>
    </row>
    <row r="31" spans="1:16" ht="19.95" customHeight="1">
      <c r="A31" s="47" t="s">
        <v>26</v>
      </c>
      <c r="B31" s="47" t="s">
        <v>27</v>
      </c>
      <c r="C31" s="47" t="s">
        <v>276</v>
      </c>
      <c r="D31" s="47" t="s">
        <v>279</v>
      </c>
      <c r="E31" s="47" t="s">
        <v>280</v>
      </c>
      <c r="F31" s="47" t="s">
        <v>3496</v>
      </c>
      <c r="G31" s="47" t="s">
        <v>3497</v>
      </c>
      <c r="H31" s="47" t="s">
        <v>615</v>
      </c>
      <c r="I31" s="2"/>
      <c r="J31" s="2"/>
      <c r="K31" s="2"/>
      <c r="L31" s="2"/>
      <c r="M31" s="2"/>
      <c r="N31" s="2"/>
      <c r="O31" s="2"/>
      <c r="P31" s="2"/>
    </row>
    <row r="32" spans="1:16" ht="14.4">
      <c r="A32" s="2" t="s">
        <v>63</v>
      </c>
      <c r="B32" s="2" t="s">
        <v>64</v>
      </c>
      <c r="C32" s="15">
        <v>148517</v>
      </c>
      <c r="D32" s="15">
        <v>147623</v>
      </c>
      <c r="E32" s="15">
        <v>146760</v>
      </c>
      <c r="F32" s="19">
        <f>IFERROR(E32/D32-1,"")</f>
        <v>-5.8459725110585614E-3</v>
      </c>
      <c r="G32" s="19">
        <f>IFERROR(E32/C32-1,"")</f>
        <v>-1.1830295521724765E-2</v>
      </c>
      <c r="H32" s="10" t="s">
        <v>128</v>
      </c>
      <c r="I32" s="2"/>
      <c r="J32" s="2"/>
      <c r="K32" s="2"/>
      <c r="L32" s="2"/>
      <c r="M32" s="2"/>
      <c r="N32" s="2"/>
      <c r="O32" s="2"/>
      <c r="P32" s="2"/>
    </row>
    <row r="33" spans="1:16" ht="14.4">
      <c r="A33" s="2" t="s">
        <v>422</v>
      </c>
      <c r="B33" s="2" t="s">
        <v>64</v>
      </c>
      <c r="C33" s="15">
        <v>79987</v>
      </c>
      <c r="D33" s="15">
        <v>75377</v>
      </c>
      <c r="E33" s="15">
        <v>74689</v>
      </c>
      <c r="F33" s="19">
        <f>IFERROR(E33/D33-1,"")</f>
        <v>-9.1274526712392667E-3</v>
      </c>
      <c r="G33" s="19">
        <f>IFERROR(E33/C33-1,"")</f>
        <v>-6.6235763311538132E-2</v>
      </c>
      <c r="H33" s="10" t="s">
        <v>128</v>
      </c>
      <c r="I33" s="2"/>
      <c r="J33" s="2"/>
      <c r="K33" s="2"/>
      <c r="L33" s="2"/>
      <c r="M33" s="2"/>
      <c r="N33" s="2"/>
      <c r="O33" s="2"/>
      <c r="P33" s="2"/>
    </row>
    <row r="34" spans="1:16" ht="14.4">
      <c r="A34" s="2" t="s">
        <v>423</v>
      </c>
      <c r="B34" s="2" t="s">
        <v>64</v>
      </c>
      <c r="C34" s="15">
        <v>60278</v>
      </c>
      <c r="D34" s="15">
        <v>64330</v>
      </c>
      <c r="E34" s="15">
        <v>64080</v>
      </c>
      <c r="F34" s="19">
        <f>IFERROR(E34/D34-1,"")</f>
        <v>-3.886211720814603E-3</v>
      </c>
      <c r="G34" s="19">
        <f>IFERROR(E34/C34-1,"")</f>
        <v>6.3074421845449313E-2</v>
      </c>
      <c r="H34" s="10" t="s">
        <v>128</v>
      </c>
      <c r="I34" s="2"/>
      <c r="J34" s="2"/>
      <c r="K34" s="2"/>
      <c r="L34" s="2"/>
      <c r="M34" s="2"/>
      <c r="N34" s="2"/>
      <c r="O34" s="2"/>
      <c r="P34" s="2"/>
    </row>
    <row r="35" spans="1:16" ht="14.4">
      <c r="A35" s="2" t="s">
        <v>424</v>
      </c>
      <c r="B35" s="2" t="s">
        <v>64</v>
      </c>
      <c r="C35" s="15">
        <v>8252</v>
      </c>
      <c r="D35" s="15">
        <v>7916</v>
      </c>
      <c r="E35" s="15">
        <v>7991</v>
      </c>
      <c r="F35" s="19">
        <f>IFERROR(E35/D35-1,"")</f>
        <v>9.4744820616472492E-3</v>
      </c>
      <c r="G35" s="19">
        <f>IFERROR(E35/C35-1,"")</f>
        <v>-3.162869607367913E-2</v>
      </c>
      <c r="H35" s="10" t="s">
        <v>128</v>
      </c>
      <c r="I35" s="2"/>
      <c r="J35" s="2"/>
      <c r="K35" s="2"/>
      <c r="L35" s="2"/>
      <c r="M35" s="2"/>
      <c r="N35" s="2"/>
      <c r="O35" s="2"/>
      <c r="P35" s="2"/>
    </row>
    <row r="36" spans="1:16" ht="14.4">
      <c r="A36" s="2" t="s">
        <v>3498</v>
      </c>
      <c r="B36" s="2" t="s">
        <v>46</v>
      </c>
      <c r="C36" s="16">
        <v>0.126</v>
      </c>
      <c r="D36" s="16">
        <v>0.121</v>
      </c>
      <c r="E36" s="16">
        <v>0.11799999999999999</v>
      </c>
      <c r="F36" s="19">
        <f>E36-D36</f>
        <v>-3.0000000000000027E-3</v>
      </c>
      <c r="G36" s="19">
        <f>E36-C36</f>
        <v>-8.0000000000000071E-3</v>
      </c>
      <c r="H36" s="10" t="s">
        <v>128</v>
      </c>
      <c r="I36" s="2"/>
      <c r="J36" s="2"/>
      <c r="K36" s="2"/>
      <c r="L36" s="2"/>
      <c r="M36" s="2"/>
      <c r="N36" s="2"/>
      <c r="O36" s="2"/>
      <c r="P36" s="2"/>
    </row>
    <row r="37" spans="1:16" ht="14.4">
      <c r="A37" s="2" t="s">
        <v>425</v>
      </c>
      <c r="B37" s="2" t="s">
        <v>46</v>
      </c>
      <c r="C37" s="16">
        <v>0.84970000000000001</v>
      </c>
      <c r="D37" s="16">
        <v>0.86119999999999997</v>
      </c>
      <c r="E37" s="16">
        <v>0.87039999999999995</v>
      </c>
      <c r="F37" s="19">
        <f>E37-D37</f>
        <v>9.199999999999986E-3</v>
      </c>
      <c r="G37" s="19">
        <f>E37-C37</f>
        <v>2.0699999999999941E-2</v>
      </c>
      <c r="H37" s="10" t="s">
        <v>128</v>
      </c>
      <c r="I37" s="2"/>
      <c r="J37" s="2"/>
      <c r="K37" s="2"/>
      <c r="L37" s="2"/>
      <c r="M37" s="2"/>
      <c r="N37" s="2"/>
      <c r="O37" s="2"/>
      <c r="P37" s="2"/>
    </row>
    <row r="38" spans="1:16" ht="14.4">
      <c r="A38" s="2" t="s">
        <v>444</v>
      </c>
      <c r="B38" s="2" t="s">
        <v>46</v>
      </c>
      <c r="C38" s="16">
        <v>0.21394950609999999</v>
      </c>
      <c r="D38" s="16">
        <v>0.22236501589999999</v>
      </c>
      <c r="E38" s="16">
        <v>0.22500000000000001</v>
      </c>
      <c r="F38" s="19">
        <f>E38-D38</f>
        <v>2.6349841000000152E-3</v>
      </c>
      <c r="G38" s="19">
        <f>E38-C38</f>
        <v>1.1050493900000014E-2</v>
      </c>
      <c r="H38" s="10" t="s">
        <v>128</v>
      </c>
      <c r="I38" s="2"/>
      <c r="J38" s="2"/>
      <c r="K38" s="2"/>
      <c r="L38" s="2"/>
      <c r="M38" s="2"/>
      <c r="N38" s="2"/>
      <c r="O38" s="2"/>
      <c r="P38" s="2"/>
    </row>
    <row r="39" spans="1:16" ht="14.4">
      <c r="A39" s="2" t="s">
        <v>445</v>
      </c>
      <c r="B39" s="2" t="s">
        <v>46</v>
      </c>
      <c r="C39" s="16">
        <v>0.78605049390000004</v>
      </c>
      <c r="D39" s="16">
        <v>0.77763498409999998</v>
      </c>
      <c r="E39" s="16">
        <v>0.77500000000000002</v>
      </c>
      <c r="F39" s="19">
        <f>E39-D39</f>
        <v>-2.6349840999999596E-3</v>
      </c>
      <c r="G39" s="19">
        <f>E39-C39</f>
        <v>-1.1050493900000014E-2</v>
      </c>
      <c r="H39" s="10" t="s">
        <v>128</v>
      </c>
      <c r="I39" s="2"/>
      <c r="J39" s="2"/>
      <c r="K39" s="2"/>
      <c r="L39" s="2"/>
      <c r="M39" s="2"/>
      <c r="N39" s="2"/>
      <c r="O39" s="2"/>
      <c r="P39" s="2"/>
    </row>
    <row r="40" spans="1:16" ht="14.4">
      <c r="A40" s="2" t="s">
        <v>3499</v>
      </c>
      <c r="B40" s="2" t="s">
        <v>48</v>
      </c>
      <c r="C40" s="17">
        <v>809</v>
      </c>
      <c r="D40" s="17">
        <v>1073.3800000000001</v>
      </c>
      <c r="E40" s="17">
        <v>1078</v>
      </c>
      <c r="F40" s="19">
        <f>IFERROR(E40/D40-1,"")</f>
        <v>4.3041606886655703E-3</v>
      </c>
      <c r="G40" s="19">
        <f>IFERROR(E40/C40-1,"")</f>
        <v>0.33250927070457359</v>
      </c>
      <c r="H40" s="10" t="s">
        <v>128</v>
      </c>
      <c r="I40" s="2"/>
      <c r="J40" s="2"/>
      <c r="K40" s="2"/>
      <c r="L40" s="2"/>
      <c r="M40" s="2"/>
      <c r="N40" s="2"/>
      <c r="O40" s="2"/>
      <c r="P40" s="2"/>
    </row>
    <row r="41" spans="1:16" ht="14.4">
      <c r="A41" s="2" t="s">
        <v>440</v>
      </c>
      <c r="B41" s="2" t="s">
        <v>48</v>
      </c>
      <c r="C41" s="17">
        <v>86.229110800000001</v>
      </c>
      <c r="D41" s="17">
        <v>98.920086400000002</v>
      </c>
      <c r="E41" s="17">
        <v>167.44186049999999</v>
      </c>
      <c r="F41" s="19">
        <f>IFERROR(E41/D41-1,"")</f>
        <v>0.69269828397561928</v>
      </c>
      <c r="G41" s="19">
        <f>IFERROR(E41/C41-1,"")</f>
        <v>0.94182520202910402</v>
      </c>
      <c r="H41" s="10" t="s">
        <v>128</v>
      </c>
      <c r="I41" s="2"/>
      <c r="J41" s="2"/>
      <c r="K41" s="2"/>
      <c r="L41" s="2"/>
      <c r="M41" s="2"/>
      <c r="N41" s="2"/>
      <c r="O41" s="2"/>
      <c r="P41" s="2"/>
    </row>
    <row r="42" spans="1:16" ht="14.4">
      <c r="A42" s="2" t="s">
        <v>441</v>
      </c>
      <c r="B42" s="2" t="s">
        <v>46</v>
      </c>
      <c r="C42" s="16">
        <v>0.64889795679999995</v>
      </c>
      <c r="D42" s="16">
        <v>0.6840379473</v>
      </c>
      <c r="E42" s="16">
        <v>1.0848252282999999</v>
      </c>
      <c r="F42" s="19">
        <f>E42-D42</f>
        <v>0.40078728099999994</v>
      </c>
      <c r="G42" s="19">
        <f>E42-C42</f>
        <v>0.43592727149999999</v>
      </c>
      <c r="H42" s="10" t="s">
        <v>128</v>
      </c>
      <c r="I42" s="2"/>
      <c r="J42" s="2"/>
      <c r="K42" s="2"/>
      <c r="L42" s="2"/>
      <c r="M42" s="2"/>
      <c r="N42" s="2"/>
      <c r="O42" s="2"/>
      <c r="P42" s="2"/>
    </row>
    <row r="43" spans="1:16" ht="14.4">
      <c r="A43" s="2" t="s">
        <v>437</v>
      </c>
      <c r="B43" s="2" t="s">
        <v>160</v>
      </c>
      <c r="C43" s="17">
        <v>95</v>
      </c>
      <c r="D43" s="17">
        <v>88.606668799999994</v>
      </c>
      <c r="E43" s="17">
        <v>83.621261599999997</v>
      </c>
      <c r="F43" s="19">
        <f t="shared" ref="F43:F53" si="3">IFERROR(E43/D43-1,"")</f>
        <v>-5.6264469339806555E-2</v>
      </c>
      <c r="G43" s="19">
        <f t="shared" ref="G43:G53" si="4">IFERROR(E43/C43-1,"")</f>
        <v>-0.11977619368421055</v>
      </c>
      <c r="H43" s="10" t="s">
        <v>128</v>
      </c>
      <c r="I43" s="2"/>
      <c r="J43" s="2"/>
      <c r="K43" s="2"/>
      <c r="L43" s="2"/>
      <c r="M43" s="2"/>
      <c r="N43" s="2"/>
      <c r="O43" s="2"/>
      <c r="P43" s="2"/>
    </row>
    <row r="44" spans="1:16" ht="14.4">
      <c r="A44" s="2" t="s">
        <v>3500</v>
      </c>
      <c r="B44" s="2" t="s">
        <v>44</v>
      </c>
      <c r="C44" s="17">
        <v>8071.8601552</v>
      </c>
      <c r="D44" s="17">
        <v>8456.1</v>
      </c>
      <c r="E44" s="17">
        <v>9695.4</v>
      </c>
      <c r="F44" s="19">
        <f t="shared" si="3"/>
        <v>0.14655692340440618</v>
      </c>
      <c r="G44" s="19">
        <f t="shared" si="4"/>
        <v>0.20113577460259813</v>
      </c>
      <c r="H44" s="10" t="s">
        <v>128</v>
      </c>
      <c r="I44" s="2"/>
      <c r="J44" s="2"/>
      <c r="K44" s="2"/>
      <c r="L44" s="2"/>
      <c r="M44" s="2"/>
      <c r="N44" s="2"/>
      <c r="O44" s="2"/>
      <c r="P44" s="2"/>
    </row>
    <row r="45" spans="1:16" ht="14.4">
      <c r="A45" s="2" t="s">
        <v>3501</v>
      </c>
      <c r="B45" s="2" t="s">
        <v>44</v>
      </c>
      <c r="C45" s="17">
        <v>247.6</v>
      </c>
      <c r="D45" s="17">
        <v>69.599999999999994</v>
      </c>
      <c r="E45" s="17">
        <v>65.099999999999994</v>
      </c>
      <c r="F45" s="19">
        <f t="shared" si="3"/>
        <v>-6.4655172413793149E-2</v>
      </c>
      <c r="G45" s="19">
        <f t="shared" si="4"/>
        <v>-0.73707592891760909</v>
      </c>
      <c r="H45" s="10" t="s">
        <v>128</v>
      </c>
      <c r="I45" s="2"/>
      <c r="J45" s="2"/>
      <c r="K45" s="2"/>
      <c r="L45" s="2"/>
      <c r="M45" s="2"/>
      <c r="N45" s="2"/>
      <c r="O45" s="2"/>
      <c r="P45" s="2"/>
    </row>
    <row r="46" spans="1:16" ht="14.4">
      <c r="A46" s="2" t="s">
        <v>372</v>
      </c>
      <c r="B46" s="2" t="s">
        <v>44</v>
      </c>
      <c r="C46" s="17">
        <v>151.9</v>
      </c>
      <c r="D46" s="17">
        <v>131.6</v>
      </c>
      <c r="E46" s="17">
        <v>358</v>
      </c>
      <c r="F46" s="19">
        <f t="shared" si="3"/>
        <v>1.7203647416413377</v>
      </c>
      <c r="G46" s="19">
        <f t="shared" si="4"/>
        <v>1.3568136932192232</v>
      </c>
      <c r="H46" s="10" t="s">
        <v>128</v>
      </c>
      <c r="I46" s="2"/>
      <c r="J46" s="2"/>
      <c r="K46" s="2"/>
      <c r="L46" s="2"/>
      <c r="M46" s="2"/>
      <c r="N46" s="2"/>
      <c r="O46" s="2"/>
      <c r="P46" s="2"/>
    </row>
    <row r="47" spans="1:16" ht="14.4">
      <c r="A47" s="2" t="s">
        <v>3502</v>
      </c>
      <c r="B47" s="2" t="s">
        <v>150</v>
      </c>
      <c r="C47" s="17">
        <v>85.76</v>
      </c>
      <c r="D47" s="17">
        <v>94.834999999999994</v>
      </c>
      <c r="E47" s="17">
        <v>94.54</v>
      </c>
      <c r="F47" s="19">
        <f t="shared" si="3"/>
        <v>-3.1106658933937048E-3</v>
      </c>
      <c r="G47" s="19">
        <f t="shared" si="4"/>
        <v>0.10237873134328357</v>
      </c>
      <c r="H47" s="10" t="s">
        <v>128</v>
      </c>
      <c r="I47" s="2"/>
      <c r="J47" s="2"/>
      <c r="K47" s="2"/>
      <c r="L47" s="2"/>
      <c r="M47" s="2"/>
      <c r="N47" s="2"/>
      <c r="O47" s="2"/>
      <c r="P47" s="2"/>
    </row>
    <row r="48" spans="1:16" ht="14.4">
      <c r="A48" s="2" t="s">
        <v>3503</v>
      </c>
      <c r="B48" s="2" t="s">
        <v>150</v>
      </c>
      <c r="C48" s="17">
        <v>85.28</v>
      </c>
      <c r="D48" s="17">
        <v>92.600833300000005</v>
      </c>
      <c r="E48" s="17">
        <v>94.603350000000006</v>
      </c>
      <c r="F48" s="19">
        <f t="shared" si="3"/>
        <v>2.1625255720026049E-2</v>
      </c>
      <c r="G48" s="19">
        <f t="shared" si="4"/>
        <v>0.10932633677298309</v>
      </c>
      <c r="H48" s="10" t="s">
        <v>128</v>
      </c>
      <c r="I48" s="2"/>
      <c r="J48" s="2"/>
      <c r="K48" s="2"/>
      <c r="L48" s="2"/>
      <c r="M48" s="2"/>
      <c r="N48" s="2"/>
      <c r="O48" s="2"/>
      <c r="P48" s="2"/>
    </row>
    <row r="49" spans="1:16" ht="14.4">
      <c r="A49" s="2" t="s">
        <v>429</v>
      </c>
      <c r="B49" s="2" t="s">
        <v>64</v>
      </c>
      <c r="C49" s="15">
        <v>529</v>
      </c>
      <c r="D49" s="15">
        <v>512</v>
      </c>
      <c r="E49" s="15">
        <v>499</v>
      </c>
      <c r="F49" s="19">
        <f t="shared" si="3"/>
        <v>-2.5390625E-2</v>
      </c>
      <c r="G49" s="19">
        <f t="shared" si="4"/>
        <v>-5.6710775047258966E-2</v>
      </c>
      <c r="H49" s="10" t="s">
        <v>128</v>
      </c>
      <c r="I49" s="2"/>
      <c r="J49" s="2"/>
      <c r="K49" s="2"/>
      <c r="L49" s="2"/>
      <c r="M49" s="2"/>
      <c r="N49" s="2"/>
      <c r="O49" s="2"/>
      <c r="P49" s="2"/>
    </row>
    <row r="50" spans="1:16" ht="14.4">
      <c r="A50" s="2" t="s">
        <v>430</v>
      </c>
      <c r="B50" s="2" t="s">
        <v>64</v>
      </c>
      <c r="C50" s="15">
        <v>193</v>
      </c>
      <c r="D50" s="15">
        <v>194</v>
      </c>
      <c r="E50" s="15">
        <v>194</v>
      </c>
      <c r="F50" s="19">
        <f t="shared" si="3"/>
        <v>0</v>
      </c>
      <c r="G50" s="19">
        <f t="shared" si="4"/>
        <v>5.1813471502590858E-3</v>
      </c>
      <c r="H50" s="10" t="s">
        <v>128</v>
      </c>
      <c r="I50" s="2"/>
      <c r="J50" s="2"/>
      <c r="K50" s="2"/>
      <c r="L50" s="2"/>
      <c r="M50" s="2"/>
      <c r="N50" s="2"/>
      <c r="O50" s="2"/>
      <c r="P50" s="2"/>
    </row>
    <row r="51" spans="1:16" ht="14.4">
      <c r="A51" s="2" t="s">
        <v>431</v>
      </c>
      <c r="B51" s="2" t="s">
        <v>64</v>
      </c>
      <c r="C51" s="15">
        <v>108</v>
      </c>
      <c r="D51" s="15">
        <v>112</v>
      </c>
      <c r="E51" s="15">
        <v>115</v>
      </c>
      <c r="F51" s="19">
        <f t="shared" si="3"/>
        <v>2.6785714285714191E-2</v>
      </c>
      <c r="G51" s="19">
        <f t="shared" si="4"/>
        <v>6.4814814814814881E-2</v>
      </c>
      <c r="H51" s="10" t="s">
        <v>128</v>
      </c>
      <c r="I51" s="2"/>
      <c r="J51" s="2"/>
      <c r="K51" s="2"/>
      <c r="L51" s="2"/>
      <c r="M51" s="2"/>
      <c r="N51" s="2"/>
      <c r="O51" s="2"/>
      <c r="P51" s="2"/>
    </row>
    <row r="52" spans="1:16" ht="14.4">
      <c r="A52" s="2" t="s">
        <v>432</v>
      </c>
      <c r="B52" s="2" t="s">
        <v>64</v>
      </c>
      <c r="C52" s="15">
        <v>60</v>
      </c>
      <c r="D52" s="15">
        <v>66</v>
      </c>
      <c r="E52" s="15">
        <v>66</v>
      </c>
      <c r="F52" s="19">
        <f t="shared" si="3"/>
        <v>0</v>
      </c>
      <c r="G52" s="19">
        <f t="shared" si="4"/>
        <v>0.10000000000000009</v>
      </c>
      <c r="H52" s="10" t="s">
        <v>128</v>
      </c>
      <c r="I52" s="2"/>
      <c r="J52" s="2"/>
      <c r="K52" s="2"/>
      <c r="L52" s="2"/>
      <c r="M52" s="2"/>
      <c r="N52" s="2"/>
      <c r="O52" s="2"/>
      <c r="P52" s="2"/>
    </row>
    <row r="53" spans="1:16" ht="14.4">
      <c r="A53" s="2" t="s">
        <v>433</v>
      </c>
      <c r="B53" s="2" t="s">
        <v>64</v>
      </c>
      <c r="C53" s="15">
        <v>26</v>
      </c>
      <c r="D53" s="15">
        <v>29</v>
      </c>
      <c r="E53" s="15">
        <v>33</v>
      </c>
      <c r="F53" s="19">
        <f t="shared" si="3"/>
        <v>0.13793103448275867</v>
      </c>
      <c r="G53" s="19">
        <f t="shared" si="4"/>
        <v>0.26923076923076916</v>
      </c>
      <c r="H53" s="10" t="s">
        <v>128</v>
      </c>
      <c r="I53" s="2"/>
      <c r="J53" s="2"/>
      <c r="K53" s="2"/>
      <c r="L53" s="2"/>
      <c r="M53" s="2"/>
      <c r="N53" s="2"/>
      <c r="O53" s="2"/>
      <c r="P53" s="2"/>
    </row>
    <row r="54" spans="1:16" ht="14.4">
      <c r="A54" s="2" t="s">
        <v>434</v>
      </c>
      <c r="B54" s="2" t="s">
        <v>46</v>
      </c>
      <c r="C54" s="16">
        <v>0.15576396040000001</v>
      </c>
      <c r="D54" s="16">
        <v>0.14881693339999999</v>
      </c>
      <c r="E54" s="16">
        <v>0.1468455337</v>
      </c>
      <c r="F54" s="19">
        <f t="shared" ref="F54:F71" si="5">E54-D54</f>
        <v>-1.9713996999999872E-3</v>
      </c>
      <c r="G54" s="19">
        <f t="shared" ref="G54:G71" si="6">E54-C54</f>
        <v>-8.9184267000000095E-3</v>
      </c>
      <c r="H54" s="10" t="s">
        <v>128</v>
      </c>
      <c r="I54" s="2"/>
      <c r="J54" s="2"/>
      <c r="K54" s="2"/>
      <c r="L54" s="2"/>
      <c r="M54" s="2"/>
      <c r="N54" s="2"/>
      <c r="O54" s="2"/>
      <c r="P54" s="2"/>
    </row>
    <row r="55" spans="1:16" ht="14.4">
      <c r="A55" s="2" t="s">
        <v>435</v>
      </c>
      <c r="B55" s="2" t="s">
        <v>46</v>
      </c>
      <c r="C55" s="16">
        <v>0.25207897210000002</v>
      </c>
      <c r="D55" s="16">
        <v>0.24330520620000001</v>
      </c>
      <c r="E55" s="16">
        <v>0.2395909105</v>
      </c>
      <c r="F55" s="19">
        <f t="shared" si="5"/>
        <v>-3.7142957000000087E-3</v>
      </c>
      <c r="G55" s="19">
        <f t="shared" si="6"/>
        <v>-1.2488061600000017E-2</v>
      </c>
      <c r="H55" s="10" t="s">
        <v>128</v>
      </c>
      <c r="I55" s="2"/>
      <c r="J55" s="2"/>
      <c r="K55" s="2"/>
      <c r="L55" s="2"/>
      <c r="M55" s="2"/>
      <c r="N55" s="2"/>
      <c r="O55" s="2"/>
      <c r="P55" s="2"/>
    </row>
    <row r="56" spans="1:16" ht="14.4">
      <c r="A56" s="2" t="s">
        <v>436</v>
      </c>
      <c r="B56" s="2" t="s">
        <v>46</v>
      </c>
      <c r="C56" s="16">
        <v>0.38966113819999998</v>
      </c>
      <c r="D56" s="16">
        <v>0.38008072450000002</v>
      </c>
      <c r="E56" s="16">
        <v>0.37252017059999998</v>
      </c>
      <c r="F56" s="19">
        <f t="shared" si="5"/>
        <v>-7.5605539000000443E-3</v>
      </c>
      <c r="G56" s="19">
        <f t="shared" si="6"/>
        <v>-1.7140967600000001E-2</v>
      </c>
      <c r="H56" s="10" t="s">
        <v>128</v>
      </c>
      <c r="I56" s="2"/>
      <c r="J56" s="2"/>
      <c r="K56" s="2"/>
      <c r="L56" s="2"/>
      <c r="M56" s="2"/>
      <c r="N56" s="2"/>
      <c r="O56" s="2"/>
      <c r="P56" s="2"/>
    </row>
    <row r="57" spans="1:16" ht="14.4">
      <c r="A57" s="2" t="s">
        <v>3504</v>
      </c>
      <c r="B57" s="2" t="s">
        <v>46</v>
      </c>
      <c r="C57" s="16">
        <v>0.4918641533</v>
      </c>
      <c r="D57" s="16">
        <v>0.49696796250000003</v>
      </c>
      <c r="E57" s="16">
        <v>0.48599999999999999</v>
      </c>
      <c r="F57" s="19">
        <f t="shared" si="5"/>
        <v>-1.0967962500000039E-2</v>
      </c>
      <c r="G57" s="19">
        <f t="shared" si="6"/>
        <v>-5.8641533000000079E-3</v>
      </c>
      <c r="H57" s="10" t="s">
        <v>128</v>
      </c>
      <c r="I57" s="2"/>
      <c r="J57" s="2"/>
      <c r="K57" s="2"/>
      <c r="L57" s="2"/>
      <c r="M57" s="2"/>
      <c r="N57" s="2"/>
      <c r="O57" s="2"/>
      <c r="P57" s="2"/>
    </row>
    <row r="58" spans="1:16" ht="14.4">
      <c r="A58" s="2" t="s">
        <v>3505</v>
      </c>
      <c r="B58" s="2" t="s">
        <v>46</v>
      </c>
      <c r="C58" s="16">
        <v>0.26049581820000001</v>
      </c>
      <c r="D58" s="16">
        <v>0.26014256800000002</v>
      </c>
      <c r="E58" s="16">
        <v>0.27500000000000002</v>
      </c>
      <c r="F58" s="19">
        <f t="shared" si="5"/>
        <v>1.4857432000000004E-2</v>
      </c>
      <c r="G58" s="19">
        <f t="shared" si="6"/>
        <v>1.4504181800000016E-2</v>
      </c>
      <c r="H58" s="10" t="s">
        <v>128</v>
      </c>
      <c r="I58" s="2"/>
      <c r="J58" s="2"/>
      <c r="K58" s="2"/>
      <c r="L58" s="2"/>
      <c r="M58" s="2"/>
      <c r="N58" s="2"/>
      <c r="O58" s="2"/>
      <c r="P58" s="2"/>
    </row>
    <row r="59" spans="1:16" ht="14.4">
      <c r="A59" s="2" t="s">
        <v>3506</v>
      </c>
      <c r="B59" s="2" t="s">
        <v>46</v>
      </c>
      <c r="C59" s="16">
        <v>0.24774002849999999</v>
      </c>
      <c r="D59" s="16">
        <v>0.24284638380000001</v>
      </c>
      <c r="E59" s="16">
        <v>0.23899999999999999</v>
      </c>
      <c r="F59" s="19">
        <f t="shared" si="5"/>
        <v>-3.8463838000000194E-3</v>
      </c>
      <c r="G59" s="19">
        <f t="shared" si="6"/>
        <v>-8.7400284999999966E-3</v>
      </c>
      <c r="H59" s="10" t="s">
        <v>128</v>
      </c>
      <c r="I59" s="2"/>
      <c r="J59" s="2"/>
      <c r="K59" s="2"/>
      <c r="L59" s="2"/>
      <c r="M59" s="2"/>
      <c r="N59" s="2"/>
      <c r="O59" s="2"/>
      <c r="P59" s="2"/>
    </row>
    <row r="60" spans="1:16" ht="14.4">
      <c r="A60" s="2" t="s">
        <v>3507</v>
      </c>
      <c r="B60" s="2" t="s">
        <v>46</v>
      </c>
      <c r="C60" s="16">
        <v>0.33812240989999998</v>
      </c>
      <c r="D60" s="16">
        <v>0.33429311960000002</v>
      </c>
      <c r="E60" s="16">
        <v>0.32300000000000001</v>
      </c>
      <c r="F60" s="19">
        <f t="shared" si="5"/>
        <v>-1.1293119600000012E-2</v>
      </c>
      <c r="G60" s="19">
        <f t="shared" si="6"/>
        <v>-1.5122409899999967E-2</v>
      </c>
      <c r="H60" s="10" t="s">
        <v>128</v>
      </c>
      <c r="I60" s="2"/>
      <c r="J60" s="2"/>
      <c r="K60" s="2"/>
      <c r="L60" s="2"/>
      <c r="M60" s="2"/>
      <c r="N60" s="2"/>
      <c r="O60" s="2"/>
      <c r="P60" s="2"/>
    </row>
    <row r="61" spans="1:16" ht="14.4">
      <c r="A61" s="2" t="s">
        <v>3508</v>
      </c>
      <c r="B61" s="2" t="s">
        <v>46</v>
      </c>
      <c r="C61" s="16">
        <v>0.17475409189999999</v>
      </c>
      <c r="D61" s="16">
        <v>0.1809149628</v>
      </c>
      <c r="E61" s="16">
        <v>0.193</v>
      </c>
      <c r="F61" s="19">
        <f t="shared" si="5"/>
        <v>1.2085037200000009E-2</v>
      </c>
      <c r="G61" s="19">
        <f t="shared" si="6"/>
        <v>1.8245908100000013E-2</v>
      </c>
      <c r="H61" s="10" t="s">
        <v>128</v>
      </c>
      <c r="I61" s="2"/>
      <c r="J61" s="2"/>
      <c r="K61" s="2"/>
      <c r="L61" s="2"/>
      <c r="M61" s="2"/>
      <c r="N61" s="2"/>
      <c r="O61" s="2"/>
      <c r="P61" s="2"/>
    </row>
    <row r="62" spans="1:16" ht="14.4">
      <c r="A62" s="2" t="s">
        <v>3509</v>
      </c>
      <c r="B62" s="2" t="s">
        <v>46</v>
      </c>
      <c r="C62" s="16">
        <v>0.13284578590000001</v>
      </c>
      <c r="D62" s="16">
        <v>0.13454156710000001</v>
      </c>
      <c r="E62" s="16">
        <v>0.129</v>
      </c>
      <c r="F62" s="19">
        <f t="shared" si="5"/>
        <v>-5.5415671000000055E-3</v>
      </c>
      <c r="G62" s="19">
        <f t="shared" si="6"/>
        <v>-3.8457859000000094E-3</v>
      </c>
      <c r="H62" s="10" t="s">
        <v>128</v>
      </c>
      <c r="I62" s="2"/>
      <c r="J62" s="2"/>
      <c r="K62" s="2"/>
      <c r="L62" s="2"/>
      <c r="M62" s="2"/>
      <c r="N62" s="2"/>
      <c r="O62" s="2"/>
      <c r="P62" s="2"/>
    </row>
    <row r="63" spans="1:16" ht="14.4">
      <c r="A63" s="2" t="s">
        <v>3510</v>
      </c>
      <c r="B63" s="2" t="s">
        <v>46</v>
      </c>
      <c r="C63" s="16">
        <v>0.16394841900000001</v>
      </c>
      <c r="D63" s="16">
        <v>0.1661624431</v>
      </c>
      <c r="E63" s="16">
        <v>0.16700000000000001</v>
      </c>
      <c r="F63" s="19">
        <f t="shared" si="5"/>
        <v>8.3755690000000826E-4</v>
      </c>
      <c r="G63" s="19">
        <f t="shared" si="6"/>
        <v>3.0515809999999977E-3</v>
      </c>
      <c r="H63" s="10" t="s">
        <v>128</v>
      </c>
      <c r="I63" s="2"/>
      <c r="J63" s="2"/>
      <c r="K63" s="2"/>
      <c r="L63" s="2"/>
      <c r="M63" s="2"/>
      <c r="N63" s="2"/>
      <c r="O63" s="2"/>
      <c r="P63" s="2"/>
    </row>
    <row r="64" spans="1:16" ht="14.4">
      <c r="A64" s="2" t="s">
        <v>532</v>
      </c>
      <c r="B64" s="2" t="s">
        <v>46</v>
      </c>
      <c r="C64" s="16">
        <v>7.9150184200000001E-2</v>
      </c>
      <c r="D64" s="16">
        <v>8.1815803100000001E-2</v>
      </c>
      <c r="E64" s="16">
        <v>8.1000000000000003E-2</v>
      </c>
      <c r="F64" s="19">
        <f t="shared" si="5"/>
        <v>-8.1580309999999823E-4</v>
      </c>
      <c r="G64" s="19">
        <f t="shared" si="6"/>
        <v>1.8498158000000015E-3</v>
      </c>
      <c r="H64" s="10" t="s">
        <v>128</v>
      </c>
      <c r="I64" s="2"/>
      <c r="J64" s="2"/>
      <c r="K64" s="2"/>
      <c r="L64" s="2"/>
      <c r="M64" s="2"/>
      <c r="N64" s="2"/>
      <c r="O64" s="2"/>
      <c r="P64" s="2"/>
    </row>
    <row r="65" spans="1:16" ht="14.4">
      <c r="A65" s="2" t="s">
        <v>548</v>
      </c>
      <c r="B65" s="2" t="s">
        <v>46</v>
      </c>
      <c r="C65" s="16">
        <v>7.2500456099999999E-2</v>
      </c>
      <c r="D65" s="16">
        <v>7.3009607700000007E-2</v>
      </c>
      <c r="E65" s="16">
        <v>7.2999999999999995E-2</v>
      </c>
      <c r="F65" s="19">
        <f t="shared" si="5"/>
        <v>-9.607700000011099E-6</v>
      </c>
      <c r="G65" s="19">
        <f t="shared" si="6"/>
        <v>4.9954389999999627E-4</v>
      </c>
      <c r="H65" s="10" t="s">
        <v>128</v>
      </c>
      <c r="I65" s="2"/>
      <c r="J65" s="2"/>
      <c r="K65" s="2"/>
      <c r="L65" s="2"/>
      <c r="M65" s="2"/>
      <c r="N65" s="2"/>
      <c r="O65" s="2"/>
      <c r="P65" s="2"/>
    </row>
    <row r="66" spans="1:16" ht="14.4">
      <c r="A66" s="2" t="s">
        <v>3511</v>
      </c>
      <c r="B66" s="2" t="s">
        <v>46</v>
      </c>
      <c r="C66" s="16">
        <v>3.8678653100000002E-2</v>
      </c>
      <c r="D66" s="16">
        <v>2.9219410899999999E-2</v>
      </c>
      <c r="E66" s="16">
        <v>3.4000000000000002E-2</v>
      </c>
      <c r="F66" s="19">
        <f t="shared" si="5"/>
        <v>4.7805891000000031E-3</v>
      </c>
      <c r="G66" s="19">
        <f t="shared" si="6"/>
        <v>-4.6786530999999992E-3</v>
      </c>
      <c r="H66" s="10" t="s">
        <v>128</v>
      </c>
      <c r="I66" s="2"/>
      <c r="J66" s="2"/>
      <c r="K66" s="2"/>
      <c r="L66" s="2"/>
      <c r="M66" s="2"/>
      <c r="N66" s="2"/>
      <c r="O66" s="2"/>
      <c r="P66" s="2"/>
    </row>
    <row r="67" spans="1:16" ht="14.4">
      <c r="A67" s="2" t="s">
        <v>3512</v>
      </c>
      <c r="B67" s="2" t="s">
        <v>46</v>
      </c>
      <c r="C67" s="16">
        <v>0.50429609929999997</v>
      </c>
      <c r="D67" s="16">
        <v>0.52003843459999999</v>
      </c>
      <c r="E67" s="16">
        <v>0.50700000000000001</v>
      </c>
      <c r="F67" s="19">
        <f t="shared" si="5"/>
        <v>-1.3038434599999982E-2</v>
      </c>
      <c r="G67" s="19">
        <f t="shared" si="6"/>
        <v>2.7039007000000392E-3</v>
      </c>
      <c r="H67" s="10" t="s">
        <v>128</v>
      </c>
      <c r="I67" s="2"/>
      <c r="J67" s="2"/>
      <c r="K67" s="2"/>
      <c r="L67" s="2"/>
      <c r="M67" s="2"/>
      <c r="N67" s="2"/>
      <c r="O67" s="2"/>
      <c r="P67" s="2"/>
    </row>
    <row r="68" spans="1:16" ht="14.4">
      <c r="A68" s="2" t="s">
        <v>3513</v>
      </c>
      <c r="B68" s="2" t="s">
        <v>46</v>
      </c>
      <c r="C68" s="16">
        <v>9.5416111100000006E-2</v>
      </c>
      <c r="D68" s="16">
        <v>9.1816257600000006E-2</v>
      </c>
      <c r="E68" s="16">
        <v>9.4E-2</v>
      </c>
      <c r="F68" s="19">
        <f t="shared" si="5"/>
        <v>2.1837423999999939E-3</v>
      </c>
      <c r="G68" s="19">
        <f t="shared" si="6"/>
        <v>-1.416111100000006E-3</v>
      </c>
      <c r="H68" s="10" t="s">
        <v>128</v>
      </c>
      <c r="I68" s="2"/>
      <c r="J68" s="2"/>
      <c r="K68" s="2"/>
      <c r="L68" s="2"/>
      <c r="M68" s="2"/>
      <c r="N68" s="2"/>
      <c r="O68" s="2"/>
      <c r="P68" s="2"/>
    </row>
    <row r="69" spans="1:16" ht="14.4">
      <c r="A69" s="2" t="s">
        <v>3514</v>
      </c>
      <c r="B69" s="2" t="s">
        <v>46</v>
      </c>
      <c r="C69" s="16">
        <v>0.13646243089999999</v>
      </c>
      <c r="D69" s="16">
        <v>0.139237256</v>
      </c>
      <c r="E69" s="16">
        <v>0.14699999999999999</v>
      </c>
      <c r="F69" s="19">
        <f t="shared" si="5"/>
        <v>7.7627439999999881E-3</v>
      </c>
      <c r="G69" s="19">
        <f t="shared" si="6"/>
        <v>1.0537569100000005E-2</v>
      </c>
      <c r="H69" s="10" t="s">
        <v>128</v>
      </c>
      <c r="I69" s="2"/>
      <c r="J69" s="2"/>
      <c r="K69" s="2"/>
      <c r="L69" s="2"/>
      <c r="M69" s="2"/>
      <c r="N69" s="2"/>
      <c r="O69" s="2"/>
      <c r="P69" s="2"/>
    </row>
    <row r="70" spans="1:16" ht="14.4">
      <c r="A70" s="2" t="s">
        <v>3515</v>
      </c>
      <c r="B70" s="2" t="s">
        <v>46</v>
      </c>
      <c r="C70" s="16">
        <v>5.4639165699999999E-2</v>
      </c>
      <c r="D70" s="16">
        <v>5.5026067200000001E-2</v>
      </c>
      <c r="E70" s="16">
        <v>5.5E-2</v>
      </c>
      <c r="F70" s="19">
        <f t="shared" si="5"/>
        <v>-2.6067200000000346E-5</v>
      </c>
      <c r="G70" s="19">
        <f t="shared" si="6"/>
        <v>3.6083430000000138E-4</v>
      </c>
      <c r="H70" s="10" t="s">
        <v>128</v>
      </c>
      <c r="I70" s="2"/>
      <c r="J70" s="2"/>
      <c r="K70" s="2"/>
      <c r="L70" s="2"/>
      <c r="M70" s="2"/>
      <c r="N70" s="2"/>
      <c r="O70" s="2"/>
      <c r="P70" s="2"/>
    </row>
    <row r="71" spans="1:16" ht="14.4">
      <c r="A71" s="2" t="s">
        <v>450</v>
      </c>
      <c r="B71" s="2" t="s">
        <v>46</v>
      </c>
      <c r="C71" s="16">
        <v>0.21018619299999999</v>
      </c>
      <c r="D71" s="16">
        <v>0.1938819846</v>
      </c>
      <c r="E71" s="16">
        <v>0.19700000000000001</v>
      </c>
      <c r="F71" s="19">
        <f t="shared" si="5"/>
        <v>3.1180154000000071E-3</v>
      </c>
      <c r="G71" s="19">
        <f t="shared" si="6"/>
        <v>-1.3186192999999985E-2</v>
      </c>
      <c r="H71" s="10" t="s">
        <v>128</v>
      </c>
      <c r="I71" s="2"/>
      <c r="J71" s="2"/>
      <c r="K71" s="2"/>
      <c r="L71" s="2"/>
      <c r="M71" s="2"/>
      <c r="N71" s="2"/>
      <c r="O71" s="2"/>
      <c r="P71" s="2"/>
    </row>
    <row r="72" spans="1:1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8" customHeight="1">
      <c r="A74" s="77" t="s">
        <v>3516</v>
      </c>
      <c r="B74" s="77"/>
      <c r="C74" s="77"/>
      <c r="D74" s="77"/>
      <c r="E74" s="77"/>
      <c r="F74" s="77"/>
      <c r="G74" s="77"/>
      <c r="H74" s="77"/>
      <c r="I74" s="2"/>
      <c r="J74" s="2"/>
      <c r="K74" s="2"/>
      <c r="L74" s="2"/>
      <c r="M74" s="2"/>
      <c r="N74" s="2"/>
      <c r="O74" s="2"/>
      <c r="P74" s="2"/>
    </row>
    <row r="75" spans="1:16" ht="19.95" customHeight="1">
      <c r="A75" s="47" t="s">
        <v>26</v>
      </c>
      <c r="B75" s="47" t="s">
        <v>27</v>
      </c>
      <c r="C75" s="47" t="s">
        <v>280</v>
      </c>
      <c r="D75" s="47" t="s">
        <v>3517</v>
      </c>
      <c r="E75" s="47" t="s">
        <v>3257</v>
      </c>
      <c r="F75" s="47" t="s">
        <v>81</v>
      </c>
      <c r="G75" s="47" t="s">
        <v>615</v>
      </c>
      <c r="H75" s="47" t="s">
        <v>3518</v>
      </c>
      <c r="I75" s="2"/>
      <c r="J75" s="2"/>
      <c r="K75" s="2"/>
      <c r="L75" s="2"/>
      <c r="M75" s="2"/>
      <c r="N75" s="2"/>
      <c r="O75" s="2"/>
      <c r="P75" s="2"/>
    </row>
    <row r="76" spans="1:16" ht="14.4">
      <c r="A76" s="2" t="s">
        <v>310</v>
      </c>
      <c r="B76" s="2" t="s">
        <v>44</v>
      </c>
      <c r="C76" s="17">
        <v>50390.9</v>
      </c>
      <c r="D76" s="21">
        <f>C77</f>
        <v>50390.9</v>
      </c>
      <c r="E76" s="21">
        <f>C76-D76</f>
        <v>0</v>
      </c>
      <c r="F76" s="2" t="str">
        <f t="shared" ref="F76:F86" si="7">IF(OR(E76="",ABS(E76)&lt;=0.1),"OK","REVIEW")</f>
        <v>OK</v>
      </c>
      <c r="G76" s="10" t="s">
        <v>128</v>
      </c>
      <c r="H76" s="2" t="s">
        <v>3519</v>
      </c>
      <c r="I76" s="2"/>
      <c r="J76" s="2"/>
      <c r="K76" s="2"/>
      <c r="L76" s="2"/>
      <c r="M76" s="2"/>
      <c r="N76" s="2"/>
      <c r="O76" s="2"/>
      <c r="P76" s="2"/>
    </row>
    <row r="77" spans="1:16" ht="14.4">
      <c r="A77" s="2" t="s">
        <v>3520</v>
      </c>
      <c r="B77" s="2" t="s">
        <v>44</v>
      </c>
      <c r="C77" s="17">
        <v>50390.9</v>
      </c>
      <c r="D77" s="21">
        <f>C76</f>
        <v>50390.9</v>
      </c>
      <c r="E77" s="21">
        <f>C77-D77</f>
        <v>0</v>
      </c>
      <c r="F77" s="2" t="str">
        <f t="shared" si="7"/>
        <v>OK</v>
      </c>
      <c r="G77" s="10" t="s">
        <v>128</v>
      </c>
      <c r="H77" s="2" t="s">
        <v>3519</v>
      </c>
      <c r="I77" s="2"/>
      <c r="J77" s="2"/>
      <c r="K77" s="2"/>
      <c r="L77" s="2"/>
      <c r="M77" s="2"/>
      <c r="N77" s="2"/>
      <c r="O77" s="2"/>
      <c r="P77" s="2"/>
    </row>
    <row r="78" spans="1:16" ht="14.4">
      <c r="A78" s="2" t="s">
        <v>3521</v>
      </c>
      <c r="B78" s="2" t="s">
        <v>44</v>
      </c>
      <c r="C78" s="17">
        <v>4673.7</v>
      </c>
      <c r="D78" s="21">
        <f>C86</f>
        <v>4673.7</v>
      </c>
      <c r="E78" s="21">
        <f>C78-D78</f>
        <v>0</v>
      </c>
      <c r="F78" s="2" t="str">
        <f t="shared" si="7"/>
        <v>OK</v>
      </c>
      <c r="G78" s="10" t="s">
        <v>128</v>
      </c>
      <c r="H78" s="2" t="s">
        <v>3522</v>
      </c>
      <c r="I78" s="2"/>
      <c r="J78" s="2"/>
      <c r="K78" s="2"/>
      <c r="L78" s="2"/>
      <c r="M78" s="2"/>
      <c r="N78" s="2"/>
      <c r="O78" s="2"/>
      <c r="P78" s="2"/>
    </row>
    <row r="79" spans="1:16" ht="14.4">
      <c r="A79" s="2" t="s">
        <v>3523</v>
      </c>
      <c r="B79" s="2" t="s">
        <v>44</v>
      </c>
      <c r="C79" s="17">
        <v>1942</v>
      </c>
      <c r="D79" s="2"/>
      <c r="E79" s="2"/>
      <c r="F79" s="2" t="str">
        <f t="shared" si="7"/>
        <v>OK</v>
      </c>
      <c r="G79" s="10" t="s">
        <v>128</v>
      </c>
      <c r="H79" s="2" t="s">
        <v>3524</v>
      </c>
      <c r="I79" s="2"/>
      <c r="J79" s="2"/>
      <c r="K79" s="2"/>
      <c r="L79" s="2"/>
      <c r="M79" s="2"/>
      <c r="N79" s="2"/>
      <c r="O79" s="2"/>
      <c r="P79" s="2"/>
    </row>
    <row r="80" spans="1:16" ht="14.4">
      <c r="A80" s="2" t="s">
        <v>372</v>
      </c>
      <c r="B80" s="2" t="s">
        <v>44</v>
      </c>
      <c r="C80" s="17">
        <v>-358</v>
      </c>
      <c r="D80" s="2"/>
      <c r="E80" s="2"/>
      <c r="F80" s="2" t="str">
        <f t="shared" si="7"/>
        <v>OK</v>
      </c>
      <c r="G80" s="10" t="s">
        <v>128</v>
      </c>
      <c r="H80" s="2" t="s">
        <v>3524</v>
      </c>
      <c r="I80" s="2"/>
      <c r="J80" s="2"/>
      <c r="K80" s="2"/>
      <c r="L80" s="2"/>
      <c r="M80" s="2"/>
      <c r="N80" s="2"/>
      <c r="O80" s="2"/>
      <c r="P80" s="2"/>
    </row>
    <row r="81" spans="1:16" ht="14.4">
      <c r="A81" s="2" t="s">
        <v>395</v>
      </c>
      <c r="B81" s="2" t="s">
        <v>44</v>
      </c>
      <c r="C81" s="17">
        <v>-2055.5</v>
      </c>
      <c r="D81" s="2"/>
      <c r="E81" s="2"/>
      <c r="F81" s="2" t="str">
        <f t="shared" si="7"/>
        <v>OK</v>
      </c>
      <c r="G81" s="10" t="s">
        <v>128</v>
      </c>
      <c r="H81" s="2" t="s">
        <v>3524</v>
      </c>
      <c r="I81" s="2"/>
      <c r="J81" s="2"/>
      <c r="K81" s="2"/>
      <c r="L81" s="2"/>
      <c r="M81" s="2"/>
      <c r="N81" s="2"/>
      <c r="O81" s="2"/>
      <c r="P81" s="2"/>
    </row>
    <row r="82" spans="1:16" ht="14.4">
      <c r="A82" s="2" t="s">
        <v>412</v>
      </c>
      <c r="B82" s="2" t="s">
        <v>44</v>
      </c>
      <c r="C82" s="17">
        <v>-264.60000000000002</v>
      </c>
      <c r="D82" s="2"/>
      <c r="E82" s="2"/>
      <c r="F82" s="2" t="str">
        <f t="shared" si="7"/>
        <v>OK</v>
      </c>
      <c r="G82" s="10" t="s">
        <v>128</v>
      </c>
      <c r="H82" s="2" t="s">
        <v>3524</v>
      </c>
      <c r="I82" s="2"/>
      <c r="J82" s="2"/>
      <c r="K82" s="2"/>
      <c r="L82" s="2"/>
      <c r="M82" s="2"/>
      <c r="N82" s="2"/>
      <c r="O82" s="2"/>
      <c r="P82" s="2"/>
    </row>
    <row r="83" spans="1:16" ht="14.4">
      <c r="A83" s="2" t="s">
        <v>413</v>
      </c>
      <c r="B83" s="2" t="s">
        <v>44</v>
      </c>
      <c r="C83" s="17">
        <v>-378.1</v>
      </c>
      <c r="D83" s="21">
        <f>SUM(C79,C81:C82)</f>
        <v>-378.1</v>
      </c>
      <c r="E83" s="21">
        <f>C83-D83</f>
        <v>0</v>
      </c>
      <c r="F83" s="2" t="str">
        <f t="shared" si="7"/>
        <v>OK</v>
      </c>
      <c r="G83" s="10" t="s">
        <v>128</v>
      </c>
      <c r="H83" s="2" t="s">
        <v>3525</v>
      </c>
      <c r="I83" s="2"/>
      <c r="J83" s="2"/>
      <c r="K83" s="2"/>
      <c r="L83" s="2"/>
      <c r="M83" s="2"/>
      <c r="N83" s="2"/>
      <c r="O83" s="2"/>
      <c r="P83" s="2"/>
    </row>
    <row r="84" spans="1:16" ht="14.4">
      <c r="A84" s="2" t="s">
        <v>414</v>
      </c>
      <c r="B84" s="2" t="s">
        <v>44</v>
      </c>
      <c r="C84" s="17">
        <v>5.7</v>
      </c>
      <c r="D84" s="2"/>
      <c r="E84" s="2"/>
      <c r="F84" s="2" t="str">
        <f t="shared" si="7"/>
        <v>OK</v>
      </c>
      <c r="G84" s="10" t="s">
        <v>128</v>
      </c>
      <c r="H84" s="2" t="s">
        <v>3524</v>
      </c>
      <c r="I84" s="2"/>
      <c r="J84" s="2"/>
      <c r="K84" s="2"/>
      <c r="L84" s="2"/>
      <c r="M84" s="2"/>
      <c r="N84" s="2"/>
      <c r="O84" s="2"/>
      <c r="P84" s="2"/>
    </row>
    <row r="85" spans="1:16" ht="14.4">
      <c r="A85" s="2" t="s">
        <v>415</v>
      </c>
      <c r="B85" s="2" t="s">
        <v>44</v>
      </c>
      <c r="C85" s="17">
        <v>5046.1000000000004</v>
      </c>
      <c r="D85" s="2"/>
      <c r="E85" s="2"/>
      <c r="F85" s="2" t="str">
        <f t="shared" si="7"/>
        <v>OK</v>
      </c>
      <c r="G85" s="10" t="s">
        <v>128</v>
      </c>
      <c r="H85" s="2" t="s">
        <v>3524</v>
      </c>
      <c r="I85" s="2"/>
      <c r="J85" s="2"/>
      <c r="K85" s="2"/>
      <c r="L85" s="2"/>
      <c r="M85" s="2"/>
      <c r="N85" s="2"/>
      <c r="O85" s="2"/>
      <c r="P85" s="2"/>
    </row>
    <row r="86" spans="1:16" ht="14.4">
      <c r="A86" s="2" t="s">
        <v>3526</v>
      </c>
      <c r="B86" s="2" t="s">
        <v>44</v>
      </c>
      <c r="C86" s="17">
        <v>4673.7</v>
      </c>
      <c r="D86" s="21">
        <f>SUM(C83:C85)</f>
        <v>4673.7000000000007</v>
      </c>
      <c r="E86" s="21">
        <f>C86-D86</f>
        <v>0</v>
      </c>
      <c r="F86" s="2" t="str">
        <f t="shared" si="7"/>
        <v>OK</v>
      </c>
      <c r="G86" s="10" t="s">
        <v>128</v>
      </c>
      <c r="H86" s="2" t="s">
        <v>3527</v>
      </c>
      <c r="I86" s="2"/>
      <c r="J86" s="2"/>
      <c r="K86" s="2"/>
      <c r="L86" s="2"/>
      <c r="M86" s="2"/>
      <c r="N86" s="2"/>
      <c r="O86" s="2"/>
      <c r="P86" s="2"/>
    </row>
    <row r="87" spans="1:1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4.4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</row>
    <row r="112" spans="1:16" ht="14.4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</row>
    <row r="113" spans="1:16" ht="14.4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</row>
    <row r="114" spans="1:16" ht="14.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</row>
    <row r="115" spans="1:16" ht="14.4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</row>
    <row r="116" spans="1:16" ht="14.4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</row>
    <row r="117" spans="1:16" ht="14.4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</row>
    <row r="118" spans="1:16" ht="14.4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</row>
    <row r="119" spans="1:16" ht="14.4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</row>
    <row r="120" spans="1:16" ht="14.4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</row>
    <row r="121" spans="1:16" ht="14.4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</row>
    <row r="122" spans="1:16" ht="14.4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</row>
    <row r="123" spans="1:16" ht="14.4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</row>
    <row r="124" spans="1:16" ht="14.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</row>
    <row r="125" spans="1:16" ht="14.4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</row>
    <row r="126" spans="1:16" ht="14.4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</row>
    <row r="127" spans="1:16" ht="14.4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</row>
    <row r="128" spans="1:16" ht="14.4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</row>
    <row r="129" spans="1:16" ht="14.4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</row>
    <row r="130" spans="1:16" ht="14.4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</row>
    <row r="131" spans="1:16" ht="14.4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4.4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</row>
    <row r="133" spans="1:16" ht="14.4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</row>
    <row r="134" spans="1:16" ht="14.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</row>
    <row r="135" spans="1:16" ht="14.4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</row>
    <row r="136" spans="1:16" ht="14.4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</row>
    <row r="137" spans="1:16" ht="14.4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</row>
    <row r="138" spans="1:16" ht="14.4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</row>
    <row r="139" spans="1:16" ht="14.4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</row>
    <row r="140" spans="1:16" ht="14.4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</row>
    <row r="141" spans="1:16" ht="14.4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</row>
    <row r="142" spans="1:16" ht="14.4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</row>
    <row r="143" spans="1:16" ht="14.4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</row>
    <row r="144" spans="1:16" ht="14.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</row>
    <row r="145" spans="1:16" ht="14.4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</row>
    <row r="146" spans="1:16" ht="14.4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</row>
    <row r="147" spans="1:16" ht="14.4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</row>
    <row r="148" spans="1:16" ht="14.4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</row>
    <row r="149" spans="1:16" ht="14.4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</row>
    <row r="150" spans="1:16" ht="14.4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</row>
    <row r="151" spans="1:16" ht="14.4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</row>
    <row r="152" spans="1:16" ht="14.4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</row>
    <row r="153" spans="1:16" ht="14.4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</row>
    <row r="154" spans="1:16" ht="14.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</row>
    <row r="155" spans="1:16" ht="14.4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</row>
    <row r="156" spans="1:16" ht="14.4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</row>
    <row r="157" spans="1:16" ht="14.4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</row>
    <row r="158" spans="1:16" ht="14.4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</row>
    <row r="159" spans="1:16" ht="14.4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</row>
    <row r="160" spans="1:16" ht="14.4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</row>
    <row r="161" spans="1:16" ht="14.4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</row>
    <row r="162" spans="1:16" ht="14.4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</row>
    <row r="163" spans="1:16" ht="14.4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</row>
    <row r="164" spans="1:16" ht="14.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</row>
    <row r="165" spans="1:16" ht="14.4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</row>
    <row r="166" spans="1:16" ht="14.4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</row>
    <row r="167" spans="1:16" ht="14.4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</row>
    <row r="168" spans="1:16" ht="14.4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</row>
    <row r="169" spans="1:16" ht="14.4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</row>
    <row r="170" spans="1:16" ht="14.4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</row>
    <row r="171" spans="1:16" ht="14.4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</row>
    <row r="172" spans="1:16" ht="14.4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</row>
    <row r="173" spans="1:16" ht="14.4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</row>
    <row r="174" spans="1:16" ht="14.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</row>
    <row r="175" spans="1:16" ht="14.4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</row>
    <row r="176" spans="1:16" ht="14.4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</row>
    <row r="177" spans="1:16" ht="14.4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</row>
    <row r="178" spans="1:16" ht="14.4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</row>
    <row r="179" spans="1:16" ht="14.4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</row>
    <row r="180" spans="1:16" ht="14.4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</row>
    <row r="181" spans="1:16" ht="14.4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</row>
    <row r="182" spans="1:16" ht="14.4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</row>
    <row r="183" spans="1:16" ht="14.4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</row>
    <row r="184" spans="1:16" ht="14.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</row>
    <row r="185" spans="1:16" ht="14.4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</row>
    <row r="186" spans="1:16" ht="14.4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</row>
    <row r="187" spans="1:16" ht="14.4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</row>
    <row r="188" spans="1:16" ht="14.4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</row>
    <row r="189" spans="1:16" ht="14.4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</row>
    <row r="190" spans="1:16" ht="14.4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</row>
    <row r="191" spans="1:16" ht="14.4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</row>
    <row r="192" spans="1:16" ht="14.4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</row>
    <row r="193" spans="1:16" ht="14.4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</row>
    <row r="194" spans="1:16" ht="14.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</row>
    <row r="195" spans="1:16" ht="14.4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</row>
    <row r="196" spans="1:16" ht="14.4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</row>
    <row r="197" spans="1:16" ht="14.4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</row>
    <row r="198" spans="1:16" ht="14.4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</row>
    <row r="199" spans="1:16" ht="14.4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</row>
    <row r="200" spans="1:16" ht="14.4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</row>
    <row r="201" spans="1:16" ht="14.4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</row>
    <row r="202" spans="1:16" ht="14.4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</row>
    <row r="203" spans="1:16" ht="14.4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</row>
    <row r="204" spans="1:16" ht="14.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</row>
    <row r="205" spans="1:16" ht="14.4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</row>
  </sheetData>
  <mergeCells count="8">
    <mergeCell ref="A74:H74"/>
    <mergeCell ref="J6:P6"/>
    <mergeCell ref="J15:P17"/>
    <mergeCell ref="A1:P1"/>
    <mergeCell ref="A2:P2"/>
    <mergeCell ref="A4:P4"/>
    <mergeCell ref="A6:H6"/>
    <mergeCell ref="A30:H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40"/>
  <sheetViews>
    <sheetView showGridLines="0" workbookViewId="0"/>
  </sheetViews>
  <sheetFormatPr defaultRowHeight="13.8"/>
  <cols>
    <col min="1" max="1" width="42" customWidth="1"/>
    <col min="2" max="2" width="12" customWidth="1"/>
    <col min="3" max="7" width="14" customWidth="1"/>
  </cols>
  <sheetData>
    <row r="1" spans="1:17" ht="25.95" customHeight="1">
      <c r="A1" s="81" t="s">
        <v>3528</v>
      </c>
      <c r="B1" s="81"/>
      <c r="C1" s="81"/>
      <c r="D1" s="81"/>
      <c r="E1" s="81"/>
      <c r="F1" s="81"/>
      <c r="G1" s="81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18" customHeight="1">
      <c r="A2" s="78" t="s">
        <v>3529</v>
      </c>
      <c r="B2" s="78"/>
      <c r="C2" s="78"/>
      <c r="D2" s="78"/>
      <c r="E2" s="78"/>
      <c r="F2" s="78"/>
      <c r="G2" s="78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17" ht="14.4">
      <c r="A3" s="2"/>
      <c r="B3" s="2"/>
      <c r="C3" s="2"/>
      <c r="D3" s="2"/>
      <c r="E3" s="2"/>
      <c r="F3" s="2"/>
      <c r="G3" s="2"/>
      <c r="H3" s="56"/>
      <c r="I3" s="56"/>
      <c r="J3" s="56"/>
      <c r="K3" s="56"/>
      <c r="L3" s="56"/>
      <c r="M3" s="56"/>
      <c r="N3" s="56"/>
      <c r="O3" s="56"/>
      <c r="P3" s="56"/>
      <c r="Q3" s="56"/>
    </row>
    <row r="4" spans="1:17" ht="14.4">
      <c r="A4" s="2"/>
      <c r="B4" s="2"/>
      <c r="C4" s="2"/>
      <c r="D4" s="2"/>
      <c r="E4" s="2"/>
      <c r="F4" s="2"/>
      <c r="G4" s="2"/>
      <c r="H4" s="56"/>
      <c r="I4" s="56"/>
      <c r="J4" s="56"/>
      <c r="K4" s="56"/>
      <c r="L4" s="56"/>
      <c r="M4" s="56"/>
      <c r="N4" s="56"/>
      <c r="O4" s="56"/>
      <c r="P4" s="56"/>
      <c r="Q4" s="56"/>
    </row>
    <row r="5" spans="1:17" ht="19.95" customHeight="1">
      <c r="A5" s="57" t="s">
        <v>26</v>
      </c>
      <c r="B5" s="57" t="s">
        <v>27</v>
      </c>
      <c r="C5" s="57" t="s">
        <v>38</v>
      </c>
      <c r="D5" s="59" t="s">
        <v>39</v>
      </c>
      <c r="E5" s="59" t="s">
        <v>40</v>
      </c>
      <c r="F5" s="59" t="s">
        <v>41</v>
      </c>
      <c r="G5" s="59" t="s">
        <v>42</v>
      </c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1:17" ht="14.4">
      <c r="A6" s="2"/>
      <c r="B6" s="2"/>
      <c r="C6" s="2"/>
      <c r="D6" s="60"/>
      <c r="E6" s="60"/>
      <c r="F6" s="60"/>
      <c r="G6" s="60"/>
      <c r="H6" s="56"/>
      <c r="I6" s="56"/>
      <c r="J6" s="56"/>
      <c r="K6" s="56"/>
      <c r="L6" s="56"/>
      <c r="M6" s="56"/>
      <c r="N6" s="56"/>
      <c r="O6" s="56"/>
      <c r="P6" s="56"/>
      <c r="Q6" s="56"/>
    </row>
    <row r="7" spans="1:17" ht="18" customHeight="1">
      <c r="A7" s="72" t="s">
        <v>3530</v>
      </c>
      <c r="B7" s="72"/>
      <c r="C7" s="72"/>
      <c r="D7" s="72"/>
      <c r="E7" s="72"/>
      <c r="F7" s="72"/>
      <c r="G7" s="72"/>
      <c r="H7" s="56"/>
      <c r="I7" s="56"/>
      <c r="J7" s="56"/>
      <c r="K7" s="56"/>
      <c r="L7" s="56"/>
      <c r="M7" s="56"/>
      <c r="N7" s="56"/>
      <c r="O7" s="56"/>
      <c r="P7" s="56"/>
      <c r="Q7" s="56"/>
    </row>
    <row r="8" spans="1:17" ht="14.4">
      <c r="A8" s="2" t="s">
        <v>43</v>
      </c>
      <c r="B8" s="2" t="s">
        <v>44</v>
      </c>
      <c r="C8" s="21">
        <f>'Annual P&amp;L'!M7</f>
        <v>56815.399599999764</v>
      </c>
      <c r="D8" s="61">
        <f>'Annual P&amp;L'!N7</f>
        <v>58225.878004588383</v>
      </c>
      <c r="E8" s="61">
        <f>'Annual P&amp;L'!O7</f>
        <v>60460.105140546773</v>
      </c>
      <c r="F8" s="61">
        <f>'Annual P&amp;L'!P7</f>
        <v>63337.981622471256</v>
      </c>
      <c r="G8" s="61">
        <f>'Annual P&amp;L'!Q7</f>
        <v>66753.180321994849</v>
      </c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1:17" ht="14.4">
      <c r="A9" s="2" t="s">
        <v>3531</v>
      </c>
      <c r="B9" s="2" t="s">
        <v>44</v>
      </c>
      <c r="C9" s="21">
        <f>'Annual P&amp;L'!M19</f>
        <v>1881.600000000393</v>
      </c>
      <c r="D9" s="61">
        <f>'Annual P&amp;L'!N19</f>
        <v>1921.4539741514168</v>
      </c>
      <c r="E9" s="61">
        <f>'Annual P&amp;L'!O19</f>
        <v>1934.7233644974967</v>
      </c>
      <c r="F9" s="61">
        <f>'Annual P&amp;L'!P19</f>
        <v>1963.4774302966089</v>
      </c>
      <c r="G9" s="61">
        <f>'Annual P&amp;L'!Q19</f>
        <v>2002.5954096598455</v>
      </c>
      <c r="H9" s="56"/>
      <c r="I9" s="56"/>
      <c r="J9" s="56"/>
      <c r="K9" s="56"/>
      <c r="L9" s="56"/>
      <c r="M9" s="56"/>
      <c r="N9" s="56"/>
      <c r="O9" s="56"/>
      <c r="P9" s="56"/>
      <c r="Q9" s="56"/>
    </row>
    <row r="10" spans="1:17" ht="14.4">
      <c r="A10" s="2" t="s">
        <v>3532</v>
      </c>
      <c r="B10" s="2" t="s">
        <v>44</v>
      </c>
      <c r="C10" s="2"/>
      <c r="D10" s="61">
        <f>D9*Assumptions!C55</f>
        <v>672.50889095299578</v>
      </c>
      <c r="E10" s="61">
        <f>E9*Assumptions!D55</f>
        <v>677.15317757412379</v>
      </c>
      <c r="F10" s="61">
        <f>F9*Assumptions!E55</f>
        <v>687.21710060381304</v>
      </c>
      <c r="G10" s="61">
        <f>G9*Assumptions!F55</f>
        <v>700.90839338094588</v>
      </c>
      <c r="H10" s="56"/>
      <c r="I10" s="56"/>
      <c r="J10" s="56"/>
      <c r="K10" s="56"/>
      <c r="L10" s="56"/>
      <c r="M10" s="56"/>
      <c r="N10" s="56"/>
      <c r="O10" s="56"/>
      <c r="P10" s="56"/>
      <c r="Q10" s="56"/>
    </row>
    <row r="11" spans="1:17" ht="14.4">
      <c r="A11" s="2" t="s">
        <v>3533</v>
      </c>
      <c r="B11" s="2" t="s">
        <v>44</v>
      </c>
      <c r="C11" s="2"/>
      <c r="D11" s="61">
        <f>D9*Assumptions!C56</f>
        <v>672.50889095299578</v>
      </c>
      <c r="E11" s="61">
        <f>E9*Assumptions!D56</f>
        <v>677.15317757412379</v>
      </c>
      <c r="F11" s="61">
        <f>F9*Assumptions!E56</f>
        <v>687.21710060381304</v>
      </c>
      <c r="G11" s="61">
        <f>G9*Assumptions!F56</f>
        <v>700.90839338094588</v>
      </c>
      <c r="H11" s="56"/>
      <c r="I11" s="56"/>
      <c r="J11" s="56"/>
      <c r="K11" s="56"/>
      <c r="L11" s="56"/>
      <c r="M11" s="56"/>
      <c r="N11" s="56"/>
      <c r="O11" s="56"/>
      <c r="P11" s="56"/>
      <c r="Q11" s="56"/>
    </row>
    <row r="12" spans="1:17" ht="14.4">
      <c r="A12" s="2" t="s">
        <v>3534</v>
      </c>
      <c r="B12" s="2" t="s">
        <v>44</v>
      </c>
      <c r="C12" s="2"/>
      <c r="D12" s="61">
        <f>D9*Assumptions!C57</f>
        <v>576.43619224542499</v>
      </c>
      <c r="E12" s="61">
        <f>E9*Assumptions!D57</f>
        <v>580.41700934924904</v>
      </c>
      <c r="F12" s="61">
        <f>F9*Assumptions!E57</f>
        <v>589.04322908898268</v>
      </c>
      <c r="G12" s="61">
        <f>G9*Assumptions!F57</f>
        <v>600.7786228979536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</row>
    <row r="13" spans="1:17" ht="14.4">
      <c r="A13" s="64" t="s">
        <v>3535</v>
      </c>
      <c r="B13" s="62" t="s">
        <v>44</v>
      </c>
      <c r="C13" s="62"/>
      <c r="D13" s="63">
        <f>SUM(D10:D12)-D9</f>
        <v>0</v>
      </c>
      <c r="E13" s="63">
        <f>SUM(E10:E12)-E9</f>
        <v>0</v>
      </c>
      <c r="F13" s="63">
        <f>SUM(F10:F12)-F9</f>
        <v>0</v>
      </c>
      <c r="G13" s="63">
        <f>SUM(G10:G12)-G9</f>
        <v>0</v>
      </c>
      <c r="H13" s="56"/>
      <c r="I13" s="56"/>
      <c r="J13" s="56"/>
      <c r="K13" s="56"/>
      <c r="L13" s="56"/>
      <c r="M13" s="56"/>
      <c r="N13" s="56"/>
      <c r="O13" s="56"/>
      <c r="P13" s="56"/>
      <c r="Q13" s="56"/>
    </row>
    <row r="14" spans="1:17" ht="14.4">
      <c r="A14" s="64" t="s">
        <v>3536</v>
      </c>
      <c r="B14" s="62" t="s">
        <v>44</v>
      </c>
      <c r="C14" s="62"/>
      <c r="D14" s="63">
        <f>D8*Assumptions!C35</f>
        <v>756.936414059649</v>
      </c>
      <c r="E14" s="63">
        <f>E8*Assumptions!D35</f>
        <v>785.98136682710799</v>
      </c>
      <c r="F14" s="63">
        <f>F8*Assumptions!E35</f>
        <v>823.39376109212628</v>
      </c>
      <c r="G14" s="63">
        <f>G8*Assumptions!F35</f>
        <v>867.79134418593299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</row>
    <row r="15" spans="1:17" ht="14.4">
      <c r="A15" s="2" t="s">
        <v>3537</v>
      </c>
      <c r="B15" s="2" t="s">
        <v>44</v>
      </c>
      <c r="C15" s="2"/>
      <c r="D15" s="61">
        <f>D8*Assumptions!C58</f>
        <v>174.67763401376516</v>
      </c>
      <c r="E15" s="61">
        <f>E8*Assumptions!D58</f>
        <v>181.38031542164032</v>
      </c>
      <c r="F15" s="61">
        <f>F8*Assumptions!E58</f>
        <v>190.01394486741378</v>
      </c>
      <c r="G15" s="61">
        <f>G8*Assumptions!F58</f>
        <v>200.25954096598454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</row>
    <row r="16" spans="1:17" ht="14.4">
      <c r="A16" s="64" t="s">
        <v>3538</v>
      </c>
      <c r="B16" s="62" t="s">
        <v>44</v>
      </c>
      <c r="C16" s="62"/>
      <c r="D16" s="63">
        <f>D14-D15</f>
        <v>582.2587800458839</v>
      </c>
      <c r="E16" s="63">
        <f>E14-E15</f>
        <v>604.60105140546762</v>
      </c>
      <c r="F16" s="63">
        <f>F14-F15</f>
        <v>633.3798162247125</v>
      </c>
      <c r="G16" s="63">
        <f>G14-G15</f>
        <v>667.53180321994842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</row>
    <row r="17" spans="1:17" ht="14.4">
      <c r="A17" s="2" t="s">
        <v>3539</v>
      </c>
      <c r="B17" s="2" t="s">
        <v>44</v>
      </c>
      <c r="C17" s="21">
        <f>'Annual Balance Sheet'!M8</f>
        <v>26.8</v>
      </c>
      <c r="D17" s="61">
        <f>D16*Assumptions!C59</f>
        <v>23.290351201835357</v>
      </c>
      <c r="E17" s="61">
        <f>E16*Assumptions!D59</f>
        <v>24.184042056218704</v>
      </c>
      <c r="F17" s="61">
        <f>F16*Assumptions!E59</f>
        <v>25.3351926489885</v>
      </c>
      <c r="G17" s="61">
        <f>G16*Assumptions!F59</f>
        <v>26.701272128797939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</row>
    <row r="18" spans="1:17" ht="14.4">
      <c r="A18" s="2" t="s">
        <v>3540</v>
      </c>
      <c r="B18" s="2" t="s">
        <v>44</v>
      </c>
      <c r="C18" s="2"/>
      <c r="D18" s="61">
        <f>D16-(D17-C17)</f>
        <v>585.76842884404857</v>
      </c>
      <c r="E18" s="61">
        <f>E16-(E17-D17)</f>
        <v>603.70736055108432</v>
      </c>
      <c r="F18" s="61">
        <f>F16-(F17-E17)</f>
        <v>632.2286656319427</v>
      </c>
      <c r="G18" s="61">
        <f>G16-(G17-F17)</f>
        <v>666.16572374013901</v>
      </c>
      <c r="H18" s="56"/>
      <c r="I18" s="56"/>
      <c r="J18" s="56"/>
      <c r="K18" s="56"/>
      <c r="L18" s="56"/>
      <c r="M18" s="56"/>
      <c r="N18" s="56"/>
      <c r="O18" s="56"/>
      <c r="P18" s="56"/>
      <c r="Q18" s="56"/>
    </row>
    <row r="19" spans="1:17" ht="14.4">
      <c r="A19" s="64" t="s">
        <v>3541</v>
      </c>
      <c r="B19" s="62" t="s">
        <v>44</v>
      </c>
      <c r="C19" s="48">
        <f>'Annual Balance Sheet'!M7</f>
        <v>2425.6000000000017</v>
      </c>
      <c r="D19" s="63">
        <f>MAX(0,C19+D18-D10)</f>
        <v>2338.8595378910545</v>
      </c>
      <c r="E19" s="63">
        <f>MAX(0,D19+E18-E10)</f>
        <v>2265.4137208680154</v>
      </c>
      <c r="F19" s="63">
        <f>MAX(0,E19+F18-F10)</f>
        <v>2210.4252858961449</v>
      </c>
      <c r="G19" s="63">
        <f>MAX(0,F19+G18-G10)</f>
        <v>2175.682616255338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</row>
    <row r="20" spans="1:17" ht="14.4">
      <c r="A20" s="64" t="s">
        <v>3542</v>
      </c>
      <c r="B20" s="62" t="s">
        <v>44</v>
      </c>
      <c r="C20" s="48">
        <f>'Annual Balance Sheet'!M12</f>
        <v>1969.9</v>
      </c>
      <c r="D20" s="63">
        <f>MAX(0,C20+D15-D12)</f>
        <v>1568.1414417683404</v>
      </c>
      <c r="E20" s="63">
        <f>MAX(0,D20+E15-E12)</f>
        <v>1169.1047478407318</v>
      </c>
      <c r="F20" s="63">
        <f>MAX(0,E20+F15-F12)</f>
        <v>770.07546361916286</v>
      </c>
      <c r="G20" s="63">
        <f>MAX(0,F20+G15-G12)</f>
        <v>369.55638168719383</v>
      </c>
      <c r="H20" s="56"/>
      <c r="I20" s="56"/>
      <c r="J20" s="56"/>
      <c r="K20" s="56"/>
      <c r="L20" s="56"/>
      <c r="M20" s="56"/>
      <c r="N20" s="56"/>
      <c r="O20" s="56"/>
      <c r="P20" s="56"/>
      <c r="Q20" s="56"/>
    </row>
    <row r="21" spans="1:17" ht="14.4">
      <c r="A21" s="2"/>
      <c r="B21" s="2"/>
      <c r="C21" s="2"/>
      <c r="D21" s="60"/>
      <c r="E21" s="60"/>
      <c r="F21" s="60"/>
      <c r="G21" s="60"/>
      <c r="H21" s="56"/>
      <c r="I21" s="56"/>
      <c r="J21" s="56"/>
      <c r="K21" s="56"/>
      <c r="L21" s="56"/>
      <c r="M21" s="56"/>
      <c r="N21" s="56"/>
      <c r="O21" s="56"/>
      <c r="P21" s="56"/>
      <c r="Q21" s="56"/>
    </row>
    <row r="22" spans="1:17" ht="18" customHeight="1">
      <c r="A22" s="72" t="s">
        <v>3543</v>
      </c>
      <c r="B22" s="72"/>
      <c r="C22" s="72"/>
      <c r="D22" s="72"/>
      <c r="E22" s="72"/>
      <c r="F22" s="72"/>
      <c r="G22" s="72"/>
      <c r="H22" s="56"/>
      <c r="I22" s="56"/>
      <c r="J22" s="56"/>
      <c r="K22" s="56"/>
      <c r="L22" s="56"/>
      <c r="M22" s="56"/>
      <c r="N22" s="56"/>
      <c r="O22" s="56"/>
      <c r="P22" s="56"/>
      <c r="Q22" s="56"/>
    </row>
    <row r="23" spans="1:17" ht="14.4">
      <c r="A23" s="2" t="s">
        <v>3544</v>
      </c>
      <c r="B23" s="2" t="s">
        <v>44</v>
      </c>
      <c r="C23" s="2"/>
      <c r="D23" s="61">
        <f>C26</f>
        <v>1980.2</v>
      </c>
      <c r="E23" s="61">
        <f>D26</f>
        <v>2006.4016451020648</v>
      </c>
      <c r="F23" s="61">
        <f>E26</f>
        <v>2054.7697292145026</v>
      </c>
      <c r="G23" s="61">
        <f>F26</f>
        <v>2127.6084080803448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</row>
    <row r="24" spans="1:17" ht="14.4">
      <c r="A24" s="2" t="s">
        <v>3545</v>
      </c>
      <c r="B24" s="2" t="s">
        <v>44</v>
      </c>
      <c r="C24" s="2"/>
      <c r="D24" s="61">
        <f>D8*Assumptions!C36</f>
        <v>698.71053605506063</v>
      </c>
      <c r="E24" s="61">
        <f>E8*Assumptions!D36</f>
        <v>725.52126168656127</v>
      </c>
      <c r="F24" s="61">
        <f>F8*Assumptions!E36</f>
        <v>760.05577946965514</v>
      </c>
      <c r="G24" s="61">
        <f>G8*Assumptions!F36</f>
        <v>801.03816386393817</v>
      </c>
      <c r="H24" s="56"/>
      <c r="I24" s="56"/>
      <c r="J24" s="56"/>
      <c r="K24" s="56"/>
      <c r="L24" s="56"/>
      <c r="M24" s="56"/>
      <c r="N24" s="56"/>
      <c r="O24" s="56"/>
      <c r="P24" s="56"/>
      <c r="Q24" s="56"/>
    </row>
    <row r="25" spans="1:17" ht="14.4">
      <c r="A25" s="2" t="s">
        <v>3533</v>
      </c>
      <c r="B25" s="2" t="s">
        <v>44</v>
      </c>
      <c r="C25" s="2"/>
      <c r="D25" s="61">
        <f>D11</f>
        <v>672.50889095299578</v>
      </c>
      <c r="E25" s="61">
        <f>E11</f>
        <v>677.15317757412379</v>
      </c>
      <c r="F25" s="61">
        <f>F11</f>
        <v>687.21710060381304</v>
      </c>
      <c r="G25" s="61">
        <f>G11</f>
        <v>700.90839338094588</v>
      </c>
      <c r="H25" s="56"/>
      <c r="I25" s="56"/>
      <c r="J25" s="56"/>
      <c r="K25" s="56"/>
      <c r="L25" s="56"/>
      <c r="M25" s="56"/>
      <c r="N25" s="56"/>
      <c r="O25" s="56"/>
      <c r="P25" s="56"/>
      <c r="Q25" s="56"/>
    </row>
    <row r="26" spans="1:17" ht="14.4">
      <c r="A26" s="64" t="s">
        <v>3546</v>
      </c>
      <c r="B26" s="62" t="s">
        <v>44</v>
      </c>
      <c r="C26" s="48">
        <f>'Annual Balance Sheet'!M9</f>
        <v>1980.2</v>
      </c>
      <c r="D26" s="63">
        <f>MAX(0,D23+D24-D25)</f>
        <v>2006.4016451020648</v>
      </c>
      <c r="E26" s="63">
        <f>MAX(0,E23+E24-E25)</f>
        <v>2054.7697292145026</v>
      </c>
      <c r="F26" s="63">
        <f>MAX(0,F23+F24-F25)</f>
        <v>2127.6084080803448</v>
      </c>
      <c r="G26" s="63">
        <f>MAX(0,G23+G24-G25)</f>
        <v>2227.738178563337</v>
      </c>
      <c r="H26" s="56"/>
      <c r="I26" s="56"/>
      <c r="J26" s="56"/>
      <c r="K26" s="56"/>
      <c r="L26" s="56"/>
      <c r="M26" s="56"/>
      <c r="N26" s="56"/>
      <c r="O26" s="56"/>
      <c r="P26" s="56"/>
      <c r="Q26" s="56"/>
    </row>
    <row r="27" spans="1:17" ht="14.4">
      <c r="A27" s="2" t="s">
        <v>3547</v>
      </c>
      <c r="B27" s="2" t="s">
        <v>44</v>
      </c>
      <c r="C27" s="2"/>
      <c r="D27" s="61">
        <f>C29</f>
        <v>2116.6000000000004</v>
      </c>
      <c r="E27" s="61">
        <f>D29</f>
        <v>2180.3305360550607</v>
      </c>
      <c r="F27" s="61">
        <f>E29</f>
        <v>2251.7526369251041</v>
      </c>
      <c r="G27" s="61">
        <f>F29</f>
        <v>2336.2826253172279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7" ht="14.4">
      <c r="A28" s="2" t="s">
        <v>410</v>
      </c>
      <c r="B28" s="2" t="s">
        <v>44</v>
      </c>
      <c r="C28" s="2"/>
      <c r="D28" s="61">
        <f>-D27*Assumptions!C37</f>
        <v>-634.98000000000013</v>
      </c>
      <c r="E28" s="61">
        <f>-E27*Assumptions!D37</f>
        <v>-654.09916081651818</v>
      </c>
      <c r="F28" s="61">
        <f>-F27*Assumptions!E37</f>
        <v>-675.52579107753115</v>
      </c>
      <c r="G28" s="61">
        <f>-G27*Assumptions!F37</f>
        <v>-700.8847875951684</v>
      </c>
      <c r="H28" s="56"/>
      <c r="I28" s="56"/>
      <c r="J28" s="56"/>
      <c r="K28" s="56"/>
      <c r="L28" s="56"/>
      <c r="M28" s="56"/>
      <c r="N28" s="56"/>
      <c r="O28" s="56"/>
      <c r="P28" s="56"/>
      <c r="Q28" s="56"/>
    </row>
    <row r="29" spans="1:17" ht="14.4">
      <c r="A29" s="64" t="s">
        <v>3548</v>
      </c>
      <c r="B29" s="62" t="s">
        <v>44</v>
      </c>
      <c r="C29" s="48">
        <f>'Annual Balance Sheet'!M61</f>
        <v>2116.6000000000004</v>
      </c>
      <c r="D29" s="63">
        <f>MAX(0,D27+D24+D28)</f>
        <v>2180.3305360550607</v>
      </c>
      <c r="E29" s="63">
        <f>MAX(0,E27+E24+E28)</f>
        <v>2251.7526369251041</v>
      </c>
      <c r="F29" s="63">
        <f>MAX(0,F27+F24+F28)</f>
        <v>2336.2826253172279</v>
      </c>
      <c r="G29" s="63">
        <f>MAX(0,G27+G24+G28)</f>
        <v>2436.4360015859979</v>
      </c>
      <c r="H29" s="56"/>
      <c r="I29" s="56"/>
      <c r="J29" s="56"/>
      <c r="K29" s="56"/>
      <c r="L29" s="56"/>
      <c r="M29" s="56"/>
      <c r="N29" s="56"/>
      <c r="O29" s="56"/>
      <c r="P29" s="56"/>
      <c r="Q29" s="56"/>
    </row>
    <row r="30" spans="1:17" ht="14.4">
      <c r="A30" s="2" t="s">
        <v>325</v>
      </c>
      <c r="B30" s="2" t="s">
        <v>44</v>
      </c>
      <c r="C30" s="21">
        <f>'Annual Balance Sheet'!M50</f>
        <v>527.80000000000007</v>
      </c>
      <c r="D30" s="61">
        <f>D29*Assumptions!C46</f>
        <v>545.08263401376519</v>
      </c>
      <c r="E30" s="61">
        <f>E29*Assumptions!D46</f>
        <v>562.93815923127602</v>
      </c>
      <c r="F30" s="61">
        <f>F29*Assumptions!E46</f>
        <v>584.07065632930698</v>
      </c>
      <c r="G30" s="61">
        <f>G29*Assumptions!F46</f>
        <v>609.10900039649948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</row>
    <row r="31" spans="1:17" ht="14.4">
      <c r="A31" s="64" t="s">
        <v>317</v>
      </c>
      <c r="B31" s="62" t="s">
        <v>44</v>
      </c>
      <c r="C31" s="48">
        <f>'Annual Balance Sheet'!M42</f>
        <v>1588.8000000000002</v>
      </c>
      <c r="D31" s="63">
        <f>D29-D30</f>
        <v>1635.2479020412957</v>
      </c>
      <c r="E31" s="63">
        <f>E29-E30</f>
        <v>1688.8144776938279</v>
      </c>
      <c r="F31" s="63">
        <f>F29-F30</f>
        <v>1752.211968987921</v>
      </c>
      <c r="G31" s="63">
        <f>G29-G30</f>
        <v>1827.3270011894983</v>
      </c>
      <c r="H31" s="56"/>
      <c r="I31" s="56"/>
      <c r="J31" s="56"/>
      <c r="K31" s="56"/>
      <c r="L31" s="56"/>
      <c r="M31" s="56"/>
      <c r="N31" s="56"/>
      <c r="O31" s="56"/>
      <c r="P31" s="56"/>
      <c r="Q31" s="56"/>
    </row>
    <row r="32" spans="1:17" ht="14.4">
      <c r="A32" s="2"/>
      <c r="B32" s="2"/>
      <c r="C32" s="2"/>
      <c r="D32" s="60"/>
      <c r="E32" s="60"/>
      <c r="F32" s="60"/>
      <c r="G32" s="60"/>
      <c r="H32" s="56"/>
      <c r="I32" s="56"/>
      <c r="J32" s="56"/>
      <c r="K32" s="56"/>
      <c r="L32" s="56"/>
      <c r="M32" s="56"/>
      <c r="N32" s="56"/>
      <c r="O32" s="56"/>
      <c r="P32" s="56"/>
      <c r="Q32" s="56"/>
    </row>
    <row r="33" spans="1:17" ht="18" customHeight="1">
      <c r="A33" s="72" t="s">
        <v>3549</v>
      </c>
      <c r="B33" s="72"/>
      <c r="C33" s="72"/>
      <c r="D33" s="72"/>
      <c r="E33" s="72"/>
      <c r="F33" s="72"/>
      <c r="G33" s="72"/>
      <c r="H33" s="56"/>
      <c r="I33" s="56"/>
      <c r="J33" s="56"/>
      <c r="K33" s="56"/>
      <c r="L33" s="56"/>
      <c r="M33" s="56"/>
      <c r="N33" s="56"/>
      <c r="O33" s="56"/>
      <c r="P33" s="56"/>
      <c r="Q33" s="56"/>
    </row>
    <row r="34" spans="1:17" ht="14.4">
      <c r="A34" s="2" t="s">
        <v>3550</v>
      </c>
      <c r="B34" s="2" t="s">
        <v>44</v>
      </c>
      <c r="C34" s="2"/>
      <c r="D34" s="61">
        <f>C36</f>
        <v>69.600000000000009</v>
      </c>
      <c r="E34" s="61">
        <f>D36</f>
        <v>69.600000000000009</v>
      </c>
      <c r="F34" s="61">
        <f>E36</f>
        <v>69.600000000000009</v>
      </c>
      <c r="G34" s="61">
        <f>F36</f>
        <v>69.600000000000009</v>
      </c>
      <c r="H34" s="56"/>
      <c r="I34" s="56"/>
      <c r="J34" s="56"/>
      <c r="K34" s="56"/>
      <c r="L34" s="56"/>
      <c r="M34" s="56"/>
      <c r="N34" s="56"/>
      <c r="O34" s="56"/>
      <c r="P34" s="56"/>
      <c r="Q34" s="56"/>
    </row>
    <row r="35" spans="1:17" ht="14.4">
      <c r="A35" s="2" t="s">
        <v>175</v>
      </c>
      <c r="B35" s="2" t="s">
        <v>44</v>
      </c>
      <c r="C35" s="2"/>
      <c r="D35" s="61">
        <f>Assumptions!C39</f>
        <v>0</v>
      </c>
      <c r="E35" s="61">
        <f>Assumptions!D39</f>
        <v>0</v>
      </c>
      <c r="F35" s="61">
        <f>Assumptions!E39</f>
        <v>0</v>
      </c>
      <c r="G35" s="61">
        <f>Assumptions!F39</f>
        <v>0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</row>
    <row r="36" spans="1:17" ht="14.4">
      <c r="A36" s="64" t="s">
        <v>3551</v>
      </c>
      <c r="B36" s="62" t="s">
        <v>44</v>
      </c>
      <c r="C36" s="48">
        <f>'Annual Balance Sheet'!M60</f>
        <v>69.600000000000009</v>
      </c>
      <c r="D36" s="63">
        <f>MAX(0,D34+D35)</f>
        <v>69.600000000000009</v>
      </c>
      <c r="E36" s="63">
        <f>MAX(0,E34+E35)</f>
        <v>69.600000000000009</v>
      </c>
      <c r="F36" s="63">
        <f>MAX(0,F34+F35)</f>
        <v>69.600000000000009</v>
      </c>
      <c r="G36" s="63">
        <f>MAX(0,G34+G35)</f>
        <v>69.600000000000009</v>
      </c>
      <c r="H36" s="56"/>
      <c r="I36" s="56"/>
      <c r="J36" s="56"/>
      <c r="K36" s="56"/>
      <c r="L36" s="56"/>
      <c r="M36" s="56"/>
      <c r="N36" s="56"/>
      <c r="O36" s="56"/>
      <c r="P36" s="56"/>
      <c r="Q36" s="56"/>
    </row>
    <row r="37" spans="1:17" ht="14.4">
      <c r="A37" s="2" t="s">
        <v>3552</v>
      </c>
      <c r="B37" s="2" t="s">
        <v>44</v>
      </c>
      <c r="C37" s="21">
        <f>'Annual Balance Sheet'!M49</f>
        <v>69.600000000000009</v>
      </c>
      <c r="D37" s="61">
        <f>D36*Assumptions!C40</f>
        <v>10.440000000000001</v>
      </c>
      <c r="E37" s="61">
        <f>E36*Assumptions!D40</f>
        <v>10.440000000000001</v>
      </c>
      <c r="F37" s="61">
        <f>F36*Assumptions!E40</f>
        <v>10.440000000000001</v>
      </c>
      <c r="G37" s="61">
        <f>G36*Assumptions!F40</f>
        <v>10.440000000000001</v>
      </c>
      <c r="H37" s="56"/>
      <c r="I37" s="56"/>
      <c r="J37" s="56"/>
      <c r="K37" s="56"/>
      <c r="L37" s="56"/>
      <c r="M37" s="56"/>
      <c r="N37" s="56"/>
      <c r="O37" s="56"/>
      <c r="P37" s="56"/>
      <c r="Q37" s="56"/>
    </row>
    <row r="38" spans="1:17" ht="14.4">
      <c r="A38" s="64" t="s">
        <v>316</v>
      </c>
      <c r="B38" s="62" t="s">
        <v>44</v>
      </c>
      <c r="C38" s="48">
        <f>'Annual Balance Sheet'!M41</f>
        <v>0</v>
      </c>
      <c r="D38" s="63">
        <f>D36-D37</f>
        <v>59.160000000000011</v>
      </c>
      <c r="E38" s="63">
        <f>E36-E37</f>
        <v>59.160000000000011</v>
      </c>
      <c r="F38" s="63">
        <f>F36-F37</f>
        <v>59.160000000000011</v>
      </c>
      <c r="G38" s="63">
        <f>G36-G37</f>
        <v>59.160000000000011</v>
      </c>
      <c r="H38" s="56"/>
      <c r="I38" s="56"/>
      <c r="J38" s="56"/>
      <c r="K38" s="56"/>
      <c r="L38" s="56"/>
      <c r="M38" s="56"/>
      <c r="N38" s="56"/>
      <c r="O38" s="56"/>
      <c r="P38" s="56"/>
      <c r="Q38" s="56"/>
    </row>
    <row r="39" spans="1:17" ht="14.4">
      <c r="A39" s="2"/>
      <c r="B39" s="2"/>
      <c r="C39" s="2"/>
      <c r="D39" s="60"/>
      <c r="E39" s="60"/>
      <c r="F39" s="60"/>
      <c r="G39" s="60"/>
      <c r="H39" s="56"/>
      <c r="I39" s="56"/>
      <c r="J39" s="56"/>
      <c r="K39" s="56"/>
      <c r="L39" s="56"/>
      <c r="M39" s="56"/>
      <c r="N39" s="56"/>
      <c r="O39" s="56"/>
      <c r="P39" s="56"/>
      <c r="Q39" s="56"/>
    </row>
    <row r="40" spans="1:17" ht="18" customHeight="1">
      <c r="A40" s="72" t="s">
        <v>3553</v>
      </c>
      <c r="B40" s="72"/>
      <c r="C40" s="72"/>
      <c r="D40" s="72"/>
      <c r="E40" s="72"/>
      <c r="F40" s="72"/>
      <c r="G40" s="72"/>
      <c r="H40" s="56"/>
      <c r="I40" s="56"/>
      <c r="J40" s="56"/>
      <c r="K40" s="56"/>
      <c r="L40" s="56"/>
      <c r="M40" s="56"/>
      <c r="N40" s="56"/>
      <c r="O40" s="56"/>
      <c r="P40" s="56"/>
      <c r="Q40" s="56"/>
    </row>
    <row r="41" spans="1:17" ht="14.4">
      <c r="A41" s="2" t="s">
        <v>3554</v>
      </c>
      <c r="B41" s="2" t="s">
        <v>44</v>
      </c>
      <c r="C41" s="2"/>
      <c r="D41" s="61">
        <f>C46</f>
        <v>29172.600000000002</v>
      </c>
      <c r="E41" s="61">
        <f>D46</f>
        <v>30477.734888257219</v>
      </c>
      <c r="F41" s="61">
        <f>E46</f>
        <v>31905.549686196766</v>
      </c>
      <c r="G41" s="61">
        <f>F46</f>
        <v>33481.769698861164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</row>
    <row r="42" spans="1:17" ht="14.4">
      <c r="A42" s="2" t="s">
        <v>232</v>
      </c>
      <c r="B42" s="2" t="s">
        <v>44</v>
      </c>
      <c r="C42" s="2"/>
      <c r="D42" s="61">
        <f>'Annual P&amp;L'!N35</f>
        <v>5943.415661240213</v>
      </c>
      <c r="E42" s="61">
        <f>'Annual P&amp;L'!O35</f>
        <v>6534.4729382922669</v>
      </c>
      <c r="F42" s="61">
        <f>'Annual P&amp;L'!P35</f>
        <v>7247.7202470973189</v>
      </c>
      <c r="G42" s="61">
        <f>'Annual P&amp;L'!Q35</f>
        <v>8008.9396767037542</v>
      </c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17" ht="14.4">
      <c r="A43" s="2" t="s">
        <v>3555</v>
      </c>
      <c r="B43" s="2" t="s">
        <v>44</v>
      </c>
      <c r="C43" s="2"/>
      <c r="D43" s="61">
        <f>-D42*Assumptions!C41</f>
        <v>-4754.732528992171</v>
      </c>
      <c r="E43" s="61">
        <f>-E42*Assumptions!D41</f>
        <v>-5227.5783506338139</v>
      </c>
      <c r="F43" s="61">
        <f>-F42*Assumptions!E41</f>
        <v>-5798.1761976778553</v>
      </c>
      <c r="G43" s="61">
        <f>-G42*Assumptions!F41</f>
        <v>-6407.1517413630036</v>
      </c>
      <c r="H43" s="56"/>
      <c r="I43" s="56"/>
      <c r="J43" s="56"/>
      <c r="K43" s="56"/>
      <c r="L43" s="56"/>
      <c r="M43" s="56"/>
      <c r="N43" s="56"/>
      <c r="O43" s="56"/>
      <c r="P43" s="56"/>
      <c r="Q43" s="56"/>
    </row>
    <row r="44" spans="1:17" ht="14.4">
      <c r="A44" s="2" t="s">
        <v>3556</v>
      </c>
      <c r="B44" s="2" t="s">
        <v>44</v>
      </c>
      <c r="C44" s="2"/>
      <c r="D44" s="61">
        <f>'Annual Cash Flow'!N17</f>
        <v>116.45175600917676</v>
      </c>
      <c r="E44" s="61">
        <f>'Annual Cash Flow'!O17</f>
        <v>120.92021028109355</v>
      </c>
      <c r="F44" s="61">
        <f>'Annual Cash Flow'!P17</f>
        <v>126.67596324494251</v>
      </c>
      <c r="G44" s="61">
        <f>'Annual Cash Flow'!Q17</f>
        <v>133.50636064398969</v>
      </c>
      <c r="H44" s="56"/>
      <c r="I44" s="56"/>
      <c r="J44" s="56"/>
      <c r="K44" s="56"/>
      <c r="L44" s="56"/>
      <c r="M44" s="56"/>
      <c r="N44" s="56"/>
      <c r="O44" s="56"/>
      <c r="P44" s="56"/>
      <c r="Q44" s="56"/>
    </row>
    <row r="45" spans="1:17" ht="14.4">
      <c r="A45" s="2" t="s">
        <v>3557</v>
      </c>
      <c r="B45" s="2" t="s">
        <v>44</v>
      </c>
      <c r="C45" s="2"/>
      <c r="D45" s="61">
        <f>Assumptions!C42</f>
        <v>0</v>
      </c>
      <c r="E45" s="61">
        <f>Assumptions!D42</f>
        <v>0</v>
      </c>
      <c r="F45" s="61">
        <f>Assumptions!E42</f>
        <v>0</v>
      </c>
      <c r="G45" s="61">
        <f>Assumptions!F42</f>
        <v>0</v>
      </c>
      <c r="H45" s="56"/>
      <c r="I45" s="56"/>
      <c r="J45" s="56"/>
      <c r="K45" s="56"/>
      <c r="L45" s="56"/>
      <c r="M45" s="56"/>
      <c r="N45" s="56"/>
      <c r="O45" s="56"/>
      <c r="P45" s="56"/>
      <c r="Q45" s="56"/>
    </row>
    <row r="46" spans="1:17" ht="14.4">
      <c r="A46" s="64" t="s">
        <v>3558</v>
      </c>
      <c r="B46" s="62" t="s">
        <v>44</v>
      </c>
      <c r="C46" s="48">
        <f>'Annual Balance Sheet'!M37</f>
        <v>29172.600000000002</v>
      </c>
      <c r="D46" s="63">
        <f>SUM(D41:D45)</f>
        <v>30477.734888257219</v>
      </c>
      <c r="E46" s="63">
        <f>SUM(E41:E45)</f>
        <v>31905.549686196766</v>
      </c>
      <c r="F46" s="63">
        <f>SUM(F41:F45)</f>
        <v>33481.769698861164</v>
      </c>
      <c r="G46" s="63">
        <f>SUM(G41:G45)</f>
        <v>35217.063994845899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</row>
    <row r="47" spans="1:17" ht="14.4">
      <c r="A47" s="2"/>
      <c r="B47" s="2"/>
      <c r="C47" s="2"/>
      <c r="D47" s="60"/>
      <c r="E47" s="60"/>
      <c r="F47" s="60"/>
      <c r="G47" s="60"/>
      <c r="H47" s="56"/>
      <c r="I47" s="56"/>
      <c r="J47" s="56"/>
      <c r="K47" s="56"/>
      <c r="L47" s="56"/>
      <c r="M47" s="56"/>
      <c r="N47" s="56"/>
      <c r="O47" s="56"/>
      <c r="P47" s="56"/>
      <c r="Q47" s="56"/>
    </row>
    <row r="48" spans="1:17" ht="18" customHeight="1">
      <c r="A48" s="72" t="s">
        <v>3559</v>
      </c>
      <c r="B48" s="72"/>
      <c r="C48" s="72"/>
      <c r="D48" s="72"/>
      <c r="E48" s="72"/>
      <c r="F48" s="72"/>
      <c r="G48" s="72"/>
      <c r="H48" s="56"/>
      <c r="I48" s="56"/>
      <c r="J48" s="56"/>
      <c r="K48" s="56"/>
      <c r="L48" s="56"/>
      <c r="M48" s="56"/>
      <c r="N48" s="56"/>
      <c r="O48" s="56"/>
      <c r="P48" s="56"/>
      <c r="Q48" s="56"/>
    </row>
    <row r="49" spans="1:17" ht="14.4">
      <c r="A49" s="2" t="s">
        <v>415</v>
      </c>
      <c r="B49" s="2" t="s">
        <v>44</v>
      </c>
      <c r="C49" s="2"/>
      <c r="D49" s="61">
        <f>C54</f>
        <v>5046.1000000000004</v>
      </c>
      <c r="E49" s="61">
        <f>D54</f>
        <v>6429.2530553322003</v>
      </c>
      <c r="F49" s="61">
        <f>E54</f>
        <v>8088.7452425286574</v>
      </c>
      <c r="G49" s="61">
        <f>F54</f>
        <v>9738.5618958753657</v>
      </c>
      <c r="H49" s="56"/>
      <c r="I49" s="56"/>
      <c r="J49" s="56"/>
      <c r="K49" s="56"/>
      <c r="L49" s="56"/>
      <c r="M49" s="56"/>
      <c r="N49" s="56"/>
      <c r="O49" s="56"/>
      <c r="P49" s="56"/>
      <c r="Q49" s="56"/>
    </row>
    <row r="50" spans="1:17" ht="14.4">
      <c r="A50" s="2" t="s">
        <v>371</v>
      </c>
      <c r="B50" s="2" t="s">
        <v>44</v>
      </c>
      <c r="C50" s="2"/>
      <c r="D50" s="61">
        <f>'Annual Cash Flow'!N38</f>
        <v>7479.0540566639111</v>
      </c>
      <c r="E50" s="61">
        <f>'Annual Cash Flow'!O38</f>
        <v>8217.209130427058</v>
      </c>
      <c r="F50" s="61">
        <f>'Annual Cash Flow'!P38</f>
        <v>8831.3385771890662</v>
      </c>
      <c r="G50" s="61">
        <f>'Annual Cash Flow'!Q38</f>
        <v>9597.0302774822394</v>
      </c>
      <c r="H50" s="56"/>
      <c r="I50" s="56"/>
      <c r="J50" s="56"/>
      <c r="K50" s="56"/>
      <c r="L50" s="56"/>
      <c r="M50" s="56"/>
      <c r="N50" s="56"/>
      <c r="O50" s="56"/>
      <c r="P50" s="56"/>
      <c r="Q50" s="56"/>
    </row>
    <row r="51" spans="1:17" ht="14.4">
      <c r="A51" s="2" t="s">
        <v>395</v>
      </c>
      <c r="B51" s="2" t="s">
        <v>44</v>
      </c>
      <c r="C51" s="2"/>
      <c r="D51" s="61">
        <f>'Annual Cash Flow'!N59</f>
        <v>-702.01247233954041</v>
      </c>
      <c r="E51" s="61">
        <f>'Annual Cash Flow'!O59</f>
        <v>-671.86343178026732</v>
      </c>
      <c r="F51" s="61">
        <f>'Annual Cash Flow'!P59</f>
        <v>-703.64393508696958</v>
      </c>
      <c r="G51" s="61">
        <f>'Annual Cash Flow'!Q59</f>
        <v>-735.18399548571938</v>
      </c>
      <c r="H51" s="56"/>
      <c r="I51" s="56"/>
      <c r="J51" s="56"/>
      <c r="K51" s="56"/>
      <c r="L51" s="56"/>
      <c r="M51" s="56"/>
      <c r="N51" s="56"/>
      <c r="O51" s="56"/>
      <c r="P51" s="56"/>
      <c r="Q51" s="56"/>
    </row>
    <row r="52" spans="1:17" ht="14.4">
      <c r="A52" s="2" t="s">
        <v>412</v>
      </c>
      <c r="B52" s="2" t="s">
        <v>44</v>
      </c>
      <c r="C52" s="2"/>
      <c r="D52" s="61">
        <f>'Annual Cash Flow'!N77</f>
        <v>-5393.8885289921718</v>
      </c>
      <c r="E52" s="61">
        <f>'Annual Cash Flow'!O77</f>
        <v>-5885.853511450332</v>
      </c>
      <c r="F52" s="61">
        <f>'Annual Cash Flow'!P77</f>
        <v>-6477.8779887553865</v>
      </c>
      <c r="G52" s="61">
        <f>'Annual Cash Flow'!Q77</f>
        <v>-7112.2125289581727</v>
      </c>
      <c r="H52" s="56"/>
      <c r="I52" s="56"/>
      <c r="J52" s="56"/>
      <c r="K52" s="56"/>
      <c r="L52" s="56"/>
      <c r="M52" s="56"/>
      <c r="N52" s="56"/>
      <c r="O52" s="56"/>
      <c r="P52" s="56"/>
      <c r="Q52" s="56"/>
    </row>
    <row r="53" spans="1:17" ht="14.4">
      <c r="A53" s="2" t="s">
        <v>414</v>
      </c>
      <c r="B53" s="2" t="s">
        <v>44</v>
      </c>
      <c r="C53" s="2"/>
      <c r="D53" s="61">
        <f>'Annual Cash Flow'!N79</f>
        <v>0</v>
      </c>
      <c r="E53" s="61">
        <f>'Annual Cash Flow'!O79</f>
        <v>0</v>
      </c>
      <c r="F53" s="61">
        <f>'Annual Cash Flow'!P79</f>
        <v>0</v>
      </c>
      <c r="G53" s="61">
        <f>'Annual Cash Flow'!Q79</f>
        <v>0</v>
      </c>
      <c r="H53" s="56"/>
      <c r="I53" s="56"/>
      <c r="J53" s="56"/>
      <c r="K53" s="56"/>
      <c r="L53" s="56"/>
      <c r="M53" s="56"/>
      <c r="N53" s="56"/>
      <c r="O53" s="56"/>
      <c r="P53" s="56"/>
      <c r="Q53" s="56"/>
    </row>
    <row r="54" spans="1:17" ht="14.4">
      <c r="A54" s="64" t="s">
        <v>3526</v>
      </c>
      <c r="B54" s="62" t="s">
        <v>44</v>
      </c>
      <c r="C54" s="48">
        <f>'Annual Balance Sheet'!M28</f>
        <v>5046.1000000000004</v>
      </c>
      <c r="D54" s="63">
        <f>SUM(D49:D53)</f>
        <v>6429.2530553322003</v>
      </c>
      <c r="E54" s="63">
        <f>SUM(E49:E53)</f>
        <v>8088.7452425286574</v>
      </c>
      <c r="F54" s="63">
        <f>SUM(F49:F53)</f>
        <v>9738.5618958753657</v>
      </c>
      <c r="G54" s="63">
        <f>SUM(G49:G53)</f>
        <v>11488.19564891371</v>
      </c>
      <c r="H54" s="56"/>
      <c r="I54" s="56"/>
      <c r="J54" s="56"/>
      <c r="K54" s="56"/>
      <c r="L54" s="56"/>
      <c r="M54" s="56"/>
      <c r="N54" s="56"/>
      <c r="O54" s="56"/>
      <c r="P54" s="56"/>
      <c r="Q54" s="56"/>
    </row>
    <row r="55" spans="1:17" ht="14.4">
      <c r="A55" s="2" t="s">
        <v>3560</v>
      </c>
      <c r="B55" s="2" t="s">
        <v>44</v>
      </c>
      <c r="C55" s="21">
        <f>'Annual Balance Sheet'!M28</f>
        <v>5046.1000000000004</v>
      </c>
      <c r="D55" s="61">
        <f>'Annual Balance Sheet'!N28</f>
        <v>6429.2530553321994</v>
      </c>
      <c r="E55" s="61">
        <f>'Annual Balance Sheet'!O28</f>
        <v>8088.7452425286583</v>
      </c>
      <c r="F55" s="61">
        <f>'Annual Balance Sheet'!P28</f>
        <v>9738.5618958753694</v>
      </c>
      <c r="G55" s="61">
        <f>'Annual Balance Sheet'!Q28</f>
        <v>11488.195648913717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</row>
    <row r="56" spans="1:17" ht="14.4">
      <c r="A56" s="64" t="s">
        <v>3561</v>
      </c>
      <c r="B56" s="62" t="s">
        <v>44</v>
      </c>
      <c r="C56" s="48">
        <f>C54-C55</f>
        <v>0</v>
      </c>
      <c r="D56" s="63">
        <f>D54-D55</f>
        <v>0</v>
      </c>
      <c r="E56" s="63">
        <f>E54-E55</f>
        <v>0</v>
      </c>
      <c r="F56" s="63">
        <f>F54-F55</f>
        <v>0</v>
      </c>
      <c r="G56" s="63">
        <f>G54-G55</f>
        <v>0</v>
      </c>
      <c r="H56" s="56"/>
      <c r="I56" s="56"/>
      <c r="J56" s="56"/>
      <c r="K56" s="56"/>
      <c r="L56" s="56"/>
      <c r="M56" s="56"/>
      <c r="N56" s="56"/>
      <c r="O56" s="56"/>
      <c r="P56" s="56"/>
      <c r="Q56" s="56"/>
    </row>
    <row r="57" spans="1:17" ht="14.4">
      <c r="A57" s="2"/>
      <c r="B57" s="2"/>
      <c r="C57" s="2"/>
      <c r="D57" s="60"/>
      <c r="E57" s="60"/>
      <c r="F57" s="60"/>
      <c r="G57" s="60"/>
      <c r="H57" s="56"/>
      <c r="I57" s="56"/>
      <c r="J57" s="56"/>
      <c r="K57" s="56"/>
      <c r="L57" s="56"/>
      <c r="M57" s="56"/>
      <c r="N57" s="56"/>
      <c r="O57" s="56"/>
      <c r="P57" s="56"/>
      <c r="Q57" s="56"/>
    </row>
    <row r="58" spans="1:17" ht="14.4">
      <c r="A58" s="82" t="s">
        <v>3562</v>
      </c>
      <c r="B58" s="82"/>
      <c r="C58" s="82"/>
      <c r="D58" s="82"/>
      <c r="E58" s="82"/>
      <c r="F58" s="82"/>
      <c r="G58" s="82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1:17" ht="14.4">
      <c r="A59" s="82"/>
      <c r="B59" s="82"/>
      <c r="C59" s="82"/>
      <c r="D59" s="82"/>
      <c r="E59" s="82"/>
      <c r="F59" s="82"/>
      <c r="G59" s="82"/>
      <c r="H59" s="56"/>
      <c r="I59" s="56"/>
      <c r="J59" s="56"/>
      <c r="K59" s="56"/>
      <c r="L59" s="56"/>
      <c r="M59" s="56"/>
      <c r="N59" s="56"/>
      <c r="O59" s="56"/>
      <c r="P59" s="56"/>
      <c r="Q59" s="56"/>
    </row>
    <row r="60" spans="1:17" ht="14.4">
      <c r="A60" s="82"/>
      <c r="B60" s="82"/>
      <c r="C60" s="82"/>
      <c r="D60" s="82"/>
      <c r="E60" s="82"/>
      <c r="F60" s="82"/>
      <c r="G60" s="82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1:17" ht="14.4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7" ht="14.4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</row>
    <row r="63" spans="1:17" ht="14.4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</row>
    <row r="64" spans="1:17" ht="14.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</row>
    <row r="65" spans="1:17" ht="14.4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</row>
    <row r="66" spans="1:17" ht="14.4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</row>
    <row r="67" spans="1:17" ht="14.4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</row>
    <row r="68" spans="1:17" ht="14.4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</row>
    <row r="69" spans="1:17" ht="14.4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</row>
    <row r="70" spans="1:17" ht="14.4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</row>
    <row r="71" spans="1:17" ht="14.4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</row>
    <row r="72" spans="1:17" ht="14.4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</row>
    <row r="73" spans="1:17" ht="14.4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</row>
    <row r="74" spans="1:17" ht="14.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</row>
    <row r="75" spans="1:17" ht="14.4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</row>
    <row r="76" spans="1:17" ht="14.4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</row>
    <row r="77" spans="1:17" ht="14.4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</row>
    <row r="78" spans="1:17" ht="14.4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</row>
    <row r="79" spans="1:17" ht="14.4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</row>
    <row r="80" spans="1:17" ht="14.4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</row>
    <row r="81" spans="1:17" ht="14.4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</row>
    <row r="82" spans="1:17" ht="14.4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</row>
    <row r="83" spans="1:17" ht="14.4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</row>
    <row r="84" spans="1:17" ht="14.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</row>
    <row r="85" spans="1:17" ht="14.4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</row>
    <row r="86" spans="1:17" ht="14.4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</row>
    <row r="87" spans="1:17" ht="14.4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</row>
    <row r="88" spans="1:17" ht="14.4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</row>
    <row r="89" spans="1:17" ht="14.4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</row>
    <row r="90" spans="1:17" ht="14.4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</row>
    <row r="91" spans="1:17" ht="14.4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</row>
    <row r="92" spans="1:17" ht="14.4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</row>
    <row r="93" spans="1:17" ht="14.4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</row>
    <row r="94" spans="1:17" ht="14.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</row>
    <row r="95" spans="1:17" ht="14.4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</row>
    <row r="96" spans="1:17" ht="14.4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</row>
    <row r="97" spans="1:17" ht="14.4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</row>
    <row r="98" spans="1:17" ht="14.4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</row>
    <row r="99" spans="1:17" ht="14.4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</row>
    <row r="100" spans="1:17" ht="14.4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</row>
    <row r="101" spans="1:17" ht="14.4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</row>
    <row r="102" spans="1:17" ht="14.4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</row>
    <row r="103" spans="1:17" ht="14.4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</row>
    <row r="104" spans="1:17" ht="14.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</row>
    <row r="105" spans="1:17" ht="14.4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</row>
    <row r="106" spans="1:17" ht="14.4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</row>
    <row r="107" spans="1:17" ht="14.4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</row>
    <row r="108" spans="1:17" ht="14.4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</row>
    <row r="109" spans="1:17" ht="14.4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</row>
    <row r="110" spans="1:17" ht="14.4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</row>
    <row r="111" spans="1:17" ht="14.4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</row>
    <row r="112" spans="1:17" ht="14.4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</row>
    <row r="113" spans="1:17" ht="14.4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</row>
    <row r="114" spans="1:17" ht="14.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</row>
    <row r="115" spans="1:17" ht="14.4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</row>
    <row r="116" spans="1:17" ht="14.4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</row>
    <row r="117" spans="1:17" ht="14.4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</row>
    <row r="118" spans="1:17" ht="14.4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</row>
    <row r="119" spans="1:17" ht="14.4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</row>
    <row r="120" spans="1:17" ht="14.4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</row>
    <row r="121" spans="1:17" ht="14.4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</row>
    <row r="122" spans="1:17" ht="14.4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</row>
    <row r="123" spans="1:17" ht="14.4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</row>
    <row r="124" spans="1:17" ht="14.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</row>
    <row r="125" spans="1:17" ht="14.4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</row>
    <row r="126" spans="1:17" ht="14.4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</row>
    <row r="127" spans="1:17" ht="14.4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</row>
    <row r="128" spans="1:17" ht="14.4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</row>
    <row r="129" spans="1:17" ht="14.4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</row>
    <row r="130" spans="1:17" ht="14.4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</row>
    <row r="131" spans="1:17" ht="14.4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</row>
    <row r="132" spans="1:17" ht="14.4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</row>
    <row r="133" spans="1:17" ht="14.4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</row>
    <row r="134" spans="1:17" ht="14.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</row>
    <row r="135" spans="1:17" ht="14.4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</row>
    <row r="136" spans="1:17" ht="14.4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</row>
    <row r="137" spans="1:17" ht="14.4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</row>
    <row r="138" spans="1:17" ht="14.4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</row>
    <row r="139" spans="1:17" ht="14.4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</row>
    <row r="140" spans="1:17" ht="14.4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</row>
    <row r="141" spans="1:17" ht="14.4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</row>
    <row r="142" spans="1:17" ht="14.4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</row>
    <row r="143" spans="1:17" ht="14.4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</row>
    <row r="144" spans="1:17" ht="14.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</row>
    <row r="145" spans="1:17" ht="14.4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</row>
    <row r="146" spans="1:17" ht="14.4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</row>
    <row r="147" spans="1:17" ht="14.4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</row>
    <row r="148" spans="1:17" ht="14.4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</row>
    <row r="149" spans="1:17" ht="14.4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</row>
    <row r="150" spans="1:17" ht="14.4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</row>
    <row r="151" spans="1:17" ht="14.4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</row>
    <row r="152" spans="1:17" ht="14.4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</row>
    <row r="153" spans="1:17" ht="14.4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</row>
    <row r="154" spans="1:17" ht="14.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</row>
    <row r="155" spans="1:17" ht="14.4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</row>
    <row r="156" spans="1:17" ht="14.4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</row>
    <row r="157" spans="1:17" ht="14.4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</row>
    <row r="158" spans="1:17" ht="14.4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</row>
    <row r="159" spans="1:17" ht="14.4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</row>
    <row r="160" spans="1:17" ht="14.4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</row>
    <row r="161" spans="1:17" ht="14.4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</row>
    <row r="162" spans="1:17" ht="14.4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</row>
    <row r="163" spans="1:17" ht="14.4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</row>
    <row r="164" spans="1:17" ht="14.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</row>
    <row r="165" spans="1:17" ht="14.4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</row>
    <row r="166" spans="1:17" ht="14.4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</row>
    <row r="167" spans="1:17" ht="14.4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</row>
    <row r="168" spans="1:17" ht="14.4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</row>
    <row r="169" spans="1:17" ht="14.4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</row>
    <row r="170" spans="1:17" ht="14.4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</row>
    <row r="171" spans="1:17" ht="14.4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</row>
    <row r="172" spans="1:17" ht="14.4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</row>
    <row r="173" spans="1:17" ht="14.4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</row>
    <row r="174" spans="1:17" ht="14.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</row>
    <row r="175" spans="1:17" ht="14.4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</row>
    <row r="176" spans="1:17" ht="14.4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</row>
    <row r="177" spans="1:17" ht="14.4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</row>
    <row r="178" spans="1:17" ht="14.4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</row>
    <row r="179" spans="1:17" ht="14.4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</row>
    <row r="180" spans="1:17" ht="14.4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</row>
    <row r="181" spans="1:17" ht="14.4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</row>
    <row r="182" spans="1:17" ht="14.4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</row>
    <row r="183" spans="1:17" ht="14.4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</row>
    <row r="184" spans="1:17" ht="14.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</row>
    <row r="185" spans="1:17" ht="14.4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</row>
    <row r="186" spans="1:17" ht="14.4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</row>
    <row r="187" spans="1:17" ht="14.4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</row>
    <row r="188" spans="1:17" ht="14.4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</row>
    <row r="189" spans="1:17" ht="14.4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</row>
    <row r="190" spans="1:17" ht="14.4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</row>
    <row r="191" spans="1:17" ht="14.4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</row>
    <row r="192" spans="1:17" ht="14.4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</row>
    <row r="193" spans="1:17" ht="14.4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</row>
    <row r="194" spans="1:17" ht="14.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</row>
    <row r="195" spans="1:17" ht="14.4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</row>
    <row r="196" spans="1:17" ht="14.4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</row>
    <row r="197" spans="1:17" ht="14.4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</row>
    <row r="198" spans="1:17" ht="14.4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</row>
    <row r="199" spans="1:17" ht="14.4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</row>
    <row r="200" spans="1:17" ht="14.4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</row>
    <row r="201" spans="1:17" ht="14.4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</row>
    <row r="202" spans="1:17" ht="14.4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</row>
    <row r="203" spans="1:17" ht="14.4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</row>
    <row r="204" spans="1:17" ht="14.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</row>
    <row r="205" spans="1:17" ht="14.4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</row>
    <row r="206" spans="1:17" ht="14.4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</row>
    <row r="207" spans="1:17" ht="14.4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</row>
    <row r="208" spans="1:17" ht="14.4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</row>
    <row r="209" spans="1:17" ht="14.4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</row>
    <row r="210" spans="1:17" ht="14.4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</row>
    <row r="211" spans="1:17" ht="14.4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</row>
    <row r="212" spans="1:17" ht="14.4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</row>
    <row r="213" spans="1:17" ht="14.4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</row>
    <row r="214" spans="1:17" ht="14.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</row>
    <row r="215" spans="1:17" ht="14.4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</row>
    <row r="216" spans="1:17" ht="14.4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</row>
    <row r="217" spans="1:17" ht="14.4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</row>
    <row r="218" spans="1:17" ht="14.4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</row>
    <row r="219" spans="1:17" ht="14.4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</row>
    <row r="220" spans="1:17" ht="14.4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</row>
    <row r="221" spans="1:17" ht="14.4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</row>
    <row r="222" spans="1:17" ht="14.4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</row>
    <row r="223" spans="1:17" ht="14.4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</row>
    <row r="224" spans="1:17" ht="14.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</row>
    <row r="225" spans="1:17" ht="14.4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</row>
    <row r="226" spans="1:17" ht="14.4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</row>
    <row r="227" spans="1:17" ht="14.4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</row>
    <row r="228" spans="1:17" ht="14.4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</row>
    <row r="229" spans="1:17" ht="14.4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</row>
    <row r="230" spans="1:17" ht="14.4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</row>
    <row r="231" spans="1:17" ht="14.4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</row>
    <row r="232" spans="1:17" ht="14.4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</row>
    <row r="233" spans="1:17" ht="14.4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</row>
    <row r="234" spans="1:17" ht="14.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</row>
    <row r="235" spans="1:17" ht="14.4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</row>
    <row r="236" spans="1:17" ht="14.4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</row>
    <row r="237" spans="1:17" ht="14.4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</row>
    <row r="238" spans="1:17" ht="14.4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</row>
    <row r="239" spans="1:17" ht="14.4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</row>
    <row r="240" spans="1:17" ht="14.4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</row>
  </sheetData>
  <mergeCells count="8">
    <mergeCell ref="A40:G40"/>
    <mergeCell ref="A48:G48"/>
    <mergeCell ref="A58:G60"/>
    <mergeCell ref="A1:G1"/>
    <mergeCell ref="A2:G2"/>
    <mergeCell ref="A7:G7"/>
    <mergeCell ref="A22:G22"/>
    <mergeCell ref="A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Summary</vt:lpstr>
      <vt:lpstr>Sources</vt:lpstr>
      <vt:lpstr>Assumptions</vt:lpstr>
      <vt:lpstr>Raw Financials</vt:lpstr>
      <vt:lpstr>Raw Operating</vt:lpstr>
      <vt:lpstr>Quarterly P&amp;L</vt:lpstr>
      <vt:lpstr>Annual P&amp;L</vt:lpstr>
      <vt:lpstr>Annual Balance Sheet</vt:lpstr>
      <vt:lpstr>Annual Cash Flow</vt:lpstr>
      <vt:lpstr>Industry Revenue</vt:lpstr>
      <vt:lpstr>Geography &amp; Currency</vt:lpstr>
      <vt:lpstr>Client Data</vt:lpstr>
      <vt:lpstr>Revenue Drivers</vt:lpstr>
      <vt:lpstr>TECHM Prices</vt:lpstr>
      <vt:lpstr>Valuation</vt:lpstr>
      <vt:lpstr>Checks</vt:lpstr>
      <vt:lpstr>Q1 FY27 Update</vt:lpstr>
      <vt:lpstr>BS Forecast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2026-08-27T08:06:07Z</dcterms:created>
  <dcterms:modified xsi:type="dcterms:W3CDTF">2026-08-27T08:06:08Z</dcterms:modified>
</cp:coreProperties>
</file>