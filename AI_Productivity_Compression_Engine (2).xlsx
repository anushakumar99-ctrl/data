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Sources" sheetId="1" state="visible" r:id="rId3"/>
    <sheet name="Assumption Logic" sheetId="2" state="visible" r:id="rId4"/>
    <sheet name="Compression Engine" sheetId="3" state="visible" r:id="rId5"/>
    <sheet name="Passback Sensitivity" sheetId="4" state="visible" r:id="rId6"/>
    <sheet name="Segment Spli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AGENT COST RATIO — agent all-in run cost as % of displaced labour cost, 2030. Per-seat copilots are ~1% of labour ($19-30/user/mo), but Forrester TEI shows subscription is the SMALLEST line item — integration, inference, maintenance &amp; failed-attempt overhead dominate, keeping the ratio well above raw token cost. Low for text/code, high-teens for voice/multi-agent. Full logic: 'Assumption Logic' tab. Src: a16z 2024; Epoch AI 2025; Forrester TEI; vendor pricing 2026.</t>
        </r>
      </text>
    </comment>
    <comment ref="I5" authorId="0">
      <text>
        <r>
          <rPr>
            <sz val="10"/>
            <rFont val="Arial"/>
            <family val="2"/>
          </rPr>
          <t xml:space="preserve">EFFORT-LINKED REV SHARE — share of revenue economically sensitive to delivery effort (T&amp;M + effort-priced fixed bids). Managed/outcome/annuity insulates level. Anchor: Infosys FP ~39-45% of revenue (rest T&amp;M); Consulting value-priced/cyclical. Line-level splits are judgment — REFINE with per-line pricing mix. Full logic: 'Assumption Logic' tab. Src: Infosys SEC filings.</t>
        </r>
      </text>
    </comment>
    <comment ref="J5" authorId="0">
      <text>
        <r>
          <rPr>
            <sz val="10"/>
            <rFont val="Arial"/>
            <family val="2"/>
          </rPr>
          <t xml:space="preserve">PASSBACK — share of net efficiency handed to client by 2030. Anchor: ISG — infra outsourcing already cedes 10-30% cumulative unit price over 5yrs via productivity+competition, market prices falling faster; benchmarking clauses trigger at 15% market drift; 5-10%/yr AI gain-share now default on &gt;$50m renewals. Highest on commoditised lines; Consulting protected by jagged frontier. #1 SWING LEVER — see Passback Sensitivity. Full logic: 'Assumption Logic' tab.</t>
        </r>
      </text>
    </comment>
    <comment ref="L5" authorId="0">
      <text>
        <r>
          <rPr>
            <sz val="10"/>
            <rFont val="Arial"/>
            <family val="2"/>
          </rPr>
          <t xml:space="preserve">GCC EXPOSURE — structural insourcing to client GCCs; SEPARATE pipe from passback (no double-count). Applied FIRST: compression hits only the vendor-retained base (Size x (1-GCC%)). Scales with addressability + strategic value: GCCs skew to R&amp;D/engineering/analytics/AI. Anchor: India GCC $65bn-&gt;$105bn by 2030, 40%+ lead AI strategy. Consider raising D&amp;A. Full logic: 'Assumption Logic' tab. Src: NASSCOM-Zinnov.</t>
        </r>
      </text>
    </comment>
  </commentList>
</comments>
</file>

<file path=xl/sharedStrings.xml><?xml version="1.0" encoding="utf-8"?>
<sst xmlns="http://schemas.openxmlformats.org/spreadsheetml/2006/main" count="283" uniqueCount="201">
  <si>
    <t xml:space="preserve">AI Productivity Compression Engine — Methodology &amp; Sourcing</t>
  </si>
  <si>
    <t xml:space="preserve">2030 lens | feeds the 'melting ice' (gross deflation); meltwater / capture-rate handled separately</t>
  </si>
  <si>
    <t xml:space="preserve">THE BRIDGE (per service line)</t>
  </si>
  <si>
    <t xml:space="preserve">1. Realised gross productivity %</t>
  </si>
  <si>
    <t xml:space="preserve"> = Gross agentification % (your workbook)  ×  Max adoption %</t>
  </si>
  <si>
    <t xml:space="preserve">Delivery-cost efficiency: how much less effort the same scope takes. NOT revenue loss yet.</t>
  </si>
  <si>
    <t xml:space="preserve">2. Net delivery efficiency %</t>
  </si>
  <si>
    <t xml:space="preserve"> = Realised gross productivity %  −  Agent cost ratio %</t>
  </si>
  <si>
    <t xml:space="preserve">Agents raise the competitive price floor, shrinking the saving that can be passed on.</t>
  </si>
  <si>
    <t xml:space="preserve">3. Revenue compression %</t>
  </si>
  <si>
    <t xml:space="preserve"> = Net delivery efficiency %  ×  Effort-linked rev share %  ×  Passback %</t>
  </si>
  <si>
    <t xml:space="preserve">Only effort-priced revenue deflates; only the passed-back share becomes lost revenue.</t>
  </si>
  <si>
    <t xml:space="preserve">4. Compression $</t>
  </si>
  <si>
    <t xml:space="preserve"> = Size 2030 pre-AI  ×  Revenue compression %</t>
  </si>
  <si>
    <t xml:space="preserve">The melting ice per line, in $mn.</t>
  </si>
  <si>
    <t xml:space="preserve">5. GCC leakage (separate pipe)</t>
  </si>
  <si>
    <t xml:space="preserve"> = Size 2030 pre-AI  ×  GCC exposure %</t>
  </si>
  <si>
    <t xml:space="preserve">Work leaving the vendor entirely (insourcing). Distinct from passback — no double-count.</t>
  </si>
  <si>
    <t xml:space="preserve">WHY THE FLAT 45% / 10% MUST GO</t>
  </si>
  <si>
    <t xml:space="preserve">Your summary tab applies a flat 45% passback and 10% agent cost to every line. That collapses to a near-constant multiplier (~0.74 on new-services TAM; compression ~0.47 x realised gross), which quietly erases the line-level differentiation your task build works hard to create. Result: ADMS and Consulting look far more alike than they are. This engine replaces the two flat levers with differentiated, sourced values and adds the missing effort-linked-share term — widening the ADMS-vs-Consulting compression spread from ~12pp to ~24pp.</t>
  </si>
  <si>
    <t xml:space="preserve">EVIDENCE BEHIND EACH LEVER (base case — confirm against house view)</t>
  </si>
  <si>
    <t xml:space="preserve">Lever</t>
  </si>
  <si>
    <t xml:space="preserve">What the evidence says</t>
  </si>
  <si>
    <t xml:space="preserve">Source</t>
  </si>
  <si>
    <t xml:space="preserve">Realised uplift
(agentification are ceilings)</t>
  </si>
  <si>
    <t xml:space="preserve">Lab coding task 55.8% faster; real enterprise codebase ~21%; deployed CX support +14% avg (+34% novices, ~0 experts); consulting +12-28% inside frontier but -19pp outside. Field &lt;&lt; lab.</t>
  </si>
  <si>
    <t xml:space="preserve">Peng et al. 2023 (MS Research/GitHub); Paradis et al. (Google RCT); Brynjolfsson-Li-Raymond, QJE 2025; Dell'Acqua et al. HBS/BCG 2023</t>
  </si>
  <si>
    <t xml:space="preserve">Passback %</t>
  </si>
  <si>
    <t xml:space="preserve">Gain-share contracts pricing in 5-10%/yr AI productivity are now the default on IT outsourcing renewals &gt;$50m/yr (since 2024). Flat 45% is too low for ADMS/BPM; jagged frontier protects Consulting.</t>
  </si>
  <si>
    <t xml:space="preserve">TechVendorIndex (TCS review 2026); Infosys/TCS pricing-model disclosures</t>
  </si>
  <si>
    <t xml:space="preserve">Effort-linked rev share</t>
  </si>
  <si>
    <t xml:space="preserve">Infosys FP share ~39-45% of revenue (rest T&amp;M); clients shifting to managed services for predictability; Consulting value-priced &amp; cyclical. Annuity insulates timing, not level.</t>
  </si>
  <si>
    <t xml:space="preserve">Infosys 6-K FY15 &amp; 20-F risk factors (SEC EDGAR); Infosys/TCS business-model profiles</t>
  </si>
  <si>
    <t xml:space="preserve">Agent cost ratio</t>
  </si>
  <si>
    <t xml:space="preserve">Inference cost ~10x/yr decline, tapering to 3-5x thru 2027 then 1.5-2x; BUT token consumption up ~100x for agentic/reasoning loops, so cost-per-task falls slower. Low for text/code, high for voice/multi-agent.</t>
  </si>
  <si>
    <t xml:space="preserve">a16z 'LLMflation' 2024; Epoch AI inference price trends 2025; industry token-cost guides 2026</t>
  </si>
  <si>
    <t xml:space="preserve">GCC exposure</t>
  </si>
  <si>
    <t xml:space="preserve">India GCCs $64.6bn FY24 -&gt; $99-105bn by 2030, 2,100-2,500 centres, 40%+ lead AI strategy; moving up-stack into engineering/D&amp;A. AI cuts insourcing cost -&gt; exposure scales with addressability.</t>
  </si>
  <si>
    <t xml:space="preserve">NASSCOM-Zinnov India GCC Landscape 2024/25; PIB Dec 2025</t>
  </si>
  <si>
    <t xml:space="preserve">LEGEND</t>
  </si>
  <si>
    <t xml:space="preserve">Blue text</t>
  </si>
  <si>
    <t xml:space="preserve">Published hardcodes / your inputs (Size, agentification, adoption)</t>
  </si>
  <si>
    <t xml:space="preserve">Yellow fill</t>
  </si>
  <si>
    <t xml:space="preserve">Assumption levers to confirm (agent cost, effort share, passback, GCC)</t>
  </si>
  <si>
    <t xml:space="preserve">Black text</t>
  </si>
  <si>
    <t xml:space="preserve">Formulas — do not overtype</t>
  </si>
  <si>
    <t xml:space="preserve">Green text</t>
  </si>
  <si>
    <t xml:space="preserve">Links to another tab</t>
  </si>
  <si>
    <t xml:space="preserve">NOTE: the 8 rows in the engine are your visible summary lines as a worked template. Your full universe sums to $1,558,196mn, so paste the remaining Business-opportunity x Service-line rows below row 13 and the formulas will extend.</t>
  </si>
  <si>
    <t xml:space="preserve">Assumption Logic — why each yellow cell holds its value</t>
  </si>
  <si>
    <t xml:space="preserve">Base-case values with line-specific reasoning, the evidence anchor, and a keep/refine verdict. Values live (and get edited) in the Compression Engine.</t>
  </si>
  <si>
    <t xml:space="preserve">ARCHETYPE MAPPING — the 13 lines inherit 6 service-line archetypes</t>
  </si>
  <si>
    <t xml:space="preserve">Levers are set at the service-line archetype level, held constant across business-opportunity buckets. Rationale: pricing/effort economics are a property of the WORK, not the bucket — and bucket differences are already captured upstream in your agentification x adoption inputs (e.g. Trad-ITS Consulting adoption 39.5% vs Digital-Cloud Consulting 56.5%).</t>
  </si>
  <si>
    <t xml:space="preserve">Service line as it appears</t>
  </si>
  <si>
    <t xml:space="preserve">Maps to</t>
  </si>
  <si>
    <t xml:space="preserve">Agent / Effort / Pass / GCC</t>
  </si>
  <si>
    <t xml:space="preserve">Application Maintenance &amp; Development</t>
  </si>
  <si>
    <t xml:space="preserve">ADMS archetype (same work: app dev + maintenance)</t>
  </si>
  <si>
    <t xml:space="preserve">9 / 88 / 75 / 5</t>
  </si>
  <si>
    <t xml:space="preserve">ADMS</t>
  </si>
  <si>
    <t xml:space="preserve">ADMS archetype</t>
  </si>
  <si>
    <t xml:space="preserve">Business Process Services</t>
  </si>
  <si>
    <t xml:space="preserve">BPM archetype (same work: business process ops)</t>
  </si>
  <si>
    <t xml:space="preserve">18 / 85 / 72 / 3</t>
  </si>
  <si>
    <t xml:space="preserve">BPM</t>
  </si>
  <si>
    <t xml:space="preserve">BPM archetype</t>
  </si>
  <si>
    <t xml:space="preserve">Application Implementation &amp; Managed Services (x2 buckets)</t>
  </si>
  <si>
    <t xml:space="preserve">App-Impl archetype</t>
  </si>
  <si>
    <t xml:space="preserve">10 / 78 / 68 / 5</t>
  </si>
  <si>
    <t xml:space="preserve">Infrastructure Implementation &amp; Managed Services (x2 buckets)</t>
  </si>
  <si>
    <t xml:space="preserve">Infra archetype</t>
  </si>
  <si>
    <t xml:space="preserve">14 / 58 / 60 / 4</t>
  </si>
  <si>
    <t xml:space="preserve">Consulting (x4 buckets)</t>
  </si>
  <si>
    <t xml:space="preserve">Consulting archetype</t>
  </si>
  <si>
    <t xml:space="preserve">7 / 48 / 42 / 2</t>
  </si>
  <si>
    <t xml:space="preserve">Data &amp; Analytics</t>
  </si>
  <si>
    <t xml:space="preserve">D&amp;A archetype</t>
  </si>
  <si>
    <t xml:space="preserve">12 / 68 / 58 / 4</t>
  </si>
  <si>
    <t xml:space="preserve">Optional refinement: if you want a traditional-vs-digital pricing tilt, nudge passback &amp; effort-linkage DOWN for the three Digital buckets (more differentiation / value-pricing) and UP for Trad ITS. Left flat here for defensibility — flag it as a scenario.</t>
  </si>
  <si>
    <t xml:space="preserve">PASSBACK %  —  role: x net efficiency x effort share -&gt; compression</t>
  </si>
  <si>
    <t xml:space="preserve">Overall verdict: KEEP base (well-anchored). The AI-era acceleration on top of the historical deflation rate is judgment — sensitivity-test +/-15pp.</t>
  </si>
  <si>
    <t xml:space="preserve">Service line</t>
  </si>
  <si>
    <t xml:space="preserve">Base</t>
  </si>
  <si>
    <t xml:space="preserve">Line-specific logic</t>
  </si>
  <si>
    <t xml:space="preserve">Evidence anchor</t>
  </si>
  <si>
    <t xml:space="preserve">Keep / Refine</t>
  </si>
  <si>
    <t xml:space="preserve">Most commoditised, T&amp;M/effort-priced, existing productivity clauses; AI gain-share is now the renewal default. Client captures the most.</t>
  </si>
  <si>
    <t xml:space="preserve">TCS renewals: 5-10%/yr AI gain-share default &gt;$50m (TechVendorIndex)</t>
  </si>
  <si>
    <t xml:space="preserve">KEEP</t>
  </si>
  <si>
    <t xml:space="preserve">Per-seat / per-transaction; pricing shifting to per-resolution, so automation savings pass through fast. Clients re-benchmark aggressively.</t>
  </si>
  <si>
    <t xml:space="preserve">Outcome pricing $0.50-2/resolution (vendor pricing 2026)</t>
  </si>
  <si>
    <t xml:space="preserve">Application Impl &amp; MS</t>
  </si>
  <si>
    <t xml:space="preserve">Project + managed mix; competitive RFPs re-benchmark to AI-native cost; large-deal gain-share. Slightly less than pure T&amp;M lines.</t>
  </si>
  <si>
    <t xml:space="preserve">ISG award-pricing deflation; gain-share norms</t>
  </si>
  <si>
    <t xml:space="preserve">Infrastructure Impl &amp; MS</t>
  </si>
  <si>
    <t xml:space="preserve">Structurally high (already cedes 10-30% cumulative over 5yr), but annuity/SLA locks mid-term timing, so not fully passed by 2030.</t>
  </si>
  <si>
    <t xml:space="preserve">ISG: infra outsourcing 10-30% cumulative unit-price cut / 5yr; benchmarking clauses</t>
  </si>
  <si>
    <t xml:space="preserve">Delivery/engineering portion re-prices, but advanced analytics/AI is differentiated and often expanding, so blended passback sits mid.</t>
  </si>
  <si>
    <t xml:space="preserve">ISG deflation (delivery) offset by scarce-skill premium</t>
  </si>
  <si>
    <t xml:space="preserve">KEEP / watch</t>
  </si>
  <si>
    <t xml:space="preserve">Consulting</t>
  </si>
  <si>
    <t xml:space="preserve">Jagged frontier protects differentiated judgment (AI worsens out-of-frontier work); value-priced, little benchmarking, high switching cost -&gt; vendor retains most.</t>
  </si>
  <si>
    <t xml:space="preserve">Dell'Acqua/HBS-BCG 2023 (-19pp outside frontier)</t>
  </si>
  <si>
    <t xml:space="preserve">AGENT COST RATIO %  —  role: subtracted from realised gross -&gt; net efficiency</t>
  </si>
  <si>
    <t xml:space="preserve">Overall verdict: KEEP base, but the MOST uncertain 2030 input. Refine BPM/Infra with bottoms-up run-cost (multi-agent orchestration).</t>
  </si>
  <si>
    <t xml:space="preserve">Mostly text/analysis; light integration; cheap inference and high reuse of outputs.</t>
  </si>
  <si>
    <t xml:space="preserve">Copilot ~$19-30/user/mo (~1% of labour)</t>
  </si>
  <si>
    <t xml:space="preserve">Maintenance is text/code-heavy; cheap per-token; high pattern reuse across tickets.</t>
  </si>
  <si>
    <t xml:space="preserve">Coding copilot seat cost; token deflation</t>
  </si>
  <si>
    <t xml:space="preserve">Code-gen seats cheap, but agentic build/test loops burn tokens (consumption up ~100x); moderate integration.</t>
  </si>
  <si>
    <t xml:space="preserve">a16z LLMflation; token consumption paradox</t>
  </si>
  <si>
    <t xml:space="preserve">Data pipelines + model inference at scale is compute-heavy; recurring run cost, not one-off.</t>
  </si>
  <si>
    <t xml:space="preserve">Inference cost at scale; Forrester TEI</t>
  </si>
  <si>
    <t xml:space="preserve">AIOps orchestration + continuous monitoring at scale; integration-heavy; multi-agent workflows.</t>
  </si>
  <si>
    <t xml:space="preserve">Forrester TEI: integration/inference dominate TCO</t>
  </si>
  <si>
    <t xml:space="preserve">REFINE</t>
  </si>
  <si>
    <t xml:space="preserve">Voice + document AI, heaviest orchestration; failed-session overhead (3-4 billable sessions per genuine resolution) inflates effective cost.</t>
  </si>
  <si>
    <t xml:space="preserve">Freddy AI 23-30% resolution -&gt; 3-4 sessions/resolution (vendor data)</t>
  </si>
  <si>
    <t xml:space="preserve">EFFORT-LINKED REV SHARE %  —  role: x net efficiency x passback -&gt; compression</t>
  </si>
  <si>
    <t xml:space="preserve">Overall verdict: REFINE — firm-level anchor is solid (Infosys FP mix), but per-line splits are judgment. Pull per-service-line pricing mix from vendor disclosures / ISG.</t>
  </si>
  <si>
    <t xml:space="preserve">T&amp;M / effort-priced maintenance; billing tracks hours almost 1:1 -&gt; highest linkage.</t>
  </si>
  <si>
    <t xml:space="preserve">Infosys: FP ~39-45%, rest T&amp;M (SEC)</t>
  </si>
  <si>
    <t xml:space="preserve">Per-FTE / per-transaction headcount pricing; revenue moves with seats/volume.</t>
  </si>
  <si>
    <t xml:space="preserve">BPM per-seat/per-transaction norms</t>
  </si>
  <si>
    <t xml:space="preserve">Project effort + managed component; mostly effort-priced with some fixed/outcome.</t>
  </si>
  <si>
    <t xml:space="preserve">Infosys/TCS pricing-model mix</t>
  </si>
  <si>
    <t xml:space="preserve">Engineering/pipeline delivery effort-linked; advanced analytics value-priced -&gt; mid-high.</t>
  </si>
  <si>
    <t xml:space="preserve">Mixed delivery vs advisory pricing</t>
  </si>
  <si>
    <t xml:space="preserve">Heavy annuity/asset/outcome + already automated; a big slice is not effort-priced.</t>
  </si>
  <si>
    <t xml:space="preserve">Managed-services annuity shift (Infosys profile)</t>
  </si>
  <si>
    <t xml:space="preserve">Value / outcome priced, differentiated and cyclical; weak link between effort and fee.</t>
  </si>
  <si>
    <t xml:space="preserve">Consulting value-based pricing</t>
  </si>
  <si>
    <t xml:space="preserve">GCC EXPOSURE %  —  role: x size -&gt; GCC leakage (separate pipe, not compression)</t>
  </si>
  <si>
    <t xml:space="preserve">Overall verdict: KEEP direction; REFINE exact %s with function-level GCC-share data. Consider raising D&amp;A (GCCs explicitly lead AI/analytics).</t>
  </si>
  <si>
    <t xml:space="preserve">Product engineering is prime GCC territory; highest strategic insourcing, AI lowers the build-in-house cost.</t>
  </si>
  <si>
    <t xml:space="preserve">GCCs skew R&amp;D/product engineering (NASSCOM)</t>
  </si>
  <si>
    <t xml:space="preserve">App maintenance is highly addressable; AI makes captive maintenance viable -&gt; elevated leakage.</t>
  </si>
  <si>
    <t xml:space="preserve">GCC up-stack into app ownership</t>
  </si>
  <si>
    <t xml:space="preserve">DevOps/platform moving to GCCs, but run/ops scale + security keep some with vendors.</t>
  </si>
  <si>
    <t xml:space="preserve">GCC DevOps/platform trend</t>
  </si>
  <si>
    <t xml:space="preserve">GCCs explicitly lead AI/ML/analytics -&gt; arguably the HIGHEST leakage; flagged to raise toward 5-6%.</t>
  </si>
  <si>
    <t xml:space="preserve">40%+ of GCCs lead AI strategy (NASSCOM)</t>
  </si>
  <si>
    <t xml:space="preserve">REFINE (raise)</t>
  </si>
  <si>
    <t xml:space="preserve">Transactional work historically BPO/vendor; GCCs entering but slower on high-volume ops.</t>
  </si>
  <si>
    <t xml:space="preserve">GCC vs BPO function split</t>
  </si>
  <si>
    <t xml:space="preserve">Relationship / onsite / judgment work is least insourced -&gt; lowest leakage.</t>
  </si>
  <si>
    <t xml:space="preserve">GCC advisory penetration low</t>
  </si>
  <si>
    <t xml:space="preserve">Reconciliation check: passback and GCC are mutually exclusive pipes — passback = vendor keeps the work at a lower price; GCC = the work leaves the vendor. A task can't be in both, so the two columns never touch the same dollar twice.</t>
  </si>
  <si>
    <t xml:space="preserve">AI Productivity Compression Engine — Base Case (2030)</t>
  </si>
  <si>
    <t xml:space="preserve">Blue = your hardcodes  |  Yellow = assumption levers (confirm)  |  Black = formulas  |  $mn unless noted</t>
  </si>
  <si>
    <t xml:space="preserve">Business opportunity</t>
  </si>
  <si>
    <t xml:space="preserve">Size 2030
pre-AI ($mn)</t>
  </si>
  <si>
    <t xml:space="preserve">Gross
agentif. %</t>
  </si>
  <si>
    <t xml:space="preserve">Max
adoption %</t>
  </si>
  <si>
    <t xml:space="preserve">Realised gross
productivity %</t>
  </si>
  <si>
    <t xml:space="preserve">Agent cost
ratio %</t>
  </si>
  <si>
    <t xml:space="preserve">Net delivery
efficiency %</t>
  </si>
  <si>
    <t xml:space="preserve">Effort-linked
rev share %</t>
  </si>
  <si>
    <t xml:space="preserve">Compression
rate %</t>
  </si>
  <si>
    <t xml:space="preserve">GCC
exposure %</t>
  </si>
  <si>
    <t xml:space="preserve">Vendor-retained
base ($mn)</t>
  </si>
  <si>
    <t xml:space="preserve">Compression $
(on retained)</t>
  </si>
  <si>
    <t xml:space="preserve">GCC leakage
$</t>
  </si>
  <si>
    <t xml:space="preserve">Total erosion
$</t>
  </si>
  <si>
    <t xml:space="preserve">Erosion %
of size</t>
  </si>
  <si>
    <t xml:space="preserve">Digital Business</t>
  </si>
  <si>
    <t xml:space="preserve">Digital Technology &amp; Cloud</t>
  </si>
  <si>
    <t xml:space="preserve">Application Implementation &amp; Managed Services</t>
  </si>
  <si>
    <t xml:space="preserve">Infrastructure Implementation &amp; Managed Services</t>
  </si>
  <si>
    <t xml:space="preserve">Digital Product Engineering</t>
  </si>
  <si>
    <t xml:space="preserve">Trad ITS</t>
  </si>
  <si>
    <t xml:space="preserve">TOTAL / weighted avg</t>
  </si>
  <si>
    <t xml:space="preserve">GCC-FIRST logic: GCC leakage is stripped from Size (col M = retained base), then compression (col K) hits only the retained base (col N). Total erosion (P) = compression + GCC, i.e. Size x [1-(1-compression)(1-GCC)] — no double-count. Paste remaining rows inside 5:17 so totals capture them; formulas in F,H,K,M,N,O,P,Q copy straight down.</t>
  </si>
  <si>
    <t xml:space="preserve">Passback Sensitivity — the single biggest swing lever (+/-15pp)</t>
  </si>
  <si>
    <t xml:space="preserve">Holds net efficiency, effort share &amp; GCC from the engine; flexes passback only. Compression is on the GCC-retained base. High passback = more compression = more bearish for vendors.</t>
  </si>
  <si>
    <t xml:space="preserve">Size 2030
($mn)</t>
  </si>
  <si>
    <t xml:space="preserve">Net eff. x
effort share</t>
  </si>
  <si>
    <t xml:space="preserve">Low passback
(base -15pp)</t>
  </si>
  <si>
    <t xml:space="preserve">Base
passback</t>
  </si>
  <si>
    <t xml:space="preserve">High passback
(base +15pp)</t>
  </si>
  <si>
    <t xml:space="preserve">Compression $
- Low</t>
  </si>
  <si>
    <t xml:space="preserve">Compression $
- Base</t>
  </si>
  <si>
    <t xml:space="preserve">Compression $
- High</t>
  </si>
  <si>
    <t xml:space="preserve">TOTAL compression $</t>
  </si>
  <si>
    <t xml:space="preserve">The Low-&gt;High span here is your defensible compression range. Present it as the band, not a point.</t>
  </si>
  <si>
    <t xml:space="preserve">Segment Split — adoption differs by firm archetype</t>
  </si>
  <si>
    <t xml:space="preserve">Specialists adopt fastest (highest ceiling), mid-tiers slowest. Weighted adoption = SUMPRODUCT(multiplier x mix), capped at 100%.</t>
  </si>
  <si>
    <t xml:space="preserve">Archetype adoption multipliers (vs base adoption)</t>
  </si>
  <si>
    <t xml:space="preserve">Archetype</t>
  </si>
  <si>
    <t xml:space="preserve">Adoption multiplier</t>
  </si>
  <si>
    <t xml:space="preserve">Digital specialists</t>
  </si>
  <si>
    <t xml:space="preserve">Large firms</t>
  </si>
  <si>
    <t xml:space="preserve">Mid-tiers</t>
  </si>
  <si>
    <t xml:space="preserve">Per-line revenue mix across archetypes (edit yellow; must sum to 100%)</t>
  </si>
  <si>
    <t xml:space="preserve">Base
adoption %</t>
  </si>
  <si>
    <t xml:space="preserve">% Specialist</t>
  </si>
  <si>
    <t xml:space="preserve">% Large</t>
  </si>
  <si>
    <t xml:space="preserve">% Mid-tier</t>
  </si>
  <si>
    <t xml:space="preserve">Weighted
adoption %</t>
  </si>
  <si>
    <t xml:space="preserve">Delta vs base
(pp)</t>
  </si>
  <si>
    <t xml:space="preserve">To flow this into compression: in the engine, replace Max adoption (col E) with the Weighted adoption (col F) for the segment view. Kept separate here so the base case stays clean.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</si>
</sst>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\$#,##0;&quot;($&quot;#,##0\);\-"/>
    <numFmt numFmtId="167" formatCode="0.00\x"/>
    <numFmt numFmtId="168" formatCode="\+0.0;\-0.0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i val="true"/>
      <sz val="9"/>
      <color rgb="FF008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i val="true"/>
      <sz val="9"/>
      <color rgb="FFC55A11"/>
      <name val="Arial"/>
      <family val="0"/>
      <charset val="1"/>
    </font>
    <font>
      <b val="true"/>
      <i val="true"/>
      <sz val="9"/>
      <color rgb="FFC0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2E5496"/>
        <bgColor rgb="FF1F3864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62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23.85" hidden="false" customHeight="false" outlineLevel="0" collapsed="false">
      <c r="B6" s="4" t="s">
        <v>3</v>
      </c>
      <c r="C6" s="5" t="s">
        <v>4</v>
      </c>
      <c r="D6" s="6" t="s">
        <v>5</v>
      </c>
    </row>
    <row r="7" customFormat="false" ht="23.85" hidden="false" customHeight="false" outlineLevel="0" collapsed="false">
      <c r="B7" s="4" t="s">
        <v>6</v>
      </c>
      <c r="C7" s="5" t="s">
        <v>7</v>
      </c>
      <c r="D7" s="6" t="s">
        <v>8</v>
      </c>
    </row>
    <row r="8" customFormat="false" ht="23.85" hidden="false" customHeight="false" outlineLevel="0" collapsed="false">
      <c r="B8" s="4" t="s">
        <v>9</v>
      </c>
      <c r="C8" s="5" t="s">
        <v>10</v>
      </c>
      <c r="D8" s="6" t="s">
        <v>11</v>
      </c>
    </row>
    <row r="9" customFormat="false" ht="15" hidden="false" customHeight="false" outlineLevel="0" collapsed="false">
      <c r="B9" s="4" t="s">
        <v>12</v>
      </c>
      <c r="C9" s="5" t="s">
        <v>13</v>
      </c>
      <c r="D9" s="6" t="s">
        <v>14</v>
      </c>
    </row>
    <row r="10" customFormat="false" ht="23.85" hidden="false" customHeight="false" outlineLevel="0" collapsed="false">
      <c r="B10" s="4" t="s">
        <v>15</v>
      </c>
      <c r="C10" s="5" t="s">
        <v>16</v>
      </c>
      <c r="D10" s="6" t="s">
        <v>17</v>
      </c>
    </row>
    <row r="12" customFormat="false" ht="15" hidden="false" customHeight="false" outlineLevel="0" collapsed="false">
      <c r="B12" s="3" t="s">
        <v>18</v>
      </c>
    </row>
    <row r="13" customFormat="false" ht="15" hidden="false" customHeight="true" outlineLevel="0" collapsed="false">
      <c r="B13" s="7" t="s">
        <v>19</v>
      </c>
      <c r="C13" s="7"/>
      <c r="D13" s="7"/>
    </row>
    <row r="14" customFormat="false" ht="15" hidden="false" customHeight="false" outlineLevel="0" collapsed="false">
      <c r="B14" s="7"/>
      <c r="C14" s="7"/>
      <c r="D14" s="7"/>
    </row>
    <row r="15" customFormat="false" ht="15" hidden="false" customHeight="false" outlineLevel="0" collapsed="false">
      <c r="B15" s="7"/>
      <c r="C15" s="7"/>
      <c r="D15" s="7"/>
    </row>
    <row r="17" customFormat="false" ht="15" hidden="false" customHeight="false" outlineLevel="0" collapsed="false">
      <c r="B17" s="3" t="s">
        <v>20</v>
      </c>
    </row>
    <row r="18" customFormat="false" ht="15" hidden="false" customHeight="false" outlineLevel="0" collapsed="false">
      <c r="B18" s="8" t="s">
        <v>21</v>
      </c>
      <c r="C18" s="8" t="s">
        <v>22</v>
      </c>
      <c r="D18" s="8" t="s">
        <v>23</v>
      </c>
    </row>
    <row r="19" customFormat="false" ht="57.75" hidden="false" customHeight="true" outlineLevel="0" collapsed="false">
      <c r="B19" s="9" t="s">
        <v>24</v>
      </c>
      <c r="C19" s="10" t="s">
        <v>25</v>
      </c>
      <c r="D19" s="11" t="s">
        <v>26</v>
      </c>
    </row>
    <row r="20" customFormat="false" ht="57.75" hidden="false" customHeight="true" outlineLevel="0" collapsed="false">
      <c r="B20" s="9" t="s">
        <v>27</v>
      </c>
      <c r="C20" s="10" t="s">
        <v>28</v>
      </c>
      <c r="D20" s="11" t="s">
        <v>29</v>
      </c>
    </row>
    <row r="21" customFormat="false" ht="57.75" hidden="false" customHeight="true" outlineLevel="0" collapsed="false">
      <c r="B21" s="9" t="s">
        <v>30</v>
      </c>
      <c r="C21" s="10" t="s">
        <v>31</v>
      </c>
      <c r="D21" s="11" t="s">
        <v>32</v>
      </c>
    </row>
    <row r="22" customFormat="false" ht="57.75" hidden="false" customHeight="true" outlineLevel="0" collapsed="false">
      <c r="B22" s="9" t="s">
        <v>33</v>
      </c>
      <c r="C22" s="10" t="s">
        <v>34</v>
      </c>
      <c r="D22" s="11" t="s">
        <v>35</v>
      </c>
    </row>
    <row r="23" customFormat="false" ht="57.75" hidden="false" customHeight="true" outlineLevel="0" collapsed="false">
      <c r="B23" s="9" t="s">
        <v>36</v>
      </c>
      <c r="C23" s="10" t="s">
        <v>37</v>
      </c>
      <c r="D23" s="11" t="s">
        <v>38</v>
      </c>
    </row>
    <row r="25" customFormat="false" ht="15" hidden="false" customHeight="false" outlineLevel="0" collapsed="false">
      <c r="B25" s="3" t="s">
        <v>39</v>
      </c>
    </row>
    <row r="26" customFormat="false" ht="15" hidden="false" customHeight="false" outlineLevel="0" collapsed="false">
      <c r="B26" s="12" t="s">
        <v>40</v>
      </c>
      <c r="C26" s="13" t="s">
        <v>41</v>
      </c>
    </row>
    <row r="27" customFormat="false" ht="15" hidden="false" customHeight="false" outlineLevel="0" collapsed="false">
      <c r="B27" s="14" t="s">
        <v>42</v>
      </c>
      <c r="C27" s="13" t="s">
        <v>43</v>
      </c>
    </row>
    <row r="28" customFormat="false" ht="15" hidden="false" customHeight="false" outlineLevel="0" collapsed="false">
      <c r="B28" s="15" t="s">
        <v>44</v>
      </c>
      <c r="C28" s="13" t="s">
        <v>45</v>
      </c>
    </row>
    <row r="29" customFormat="false" ht="15" hidden="false" customHeight="false" outlineLevel="0" collapsed="false">
      <c r="B29" s="16" t="s">
        <v>46</v>
      </c>
      <c r="C29" s="13" t="s">
        <v>47</v>
      </c>
    </row>
    <row r="31" customFormat="false" ht="15" hidden="false" customHeight="true" outlineLevel="0" collapsed="false">
      <c r="B31" s="17" t="s">
        <v>48</v>
      </c>
      <c r="C31" s="17"/>
      <c r="D31" s="17"/>
    </row>
    <row r="32" customFormat="false" ht="15" hidden="false" customHeight="false" outlineLevel="0" collapsed="false">
      <c r="B32" s="17"/>
      <c r="C32" s="17"/>
      <c r="D32" s="17"/>
    </row>
  </sheetData>
  <mergeCells count="2">
    <mergeCell ref="B13:D15"/>
    <mergeCell ref="B31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68"/>
    <col collapsed="false" customWidth="true" hidden="false" outlineLevel="0" max="4" min="4" style="0" width="40"/>
    <col collapsed="false" customWidth="true" hidden="false" outlineLevel="0" max="5" min="5" style="0" width="22"/>
  </cols>
  <sheetData>
    <row r="1" customFormat="false" ht="16.15" hidden="false" customHeight="false" outlineLevel="0" collapsed="false">
      <c r="A1" s="18" t="s">
        <v>49</v>
      </c>
    </row>
    <row r="2" customFormat="false" ht="15" hidden="false" customHeight="false" outlineLevel="0" collapsed="false">
      <c r="A2" s="19" t="s">
        <v>50</v>
      </c>
    </row>
    <row r="4" customFormat="false" ht="15" hidden="false" customHeight="true" outlineLevel="0" collapsed="false">
      <c r="A4" s="20" t="s">
        <v>51</v>
      </c>
      <c r="B4" s="20"/>
      <c r="C4" s="20"/>
      <c r="D4" s="20"/>
      <c r="E4" s="20"/>
    </row>
    <row r="5" customFormat="false" ht="39.75" hidden="false" customHeight="true" outlineLevel="0" collapsed="false">
      <c r="A5" s="21" t="s">
        <v>52</v>
      </c>
      <c r="B5" s="21"/>
      <c r="C5" s="21"/>
      <c r="D5" s="21"/>
      <c r="E5" s="21"/>
    </row>
    <row r="6" customFormat="false" ht="15" hidden="false" customHeight="true" outlineLevel="0" collapsed="false">
      <c r="A6" s="8" t="s">
        <v>53</v>
      </c>
      <c r="B6" s="8"/>
      <c r="C6" s="8" t="s">
        <v>54</v>
      </c>
      <c r="D6" s="8" t="s">
        <v>55</v>
      </c>
    </row>
    <row r="7" customFormat="false" ht="25.5" hidden="false" customHeight="true" outlineLevel="0" collapsed="false">
      <c r="A7" s="10" t="s">
        <v>56</v>
      </c>
      <c r="B7" s="10"/>
      <c r="C7" s="10" t="s">
        <v>57</v>
      </c>
      <c r="D7" s="22" t="s">
        <v>58</v>
      </c>
      <c r="E7" s="23"/>
    </row>
    <row r="8" customFormat="false" ht="25.5" hidden="false" customHeight="true" outlineLevel="0" collapsed="false">
      <c r="A8" s="10" t="s">
        <v>59</v>
      </c>
      <c r="B8" s="10"/>
      <c r="C8" s="10" t="s">
        <v>60</v>
      </c>
      <c r="D8" s="22" t="s">
        <v>58</v>
      </c>
      <c r="E8" s="23"/>
    </row>
    <row r="9" customFormat="false" ht="25.5" hidden="false" customHeight="true" outlineLevel="0" collapsed="false">
      <c r="A9" s="10" t="s">
        <v>61</v>
      </c>
      <c r="B9" s="10"/>
      <c r="C9" s="10" t="s">
        <v>62</v>
      </c>
      <c r="D9" s="22" t="s">
        <v>63</v>
      </c>
      <c r="E9" s="23"/>
    </row>
    <row r="10" customFormat="false" ht="25.5" hidden="false" customHeight="true" outlineLevel="0" collapsed="false">
      <c r="A10" s="10" t="s">
        <v>64</v>
      </c>
      <c r="B10" s="10"/>
      <c r="C10" s="10" t="s">
        <v>65</v>
      </c>
      <c r="D10" s="22" t="s">
        <v>63</v>
      </c>
      <c r="E10" s="23"/>
    </row>
    <row r="11" customFormat="false" ht="25.5" hidden="false" customHeight="true" outlineLevel="0" collapsed="false">
      <c r="A11" s="10" t="s">
        <v>66</v>
      </c>
      <c r="B11" s="10"/>
      <c r="C11" s="10" t="s">
        <v>67</v>
      </c>
      <c r="D11" s="22" t="s">
        <v>68</v>
      </c>
      <c r="E11" s="23"/>
    </row>
    <row r="12" customFormat="false" ht="25.5" hidden="false" customHeight="true" outlineLevel="0" collapsed="false">
      <c r="A12" s="10" t="s">
        <v>69</v>
      </c>
      <c r="B12" s="10"/>
      <c r="C12" s="10" t="s">
        <v>70</v>
      </c>
      <c r="D12" s="22" t="s">
        <v>71</v>
      </c>
      <c r="E12" s="23"/>
    </row>
    <row r="13" customFormat="false" ht="25.5" hidden="false" customHeight="true" outlineLevel="0" collapsed="false">
      <c r="A13" s="10" t="s">
        <v>72</v>
      </c>
      <c r="B13" s="10"/>
      <c r="C13" s="10" t="s">
        <v>73</v>
      </c>
      <c r="D13" s="22" t="s">
        <v>74</v>
      </c>
      <c r="E13" s="23"/>
    </row>
    <row r="14" customFormat="false" ht="25.5" hidden="false" customHeight="true" outlineLevel="0" collapsed="false">
      <c r="A14" s="10" t="s">
        <v>75</v>
      </c>
      <c r="B14" s="10"/>
      <c r="C14" s="10" t="s">
        <v>76</v>
      </c>
      <c r="D14" s="22" t="s">
        <v>77</v>
      </c>
      <c r="E14" s="23"/>
    </row>
    <row r="15" customFormat="false" ht="30" hidden="false" customHeight="true" outlineLevel="0" collapsed="false">
      <c r="A15" s="17" t="s">
        <v>78</v>
      </c>
      <c r="B15" s="17"/>
      <c r="C15" s="17"/>
      <c r="D15" s="17"/>
      <c r="E15" s="17"/>
    </row>
    <row r="17" customFormat="false" ht="19.5" hidden="false" customHeight="true" outlineLevel="0" collapsed="false">
      <c r="A17" s="20" t="s">
        <v>79</v>
      </c>
      <c r="B17" s="20"/>
      <c r="C17" s="20"/>
      <c r="D17" s="20"/>
      <c r="E17" s="20"/>
    </row>
    <row r="18" customFormat="false" ht="15" hidden="false" customHeight="true" outlineLevel="0" collapsed="false">
      <c r="A18" s="24" t="s">
        <v>80</v>
      </c>
      <c r="B18" s="24"/>
      <c r="C18" s="24"/>
      <c r="D18" s="24"/>
      <c r="E18" s="24"/>
    </row>
    <row r="19" customFormat="false" ht="15" hidden="false" customHeight="false" outlineLevel="0" collapsed="false">
      <c r="A19" s="8" t="s">
        <v>81</v>
      </c>
      <c r="B19" s="8" t="s">
        <v>82</v>
      </c>
      <c r="C19" s="8" t="s">
        <v>83</v>
      </c>
      <c r="D19" s="8" t="s">
        <v>84</v>
      </c>
      <c r="E19" s="8" t="s">
        <v>85</v>
      </c>
    </row>
    <row r="20" customFormat="false" ht="45.75" hidden="false" customHeight="true" outlineLevel="0" collapsed="false">
      <c r="A20" s="25" t="s">
        <v>59</v>
      </c>
      <c r="B20" s="26" t="n">
        <v>0.75</v>
      </c>
      <c r="C20" s="10" t="s">
        <v>86</v>
      </c>
      <c r="D20" s="11" t="s">
        <v>87</v>
      </c>
      <c r="E20" s="27" t="s">
        <v>88</v>
      </c>
    </row>
    <row r="21" customFormat="false" ht="45.75" hidden="false" customHeight="true" outlineLevel="0" collapsed="false">
      <c r="A21" s="25" t="s">
        <v>64</v>
      </c>
      <c r="B21" s="26" t="n">
        <v>0.72</v>
      </c>
      <c r="C21" s="10" t="s">
        <v>89</v>
      </c>
      <c r="D21" s="11" t="s">
        <v>90</v>
      </c>
      <c r="E21" s="27" t="s">
        <v>88</v>
      </c>
    </row>
    <row r="22" customFormat="false" ht="45.75" hidden="false" customHeight="true" outlineLevel="0" collapsed="false">
      <c r="A22" s="25" t="s">
        <v>91</v>
      </c>
      <c r="B22" s="26" t="n">
        <v>0.68</v>
      </c>
      <c r="C22" s="10" t="s">
        <v>92</v>
      </c>
      <c r="D22" s="11" t="s">
        <v>93</v>
      </c>
      <c r="E22" s="27" t="s">
        <v>88</v>
      </c>
    </row>
    <row r="23" customFormat="false" ht="45.75" hidden="false" customHeight="true" outlineLevel="0" collapsed="false">
      <c r="A23" s="25" t="s">
        <v>94</v>
      </c>
      <c r="B23" s="26" t="n">
        <v>0.6</v>
      </c>
      <c r="C23" s="10" t="s">
        <v>95</v>
      </c>
      <c r="D23" s="11" t="s">
        <v>96</v>
      </c>
      <c r="E23" s="27" t="s">
        <v>88</v>
      </c>
    </row>
    <row r="24" customFormat="false" ht="45.75" hidden="false" customHeight="true" outlineLevel="0" collapsed="false">
      <c r="A24" s="25" t="s">
        <v>75</v>
      </c>
      <c r="B24" s="26" t="n">
        <v>0.58</v>
      </c>
      <c r="C24" s="10" t="s">
        <v>97</v>
      </c>
      <c r="D24" s="11" t="s">
        <v>98</v>
      </c>
      <c r="E24" s="27" t="s">
        <v>99</v>
      </c>
    </row>
    <row r="25" customFormat="false" ht="45.75" hidden="false" customHeight="true" outlineLevel="0" collapsed="false">
      <c r="A25" s="25" t="s">
        <v>100</v>
      </c>
      <c r="B25" s="26" t="n">
        <v>0.42</v>
      </c>
      <c r="C25" s="10" t="s">
        <v>101</v>
      </c>
      <c r="D25" s="11" t="s">
        <v>102</v>
      </c>
      <c r="E25" s="27" t="s">
        <v>88</v>
      </c>
    </row>
    <row r="27" customFormat="false" ht="19.5" hidden="false" customHeight="true" outlineLevel="0" collapsed="false">
      <c r="A27" s="20" t="s">
        <v>103</v>
      </c>
      <c r="B27" s="20"/>
      <c r="C27" s="20"/>
      <c r="D27" s="20"/>
      <c r="E27" s="20"/>
    </row>
    <row r="28" customFormat="false" ht="15" hidden="false" customHeight="true" outlineLevel="0" collapsed="false">
      <c r="A28" s="28" t="s">
        <v>104</v>
      </c>
      <c r="B28" s="28"/>
      <c r="C28" s="28"/>
      <c r="D28" s="28"/>
      <c r="E28" s="28"/>
    </row>
    <row r="29" customFormat="false" ht="15" hidden="false" customHeight="false" outlineLevel="0" collapsed="false">
      <c r="A29" s="8" t="s">
        <v>81</v>
      </c>
      <c r="B29" s="8" t="s">
        <v>82</v>
      </c>
      <c r="C29" s="8" t="s">
        <v>83</v>
      </c>
      <c r="D29" s="8" t="s">
        <v>84</v>
      </c>
      <c r="E29" s="8" t="s">
        <v>85</v>
      </c>
    </row>
    <row r="30" customFormat="false" ht="45.75" hidden="false" customHeight="true" outlineLevel="0" collapsed="false">
      <c r="A30" s="25" t="s">
        <v>100</v>
      </c>
      <c r="B30" s="26" t="n">
        <v>0.07</v>
      </c>
      <c r="C30" s="10" t="s">
        <v>105</v>
      </c>
      <c r="D30" s="11" t="s">
        <v>106</v>
      </c>
      <c r="E30" s="27" t="s">
        <v>88</v>
      </c>
    </row>
    <row r="31" customFormat="false" ht="45.75" hidden="false" customHeight="true" outlineLevel="0" collapsed="false">
      <c r="A31" s="25" t="s">
        <v>59</v>
      </c>
      <c r="B31" s="26" t="n">
        <v>0.09</v>
      </c>
      <c r="C31" s="10" t="s">
        <v>107</v>
      </c>
      <c r="D31" s="11" t="s">
        <v>108</v>
      </c>
      <c r="E31" s="27" t="s">
        <v>88</v>
      </c>
    </row>
    <row r="32" customFormat="false" ht="45.75" hidden="false" customHeight="true" outlineLevel="0" collapsed="false">
      <c r="A32" s="25" t="s">
        <v>91</v>
      </c>
      <c r="B32" s="26" t="n">
        <v>0.1</v>
      </c>
      <c r="C32" s="10" t="s">
        <v>109</v>
      </c>
      <c r="D32" s="11" t="s">
        <v>110</v>
      </c>
      <c r="E32" s="27" t="s">
        <v>88</v>
      </c>
    </row>
    <row r="33" customFormat="false" ht="45.75" hidden="false" customHeight="true" outlineLevel="0" collapsed="false">
      <c r="A33" s="25" t="s">
        <v>75</v>
      </c>
      <c r="B33" s="26" t="n">
        <v>0.12</v>
      </c>
      <c r="C33" s="10" t="s">
        <v>111</v>
      </c>
      <c r="D33" s="11" t="s">
        <v>112</v>
      </c>
      <c r="E33" s="27" t="s">
        <v>88</v>
      </c>
    </row>
    <row r="34" customFormat="false" ht="45.75" hidden="false" customHeight="true" outlineLevel="0" collapsed="false">
      <c r="A34" s="25" t="s">
        <v>94</v>
      </c>
      <c r="B34" s="26" t="n">
        <v>0.14</v>
      </c>
      <c r="C34" s="10" t="s">
        <v>113</v>
      </c>
      <c r="D34" s="11" t="s">
        <v>114</v>
      </c>
      <c r="E34" s="27" t="s">
        <v>115</v>
      </c>
    </row>
    <row r="35" customFormat="false" ht="45.75" hidden="false" customHeight="true" outlineLevel="0" collapsed="false">
      <c r="A35" s="25" t="s">
        <v>64</v>
      </c>
      <c r="B35" s="26" t="n">
        <v>0.18</v>
      </c>
      <c r="C35" s="10" t="s">
        <v>116</v>
      </c>
      <c r="D35" s="11" t="s">
        <v>117</v>
      </c>
      <c r="E35" s="27" t="s">
        <v>115</v>
      </c>
    </row>
    <row r="37" customFormat="false" ht="19.5" hidden="false" customHeight="true" outlineLevel="0" collapsed="false">
      <c r="A37" s="20" t="s">
        <v>118</v>
      </c>
      <c r="B37" s="20"/>
      <c r="C37" s="20"/>
      <c r="D37" s="20"/>
      <c r="E37" s="20"/>
    </row>
    <row r="38" customFormat="false" ht="15" hidden="false" customHeight="true" outlineLevel="0" collapsed="false">
      <c r="A38" s="29" t="s">
        <v>119</v>
      </c>
      <c r="B38" s="29"/>
      <c r="C38" s="29"/>
      <c r="D38" s="29"/>
      <c r="E38" s="29"/>
    </row>
    <row r="39" customFormat="false" ht="15" hidden="false" customHeight="false" outlineLevel="0" collapsed="false">
      <c r="A39" s="8" t="s">
        <v>81</v>
      </c>
      <c r="B39" s="8" t="s">
        <v>82</v>
      </c>
      <c r="C39" s="8" t="s">
        <v>83</v>
      </c>
      <c r="D39" s="8" t="s">
        <v>84</v>
      </c>
      <c r="E39" s="8" t="s">
        <v>85</v>
      </c>
    </row>
    <row r="40" customFormat="false" ht="45.75" hidden="false" customHeight="true" outlineLevel="0" collapsed="false">
      <c r="A40" s="25" t="s">
        <v>59</v>
      </c>
      <c r="B40" s="26" t="n">
        <v>0.88</v>
      </c>
      <c r="C40" s="10" t="s">
        <v>120</v>
      </c>
      <c r="D40" s="11" t="s">
        <v>121</v>
      </c>
      <c r="E40" s="27" t="s">
        <v>115</v>
      </c>
    </row>
    <row r="41" customFormat="false" ht="45.75" hidden="false" customHeight="true" outlineLevel="0" collapsed="false">
      <c r="A41" s="25" t="s">
        <v>64</v>
      </c>
      <c r="B41" s="26" t="n">
        <v>0.85</v>
      </c>
      <c r="C41" s="10" t="s">
        <v>122</v>
      </c>
      <c r="D41" s="11" t="s">
        <v>123</v>
      </c>
      <c r="E41" s="27" t="s">
        <v>115</v>
      </c>
    </row>
    <row r="42" customFormat="false" ht="45.75" hidden="false" customHeight="true" outlineLevel="0" collapsed="false">
      <c r="A42" s="25" t="s">
        <v>91</v>
      </c>
      <c r="B42" s="26" t="n">
        <v>0.78</v>
      </c>
      <c r="C42" s="10" t="s">
        <v>124</v>
      </c>
      <c r="D42" s="11" t="s">
        <v>125</v>
      </c>
      <c r="E42" s="27" t="s">
        <v>115</v>
      </c>
    </row>
    <row r="43" customFormat="false" ht="45.75" hidden="false" customHeight="true" outlineLevel="0" collapsed="false">
      <c r="A43" s="25" t="s">
        <v>75</v>
      </c>
      <c r="B43" s="26" t="n">
        <v>0.68</v>
      </c>
      <c r="C43" s="10" t="s">
        <v>126</v>
      </c>
      <c r="D43" s="11" t="s">
        <v>127</v>
      </c>
      <c r="E43" s="27" t="s">
        <v>115</v>
      </c>
    </row>
    <row r="44" customFormat="false" ht="45.75" hidden="false" customHeight="true" outlineLevel="0" collapsed="false">
      <c r="A44" s="25" t="s">
        <v>94</v>
      </c>
      <c r="B44" s="26" t="n">
        <v>0.58</v>
      </c>
      <c r="C44" s="10" t="s">
        <v>128</v>
      </c>
      <c r="D44" s="11" t="s">
        <v>129</v>
      </c>
      <c r="E44" s="27" t="s">
        <v>115</v>
      </c>
    </row>
    <row r="45" customFormat="false" ht="45.75" hidden="false" customHeight="true" outlineLevel="0" collapsed="false">
      <c r="A45" s="25" t="s">
        <v>100</v>
      </c>
      <c r="B45" s="26" t="n">
        <v>0.48</v>
      </c>
      <c r="C45" s="10" t="s">
        <v>130</v>
      </c>
      <c r="D45" s="11" t="s">
        <v>131</v>
      </c>
      <c r="E45" s="27" t="s">
        <v>115</v>
      </c>
    </row>
    <row r="47" customFormat="false" ht="19.5" hidden="false" customHeight="true" outlineLevel="0" collapsed="false">
      <c r="A47" s="20" t="s">
        <v>132</v>
      </c>
      <c r="B47" s="20"/>
      <c r="C47" s="20"/>
      <c r="D47" s="20"/>
      <c r="E47" s="20"/>
    </row>
    <row r="48" customFormat="false" ht="15" hidden="false" customHeight="true" outlineLevel="0" collapsed="false">
      <c r="A48" s="28" t="s">
        <v>133</v>
      </c>
      <c r="B48" s="28"/>
      <c r="C48" s="28"/>
      <c r="D48" s="28"/>
      <c r="E48" s="28"/>
    </row>
    <row r="49" customFormat="false" ht="15" hidden="false" customHeight="false" outlineLevel="0" collapsed="false">
      <c r="A49" s="8" t="s">
        <v>81</v>
      </c>
      <c r="B49" s="8" t="s">
        <v>82</v>
      </c>
      <c r="C49" s="8" t="s">
        <v>83</v>
      </c>
      <c r="D49" s="8" t="s">
        <v>84</v>
      </c>
      <c r="E49" s="8" t="s">
        <v>85</v>
      </c>
    </row>
    <row r="50" customFormat="false" ht="45.75" hidden="false" customHeight="true" outlineLevel="0" collapsed="false">
      <c r="A50" s="25" t="s">
        <v>91</v>
      </c>
      <c r="B50" s="26" t="n">
        <v>0.05</v>
      </c>
      <c r="C50" s="10" t="s">
        <v>134</v>
      </c>
      <c r="D50" s="11" t="s">
        <v>135</v>
      </c>
      <c r="E50" s="27" t="s">
        <v>88</v>
      </c>
    </row>
    <row r="51" customFormat="false" ht="45.75" hidden="false" customHeight="true" outlineLevel="0" collapsed="false">
      <c r="A51" s="25" t="s">
        <v>59</v>
      </c>
      <c r="B51" s="26" t="n">
        <v>0.05</v>
      </c>
      <c r="C51" s="10" t="s">
        <v>136</v>
      </c>
      <c r="D51" s="11" t="s">
        <v>137</v>
      </c>
      <c r="E51" s="27" t="s">
        <v>88</v>
      </c>
    </row>
    <row r="52" customFormat="false" ht="45.75" hidden="false" customHeight="true" outlineLevel="0" collapsed="false">
      <c r="A52" s="25" t="s">
        <v>94</v>
      </c>
      <c r="B52" s="26" t="n">
        <v>0.04</v>
      </c>
      <c r="C52" s="10" t="s">
        <v>138</v>
      </c>
      <c r="D52" s="11" t="s">
        <v>139</v>
      </c>
      <c r="E52" s="27" t="s">
        <v>88</v>
      </c>
    </row>
    <row r="53" customFormat="false" ht="45.75" hidden="false" customHeight="true" outlineLevel="0" collapsed="false">
      <c r="A53" s="25" t="s">
        <v>75</v>
      </c>
      <c r="B53" s="26" t="n">
        <v>0.04</v>
      </c>
      <c r="C53" s="10" t="s">
        <v>140</v>
      </c>
      <c r="D53" s="11" t="s">
        <v>141</v>
      </c>
      <c r="E53" s="27" t="s">
        <v>142</v>
      </c>
    </row>
    <row r="54" customFormat="false" ht="45.75" hidden="false" customHeight="true" outlineLevel="0" collapsed="false">
      <c r="A54" s="25" t="s">
        <v>64</v>
      </c>
      <c r="B54" s="26" t="n">
        <v>0.03</v>
      </c>
      <c r="C54" s="10" t="s">
        <v>143</v>
      </c>
      <c r="D54" s="11" t="s">
        <v>144</v>
      </c>
      <c r="E54" s="27" t="s">
        <v>88</v>
      </c>
    </row>
    <row r="55" customFormat="false" ht="45.75" hidden="false" customHeight="true" outlineLevel="0" collapsed="false">
      <c r="A55" s="25" t="s">
        <v>100</v>
      </c>
      <c r="B55" s="26" t="n">
        <v>0.02</v>
      </c>
      <c r="C55" s="10" t="s">
        <v>145</v>
      </c>
      <c r="D55" s="11" t="s">
        <v>146</v>
      </c>
      <c r="E55" s="27" t="s">
        <v>88</v>
      </c>
    </row>
    <row r="58" customFormat="false" ht="30" hidden="false" customHeight="true" outlineLevel="0" collapsed="false">
      <c r="A58" s="30" t="s">
        <v>147</v>
      </c>
      <c r="B58" s="30"/>
      <c r="C58" s="30"/>
      <c r="D58" s="30"/>
      <c r="E58" s="30"/>
    </row>
  </sheetData>
  <mergeCells count="21">
    <mergeCell ref="A4:E4"/>
    <mergeCell ref="A5:E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E15"/>
    <mergeCell ref="A17:E17"/>
    <mergeCell ref="A18:E18"/>
    <mergeCell ref="A27:E27"/>
    <mergeCell ref="A28:E28"/>
    <mergeCell ref="A37:E37"/>
    <mergeCell ref="A38:E38"/>
    <mergeCell ref="A47:E47"/>
    <mergeCell ref="A48:E48"/>
    <mergeCell ref="A58:E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4" min="13" style="0" width="14"/>
    <col collapsed="false" customWidth="true" hidden="false" outlineLevel="0" max="16" min="15" style="0" width="12"/>
    <col collapsed="false" customWidth="true" hidden="false" outlineLevel="0" max="17" min="17" style="0" width="10"/>
  </cols>
  <sheetData>
    <row r="1" customFormat="false" ht="16.15" hidden="false" customHeight="false" outlineLevel="0" collapsed="false">
      <c r="A1" s="18" t="s">
        <v>148</v>
      </c>
    </row>
    <row r="2" customFormat="false" ht="15" hidden="false" customHeight="false" outlineLevel="0" collapsed="false">
      <c r="A2" s="19" t="s">
        <v>149</v>
      </c>
    </row>
    <row r="4" customFormat="false" ht="39.75" hidden="false" customHeight="true" outlineLevel="0" collapsed="false">
      <c r="A4" s="8" t="s">
        <v>150</v>
      </c>
      <c r="B4" s="8" t="s">
        <v>81</v>
      </c>
      <c r="C4" s="8" t="s">
        <v>151</v>
      </c>
      <c r="D4" s="8" t="s">
        <v>152</v>
      </c>
      <c r="E4" s="8" t="s">
        <v>153</v>
      </c>
      <c r="F4" s="8" t="s">
        <v>154</v>
      </c>
      <c r="G4" s="8" t="s">
        <v>155</v>
      </c>
      <c r="H4" s="8" t="s">
        <v>156</v>
      </c>
      <c r="I4" s="8" t="s">
        <v>157</v>
      </c>
      <c r="J4" s="8" t="s">
        <v>27</v>
      </c>
      <c r="K4" s="8" t="s">
        <v>158</v>
      </c>
      <c r="L4" s="8" t="s">
        <v>159</v>
      </c>
      <c r="M4" s="8" t="s">
        <v>160</v>
      </c>
      <c r="N4" s="8" t="s">
        <v>161</v>
      </c>
      <c r="O4" s="8" t="s">
        <v>162</v>
      </c>
      <c r="P4" s="8" t="s">
        <v>163</v>
      </c>
      <c r="Q4" s="8" t="s">
        <v>164</v>
      </c>
    </row>
    <row r="5" customFormat="false" ht="23.85" hidden="false" customHeight="false" outlineLevel="0" collapsed="false">
      <c r="A5" s="31" t="s">
        <v>165</v>
      </c>
      <c r="B5" s="31" t="s">
        <v>56</v>
      </c>
      <c r="C5" s="32" t="n">
        <v>181044</v>
      </c>
      <c r="D5" s="33" t="n">
        <v>0.742</v>
      </c>
      <c r="E5" s="33" t="n">
        <v>0.597</v>
      </c>
      <c r="F5" s="34" t="n">
        <f aca="false">D5*E5</f>
        <v>0.442974</v>
      </c>
      <c r="G5" s="35" t="n">
        <v>0.09</v>
      </c>
      <c r="H5" s="34" t="n">
        <f aca="false">MAX(F5-G5,0)</f>
        <v>0.352974</v>
      </c>
      <c r="I5" s="35" t="n">
        <v>0.88</v>
      </c>
      <c r="J5" s="35" t="n">
        <v>0.75</v>
      </c>
      <c r="K5" s="36" t="n">
        <f aca="false">H5*I5*J5</f>
        <v>0.23296284</v>
      </c>
      <c r="L5" s="35" t="n">
        <v>0.05</v>
      </c>
      <c r="M5" s="37" t="n">
        <f aca="false">C5*(1-L5)</f>
        <v>171991.8</v>
      </c>
      <c r="N5" s="37" t="n">
        <f aca="false">M5*K5</f>
        <v>40067.698184712</v>
      </c>
      <c r="O5" s="37" t="n">
        <f aca="false">C5*L5</f>
        <v>9052.2</v>
      </c>
      <c r="P5" s="38" t="n">
        <f aca="false">N5+O5</f>
        <v>49119.898184712</v>
      </c>
      <c r="Q5" s="36" t="n">
        <f aca="false">P5/C5</f>
        <v>0.271314698</v>
      </c>
    </row>
    <row r="6" customFormat="false" ht="15" hidden="false" customHeight="false" outlineLevel="0" collapsed="false">
      <c r="A6" s="31" t="s">
        <v>165</v>
      </c>
      <c r="B6" s="31" t="s">
        <v>61</v>
      </c>
      <c r="C6" s="32" t="n">
        <v>134527</v>
      </c>
      <c r="D6" s="33" t="n">
        <v>0.751</v>
      </c>
      <c r="E6" s="33" t="n">
        <v>0.606</v>
      </c>
      <c r="F6" s="34" t="n">
        <f aca="false">D6*E6</f>
        <v>0.455106</v>
      </c>
      <c r="G6" s="35" t="n">
        <v>0.18</v>
      </c>
      <c r="H6" s="34" t="n">
        <f aca="false">MAX(F6-G6,0)</f>
        <v>0.275106</v>
      </c>
      <c r="I6" s="35" t="n">
        <v>0.85</v>
      </c>
      <c r="J6" s="35" t="n">
        <v>0.72</v>
      </c>
      <c r="K6" s="36" t="n">
        <f aca="false">H6*I6*J6</f>
        <v>0.168364872</v>
      </c>
      <c r="L6" s="35" t="n">
        <v>0.03</v>
      </c>
      <c r="M6" s="37" t="n">
        <f aca="false">C6*(1-L6)</f>
        <v>130491.19</v>
      </c>
      <c r="N6" s="37" t="n">
        <f aca="false">M6*K6</f>
        <v>21970.1325014777</v>
      </c>
      <c r="O6" s="37" t="n">
        <f aca="false">C6*L6</f>
        <v>4035.81</v>
      </c>
      <c r="P6" s="38" t="n">
        <f aca="false">N6+O6</f>
        <v>26005.9425014777</v>
      </c>
      <c r="Q6" s="36" t="n">
        <f aca="false">P6/C6</f>
        <v>0.19331392584</v>
      </c>
    </row>
    <row r="7" customFormat="false" ht="15" hidden="false" customHeight="false" outlineLevel="0" collapsed="false">
      <c r="A7" s="31" t="s">
        <v>165</v>
      </c>
      <c r="B7" s="31" t="s">
        <v>100</v>
      </c>
      <c r="C7" s="32" t="n">
        <v>72691</v>
      </c>
      <c r="D7" s="33" t="n">
        <v>0.617</v>
      </c>
      <c r="E7" s="33" t="n">
        <v>0.371</v>
      </c>
      <c r="F7" s="34" t="n">
        <f aca="false">D7*E7</f>
        <v>0.228907</v>
      </c>
      <c r="G7" s="35" t="n">
        <v>0.07</v>
      </c>
      <c r="H7" s="34" t="n">
        <f aca="false">MAX(F7-G7,0)</f>
        <v>0.158907</v>
      </c>
      <c r="I7" s="35" t="n">
        <v>0.48</v>
      </c>
      <c r="J7" s="35" t="n">
        <v>0.42</v>
      </c>
      <c r="K7" s="36" t="n">
        <f aca="false">H7*I7*J7</f>
        <v>0.0320356512</v>
      </c>
      <c r="L7" s="35" t="n">
        <v>0.02</v>
      </c>
      <c r="M7" s="37" t="n">
        <f aca="false">C7*(1-L7)</f>
        <v>71237.18</v>
      </c>
      <c r="N7" s="37" t="n">
        <f aca="false">M7*K7</f>
        <v>2282.12945095162</v>
      </c>
      <c r="O7" s="37" t="n">
        <f aca="false">C7*L7</f>
        <v>1453.82</v>
      </c>
      <c r="P7" s="38" t="n">
        <f aca="false">N7+O7</f>
        <v>3735.94945095162</v>
      </c>
      <c r="Q7" s="36" t="n">
        <f aca="false">P7/C7</f>
        <v>0.051394938176</v>
      </c>
    </row>
    <row r="8" customFormat="false" ht="23.85" hidden="false" customHeight="false" outlineLevel="0" collapsed="false">
      <c r="A8" s="31" t="s">
        <v>166</v>
      </c>
      <c r="B8" s="31" t="s">
        <v>167</v>
      </c>
      <c r="C8" s="32" t="n">
        <v>63624</v>
      </c>
      <c r="D8" s="33" t="n">
        <v>0.79</v>
      </c>
      <c r="E8" s="33" t="n">
        <v>0.608</v>
      </c>
      <c r="F8" s="34" t="n">
        <f aca="false">D8*E8</f>
        <v>0.48032</v>
      </c>
      <c r="G8" s="35" t="n">
        <v>0.1</v>
      </c>
      <c r="H8" s="34" t="n">
        <f aca="false">MAX(F8-G8,0)</f>
        <v>0.38032</v>
      </c>
      <c r="I8" s="35" t="n">
        <v>0.78</v>
      </c>
      <c r="J8" s="35" t="n">
        <v>0.68</v>
      </c>
      <c r="K8" s="36" t="n">
        <f aca="false">H8*I8*J8</f>
        <v>0.201721728</v>
      </c>
      <c r="L8" s="35" t="n">
        <v>0.05</v>
      </c>
      <c r="M8" s="37" t="n">
        <f aca="false">C8*(1-L8)</f>
        <v>60442.8</v>
      </c>
      <c r="N8" s="37" t="n">
        <f aca="false">M8*K8</f>
        <v>12192.6260611584</v>
      </c>
      <c r="O8" s="37" t="n">
        <f aca="false">C8*L8</f>
        <v>3181.2</v>
      </c>
      <c r="P8" s="38" t="n">
        <f aca="false">N8+O8</f>
        <v>15373.8260611584</v>
      </c>
      <c r="Q8" s="36" t="n">
        <f aca="false">P8/C8</f>
        <v>0.2416356416</v>
      </c>
    </row>
    <row r="9" customFormat="false" ht="15" hidden="false" customHeight="false" outlineLevel="0" collapsed="false">
      <c r="A9" s="31" t="s">
        <v>166</v>
      </c>
      <c r="B9" s="31" t="s">
        <v>100</v>
      </c>
      <c r="C9" s="32" t="n">
        <v>41419</v>
      </c>
      <c r="D9" s="33" t="n">
        <v>0.614</v>
      </c>
      <c r="E9" s="33" t="n">
        <v>0.565</v>
      </c>
      <c r="F9" s="34" t="n">
        <f aca="false">D9*E9</f>
        <v>0.34691</v>
      </c>
      <c r="G9" s="35" t="n">
        <v>0.07</v>
      </c>
      <c r="H9" s="34" t="n">
        <f aca="false">MAX(F9-G9,0)</f>
        <v>0.27691</v>
      </c>
      <c r="I9" s="35" t="n">
        <v>0.48</v>
      </c>
      <c r="J9" s="35" t="n">
        <v>0.42</v>
      </c>
      <c r="K9" s="36" t="n">
        <f aca="false">H9*I9*J9</f>
        <v>0.055825056</v>
      </c>
      <c r="L9" s="35" t="n">
        <v>0.02</v>
      </c>
      <c r="M9" s="37" t="n">
        <f aca="false">C9*(1-L9)</f>
        <v>40590.62</v>
      </c>
      <c r="N9" s="37" t="n">
        <f aca="false">M9*K9</f>
        <v>2265.97363457472</v>
      </c>
      <c r="O9" s="37" t="n">
        <f aca="false">C9*L9</f>
        <v>828.38</v>
      </c>
      <c r="P9" s="38" t="n">
        <f aca="false">N9+O9</f>
        <v>3094.35363457472</v>
      </c>
      <c r="Q9" s="36" t="n">
        <f aca="false">P9/C9</f>
        <v>0.07470855488</v>
      </c>
    </row>
    <row r="10" customFormat="false" ht="23.85" hidden="false" customHeight="false" outlineLevel="0" collapsed="false">
      <c r="A10" s="31" t="s">
        <v>166</v>
      </c>
      <c r="B10" s="31" t="s">
        <v>168</v>
      </c>
      <c r="C10" s="32" t="n">
        <v>229952</v>
      </c>
      <c r="D10" s="33" t="n">
        <v>0.824</v>
      </c>
      <c r="E10" s="33" t="n">
        <v>0.537</v>
      </c>
      <c r="F10" s="34" t="n">
        <f aca="false">D10*E10</f>
        <v>0.442488</v>
      </c>
      <c r="G10" s="35" t="n">
        <v>0.14</v>
      </c>
      <c r="H10" s="34" t="n">
        <f aca="false">MAX(F10-G10,0)</f>
        <v>0.302488</v>
      </c>
      <c r="I10" s="35" t="n">
        <v>0.58</v>
      </c>
      <c r="J10" s="35" t="n">
        <v>0.6</v>
      </c>
      <c r="K10" s="36" t="n">
        <f aca="false">H10*I10*J10</f>
        <v>0.105265824</v>
      </c>
      <c r="L10" s="35" t="n">
        <v>0.04</v>
      </c>
      <c r="M10" s="37" t="n">
        <f aca="false">C10*(1-L10)</f>
        <v>220753.92</v>
      </c>
      <c r="N10" s="37" t="n">
        <f aca="false">M10*K10</f>
        <v>23237.8432900301</v>
      </c>
      <c r="O10" s="37" t="n">
        <f aca="false">C10*L10</f>
        <v>9198.08</v>
      </c>
      <c r="P10" s="38" t="n">
        <f aca="false">N10+O10</f>
        <v>32435.9232900301</v>
      </c>
      <c r="Q10" s="36" t="n">
        <f aca="false">P10/C10</f>
        <v>0.14105519104</v>
      </c>
    </row>
    <row r="11" customFormat="false" ht="23.85" hidden="false" customHeight="false" outlineLevel="0" collapsed="false">
      <c r="A11" s="31" t="s">
        <v>169</v>
      </c>
      <c r="B11" s="31" t="s">
        <v>167</v>
      </c>
      <c r="C11" s="32" t="n">
        <v>199215</v>
      </c>
      <c r="D11" s="33" t="n">
        <v>0.829</v>
      </c>
      <c r="E11" s="33" t="n">
        <v>0.643</v>
      </c>
      <c r="F11" s="34" t="n">
        <f aca="false">D11*E11</f>
        <v>0.533047</v>
      </c>
      <c r="G11" s="35" t="n">
        <v>0.1</v>
      </c>
      <c r="H11" s="34" t="n">
        <f aca="false">MAX(F11-G11,0)</f>
        <v>0.433047</v>
      </c>
      <c r="I11" s="35" t="n">
        <v>0.78</v>
      </c>
      <c r="J11" s="35" t="n">
        <v>0.68</v>
      </c>
      <c r="K11" s="36" t="n">
        <f aca="false">H11*I11*J11</f>
        <v>0.2296881288</v>
      </c>
      <c r="L11" s="35" t="n">
        <v>0.05</v>
      </c>
      <c r="M11" s="37" t="n">
        <f aca="false">C11*(1-L11)</f>
        <v>189254.25</v>
      </c>
      <c r="N11" s="37" t="n">
        <f aca="false">M11*K11</f>
        <v>43469.4545499474</v>
      </c>
      <c r="O11" s="37" t="n">
        <f aca="false">C11*L11</f>
        <v>9960.75</v>
      </c>
      <c r="P11" s="38" t="n">
        <f aca="false">N11+O11</f>
        <v>53430.2045499474</v>
      </c>
      <c r="Q11" s="36" t="n">
        <f aca="false">P11/C11</f>
        <v>0.26820372236</v>
      </c>
    </row>
    <row r="12" customFormat="false" ht="15" hidden="false" customHeight="false" outlineLevel="0" collapsed="false">
      <c r="A12" s="31" t="s">
        <v>169</v>
      </c>
      <c r="B12" s="31" t="s">
        <v>100</v>
      </c>
      <c r="C12" s="32" t="n">
        <v>13776</v>
      </c>
      <c r="D12" s="33" t="n">
        <v>0.624</v>
      </c>
      <c r="E12" s="33" t="n">
        <v>0.371</v>
      </c>
      <c r="F12" s="34" t="n">
        <f aca="false">D12*E12</f>
        <v>0.231504</v>
      </c>
      <c r="G12" s="35" t="n">
        <v>0.07</v>
      </c>
      <c r="H12" s="34" t="n">
        <f aca="false">MAX(F12-G12,0)</f>
        <v>0.161504</v>
      </c>
      <c r="I12" s="35" t="n">
        <v>0.48</v>
      </c>
      <c r="J12" s="35" t="n">
        <v>0.42</v>
      </c>
      <c r="K12" s="36" t="n">
        <f aca="false">H12*I12*J12</f>
        <v>0.0325592064</v>
      </c>
      <c r="L12" s="35" t="n">
        <v>0.02</v>
      </c>
      <c r="M12" s="37" t="n">
        <f aca="false">C12*(1-L12)</f>
        <v>13500.48</v>
      </c>
      <c r="N12" s="37" t="n">
        <f aca="false">M12*K12</f>
        <v>439.564914819072</v>
      </c>
      <c r="O12" s="37" t="n">
        <f aca="false">C12*L12</f>
        <v>275.52</v>
      </c>
      <c r="P12" s="38" t="n">
        <f aca="false">N12+O12</f>
        <v>715.084914819072</v>
      </c>
      <c r="Q12" s="36" t="n">
        <f aca="false">P12/C12</f>
        <v>0.051908022272</v>
      </c>
    </row>
    <row r="13" customFormat="false" ht="15" hidden="false" customHeight="false" outlineLevel="0" collapsed="false">
      <c r="A13" s="31" t="s">
        <v>170</v>
      </c>
      <c r="B13" s="31" t="s">
        <v>59</v>
      </c>
      <c r="C13" s="32" t="n">
        <v>15408</v>
      </c>
      <c r="D13" s="33" t="n">
        <v>0.806</v>
      </c>
      <c r="E13" s="33" t="n">
        <v>0.626</v>
      </c>
      <c r="F13" s="34" t="n">
        <f aca="false">D13*E13</f>
        <v>0.504556</v>
      </c>
      <c r="G13" s="35" t="n">
        <v>0.09</v>
      </c>
      <c r="H13" s="34" t="n">
        <f aca="false">MAX(F13-G13,0)</f>
        <v>0.414556</v>
      </c>
      <c r="I13" s="35" t="n">
        <v>0.88</v>
      </c>
      <c r="J13" s="35" t="n">
        <v>0.75</v>
      </c>
      <c r="K13" s="36" t="n">
        <f aca="false">H13*I13*J13</f>
        <v>0.27360696</v>
      </c>
      <c r="L13" s="35" t="n">
        <v>0.05</v>
      </c>
      <c r="M13" s="37" t="n">
        <f aca="false">C13*(1-L13)</f>
        <v>14637.6</v>
      </c>
      <c r="N13" s="37" t="n">
        <f aca="false">M13*K13</f>
        <v>4004.949237696</v>
      </c>
      <c r="O13" s="37" t="n">
        <f aca="false">C13*L13</f>
        <v>770.4</v>
      </c>
      <c r="P13" s="38" t="n">
        <f aca="false">N13+O13</f>
        <v>4775.349237696</v>
      </c>
      <c r="Q13" s="36" t="n">
        <f aca="false">P13/C13</f>
        <v>0.309926612</v>
      </c>
    </row>
    <row r="14" customFormat="false" ht="15" hidden="false" customHeight="false" outlineLevel="0" collapsed="false">
      <c r="A14" s="31" t="s">
        <v>170</v>
      </c>
      <c r="B14" s="31" t="s">
        <v>64</v>
      </c>
      <c r="C14" s="32" t="n">
        <v>94317</v>
      </c>
      <c r="D14" s="33" t="n">
        <v>0.751</v>
      </c>
      <c r="E14" s="33" t="n">
        <v>0.606</v>
      </c>
      <c r="F14" s="34" t="n">
        <f aca="false">D14*E14</f>
        <v>0.455106</v>
      </c>
      <c r="G14" s="35" t="n">
        <v>0.18</v>
      </c>
      <c r="H14" s="34" t="n">
        <f aca="false">MAX(F14-G14,0)</f>
        <v>0.275106</v>
      </c>
      <c r="I14" s="35" t="n">
        <v>0.85</v>
      </c>
      <c r="J14" s="35" t="n">
        <v>0.72</v>
      </c>
      <c r="K14" s="36" t="n">
        <f aca="false">H14*I14*J14</f>
        <v>0.168364872</v>
      </c>
      <c r="L14" s="35" t="n">
        <v>0.03</v>
      </c>
      <c r="M14" s="37" t="n">
        <f aca="false">C14*(1-L14)</f>
        <v>91487.49</v>
      </c>
      <c r="N14" s="37" t="n">
        <f aca="false">M14*K14</f>
        <v>15403.2795434513</v>
      </c>
      <c r="O14" s="37" t="n">
        <f aca="false">C14*L14</f>
        <v>2829.51</v>
      </c>
      <c r="P14" s="38" t="n">
        <f aca="false">N14+O14</f>
        <v>18232.7895434513</v>
      </c>
      <c r="Q14" s="36" t="n">
        <f aca="false">P14/C14</f>
        <v>0.19331392584</v>
      </c>
    </row>
    <row r="15" customFormat="false" ht="23.85" hidden="false" customHeight="false" outlineLevel="0" collapsed="false">
      <c r="A15" s="31" t="s">
        <v>170</v>
      </c>
      <c r="B15" s="31" t="s">
        <v>168</v>
      </c>
      <c r="C15" s="32" t="n">
        <v>36242</v>
      </c>
      <c r="D15" s="33" t="n">
        <v>0.824</v>
      </c>
      <c r="E15" s="33" t="n">
        <v>0.537</v>
      </c>
      <c r="F15" s="34" t="n">
        <f aca="false">D15*E15</f>
        <v>0.442488</v>
      </c>
      <c r="G15" s="35" t="n">
        <v>0.14</v>
      </c>
      <c r="H15" s="34" t="n">
        <f aca="false">MAX(F15-G15,0)</f>
        <v>0.302488</v>
      </c>
      <c r="I15" s="35" t="n">
        <v>0.58</v>
      </c>
      <c r="J15" s="35" t="n">
        <v>0.6</v>
      </c>
      <c r="K15" s="36" t="n">
        <f aca="false">H15*I15*J15</f>
        <v>0.105265824</v>
      </c>
      <c r="L15" s="35" t="n">
        <v>0.04</v>
      </c>
      <c r="M15" s="37" t="n">
        <f aca="false">C15*(1-L15)</f>
        <v>34792.32</v>
      </c>
      <c r="N15" s="37" t="n">
        <f aca="false">M15*K15</f>
        <v>3662.44223367168</v>
      </c>
      <c r="O15" s="37" t="n">
        <f aca="false">C15*L15</f>
        <v>1449.68</v>
      </c>
      <c r="P15" s="38" t="n">
        <f aca="false">N15+O15</f>
        <v>5112.12223367168</v>
      </c>
      <c r="Q15" s="36" t="n">
        <f aca="false">P15/C15</f>
        <v>0.14105519104</v>
      </c>
    </row>
    <row r="16" customFormat="false" ht="15" hidden="false" customHeight="false" outlineLevel="0" collapsed="false">
      <c r="A16" s="31" t="s">
        <v>170</v>
      </c>
      <c r="B16" s="31" t="s">
        <v>100</v>
      </c>
      <c r="C16" s="32" t="n">
        <v>141598</v>
      </c>
      <c r="D16" s="33" t="n">
        <v>0.614</v>
      </c>
      <c r="E16" s="33" t="n">
        <v>0.395</v>
      </c>
      <c r="F16" s="34" t="n">
        <f aca="false">D16*E16</f>
        <v>0.24253</v>
      </c>
      <c r="G16" s="35" t="n">
        <v>0.07</v>
      </c>
      <c r="H16" s="34" t="n">
        <f aca="false">MAX(F16-G16,0)</f>
        <v>0.17253</v>
      </c>
      <c r="I16" s="35" t="n">
        <v>0.48</v>
      </c>
      <c r="J16" s="35" t="n">
        <v>0.42</v>
      </c>
      <c r="K16" s="36" t="n">
        <f aca="false">H16*I16*J16</f>
        <v>0.034782048</v>
      </c>
      <c r="L16" s="35" t="n">
        <v>0.02</v>
      </c>
      <c r="M16" s="37" t="n">
        <f aca="false">C16*(1-L16)</f>
        <v>138766.04</v>
      </c>
      <c r="N16" s="37" t="n">
        <f aca="false">M16*K16</f>
        <v>4826.56706404992</v>
      </c>
      <c r="O16" s="37" t="n">
        <f aca="false">C16*L16</f>
        <v>2831.96</v>
      </c>
      <c r="P16" s="38" t="n">
        <f aca="false">N16+O16</f>
        <v>7658.52706404992</v>
      </c>
      <c r="Q16" s="36" t="n">
        <f aca="false">P16/C16</f>
        <v>0.05408640704</v>
      </c>
    </row>
    <row r="17" customFormat="false" ht="15" hidden="false" customHeight="false" outlineLevel="0" collapsed="false">
      <c r="A17" s="31" t="s">
        <v>166</v>
      </c>
      <c r="B17" s="31" t="s">
        <v>75</v>
      </c>
      <c r="C17" s="32" t="n">
        <v>334383</v>
      </c>
      <c r="D17" s="33" t="n">
        <v>0.778</v>
      </c>
      <c r="E17" s="33" t="n">
        <v>0.559</v>
      </c>
      <c r="F17" s="34" t="n">
        <f aca="false">D17*E17</f>
        <v>0.434902</v>
      </c>
      <c r="G17" s="35" t="n">
        <v>0.12</v>
      </c>
      <c r="H17" s="34" t="n">
        <f aca="false">MAX(F17-G17,0)</f>
        <v>0.314902</v>
      </c>
      <c r="I17" s="35" t="n">
        <v>0.68</v>
      </c>
      <c r="J17" s="35" t="n">
        <v>0.58</v>
      </c>
      <c r="K17" s="36" t="n">
        <f aca="false">H17*I17*J17</f>
        <v>0.1241973488</v>
      </c>
      <c r="L17" s="35" t="n">
        <v>0.04</v>
      </c>
      <c r="M17" s="37" t="n">
        <f aca="false">C17*(1-L17)</f>
        <v>321007.68</v>
      </c>
      <c r="N17" s="37" t="n">
        <f aca="false">M17*K17</f>
        <v>39868.3028004388</v>
      </c>
      <c r="O17" s="37" t="n">
        <f aca="false">C17*L17</f>
        <v>13375.32</v>
      </c>
      <c r="P17" s="38" t="n">
        <f aca="false">N17+O17</f>
        <v>53243.6228004388</v>
      </c>
      <c r="Q17" s="36" t="n">
        <f aca="false">P17/C17</f>
        <v>0.159229454848</v>
      </c>
    </row>
    <row r="18" customFormat="false" ht="15" hidden="false" customHeight="false" outlineLevel="0" collapsed="false">
      <c r="A18" s="39" t="s">
        <v>171</v>
      </c>
      <c r="B18" s="39"/>
      <c r="C18" s="40" t="n">
        <f aca="false">SUM(C5:C17)</f>
        <v>1558196</v>
      </c>
      <c r="D18" s="41"/>
      <c r="E18" s="41"/>
      <c r="F18" s="41"/>
      <c r="G18" s="41"/>
      <c r="H18" s="41"/>
      <c r="I18" s="41"/>
      <c r="J18" s="41"/>
      <c r="K18" s="42" t="n">
        <f aca="false">N18/M18</f>
        <v>0.142560114106137</v>
      </c>
      <c r="L18" s="41"/>
      <c r="M18" s="40" t="n">
        <f aca="false">SUM(M5:M17)</f>
        <v>1498953.37</v>
      </c>
      <c r="N18" s="40" t="n">
        <f aca="false">SUM(N5:N17)</f>
        <v>213690.963466979</v>
      </c>
      <c r="O18" s="40" t="n">
        <f aca="false">SUM(O5:O17)</f>
        <v>59242.63</v>
      </c>
      <c r="P18" s="40" t="n">
        <f aca="false">SUM(P5:P17)</f>
        <v>272933.593466979</v>
      </c>
      <c r="Q18" s="42" t="n">
        <f aca="false">P18/C18</f>
        <v>0.175159988516835</v>
      </c>
    </row>
    <row r="20" customFormat="false" ht="42" hidden="false" customHeight="true" outlineLevel="0" collapsed="false">
      <c r="A20" s="17" t="s">
        <v>172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</sheetData>
  <mergeCells count="2">
    <mergeCell ref="A18:B18"/>
    <mergeCell ref="A20:Q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9" min="6" style="0" width="14"/>
  </cols>
  <sheetData>
    <row r="1" customFormat="false" ht="16.15" hidden="false" customHeight="false" outlineLevel="0" collapsed="false">
      <c r="A1" s="18" t="s">
        <v>173</v>
      </c>
    </row>
    <row r="2" customFormat="false" ht="15" hidden="false" customHeight="false" outlineLevel="0" collapsed="false">
      <c r="A2" s="19" t="s">
        <v>174</v>
      </c>
    </row>
    <row r="4" customFormat="false" ht="39.75" hidden="false" customHeight="true" outlineLevel="0" collapsed="false">
      <c r="A4" s="8" t="s">
        <v>81</v>
      </c>
      <c r="B4" s="8" t="s">
        <v>175</v>
      </c>
      <c r="C4" s="8" t="s">
        <v>176</v>
      </c>
      <c r="D4" s="8" t="s">
        <v>177</v>
      </c>
      <c r="E4" s="8" t="s">
        <v>178</v>
      </c>
      <c r="F4" s="8" t="s">
        <v>179</v>
      </c>
      <c r="G4" s="8" t="s">
        <v>180</v>
      </c>
      <c r="H4" s="8" t="s">
        <v>181</v>
      </c>
      <c r="I4" s="8" t="s">
        <v>182</v>
      </c>
    </row>
    <row r="5" customFormat="false" ht="15" hidden="false" customHeight="false" outlineLevel="0" collapsed="false">
      <c r="A5" s="43" t="str">
        <f aca="false">'Compression Engine'!B5</f>
        <v>Application Maintenance &amp; Development</v>
      </c>
      <c r="B5" s="44" t="n">
        <f aca="false">'Compression Engine'!C5</f>
        <v>181044</v>
      </c>
      <c r="C5" s="45" t="n">
        <f aca="false">'Compression Engine'!H5*'Compression Engine'!I5</f>
        <v>0.31061712</v>
      </c>
      <c r="D5" s="34" t="n">
        <f aca="false">MAX('Compression Engine'!J5-0.15,0)</f>
        <v>0.6</v>
      </c>
      <c r="E5" s="45" t="n">
        <f aca="false">'Compression Engine'!J5</f>
        <v>0.75</v>
      </c>
      <c r="F5" s="34" t="n">
        <f aca="false">MIN('Compression Engine'!J5+0.15,0.95)</f>
        <v>0.9</v>
      </c>
      <c r="G5" s="37" t="n">
        <f aca="false">$B5*(1-'Compression Engine'!L5)*$C5*D5</f>
        <v>32054.1585477696</v>
      </c>
      <c r="H5" s="38" t="n">
        <f aca="false">$B5*(1-'Compression Engine'!L5)*$C5*E5</f>
        <v>40067.698184712</v>
      </c>
      <c r="I5" s="37" t="n">
        <f aca="false">$B5*(1-'Compression Engine'!L5)*$C5*F5</f>
        <v>48081.2378216544</v>
      </c>
    </row>
    <row r="6" customFormat="false" ht="15" hidden="false" customHeight="false" outlineLevel="0" collapsed="false">
      <c r="A6" s="43" t="str">
        <f aca="false">'Compression Engine'!B6</f>
        <v>Business Process Services</v>
      </c>
      <c r="B6" s="44" t="n">
        <f aca="false">'Compression Engine'!C6</f>
        <v>134527</v>
      </c>
      <c r="C6" s="45" t="n">
        <f aca="false">'Compression Engine'!H6*'Compression Engine'!I6</f>
        <v>0.2338401</v>
      </c>
      <c r="D6" s="34" t="n">
        <f aca="false">MAX('Compression Engine'!J6-0.15,0)</f>
        <v>0.57</v>
      </c>
      <c r="E6" s="45" t="n">
        <f aca="false">'Compression Engine'!J6</f>
        <v>0.72</v>
      </c>
      <c r="F6" s="34" t="n">
        <f aca="false">MIN('Compression Engine'!J6+0.15,0.95)</f>
        <v>0.87</v>
      </c>
      <c r="G6" s="37" t="n">
        <f aca="false">$B6*(1-'Compression Engine'!L6)*$C6*D6</f>
        <v>17393.0215636698</v>
      </c>
      <c r="H6" s="38" t="n">
        <f aca="false">$B6*(1-'Compression Engine'!L6)*$C6*E6</f>
        <v>21970.1325014777</v>
      </c>
      <c r="I6" s="37" t="n">
        <f aca="false">$B6*(1-'Compression Engine'!L6)*$C6*F6</f>
        <v>26547.2434392855</v>
      </c>
    </row>
    <row r="7" customFormat="false" ht="15" hidden="false" customHeight="false" outlineLevel="0" collapsed="false">
      <c r="A7" s="43" t="str">
        <f aca="false">'Compression Engine'!B7</f>
        <v>Consulting</v>
      </c>
      <c r="B7" s="44" t="n">
        <f aca="false">'Compression Engine'!C7</f>
        <v>72691</v>
      </c>
      <c r="C7" s="45" t="n">
        <f aca="false">'Compression Engine'!H7*'Compression Engine'!I7</f>
        <v>0.07627536</v>
      </c>
      <c r="D7" s="34" t="n">
        <f aca="false">MAX('Compression Engine'!J7-0.15,0)</f>
        <v>0.27</v>
      </c>
      <c r="E7" s="45" t="n">
        <f aca="false">'Compression Engine'!J7</f>
        <v>0.42</v>
      </c>
      <c r="F7" s="34" t="n">
        <f aca="false">MIN('Compression Engine'!J7+0.15,0.95)</f>
        <v>0.57</v>
      </c>
      <c r="G7" s="37" t="n">
        <f aca="false">$B7*(1-'Compression Engine'!L7)*$C7*D7</f>
        <v>1467.0832184689</v>
      </c>
      <c r="H7" s="38" t="n">
        <f aca="false">$B7*(1-'Compression Engine'!L7)*$C7*E7</f>
        <v>2282.12945095162</v>
      </c>
      <c r="I7" s="37" t="n">
        <f aca="false">$B7*(1-'Compression Engine'!L7)*$C7*F7</f>
        <v>3097.17568343434</v>
      </c>
    </row>
    <row r="8" customFormat="false" ht="15" hidden="false" customHeight="false" outlineLevel="0" collapsed="false">
      <c r="A8" s="43" t="str">
        <f aca="false">'Compression Engine'!B8</f>
        <v>Application Implementation &amp; Managed Services</v>
      </c>
      <c r="B8" s="44" t="n">
        <f aca="false">'Compression Engine'!C8</f>
        <v>63624</v>
      </c>
      <c r="C8" s="45" t="n">
        <f aca="false">'Compression Engine'!H8*'Compression Engine'!I8</f>
        <v>0.2966496</v>
      </c>
      <c r="D8" s="34" t="n">
        <f aca="false">MAX('Compression Engine'!J8-0.15,0)</f>
        <v>0.53</v>
      </c>
      <c r="E8" s="45" t="n">
        <f aca="false">'Compression Engine'!J8</f>
        <v>0.68</v>
      </c>
      <c r="F8" s="34" t="n">
        <f aca="false">MIN('Compression Engine'!J8+0.15,0.95)</f>
        <v>0.83</v>
      </c>
      <c r="G8" s="37" t="n">
        <f aca="false">$B8*(1-'Compression Engine'!L8)*$C8*D8</f>
        <v>9503.0761947264</v>
      </c>
      <c r="H8" s="38" t="n">
        <f aca="false">$B8*(1-'Compression Engine'!L8)*$C8*E8</f>
        <v>12192.6260611584</v>
      </c>
      <c r="I8" s="37" t="n">
        <f aca="false">$B8*(1-'Compression Engine'!L8)*$C8*F8</f>
        <v>14882.1759275904</v>
      </c>
    </row>
    <row r="9" customFormat="false" ht="15" hidden="false" customHeight="false" outlineLevel="0" collapsed="false">
      <c r="A9" s="43" t="str">
        <f aca="false">'Compression Engine'!B9</f>
        <v>Consulting</v>
      </c>
      <c r="B9" s="44" t="n">
        <f aca="false">'Compression Engine'!C9</f>
        <v>41419</v>
      </c>
      <c r="C9" s="45" t="n">
        <f aca="false">'Compression Engine'!H9*'Compression Engine'!I9</f>
        <v>0.1329168</v>
      </c>
      <c r="D9" s="34" t="n">
        <f aca="false">MAX('Compression Engine'!J9-0.15,0)</f>
        <v>0.27</v>
      </c>
      <c r="E9" s="45" t="n">
        <f aca="false">'Compression Engine'!J9</f>
        <v>0.42</v>
      </c>
      <c r="F9" s="34" t="n">
        <f aca="false">MIN('Compression Engine'!J9+0.15,0.95)</f>
        <v>0.57</v>
      </c>
      <c r="G9" s="37" t="n">
        <f aca="false">$B9*(1-'Compression Engine'!L9)*$C9*D9</f>
        <v>1456.69733651232</v>
      </c>
      <c r="H9" s="38" t="n">
        <f aca="false">$B9*(1-'Compression Engine'!L9)*$C9*E9</f>
        <v>2265.97363457472</v>
      </c>
      <c r="I9" s="37" t="n">
        <f aca="false">$B9*(1-'Compression Engine'!L9)*$C9*F9</f>
        <v>3075.24993263712</v>
      </c>
    </row>
    <row r="10" customFormat="false" ht="15" hidden="false" customHeight="false" outlineLevel="0" collapsed="false">
      <c r="A10" s="43" t="str">
        <f aca="false">'Compression Engine'!B10</f>
        <v>Infrastructure Implementation &amp; Managed Services</v>
      </c>
      <c r="B10" s="44" t="n">
        <f aca="false">'Compression Engine'!C10</f>
        <v>229952</v>
      </c>
      <c r="C10" s="45" t="n">
        <f aca="false">'Compression Engine'!H10*'Compression Engine'!I10</f>
        <v>0.17544304</v>
      </c>
      <c r="D10" s="34" t="n">
        <f aca="false">MAX('Compression Engine'!J10-0.15,0)</f>
        <v>0.45</v>
      </c>
      <c r="E10" s="45" t="n">
        <f aca="false">'Compression Engine'!J10</f>
        <v>0.6</v>
      </c>
      <c r="F10" s="34" t="n">
        <f aca="false">MIN('Compression Engine'!J10+0.15,0.95)</f>
        <v>0.75</v>
      </c>
      <c r="G10" s="37" t="n">
        <f aca="false">$B10*(1-'Compression Engine'!L10)*$C10*D10</f>
        <v>17428.3824675226</v>
      </c>
      <c r="H10" s="38" t="n">
        <f aca="false">$B10*(1-'Compression Engine'!L10)*$C10*E10</f>
        <v>23237.8432900301</v>
      </c>
      <c r="I10" s="37" t="n">
        <f aca="false">$B10*(1-'Compression Engine'!L10)*$C10*F10</f>
        <v>29047.3041125376</v>
      </c>
    </row>
    <row r="11" customFormat="false" ht="15" hidden="false" customHeight="false" outlineLevel="0" collapsed="false">
      <c r="A11" s="43" t="str">
        <f aca="false">'Compression Engine'!B11</f>
        <v>Application Implementation &amp; Managed Services</v>
      </c>
      <c r="B11" s="44" t="n">
        <f aca="false">'Compression Engine'!C11</f>
        <v>199215</v>
      </c>
      <c r="C11" s="45" t="n">
        <f aca="false">'Compression Engine'!H11*'Compression Engine'!I11</f>
        <v>0.33777666</v>
      </c>
      <c r="D11" s="34" t="n">
        <f aca="false">MAX('Compression Engine'!J11-0.15,0)</f>
        <v>0.53</v>
      </c>
      <c r="E11" s="45" t="n">
        <f aca="false">'Compression Engine'!J11</f>
        <v>0.68</v>
      </c>
      <c r="F11" s="34" t="n">
        <f aca="false">MIN('Compression Engine'!J11+0.15,0.95)</f>
        <v>0.83</v>
      </c>
      <c r="G11" s="37" t="n">
        <f aca="false">$B11*(1-'Compression Engine'!L11)*$C11*D11</f>
        <v>33880.6042815767</v>
      </c>
      <c r="H11" s="38" t="n">
        <f aca="false">$B11*(1-'Compression Engine'!L11)*$C11*E11</f>
        <v>43469.4545499474</v>
      </c>
      <c r="I11" s="37" t="n">
        <f aca="false">$B11*(1-'Compression Engine'!L11)*$C11*F11</f>
        <v>53058.3048183182</v>
      </c>
    </row>
    <row r="12" customFormat="false" ht="15" hidden="false" customHeight="false" outlineLevel="0" collapsed="false">
      <c r="A12" s="43" t="str">
        <f aca="false">'Compression Engine'!B12</f>
        <v>Consulting</v>
      </c>
      <c r="B12" s="44" t="n">
        <f aca="false">'Compression Engine'!C12</f>
        <v>13776</v>
      </c>
      <c r="C12" s="45" t="n">
        <f aca="false">'Compression Engine'!H12*'Compression Engine'!I12</f>
        <v>0.07752192</v>
      </c>
      <c r="D12" s="34" t="n">
        <f aca="false">MAX('Compression Engine'!J12-0.15,0)</f>
        <v>0.27</v>
      </c>
      <c r="E12" s="45" t="n">
        <f aca="false">'Compression Engine'!J12</f>
        <v>0.42</v>
      </c>
      <c r="F12" s="34" t="n">
        <f aca="false">MIN('Compression Engine'!J12+0.15,0.95)</f>
        <v>0.57</v>
      </c>
      <c r="G12" s="37" t="n">
        <f aca="false">$B12*(1-'Compression Engine'!L12)*$C12*D12</f>
        <v>282.577445240832</v>
      </c>
      <c r="H12" s="38" t="n">
        <f aca="false">$B12*(1-'Compression Engine'!L12)*$C12*E12</f>
        <v>439.564914819072</v>
      </c>
      <c r="I12" s="37" t="n">
        <f aca="false">$B12*(1-'Compression Engine'!L12)*$C12*F12</f>
        <v>596.552384397312</v>
      </c>
    </row>
    <row r="13" customFormat="false" ht="15" hidden="false" customHeight="false" outlineLevel="0" collapsed="false">
      <c r="A13" s="43" t="str">
        <f aca="false">'Compression Engine'!B13</f>
        <v>ADMS</v>
      </c>
      <c r="B13" s="44" t="n">
        <f aca="false">'Compression Engine'!C13</f>
        <v>15408</v>
      </c>
      <c r="C13" s="45" t="n">
        <f aca="false">'Compression Engine'!H13*'Compression Engine'!I13</f>
        <v>0.36480928</v>
      </c>
      <c r="D13" s="34" t="n">
        <f aca="false">MAX('Compression Engine'!J13-0.15,0)</f>
        <v>0.6</v>
      </c>
      <c r="E13" s="45" t="n">
        <f aca="false">'Compression Engine'!J13</f>
        <v>0.75</v>
      </c>
      <c r="F13" s="34" t="n">
        <f aca="false">MIN('Compression Engine'!J13+0.15,0.95)</f>
        <v>0.9</v>
      </c>
      <c r="G13" s="37" t="n">
        <f aca="false">$B13*(1-'Compression Engine'!L13)*$C13*D13</f>
        <v>3203.9593901568</v>
      </c>
      <c r="H13" s="38" t="n">
        <f aca="false">$B13*(1-'Compression Engine'!L13)*$C13*E13</f>
        <v>4004.949237696</v>
      </c>
      <c r="I13" s="37" t="n">
        <f aca="false">$B13*(1-'Compression Engine'!L13)*$C13*F13</f>
        <v>4805.9390852352</v>
      </c>
    </row>
    <row r="14" customFormat="false" ht="15" hidden="false" customHeight="false" outlineLevel="0" collapsed="false">
      <c r="A14" s="43" t="str">
        <f aca="false">'Compression Engine'!B14</f>
        <v>BPM</v>
      </c>
      <c r="B14" s="44" t="n">
        <f aca="false">'Compression Engine'!C14</f>
        <v>94317</v>
      </c>
      <c r="C14" s="45" t="n">
        <f aca="false">'Compression Engine'!H14*'Compression Engine'!I14</f>
        <v>0.2338401</v>
      </c>
      <c r="D14" s="34" t="n">
        <f aca="false">MAX('Compression Engine'!J14-0.15,0)</f>
        <v>0.57</v>
      </c>
      <c r="E14" s="45" t="n">
        <f aca="false">'Compression Engine'!J14</f>
        <v>0.72</v>
      </c>
      <c r="F14" s="34" t="n">
        <f aca="false">MIN('Compression Engine'!J14+0.15,0.95)</f>
        <v>0.87</v>
      </c>
      <c r="G14" s="37" t="n">
        <f aca="false">$B14*(1-'Compression Engine'!L14)*$C14*D14</f>
        <v>12194.2629718989</v>
      </c>
      <c r="H14" s="38" t="n">
        <f aca="false">$B14*(1-'Compression Engine'!L14)*$C14*E14</f>
        <v>15403.2795434513</v>
      </c>
      <c r="I14" s="37" t="n">
        <f aca="false">$B14*(1-'Compression Engine'!L14)*$C14*F14</f>
        <v>18612.2961150036</v>
      </c>
    </row>
    <row r="15" customFormat="false" ht="15" hidden="false" customHeight="false" outlineLevel="0" collapsed="false">
      <c r="A15" s="43" t="str">
        <f aca="false">'Compression Engine'!B15</f>
        <v>Infrastructure Implementation &amp; Managed Services</v>
      </c>
      <c r="B15" s="44" t="n">
        <f aca="false">'Compression Engine'!C15</f>
        <v>36242</v>
      </c>
      <c r="C15" s="45" t="n">
        <f aca="false">'Compression Engine'!H15*'Compression Engine'!I15</f>
        <v>0.17544304</v>
      </c>
      <c r="D15" s="34" t="n">
        <f aca="false">MAX('Compression Engine'!J15-0.15,0)</f>
        <v>0.45</v>
      </c>
      <c r="E15" s="45" t="n">
        <f aca="false">'Compression Engine'!J15</f>
        <v>0.6</v>
      </c>
      <c r="F15" s="34" t="n">
        <f aca="false">MIN('Compression Engine'!J15+0.15,0.95)</f>
        <v>0.75</v>
      </c>
      <c r="G15" s="37" t="n">
        <f aca="false">$B15*(1-'Compression Engine'!L15)*$C15*D15</f>
        <v>2746.83167525376</v>
      </c>
      <c r="H15" s="38" t="n">
        <f aca="false">$B15*(1-'Compression Engine'!L15)*$C15*E15</f>
        <v>3662.44223367168</v>
      </c>
      <c r="I15" s="37" t="n">
        <f aca="false">$B15*(1-'Compression Engine'!L15)*$C15*F15</f>
        <v>4578.0527920896</v>
      </c>
    </row>
    <row r="16" customFormat="false" ht="15" hidden="false" customHeight="false" outlineLevel="0" collapsed="false">
      <c r="A16" s="43" t="str">
        <f aca="false">'Compression Engine'!B16</f>
        <v>Consulting</v>
      </c>
      <c r="B16" s="44" t="n">
        <f aca="false">'Compression Engine'!C16</f>
        <v>141598</v>
      </c>
      <c r="C16" s="45" t="n">
        <f aca="false">'Compression Engine'!H16*'Compression Engine'!I16</f>
        <v>0.0828144</v>
      </c>
      <c r="D16" s="34" t="n">
        <f aca="false">MAX('Compression Engine'!J16-0.15,0)</f>
        <v>0.27</v>
      </c>
      <c r="E16" s="45" t="n">
        <f aca="false">'Compression Engine'!J16</f>
        <v>0.42</v>
      </c>
      <c r="F16" s="34" t="n">
        <f aca="false">MIN('Compression Engine'!J16+0.15,0.95)</f>
        <v>0.57</v>
      </c>
      <c r="G16" s="37" t="n">
        <f aca="false">$B16*(1-'Compression Engine'!L16)*$C16*D16</f>
        <v>3102.79311260352</v>
      </c>
      <c r="H16" s="38" t="n">
        <f aca="false">$B16*(1-'Compression Engine'!L16)*$C16*E16</f>
        <v>4826.56706404992</v>
      </c>
      <c r="I16" s="37" t="n">
        <f aca="false">$B16*(1-'Compression Engine'!L16)*$C16*F16</f>
        <v>6550.34101549632</v>
      </c>
    </row>
    <row r="17" customFormat="false" ht="15" hidden="false" customHeight="false" outlineLevel="0" collapsed="false">
      <c r="A17" s="43" t="str">
        <f aca="false">'Compression Engine'!B17</f>
        <v>Data &amp; Analytics</v>
      </c>
      <c r="B17" s="44" t="n">
        <f aca="false">'Compression Engine'!C17</f>
        <v>334383</v>
      </c>
      <c r="C17" s="45" t="n">
        <f aca="false">'Compression Engine'!H17*'Compression Engine'!I17</f>
        <v>0.21413336</v>
      </c>
      <c r="D17" s="34" t="n">
        <f aca="false">MAX('Compression Engine'!J17-0.15,0)</f>
        <v>0.43</v>
      </c>
      <c r="E17" s="45" t="n">
        <f aca="false">'Compression Engine'!J17</f>
        <v>0.58</v>
      </c>
      <c r="F17" s="34" t="n">
        <f aca="false">MIN('Compression Engine'!J17+0.15,0.95)</f>
        <v>0.73</v>
      </c>
      <c r="G17" s="37" t="n">
        <f aca="false">$B17*(1-'Compression Engine'!L17)*$C17*D17</f>
        <v>29557.5348348081</v>
      </c>
      <c r="H17" s="38" t="n">
        <f aca="false">$B17*(1-'Compression Engine'!L17)*$C17*E17</f>
        <v>39868.3028004388</v>
      </c>
      <c r="I17" s="37" t="n">
        <f aca="false">$B17*(1-'Compression Engine'!L17)*$C17*F17</f>
        <v>50179.0707660695</v>
      </c>
    </row>
    <row r="18" customFormat="false" ht="15" hidden="false" customHeight="false" outlineLevel="0" collapsed="false">
      <c r="A18" s="39" t="s">
        <v>183</v>
      </c>
      <c r="B18" s="41"/>
      <c r="C18" s="41"/>
      <c r="D18" s="41"/>
      <c r="E18" s="41"/>
      <c r="F18" s="41"/>
      <c r="G18" s="40" t="n">
        <f aca="false">SUM(G5:G17)</f>
        <v>164270.983040208</v>
      </c>
      <c r="H18" s="40" t="n">
        <f aca="false">SUM(H5:H17)</f>
        <v>213690.963466979</v>
      </c>
      <c r="I18" s="40" t="n">
        <f aca="false">SUM(I5:I17)</f>
        <v>263110.943893749</v>
      </c>
    </row>
    <row r="20" customFormat="false" ht="15" hidden="false" customHeight="false" outlineLevel="0" collapsed="false">
      <c r="A20" s="19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2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8" t="s">
        <v>185</v>
      </c>
    </row>
    <row r="2" customFormat="false" ht="15" hidden="false" customHeight="false" outlineLevel="0" collapsed="false">
      <c r="A2" s="19" t="s">
        <v>186</v>
      </c>
    </row>
    <row r="4" customFormat="false" ht="15" hidden="false" customHeight="false" outlineLevel="0" collapsed="false">
      <c r="A4" s="3" t="s">
        <v>187</v>
      </c>
    </row>
    <row r="5" customFormat="false" ht="15" hidden="false" customHeight="false" outlineLevel="0" collapsed="false">
      <c r="A5" s="46" t="s">
        <v>188</v>
      </c>
      <c r="B5" s="46" t="s">
        <v>189</v>
      </c>
    </row>
    <row r="6" customFormat="false" ht="15" hidden="false" customHeight="false" outlineLevel="0" collapsed="false">
      <c r="A6" s="47" t="s">
        <v>190</v>
      </c>
      <c r="B6" s="48" t="n">
        <v>1.25</v>
      </c>
    </row>
    <row r="7" customFormat="false" ht="15" hidden="false" customHeight="false" outlineLevel="0" collapsed="false">
      <c r="A7" s="47" t="s">
        <v>191</v>
      </c>
      <c r="B7" s="48" t="n">
        <v>1</v>
      </c>
    </row>
    <row r="8" customFormat="false" ht="15" hidden="false" customHeight="false" outlineLevel="0" collapsed="false">
      <c r="A8" s="47" t="s">
        <v>192</v>
      </c>
      <c r="B8" s="48" t="n">
        <v>0.8</v>
      </c>
    </row>
    <row r="10" customFormat="false" ht="15" hidden="false" customHeight="false" outlineLevel="0" collapsed="false">
      <c r="A10" s="3" t="s">
        <v>193</v>
      </c>
    </row>
    <row r="11" customFormat="false" ht="39.75" hidden="false" customHeight="true" outlineLevel="0" collapsed="false">
      <c r="A11" s="8" t="s">
        <v>81</v>
      </c>
      <c r="B11" s="8" t="s">
        <v>194</v>
      </c>
      <c r="C11" s="8" t="s">
        <v>195</v>
      </c>
      <c r="D11" s="8" t="s">
        <v>196</v>
      </c>
      <c r="E11" s="8" t="s">
        <v>197</v>
      </c>
      <c r="F11" s="8" t="s">
        <v>198</v>
      </c>
      <c r="G11" s="8" t="s">
        <v>199</v>
      </c>
    </row>
    <row r="12" customFormat="false" ht="15" hidden="false" customHeight="false" outlineLevel="0" collapsed="false">
      <c r="A12" s="43" t="str">
        <f aca="false">'Compression Engine'!B5</f>
        <v>Application Maintenance &amp; Development</v>
      </c>
      <c r="B12" s="45" t="n">
        <f aca="false">'Compression Engine'!E5</f>
        <v>0.597</v>
      </c>
      <c r="C12" s="49" t="n">
        <v>0.2</v>
      </c>
      <c r="D12" s="49" t="n">
        <v>0.55</v>
      </c>
      <c r="E12" s="49" t="n">
        <v>0.25</v>
      </c>
      <c r="F12" s="34" t="n">
        <f aca="false">MIN(B12*(C12*$B$6+D12*$B$7+E12*$B$8),1)</f>
        <v>0.597</v>
      </c>
      <c r="G12" s="50" t="n">
        <f aca="false">(F12-B12)*100</f>
        <v>0</v>
      </c>
    </row>
    <row r="13" customFormat="false" ht="15" hidden="false" customHeight="false" outlineLevel="0" collapsed="false">
      <c r="A13" s="43" t="str">
        <f aca="false">'Compression Engine'!B6</f>
        <v>Business Process Services</v>
      </c>
      <c r="B13" s="45" t="n">
        <f aca="false">'Compression Engine'!E6</f>
        <v>0.606</v>
      </c>
      <c r="C13" s="49" t="n">
        <v>0.15</v>
      </c>
      <c r="D13" s="49" t="n">
        <v>0.55</v>
      </c>
      <c r="E13" s="49" t="n">
        <v>0.3</v>
      </c>
      <c r="F13" s="34" t="n">
        <f aca="false">MIN(B13*(C13*$B$6+D13*$B$7+E13*$B$8),1)</f>
        <v>0.592365</v>
      </c>
      <c r="G13" s="50" t="n">
        <f aca="false">(F13-B13)*100</f>
        <v>-1.3635</v>
      </c>
    </row>
    <row r="14" customFormat="false" ht="15" hidden="false" customHeight="false" outlineLevel="0" collapsed="false">
      <c r="A14" s="43" t="str">
        <f aca="false">'Compression Engine'!B7</f>
        <v>Consulting</v>
      </c>
      <c r="B14" s="45" t="n">
        <f aca="false">'Compression Engine'!E7</f>
        <v>0.371</v>
      </c>
      <c r="C14" s="49" t="n">
        <v>0.15</v>
      </c>
      <c r="D14" s="49" t="n">
        <v>0.55</v>
      </c>
      <c r="E14" s="49" t="n">
        <v>0.3</v>
      </c>
      <c r="F14" s="34" t="n">
        <f aca="false">MIN(B14*(C14*$B$6+D14*$B$7+E14*$B$8),1)</f>
        <v>0.3626525</v>
      </c>
      <c r="G14" s="50" t="n">
        <f aca="false">(F14-B14)*100</f>
        <v>-0.834750000000001</v>
      </c>
    </row>
    <row r="15" customFormat="false" ht="15" hidden="false" customHeight="false" outlineLevel="0" collapsed="false">
      <c r="A15" s="43" t="str">
        <f aca="false">'Compression Engine'!B8</f>
        <v>Application Implementation &amp; Managed Services</v>
      </c>
      <c r="B15" s="45" t="n">
        <f aca="false">'Compression Engine'!E8</f>
        <v>0.608</v>
      </c>
      <c r="C15" s="49" t="n">
        <v>0.3</v>
      </c>
      <c r="D15" s="49" t="n">
        <v>0.5</v>
      </c>
      <c r="E15" s="49" t="n">
        <v>0.2</v>
      </c>
      <c r="F15" s="34" t="n">
        <f aca="false">MIN(B15*(C15*$B$6+D15*$B$7+E15*$B$8),1)</f>
        <v>0.62928</v>
      </c>
      <c r="G15" s="50" t="n">
        <f aca="false">(F15-B15)*100</f>
        <v>2.12800000000001</v>
      </c>
    </row>
    <row r="16" customFormat="false" ht="15" hidden="false" customHeight="false" outlineLevel="0" collapsed="false">
      <c r="A16" s="43" t="str">
        <f aca="false">'Compression Engine'!B9</f>
        <v>Consulting</v>
      </c>
      <c r="B16" s="45" t="n">
        <f aca="false">'Compression Engine'!E9</f>
        <v>0.565</v>
      </c>
      <c r="C16" s="49" t="n">
        <v>0.15</v>
      </c>
      <c r="D16" s="49" t="n">
        <v>0.55</v>
      </c>
      <c r="E16" s="49" t="n">
        <v>0.3</v>
      </c>
      <c r="F16" s="34" t="n">
        <f aca="false">MIN(B16*(C16*$B$6+D16*$B$7+E16*$B$8),1)</f>
        <v>0.5522875</v>
      </c>
      <c r="G16" s="50" t="n">
        <f aca="false">(F16-B16)*100</f>
        <v>-1.27125</v>
      </c>
    </row>
    <row r="17" customFormat="false" ht="15" hidden="false" customHeight="false" outlineLevel="0" collapsed="false">
      <c r="A17" s="43" t="str">
        <f aca="false">'Compression Engine'!B10</f>
        <v>Infrastructure Implementation &amp; Managed Services</v>
      </c>
      <c r="B17" s="45" t="n">
        <f aca="false">'Compression Engine'!E10</f>
        <v>0.537</v>
      </c>
      <c r="C17" s="49" t="n">
        <v>0.2</v>
      </c>
      <c r="D17" s="49" t="n">
        <v>0.55</v>
      </c>
      <c r="E17" s="49" t="n">
        <v>0.25</v>
      </c>
      <c r="F17" s="34" t="n">
        <f aca="false">MIN(B17*(C17*$B$6+D17*$B$7+E17*$B$8),1)</f>
        <v>0.537</v>
      </c>
      <c r="G17" s="50" t="n">
        <f aca="false">(F17-B17)*100</f>
        <v>0</v>
      </c>
    </row>
    <row r="18" customFormat="false" ht="15" hidden="false" customHeight="false" outlineLevel="0" collapsed="false">
      <c r="A18" s="43" t="str">
        <f aca="false">'Compression Engine'!B11</f>
        <v>Application Implementation &amp; Managed Services</v>
      </c>
      <c r="B18" s="45" t="n">
        <f aca="false">'Compression Engine'!E11</f>
        <v>0.643</v>
      </c>
      <c r="C18" s="49" t="n">
        <v>0.3</v>
      </c>
      <c r="D18" s="49" t="n">
        <v>0.5</v>
      </c>
      <c r="E18" s="49" t="n">
        <v>0.2</v>
      </c>
      <c r="F18" s="34" t="n">
        <f aca="false">MIN(B18*(C18*$B$6+D18*$B$7+E18*$B$8),1)</f>
        <v>0.665505</v>
      </c>
      <c r="G18" s="50" t="n">
        <f aca="false">(F18-B18)*100</f>
        <v>2.25050000000001</v>
      </c>
    </row>
    <row r="19" customFormat="false" ht="15" hidden="false" customHeight="false" outlineLevel="0" collapsed="false">
      <c r="A19" s="43" t="str">
        <f aca="false">'Compression Engine'!B12</f>
        <v>Consulting</v>
      </c>
      <c r="B19" s="45" t="n">
        <f aca="false">'Compression Engine'!E12</f>
        <v>0.371</v>
      </c>
      <c r="C19" s="49" t="n">
        <v>0.15</v>
      </c>
      <c r="D19" s="49" t="n">
        <v>0.55</v>
      </c>
      <c r="E19" s="49" t="n">
        <v>0.3</v>
      </c>
      <c r="F19" s="34" t="n">
        <f aca="false">MIN(B19*(C19*$B$6+D19*$B$7+E19*$B$8),1)</f>
        <v>0.3626525</v>
      </c>
      <c r="G19" s="50" t="n">
        <f aca="false">(F19-B19)*100</f>
        <v>-0.834750000000001</v>
      </c>
    </row>
    <row r="20" customFormat="false" ht="15" hidden="false" customHeight="false" outlineLevel="0" collapsed="false">
      <c r="A20" s="43" t="str">
        <f aca="false">'Compression Engine'!B13</f>
        <v>ADMS</v>
      </c>
      <c r="B20" s="45" t="n">
        <f aca="false">'Compression Engine'!E13</f>
        <v>0.626</v>
      </c>
      <c r="C20" s="49" t="n">
        <v>0.2</v>
      </c>
      <c r="D20" s="49" t="n">
        <v>0.55</v>
      </c>
      <c r="E20" s="49" t="n">
        <v>0.25</v>
      </c>
      <c r="F20" s="34" t="n">
        <f aca="false">MIN(B20*(C20*$B$6+D20*$B$7+E20*$B$8),1)</f>
        <v>0.626</v>
      </c>
      <c r="G20" s="50" t="n">
        <f aca="false">(F20-B20)*100</f>
        <v>0</v>
      </c>
    </row>
    <row r="21" customFormat="false" ht="15" hidden="false" customHeight="false" outlineLevel="0" collapsed="false">
      <c r="A21" s="43" t="str">
        <f aca="false">'Compression Engine'!B14</f>
        <v>BPM</v>
      </c>
      <c r="B21" s="45" t="n">
        <f aca="false">'Compression Engine'!E14</f>
        <v>0.606</v>
      </c>
      <c r="C21" s="49" t="n">
        <v>0.15</v>
      </c>
      <c r="D21" s="49" t="n">
        <v>0.55</v>
      </c>
      <c r="E21" s="49" t="n">
        <v>0.3</v>
      </c>
      <c r="F21" s="34" t="n">
        <f aca="false">MIN(B21*(C21*$B$6+D21*$B$7+E21*$B$8),1)</f>
        <v>0.592365</v>
      </c>
      <c r="G21" s="50" t="n">
        <f aca="false">(F21-B21)*100</f>
        <v>-1.3635</v>
      </c>
    </row>
    <row r="22" customFormat="false" ht="15" hidden="false" customHeight="false" outlineLevel="0" collapsed="false">
      <c r="A22" s="43" t="str">
        <f aca="false">'Compression Engine'!B15</f>
        <v>Infrastructure Implementation &amp; Managed Services</v>
      </c>
      <c r="B22" s="45" t="n">
        <f aca="false">'Compression Engine'!E15</f>
        <v>0.537</v>
      </c>
      <c r="C22" s="49" t="n">
        <v>0.15</v>
      </c>
      <c r="D22" s="49" t="n">
        <v>0.55</v>
      </c>
      <c r="E22" s="49" t="n">
        <v>0.3</v>
      </c>
      <c r="F22" s="34" t="n">
        <f aca="false">MIN(B22*(C22*$B$6+D22*$B$7+E22*$B$8),1)</f>
        <v>0.5249175</v>
      </c>
      <c r="G22" s="50" t="n">
        <f aca="false">(F22-B22)*100</f>
        <v>-1.20825</v>
      </c>
    </row>
    <row r="23" customFormat="false" ht="15" hidden="false" customHeight="false" outlineLevel="0" collapsed="false">
      <c r="A23" s="43" t="str">
        <f aca="false">'Compression Engine'!B16</f>
        <v>Consulting</v>
      </c>
      <c r="B23" s="45" t="n">
        <f aca="false">'Compression Engine'!E16</f>
        <v>0.395</v>
      </c>
      <c r="C23" s="49" t="n">
        <v>0.15</v>
      </c>
      <c r="D23" s="49" t="n">
        <v>0.55</v>
      </c>
      <c r="E23" s="49" t="n">
        <v>0.3</v>
      </c>
      <c r="F23" s="34" t="n">
        <f aca="false">MIN(B23*(C23*$B$6+D23*$B$7+E23*$B$8),1)</f>
        <v>0.3861125</v>
      </c>
      <c r="G23" s="50" t="n">
        <f aca="false">(F23-B23)*100</f>
        <v>-0.888749999999999</v>
      </c>
    </row>
    <row r="24" customFormat="false" ht="15" hidden="false" customHeight="false" outlineLevel="0" collapsed="false">
      <c r="A24" s="43" t="str">
        <f aca="false">'Compression Engine'!B17</f>
        <v>Data &amp; Analytics</v>
      </c>
      <c r="B24" s="45" t="n">
        <f aca="false">'Compression Engine'!E17</f>
        <v>0.559</v>
      </c>
      <c r="C24" s="49" t="n">
        <v>0.3</v>
      </c>
      <c r="D24" s="49" t="n">
        <v>0.5</v>
      </c>
      <c r="E24" s="49" t="n">
        <v>0.2</v>
      </c>
      <c r="F24" s="34" t="n">
        <f aca="false">MIN(B24*(C24*$B$6+D24*$B$7+E24*$B$8),1)</f>
        <v>0.578565</v>
      </c>
      <c r="G24" s="50" t="n">
        <f aca="false">(F24-B24)*100</f>
        <v>1.95650000000001</v>
      </c>
    </row>
    <row r="26" customFormat="false" ht="15" hidden="false" customHeight="true" outlineLevel="0" collapsed="false">
      <c r="A26" s="21" t="s">
        <v>200</v>
      </c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</row>
  </sheetData>
  <mergeCells count="1">
    <mergeCell ref="A26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2026-09-08T13:45:37Z</dcterms:created>
  <dc:creator>openpyxl</dc:creator>
  <dc:description/>
  <dc:language>en-US</dc:language>
  <cp:lastModifiedBy/>
  <dcterms:modified xsi:type="dcterms:W3CDTF">2026-09-08T13:45:37Z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